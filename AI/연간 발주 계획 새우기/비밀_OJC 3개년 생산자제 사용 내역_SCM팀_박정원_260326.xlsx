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ti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JWorld\Desktop\새 폴더\"/>
    </mc:Choice>
  </mc:AlternateContent>
  <xr:revisionPtr revIDLastSave="0" documentId="13_ncr:1_{17948409-C7D6-42B4-A5AA-CA53711916FF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케이블 사용내역" sheetId="3" r:id="rId1"/>
    <sheet name="Sheet4" sheetId="6" r:id="rId2"/>
    <sheet name="Sheet1" sheetId="9" r:id="rId3"/>
    <sheet name="Sheet2" sheetId="10" r:id="rId4"/>
    <sheet name="하우징 사용 내역" sheetId="1" r:id="rId5"/>
    <sheet name="하우징 사용내역 총정리" sheetId="8" r:id="rId6"/>
  </sheets>
  <definedNames>
    <definedName name="_xlnm._FilterDatabase" localSheetId="3" hidden="1">Sheet2!$A$1:$E$40</definedName>
    <definedName name="_xlnm._FilterDatabase" localSheetId="0" hidden="1">'케이블 사용내역'!$A$3:$O$51</definedName>
    <definedName name="_xlnm._FilterDatabase" localSheetId="4" hidden="1">'하우징 사용 내역'!$A$3:$P$72</definedName>
    <definedName name="_xlnm._FilterDatabase" localSheetId="5" hidden="1">'하우징 사용내역 총정리'!$A$2:$N$2</definedName>
    <definedName name="_xlnm.Print_Area" localSheetId="0">'케이블 사용내역'!$A$1:$O$51</definedName>
    <definedName name="_xlnm.Print_Area" localSheetId="4">'하우징 사용 내역'!$A$1:$P$71</definedName>
    <definedName name="_xlnm.Print_Area" localSheetId="5">'하우징 사용내역 총정리'!$A$1:$L$45</definedName>
  </definedNames>
  <calcPr calcId="181029"/>
  <pivotCaches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8" i="8" l="1"/>
  <c r="E47" i="8"/>
  <c r="L45" i="8"/>
  <c r="L44" i="8"/>
  <c r="K45" i="8"/>
  <c r="K44" i="8"/>
  <c r="J45" i="8"/>
  <c r="J44" i="8"/>
  <c r="I45" i="8"/>
  <c r="I44" i="8"/>
  <c r="H45" i="8"/>
  <c r="H44" i="8"/>
  <c r="G45" i="8"/>
  <c r="G44" i="8"/>
  <c r="N45" i="8" l="1"/>
  <c r="M45" i="8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87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45" i="9"/>
  <c r="Q5" i="3" l="1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42" i="3"/>
  <c r="Q46" i="3"/>
  <c r="Q47" i="3"/>
  <c r="Q48" i="3"/>
  <c r="Q49" i="3"/>
  <c r="Q50" i="3"/>
  <c r="Q51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42" i="3"/>
  <c r="P49" i="3"/>
  <c r="P50" i="3"/>
  <c r="P51" i="3"/>
  <c r="Q4" i="3"/>
  <c r="P4" i="3"/>
  <c r="N4" i="8" l="1"/>
  <c r="N5" i="8"/>
  <c r="N36" i="8"/>
  <c r="N6" i="8"/>
  <c r="N7" i="8"/>
  <c r="N8" i="8"/>
  <c r="N9" i="8"/>
  <c r="N37" i="8"/>
  <c r="N14" i="8"/>
  <c r="N15" i="8"/>
  <c r="N38" i="8"/>
  <c r="N10" i="8"/>
  <c r="N39" i="8"/>
  <c r="N40" i="8"/>
  <c r="N11" i="8"/>
  <c r="N12" i="8"/>
  <c r="N13" i="8"/>
  <c r="N41" i="8"/>
  <c r="N16" i="8"/>
  <c r="N17" i="8"/>
  <c r="N18" i="8"/>
  <c r="N19" i="8"/>
  <c r="N42" i="8"/>
  <c r="N43" i="8"/>
  <c r="N20" i="8"/>
  <c r="N21" i="8"/>
  <c r="N22" i="8"/>
  <c r="N23" i="8"/>
  <c r="N24" i="8"/>
  <c r="N25" i="8"/>
  <c r="N27" i="8"/>
  <c r="N28" i="8"/>
  <c r="N29" i="8"/>
  <c r="N30" i="8"/>
  <c r="N31" i="8"/>
  <c r="N32" i="8"/>
  <c r="N33" i="8"/>
  <c r="N34" i="8"/>
  <c r="N35" i="8"/>
  <c r="N44" i="8"/>
  <c r="N3" i="8"/>
  <c r="M4" i="8"/>
  <c r="M5" i="8"/>
  <c r="M36" i="8"/>
  <c r="M6" i="8"/>
  <c r="M7" i="8"/>
  <c r="M8" i="8"/>
  <c r="M9" i="8"/>
  <c r="M37" i="8"/>
  <c r="M14" i="8"/>
  <c r="M15" i="8"/>
  <c r="M38" i="8"/>
  <c r="M10" i="8"/>
  <c r="M39" i="8"/>
  <c r="M40" i="8"/>
  <c r="M11" i="8"/>
  <c r="M12" i="8"/>
  <c r="M13" i="8"/>
  <c r="M41" i="8"/>
  <c r="M16" i="8"/>
  <c r="M17" i="8"/>
  <c r="M18" i="8"/>
  <c r="M19" i="8"/>
  <c r="M42" i="8"/>
  <c r="M43" i="8"/>
  <c r="M20" i="8"/>
  <c r="M21" i="8"/>
  <c r="M22" i="8"/>
  <c r="M23" i="8"/>
  <c r="M24" i="8"/>
  <c r="M25" i="8"/>
  <c r="M27" i="8"/>
  <c r="M28" i="8"/>
  <c r="M29" i="8"/>
  <c r="M30" i="8"/>
  <c r="M31" i="8"/>
  <c r="M32" i="8"/>
  <c r="M33" i="8"/>
  <c r="M34" i="8"/>
  <c r="M35" i="8"/>
  <c r="M44" i="8"/>
  <c r="M3" i="8"/>
  <c r="M26" i="8" l="1"/>
  <c r="N26" i="8"/>
  <c r="J50" i="1"/>
  <c r="J48" i="3" l="1"/>
  <c r="P48" i="3" s="1"/>
  <c r="J47" i="3"/>
  <c r="P47" i="3" s="1"/>
  <c r="J46" i="3"/>
  <c r="P46" i="3" s="1"/>
  <c r="J45" i="3"/>
  <c r="G45" i="3"/>
  <c r="Q45" i="3" s="1"/>
  <c r="F45" i="3"/>
  <c r="P45" i="3" s="1"/>
  <c r="K44" i="3"/>
  <c r="I44" i="3"/>
  <c r="H44" i="3"/>
  <c r="G44" i="3"/>
  <c r="Q44" i="3" s="1"/>
  <c r="F44" i="3"/>
  <c r="P44" i="3" s="1"/>
  <c r="K43" i="3"/>
  <c r="I43" i="3"/>
  <c r="H43" i="3"/>
  <c r="G43" i="3"/>
  <c r="F43" i="3"/>
  <c r="K41" i="3"/>
  <c r="J41" i="3"/>
  <c r="I41" i="3"/>
  <c r="H41" i="3"/>
  <c r="G41" i="3"/>
  <c r="Q41" i="3" s="1"/>
  <c r="F41" i="3"/>
  <c r="P41" i="3" s="1"/>
  <c r="K40" i="3"/>
  <c r="J40" i="3"/>
  <c r="I40" i="3"/>
  <c r="H40" i="3"/>
  <c r="G40" i="3"/>
  <c r="Q40" i="3" s="1"/>
  <c r="F40" i="3"/>
  <c r="P40" i="3" s="1"/>
  <c r="K39" i="3"/>
  <c r="J39" i="3"/>
  <c r="I39" i="3"/>
  <c r="H39" i="3"/>
  <c r="G39" i="3"/>
  <c r="Q39" i="3" s="1"/>
  <c r="F39" i="3"/>
  <c r="P39" i="3" s="1"/>
  <c r="K38" i="3"/>
  <c r="J38" i="3"/>
  <c r="I38" i="3"/>
  <c r="H38" i="3"/>
  <c r="G38" i="3"/>
  <c r="Q38" i="3" s="1"/>
  <c r="F38" i="3"/>
  <c r="P38" i="3" s="1"/>
  <c r="K37" i="3"/>
  <c r="J37" i="3"/>
  <c r="I37" i="3"/>
  <c r="H37" i="3"/>
  <c r="G37" i="3"/>
  <c r="F37" i="3"/>
  <c r="P37" i="3" l="1"/>
  <c r="Q37" i="3"/>
  <c r="P43" i="3"/>
  <c r="Q4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AJW</author>
  </authors>
  <commentList>
    <comment ref="E37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부트만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</text>
    </comment>
  </commentList>
</comments>
</file>

<file path=xl/sharedStrings.xml><?xml version="1.0" encoding="utf-8"?>
<sst xmlns="http://schemas.openxmlformats.org/spreadsheetml/2006/main" count="1479" uniqueCount="527">
  <si>
    <t>24년 총 사용량</t>
  </si>
  <si>
    <t>케이블 종류</t>
  </si>
  <si>
    <t>0.9mm</t>
  </si>
  <si>
    <t>PIGTAIL</t>
  </si>
  <si>
    <t>2.0mm</t>
  </si>
  <si>
    <t>B3-12C</t>
  </si>
  <si>
    <t>B3-24C</t>
  </si>
  <si>
    <t>B3-6C</t>
  </si>
  <si>
    <t>B3-8C</t>
  </si>
  <si>
    <t>Optical cable</t>
  </si>
  <si>
    <t>3.0mm</t>
  </si>
  <si>
    <t>DROP</t>
  </si>
  <si>
    <t>품번</t>
    <phoneticPr fontId="2" type="noConversion"/>
  </si>
  <si>
    <t>품명</t>
    <phoneticPr fontId="2" type="noConversion"/>
  </si>
  <si>
    <t>A1-SP</t>
    <phoneticPr fontId="2" type="noConversion"/>
  </si>
  <si>
    <t>A1-DP</t>
    <phoneticPr fontId="2" type="noConversion"/>
  </si>
  <si>
    <t>P14-RM-4188</t>
    <phoneticPr fontId="4" type="noConversion"/>
  </si>
  <si>
    <t>OPTICAL CABLE 2.0mm G657A1 SP-SM (YELLOW,황)</t>
  </si>
  <si>
    <t>P14-RM-4189R</t>
    <phoneticPr fontId="4" type="noConversion"/>
  </si>
  <si>
    <t>OPTICAL CABLE 2.0mm G657A1 DP-SM (YELLOW,황)</t>
  </si>
  <si>
    <t>연간 사용량</t>
    <phoneticPr fontId="2" type="noConversion"/>
  </si>
  <si>
    <t>리드타임</t>
    <phoneticPr fontId="2" type="noConversion"/>
  </si>
  <si>
    <t>60일</t>
    <phoneticPr fontId="2" type="noConversion"/>
  </si>
  <si>
    <t>A1_녹-SP</t>
    <phoneticPr fontId="2" type="noConversion"/>
  </si>
  <si>
    <t>A1_녹-DP</t>
    <phoneticPr fontId="2" type="noConversion"/>
  </si>
  <si>
    <t>P14-RM-4184</t>
    <phoneticPr fontId="4" type="noConversion"/>
  </si>
  <si>
    <t>OPTICAL CABLE 2.0mm G657A1 SP-SM (GREEN,녹)</t>
    <phoneticPr fontId="4" type="noConversion"/>
  </si>
  <si>
    <t>P14-RM-4183</t>
    <phoneticPr fontId="4" type="noConversion"/>
  </si>
  <si>
    <t>OPTICAL CABLE 2.0mm G657A1 DP-SM (GREEN,녹)</t>
  </si>
  <si>
    <t>A1_자-DP</t>
    <phoneticPr fontId="2" type="noConversion"/>
  </si>
  <si>
    <t>P14-RM-418F</t>
    <phoneticPr fontId="4" type="noConversion"/>
  </si>
  <si>
    <t>OPTICAL CABLE 2.0mm G657A1 DP-SM (VIOLET, 자)</t>
    <phoneticPr fontId="4" type="noConversion"/>
  </si>
  <si>
    <t>A1_적-SP</t>
    <phoneticPr fontId="2" type="noConversion"/>
  </si>
  <si>
    <t>A1_적-DP</t>
    <phoneticPr fontId="2" type="noConversion"/>
  </si>
  <si>
    <t>P14-RM-418D</t>
    <phoneticPr fontId="4" type="noConversion"/>
  </si>
  <si>
    <t>OPTICAL CABLE 2.0mm G657A1 SP-SM (RED,적)</t>
  </si>
  <si>
    <t>P14-RM-418CR</t>
    <phoneticPr fontId="4" type="noConversion"/>
  </si>
  <si>
    <t>OPTICAL CABLE 2.0mm G657A1 DP-SM (RED,적)</t>
  </si>
  <si>
    <t>A1_청-SP</t>
    <phoneticPr fontId="2" type="noConversion"/>
  </si>
  <si>
    <t>A1_청-DP</t>
    <phoneticPr fontId="2" type="noConversion"/>
  </si>
  <si>
    <t>P14-RM-4182</t>
    <phoneticPr fontId="4" type="noConversion"/>
  </si>
  <si>
    <t>OPTICAL CABLE 2.0mm G657A1 SP-SM (BLUE,청)</t>
  </si>
  <si>
    <t>P14-RM-4181R</t>
    <phoneticPr fontId="4" type="noConversion"/>
  </si>
  <si>
    <t>OPTICAL CABLE 2.0mm G657A1 DP-SM (BLUE,청)</t>
  </si>
  <si>
    <t>B3-SP</t>
    <phoneticPr fontId="2" type="noConversion"/>
  </si>
  <si>
    <t>B3-DP</t>
    <phoneticPr fontId="2" type="noConversion"/>
  </si>
  <si>
    <t>파이</t>
    <phoneticPr fontId="2" type="noConversion"/>
  </si>
  <si>
    <t>P14-RM-418Q</t>
    <phoneticPr fontId="4" type="noConversion"/>
  </si>
  <si>
    <t>OPTICAL CABLE 2.0mm G657 B3 SP-SM (YELLOW,황)</t>
    <phoneticPr fontId="4" type="noConversion"/>
  </si>
  <si>
    <t>P14-RM-418R</t>
    <phoneticPr fontId="4" type="noConversion"/>
  </si>
  <si>
    <t>OPTICAL CABLE 2.0mm G657 B3 DP-SM (YELLOW,황)</t>
    <phoneticPr fontId="4" type="noConversion"/>
  </si>
  <si>
    <t>DISTRIBUTION CABLE G657 B3 (6C)</t>
  </si>
  <si>
    <t>P14-RM-420A</t>
  </si>
  <si>
    <t>DISTRIBUTION CABLE G657 B3 (12C)</t>
  </si>
  <si>
    <t>P14-RM-420B</t>
  </si>
  <si>
    <t>OM1-SP</t>
    <phoneticPr fontId="2" type="noConversion"/>
  </si>
  <si>
    <t>OM1-DP</t>
    <phoneticPr fontId="2" type="noConversion"/>
  </si>
  <si>
    <t>OM3-DP</t>
    <phoneticPr fontId="2" type="noConversion"/>
  </si>
  <si>
    <t>비고</t>
    <phoneticPr fontId="2" type="noConversion"/>
  </si>
  <si>
    <t>DISTRIBUTION CABLE G657A1 (8C)</t>
  </si>
  <si>
    <t>A1-8C</t>
    <phoneticPr fontId="2" type="noConversion"/>
  </si>
  <si>
    <t>DISTRIBUTION CABLE G657A1 (20C)</t>
  </si>
  <si>
    <t>A1-20C</t>
    <phoneticPr fontId="2" type="noConversion"/>
  </si>
  <si>
    <t>DISTRIBUTION CABLE G657A1 (12C)</t>
  </si>
  <si>
    <t>A1-12C</t>
    <phoneticPr fontId="2" type="noConversion"/>
  </si>
  <si>
    <t>DISTRIBUTION CABLE G657A1 (16C)</t>
  </si>
  <si>
    <t>A1-16C</t>
    <phoneticPr fontId="2" type="noConversion"/>
  </si>
  <si>
    <t>DISTRIBUTION CABLE G657A1 (4C)</t>
    <phoneticPr fontId="4" type="noConversion"/>
  </si>
  <si>
    <t>A1-4C</t>
    <phoneticPr fontId="2" type="noConversion"/>
  </si>
  <si>
    <t>P14-RM-418E</t>
    <phoneticPr fontId="4" type="noConversion"/>
  </si>
  <si>
    <t>OPTICAL CABLE 2.0mm SP-MM(OM1) (ORANGE,등)</t>
  </si>
  <si>
    <t>OPTICAL CABLE 3.0mm G657 B3 SP-SM (YELLOW,황)</t>
    <phoneticPr fontId="4" type="noConversion"/>
  </si>
  <si>
    <t>P14-RM-4196</t>
    <phoneticPr fontId="4" type="noConversion"/>
  </si>
  <si>
    <t>OPTICAL CABLE 3.0mm G657 B3 DP-SM (YELLOW,황)</t>
    <phoneticPr fontId="4" type="noConversion"/>
  </si>
  <si>
    <t>DROP OPTICAL CABLE 3.0mm SP- SM (BLACK)</t>
    <phoneticPr fontId="2" type="noConversion"/>
  </si>
  <si>
    <t>DROP OPTICAL CABLE 3.0mm DP-SM (BLACK)</t>
    <phoneticPr fontId="4" type="noConversion"/>
  </si>
  <si>
    <t>구매처</t>
    <phoneticPr fontId="2" type="noConversion"/>
  </si>
  <si>
    <t>HUAMAI</t>
    <phoneticPr fontId="2" type="noConversion"/>
  </si>
  <si>
    <t>HUAMAI</t>
    <phoneticPr fontId="2" type="noConversion"/>
  </si>
  <si>
    <t>HUAMAI</t>
    <phoneticPr fontId="2" type="noConversion"/>
  </si>
  <si>
    <t>HUAMAI</t>
    <phoneticPr fontId="2" type="noConversion"/>
  </si>
  <si>
    <t>HUAMAI</t>
    <phoneticPr fontId="2" type="noConversion"/>
  </si>
  <si>
    <t>P14-RM-4172</t>
    <phoneticPr fontId="4" type="noConversion"/>
  </si>
  <si>
    <t>OPTICAL CABLE 0.9mm SM (BLUE,청)</t>
    <phoneticPr fontId="2" type="noConversion"/>
  </si>
  <si>
    <t>P14-RM-4178</t>
    <phoneticPr fontId="4" type="noConversion"/>
  </si>
  <si>
    <t>OPTICAL CABLE 0.9mm SM (ORANGE,등)</t>
  </si>
  <si>
    <t>P14-RM-4176</t>
    <phoneticPr fontId="4" type="noConversion"/>
  </si>
  <si>
    <t>OPTICAL CABLE 0.9mm SM (GREEN,녹)</t>
  </si>
  <si>
    <t>P14-RM-417A</t>
    <phoneticPr fontId="4" type="noConversion"/>
  </si>
  <si>
    <t>OPTICAL CABLE 0.9mm SM (RED,적)</t>
  </si>
  <si>
    <t>P14-RM-417E</t>
    <phoneticPr fontId="4" type="noConversion"/>
  </si>
  <si>
    <t>OPTICAL CABLE 0.9mm SM (YELLOW,황)</t>
  </si>
  <si>
    <t>P14-RM-4179</t>
    <phoneticPr fontId="4" type="noConversion"/>
  </si>
  <si>
    <t>OPTICAL CABLE 0.9mm SM (VIOLET,자)</t>
  </si>
  <si>
    <t>P14-RM-4174</t>
    <phoneticPr fontId="4" type="noConversion"/>
  </si>
  <si>
    <t>OPTICAL CABLE 0.9mm SM (BROWN,갈)</t>
  </si>
  <si>
    <t>P14-RM-4171</t>
    <phoneticPr fontId="4" type="noConversion"/>
  </si>
  <si>
    <t>OPTICAL CABLE 0.9mm SM (BLACK,흑)</t>
  </si>
  <si>
    <t>P14-RM-417B</t>
    <phoneticPr fontId="4" type="noConversion"/>
  </si>
  <si>
    <t>OPTICAL CABLE 0.9mm SM (WHITE,백)</t>
  </si>
  <si>
    <t>P14-RM-4175</t>
    <phoneticPr fontId="4" type="noConversion"/>
  </si>
  <si>
    <t>OPTICAL CABLE 0.9mm SM (SLATE,회)</t>
  </si>
  <si>
    <t>P14-RM-417D</t>
    <phoneticPr fontId="4" type="noConversion"/>
  </si>
  <si>
    <t>OPTICAL CABLE 0.9mm SM (AQUA,연청)</t>
  </si>
  <si>
    <t>P14-RM-417C</t>
    <phoneticPr fontId="4" type="noConversion"/>
  </si>
  <si>
    <t>OPTICAL CABLE 0.9mm SM (ROSE,연등)</t>
  </si>
  <si>
    <t>P14-RM-417G</t>
    <phoneticPr fontId="4" type="noConversion"/>
  </si>
  <si>
    <t>OPTICAL CABLE 0.9mm MM(OM1) (ORANGE,등)</t>
    <phoneticPr fontId="4" type="noConversion"/>
  </si>
  <si>
    <t>P14-RM-417H</t>
    <phoneticPr fontId="4" type="noConversion"/>
  </si>
  <si>
    <t>OPTICAL CABLE 0.9mm MM(OM3) (AQUA,연청)</t>
  </si>
  <si>
    <t>P14-RM-417K</t>
  </si>
  <si>
    <t>OPTICAL CABLE 0.9mm MM(OM4) (AQUA,연청)</t>
    <phoneticPr fontId="4" type="noConversion"/>
  </si>
  <si>
    <t>무송지오씨</t>
    <phoneticPr fontId="2" type="noConversion"/>
  </si>
  <si>
    <t>CFOFC</t>
  </si>
  <si>
    <t>40일</t>
    <phoneticPr fontId="2" type="noConversion"/>
  </si>
  <si>
    <t>A1 케이블 혼용</t>
    <phoneticPr fontId="2" type="noConversion"/>
  </si>
  <si>
    <t>P14-RM-4185R</t>
    <phoneticPr fontId="4" type="noConversion"/>
  </si>
  <si>
    <t>OPTICAL CABLE 2.0mm DP-MM(OM1) (ORANGE,등)</t>
    <phoneticPr fontId="2" type="noConversion"/>
  </si>
  <si>
    <t>P14-RM-4382</t>
    <phoneticPr fontId="4" type="noConversion"/>
  </si>
  <si>
    <t>23년 총 사용량</t>
    <phoneticPr fontId="2" type="noConversion"/>
  </si>
  <si>
    <t>연간 피크 사용량</t>
    <phoneticPr fontId="2" type="noConversion"/>
  </si>
  <si>
    <t>B3-16C</t>
  </si>
  <si>
    <t>OM4-DP</t>
    <phoneticPr fontId="2" type="noConversion"/>
  </si>
  <si>
    <t>P14-RM-418H</t>
    <phoneticPr fontId="4" type="noConversion"/>
  </si>
  <si>
    <t>OPTICAL CABLE 2.0mm DP-MM(OM4)</t>
  </si>
  <si>
    <t>P14-RM-4381</t>
    <phoneticPr fontId="4" type="noConversion"/>
  </si>
  <si>
    <t>P14-RM-4203C</t>
    <phoneticPr fontId="4" type="noConversion"/>
  </si>
  <si>
    <t>P14-RM-4206</t>
    <phoneticPr fontId="4" type="noConversion"/>
  </si>
  <si>
    <t>P14-RM-4204C</t>
    <phoneticPr fontId="4" type="noConversion"/>
  </si>
  <si>
    <t>P14-RM-4205C</t>
    <phoneticPr fontId="4" type="noConversion"/>
  </si>
  <si>
    <t>P14-RM-4195</t>
    <phoneticPr fontId="4" type="noConversion"/>
  </si>
  <si>
    <t>P14-RM-4191</t>
    <phoneticPr fontId="4" type="noConversion"/>
  </si>
  <si>
    <t>P14-RM-4194</t>
    <phoneticPr fontId="4" type="noConversion"/>
  </si>
  <si>
    <t>DISTRIBUTION CABLE G657A1 (24C)</t>
  </si>
  <si>
    <t>A1-24C</t>
    <phoneticPr fontId="2" type="noConversion"/>
  </si>
  <si>
    <t>25년 총 사용량</t>
    <phoneticPr fontId="2" type="noConversion"/>
  </si>
  <si>
    <t>no</t>
    <phoneticPr fontId="2" type="noConversion"/>
  </si>
  <si>
    <t>6색</t>
    <phoneticPr fontId="2" type="noConversion"/>
  </si>
  <si>
    <t>회</t>
    <phoneticPr fontId="2" type="noConversion"/>
  </si>
  <si>
    <t>8색</t>
    <phoneticPr fontId="2" type="noConversion"/>
  </si>
  <si>
    <t>12색</t>
    <phoneticPr fontId="2" type="noConversion"/>
  </si>
  <si>
    <t>현 재고</t>
    <phoneticPr fontId="2" type="noConversion"/>
  </si>
  <si>
    <t>P14-RM-4201C</t>
    <phoneticPr fontId="4" type="noConversion"/>
  </si>
  <si>
    <t>2.0mm</t>
    <phoneticPr fontId="2" type="noConversion"/>
  </si>
  <si>
    <t>A1-6C</t>
    <phoneticPr fontId="2" type="noConversion"/>
  </si>
  <si>
    <t>P14-RM-4202C</t>
    <phoneticPr fontId="4" type="noConversion"/>
  </si>
  <si>
    <t>DISTRIBUTION CABLE G657A1 (6C)</t>
  </si>
  <si>
    <t>P14-RM-4207</t>
    <phoneticPr fontId="4" type="noConversion"/>
  </si>
  <si>
    <t>OPTICAL CABLE 5.0mm SM-SP (BLACK)</t>
    <phoneticPr fontId="4" type="noConversion"/>
  </si>
  <si>
    <t xml:space="preserve"> OPTICAL CABLE 5.0mm SM-DP (BLACK)</t>
    <phoneticPr fontId="4" type="noConversion"/>
  </si>
  <si>
    <t>2023년 ~ 2025년 간 생산자재  케이블 사용 내역</t>
    <phoneticPr fontId="2" type="noConversion"/>
  </si>
  <si>
    <t>LG향과 혼용</t>
    <phoneticPr fontId="2" type="noConversion"/>
  </si>
  <si>
    <t>청</t>
    <phoneticPr fontId="2" type="noConversion"/>
  </si>
  <si>
    <t>등</t>
    <phoneticPr fontId="2" type="noConversion"/>
  </si>
  <si>
    <t>녹</t>
    <phoneticPr fontId="2" type="noConversion"/>
  </si>
  <si>
    <t>적</t>
    <phoneticPr fontId="2" type="noConversion"/>
  </si>
  <si>
    <t>황</t>
    <phoneticPr fontId="2" type="noConversion"/>
  </si>
  <si>
    <t>자</t>
    <phoneticPr fontId="2" type="noConversion"/>
  </si>
  <si>
    <t>갈</t>
    <phoneticPr fontId="2" type="noConversion"/>
  </si>
  <si>
    <t>흑</t>
    <phoneticPr fontId="2" type="noConversion"/>
  </si>
  <si>
    <t>백</t>
    <phoneticPr fontId="2" type="noConversion"/>
  </si>
  <si>
    <t>연청</t>
    <phoneticPr fontId="2" type="noConversion"/>
  </si>
  <si>
    <t>연등</t>
    <phoneticPr fontId="2" type="noConversion"/>
  </si>
  <si>
    <t>2023년 ~ 2025년 간 생산자재 하우징 사용 내역</t>
    <phoneticPr fontId="2" type="noConversion"/>
  </si>
  <si>
    <t>하우징 키트</t>
    <phoneticPr fontId="2" type="noConversion"/>
  </si>
  <si>
    <t>LC/PC 청색</t>
    <phoneticPr fontId="2" type="noConversion"/>
  </si>
  <si>
    <t>P14-LS-4228</t>
    <phoneticPr fontId="4" type="noConversion"/>
  </si>
  <si>
    <t>OJC HOUSING KIT (OJC LC/PC 2.0 BLUE)</t>
    <phoneticPr fontId="4" type="noConversion"/>
  </si>
  <si>
    <t>LC/PC 적색</t>
    <phoneticPr fontId="2" type="noConversion"/>
  </si>
  <si>
    <t>P14-LS-422A</t>
    <phoneticPr fontId="4" type="noConversion"/>
  </si>
  <si>
    <t>OJC HOUSING KIT (OJC LC/PC 2.0 RED)</t>
    <phoneticPr fontId="4" type="noConversion"/>
  </si>
  <si>
    <t>LC/APC 녹색</t>
    <phoneticPr fontId="2" type="noConversion"/>
  </si>
  <si>
    <t>P14-LS-4224</t>
    <phoneticPr fontId="4" type="noConversion"/>
  </si>
  <si>
    <t>LC/APC 적색</t>
    <phoneticPr fontId="2" type="noConversion"/>
  </si>
  <si>
    <t>OJC HOUSING KIT (OJC LC/APC 2.0 GREEN)</t>
    <phoneticPr fontId="4" type="noConversion"/>
  </si>
  <si>
    <t>SC/PC 청색</t>
    <phoneticPr fontId="2" type="noConversion"/>
  </si>
  <si>
    <t>N94-1-04075</t>
    <phoneticPr fontId="4" type="noConversion"/>
  </si>
  <si>
    <t>SPRING</t>
    <phoneticPr fontId="4" type="noConversion"/>
  </si>
  <si>
    <t>P15-RM-4021</t>
    <phoneticPr fontId="4" type="noConversion"/>
  </si>
  <si>
    <t>DUST CAP(PC)</t>
  </si>
  <si>
    <t>P14-RM-4211</t>
    <phoneticPr fontId="4" type="noConversion"/>
  </si>
  <si>
    <t>OJC SC STOPPER (OJC, A-TYPE)</t>
  </si>
  <si>
    <t>P14-RM-4243</t>
    <phoneticPr fontId="4" type="noConversion"/>
  </si>
  <si>
    <t>SC PLUG FRAME (OJC,FSOC)</t>
  </si>
  <si>
    <t>OJC SC BOOT (2.0 BLUE)</t>
  </si>
  <si>
    <t>SC/PC 적색</t>
    <phoneticPr fontId="2" type="noConversion"/>
  </si>
  <si>
    <t>P15-FJ-4011</t>
    <phoneticPr fontId="4" type="noConversion"/>
  </si>
  <si>
    <t>SOC CONNECTOR HOUSING (PC)</t>
    <phoneticPr fontId="4" type="noConversion"/>
  </si>
  <si>
    <t>P15-RM-4021</t>
    <phoneticPr fontId="4" type="noConversion"/>
  </si>
  <si>
    <t>DUST CAP(PC)</t>
    <phoneticPr fontId="4" type="noConversion"/>
  </si>
  <si>
    <t>P14-RM-4211</t>
    <phoneticPr fontId="4" type="noConversion"/>
  </si>
  <si>
    <t>OJC SC STOPPER (OJC, A-TYPE)</t>
    <phoneticPr fontId="4" type="noConversion"/>
  </si>
  <si>
    <t>P14-RM-4243</t>
    <phoneticPr fontId="4" type="noConversion"/>
  </si>
  <si>
    <t>SC PLUG FRAME (OJC,FSOC)</t>
    <phoneticPr fontId="4" type="noConversion"/>
  </si>
  <si>
    <t>P14-RM-4048F</t>
    <phoneticPr fontId="4" type="noConversion"/>
  </si>
  <si>
    <t>OJC SC BOOT (2.0 RED)</t>
    <phoneticPr fontId="4" type="noConversion"/>
  </si>
  <si>
    <t>N94-1-04075</t>
    <phoneticPr fontId="4" type="noConversion"/>
  </si>
  <si>
    <t>SPRING</t>
    <phoneticPr fontId="4" type="noConversion"/>
  </si>
  <si>
    <t>P15-FJ-4015</t>
    <phoneticPr fontId="4" type="noConversion"/>
  </si>
  <si>
    <t>SOC CONNECTOR HOUSING (APC,AJW)</t>
    <phoneticPr fontId="4" type="noConversion"/>
  </si>
  <si>
    <t>P15-RM-4021</t>
    <phoneticPr fontId="4" type="noConversion"/>
  </si>
  <si>
    <t>P14-RM-4243</t>
    <phoneticPr fontId="4" type="noConversion"/>
  </si>
  <si>
    <t>P14-RM-4047F</t>
    <phoneticPr fontId="4" type="noConversion"/>
  </si>
  <si>
    <t>OJC SC/APC BOOT (2.0 GREEN)</t>
    <phoneticPr fontId="4" type="noConversion"/>
  </si>
  <si>
    <t>SPRING</t>
    <phoneticPr fontId="4" type="noConversion"/>
  </si>
  <si>
    <t>P15-FJ-4015</t>
    <phoneticPr fontId="4" type="noConversion"/>
  </si>
  <si>
    <t>SOC CONNECTOR HOUSING (APC,AJW)</t>
    <phoneticPr fontId="4" type="noConversion"/>
  </si>
  <si>
    <t>P15-RM-4021</t>
    <phoneticPr fontId="4" type="noConversion"/>
  </si>
  <si>
    <t>DUST CAP(PC)</t>
    <phoneticPr fontId="4" type="noConversion"/>
  </si>
  <si>
    <t>P14-RM-4211</t>
    <phoneticPr fontId="4" type="noConversion"/>
  </si>
  <si>
    <t>P14-RM-4243</t>
    <phoneticPr fontId="4" type="noConversion"/>
  </si>
  <si>
    <t>SC PLUG FRAME (OJC,FSOC)</t>
    <phoneticPr fontId="4" type="noConversion"/>
  </si>
  <si>
    <t>P14-RM-4048F</t>
    <phoneticPr fontId="4" type="noConversion"/>
  </si>
  <si>
    <t>OJC SC BOOT (2.0 RED)</t>
    <phoneticPr fontId="4" type="noConversion"/>
  </si>
  <si>
    <t>P15-FJ-4011</t>
    <phoneticPr fontId="4" type="noConversion"/>
  </si>
  <si>
    <t>SOC CONNECTOR HOUSING (PC)</t>
    <phoneticPr fontId="4" type="noConversion"/>
  </si>
  <si>
    <t>부트 적색만 LC/PC 공용사용</t>
    <phoneticPr fontId="2" type="noConversion"/>
  </si>
  <si>
    <t>P14-FS-4229</t>
    <phoneticPr fontId="4" type="noConversion"/>
  </si>
  <si>
    <t>OJC HOUSING KIT (OJC FC/PC 2.0 BLACK)</t>
  </si>
  <si>
    <t>P14-FS-422G</t>
    <phoneticPr fontId="4" type="noConversion"/>
  </si>
  <si>
    <t>OJC HOUSING KIT (OJC FC/PC,APC 2.0 RED)</t>
  </si>
  <si>
    <t>P14-FS-4227</t>
    <phoneticPr fontId="4" type="noConversion"/>
  </si>
  <si>
    <t>OJC HOUSING KIT (OJC FC/APC 2.0 GREEN)</t>
  </si>
  <si>
    <t>P14-FS-422G</t>
    <phoneticPr fontId="4" type="noConversion"/>
  </si>
  <si>
    <t>P14-LM-4226</t>
  </si>
  <si>
    <t>OJC HOUSING KIT (OJC LC/PC-MM 2.0 BEIGE)</t>
    <phoneticPr fontId="2" type="noConversion"/>
  </si>
  <si>
    <t>3.0mm</t>
    <phoneticPr fontId="2" type="noConversion"/>
  </si>
  <si>
    <t>P14-LS-422Q</t>
    <phoneticPr fontId="4" type="noConversion"/>
  </si>
  <si>
    <t>OJC HOUSING KIT (OJC LC/PC 3.0 BLUE) , 숏</t>
    <phoneticPr fontId="4" type="noConversion"/>
  </si>
  <si>
    <t>LC/PC 청색</t>
    <phoneticPr fontId="2" type="noConversion"/>
  </si>
  <si>
    <t>LC/PC 적색</t>
    <phoneticPr fontId="2" type="noConversion"/>
  </si>
  <si>
    <t>P14-LS-422R</t>
  </si>
  <si>
    <t>OJC HOUSING KIT (OJC LC/PC 3.0 RED) , 숏</t>
    <phoneticPr fontId="4" type="noConversion"/>
  </si>
  <si>
    <t>P14-LS-422T</t>
    <phoneticPr fontId="4" type="noConversion"/>
  </si>
  <si>
    <t>OJC HOUSING KIT (OJC LC/APC 3.0 GREEN)</t>
    <phoneticPr fontId="4" type="noConversion"/>
  </si>
  <si>
    <t>LC/APC 녹색</t>
    <phoneticPr fontId="2" type="noConversion"/>
  </si>
  <si>
    <t>P14-LS-422S</t>
    <phoneticPr fontId="4" type="noConversion"/>
  </si>
  <si>
    <t>OJC HOUSING KIT (OJC LC/APC 3.0 RED)</t>
    <phoneticPr fontId="4" type="noConversion"/>
  </si>
  <si>
    <t>LC/APC 적색</t>
    <phoneticPr fontId="2" type="noConversion"/>
  </si>
  <si>
    <t>P14-SS-422I</t>
    <phoneticPr fontId="4" type="noConversion"/>
  </si>
  <si>
    <t>OJC HOUSING KIT (OJC SC/PC 3.0 BLUE)</t>
  </si>
  <si>
    <t>SC/PC 청색</t>
    <phoneticPr fontId="2" type="noConversion"/>
  </si>
  <si>
    <t>SC/PC 적색</t>
    <phoneticPr fontId="2" type="noConversion"/>
  </si>
  <si>
    <t>P14-SS-422N</t>
    <phoneticPr fontId="4" type="noConversion"/>
  </si>
  <si>
    <t>OJC HOUSING KIT (OJC SC/PC 3.0 RED)</t>
    <phoneticPr fontId="4" type="noConversion"/>
  </si>
  <si>
    <t>P14-SS-422H</t>
    <phoneticPr fontId="4" type="noConversion"/>
  </si>
  <si>
    <t>OJC HOUSING KIT (OJC SC/APC 3.0 GREEN)</t>
    <phoneticPr fontId="2" type="noConversion"/>
  </si>
  <si>
    <t>SC/APC 적색</t>
    <phoneticPr fontId="2" type="noConversion"/>
  </si>
  <si>
    <t>SC/APC 녹색</t>
    <phoneticPr fontId="2" type="noConversion"/>
  </si>
  <si>
    <t>P14-SS-422L</t>
    <phoneticPr fontId="4" type="noConversion"/>
  </si>
  <si>
    <t>OJC HOUSING KIT (OJC SC/APC 3.0 RED)</t>
    <phoneticPr fontId="4" type="noConversion"/>
  </si>
  <si>
    <t>P14-FS-422M</t>
    <phoneticPr fontId="4" type="noConversion"/>
  </si>
  <si>
    <t>OJC HOUSING KIT (OJC FC/PC 3.0 BLACK)</t>
    <phoneticPr fontId="4" type="noConversion"/>
  </si>
  <si>
    <t>FC/PC 흑색</t>
    <phoneticPr fontId="2" type="noConversion"/>
  </si>
  <si>
    <t>FC/PC 적색</t>
    <phoneticPr fontId="2" type="noConversion"/>
  </si>
  <si>
    <t>P14-FS-422N</t>
    <phoneticPr fontId="4" type="noConversion"/>
  </si>
  <si>
    <t>OJC HOUSING KIT (OJC FC/PC 3.0 RED)</t>
    <phoneticPr fontId="4" type="noConversion"/>
  </si>
  <si>
    <t>P14-FS-422H</t>
    <phoneticPr fontId="4" type="noConversion"/>
  </si>
  <si>
    <t>OJC HOUSING KIT (OJC FC/APC 3.0 GREEN)</t>
  </si>
  <si>
    <t>FC/APC 녹색</t>
    <phoneticPr fontId="2" type="noConversion"/>
  </si>
  <si>
    <t>FC/APC 적색</t>
    <phoneticPr fontId="2" type="noConversion"/>
  </si>
  <si>
    <t>적색 부트만 FC/PC 혼용</t>
    <phoneticPr fontId="2" type="noConversion"/>
  </si>
  <si>
    <t>0.9mm</t>
    <phoneticPr fontId="2" type="noConversion"/>
  </si>
  <si>
    <t>P14-LS-422K</t>
    <phoneticPr fontId="4" type="noConversion"/>
  </si>
  <si>
    <t>OJC HOUSING KIT (OJC LC/PC 0.9 WHITE)</t>
    <phoneticPr fontId="4" type="noConversion"/>
  </si>
  <si>
    <t>P14-LS-4222</t>
  </si>
  <si>
    <t>OJC HOUSING KIT (OJC LC/PC 0.9 BLUE)</t>
  </si>
  <si>
    <t>P14-LM-4223</t>
  </si>
  <si>
    <t>OJC HOUSING KIT (OJC LC/PC-MM 0.9 BEIGE)</t>
  </si>
  <si>
    <t>P14-FS-422J</t>
  </si>
  <si>
    <t>OJC HOUSING KIT(OJC FC/PC 0.9 BLACK)</t>
  </si>
  <si>
    <t>P14-LS-4221</t>
    <phoneticPr fontId="4" type="noConversion"/>
  </si>
  <si>
    <t>OJC HOUSING KIT(OJC LC/APC 0.9 GREEN)</t>
    <phoneticPr fontId="4" type="noConversion"/>
  </si>
  <si>
    <t>P14-FS-4221</t>
  </si>
  <si>
    <t>OJC HOUSING KIT(OJC FC/APC 0.9 GREEN)</t>
  </si>
  <si>
    <t>P14-RM-4043</t>
    <phoneticPr fontId="4" type="noConversion"/>
  </si>
  <si>
    <t>OJC SC/PC BOOT (0.9 BLUE)</t>
    <phoneticPr fontId="4" type="noConversion"/>
  </si>
  <si>
    <t>P14-RM-4045</t>
    <phoneticPr fontId="4" type="noConversion"/>
  </si>
  <si>
    <t>OJC SC/APC BOOT (0.9 GREEN)</t>
    <phoneticPr fontId="4" type="noConversion"/>
  </si>
  <si>
    <t>LC/APC 녹색</t>
    <phoneticPr fontId="2" type="noConversion"/>
  </si>
  <si>
    <t>LC/PC 청색</t>
    <phoneticPr fontId="2" type="noConversion"/>
  </si>
  <si>
    <t>SC/PC 청색</t>
    <phoneticPr fontId="2" type="noConversion"/>
  </si>
  <si>
    <t>SC/APC 녹색</t>
    <phoneticPr fontId="2" type="noConversion"/>
  </si>
  <si>
    <t>LC/PC 백색</t>
    <phoneticPr fontId="2" type="noConversion"/>
  </si>
  <si>
    <t>LC/PC 베이지</t>
    <phoneticPr fontId="2" type="noConversion"/>
  </si>
  <si>
    <t xml:space="preserve">FC/PC 흑색 </t>
    <phoneticPr fontId="2" type="noConversion"/>
  </si>
  <si>
    <t>FC/APC 녹색</t>
    <phoneticPr fontId="2" type="noConversion"/>
  </si>
  <si>
    <t>SC/PC 청색</t>
    <phoneticPr fontId="2" type="noConversion"/>
  </si>
  <si>
    <t>P14-TS-4228</t>
  </si>
  <si>
    <t>ST/PC 청색</t>
    <phoneticPr fontId="2" type="noConversion"/>
  </si>
  <si>
    <t>SC/APC 녹색</t>
  </si>
  <si>
    <t>SC/APC 적색</t>
  </si>
  <si>
    <t>FC/PC 흑색</t>
  </si>
  <si>
    <t>FC/PC 적색</t>
  </si>
  <si>
    <t>FC/APC 녹색</t>
  </si>
  <si>
    <t>FC/APC 적색</t>
  </si>
  <si>
    <t>LC/PC 베이지MM</t>
  </si>
  <si>
    <t>OJC HOUSING KIT (OJC ST/PC 2.0 BLUE)</t>
    <phoneticPr fontId="4" type="noConversion"/>
  </si>
  <si>
    <t>N90-29-1315</t>
    <phoneticPr fontId="4" type="noConversion"/>
  </si>
  <si>
    <t>N90-29-1323</t>
    <phoneticPr fontId="4" type="noConversion"/>
  </si>
  <si>
    <t>N90-29-1213</t>
    <phoneticPr fontId="4" type="noConversion"/>
  </si>
  <si>
    <t>FERRULE (W/ FLANGE,SC/PC TYPE)</t>
    <phoneticPr fontId="4" type="noConversion"/>
  </si>
  <si>
    <t>FERRULE (W/ FLANGE,SC/APC TYPE)</t>
    <phoneticPr fontId="4" type="noConversion"/>
  </si>
  <si>
    <t>FERRULE (W/ FLANGE,LC/PC TYPE)</t>
    <phoneticPr fontId="4" type="noConversion"/>
  </si>
  <si>
    <t>P14-RM-4046F</t>
  </si>
  <si>
    <t>공용</t>
    <phoneticPr fontId="4" type="noConversion"/>
  </si>
  <si>
    <t>공용</t>
    <phoneticPr fontId="4" type="noConversion"/>
  </si>
  <si>
    <t>공용</t>
    <phoneticPr fontId="4" type="noConversion"/>
  </si>
  <si>
    <t>기발주 수량</t>
  </si>
  <si>
    <t>기발주 수량</t>
    <phoneticPr fontId="4" type="noConversion"/>
  </si>
  <si>
    <t>30일</t>
  </si>
  <si>
    <t>7일</t>
  </si>
  <si>
    <t>7일</t>
    <phoneticPr fontId="4" type="noConversion"/>
  </si>
  <si>
    <t>재고 보유시</t>
    <phoneticPr fontId="4" type="noConversion"/>
  </si>
  <si>
    <t>60일</t>
  </si>
  <si>
    <t>30일</t>
    <phoneticPr fontId="4" type="noConversion"/>
  </si>
  <si>
    <t>40일</t>
  </si>
  <si>
    <t>40일</t>
    <phoneticPr fontId="4" type="noConversion"/>
  </si>
  <si>
    <t>30일</t>
    <phoneticPr fontId="4" type="noConversion"/>
  </si>
  <si>
    <t>30일</t>
    <phoneticPr fontId="4" type="noConversion"/>
  </si>
  <si>
    <t>60일</t>
    <phoneticPr fontId="4" type="noConversion"/>
  </si>
  <si>
    <t>30일</t>
    <phoneticPr fontId="4" type="noConversion"/>
  </si>
  <si>
    <t>60일</t>
    <phoneticPr fontId="4" type="noConversion"/>
  </si>
  <si>
    <t>60일</t>
    <phoneticPr fontId="4" type="noConversion"/>
  </si>
  <si>
    <t>60일</t>
    <phoneticPr fontId="4" type="noConversion"/>
  </si>
  <si>
    <t>23년 연간 사용량</t>
    <phoneticPr fontId="2" type="noConversion"/>
  </si>
  <si>
    <t>23년 연간 피크 사용량</t>
    <phoneticPr fontId="2" type="noConversion"/>
  </si>
  <si>
    <t>24년 연간 사용량</t>
    <phoneticPr fontId="2" type="noConversion"/>
  </si>
  <si>
    <t>24년 연간 피크 사용량</t>
    <phoneticPr fontId="2" type="noConversion"/>
  </si>
  <si>
    <t>25년 연간 사용량</t>
    <phoneticPr fontId="2" type="noConversion"/>
  </si>
  <si>
    <t>25년 연간 피크 사용량</t>
    <phoneticPr fontId="2" type="noConversion"/>
  </si>
  <si>
    <t>N90-29-1213</t>
  </si>
  <si>
    <t>N90-29-1315</t>
  </si>
  <si>
    <t>N90-29-1323</t>
  </si>
  <si>
    <t>N94-1-04075</t>
  </si>
  <si>
    <t>P14-FS-4227</t>
  </si>
  <si>
    <t>P14-FS-4229</t>
  </si>
  <si>
    <t>P14-FS-422G</t>
  </si>
  <si>
    <t>P14-FS-422H</t>
  </si>
  <si>
    <t>P14-FS-422M</t>
  </si>
  <si>
    <t>P14-FS-422N</t>
  </si>
  <si>
    <t>P14-LS-4221</t>
  </si>
  <si>
    <t>P14-LS-4224</t>
  </si>
  <si>
    <t>P14-LS-4228</t>
  </si>
  <si>
    <t>P14-LS-422A</t>
  </si>
  <si>
    <t>P14-LS-422K</t>
  </si>
  <si>
    <t>P14-LS-422Q</t>
  </si>
  <si>
    <t>P14-LS-422S</t>
  </si>
  <si>
    <t>P14-LS-422T</t>
  </si>
  <si>
    <t>P14-RM-4043</t>
  </si>
  <si>
    <t>P14-RM-4045</t>
  </si>
  <si>
    <t>P14-RM-4047F</t>
  </si>
  <si>
    <t>P14-RM-4048F</t>
  </si>
  <si>
    <t>P14-RM-4211</t>
  </si>
  <si>
    <t>P14-RM-4243</t>
  </si>
  <si>
    <t>P14-SS-422H</t>
  </si>
  <si>
    <t>P14-SS-422I</t>
  </si>
  <si>
    <t>P14-SS-422L</t>
  </si>
  <si>
    <t>P14-SS-422N</t>
  </si>
  <si>
    <t>P15-FJ-4011</t>
  </si>
  <si>
    <t>P15-FJ-4015</t>
  </si>
  <si>
    <t>P15-RM-4021</t>
  </si>
  <si>
    <t>FERRULE (W/ FLANGE,LC/PC TYPE)</t>
  </si>
  <si>
    <t>FERRULE (W/ FLANGE,SC/PC TYPE)</t>
  </si>
  <si>
    <t>FERRULE (W/ FLANGE,SC/APC TYPE)</t>
  </si>
  <si>
    <t>SPRING</t>
  </si>
  <si>
    <t>OJC HOUSING KIT (OJC FC/PC 3.0 BLACK)</t>
  </si>
  <si>
    <t>OJC HOUSING KIT (OJC FC/PC 3.0 RED)</t>
  </si>
  <si>
    <t>OJC HOUSING KIT (OJC LC/PC-MM 2.0 BEIGE)</t>
  </si>
  <si>
    <t>OJC HOUSING KIT(OJC LC/APC 0.9 GREEN)</t>
  </si>
  <si>
    <t>OJC HOUSING KIT (OJC LC/APC 2.0 GREEN)</t>
  </si>
  <si>
    <t>OJC HOUSING KIT (OJC LC/PC 2.0 BLUE)</t>
  </si>
  <si>
    <t>OJC HOUSING KIT (OJC LC/PC 2.0 RED)</t>
  </si>
  <si>
    <t>OJC HOUSING KIT (OJC LC/PC 0.9 WHITE)</t>
  </si>
  <si>
    <t>OJC HOUSING KIT (OJC LC/PC 3.0 BLUE) , 숏</t>
  </si>
  <si>
    <t>OJC HOUSING KIT (OJC LC/PC 3.0 RED) , 숏</t>
  </si>
  <si>
    <t>OJC HOUSING KIT (OJC LC/APC 3.0 RED)</t>
  </si>
  <si>
    <t>OJC HOUSING KIT (OJC LC/APC 3.0 GREEN)</t>
  </si>
  <si>
    <t>OJC SC/PC BOOT (0.9 BLUE)</t>
  </si>
  <si>
    <t>OJC SC/APC BOOT (0.9 GREEN)</t>
  </si>
  <si>
    <t>OJC SC/APC BOOT (2.0 GREEN)</t>
  </si>
  <si>
    <t>OJC SC BOOT (2.0 RED)</t>
  </si>
  <si>
    <t>OJC HOUSING KIT (OJC SC/APC 3.0 GREEN)</t>
  </si>
  <si>
    <t>OJC HOUSING KIT (OJC SC/APC 3.0 RED)</t>
  </si>
  <si>
    <t>OJC HOUSING KIT (OJC SC/PC 3.0 RED)</t>
  </si>
  <si>
    <t>OJC HOUSING KIT (OJC ST/PC 2.0 BLUE)</t>
  </si>
  <si>
    <t>SOC CONNECTOR HOUSING (PC)</t>
  </si>
  <si>
    <t>SOC CONNECTOR HOUSING (APC,AJW)</t>
  </si>
  <si>
    <t>CCTC</t>
  </si>
  <si>
    <t>상영스프링</t>
  </si>
  <si>
    <t>FIBERCAN</t>
  </si>
  <si>
    <t>FLC</t>
  </si>
  <si>
    <t>이룸</t>
  </si>
  <si>
    <t>품번</t>
  </si>
  <si>
    <t>품명</t>
  </si>
  <si>
    <t>구매처</t>
  </si>
  <si>
    <t>리드타임</t>
  </si>
  <si>
    <t>P15-FJ-4012</t>
  </si>
  <si>
    <t>구형 재고 85,000</t>
    <phoneticPr fontId="4" type="noConversion"/>
  </si>
  <si>
    <t>현 재고</t>
  </si>
  <si>
    <t>2023년 연간 사용량</t>
  </si>
  <si>
    <t>2025년 연간 사용량</t>
  </si>
  <si>
    <t>2023년 피크 사용량</t>
  </si>
  <si>
    <t>2024년 피크 사용량</t>
  </si>
  <si>
    <t>25년 피크 사용량</t>
  </si>
  <si>
    <t>2024년 연간 사용량</t>
  </si>
  <si>
    <t>7일</t>
    <phoneticPr fontId="16" type="noConversion"/>
  </si>
  <si>
    <t>이룸</t>
    <phoneticPr fontId="16" type="noConversion"/>
  </si>
  <si>
    <t>OJC HOUSING KIT (OJC ST/PC 2.0 BLUE)</t>
    <phoneticPr fontId="2" type="noConversion"/>
  </si>
  <si>
    <t>P14-TS-4228</t>
    <phoneticPr fontId="2" type="noConversion"/>
  </si>
  <si>
    <t>30일</t>
    <phoneticPr fontId="16" type="noConversion"/>
  </si>
  <si>
    <t>웰텍</t>
    <phoneticPr fontId="16" type="noConversion"/>
  </si>
  <si>
    <t>SC PLUG FRAME (OJC,FSOC)</t>
    <phoneticPr fontId="2" type="noConversion"/>
  </si>
  <si>
    <t>P14-RM-4243</t>
    <phoneticPr fontId="2" type="noConversion"/>
  </si>
  <si>
    <t>OJC SC STOPPER (OJC, A-TYPE)</t>
    <phoneticPr fontId="2" type="noConversion"/>
  </si>
  <si>
    <t>P14-RM-4211</t>
    <phoneticPr fontId="2" type="noConversion"/>
  </si>
  <si>
    <t>상영스프링</t>
    <phoneticPr fontId="16" type="noConversion"/>
  </si>
  <si>
    <t>SPRING</t>
    <phoneticPr fontId="2" type="noConversion"/>
  </si>
  <si>
    <t>N94-1-04075</t>
    <phoneticPr fontId="2" type="noConversion"/>
  </si>
  <si>
    <t>60일</t>
    <phoneticPr fontId="16" type="noConversion"/>
  </si>
  <si>
    <t>FLC</t>
    <phoneticPr fontId="16" type="noConversion"/>
  </si>
  <si>
    <t>OJC SC BOOT (2.0 RED)</t>
    <phoneticPr fontId="2" type="noConversion"/>
  </si>
  <si>
    <t>P14-RM-4048F</t>
    <phoneticPr fontId="2" type="noConversion"/>
  </si>
  <si>
    <t>OJC SC/APC BOOT (2.0 GREEN)</t>
    <phoneticPr fontId="2" type="noConversion"/>
  </si>
  <si>
    <t>P14-RM-4047F</t>
    <phoneticPr fontId="2" type="noConversion"/>
  </si>
  <si>
    <t>OJC SC BOOT (2.0 BLUE)</t>
    <phoneticPr fontId="2" type="noConversion"/>
  </si>
  <si>
    <t>P14-RM-4046F</t>
    <phoneticPr fontId="2" type="noConversion"/>
  </si>
  <si>
    <t>FIBERCAN</t>
    <phoneticPr fontId="16" type="noConversion"/>
  </si>
  <si>
    <t>DUST CAP(PC)</t>
    <phoneticPr fontId="2" type="noConversion"/>
  </si>
  <si>
    <t>P15-RM-4021</t>
    <phoneticPr fontId="2" type="noConversion"/>
  </si>
  <si>
    <t>CONNECTOR HOUSING (APC,AJW) (구형)</t>
  </si>
  <si>
    <t>P15-RM-4015F</t>
  </si>
  <si>
    <t>SOC CONNECTOR HOUSING (APC,AJW)</t>
    <phoneticPr fontId="2" type="noConversion"/>
  </si>
  <si>
    <t>P15-FJ-4015</t>
    <phoneticPr fontId="2" type="noConversion"/>
  </si>
  <si>
    <t>OJC HOUSING KIT (OJC SC/PC 3.0 RED)</t>
    <phoneticPr fontId="2" type="noConversion"/>
  </si>
  <si>
    <t>P14-SS-422N</t>
    <phoneticPr fontId="2" type="noConversion"/>
  </si>
  <si>
    <t>OJC HOUSING KIT (OJC SC/APC 3.0 RED)</t>
    <phoneticPr fontId="2" type="noConversion"/>
  </si>
  <si>
    <t>P14-SS-422L</t>
    <phoneticPr fontId="2" type="noConversion"/>
  </si>
  <si>
    <t>OJC HOUSING KIT (OJC SC/PC 3.0 BLUE)</t>
    <phoneticPr fontId="2" type="noConversion"/>
  </si>
  <si>
    <t>P14-SS-422I</t>
    <phoneticPr fontId="2" type="noConversion"/>
  </si>
  <si>
    <t>OJC HOUSING KIT (OJC SC/APC 3.0 GREEN)</t>
    <phoneticPr fontId="2" type="noConversion"/>
  </si>
  <si>
    <t>P14-SS-422H</t>
    <phoneticPr fontId="2" type="noConversion"/>
  </si>
  <si>
    <t>OJC SC/APC BOOT (0.9 GREEN)</t>
    <phoneticPr fontId="2" type="noConversion"/>
  </si>
  <si>
    <t>P14-RM-4045</t>
    <phoneticPr fontId="2" type="noConversion"/>
  </si>
  <si>
    <t>OJC SC/PC BOOT (0.9 BLUE)</t>
    <phoneticPr fontId="2" type="noConversion"/>
  </si>
  <si>
    <t>P14-RM-4043</t>
    <phoneticPr fontId="2" type="noConversion"/>
  </si>
  <si>
    <t>OJC HOUSING KIT (OJC LC/APC 3.0 GREEN)</t>
    <phoneticPr fontId="2" type="noConversion"/>
  </si>
  <si>
    <t>P14-LS-422T</t>
    <phoneticPr fontId="2" type="noConversion"/>
  </si>
  <si>
    <t>OJC HOUSING KIT (OJC LC/APC 3.0 RED)</t>
    <phoneticPr fontId="2" type="noConversion"/>
  </si>
  <si>
    <t>P14-LS-422S</t>
    <phoneticPr fontId="2" type="noConversion"/>
  </si>
  <si>
    <t>OJC HOUSING KIT (OJC LC/PC 3.0 RED) , 숏</t>
    <phoneticPr fontId="2" type="noConversion"/>
  </si>
  <si>
    <t>P14-LS-422R</t>
    <phoneticPr fontId="2" type="noConversion"/>
  </si>
  <si>
    <t>OJC HOUSING KIT (OJC LC/PC 3.0 BLUE) , 숏</t>
    <phoneticPr fontId="2" type="noConversion"/>
  </si>
  <si>
    <t>P14-LS-422Q</t>
    <phoneticPr fontId="2" type="noConversion"/>
  </si>
  <si>
    <t>OJC HOUSING KIT (OJC LC/PC 0.9 WHITE)</t>
    <phoneticPr fontId="2" type="noConversion"/>
  </si>
  <si>
    <t>P14-LS-422K</t>
    <phoneticPr fontId="2" type="noConversion"/>
  </si>
  <si>
    <t>OJC HOUSING KIT (OJC LC/PC 2.0 RED)</t>
    <phoneticPr fontId="2" type="noConversion"/>
  </si>
  <si>
    <t>P14-LS-422A</t>
    <phoneticPr fontId="2" type="noConversion"/>
  </si>
  <si>
    <t>OJC HOUSING KIT (OJC LC/PC 2.0 BLUE)</t>
    <phoneticPr fontId="2" type="noConversion"/>
  </si>
  <si>
    <t>P14-LS-4228</t>
    <phoneticPr fontId="2" type="noConversion"/>
  </si>
  <si>
    <t>OJC HOUSING KIT (OJC LC/APC 2.0 GREEN)</t>
    <phoneticPr fontId="2" type="noConversion"/>
  </si>
  <si>
    <t>P14-LS-4224</t>
    <phoneticPr fontId="2" type="noConversion"/>
  </si>
  <si>
    <t>OJC HOUSING KIT (OJC LC/PC 0.9 BLUE)</t>
    <phoneticPr fontId="2" type="noConversion"/>
  </si>
  <si>
    <t>P14-LS-4222</t>
    <phoneticPr fontId="2" type="noConversion"/>
  </si>
  <si>
    <t>OJC HOUSING KIT(OJC LC/APC 0.9 GREEN)</t>
    <phoneticPr fontId="2" type="noConversion"/>
  </si>
  <si>
    <t>P14-LS-4221</t>
    <phoneticPr fontId="2" type="noConversion"/>
  </si>
  <si>
    <t>OJC HOUSING KIT (OJC LC/PC-MM 2.0 BEIGE)</t>
    <phoneticPr fontId="2" type="noConversion"/>
  </si>
  <si>
    <t>P14-LM-4226</t>
    <phoneticPr fontId="2" type="noConversion"/>
  </si>
  <si>
    <t>OJC HOUSING KIT (OJC LC/PC-MM 0.9 BEIGE)</t>
    <phoneticPr fontId="2" type="noConversion"/>
  </si>
  <si>
    <t>P14-LM-4223</t>
    <phoneticPr fontId="2" type="noConversion"/>
  </si>
  <si>
    <t>OJC HOUSING KIT (OJC FC/PC 3.0 RED)</t>
    <phoneticPr fontId="2" type="noConversion"/>
  </si>
  <si>
    <t>P14-FS-422N</t>
    <phoneticPr fontId="2" type="noConversion"/>
  </si>
  <si>
    <t>OJC HOUSING KIT (OJC FC/PC 3.0 BLACK)</t>
    <phoneticPr fontId="2" type="noConversion"/>
  </si>
  <si>
    <t>P14-FS-422M</t>
    <phoneticPr fontId="2" type="noConversion"/>
  </si>
  <si>
    <t>OJC HOUSING KIT(OJC FC/PC 0.9 BLACK)</t>
    <phoneticPr fontId="2" type="noConversion"/>
  </si>
  <si>
    <t>P14-FS-422J</t>
    <phoneticPr fontId="2" type="noConversion"/>
  </si>
  <si>
    <t>OJC HOUSING KIT (OJC FC/APC 3.0 GREEN)</t>
    <phoneticPr fontId="2" type="noConversion"/>
  </si>
  <si>
    <t>P14-FS-422H</t>
    <phoneticPr fontId="2" type="noConversion"/>
  </si>
  <si>
    <t>OJC HOUSING KIT (OJC FC/PC,APC 2.0 RED)</t>
    <phoneticPr fontId="2" type="noConversion"/>
  </si>
  <si>
    <t>P14-FS-422G</t>
    <phoneticPr fontId="2" type="noConversion"/>
  </si>
  <si>
    <t>OJC HOUSING KIT (OJC FC/PC 2.0 BLACK)</t>
    <phoneticPr fontId="2" type="noConversion"/>
  </si>
  <si>
    <t>P14-FS-4229</t>
    <phoneticPr fontId="2" type="noConversion"/>
  </si>
  <si>
    <t>OJC HOUSING KIT (OJC FC/APC 2.0 GREEN)</t>
    <phoneticPr fontId="2" type="noConversion"/>
  </si>
  <si>
    <t>P14-FS-4227</t>
    <phoneticPr fontId="2" type="noConversion"/>
  </si>
  <si>
    <t>OJC HOUSING KIT(OJC FC/APC 0.9 GREEN)</t>
    <phoneticPr fontId="2" type="noConversion"/>
  </si>
  <si>
    <t>P14-FS-4221</t>
    <phoneticPr fontId="2" type="noConversion"/>
  </si>
  <si>
    <t>40일</t>
    <phoneticPr fontId="16" type="noConversion"/>
  </si>
  <si>
    <t>CCTC</t>
    <phoneticPr fontId="16" type="noConversion"/>
  </si>
  <si>
    <t>FERRULE (W/ FLANGE,SC/APC TYPE)</t>
    <phoneticPr fontId="2" type="noConversion"/>
  </si>
  <si>
    <t>N90-29-1323</t>
    <phoneticPr fontId="2" type="noConversion"/>
  </si>
  <si>
    <t>FERRULE (W/ FLANGE,SC/PC TYPE)</t>
    <phoneticPr fontId="2" type="noConversion"/>
  </si>
  <si>
    <t>N90-29-1315</t>
    <phoneticPr fontId="2" type="noConversion"/>
  </si>
  <si>
    <t>FERRULE (W/ FLANGE,LC/PC TYPE)</t>
    <phoneticPr fontId="2" type="noConversion"/>
  </si>
  <si>
    <t>N90-29-1213</t>
    <phoneticPr fontId="2" type="noConversion"/>
  </si>
  <si>
    <t xml:space="preserve">25년 피크 </t>
    <phoneticPr fontId="2" type="noConversion"/>
  </si>
  <si>
    <t>발주 수량</t>
    <phoneticPr fontId="2" type="noConversion"/>
  </si>
  <si>
    <t>2023년 ~ 2025년 간 생산자재 하우징 사용 내역</t>
    <phoneticPr fontId="2" type="noConversion"/>
  </si>
  <si>
    <t xml:space="preserve">23년 연간 </t>
    <phoneticPr fontId="2" type="noConversion"/>
  </si>
  <si>
    <t xml:space="preserve">23년 피크 </t>
    <phoneticPr fontId="2" type="noConversion"/>
  </si>
  <si>
    <t xml:space="preserve">24년 연간 </t>
    <phoneticPr fontId="2" type="noConversion"/>
  </si>
  <si>
    <t xml:space="preserve">24년 피크 </t>
    <phoneticPr fontId="2" type="noConversion"/>
  </si>
  <si>
    <t xml:space="preserve">25년 연간 </t>
    <phoneticPr fontId="2" type="noConversion"/>
  </si>
  <si>
    <t>SOC CONNECTOR HOUSING (PC,AJW)</t>
  </si>
  <si>
    <t>P15-RM-4012</t>
    <phoneticPr fontId="2" type="noConversion"/>
  </si>
  <si>
    <t>CONNECTOR HOUSING (PC,AJW) (구형)</t>
    <phoneticPr fontId="2" type="noConversion"/>
  </si>
  <si>
    <t>위드웨이브</t>
  </si>
  <si>
    <t>P14-RM-418BR</t>
  </si>
  <si>
    <t>OPTICAL CABLE 2.0mm DP-MM(OM3) (AQUA,연청)</t>
  </si>
  <si>
    <t>평균</t>
    <phoneticPr fontId="2" type="noConversion"/>
  </si>
  <si>
    <t>피크</t>
    <phoneticPr fontId="2" type="noConversion"/>
  </si>
  <si>
    <t xml:space="preserve">실 출고일과 </t>
    <phoneticPr fontId="17" type="noConversion"/>
  </si>
  <si>
    <t>연간'</t>
    <phoneticPr fontId="2" type="noConversion"/>
  </si>
  <si>
    <t>피크</t>
    <phoneticPr fontId="2" type="noConversion"/>
  </si>
  <si>
    <t>합계 : 23년 연간 사용량</t>
  </si>
  <si>
    <t>합계 : 23년 연간 피크 사용량</t>
  </si>
  <si>
    <t>합계 : 24년 연간 사용량</t>
  </si>
  <si>
    <t>합계 : 24년 연간 피크 사용량</t>
  </si>
  <si>
    <t>합계 : 25년 연간 사용량</t>
  </si>
  <si>
    <t>합계 : 25년 연간 피크 사용량</t>
  </si>
  <si>
    <t>3년 평균 사용량</t>
  </si>
  <si>
    <t>3년 평균 사용량</t>
    <phoneticPr fontId="2" type="noConversion"/>
  </si>
  <si>
    <t>3년 피크 사용량</t>
  </si>
  <si>
    <t>3년 피크 사용량</t>
    <phoneticPr fontId="2" type="noConversion"/>
  </si>
  <si>
    <t>P14-LS-422C</t>
    <phoneticPr fontId="2" type="noConversion"/>
  </si>
  <si>
    <t>OJC HOUSING KIT DP (OJC LC/PC 2.0 BLUE, Clip Type)</t>
    <phoneticPr fontId="2" type="noConversion"/>
  </si>
  <si>
    <t>P14-LS-422D</t>
    <phoneticPr fontId="2" type="noConversion"/>
  </si>
  <si>
    <t>OJC HOUSING KIT DP (OJC LC/PC 2.0 RED, Clip Type)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</si>
</sst>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#,##0_ "/>
  </numFmts>
  <fonts count="18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15"/>
      <color theme="1"/>
      <name val="나눔고딕"/>
      <family val="3"/>
      <charset val="129"/>
    </font>
    <font>
      <sz val="15"/>
      <name val="나눔고딕"/>
      <family val="3"/>
      <charset val="129"/>
    </font>
    <font>
      <sz val="15"/>
      <color rgb="FF000000"/>
      <name val="나눔고딕"/>
      <family val="3"/>
      <charset val="129"/>
    </font>
    <font>
      <sz val="25"/>
      <color theme="1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10"/>
      <name val="나눔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name val="나눔고딕"/>
      <family val="3"/>
      <charset val="129"/>
    </font>
    <font>
      <sz val="9"/>
      <color rgb="FF000000"/>
      <name val="나눔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61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41" fontId="0" fillId="0" borderId="0" xfId="1" applyFont="1">
      <alignment vertical="center"/>
    </xf>
    <xf numFmtId="0" fontId="5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176" fontId="6" fillId="2" borderId="1" xfId="2" applyNumberFormat="1" applyFont="1" applyFill="1" applyBorder="1" applyAlignment="1">
      <alignment horizontal="center" vertical="center" wrapText="1"/>
    </xf>
    <xf numFmtId="177" fontId="6" fillId="2" borderId="1" xfId="2" applyNumberFormat="1" applyFont="1" applyFill="1" applyBorder="1" applyAlignment="1">
      <alignment horizontal="center" vertical="center"/>
    </xf>
    <xf numFmtId="176" fontId="6" fillId="2" borderId="1" xfId="2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1" fontId="5" fillId="2" borderId="1" xfId="1" applyFont="1" applyFill="1" applyBorder="1">
      <alignment vertical="center"/>
    </xf>
    <xf numFmtId="41" fontId="5" fillId="0" borderId="1" xfId="1" applyFont="1" applyBorder="1" applyAlignment="1"/>
    <xf numFmtId="0" fontId="5" fillId="3" borderId="1" xfId="0" applyFont="1" applyFill="1" applyBorder="1" applyAlignment="1">
      <alignment horizontal="center" vertical="center"/>
    </xf>
    <xf numFmtId="41" fontId="5" fillId="3" borderId="1" xfId="1" applyFont="1" applyFill="1" applyBorder="1">
      <alignment vertical="center"/>
    </xf>
    <xf numFmtId="41" fontId="5" fillId="3" borderId="1" xfId="1" applyFont="1" applyFill="1" applyBorder="1" applyAlignment="1">
      <alignment horizontal="center" vertical="center"/>
    </xf>
    <xf numFmtId="41" fontId="5" fillId="3" borderId="1" xfId="1" applyFont="1" applyFill="1" applyBorder="1" applyAlignment="1"/>
    <xf numFmtId="176" fontId="6" fillId="3" borderId="1" xfId="2" applyNumberFormat="1" applyFont="1" applyFill="1" applyBorder="1" applyAlignment="1">
      <alignment horizontal="center" vertical="center" wrapText="1"/>
    </xf>
    <xf numFmtId="176" fontId="6" fillId="3" borderId="1" xfId="2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5" fillId="2" borderId="0" xfId="0" applyFont="1" applyFill="1">
      <alignment vertical="center"/>
    </xf>
    <xf numFmtId="41" fontId="5" fillId="2" borderId="1" xfId="1" applyFont="1" applyFill="1" applyBorder="1" applyAlignment="1"/>
    <xf numFmtId="0" fontId="0" fillId="2" borderId="0" xfId="0" applyFill="1">
      <alignment vertical="center"/>
    </xf>
    <xf numFmtId="3" fontId="5" fillId="3" borderId="1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9" fillId="2" borderId="7" xfId="2" applyFont="1" applyFill="1" applyBorder="1" applyAlignment="1">
      <alignment horizontal="center" vertical="center" wrapText="1"/>
    </xf>
    <xf numFmtId="176" fontId="9" fillId="2" borderId="7" xfId="2" applyNumberFormat="1" applyFont="1" applyFill="1" applyBorder="1" applyAlignment="1">
      <alignment horizontal="center" vertical="center"/>
    </xf>
    <xf numFmtId="0" fontId="9" fillId="2" borderId="7" xfId="2" applyFont="1" applyFill="1" applyBorder="1" applyAlignment="1">
      <alignment horizontal="center" vertical="center"/>
    </xf>
    <xf numFmtId="176" fontId="9" fillId="2" borderId="7" xfId="2" applyNumberFormat="1" applyFont="1" applyFill="1" applyBorder="1" applyAlignment="1">
      <alignment horizontal="center" vertical="center" wrapText="1"/>
    </xf>
    <xf numFmtId="0" fontId="5" fillId="2" borderId="3" xfId="0" applyFont="1" applyFill="1" applyBorder="1">
      <alignment vertical="center"/>
    </xf>
    <xf numFmtId="176" fontId="10" fillId="2" borderId="7" xfId="2" applyNumberFormat="1" applyFont="1" applyFill="1" applyBorder="1" applyAlignment="1">
      <alignment horizontal="center" vertical="center"/>
    </xf>
    <xf numFmtId="0" fontId="10" fillId="2" borderId="7" xfId="2" applyFont="1" applyFill="1" applyBorder="1" applyAlignment="1">
      <alignment horizontal="center" vertical="center"/>
    </xf>
    <xf numFmtId="0" fontId="10" fillId="2" borderId="7" xfId="2" applyFont="1" applyFill="1" applyBorder="1" applyAlignment="1">
      <alignment horizontal="center" vertical="center" wrapText="1"/>
    </xf>
    <xf numFmtId="0" fontId="13" fillId="2" borderId="7" xfId="2" applyFont="1" applyFill="1" applyBorder="1" applyAlignment="1">
      <alignment horizontal="center" vertical="center"/>
    </xf>
    <xf numFmtId="176" fontId="13" fillId="2" borderId="7" xfId="2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0" fillId="0" borderId="0" xfId="1" applyNumberFormat="1" applyFont="1">
      <alignment vertical="center"/>
    </xf>
    <xf numFmtId="41" fontId="0" fillId="0" borderId="0" xfId="0" applyNumberFormat="1">
      <alignment vertical="center"/>
    </xf>
    <xf numFmtId="0" fontId="14" fillId="0" borderId="0" xfId="0" applyFont="1" applyAlignment="1">
      <alignment vertical="center" wrapText="1"/>
    </xf>
    <xf numFmtId="41" fontId="5" fillId="0" borderId="5" xfId="1" applyFont="1" applyBorder="1" applyAlignment="1">
      <alignment vertical="center"/>
    </xf>
    <xf numFmtId="41" fontId="5" fillId="0" borderId="6" xfId="1" applyFont="1" applyBorder="1" applyAlignment="1">
      <alignment vertical="center"/>
    </xf>
    <xf numFmtId="41" fontId="5" fillId="2" borderId="3" xfId="1" applyFont="1" applyFill="1" applyBorder="1" applyAlignment="1">
      <alignment vertical="center"/>
    </xf>
    <xf numFmtId="0" fontId="0" fillId="0" borderId="0" xfId="0" pivotButton="1">
      <alignment vertical="center"/>
    </xf>
    <xf numFmtId="0" fontId="1" fillId="0" borderId="0" xfId="3">
      <alignment vertical="center"/>
    </xf>
    <xf numFmtId="41" fontId="0" fillId="0" borderId="0" xfId="4" applyFont="1">
      <alignment vertical="center"/>
    </xf>
    <xf numFmtId="41" fontId="5" fillId="2" borderId="1" xfId="4" applyFont="1" applyFill="1" applyBorder="1" applyAlignment="1">
      <alignment horizontal="center" vertical="center"/>
    </xf>
    <xf numFmtId="41" fontId="5" fillId="2" borderId="1" xfId="5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41" fontId="5" fillId="2" borderId="3" xfId="5" applyFont="1" applyFill="1" applyBorder="1" applyAlignment="1">
      <alignment horizontal="center" vertical="center"/>
    </xf>
    <xf numFmtId="0" fontId="5" fillId="2" borderId="3" xfId="3" applyFont="1" applyFill="1" applyBorder="1" applyAlignment="1">
      <alignment horizontal="center" vertical="center"/>
    </xf>
    <xf numFmtId="41" fontId="5" fillId="2" borderId="2" xfId="5" applyFont="1" applyFill="1" applyBorder="1" applyAlignment="1">
      <alignment horizontal="center" vertical="center"/>
    </xf>
    <xf numFmtId="0" fontId="0" fillId="0" borderId="0" xfId="3" applyFont="1">
      <alignment vertical="center"/>
    </xf>
    <xf numFmtId="41" fontId="1" fillId="0" borderId="0" xfId="3" applyNumberFormat="1">
      <alignment vertical="center"/>
    </xf>
    <xf numFmtId="0" fontId="5" fillId="2" borderId="2" xfId="3" applyFont="1" applyFill="1" applyBorder="1" applyAlignment="1">
      <alignment horizontal="center" vertical="center"/>
    </xf>
    <xf numFmtId="0" fontId="5" fillId="3" borderId="0" xfId="0" applyFont="1" applyFill="1">
      <alignment vertical="center"/>
    </xf>
    <xf numFmtId="41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8" fillId="0" borderId="4" xfId="3" applyFont="1" applyBorder="1" applyAlignment="1">
      <alignment horizontal="center" vertical="center"/>
    </xf>
    <xf numFmtId="0" fontId="5" fillId="2" borderId="3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/>
    </xf>
    <xf numFmtId="41" fontId="5" fillId="2" borderId="3" xfId="5" applyFont="1" applyFill="1" applyBorder="1" applyAlignment="1">
      <alignment horizontal="center" vertical="center"/>
    </xf>
    <xf numFmtId="41" fontId="5" fillId="2" borderId="2" xfId="5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41" fontId="5" fillId="2" borderId="2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6">
    <cellStyle name="쉼표 [0]" xfId="1" builtinId="6"/>
    <cellStyle name="쉼표 [0] 2" xfId="5" xr:uid="{00000000-0005-0000-0000-000001000000}"/>
    <cellStyle name="쉼표 [0] 3" xfId="4" xr:uid="{00000000-0005-0000-0000-000002000000}"/>
    <cellStyle name="표준" xfId="0" builtinId="0"/>
    <cellStyle name="표준 2 2 3" xfId="2" xr:uid="{00000000-0005-0000-0000-000004000000}"/>
    <cellStyle name="표준 3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i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if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i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38101</xdr:rowOff>
    </xdr:from>
    <xdr:to>
      <xdr:col>3</xdr:col>
      <xdr:colOff>981075</xdr:colOff>
      <xdr:row>1</xdr:row>
      <xdr:rowOff>2073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8101"/>
          <a:ext cx="962025" cy="440222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0</xdr:row>
      <xdr:rowOff>38100</xdr:rowOff>
    </xdr:from>
    <xdr:to>
      <xdr:col>14</xdr:col>
      <xdr:colOff>950099</xdr:colOff>
      <xdr:row>0</xdr:row>
      <xdr:rowOff>468033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11975" y="38100"/>
          <a:ext cx="883424" cy="4299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38101</xdr:rowOff>
    </xdr:from>
    <xdr:to>
      <xdr:col>3</xdr:col>
      <xdr:colOff>981075</xdr:colOff>
      <xdr:row>1</xdr:row>
      <xdr:rowOff>2073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8101"/>
          <a:ext cx="962025" cy="440222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1809750</xdr:colOff>
      <xdr:row>0</xdr:row>
      <xdr:rowOff>0</xdr:rowOff>
    </xdr:from>
    <xdr:to>
      <xdr:col>16</xdr:col>
      <xdr:colOff>7124</xdr:colOff>
      <xdr:row>0</xdr:row>
      <xdr:rowOff>429933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78900" y="0"/>
          <a:ext cx="883424" cy="429933"/>
        </a:xfrm>
        <a:prstGeom prst="rect">
          <a:avLst/>
        </a:prstGeom>
      </xdr:spPr>
    </xdr:pic>
    <xdr:clientData/>
  </xdr:twoCellAnchor>
  <xdr:oneCellAnchor>
    <xdr:from>
      <xdr:col>1</xdr:col>
      <xdr:colOff>742950</xdr:colOff>
      <xdr:row>0</xdr:row>
      <xdr:rowOff>152401</xdr:rowOff>
    </xdr:from>
    <xdr:ext cx="962025" cy="440222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300" y="152401"/>
          <a:ext cx="962025" cy="44022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38101</xdr:rowOff>
    </xdr:from>
    <xdr:ext cx="962025" cy="440222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8101"/>
          <a:ext cx="962025" cy="440222"/>
        </a:xfrm>
        <a:prstGeom prst="rect">
          <a:avLst/>
        </a:prstGeom>
      </xdr:spPr>
    </xdr:pic>
    <xdr:clientData/>
  </xdr:oneCellAnchor>
  <xdr:oneCellAnchor>
    <xdr:from>
      <xdr:col>11</xdr:col>
      <xdr:colOff>662668</xdr:colOff>
      <xdr:row>0</xdr:row>
      <xdr:rowOff>27214</xdr:rowOff>
    </xdr:from>
    <xdr:ext cx="883424" cy="429933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6468" y="27214"/>
          <a:ext cx="883424" cy="429933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W" refreshedDate="46113.501450462965" createdVersion="5" refreshedVersion="5" minRefreshableVersion="3" recordCount="68" xr:uid="{00000000-000A-0000-FFFF-FFFF4C010000}">
  <cacheSource type="worksheet">
    <worksheetSource ref="D3:O71" sheet="하우징 사용 내역"/>
  </cacheSource>
  <cacheFields count="12">
    <cacheField name="품번" numFmtId="0">
      <sharedItems count="39">
        <s v="P14-LS-4228"/>
        <s v="P14-LS-422A"/>
        <s v="P14-LS-4224"/>
        <s v="N94-1-04075"/>
        <s v="P15-FJ-4011"/>
        <s v="P15-RM-4021"/>
        <s v="P14-RM-4211"/>
        <s v="P14-RM-4243"/>
        <s v="P14-RM-4046F"/>
        <s v="P14-RM-4048F"/>
        <s v="P15-FJ-4015"/>
        <s v="P14-RM-4047F"/>
        <s v="P14-FS-4229"/>
        <s v="P14-FS-422G"/>
        <s v="P14-FS-4227"/>
        <s v="P14-LM-4226"/>
        <s v="P14-LS-422Q"/>
        <s v="P14-LS-422R"/>
        <s v="P14-LS-422T"/>
        <s v="P14-LS-422S"/>
        <s v="P14-SS-422I"/>
        <s v="P14-SS-422N"/>
        <s v="P14-SS-422H"/>
        <s v="P14-SS-422L"/>
        <s v="P14-FS-422M"/>
        <s v="P14-FS-422N"/>
        <s v="P14-FS-422H"/>
        <s v="P14-LS-422K"/>
        <s v="P14-LS-4222"/>
        <s v="P14-LM-4223"/>
        <s v="P14-FS-422J"/>
        <s v="P14-LS-4221"/>
        <s v="P14-FS-4221"/>
        <s v="P14-RM-4045"/>
        <s v="P14-RM-4043"/>
        <s v="P14-TS-4228"/>
        <s v="N90-29-1315"/>
        <s v="N90-29-1323"/>
        <s v="N90-29-1213"/>
      </sharedItems>
    </cacheField>
    <cacheField name="품명" numFmtId="0">
      <sharedItems count="39">
        <s v="OJC HOUSING KIT (OJC LC/PC 2.0 BLUE)"/>
        <s v="OJC HOUSING KIT (OJC LC/PC 2.0 RED)"/>
        <s v="OJC HOUSING KIT (OJC LC/APC 2.0 GREEN)"/>
        <s v="SPRING"/>
        <s v="SOC CONNECTOR HOUSING (PC)"/>
        <s v="DUST CAP(PC)"/>
        <s v="OJC SC STOPPER (OJC, A-TYPE)"/>
        <s v="SC PLUG FRAME (OJC,FSOC)"/>
        <s v="OJC SC BOOT (2.0 BLUE)"/>
        <s v="OJC SC BOOT (2.0 RED)"/>
        <s v="SOC CONNECTOR HOUSING (APC,AJW)"/>
        <s v="OJC SC/APC BOOT (2.0 GREEN)"/>
        <s v="OJC HOUSING KIT (OJC FC/PC 2.0 BLACK)"/>
        <s v="OJC HOUSING KIT (OJC FC/PC,APC 2.0 RED)"/>
        <s v="OJC HOUSING KIT (OJC FC/APC 2.0 GREEN)"/>
        <s v="OJC HOUSING KIT (OJC LC/PC-MM 2.0 BEIGE)"/>
        <s v="OJC HOUSING KIT (OJC LC/PC 3.0 BLUE) , 숏"/>
        <s v="OJC HOUSING KIT (OJC LC/PC 3.0 RED) , 숏"/>
        <s v="OJC HOUSING KIT (OJC LC/APC 3.0 GREEN)"/>
        <s v="OJC HOUSING KIT (OJC LC/APC 3.0 RED)"/>
        <s v="OJC HOUSING KIT (OJC SC/PC 3.0 BLUE)"/>
        <s v="OJC HOUSING KIT (OJC SC/PC 3.0 RED)"/>
        <s v="OJC HOUSING KIT (OJC SC/APC 3.0 GREEN)"/>
        <s v="OJC HOUSING KIT (OJC SC/APC 3.0 RED)"/>
        <s v="OJC HOUSING KIT (OJC FC/PC 3.0 BLACK)"/>
        <s v="OJC HOUSING KIT (OJC FC/PC 3.0 RED)"/>
        <s v="OJC HOUSING KIT (OJC FC/APC 3.0 GREEN)"/>
        <s v="OJC HOUSING KIT (OJC LC/PC 0.9 WHITE)"/>
        <s v="OJC HOUSING KIT (OJC LC/PC 0.9 BLUE)"/>
        <s v="OJC HOUSING KIT (OJC LC/PC-MM 0.9 BEIGE)"/>
        <s v="OJC HOUSING KIT(OJC FC/PC 0.9 BLACK)"/>
        <s v="OJC HOUSING KIT(OJC LC/APC 0.9 GREEN)"/>
        <s v="OJC HOUSING KIT(OJC FC/APC 0.9 GREEN)"/>
        <s v="OJC SC/APC BOOT (0.9 GREEN)"/>
        <s v="OJC SC/PC BOOT (0.9 BLUE)"/>
        <s v="OJC HOUSING KIT (OJC ST/PC 2.0 BLUE)"/>
        <s v="FERRULE (W/ FLANGE,SC/PC TYPE)"/>
        <s v="FERRULE (W/ FLANGE,SC/APC TYPE)"/>
        <s v="FERRULE (W/ FLANGE,LC/PC TYPE)"/>
      </sharedItems>
    </cacheField>
    <cacheField name="23년 연간 사용량" numFmtId="41">
      <sharedItems containsSemiMixedTypes="0" containsString="0" containsNumber="1" containsInteger="1" minValue="0" maxValue="509300"/>
    </cacheField>
    <cacheField name="23년 연간 피크 사용량" numFmtId="41">
      <sharedItems containsSemiMixedTypes="0" containsString="0" containsNumber="1" containsInteger="1" minValue="0" maxValue="121256"/>
    </cacheField>
    <cacheField name="24년 연간 사용량" numFmtId="41">
      <sharedItems containsString="0" containsBlank="1" containsNumber="1" containsInteger="1" minValue="0" maxValue="242976"/>
    </cacheField>
    <cacheField name="24년 연간 피크 사용량" numFmtId="41">
      <sharedItems containsString="0" containsBlank="1" containsNumber="1" containsInteger="1" minValue="0" maxValue="40074"/>
    </cacheField>
    <cacheField name="25년 연간 사용량" numFmtId="41">
      <sharedItems containsSemiMixedTypes="0" containsString="0" containsNumber="1" containsInteger="1" minValue="0" maxValue="208039"/>
    </cacheField>
    <cacheField name="25년 연간 피크 사용량" numFmtId="41">
      <sharedItems containsString="0" containsBlank="1" containsNumber="1" containsInteger="1" minValue="0" maxValue="30540"/>
    </cacheField>
    <cacheField name="현 재고" numFmtId="41">
      <sharedItems containsSemiMixedTypes="0" containsString="0" containsNumber="1" containsInteger="1" minValue="0" maxValue="199000" count="39">
        <n v="34500"/>
        <n v="33500"/>
        <n v="10000"/>
        <n v="190000"/>
        <n v="0"/>
        <n v="80000"/>
        <n v="65000"/>
        <n v="69000"/>
        <n v="85000"/>
        <n v="16000"/>
        <n v="15500"/>
        <n v="21000"/>
        <n v="4200"/>
        <n v="2400"/>
        <n v="2200"/>
        <n v="500"/>
        <n v="10500"/>
        <n v="7000"/>
        <n v="8000"/>
        <n v="3000"/>
        <n v="43000"/>
        <n v="2000"/>
        <n v="400"/>
        <n v="4000"/>
        <n v="1000"/>
        <n v="300"/>
        <n v="100"/>
        <n v="119500"/>
        <n v="20500"/>
        <n v="6000"/>
        <n v="200"/>
        <n v="600"/>
        <n v="145000"/>
        <n v="199000"/>
        <n v="50"/>
        <n v="61500"/>
        <n v="133000"/>
        <n v="62500"/>
        <n v="100500" u="1"/>
      </sharedItems>
    </cacheField>
    <cacheField name="기발주 수량" numFmtId="41">
      <sharedItems containsSemiMixedTypes="0" containsString="0" containsNumber="1" containsInteger="1" minValue="0" maxValue="35000" count="4">
        <n v="0"/>
        <n v="35000"/>
        <n v="2100"/>
        <n v="6000"/>
      </sharedItems>
    </cacheField>
    <cacheField name="구매처" numFmtId="177">
      <sharedItems count="7">
        <s v="FIBERCAN"/>
        <s v="상영스프링"/>
        <s v="위드웨이브"/>
        <s v="FLC"/>
        <s v="이룸"/>
        <s v="CCTC"/>
        <s v="웰텍" u="1"/>
      </sharedItems>
    </cacheField>
    <cacheField name="리드타임" numFmtId="41">
      <sharedItems count="4">
        <s v="60일"/>
        <s v="30일"/>
        <s v="7일"/>
        <s v="40일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World" refreshedDate="46115.70101157407" createdVersion="8" refreshedVersion="8" minRefreshableVersion="3" recordCount="68" xr:uid="{8A521931-44B0-4558-AE44-9B0DAA07113F}">
  <cacheSource type="worksheet">
    <worksheetSource ref="B3:L71" sheet="하우징 사용 내역"/>
  </cacheSource>
  <cacheFields count="11">
    <cacheField name="파이" numFmtId="0">
      <sharedItems containsBlank="1"/>
    </cacheField>
    <cacheField name="하우징 키트" numFmtId="0">
      <sharedItems count="18">
        <s v="LC/PC 청색"/>
        <s v="LC/PC 적색"/>
        <s v="LC/APC 녹색"/>
        <s v="LC/APC 적색"/>
        <s v="SC/PC 청색"/>
        <s v="SC/PC 적색"/>
        <s v="SC/APC 녹색"/>
        <s v="SC/APC 적색"/>
        <s v="FC/PC 흑색"/>
        <s v="FC/PC 적색"/>
        <s v="FC/APC 녹색"/>
        <s v="FC/APC 적색"/>
        <s v="LC/PC 베이지MM"/>
        <s v="LC/PC 백색"/>
        <s v="LC/PC 베이지"/>
        <s v="FC/PC 흑색 "/>
        <s v="ST/PC 청색"/>
        <s v="공용"/>
      </sharedItems>
    </cacheField>
    <cacheField name="품번" numFmtId="0">
      <sharedItems count="39">
        <s v="P14-LS-4228"/>
        <s v="P14-LS-422A"/>
        <s v="P14-LS-4224"/>
        <s v="N94-1-04075"/>
        <s v="P15-FJ-4011"/>
        <s v="P15-RM-4021"/>
        <s v="P14-RM-4211"/>
        <s v="P14-RM-4243"/>
        <s v="P14-RM-4046F"/>
        <s v="P14-RM-4048F"/>
        <s v="P15-FJ-4015"/>
        <s v="P14-RM-4047F"/>
        <s v="P14-FS-4229"/>
        <s v="P14-FS-422G"/>
        <s v="P14-FS-4227"/>
        <s v="P14-LM-4226"/>
        <s v="P14-LS-422Q"/>
        <s v="P14-LS-422R"/>
        <s v="P14-LS-422T"/>
        <s v="P14-LS-422S"/>
        <s v="P14-SS-422I"/>
        <s v="P14-SS-422N"/>
        <s v="P14-SS-422H"/>
        <s v="P14-SS-422L"/>
        <s v="P14-FS-422M"/>
        <s v="P14-FS-422N"/>
        <s v="P14-FS-422H"/>
        <s v="P14-LS-422K"/>
        <s v="P14-LS-4222"/>
        <s v="P14-LM-4223"/>
        <s v="P14-FS-422J"/>
        <s v="P14-LS-4221"/>
        <s v="P14-FS-4221"/>
        <s v="P14-RM-4045"/>
        <s v="P14-RM-4043"/>
        <s v="P14-TS-4228"/>
        <s v="N90-29-1315"/>
        <s v="N90-29-1323"/>
        <s v="N90-29-1213"/>
      </sharedItems>
    </cacheField>
    <cacheField name="품명" numFmtId="0">
      <sharedItems count="39">
        <s v="OJC HOUSING KIT (OJC LC/PC 2.0 BLUE)"/>
        <s v="OJC HOUSING KIT (OJC LC/PC 2.0 RED)"/>
        <s v="OJC HOUSING KIT (OJC LC/APC 2.0 GREEN)"/>
        <s v="SPRING"/>
        <s v="SOC CONNECTOR HOUSING (PC)"/>
        <s v="DUST CAP(PC)"/>
        <s v="OJC SC STOPPER (OJC, A-TYPE)"/>
        <s v="SC PLUG FRAME (OJC,FSOC)"/>
        <s v="OJC SC BOOT (2.0 BLUE)"/>
        <s v="OJC SC BOOT (2.0 RED)"/>
        <s v="SOC CONNECTOR HOUSING (APC,AJW)"/>
        <s v="OJC SC/APC BOOT (2.0 GREEN)"/>
        <s v="OJC HOUSING KIT (OJC FC/PC 2.0 BLACK)"/>
        <s v="OJC HOUSING KIT (OJC FC/PC,APC 2.0 RED)"/>
        <s v="OJC HOUSING KIT (OJC FC/APC 2.0 GREEN)"/>
        <s v="OJC HOUSING KIT (OJC LC/PC-MM 2.0 BEIGE)"/>
        <s v="OJC HOUSING KIT (OJC LC/PC 3.0 BLUE) , 숏"/>
        <s v="OJC HOUSING KIT (OJC LC/PC 3.0 RED) , 숏"/>
        <s v="OJC HOUSING KIT (OJC LC/APC 3.0 GREEN)"/>
        <s v="OJC HOUSING KIT (OJC LC/APC 3.0 RED)"/>
        <s v="OJC HOUSING KIT (OJC SC/PC 3.0 BLUE)"/>
        <s v="OJC HOUSING KIT (OJC SC/PC 3.0 RED)"/>
        <s v="OJC HOUSING KIT (OJC SC/APC 3.0 GREEN)"/>
        <s v="OJC HOUSING KIT (OJC SC/APC 3.0 RED)"/>
        <s v="OJC HOUSING KIT (OJC FC/PC 3.0 BLACK)"/>
        <s v="OJC HOUSING KIT (OJC FC/PC 3.0 RED)"/>
        <s v="OJC HOUSING KIT (OJC FC/APC 3.0 GREEN)"/>
        <s v="OJC HOUSING KIT (OJC LC/PC 0.9 WHITE)"/>
        <s v="OJC HOUSING KIT (OJC LC/PC 0.9 BLUE)"/>
        <s v="OJC HOUSING KIT (OJC LC/PC-MM 0.9 BEIGE)"/>
        <s v="OJC HOUSING KIT(OJC FC/PC 0.9 BLACK)"/>
        <s v="OJC HOUSING KIT(OJC LC/APC 0.9 GREEN)"/>
        <s v="OJC HOUSING KIT(OJC FC/APC 0.9 GREEN)"/>
        <s v="OJC SC/APC BOOT (0.9 GREEN)"/>
        <s v="OJC SC/PC BOOT (0.9 BLUE)"/>
        <s v="OJC HOUSING KIT (OJC ST/PC 2.0 BLUE)"/>
        <s v="FERRULE (W/ FLANGE,SC/PC TYPE)"/>
        <s v="FERRULE (W/ FLANGE,SC/APC TYPE)"/>
        <s v="FERRULE (W/ FLANGE,LC/PC TYPE)"/>
      </sharedItems>
    </cacheField>
    <cacheField name="23년 연간 사용량" numFmtId="41">
      <sharedItems containsSemiMixedTypes="0" containsString="0" containsNumber="1" containsInteger="1" minValue="0" maxValue="509300"/>
    </cacheField>
    <cacheField name="23년 연간 피크 사용량" numFmtId="41">
      <sharedItems containsSemiMixedTypes="0" containsString="0" containsNumber="1" containsInteger="1" minValue="0" maxValue="121256"/>
    </cacheField>
    <cacheField name="24년 연간 사용량" numFmtId="41">
      <sharedItems containsString="0" containsBlank="1" containsNumber="1" containsInteger="1" minValue="0" maxValue="242976"/>
    </cacheField>
    <cacheField name="24년 연간 피크 사용량" numFmtId="41">
      <sharedItems containsString="0" containsBlank="1" containsNumber="1" containsInteger="1" minValue="0" maxValue="40074"/>
    </cacheField>
    <cacheField name="25년 연간 사용량" numFmtId="41">
      <sharedItems containsSemiMixedTypes="0" containsString="0" containsNumber="1" containsInteger="1" minValue="0" maxValue="208039"/>
    </cacheField>
    <cacheField name="25년 연간 피크 사용량" numFmtId="41">
      <sharedItems containsString="0" containsBlank="1" containsNumber="1" containsInteger="1" minValue="0" maxValue="30540"/>
    </cacheField>
    <cacheField name="현 재고" numFmtId="41">
      <sharedItems containsSemiMixedTypes="0" containsString="0" containsNumber="1" containsInteger="1" minValue="0" maxValue="19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8">
  <r>
    <x v="0"/>
    <x v="0"/>
    <n v="179456"/>
    <n v="61974"/>
    <n v="86927"/>
    <n v="40074"/>
    <n v="114468"/>
    <n v="30540"/>
    <x v="0"/>
    <x v="0"/>
    <x v="0"/>
    <x v="0"/>
  </r>
  <r>
    <x v="1"/>
    <x v="1"/>
    <n v="74082"/>
    <n v="21652"/>
    <n v="75121"/>
    <n v="30476"/>
    <n v="63808"/>
    <n v="19252"/>
    <x v="1"/>
    <x v="1"/>
    <x v="0"/>
    <x v="0"/>
  </r>
  <r>
    <x v="2"/>
    <x v="2"/>
    <n v="6126"/>
    <n v="3776"/>
    <n v="4668"/>
    <n v="2208"/>
    <n v="4311"/>
    <n v="2642"/>
    <x v="2"/>
    <x v="0"/>
    <x v="0"/>
    <x v="0"/>
  </r>
  <r>
    <x v="2"/>
    <x v="2"/>
    <n v="296"/>
    <n v="110"/>
    <n v="2651"/>
    <n v="992"/>
    <n v="2564"/>
    <n v="1416"/>
    <x v="2"/>
    <x v="0"/>
    <x v="0"/>
    <x v="0"/>
  </r>
  <r>
    <x v="3"/>
    <x v="3"/>
    <n v="480636"/>
    <n v="121256"/>
    <n v="100611"/>
    <n v="29388"/>
    <n v="85527"/>
    <n v="28280"/>
    <x v="3"/>
    <x v="0"/>
    <x v="1"/>
    <x v="1"/>
  </r>
  <r>
    <x v="4"/>
    <x v="4"/>
    <n v="480636"/>
    <n v="121256"/>
    <n v="100611"/>
    <n v="29388"/>
    <n v="85527"/>
    <n v="28280"/>
    <x v="4"/>
    <x v="0"/>
    <x v="0"/>
    <x v="0"/>
  </r>
  <r>
    <x v="5"/>
    <x v="5"/>
    <n v="480636"/>
    <n v="121256"/>
    <n v="100611"/>
    <n v="29388"/>
    <n v="85527"/>
    <n v="28280"/>
    <x v="5"/>
    <x v="0"/>
    <x v="0"/>
    <x v="0"/>
  </r>
  <r>
    <x v="6"/>
    <x v="6"/>
    <n v="480636"/>
    <n v="121256"/>
    <n v="100611"/>
    <n v="29388"/>
    <n v="85527"/>
    <n v="28280"/>
    <x v="6"/>
    <x v="0"/>
    <x v="2"/>
    <x v="1"/>
  </r>
  <r>
    <x v="7"/>
    <x v="7"/>
    <n v="480636"/>
    <n v="121256"/>
    <n v="100611"/>
    <n v="29388"/>
    <n v="85527"/>
    <n v="28280"/>
    <x v="7"/>
    <x v="0"/>
    <x v="2"/>
    <x v="1"/>
  </r>
  <r>
    <x v="8"/>
    <x v="8"/>
    <n v="480636"/>
    <n v="121256"/>
    <n v="100611"/>
    <n v="29388"/>
    <n v="85527"/>
    <n v="28280"/>
    <x v="8"/>
    <x v="0"/>
    <x v="3"/>
    <x v="0"/>
  </r>
  <r>
    <x v="3"/>
    <x v="3"/>
    <n v="6747"/>
    <n v="4240"/>
    <n v="100611"/>
    <n v="29388"/>
    <n v="10351"/>
    <n v="6884"/>
    <x v="3"/>
    <x v="0"/>
    <x v="1"/>
    <x v="1"/>
  </r>
  <r>
    <x v="4"/>
    <x v="4"/>
    <n v="6747"/>
    <n v="4240"/>
    <n v="16321"/>
    <n v="6616"/>
    <n v="10351"/>
    <n v="6884"/>
    <x v="4"/>
    <x v="0"/>
    <x v="0"/>
    <x v="0"/>
  </r>
  <r>
    <x v="5"/>
    <x v="5"/>
    <n v="6747"/>
    <n v="4240"/>
    <n v="16321"/>
    <n v="6616"/>
    <n v="10351"/>
    <n v="6884"/>
    <x v="5"/>
    <x v="0"/>
    <x v="0"/>
    <x v="0"/>
  </r>
  <r>
    <x v="6"/>
    <x v="6"/>
    <n v="6747"/>
    <n v="4240"/>
    <n v="16321"/>
    <n v="6616"/>
    <n v="10351"/>
    <n v="6884"/>
    <x v="6"/>
    <x v="0"/>
    <x v="2"/>
    <x v="1"/>
  </r>
  <r>
    <x v="7"/>
    <x v="7"/>
    <n v="6747"/>
    <n v="4240"/>
    <n v="16321"/>
    <n v="6616"/>
    <n v="10351"/>
    <n v="6884"/>
    <x v="7"/>
    <x v="0"/>
    <x v="2"/>
    <x v="1"/>
  </r>
  <r>
    <x v="9"/>
    <x v="9"/>
    <n v="6747"/>
    <n v="4240"/>
    <n v="16321"/>
    <n v="6616"/>
    <n v="10351"/>
    <n v="6884"/>
    <x v="9"/>
    <x v="0"/>
    <x v="3"/>
    <x v="0"/>
  </r>
  <r>
    <x v="3"/>
    <x v="3"/>
    <n v="47379"/>
    <n v="24970"/>
    <n v="17013"/>
    <n v="7476"/>
    <n v="11211"/>
    <n v="4228"/>
    <x v="3"/>
    <x v="0"/>
    <x v="1"/>
    <x v="1"/>
  </r>
  <r>
    <x v="10"/>
    <x v="10"/>
    <n v="47379"/>
    <n v="24970"/>
    <n v="17013"/>
    <n v="7476"/>
    <n v="11211"/>
    <n v="4228"/>
    <x v="10"/>
    <x v="0"/>
    <x v="0"/>
    <x v="0"/>
  </r>
  <r>
    <x v="5"/>
    <x v="5"/>
    <n v="47379"/>
    <n v="24970"/>
    <n v="17013"/>
    <n v="7476"/>
    <n v="11211"/>
    <n v="4228"/>
    <x v="5"/>
    <x v="0"/>
    <x v="0"/>
    <x v="0"/>
  </r>
  <r>
    <x v="6"/>
    <x v="6"/>
    <n v="47379"/>
    <n v="24970"/>
    <n v="17013"/>
    <n v="7476"/>
    <n v="11211"/>
    <n v="4228"/>
    <x v="6"/>
    <x v="0"/>
    <x v="2"/>
    <x v="1"/>
  </r>
  <r>
    <x v="7"/>
    <x v="7"/>
    <n v="47379"/>
    <n v="24970"/>
    <n v="17013"/>
    <n v="7476"/>
    <n v="11211"/>
    <n v="4228"/>
    <x v="7"/>
    <x v="0"/>
    <x v="2"/>
    <x v="1"/>
  </r>
  <r>
    <x v="11"/>
    <x v="11"/>
    <n v="47379"/>
    <n v="24970"/>
    <n v="17013"/>
    <n v="7476"/>
    <n v="11211"/>
    <n v="4228"/>
    <x v="11"/>
    <x v="0"/>
    <x v="3"/>
    <x v="0"/>
  </r>
  <r>
    <x v="3"/>
    <x v="3"/>
    <n v="1475"/>
    <n v="876"/>
    <n v="5481"/>
    <n v="3008"/>
    <n v="2697"/>
    <n v="1288"/>
    <x v="3"/>
    <x v="0"/>
    <x v="1"/>
    <x v="1"/>
  </r>
  <r>
    <x v="10"/>
    <x v="10"/>
    <n v="1475"/>
    <n v="876"/>
    <n v="5481"/>
    <n v="3008"/>
    <n v="2697"/>
    <n v="1288"/>
    <x v="10"/>
    <x v="0"/>
    <x v="0"/>
    <x v="0"/>
  </r>
  <r>
    <x v="5"/>
    <x v="5"/>
    <n v="1475"/>
    <n v="876"/>
    <n v="5481"/>
    <n v="3008"/>
    <n v="2697"/>
    <n v="1288"/>
    <x v="5"/>
    <x v="0"/>
    <x v="0"/>
    <x v="0"/>
  </r>
  <r>
    <x v="6"/>
    <x v="6"/>
    <n v="1475"/>
    <n v="876"/>
    <n v="5481"/>
    <n v="3008"/>
    <n v="2697"/>
    <n v="1288"/>
    <x v="6"/>
    <x v="0"/>
    <x v="2"/>
    <x v="1"/>
  </r>
  <r>
    <x v="7"/>
    <x v="7"/>
    <n v="1475"/>
    <n v="876"/>
    <n v="5481"/>
    <n v="3008"/>
    <n v="2697"/>
    <n v="1288"/>
    <x v="7"/>
    <x v="0"/>
    <x v="2"/>
    <x v="1"/>
  </r>
  <r>
    <x v="9"/>
    <x v="9"/>
    <n v="1475"/>
    <n v="876"/>
    <n v="5481"/>
    <n v="3008"/>
    <n v="2697"/>
    <n v="1288"/>
    <x v="9"/>
    <x v="0"/>
    <x v="3"/>
    <x v="0"/>
  </r>
  <r>
    <x v="12"/>
    <x v="12"/>
    <n v="4460"/>
    <n v="2400"/>
    <n v="3900"/>
    <n v="2444"/>
    <n v="7262"/>
    <n v="4152"/>
    <x v="12"/>
    <x v="0"/>
    <x v="0"/>
    <x v="0"/>
  </r>
  <r>
    <x v="13"/>
    <x v="13"/>
    <n v="258"/>
    <n v="160"/>
    <n v="3240"/>
    <n v="1644"/>
    <n v="6502"/>
    <n v="3752"/>
    <x v="13"/>
    <x v="0"/>
    <x v="0"/>
    <x v="0"/>
  </r>
  <r>
    <x v="14"/>
    <x v="14"/>
    <n v="6009"/>
    <n v="3932"/>
    <n v="8878"/>
    <n v="7966"/>
    <n v="8420"/>
    <n v="6578"/>
    <x v="14"/>
    <x v="0"/>
    <x v="0"/>
    <x v="0"/>
  </r>
  <r>
    <x v="13"/>
    <x v="13"/>
    <n v="904"/>
    <n v="596"/>
    <n v="7682"/>
    <n v="3760"/>
    <n v="5889"/>
    <n v="2522"/>
    <x v="13"/>
    <x v="0"/>
    <x v="0"/>
    <x v="0"/>
  </r>
  <r>
    <x v="15"/>
    <x v="15"/>
    <n v="12050"/>
    <n v="4028"/>
    <n v="19925"/>
    <n v="8182"/>
    <n v="2868"/>
    <n v="1608"/>
    <x v="15"/>
    <x v="2"/>
    <x v="0"/>
    <x v="0"/>
  </r>
  <r>
    <x v="16"/>
    <x v="16"/>
    <n v="12340"/>
    <n v="5512"/>
    <n v="13378"/>
    <n v="6328"/>
    <n v="16377"/>
    <n v="5860"/>
    <x v="16"/>
    <x v="0"/>
    <x v="0"/>
    <x v="0"/>
  </r>
  <r>
    <x v="17"/>
    <x v="17"/>
    <n v="12340"/>
    <n v="5512"/>
    <n v="3263"/>
    <n v="2008"/>
    <n v="8539"/>
    <n v="3952"/>
    <x v="17"/>
    <x v="0"/>
    <x v="0"/>
    <x v="0"/>
  </r>
  <r>
    <x v="18"/>
    <x v="18"/>
    <n v="30"/>
    <n v="30"/>
    <n v="5934"/>
    <n v="3408"/>
    <n v="1028"/>
    <n v="780"/>
    <x v="18"/>
    <x v="0"/>
    <x v="0"/>
    <x v="0"/>
  </r>
  <r>
    <x v="19"/>
    <x v="19"/>
    <n v="30"/>
    <n v="30"/>
    <n v="5879"/>
    <n v="3308"/>
    <n v="326"/>
    <n v="280"/>
    <x v="19"/>
    <x v="0"/>
    <x v="0"/>
    <x v="0"/>
  </r>
  <r>
    <x v="20"/>
    <x v="20"/>
    <n v="3356"/>
    <n v="2122"/>
    <n v="5458"/>
    <n v="4564"/>
    <n v="7727"/>
    <n v="3960"/>
    <x v="20"/>
    <x v="0"/>
    <x v="0"/>
    <x v="0"/>
  </r>
  <r>
    <x v="21"/>
    <x v="21"/>
    <n v="3356"/>
    <n v="2122"/>
    <n v="1446"/>
    <n v="1044"/>
    <n v="3456"/>
    <n v="2320"/>
    <x v="21"/>
    <x v="0"/>
    <x v="0"/>
    <x v="0"/>
  </r>
  <r>
    <x v="22"/>
    <x v="22"/>
    <n v="1195"/>
    <n v="596"/>
    <n v="3912"/>
    <n v="1748"/>
    <n v="4672"/>
    <n v="2398"/>
    <x v="22"/>
    <x v="3"/>
    <x v="0"/>
    <x v="0"/>
  </r>
  <r>
    <x v="23"/>
    <x v="23"/>
    <n v="1195"/>
    <n v="596"/>
    <n v="1186"/>
    <n v="928"/>
    <n v="1203"/>
    <n v="828"/>
    <x v="23"/>
    <x v="0"/>
    <x v="0"/>
    <x v="0"/>
  </r>
  <r>
    <x v="24"/>
    <x v="24"/>
    <n v="6"/>
    <n v="6"/>
    <n v="2614"/>
    <n v="2302"/>
    <n v="1571"/>
    <n v="904"/>
    <x v="24"/>
    <x v="0"/>
    <x v="0"/>
    <x v="0"/>
  </r>
  <r>
    <x v="25"/>
    <x v="25"/>
    <n v="6"/>
    <n v="6"/>
    <n v="2598"/>
    <n v="2272"/>
    <n v="1394"/>
    <n v="764"/>
    <x v="25"/>
    <x v="0"/>
    <x v="0"/>
    <x v="0"/>
  </r>
  <r>
    <x v="26"/>
    <x v="26"/>
    <n v="1559"/>
    <n v="1061"/>
    <n v="2198"/>
    <n v="1840"/>
    <n v="2031"/>
    <n v="1108"/>
    <x v="26"/>
    <x v="0"/>
    <x v="0"/>
    <x v="0"/>
  </r>
  <r>
    <x v="26"/>
    <x v="26"/>
    <n v="1559"/>
    <n v="1061"/>
    <n v="780"/>
    <n v="500"/>
    <n v="478"/>
    <n v="380"/>
    <x v="26"/>
    <x v="0"/>
    <x v="0"/>
    <x v="0"/>
  </r>
  <r>
    <x v="27"/>
    <x v="27"/>
    <n v="0"/>
    <n v="0"/>
    <m/>
    <n v="0"/>
    <n v="0"/>
    <n v="0"/>
    <x v="27"/>
    <x v="0"/>
    <x v="0"/>
    <x v="0"/>
  </r>
  <r>
    <x v="28"/>
    <x v="28"/>
    <n v="3207"/>
    <n v="1772"/>
    <n v="44362"/>
    <n v="8366"/>
    <n v="948"/>
    <n v="744"/>
    <x v="28"/>
    <x v="0"/>
    <x v="0"/>
    <x v="0"/>
  </r>
  <r>
    <x v="29"/>
    <x v="29"/>
    <n v="0"/>
    <n v="0"/>
    <n v="19536"/>
    <n v="3648"/>
    <n v="1044"/>
    <n v="576"/>
    <x v="29"/>
    <x v="0"/>
    <x v="0"/>
    <x v="0"/>
  </r>
  <r>
    <x v="30"/>
    <x v="30"/>
    <n v="30"/>
    <n v="30"/>
    <m/>
    <m/>
    <n v="0"/>
    <m/>
    <x v="30"/>
    <x v="0"/>
    <x v="0"/>
    <x v="0"/>
  </r>
  <r>
    <x v="31"/>
    <x v="31"/>
    <n v="784"/>
    <n v="520"/>
    <n v="2272"/>
    <n v="1076"/>
    <n v="4226"/>
    <n v="4186"/>
    <x v="31"/>
    <x v="0"/>
    <x v="0"/>
    <x v="0"/>
  </r>
  <r>
    <x v="32"/>
    <x v="32"/>
    <n v="0"/>
    <n v="0"/>
    <n v="0"/>
    <n v="0"/>
    <n v="0"/>
    <n v="0"/>
    <x v="31"/>
    <x v="0"/>
    <x v="0"/>
    <x v="0"/>
  </r>
  <r>
    <x v="33"/>
    <x v="33"/>
    <n v="5576"/>
    <n v="2534"/>
    <n v="7382"/>
    <n v="2135"/>
    <n v="7602"/>
    <n v="3544"/>
    <x v="32"/>
    <x v="0"/>
    <x v="0"/>
    <x v="0"/>
  </r>
  <r>
    <x v="3"/>
    <x v="3"/>
    <n v="5576"/>
    <n v="2534"/>
    <n v="7382"/>
    <n v="2135"/>
    <n v="7602"/>
    <n v="3544"/>
    <x v="3"/>
    <x v="0"/>
    <x v="1"/>
    <x v="1"/>
  </r>
  <r>
    <x v="10"/>
    <x v="10"/>
    <n v="5576"/>
    <n v="2534"/>
    <n v="7382"/>
    <n v="2135"/>
    <n v="7602"/>
    <n v="3544"/>
    <x v="8"/>
    <x v="0"/>
    <x v="0"/>
    <x v="0"/>
  </r>
  <r>
    <x v="5"/>
    <x v="5"/>
    <n v="5576"/>
    <n v="2534"/>
    <n v="7382"/>
    <n v="2135"/>
    <n v="7602"/>
    <n v="3544"/>
    <x v="5"/>
    <x v="0"/>
    <x v="0"/>
    <x v="0"/>
  </r>
  <r>
    <x v="6"/>
    <x v="6"/>
    <n v="5576"/>
    <n v="2534"/>
    <n v="7382"/>
    <n v="2135"/>
    <n v="7602"/>
    <n v="3544"/>
    <x v="6"/>
    <x v="0"/>
    <x v="2"/>
    <x v="1"/>
  </r>
  <r>
    <x v="7"/>
    <x v="7"/>
    <n v="5576"/>
    <n v="2534"/>
    <n v="7382"/>
    <n v="2135"/>
    <n v="7602"/>
    <n v="3544"/>
    <x v="7"/>
    <x v="0"/>
    <x v="2"/>
    <x v="1"/>
  </r>
  <r>
    <x v="34"/>
    <x v="34"/>
    <n v="13801"/>
    <n v="5067"/>
    <n v="12960"/>
    <n v="2614"/>
    <n v="2942"/>
    <n v="1644"/>
    <x v="33"/>
    <x v="0"/>
    <x v="0"/>
    <x v="0"/>
  </r>
  <r>
    <x v="3"/>
    <x v="3"/>
    <n v="13801"/>
    <n v="5067"/>
    <n v="12960"/>
    <n v="2614"/>
    <n v="2942"/>
    <n v="1644"/>
    <x v="3"/>
    <x v="0"/>
    <x v="1"/>
    <x v="1"/>
  </r>
  <r>
    <x v="4"/>
    <x v="4"/>
    <n v="13801"/>
    <n v="5067"/>
    <n v="12960"/>
    <n v="2614"/>
    <n v="2942"/>
    <n v="1644"/>
    <x v="4"/>
    <x v="0"/>
    <x v="0"/>
    <x v="0"/>
  </r>
  <r>
    <x v="5"/>
    <x v="5"/>
    <n v="13801"/>
    <n v="5067"/>
    <n v="12960"/>
    <n v="2614"/>
    <n v="2942"/>
    <n v="1644"/>
    <x v="5"/>
    <x v="0"/>
    <x v="0"/>
    <x v="0"/>
  </r>
  <r>
    <x v="6"/>
    <x v="6"/>
    <n v="13801"/>
    <n v="5067"/>
    <n v="12960"/>
    <n v="2614"/>
    <n v="2942"/>
    <n v="1644"/>
    <x v="6"/>
    <x v="0"/>
    <x v="2"/>
    <x v="1"/>
  </r>
  <r>
    <x v="7"/>
    <x v="7"/>
    <n v="13801"/>
    <n v="5067"/>
    <n v="12960"/>
    <n v="2614"/>
    <n v="2942"/>
    <n v="1644"/>
    <x v="7"/>
    <x v="0"/>
    <x v="2"/>
    <x v="1"/>
  </r>
  <r>
    <x v="34"/>
    <x v="34"/>
    <n v="13801"/>
    <n v="5067"/>
    <n v="12960"/>
    <n v="2614"/>
    <n v="2942"/>
    <n v="1644"/>
    <x v="33"/>
    <x v="0"/>
    <x v="0"/>
    <x v="0"/>
  </r>
  <r>
    <x v="35"/>
    <x v="35"/>
    <n v="516"/>
    <n v="516"/>
    <n v="428"/>
    <n v="428"/>
    <n v="174"/>
    <n v="174"/>
    <x v="34"/>
    <x v="0"/>
    <x v="4"/>
    <x v="2"/>
  </r>
  <r>
    <x v="36"/>
    <x v="36"/>
    <n v="509300"/>
    <n v="121256"/>
    <n v="149148"/>
    <n v="29388"/>
    <n v="126732"/>
    <n v="28280"/>
    <x v="35"/>
    <x v="0"/>
    <x v="5"/>
    <x v="3"/>
  </r>
  <r>
    <x v="37"/>
    <x v="37"/>
    <n v="74117"/>
    <n v="24970"/>
    <n v="75916"/>
    <n v="7476"/>
    <n v="56924"/>
    <n v="6884"/>
    <x v="36"/>
    <x v="0"/>
    <x v="5"/>
    <x v="3"/>
  </r>
  <r>
    <x v="38"/>
    <x v="38"/>
    <n v="293475"/>
    <n v="61974"/>
    <n v="242976"/>
    <n v="40074"/>
    <n v="208039"/>
    <n v="30540"/>
    <x v="37"/>
    <x v="0"/>
    <x v="5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s v="2.0mm"/>
    <x v="0"/>
    <x v="0"/>
    <x v="0"/>
    <n v="179456"/>
    <n v="61974"/>
    <n v="86927"/>
    <n v="40074"/>
    <n v="114468"/>
    <n v="30540"/>
    <n v="34500"/>
  </r>
  <r>
    <s v="2.0mm"/>
    <x v="1"/>
    <x v="1"/>
    <x v="1"/>
    <n v="74082"/>
    <n v="21652"/>
    <n v="75121"/>
    <n v="30476"/>
    <n v="63808"/>
    <n v="19252"/>
    <n v="33500"/>
  </r>
  <r>
    <s v="2.0mm"/>
    <x v="2"/>
    <x v="2"/>
    <x v="2"/>
    <n v="6126"/>
    <n v="3776"/>
    <n v="4668"/>
    <n v="2208"/>
    <n v="4311"/>
    <n v="2642"/>
    <n v="10000"/>
  </r>
  <r>
    <s v="2.0mm"/>
    <x v="3"/>
    <x v="2"/>
    <x v="2"/>
    <n v="296"/>
    <n v="110"/>
    <n v="2651"/>
    <n v="992"/>
    <n v="2564"/>
    <n v="1416"/>
    <n v="10000"/>
  </r>
  <r>
    <s v="2.0mm"/>
    <x v="4"/>
    <x v="3"/>
    <x v="3"/>
    <n v="480636"/>
    <n v="121256"/>
    <n v="100611"/>
    <n v="29388"/>
    <n v="85527"/>
    <n v="28280"/>
    <n v="190000"/>
  </r>
  <r>
    <s v="2.0mm"/>
    <x v="4"/>
    <x v="4"/>
    <x v="4"/>
    <n v="480636"/>
    <n v="121256"/>
    <n v="100611"/>
    <n v="29388"/>
    <n v="85527"/>
    <n v="28280"/>
    <n v="0"/>
  </r>
  <r>
    <s v="2.0mm"/>
    <x v="4"/>
    <x v="5"/>
    <x v="5"/>
    <n v="480636"/>
    <n v="121256"/>
    <n v="100611"/>
    <n v="29388"/>
    <n v="85527"/>
    <n v="28280"/>
    <n v="80000"/>
  </r>
  <r>
    <s v="2.0mm"/>
    <x v="4"/>
    <x v="6"/>
    <x v="6"/>
    <n v="480636"/>
    <n v="121256"/>
    <n v="100611"/>
    <n v="29388"/>
    <n v="85527"/>
    <n v="28280"/>
    <n v="65000"/>
  </r>
  <r>
    <s v="2.0mm"/>
    <x v="4"/>
    <x v="7"/>
    <x v="7"/>
    <n v="480636"/>
    <n v="121256"/>
    <n v="100611"/>
    <n v="29388"/>
    <n v="85527"/>
    <n v="28280"/>
    <n v="69000"/>
  </r>
  <r>
    <s v="2.0mm"/>
    <x v="4"/>
    <x v="8"/>
    <x v="8"/>
    <n v="480636"/>
    <n v="121256"/>
    <n v="100611"/>
    <n v="29388"/>
    <n v="85527"/>
    <n v="28280"/>
    <n v="85000"/>
  </r>
  <r>
    <s v="2.0mm"/>
    <x v="5"/>
    <x v="3"/>
    <x v="3"/>
    <n v="6747"/>
    <n v="4240"/>
    <n v="100611"/>
    <n v="29388"/>
    <n v="10351"/>
    <n v="6884"/>
    <n v="190000"/>
  </r>
  <r>
    <s v="2.0mm"/>
    <x v="5"/>
    <x v="4"/>
    <x v="4"/>
    <n v="6747"/>
    <n v="4240"/>
    <n v="16321"/>
    <n v="6616"/>
    <n v="10351"/>
    <n v="6884"/>
    <n v="0"/>
  </r>
  <r>
    <s v="2.0mm"/>
    <x v="5"/>
    <x v="5"/>
    <x v="5"/>
    <n v="6747"/>
    <n v="4240"/>
    <n v="16321"/>
    <n v="6616"/>
    <n v="10351"/>
    <n v="6884"/>
    <n v="80000"/>
  </r>
  <r>
    <s v="2.0mm"/>
    <x v="5"/>
    <x v="6"/>
    <x v="6"/>
    <n v="6747"/>
    <n v="4240"/>
    <n v="16321"/>
    <n v="6616"/>
    <n v="10351"/>
    <n v="6884"/>
    <n v="65000"/>
  </r>
  <r>
    <s v="2.0mm"/>
    <x v="5"/>
    <x v="7"/>
    <x v="7"/>
    <n v="6747"/>
    <n v="4240"/>
    <n v="16321"/>
    <n v="6616"/>
    <n v="10351"/>
    <n v="6884"/>
    <n v="69000"/>
  </r>
  <r>
    <s v="2.0mm"/>
    <x v="5"/>
    <x v="9"/>
    <x v="9"/>
    <n v="6747"/>
    <n v="4240"/>
    <n v="16321"/>
    <n v="6616"/>
    <n v="10351"/>
    <n v="6884"/>
    <n v="16000"/>
  </r>
  <r>
    <s v="2.0mm"/>
    <x v="6"/>
    <x v="3"/>
    <x v="3"/>
    <n v="47379"/>
    <n v="24970"/>
    <n v="17013"/>
    <n v="7476"/>
    <n v="11211"/>
    <n v="4228"/>
    <n v="190000"/>
  </r>
  <r>
    <s v="2.0mm"/>
    <x v="6"/>
    <x v="10"/>
    <x v="10"/>
    <n v="47379"/>
    <n v="24970"/>
    <n v="17013"/>
    <n v="7476"/>
    <n v="11211"/>
    <n v="4228"/>
    <n v="15500"/>
  </r>
  <r>
    <s v="2.0mm"/>
    <x v="6"/>
    <x v="5"/>
    <x v="5"/>
    <n v="47379"/>
    <n v="24970"/>
    <n v="17013"/>
    <n v="7476"/>
    <n v="11211"/>
    <n v="4228"/>
    <n v="80000"/>
  </r>
  <r>
    <s v="2.0mm"/>
    <x v="6"/>
    <x v="6"/>
    <x v="6"/>
    <n v="47379"/>
    <n v="24970"/>
    <n v="17013"/>
    <n v="7476"/>
    <n v="11211"/>
    <n v="4228"/>
    <n v="65000"/>
  </r>
  <r>
    <s v="2.0mm"/>
    <x v="6"/>
    <x v="7"/>
    <x v="7"/>
    <n v="47379"/>
    <n v="24970"/>
    <n v="17013"/>
    <n v="7476"/>
    <n v="11211"/>
    <n v="4228"/>
    <n v="69000"/>
  </r>
  <r>
    <s v="2.0mm"/>
    <x v="6"/>
    <x v="11"/>
    <x v="11"/>
    <n v="47379"/>
    <n v="24970"/>
    <n v="17013"/>
    <n v="7476"/>
    <n v="11211"/>
    <n v="4228"/>
    <n v="21000"/>
  </r>
  <r>
    <s v="2.0mm"/>
    <x v="7"/>
    <x v="3"/>
    <x v="3"/>
    <n v="1475"/>
    <n v="876"/>
    <n v="5481"/>
    <n v="3008"/>
    <n v="2697"/>
    <n v="1288"/>
    <n v="190000"/>
  </r>
  <r>
    <s v="2.0mm"/>
    <x v="7"/>
    <x v="10"/>
    <x v="10"/>
    <n v="1475"/>
    <n v="876"/>
    <n v="5481"/>
    <n v="3008"/>
    <n v="2697"/>
    <n v="1288"/>
    <n v="15500"/>
  </r>
  <r>
    <s v="2.0mm"/>
    <x v="7"/>
    <x v="5"/>
    <x v="5"/>
    <n v="1475"/>
    <n v="876"/>
    <n v="5481"/>
    <n v="3008"/>
    <n v="2697"/>
    <n v="1288"/>
    <n v="80000"/>
  </r>
  <r>
    <s v="2.0mm"/>
    <x v="7"/>
    <x v="6"/>
    <x v="6"/>
    <n v="1475"/>
    <n v="876"/>
    <n v="5481"/>
    <n v="3008"/>
    <n v="2697"/>
    <n v="1288"/>
    <n v="65000"/>
  </r>
  <r>
    <s v="2.0mm"/>
    <x v="7"/>
    <x v="7"/>
    <x v="7"/>
    <n v="1475"/>
    <n v="876"/>
    <n v="5481"/>
    <n v="3008"/>
    <n v="2697"/>
    <n v="1288"/>
    <n v="69000"/>
  </r>
  <r>
    <s v="2.0mm"/>
    <x v="7"/>
    <x v="9"/>
    <x v="9"/>
    <n v="1475"/>
    <n v="876"/>
    <n v="5481"/>
    <n v="3008"/>
    <n v="2697"/>
    <n v="1288"/>
    <n v="16000"/>
  </r>
  <r>
    <s v="2.0mm"/>
    <x v="8"/>
    <x v="12"/>
    <x v="12"/>
    <n v="4460"/>
    <n v="2400"/>
    <n v="3900"/>
    <n v="2444"/>
    <n v="7262"/>
    <n v="4152"/>
    <n v="4200"/>
  </r>
  <r>
    <s v="2.0mm"/>
    <x v="9"/>
    <x v="13"/>
    <x v="13"/>
    <n v="258"/>
    <n v="160"/>
    <n v="3240"/>
    <n v="1644"/>
    <n v="6502"/>
    <n v="3752"/>
    <n v="2400"/>
  </r>
  <r>
    <s v="2.0mm"/>
    <x v="10"/>
    <x v="14"/>
    <x v="14"/>
    <n v="6009"/>
    <n v="3932"/>
    <n v="8878"/>
    <n v="7966"/>
    <n v="8420"/>
    <n v="6578"/>
    <n v="2200"/>
  </r>
  <r>
    <s v="2.0mm"/>
    <x v="11"/>
    <x v="13"/>
    <x v="13"/>
    <n v="904"/>
    <n v="596"/>
    <n v="7682"/>
    <n v="3760"/>
    <n v="5889"/>
    <n v="2522"/>
    <n v="2400"/>
  </r>
  <r>
    <s v="2.0mm"/>
    <x v="12"/>
    <x v="15"/>
    <x v="15"/>
    <n v="12050"/>
    <n v="4028"/>
    <n v="19925"/>
    <n v="8182"/>
    <n v="2868"/>
    <n v="1608"/>
    <n v="500"/>
  </r>
  <r>
    <s v="3.0mm"/>
    <x v="0"/>
    <x v="16"/>
    <x v="16"/>
    <n v="12340"/>
    <n v="5512"/>
    <n v="13378"/>
    <n v="6328"/>
    <n v="16377"/>
    <n v="5860"/>
    <n v="10500"/>
  </r>
  <r>
    <s v="3.0mm"/>
    <x v="1"/>
    <x v="17"/>
    <x v="17"/>
    <n v="12340"/>
    <n v="5512"/>
    <n v="3263"/>
    <n v="2008"/>
    <n v="8539"/>
    <n v="3952"/>
    <n v="7000"/>
  </r>
  <r>
    <s v="3.0mm"/>
    <x v="2"/>
    <x v="18"/>
    <x v="18"/>
    <n v="30"/>
    <n v="30"/>
    <n v="5934"/>
    <n v="3408"/>
    <n v="1028"/>
    <n v="780"/>
    <n v="8000"/>
  </r>
  <r>
    <s v="3.0mm"/>
    <x v="3"/>
    <x v="19"/>
    <x v="19"/>
    <n v="30"/>
    <n v="30"/>
    <n v="5879"/>
    <n v="3308"/>
    <n v="326"/>
    <n v="280"/>
    <n v="3000"/>
  </r>
  <r>
    <s v="3.0mm"/>
    <x v="4"/>
    <x v="20"/>
    <x v="20"/>
    <n v="3356"/>
    <n v="2122"/>
    <n v="5458"/>
    <n v="4564"/>
    <n v="7727"/>
    <n v="3960"/>
    <n v="43000"/>
  </r>
  <r>
    <s v="3.0mm"/>
    <x v="5"/>
    <x v="21"/>
    <x v="21"/>
    <n v="3356"/>
    <n v="2122"/>
    <n v="1446"/>
    <n v="1044"/>
    <n v="3456"/>
    <n v="2320"/>
    <n v="2000"/>
  </r>
  <r>
    <s v="3.0mm"/>
    <x v="6"/>
    <x v="22"/>
    <x v="22"/>
    <n v="1195"/>
    <n v="596"/>
    <n v="3912"/>
    <n v="1748"/>
    <n v="4672"/>
    <n v="2398"/>
    <n v="400"/>
  </r>
  <r>
    <s v="3.0mm"/>
    <x v="7"/>
    <x v="23"/>
    <x v="23"/>
    <n v="1195"/>
    <n v="596"/>
    <n v="1186"/>
    <n v="928"/>
    <n v="1203"/>
    <n v="828"/>
    <n v="4000"/>
  </r>
  <r>
    <s v="3.0mm"/>
    <x v="8"/>
    <x v="24"/>
    <x v="24"/>
    <n v="6"/>
    <n v="6"/>
    <n v="2614"/>
    <n v="2302"/>
    <n v="1571"/>
    <n v="904"/>
    <n v="1000"/>
  </r>
  <r>
    <s v="3.0mm"/>
    <x v="9"/>
    <x v="25"/>
    <x v="25"/>
    <n v="6"/>
    <n v="6"/>
    <n v="2598"/>
    <n v="2272"/>
    <n v="1394"/>
    <n v="764"/>
    <n v="300"/>
  </r>
  <r>
    <s v="3.0mm"/>
    <x v="10"/>
    <x v="26"/>
    <x v="26"/>
    <n v="1559"/>
    <n v="1061"/>
    <n v="2198"/>
    <n v="1840"/>
    <n v="2031"/>
    <n v="1108"/>
    <n v="100"/>
  </r>
  <r>
    <s v="3.0mm"/>
    <x v="11"/>
    <x v="26"/>
    <x v="26"/>
    <n v="1559"/>
    <n v="1061"/>
    <n v="780"/>
    <n v="500"/>
    <n v="478"/>
    <n v="380"/>
    <n v="100"/>
  </r>
  <r>
    <s v="0.9mm"/>
    <x v="13"/>
    <x v="27"/>
    <x v="27"/>
    <n v="0"/>
    <n v="0"/>
    <m/>
    <n v="0"/>
    <n v="0"/>
    <n v="0"/>
    <n v="119500"/>
  </r>
  <r>
    <s v="0.9mm"/>
    <x v="0"/>
    <x v="28"/>
    <x v="28"/>
    <n v="3207"/>
    <n v="1772"/>
    <n v="44362"/>
    <n v="8366"/>
    <n v="948"/>
    <n v="744"/>
    <n v="20500"/>
  </r>
  <r>
    <s v="0.9mm"/>
    <x v="14"/>
    <x v="29"/>
    <x v="29"/>
    <n v="0"/>
    <n v="0"/>
    <n v="19536"/>
    <n v="3648"/>
    <n v="1044"/>
    <n v="576"/>
    <n v="6000"/>
  </r>
  <r>
    <s v="0.9mm"/>
    <x v="15"/>
    <x v="30"/>
    <x v="30"/>
    <n v="30"/>
    <n v="30"/>
    <m/>
    <m/>
    <n v="0"/>
    <m/>
    <n v="200"/>
  </r>
  <r>
    <s v="0.9mm"/>
    <x v="2"/>
    <x v="31"/>
    <x v="31"/>
    <n v="784"/>
    <n v="520"/>
    <n v="2272"/>
    <n v="1076"/>
    <n v="4226"/>
    <n v="4186"/>
    <n v="600"/>
  </r>
  <r>
    <s v="0.9mm"/>
    <x v="10"/>
    <x v="32"/>
    <x v="32"/>
    <n v="0"/>
    <n v="0"/>
    <n v="0"/>
    <n v="0"/>
    <n v="0"/>
    <n v="0"/>
    <n v="600"/>
  </r>
  <r>
    <s v="0.9mm"/>
    <x v="6"/>
    <x v="33"/>
    <x v="33"/>
    <n v="5576"/>
    <n v="2534"/>
    <n v="7382"/>
    <n v="2135"/>
    <n v="7602"/>
    <n v="3544"/>
    <n v="145000"/>
  </r>
  <r>
    <s v="0.9mm"/>
    <x v="6"/>
    <x v="3"/>
    <x v="3"/>
    <n v="5576"/>
    <n v="2534"/>
    <n v="7382"/>
    <n v="2135"/>
    <n v="7602"/>
    <n v="3544"/>
    <n v="190000"/>
  </r>
  <r>
    <s v="0.9mm"/>
    <x v="6"/>
    <x v="10"/>
    <x v="10"/>
    <n v="5576"/>
    <n v="2534"/>
    <n v="7382"/>
    <n v="2135"/>
    <n v="7602"/>
    <n v="3544"/>
    <n v="85000"/>
  </r>
  <r>
    <s v="0.9mm"/>
    <x v="6"/>
    <x v="5"/>
    <x v="5"/>
    <n v="5576"/>
    <n v="2534"/>
    <n v="7382"/>
    <n v="2135"/>
    <n v="7602"/>
    <n v="3544"/>
    <n v="80000"/>
  </r>
  <r>
    <s v="0.9mm"/>
    <x v="6"/>
    <x v="6"/>
    <x v="6"/>
    <n v="5576"/>
    <n v="2534"/>
    <n v="7382"/>
    <n v="2135"/>
    <n v="7602"/>
    <n v="3544"/>
    <n v="65000"/>
  </r>
  <r>
    <s v="0.9mm"/>
    <x v="6"/>
    <x v="7"/>
    <x v="7"/>
    <n v="5576"/>
    <n v="2534"/>
    <n v="7382"/>
    <n v="2135"/>
    <n v="7602"/>
    <n v="3544"/>
    <n v="69000"/>
  </r>
  <r>
    <s v="0.9mm"/>
    <x v="4"/>
    <x v="34"/>
    <x v="34"/>
    <n v="13801"/>
    <n v="5067"/>
    <n v="12960"/>
    <n v="2614"/>
    <n v="2942"/>
    <n v="1644"/>
    <n v="199000"/>
  </r>
  <r>
    <s v="0.9mm"/>
    <x v="4"/>
    <x v="3"/>
    <x v="3"/>
    <n v="13801"/>
    <n v="5067"/>
    <n v="12960"/>
    <n v="2614"/>
    <n v="2942"/>
    <n v="1644"/>
    <n v="190000"/>
  </r>
  <r>
    <s v="0.9mm"/>
    <x v="4"/>
    <x v="4"/>
    <x v="4"/>
    <n v="13801"/>
    <n v="5067"/>
    <n v="12960"/>
    <n v="2614"/>
    <n v="2942"/>
    <n v="1644"/>
    <n v="0"/>
  </r>
  <r>
    <s v="0.9mm"/>
    <x v="4"/>
    <x v="5"/>
    <x v="5"/>
    <n v="13801"/>
    <n v="5067"/>
    <n v="12960"/>
    <n v="2614"/>
    <n v="2942"/>
    <n v="1644"/>
    <n v="80000"/>
  </r>
  <r>
    <s v="0.9mm"/>
    <x v="4"/>
    <x v="6"/>
    <x v="6"/>
    <n v="13801"/>
    <n v="5067"/>
    <n v="12960"/>
    <n v="2614"/>
    <n v="2942"/>
    <n v="1644"/>
    <n v="65000"/>
  </r>
  <r>
    <s v="0.9mm"/>
    <x v="4"/>
    <x v="7"/>
    <x v="7"/>
    <n v="13801"/>
    <n v="5067"/>
    <n v="12960"/>
    <n v="2614"/>
    <n v="2942"/>
    <n v="1644"/>
    <n v="69000"/>
  </r>
  <r>
    <s v="0.9mm"/>
    <x v="4"/>
    <x v="34"/>
    <x v="34"/>
    <n v="13801"/>
    <n v="5067"/>
    <n v="12960"/>
    <n v="2614"/>
    <n v="2942"/>
    <n v="1644"/>
    <n v="199000"/>
  </r>
  <r>
    <s v="2.0mm"/>
    <x v="16"/>
    <x v="35"/>
    <x v="35"/>
    <n v="516"/>
    <n v="516"/>
    <n v="428"/>
    <n v="428"/>
    <n v="174"/>
    <n v="174"/>
    <n v="50"/>
  </r>
  <r>
    <m/>
    <x v="17"/>
    <x v="36"/>
    <x v="36"/>
    <n v="509300"/>
    <n v="121256"/>
    <n v="149148"/>
    <n v="29388"/>
    <n v="126732"/>
    <n v="28280"/>
    <n v="61500"/>
  </r>
  <r>
    <m/>
    <x v="17"/>
    <x v="37"/>
    <x v="37"/>
    <n v="74117"/>
    <n v="24970"/>
    <n v="75916"/>
    <n v="7476"/>
    <n v="56924"/>
    <n v="6884"/>
    <n v="133000"/>
  </r>
  <r>
    <m/>
    <x v="17"/>
    <x v="38"/>
    <x v="38"/>
    <n v="293475"/>
    <n v="61974"/>
    <n v="242976"/>
    <n v="40074"/>
    <n v="208039"/>
    <n v="30540"/>
    <n v="6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12" cacheId="1" applyNumberFormats="0" applyBorderFormats="0" applyFontFormats="0" applyPatternFormats="0" applyAlignmentFormats="0" applyWidthHeightFormats="1" dataCaption="값" updatedVersion="5" minRefreshableVersion="3" useAutoFormatting="1" rowGrandTotals="0" colGrandTotals="0" itemPrintTitles="1" createdVersion="5" indent="0" compact="0" compactData="0" multipleFieldFilters="0">
  <location ref="A3:L43" firstHeaderRow="0" firstDataRow="1" firstDataCol="6"/>
  <pivotFields count="12">
    <pivotField axis="axisRow" compact="0" outline="0" showAll="0" defaultSubtotal="0">
      <items count="39">
        <item x="38"/>
        <item x="36"/>
        <item x="37"/>
        <item x="3"/>
        <item x="32"/>
        <item x="14"/>
        <item x="12"/>
        <item x="13"/>
        <item x="26"/>
        <item x="30"/>
        <item x="24"/>
        <item x="25"/>
        <item x="29"/>
        <item x="15"/>
        <item x="31"/>
        <item x="28"/>
        <item x="2"/>
        <item x="0"/>
        <item x="1"/>
        <item x="27"/>
        <item x="16"/>
        <item x="17"/>
        <item x="19"/>
        <item x="18"/>
        <item x="34"/>
        <item x="33"/>
        <item x="8"/>
        <item x="11"/>
        <item x="9"/>
        <item x="6"/>
        <item x="7"/>
        <item x="22"/>
        <item x="20"/>
        <item x="23"/>
        <item x="21"/>
        <item x="35"/>
        <item x="4"/>
        <item x="1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x="5"/>
        <item x="38"/>
        <item x="37"/>
        <item x="36"/>
        <item x="14"/>
        <item x="26"/>
        <item x="12"/>
        <item x="24"/>
        <item x="25"/>
        <item x="13"/>
        <item x="2"/>
        <item x="18"/>
        <item x="19"/>
        <item x="28"/>
        <item x="27"/>
        <item x="0"/>
        <item x="1"/>
        <item x="16"/>
        <item x="17"/>
        <item x="29"/>
        <item x="15"/>
        <item x="22"/>
        <item x="23"/>
        <item x="20"/>
        <item x="21"/>
        <item x="35"/>
        <item x="32"/>
        <item x="30"/>
        <item x="31"/>
        <item x="8"/>
        <item x="9"/>
        <item x="6"/>
        <item x="33"/>
        <item x="11"/>
        <item x="34"/>
        <item x="7"/>
        <item x="10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1" outline="0" showAll="0" defaultSubtotal="0">
      <items count="39">
        <item x="4"/>
        <item x="34"/>
        <item x="26"/>
        <item x="30"/>
        <item x="25"/>
        <item x="22"/>
        <item x="15"/>
        <item x="31"/>
        <item x="24"/>
        <item x="21"/>
        <item x="14"/>
        <item x="13"/>
        <item x="19"/>
        <item x="23"/>
        <item x="12"/>
        <item x="29"/>
        <item x="17"/>
        <item x="18"/>
        <item x="2"/>
        <item x="16"/>
        <item x="10"/>
        <item x="9"/>
        <item x="28"/>
        <item x="11"/>
        <item x="1"/>
        <item x="0"/>
        <item x="20"/>
        <item x="35"/>
        <item x="37"/>
        <item x="6"/>
        <item x="7"/>
        <item x="5"/>
        <item x="8"/>
        <item m="1" x="38"/>
        <item x="27"/>
        <item x="36"/>
        <item x="32"/>
        <item x="3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1" outline="0" showAll="0" defaultSubtotal="0">
      <items count="4">
        <item x="0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">
        <item x="5"/>
        <item x="0"/>
        <item x="3"/>
        <item x="1"/>
        <item m="1" x="6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10"/>
    <field x="11"/>
    <field x="8"/>
    <field x="9"/>
  </rowFields>
  <rowItems count="40">
    <i>
      <x/>
      <x v="1"/>
      <x/>
      <x v="1"/>
      <x v="28"/>
      <x/>
    </i>
    <i>
      <x v="1"/>
      <x v="3"/>
      <x/>
      <x v="1"/>
      <x v="27"/>
      <x/>
    </i>
    <i>
      <x v="2"/>
      <x v="2"/>
      <x/>
      <x v="1"/>
      <x v="35"/>
      <x/>
    </i>
    <i>
      <x v="3"/>
      <x v="38"/>
      <x v="3"/>
      <x/>
      <x v="37"/>
      <x/>
    </i>
    <i>
      <x v="4"/>
      <x v="26"/>
      <x v="1"/>
      <x v="2"/>
      <x v="7"/>
      <x/>
    </i>
    <i>
      <x v="5"/>
      <x v="4"/>
      <x v="1"/>
      <x v="2"/>
      <x v="10"/>
      <x/>
    </i>
    <i>
      <x v="6"/>
      <x v="6"/>
      <x v="1"/>
      <x v="2"/>
      <x v="14"/>
      <x/>
    </i>
    <i>
      <x v="7"/>
      <x v="9"/>
      <x v="1"/>
      <x v="2"/>
      <x v="11"/>
      <x/>
    </i>
    <i>
      <x v="8"/>
      <x v="5"/>
      <x v="1"/>
      <x v="2"/>
      <x v="2"/>
      <x/>
    </i>
    <i>
      <x v="9"/>
      <x v="27"/>
      <x v="1"/>
      <x v="2"/>
      <x v="3"/>
      <x/>
    </i>
    <i>
      <x v="10"/>
      <x v="7"/>
      <x v="1"/>
      <x v="2"/>
      <x v="8"/>
      <x/>
    </i>
    <i>
      <x v="11"/>
      <x v="8"/>
      <x v="1"/>
      <x v="2"/>
      <x v="4"/>
      <x/>
    </i>
    <i>
      <x v="12"/>
      <x v="19"/>
      <x v="1"/>
      <x v="2"/>
      <x v="15"/>
      <x/>
    </i>
    <i>
      <x v="13"/>
      <x v="20"/>
      <x v="1"/>
      <x v="2"/>
      <x v="6"/>
      <x v="1"/>
    </i>
    <i>
      <x v="14"/>
      <x v="28"/>
      <x v="1"/>
      <x v="2"/>
      <x v="7"/>
      <x/>
    </i>
    <i>
      <x v="15"/>
      <x v="13"/>
      <x v="1"/>
      <x v="2"/>
      <x v="22"/>
      <x/>
    </i>
    <i>
      <x v="16"/>
      <x v="10"/>
      <x v="1"/>
      <x v="2"/>
      <x v="18"/>
      <x/>
    </i>
    <i>
      <x v="17"/>
      <x v="15"/>
      <x v="1"/>
      <x v="2"/>
      <x v="25"/>
      <x/>
    </i>
    <i>
      <x v="18"/>
      <x v="16"/>
      <x v="1"/>
      <x v="2"/>
      <x v="24"/>
      <x v="3"/>
    </i>
    <i>
      <x v="19"/>
      <x v="14"/>
      <x v="1"/>
      <x v="2"/>
      <x v="34"/>
      <x/>
    </i>
    <i>
      <x v="20"/>
      <x v="17"/>
      <x v="1"/>
      <x v="2"/>
      <x v="19"/>
      <x/>
    </i>
    <i>
      <x v="21"/>
      <x v="18"/>
      <x v="1"/>
      <x v="2"/>
      <x v="16"/>
      <x/>
    </i>
    <i>
      <x v="22"/>
      <x v="12"/>
      <x v="1"/>
      <x v="2"/>
      <x v="12"/>
      <x/>
    </i>
    <i>
      <x v="23"/>
      <x v="11"/>
      <x v="1"/>
      <x v="2"/>
      <x v="17"/>
      <x/>
    </i>
    <i>
      <x v="24"/>
      <x v="34"/>
      <x v="1"/>
      <x v="2"/>
      <x v="38"/>
      <x/>
    </i>
    <i>
      <x v="25"/>
      <x v="32"/>
      <x v="1"/>
      <x v="2"/>
      <x v="36"/>
      <x/>
    </i>
    <i>
      <x v="26"/>
      <x v="29"/>
      <x v="2"/>
      <x v="2"/>
      <x v="32"/>
      <x/>
    </i>
    <i>
      <x v="27"/>
      <x v="33"/>
      <x v="2"/>
      <x v="2"/>
      <x v="23"/>
      <x/>
    </i>
    <i>
      <x v="28"/>
      <x v="30"/>
      <x v="2"/>
      <x v="2"/>
      <x v="21"/>
      <x/>
    </i>
    <i>
      <x v="29"/>
      <x v="31"/>
      <x v="5"/>
      <x/>
      <x v="29"/>
      <x/>
    </i>
    <i>
      <x v="30"/>
      <x v="35"/>
      <x v="5"/>
      <x/>
      <x v="30"/>
      <x/>
    </i>
    <i>
      <x v="31"/>
      <x v="21"/>
      <x v="1"/>
      <x v="2"/>
      <x v="5"/>
      <x v="2"/>
    </i>
    <i>
      <x v="32"/>
      <x v="23"/>
      <x v="1"/>
      <x v="2"/>
      <x v="26"/>
      <x/>
    </i>
    <i>
      <x v="33"/>
      <x v="22"/>
      <x v="1"/>
      <x v="2"/>
      <x v="13"/>
      <x/>
    </i>
    <i>
      <x v="34"/>
      <x v="24"/>
      <x v="1"/>
      <x v="2"/>
      <x v="9"/>
      <x/>
    </i>
    <i>
      <x v="35"/>
      <x v="25"/>
      <x v="6"/>
      <x v="3"/>
      <x v="1"/>
      <x/>
    </i>
    <i>
      <x v="36"/>
      <x v="37"/>
      <x v="1"/>
      <x v="2"/>
      <x/>
      <x/>
    </i>
    <i>
      <x v="37"/>
      <x v="36"/>
      <x v="1"/>
      <x v="2"/>
      <x v="20"/>
      <x/>
    </i>
    <i r="4">
      <x v="32"/>
      <x/>
    </i>
    <i>
      <x v="38"/>
      <x/>
      <x v="1"/>
      <x v="2"/>
      <x v="31"/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2023년 연간 사용량" fld="2" baseField="8" baseItem="28"/>
    <dataField name="2023년 피크 사용량" fld="3" baseField="9" baseItem="0"/>
    <dataField name="2024년 연간 사용량" fld="4" baseField="9" baseItem="0"/>
    <dataField name="2024년 피크 사용량" fld="5" baseField="9" baseItem="0"/>
    <dataField name="2025년 연간 사용량" fld="6" baseField="8" baseItem="28"/>
    <dataField name="25년 피크 사용량" fld="7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36F62-23D4-4CF9-89E3-2615AD8B7625}" name="피벗 테이블3" cacheId="2" applyNumberFormats="0" applyBorderFormats="0" applyFontFormats="0" applyPatternFormats="0" applyAlignmentFormats="0" applyWidthHeightFormats="1" dataCaption="값" updatedVersion="8" minRefreshableVersion="3" useAutoFormatting="1" rowGrandTotals="0" colGrandTotals="0" itemPrintTitles="1" createdVersion="8" indent="0" compact="0" compactData="0" multipleFieldFilters="0">
  <location ref="A3:E42" firstHeaderRow="0" firstDataRow="1" firstDataCol="2"/>
  <pivotFields count="11">
    <pivotField compact="0" outline="0" showAll="0" defaultSubtotal="0"/>
    <pivotField compact="0" outline="0" showAll="0" defaultSubtotal="0">
      <items count="18">
        <item x="10"/>
        <item x="11"/>
        <item x="9"/>
        <item x="8"/>
        <item x="15"/>
        <item x="2"/>
        <item x="3"/>
        <item x="13"/>
        <item x="14"/>
        <item x="12"/>
        <item x="1"/>
        <item x="0"/>
        <item x="6"/>
        <item x="7"/>
        <item x="5"/>
        <item x="4"/>
        <item x="16"/>
        <item x="17"/>
      </items>
    </pivotField>
    <pivotField axis="axisRow" compact="0" outline="0" showAll="0" defaultSubtotal="0">
      <items count="39">
        <item x="38"/>
        <item x="36"/>
        <item x="37"/>
        <item x="3"/>
        <item x="32"/>
        <item x="14"/>
        <item x="12"/>
        <item x="13"/>
        <item x="26"/>
        <item x="30"/>
        <item x="24"/>
        <item x="25"/>
        <item x="29"/>
        <item x="15"/>
        <item x="31"/>
        <item x="28"/>
        <item x="2"/>
        <item x="0"/>
        <item x="1"/>
        <item x="27"/>
        <item x="16"/>
        <item x="17"/>
        <item x="19"/>
        <item x="18"/>
        <item x="34"/>
        <item x="33"/>
        <item x="8"/>
        <item x="11"/>
        <item x="9"/>
        <item x="6"/>
        <item x="7"/>
        <item x="22"/>
        <item x="20"/>
        <item x="23"/>
        <item x="21"/>
        <item x="35"/>
        <item x="4"/>
        <item x="10"/>
        <item x="5"/>
      </items>
    </pivotField>
    <pivotField axis="axisRow" compact="0" outline="0" showAll="0" defaultSubtotal="0">
      <items count="39">
        <item x="5"/>
        <item x="38"/>
        <item x="37"/>
        <item x="36"/>
        <item x="14"/>
        <item x="26"/>
        <item x="12"/>
        <item x="24"/>
        <item x="25"/>
        <item x="13"/>
        <item x="2"/>
        <item x="18"/>
        <item x="19"/>
        <item x="28"/>
        <item x="27"/>
        <item x="0"/>
        <item x="1"/>
        <item x="16"/>
        <item x="17"/>
        <item x="29"/>
        <item x="15"/>
        <item x="22"/>
        <item x="23"/>
        <item x="20"/>
        <item x="21"/>
        <item x="35"/>
        <item x="32"/>
        <item x="30"/>
        <item x="31"/>
        <item x="8"/>
        <item x="9"/>
        <item x="6"/>
        <item x="33"/>
        <item x="11"/>
        <item x="34"/>
        <item x="7"/>
        <item x="10"/>
        <item x="4"/>
        <item x="3"/>
      </items>
    </pivotField>
    <pivotField compact="0" numFmtId="41" outline="0" showAll="0" defaultSubtotal="0"/>
    <pivotField dataField="1" compact="0" numFmtId="41" outline="0" showAll="0" defaultSubtotal="0"/>
    <pivotField compact="0" outline="0" showAll="0" defaultSubtotal="0"/>
    <pivotField dataField="1" compact="0" outline="0" showAll="0" defaultSubtotal="0"/>
    <pivotField compact="0" numFmtId="41" outline="0" showAll="0" defaultSubtotal="0"/>
    <pivotField dataField="1" compact="0" outline="0" showAll="0" defaultSubtotal="0"/>
    <pivotField compact="0" numFmtId="41" outline="0" showAll="0" defaultSubtotal="0"/>
  </pivotFields>
  <rowFields count="2">
    <field x="2"/>
    <field x="3"/>
  </rowFields>
  <rowItems count="39">
    <i>
      <x/>
      <x v="1"/>
    </i>
    <i>
      <x v="1"/>
      <x v="3"/>
    </i>
    <i>
      <x v="2"/>
      <x v="2"/>
    </i>
    <i>
      <x v="3"/>
      <x v="38"/>
    </i>
    <i>
      <x v="4"/>
      <x v="26"/>
    </i>
    <i>
      <x v="5"/>
      <x v="4"/>
    </i>
    <i>
      <x v="6"/>
      <x v="6"/>
    </i>
    <i>
      <x v="7"/>
      <x v="9"/>
    </i>
    <i>
      <x v="8"/>
      <x v="5"/>
    </i>
    <i>
      <x v="9"/>
      <x v="27"/>
    </i>
    <i>
      <x v="10"/>
      <x v="7"/>
    </i>
    <i>
      <x v="11"/>
      <x v="8"/>
    </i>
    <i>
      <x v="12"/>
      <x v="19"/>
    </i>
    <i>
      <x v="13"/>
      <x v="20"/>
    </i>
    <i>
      <x v="14"/>
      <x v="28"/>
    </i>
    <i>
      <x v="15"/>
      <x v="13"/>
    </i>
    <i>
      <x v="16"/>
      <x v="10"/>
    </i>
    <i>
      <x v="17"/>
      <x v="15"/>
    </i>
    <i>
      <x v="18"/>
      <x v="16"/>
    </i>
    <i>
      <x v="19"/>
      <x v="14"/>
    </i>
    <i>
      <x v="20"/>
      <x v="17"/>
    </i>
    <i>
      <x v="21"/>
      <x v="18"/>
    </i>
    <i>
      <x v="22"/>
      <x v="12"/>
    </i>
    <i>
      <x v="23"/>
      <x v="11"/>
    </i>
    <i>
      <x v="24"/>
      <x v="34"/>
    </i>
    <i>
      <x v="25"/>
      <x v="32"/>
    </i>
    <i>
      <x v="26"/>
      <x v="29"/>
    </i>
    <i>
      <x v="27"/>
      <x v="33"/>
    </i>
    <i>
      <x v="28"/>
      <x v="30"/>
    </i>
    <i>
      <x v="29"/>
      <x v="31"/>
    </i>
    <i>
      <x v="30"/>
      <x v="35"/>
    </i>
    <i>
      <x v="31"/>
      <x v="21"/>
    </i>
    <i>
      <x v="32"/>
      <x v="23"/>
    </i>
    <i>
      <x v="33"/>
      <x v="22"/>
    </i>
    <i>
      <x v="34"/>
      <x v="24"/>
    </i>
    <i>
      <x v="35"/>
      <x v="25"/>
    </i>
    <i>
      <x v="36"/>
      <x v="37"/>
    </i>
    <i>
      <x v="37"/>
      <x v="36"/>
    </i>
    <i>
      <x v="38"/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합계 : 23년 연간 피크 사용량" fld="5" baseField="0" baseItem="0"/>
    <dataField name="합계 : 24년 연간 피크 사용량" fld="7" baseField="0" baseItem="0"/>
    <dataField name="합계 : 25년 연간 피크 사용량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71"/>
  <sheetViews>
    <sheetView view="pageBreakPreview" topLeftCell="D1" zoomScale="70" zoomScaleNormal="100" zoomScaleSheetLayoutView="70" workbookViewId="0">
      <pane ySplit="3" topLeftCell="A4" activePane="bottomLeft" state="frozen"/>
      <selection activeCell="C32" sqref="C32"/>
      <selection pane="bottomLeft" activeCell="E14" sqref="E14"/>
    </sheetView>
  </sheetViews>
  <sheetFormatPr defaultRowHeight="15.6" x14ac:dyDescent="0.35"/>
  <cols>
    <col min="1" max="1" width="8.88671875" hidden="1" customWidth="1"/>
    <col min="2" max="2" width="14.33203125" hidden="1" customWidth="1"/>
    <col min="3" max="3" width="21.6640625" hidden="1" customWidth="1"/>
    <col min="4" max="4" width="33.33203125" bestFit="1" customWidth="1"/>
    <col min="5" max="5" width="74.6640625" customWidth="1"/>
    <col min="6" max="6" width="20.44140625" style="1" customWidth="1"/>
    <col min="7" max="7" width="22.88671875" style="1" customWidth="1"/>
    <col min="8" max="8" width="23" style="1" customWidth="1"/>
    <col min="9" max="9" width="21" style="1" customWidth="1"/>
    <col min="10" max="10" width="19" style="1" customWidth="1"/>
    <col min="11" max="11" width="20.6640625" style="1" customWidth="1"/>
    <col min="12" max="12" width="21.33203125" style="1" bestFit="1" customWidth="1"/>
    <col min="13" max="13" width="19.109375" bestFit="1" customWidth="1"/>
    <col min="14" max="14" width="17.6640625" bestFit="1" customWidth="1"/>
    <col min="15" max="15" width="18.33203125" bestFit="1" customWidth="1"/>
    <col min="16" max="17" width="10.44140625" bestFit="1" customWidth="1"/>
  </cols>
  <sheetData>
    <row r="1" spans="1:17" ht="37.799999999999997" x14ac:dyDescent="0.35">
      <c r="D1" s="61" t="s">
        <v>150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7" ht="19.2" x14ac:dyDescent="0.35">
      <c r="A2" s="2"/>
      <c r="B2" s="2"/>
      <c r="C2" s="2"/>
      <c r="D2" s="62" t="s">
        <v>12</v>
      </c>
      <c r="E2" s="62" t="s">
        <v>13</v>
      </c>
      <c r="F2" s="64" t="s">
        <v>119</v>
      </c>
      <c r="G2" s="65"/>
      <c r="H2" s="64" t="s">
        <v>0</v>
      </c>
      <c r="I2" s="65"/>
      <c r="J2" s="64" t="s">
        <v>135</v>
      </c>
      <c r="K2" s="65"/>
      <c r="L2" s="66" t="s">
        <v>141</v>
      </c>
      <c r="M2" s="62" t="s">
        <v>76</v>
      </c>
      <c r="N2" s="62" t="s">
        <v>21</v>
      </c>
      <c r="O2" s="68" t="s">
        <v>58</v>
      </c>
    </row>
    <row r="3" spans="1:17" ht="19.2" x14ac:dyDescent="0.35">
      <c r="A3" s="2" t="s">
        <v>136</v>
      </c>
      <c r="B3" s="3" t="s">
        <v>46</v>
      </c>
      <c r="C3" s="23" t="s">
        <v>1</v>
      </c>
      <c r="D3" s="63"/>
      <c r="E3" s="63"/>
      <c r="F3" s="4" t="s">
        <v>20</v>
      </c>
      <c r="G3" s="4" t="s">
        <v>120</v>
      </c>
      <c r="H3" s="4" t="s">
        <v>20</v>
      </c>
      <c r="I3" s="4" t="s">
        <v>120</v>
      </c>
      <c r="J3" s="4" t="s">
        <v>20</v>
      </c>
      <c r="K3" s="4" t="s">
        <v>120</v>
      </c>
      <c r="L3" s="67"/>
      <c r="M3" s="63"/>
      <c r="N3" s="63"/>
      <c r="O3" s="69"/>
      <c r="P3" t="s">
        <v>511</v>
      </c>
      <c r="Q3" t="s">
        <v>512</v>
      </c>
    </row>
    <row r="4" spans="1:17" ht="20.100000000000001" customHeight="1" x14ac:dyDescent="0.35">
      <c r="A4" s="2">
        <v>1</v>
      </c>
      <c r="B4" s="3" t="s">
        <v>4</v>
      </c>
      <c r="C4" s="3" t="s">
        <v>14</v>
      </c>
      <c r="D4" s="5" t="s">
        <v>16</v>
      </c>
      <c r="E4" s="5" t="s">
        <v>17</v>
      </c>
      <c r="F4" s="9">
        <v>239745</v>
      </c>
      <c r="G4" s="9">
        <v>158879</v>
      </c>
      <c r="H4" s="4">
        <v>124836.4</v>
      </c>
      <c r="I4" s="4">
        <v>94039.4</v>
      </c>
      <c r="J4" s="10">
        <v>252405.7</v>
      </c>
      <c r="K4" s="10">
        <v>142869</v>
      </c>
      <c r="L4" s="10">
        <v>40000</v>
      </c>
      <c r="M4" s="6" t="s">
        <v>78</v>
      </c>
      <c r="N4" s="4" t="s">
        <v>22</v>
      </c>
      <c r="O4" s="18"/>
      <c r="P4" s="36">
        <f>AVERAGE(F4,H4,J4)</f>
        <v>205662.3666666667</v>
      </c>
      <c r="Q4" s="36">
        <f>AVERAGE(G4,I4,K4)</f>
        <v>131929.13333333333</v>
      </c>
    </row>
    <row r="5" spans="1:17" ht="20.100000000000001" customHeight="1" x14ac:dyDescent="0.35">
      <c r="A5" s="2">
        <v>2</v>
      </c>
      <c r="B5" s="3" t="s">
        <v>4</v>
      </c>
      <c r="C5" s="3" t="s">
        <v>15</v>
      </c>
      <c r="D5" s="5" t="s">
        <v>18</v>
      </c>
      <c r="E5" s="7" t="s">
        <v>19</v>
      </c>
      <c r="F5" s="9">
        <v>264991</v>
      </c>
      <c r="G5" s="9">
        <v>173644</v>
      </c>
      <c r="H5" s="4">
        <v>154526</v>
      </c>
      <c r="I5" s="4">
        <v>98568</v>
      </c>
      <c r="J5" s="10">
        <v>303303.25</v>
      </c>
      <c r="K5" s="10">
        <v>169588.25</v>
      </c>
      <c r="L5" s="10">
        <v>108000</v>
      </c>
      <c r="M5" s="6" t="s">
        <v>77</v>
      </c>
      <c r="N5" s="4" t="s">
        <v>22</v>
      </c>
      <c r="O5" s="18"/>
      <c r="P5" s="36">
        <f t="shared" ref="P5:P51" si="0">AVERAGE(F5,H5,J5)</f>
        <v>240940.08333333334</v>
      </c>
      <c r="Q5" s="36">
        <f t="shared" ref="Q5:Q51" si="1">AVERAGE(G5,I5,K5)</f>
        <v>147266.75</v>
      </c>
    </row>
    <row r="6" spans="1:17" ht="20.100000000000001" customHeight="1" x14ac:dyDescent="0.35">
      <c r="A6" s="2">
        <v>3</v>
      </c>
      <c r="B6" s="3" t="s">
        <v>4</v>
      </c>
      <c r="C6" s="3" t="s">
        <v>23</v>
      </c>
      <c r="D6" s="5" t="s">
        <v>25</v>
      </c>
      <c r="E6" s="7" t="s">
        <v>26</v>
      </c>
      <c r="F6" s="9">
        <v>27496</v>
      </c>
      <c r="G6" s="9">
        <v>22234</v>
      </c>
      <c r="H6" s="4">
        <v>28481</v>
      </c>
      <c r="I6" s="4">
        <v>17116</v>
      </c>
      <c r="J6" s="10">
        <v>400</v>
      </c>
      <c r="K6" s="10">
        <v>400</v>
      </c>
      <c r="L6" s="10">
        <v>10000</v>
      </c>
      <c r="M6" s="6" t="s">
        <v>79</v>
      </c>
      <c r="N6" s="4" t="s">
        <v>22</v>
      </c>
      <c r="O6" s="17"/>
      <c r="P6" s="36">
        <f t="shared" si="0"/>
        <v>18792.333333333332</v>
      </c>
      <c r="Q6" s="36">
        <f t="shared" si="1"/>
        <v>13250</v>
      </c>
    </row>
    <row r="7" spans="1:17" ht="20.100000000000001" customHeight="1" x14ac:dyDescent="0.35">
      <c r="A7" s="2">
        <v>4</v>
      </c>
      <c r="B7" s="3" t="s">
        <v>4</v>
      </c>
      <c r="C7" s="3" t="s">
        <v>24</v>
      </c>
      <c r="D7" s="5" t="s">
        <v>27</v>
      </c>
      <c r="E7" s="7" t="s">
        <v>28</v>
      </c>
      <c r="F7" s="9">
        <v>48355</v>
      </c>
      <c r="G7" s="9">
        <v>34325</v>
      </c>
      <c r="H7" s="4">
        <v>61867</v>
      </c>
      <c r="I7" s="4">
        <v>36435</v>
      </c>
      <c r="J7" s="10">
        <v>12500</v>
      </c>
      <c r="K7" s="10">
        <v>7270</v>
      </c>
      <c r="L7" s="10">
        <v>10000</v>
      </c>
      <c r="M7" s="6" t="s">
        <v>78</v>
      </c>
      <c r="N7" s="4" t="s">
        <v>22</v>
      </c>
      <c r="O7" s="17"/>
      <c r="P7" s="36">
        <f t="shared" si="0"/>
        <v>40907.333333333336</v>
      </c>
      <c r="Q7" s="36">
        <f t="shared" si="1"/>
        <v>26010</v>
      </c>
    </row>
    <row r="8" spans="1:17" ht="20.100000000000001" customHeight="1" x14ac:dyDescent="0.35">
      <c r="A8" s="2">
        <v>5</v>
      </c>
      <c r="B8" s="3" t="s">
        <v>4</v>
      </c>
      <c r="C8" s="3" t="s">
        <v>29</v>
      </c>
      <c r="D8" s="5" t="s">
        <v>30</v>
      </c>
      <c r="E8" s="7" t="s">
        <v>31</v>
      </c>
      <c r="F8" s="9">
        <v>2876</v>
      </c>
      <c r="G8" s="9">
        <v>2876</v>
      </c>
      <c r="H8" s="4">
        <v>749</v>
      </c>
      <c r="I8" s="4">
        <v>749</v>
      </c>
      <c r="J8" s="4">
        <v>0</v>
      </c>
      <c r="K8" s="4">
        <v>0</v>
      </c>
      <c r="L8" s="10">
        <v>1650</v>
      </c>
      <c r="M8" s="6" t="s">
        <v>77</v>
      </c>
      <c r="N8" s="4" t="s">
        <v>22</v>
      </c>
      <c r="O8" s="17"/>
      <c r="P8" s="36">
        <f t="shared" si="0"/>
        <v>1208.3333333333333</v>
      </c>
      <c r="Q8" s="36">
        <f t="shared" si="1"/>
        <v>1208.3333333333333</v>
      </c>
    </row>
    <row r="9" spans="1:17" ht="20.100000000000001" customHeight="1" x14ac:dyDescent="0.35">
      <c r="A9" s="2">
        <v>6</v>
      </c>
      <c r="B9" s="3" t="s">
        <v>4</v>
      </c>
      <c r="C9" s="3" t="s">
        <v>32</v>
      </c>
      <c r="D9" s="5" t="s">
        <v>34</v>
      </c>
      <c r="E9" s="7" t="s">
        <v>35</v>
      </c>
      <c r="F9" s="9">
        <v>350</v>
      </c>
      <c r="G9" s="9">
        <v>350</v>
      </c>
      <c r="H9" s="4">
        <v>622</v>
      </c>
      <c r="I9" s="4">
        <v>622</v>
      </c>
      <c r="J9" s="10">
        <v>400</v>
      </c>
      <c r="K9" s="10">
        <v>400</v>
      </c>
      <c r="L9" s="10">
        <v>16200</v>
      </c>
      <c r="M9" s="6" t="s">
        <v>78</v>
      </c>
      <c r="N9" s="4" t="s">
        <v>22</v>
      </c>
      <c r="O9" s="17"/>
      <c r="P9" s="36">
        <f t="shared" si="0"/>
        <v>457.33333333333331</v>
      </c>
      <c r="Q9" s="36">
        <f t="shared" si="1"/>
        <v>457.33333333333331</v>
      </c>
    </row>
    <row r="10" spans="1:17" ht="20.100000000000001" customHeight="1" x14ac:dyDescent="0.35">
      <c r="A10" s="2">
        <v>7</v>
      </c>
      <c r="B10" s="3" t="s">
        <v>4</v>
      </c>
      <c r="C10" s="3" t="s">
        <v>33</v>
      </c>
      <c r="D10" s="5" t="s">
        <v>36</v>
      </c>
      <c r="E10" s="7" t="s">
        <v>37</v>
      </c>
      <c r="F10" s="9">
        <v>38608</v>
      </c>
      <c r="G10" s="9">
        <v>29538</v>
      </c>
      <c r="H10" s="4">
        <v>20404</v>
      </c>
      <c r="I10" s="4">
        <v>18059</v>
      </c>
      <c r="J10" s="10">
        <v>13325</v>
      </c>
      <c r="K10" s="10">
        <v>12725</v>
      </c>
      <c r="L10" s="10">
        <v>18000</v>
      </c>
      <c r="M10" s="6" t="s">
        <v>78</v>
      </c>
      <c r="N10" s="4" t="s">
        <v>22</v>
      </c>
      <c r="O10" s="17"/>
      <c r="P10" s="36">
        <f t="shared" si="0"/>
        <v>24112.333333333332</v>
      </c>
      <c r="Q10" s="36">
        <f t="shared" si="1"/>
        <v>20107.333333333332</v>
      </c>
    </row>
    <row r="11" spans="1:17" ht="20.100000000000001" customHeight="1" x14ac:dyDescent="0.35">
      <c r="A11" s="2">
        <v>8</v>
      </c>
      <c r="B11" s="3" t="s">
        <v>4</v>
      </c>
      <c r="C11" s="3" t="s">
        <v>38</v>
      </c>
      <c r="D11" s="5" t="s">
        <v>40</v>
      </c>
      <c r="E11" s="7" t="s">
        <v>41</v>
      </c>
      <c r="F11" s="9">
        <v>6938</v>
      </c>
      <c r="G11" s="9">
        <v>6868</v>
      </c>
      <c r="H11" s="4"/>
      <c r="I11" s="4"/>
      <c r="J11" s="10">
        <v>6000</v>
      </c>
      <c r="K11" s="10">
        <v>5250</v>
      </c>
      <c r="L11" s="10">
        <v>22000</v>
      </c>
      <c r="M11" s="6" t="s">
        <v>81</v>
      </c>
      <c r="N11" s="4" t="s">
        <v>22</v>
      </c>
      <c r="O11" s="17"/>
      <c r="P11" s="36">
        <f t="shared" si="0"/>
        <v>6469</v>
      </c>
      <c r="Q11" s="36">
        <f t="shared" si="1"/>
        <v>6059</v>
      </c>
    </row>
    <row r="12" spans="1:17" ht="20.100000000000001" customHeight="1" x14ac:dyDescent="0.35">
      <c r="A12" s="2">
        <v>9</v>
      </c>
      <c r="B12" s="3" t="s">
        <v>4</v>
      </c>
      <c r="C12" s="3" t="s">
        <v>39</v>
      </c>
      <c r="D12" s="5" t="s">
        <v>42</v>
      </c>
      <c r="E12" s="7" t="s">
        <v>43</v>
      </c>
      <c r="F12" s="9">
        <v>43219</v>
      </c>
      <c r="G12" s="9">
        <v>31421</v>
      </c>
      <c r="H12" s="4">
        <v>32680</v>
      </c>
      <c r="I12" s="4">
        <v>26380</v>
      </c>
      <c r="J12" s="10">
        <v>47465</v>
      </c>
      <c r="K12" s="10">
        <v>40515</v>
      </c>
      <c r="L12" s="10">
        <v>18000</v>
      </c>
      <c r="M12" s="6" t="s">
        <v>80</v>
      </c>
      <c r="N12" s="4" t="s">
        <v>22</v>
      </c>
      <c r="O12" s="17"/>
      <c r="P12" s="36">
        <f t="shared" si="0"/>
        <v>41121.333333333336</v>
      </c>
      <c r="Q12" s="36">
        <f t="shared" si="1"/>
        <v>32772</v>
      </c>
    </row>
    <row r="13" spans="1:17" ht="20.100000000000001" customHeight="1" x14ac:dyDescent="0.35">
      <c r="A13" s="2">
        <v>10</v>
      </c>
      <c r="B13" s="3" t="s">
        <v>4</v>
      </c>
      <c r="C13" s="3" t="s">
        <v>55</v>
      </c>
      <c r="D13" s="5" t="s">
        <v>69</v>
      </c>
      <c r="E13" s="7" t="s">
        <v>70</v>
      </c>
      <c r="F13" s="9">
        <v>235</v>
      </c>
      <c r="G13" s="9">
        <v>235</v>
      </c>
      <c r="H13" s="4">
        <v>1200</v>
      </c>
      <c r="I13" s="4">
        <v>1200</v>
      </c>
      <c r="J13" s="10">
        <v>581</v>
      </c>
      <c r="K13" s="10">
        <v>581</v>
      </c>
      <c r="L13" s="10">
        <v>8000</v>
      </c>
      <c r="M13" s="6" t="s">
        <v>80</v>
      </c>
      <c r="N13" s="4" t="s">
        <v>22</v>
      </c>
      <c r="O13" s="17"/>
      <c r="P13" s="36">
        <f t="shared" si="0"/>
        <v>672</v>
      </c>
      <c r="Q13" s="36">
        <f t="shared" si="1"/>
        <v>672</v>
      </c>
    </row>
    <row r="14" spans="1:17" ht="20.100000000000001" customHeight="1" x14ac:dyDescent="0.35">
      <c r="A14" s="2">
        <v>10</v>
      </c>
      <c r="B14" s="3" t="s">
        <v>4</v>
      </c>
      <c r="C14" s="3" t="s">
        <v>56</v>
      </c>
      <c r="D14" s="5" t="s">
        <v>116</v>
      </c>
      <c r="E14" s="7" t="s">
        <v>117</v>
      </c>
      <c r="F14" s="9">
        <v>54321</v>
      </c>
      <c r="G14" s="9">
        <v>33565</v>
      </c>
      <c r="H14" s="4">
        <v>49954</v>
      </c>
      <c r="I14" s="4">
        <v>41800</v>
      </c>
      <c r="J14" s="10">
        <v>43079</v>
      </c>
      <c r="K14" s="10">
        <v>24607</v>
      </c>
      <c r="L14" s="10">
        <v>24000</v>
      </c>
      <c r="M14" s="6" t="s">
        <v>80</v>
      </c>
      <c r="N14" s="4" t="s">
        <v>22</v>
      </c>
      <c r="O14" s="17"/>
      <c r="P14" s="36">
        <f t="shared" si="0"/>
        <v>49118</v>
      </c>
      <c r="Q14" s="36">
        <f t="shared" si="1"/>
        <v>33324</v>
      </c>
    </row>
    <row r="15" spans="1:17" ht="20.100000000000001" customHeight="1" x14ac:dyDescent="0.35">
      <c r="A15" s="2">
        <v>10</v>
      </c>
      <c r="B15" s="3" t="s">
        <v>4</v>
      </c>
      <c r="C15" s="3" t="s">
        <v>57</v>
      </c>
      <c r="D15" s="5" t="s">
        <v>506</v>
      </c>
      <c r="E15" s="7" t="s">
        <v>507</v>
      </c>
      <c r="F15" s="9">
        <v>24806</v>
      </c>
      <c r="G15" s="9">
        <v>19132</v>
      </c>
      <c r="H15" s="4">
        <v>22714</v>
      </c>
      <c r="I15" s="4">
        <v>18408</v>
      </c>
      <c r="J15" s="10">
        <v>30932</v>
      </c>
      <c r="K15" s="10">
        <v>26269</v>
      </c>
      <c r="L15" s="10">
        <v>24000</v>
      </c>
      <c r="M15" s="6" t="s">
        <v>80</v>
      </c>
      <c r="N15" s="4" t="s">
        <v>22</v>
      </c>
      <c r="O15" s="17"/>
      <c r="P15" s="36">
        <f t="shared" si="0"/>
        <v>26150.666666666668</v>
      </c>
      <c r="Q15" s="36">
        <f t="shared" si="1"/>
        <v>21269.666666666668</v>
      </c>
    </row>
    <row r="16" spans="1:17" ht="20.100000000000001" customHeight="1" x14ac:dyDescent="0.35">
      <c r="A16" s="2">
        <v>10</v>
      </c>
      <c r="B16" s="3" t="s">
        <v>4</v>
      </c>
      <c r="C16" s="3" t="s">
        <v>122</v>
      </c>
      <c r="D16" s="7" t="s">
        <v>123</v>
      </c>
      <c r="E16" s="7" t="s">
        <v>124</v>
      </c>
      <c r="F16" s="9">
        <v>511</v>
      </c>
      <c r="G16" s="9">
        <v>511</v>
      </c>
      <c r="H16" s="4">
        <v>0</v>
      </c>
      <c r="I16" s="4">
        <v>0</v>
      </c>
      <c r="J16" s="4">
        <v>0</v>
      </c>
      <c r="K16" s="4">
        <v>0</v>
      </c>
      <c r="L16" s="10">
        <v>100</v>
      </c>
      <c r="M16" s="6" t="s">
        <v>80</v>
      </c>
      <c r="N16" s="4" t="s">
        <v>22</v>
      </c>
      <c r="O16" s="17"/>
      <c r="P16" s="36">
        <f t="shared" si="0"/>
        <v>170.33333333333334</v>
      </c>
      <c r="Q16" s="36">
        <f t="shared" si="1"/>
        <v>170.33333333333334</v>
      </c>
    </row>
    <row r="17" spans="1:17" ht="20.100000000000001" customHeight="1" x14ac:dyDescent="0.35">
      <c r="A17" s="2">
        <v>11</v>
      </c>
      <c r="B17" s="3" t="s">
        <v>4</v>
      </c>
      <c r="C17" s="11" t="s">
        <v>44</v>
      </c>
      <c r="D17" s="15" t="s">
        <v>47</v>
      </c>
      <c r="E17" s="15" t="s">
        <v>48</v>
      </c>
      <c r="F17" s="12">
        <v>176616</v>
      </c>
      <c r="G17" s="12">
        <v>97741</v>
      </c>
      <c r="H17" s="13">
        <v>86711.5</v>
      </c>
      <c r="I17" s="13">
        <v>57180.5</v>
      </c>
      <c r="J17" s="14">
        <v>103438</v>
      </c>
      <c r="K17" s="14">
        <v>64561</v>
      </c>
      <c r="L17" s="14">
        <v>43000</v>
      </c>
      <c r="M17" s="13" t="s">
        <v>112</v>
      </c>
      <c r="N17" s="13" t="s">
        <v>22</v>
      </c>
      <c r="O17" s="11">
        <v>6900</v>
      </c>
      <c r="P17" s="36">
        <f t="shared" si="0"/>
        <v>122255.16666666667</v>
      </c>
      <c r="Q17" s="36">
        <f t="shared" si="1"/>
        <v>73160.833333333328</v>
      </c>
    </row>
    <row r="18" spans="1:17" ht="20.100000000000001" customHeight="1" x14ac:dyDescent="0.35">
      <c r="A18" s="2">
        <v>11</v>
      </c>
      <c r="B18" s="3" t="s">
        <v>4</v>
      </c>
      <c r="C18" s="11" t="s">
        <v>45</v>
      </c>
      <c r="D18" s="15" t="s">
        <v>49</v>
      </c>
      <c r="E18" s="15" t="s">
        <v>50</v>
      </c>
      <c r="F18" s="12">
        <v>245427</v>
      </c>
      <c r="G18" s="12">
        <v>122032</v>
      </c>
      <c r="H18" s="13">
        <v>189126</v>
      </c>
      <c r="I18" s="13">
        <v>114480</v>
      </c>
      <c r="J18" s="14">
        <v>269714</v>
      </c>
      <c r="K18" s="14">
        <v>128832</v>
      </c>
      <c r="L18" s="14">
        <v>38000</v>
      </c>
      <c r="M18" s="13" t="s">
        <v>112</v>
      </c>
      <c r="N18" s="13" t="s">
        <v>22</v>
      </c>
      <c r="O18" s="11">
        <v>7240</v>
      </c>
      <c r="P18" s="36">
        <f t="shared" si="0"/>
        <v>234755.66666666666</v>
      </c>
      <c r="Q18" s="36">
        <f t="shared" si="1"/>
        <v>121781.33333333333</v>
      </c>
    </row>
    <row r="19" spans="1:17" ht="20.100000000000001" customHeight="1" x14ac:dyDescent="0.35">
      <c r="A19" s="2">
        <v>12</v>
      </c>
      <c r="B19" s="3" t="s">
        <v>10</v>
      </c>
      <c r="C19" s="11" t="s">
        <v>44</v>
      </c>
      <c r="D19" s="15" t="s">
        <v>130</v>
      </c>
      <c r="E19" s="16" t="s">
        <v>71</v>
      </c>
      <c r="F19" s="12">
        <v>2330.5</v>
      </c>
      <c r="G19" s="12">
        <v>1993</v>
      </c>
      <c r="H19" s="13">
        <v>13225</v>
      </c>
      <c r="I19" s="13">
        <v>9801.5</v>
      </c>
      <c r="J19" s="14">
        <v>17783</v>
      </c>
      <c r="K19" s="14">
        <v>8403</v>
      </c>
      <c r="L19" s="14">
        <v>6000</v>
      </c>
      <c r="M19" s="13" t="s">
        <v>112</v>
      </c>
      <c r="N19" s="13" t="s">
        <v>22</v>
      </c>
      <c r="O19" s="22">
        <v>12000</v>
      </c>
      <c r="P19" s="36">
        <f t="shared" si="0"/>
        <v>11112.833333333334</v>
      </c>
      <c r="Q19" s="36">
        <f t="shared" si="1"/>
        <v>6732.5</v>
      </c>
    </row>
    <row r="20" spans="1:17" ht="20.100000000000001" customHeight="1" x14ac:dyDescent="0.35">
      <c r="A20" s="2">
        <v>13</v>
      </c>
      <c r="B20" s="3" t="s">
        <v>10</v>
      </c>
      <c r="C20" s="11" t="s">
        <v>45</v>
      </c>
      <c r="D20" s="15" t="s">
        <v>72</v>
      </c>
      <c r="E20" s="16" t="s">
        <v>73</v>
      </c>
      <c r="F20" s="12">
        <v>2302</v>
      </c>
      <c r="G20" s="12">
        <v>2004</v>
      </c>
      <c r="H20" s="13">
        <v>8542</v>
      </c>
      <c r="I20" s="13">
        <v>5175</v>
      </c>
      <c r="J20" s="14">
        <v>19703</v>
      </c>
      <c r="K20" s="14">
        <v>8872</v>
      </c>
      <c r="L20" s="14">
        <v>15000</v>
      </c>
      <c r="M20" s="13" t="s">
        <v>112</v>
      </c>
      <c r="N20" s="13" t="s">
        <v>22</v>
      </c>
      <c r="O20" s="11">
        <v>4200</v>
      </c>
      <c r="P20" s="36">
        <f t="shared" si="0"/>
        <v>10182.333333333334</v>
      </c>
      <c r="Q20" s="36">
        <f t="shared" si="1"/>
        <v>5350.333333333333</v>
      </c>
    </row>
    <row r="21" spans="1:17" ht="20.100000000000001" customHeight="1" x14ac:dyDescent="0.35">
      <c r="A21" s="2">
        <v>19</v>
      </c>
      <c r="B21" s="3" t="s">
        <v>4</v>
      </c>
      <c r="C21" s="3" t="s">
        <v>68</v>
      </c>
      <c r="D21" s="5" t="s">
        <v>142</v>
      </c>
      <c r="E21" s="5" t="s">
        <v>67</v>
      </c>
      <c r="F21" s="4"/>
      <c r="G21" s="4"/>
      <c r="H21" s="4">
        <v>235</v>
      </c>
      <c r="I21" s="4">
        <v>235</v>
      </c>
      <c r="J21" s="10">
        <v>2000</v>
      </c>
      <c r="K21" s="10">
        <v>1175</v>
      </c>
      <c r="L21" s="10">
        <v>1500</v>
      </c>
      <c r="M21" s="3" t="s">
        <v>113</v>
      </c>
      <c r="N21" s="4" t="s">
        <v>114</v>
      </c>
      <c r="O21" s="17"/>
      <c r="P21" s="36">
        <f t="shared" si="0"/>
        <v>1117.5</v>
      </c>
      <c r="Q21" s="36">
        <f t="shared" si="1"/>
        <v>705</v>
      </c>
    </row>
    <row r="22" spans="1:17" ht="20.100000000000001" customHeight="1" x14ac:dyDescent="0.35">
      <c r="A22" s="2"/>
      <c r="B22" s="3" t="s">
        <v>143</v>
      </c>
      <c r="C22" s="3" t="s">
        <v>144</v>
      </c>
      <c r="D22" s="5" t="s">
        <v>145</v>
      </c>
      <c r="E22" s="5" t="s">
        <v>146</v>
      </c>
      <c r="F22" s="4"/>
      <c r="G22" s="4"/>
      <c r="H22" s="4"/>
      <c r="I22" s="4"/>
      <c r="J22" s="10"/>
      <c r="K22" s="10"/>
      <c r="L22" s="10">
        <v>3100</v>
      </c>
      <c r="M22" s="3" t="s">
        <v>113</v>
      </c>
      <c r="N22" s="4" t="s">
        <v>114</v>
      </c>
      <c r="O22" s="17" t="s">
        <v>151</v>
      </c>
      <c r="P22" s="36"/>
      <c r="Q22" s="36"/>
    </row>
    <row r="23" spans="1:17" ht="20.100000000000001" customHeight="1" x14ac:dyDescent="0.35">
      <c r="A23" s="2">
        <v>20</v>
      </c>
      <c r="B23" s="3" t="s">
        <v>4</v>
      </c>
      <c r="C23" s="3" t="s">
        <v>60</v>
      </c>
      <c r="D23" s="5" t="s">
        <v>126</v>
      </c>
      <c r="E23" s="7" t="s">
        <v>59</v>
      </c>
      <c r="F23" s="9">
        <v>1363</v>
      </c>
      <c r="G23" s="9">
        <v>983</v>
      </c>
      <c r="H23" s="4">
        <v>1813</v>
      </c>
      <c r="I23" s="4">
        <v>968</v>
      </c>
      <c r="J23" s="10">
        <v>6917</v>
      </c>
      <c r="K23" s="10">
        <v>4827</v>
      </c>
      <c r="L23" s="10">
        <v>3000</v>
      </c>
      <c r="M23" s="3" t="s">
        <v>113</v>
      </c>
      <c r="N23" s="4" t="s">
        <v>114</v>
      </c>
      <c r="O23" s="17"/>
      <c r="P23" s="36">
        <f t="shared" si="0"/>
        <v>3364.3333333333335</v>
      </c>
      <c r="Q23" s="36">
        <f t="shared" si="1"/>
        <v>2259.3333333333335</v>
      </c>
    </row>
    <row r="24" spans="1:17" ht="20.100000000000001" customHeight="1" x14ac:dyDescent="0.35">
      <c r="A24" s="2">
        <v>21</v>
      </c>
      <c r="B24" s="3" t="s">
        <v>4</v>
      </c>
      <c r="C24" s="3" t="s">
        <v>64</v>
      </c>
      <c r="D24" s="5" t="s">
        <v>128</v>
      </c>
      <c r="E24" s="7" t="s">
        <v>63</v>
      </c>
      <c r="F24" s="9">
        <v>1860</v>
      </c>
      <c r="G24" s="9">
        <v>1520</v>
      </c>
      <c r="H24" s="4">
        <v>2735</v>
      </c>
      <c r="I24" s="4">
        <v>2030</v>
      </c>
      <c r="J24" s="10">
        <v>978</v>
      </c>
      <c r="K24" s="10">
        <v>978</v>
      </c>
      <c r="L24" s="10">
        <v>7000</v>
      </c>
      <c r="M24" s="3" t="s">
        <v>113</v>
      </c>
      <c r="N24" s="4" t="s">
        <v>114</v>
      </c>
      <c r="O24" s="17" t="s">
        <v>151</v>
      </c>
      <c r="P24" s="36">
        <f t="shared" si="0"/>
        <v>1857.6666666666667</v>
      </c>
      <c r="Q24" s="36">
        <f t="shared" si="1"/>
        <v>1509.3333333333333</v>
      </c>
    </row>
    <row r="25" spans="1:17" ht="20.100000000000001" customHeight="1" x14ac:dyDescent="0.35">
      <c r="A25" s="2">
        <v>22</v>
      </c>
      <c r="B25" s="3" t="s">
        <v>4</v>
      </c>
      <c r="C25" s="3" t="s">
        <v>66</v>
      </c>
      <c r="D25" s="5" t="s">
        <v>129</v>
      </c>
      <c r="E25" s="7" t="s">
        <v>65</v>
      </c>
      <c r="F25" s="9">
        <v>2360</v>
      </c>
      <c r="G25" s="9">
        <v>1915</v>
      </c>
      <c r="H25" s="4">
        <v>2190</v>
      </c>
      <c r="I25" s="4">
        <v>1555</v>
      </c>
      <c r="J25" s="10">
        <v>831</v>
      </c>
      <c r="K25" s="10">
        <v>716</v>
      </c>
      <c r="L25" s="10">
        <v>1700</v>
      </c>
      <c r="M25" s="3" t="s">
        <v>113</v>
      </c>
      <c r="N25" s="4" t="s">
        <v>114</v>
      </c>
      <c r="O25" s="17"/>
      <c r="P25" s="36">
        <f t="shared" si="0"/>
        <v>1793.6666666666667</v>
      </c>
      <c r="Q25" s="36">
        <f t="shared" si="1"/>
        <v>1395.3333333333333</v>
      </c>
    </row>
    <row r="26" spans="1:17" ht="20.100000000000001" customHeight="1" x14ac:dyDescent="0.35">
      <c r="A26" s="2">
        <v>23</v>
      </c>
      <c r="B26" s="3" t="s">
        <v>4</v>
      </c>
      <c r="C26" s="3" t="s">
        <v>62</v>
      </c>
      <c r="D26" s="5" t="s">
        <v>127</v>
      </c>
      <c r="E26" s="7" t="s">
        <v>61</v>
      </c>
      <c r="F26" s="4"/>
      <c r="G26" s="4"/>
      <c r="H26" s="4">
        <v>1010</v>
      </c>
      <c r="I26" s="4">
        <v>840</v>
      </c>
      <c r="J26" s="10">
        <v>15</v>
      </c>
      <c r="K26" s="10">
        <v>15</v>
      </c>
      <c r="L26" s="10">
        <v>800</v>
      </c>
      <c r="M26" s="3" t="s">
        <v>113</v>
      </c>
      <c r="N26" s="4" t="s">
        <v>114</v>
      </c>
      <c r="O26" s="17"/>
      <c r="P26" s="36">
        <f t="shared" si="0"/>
        <v>512.5</v>
      </c>
      <c r="Q26" s="36">
        <f t="shared" si="1"/>
        <v>427.5</v>
      </c>
    </row>
    <row r="27" spans="1:17" ht="20.100000000000001" customHeight="1" x14ac:dyDescent="0.35">
      <c r="A27" s="2">
        <v>24</v>
      </c>
      <c r="B27" s="3" t="s">
        <v>4</v>
      </c>
      <c r="C27" s="3" t="s">
        <v>134</v>
      </c>
      <c r="D27" s="5" t="s">
        <v>147</v>
      </c>
      <c r="E27" s="7" t="s">
        <v>133</v>
      </c>
      <c r="F27" s="9">
        <v>284.5</v>
      </c>
      <c r="G27" s="9">
        <v>264.5</v>
      </c>
      <c r="H27" s="4"/>
      <c r="I27" s="4"/>
      <c r="J27" s="10">
        <v>9</v>
      </c>
      <c r="K27" s="4">
        <v>0</v>
      </c>
      <c r="L27" s="10">
        <v>5600</v>
      </c>
      <c r="M27" s="3" t="s">
        <v>113</v>
      </c>
      <c r="N27" s="4" t="s">
        <v>114</v>
      </c>
      <c r="O27" s="17"/>
      <c r="P27" s="36">
        <f t="shared" si="0"/>
        <v>146.75</v>
      </c>
      <c r="Q27" s="36">
        <f t="shared" si="1"/>
        <v>132.25</v>
      </c>
    </row>
    <row r="28" spans="1:17" ht="20.100000000000001" customHeight="1" x14ac:dyDescent="0.35">
      <c r="A28" s="19">
        <v>25</v>
      </c>
      <c r="B28" s="3" t="s">
        <v>4</v>
      </c>
      <c r="C28" s="3" t="s">
        <v>7</v>
      </c>
      <c r="D28" s="8" t="s">
        <v>52</v>
      </c>
      <c r="E28" s="3" t="s">
        <v>51</v>
      </c>
      <c r="F28" s="9">
        <v>4421</v>
      </c>
      <c r="G28" s="9">
        <v>3233</v>
      </c>
      <c r="H28" s="4">
        <v>2383</v>
      </c>
      <c r="I28" s="4">
        <v>1368</v>
      </c>
      <c r="J28" s="20">
        <v>5929</v>
      </c>
      <c r="K28" s="20">
        <v>2850</v>
      </c>
      <c r="L28" s="20">
        <v>0</v>
      </c>
      <c r="M28" s="3" t="s">
        <v>113</v>
      </c>
      <c r="N28" s="4" t="s">
        <v>114</v>
      </c>
      <c r="O28" s="3"/>
      <c r="P28" s="36">
        <f t="shared" si="0"/>
        <v>4244.333333333333</v>
      </c>
      <c r="Q28" s="36">
        <f t="shared" si="1"/>
        <v>2483.6666666666665</v>
      </c>
    </row>
    <row r="29" spans="1:17" s="21" customFormat="1" ht="20.100000000000001" customHeight="1" x14ac:dyDescent="0.35">
      <c r="A29" s="19">
        <v>25</v>
      </c>
      <c r="B29" s="3" t="s">
        <v>4</v>
      </c>
      <c r="C29" s="3" t="s">
        <v>8</v>
      </c>
      <c r="D29" s="3" t="s">
        <v>115</v>
      </c>
      <c r="E29" s="3"/>
      <c r="F29" s="9">
        <v>105</v>
      </c>
      <c r="G29" s="9">
        <v>105</v>
      </c>
      <c r="H29" s="4">
        <v>180</v>
      </c>
      <c r="I29" s="4">
        <v>180</v>
      </c>
      <c r="J29" s="4">
        <v>0</v>
      </c>
      <c r="K29" s="20">
        <v>78</v>
      </c>
      <c r="L29" s="20">
        <v>0</v>
      </c>
      <c r="M29" s="3" t="s">
        <v>113</v>
      </c>
      <c r="N29" s="4" t="s">
        <v>22</v>
      </c>
      <c r="O29" s="3"/>
      <c r="P29" s="36">
        <f t="shared" si="0"/>
        <v>95</v>
      </c>
      <c r="Q29" s="36">
        <f t="shared" si="1"/>
        <v>121</v>
      </c>
    </row>
    <row r="30" spans="1:17" s="21" customFormat="1" ht="20.100000000000001" customHeight="1" x14ac:dyDescent="0.35">
      <c r="A30" s="19">
        <v>25</v>
      </c>
      <c r="B30" s="3" t="s">
        <v>4</v>
      </c>
      <c r="C30" s="3" t="s">
        <v>5</v>
      </c>
      <c r="D30" s="8" t="s">
        <v>54</v>
      </c>
      <c r="E30" s="3" t="s">
        <v>53</v>
      </c>
      <c r="F30" s="9">
        <v>9966</v>
      </c>
      <c r="G30" s="9">
        <v>6567</v>
      </c>
      <c r="H30" s="4">
        <v>10851</v>
      </c>
      <c r="I30" s="4">
        <v>5901</v>
      </c>
      <c r="J30" s="20">
        <v>12623</v>
      </c>
      <c r="K30" s="20">
        <v>4913</v>
      </c>
      <c r="L30" s="20">
        <v>0</v>
      </c>
      <c r="M30" s="3" t="s">
        <v>113</v>
      </c>
      <c r="N30" s="4" t="s">
        <v>114</v>
      </c>
      <c r="O30" s="3"/>
      <c r="P30" s="36">
        <f t="shared" si="0"/>
        <v>11146.666666666666</v>
      </c>
      <c r="Q30" s="36">
        <f t="shared" si="1"/>
        <v>5793.666666666667</v>
      </c>
    </row>
    <row r="31" spans="1:17" s="21" customFormat="1" ht="20.100000000000001" customHeight="1" x14ac:dyDescent="0.35">
      <c r="A31" s="19">
        <v>25</v>
      </c>
      <c r="B31" s="3" t="s">
        <v>4</v>
      </c>
      <c r="C31" s="3" t="s">
        <v>121</v>
      </c>
      <c r="D31" s="3" t="s">
        <v>115</v>
      </c>
      <c r="E31" s="3"/>
      <c r="F31" s="9">
        <v>123</v>
      </c>
      <c r="G31" s="9">
        <v>123</v>
      </c>
      <c r="H31" s="4"/>
      <c r="I31" s="4"/>
      <c r="J31" s="20">
        <v>84</v>
      </c>
      <c r="K31" s="20">
        <v>78</v>
      </c>
      <c r="L31" s="20">
        <v>0</v>
      </c>
      <c r="M31" s="3" t="s">
        <v>113</v>
      </c>
      <c r="N31" s="4" t="s">
        <v>114</v>
      </c>
      <c r="O31" s="3"/>
      <c r="P31" s="36">
        <f t="shared" si="0"/>
        <v>103.5</v>
      </c>
      <c r="Q31" s="36">
        <f t="shared" si="1"/>
        <v>100.5</v>
      </c>
    </row>
    <row r="32" spans="1:17" s="21" customFormat="1" ht="20.100000000000001" customHeight="1" x14ac:dyDescent="0.35">
      <c r="A32" s="19">
        <v>25</v>
      </c>
      <c r="B32" s="3" t="s">
        <v>4</v>
      </c>
      <c r="C32" s="3" t="s">
        <v>6</v>
      </c>
      <c r="D32" s="3" t="s">
        <v>115</v>
      </c>
      <c r="E32" s="3"/>
      <c r="F32" s="9">
        <v>211</v>
      </c>
      <c r="G32" s="9">
        <v>211</v>
      </c>
      <c r="H32" s="4">
        <v>146</v>
      </c>
      <c r="I32" s="4">
        <v>146</v>
      </c>
      <c r="J32" s="20">
        <v>9</v>
      </c>
      <c r="K32" s="20">
        <v>9</v>
      </c>
      <c r="L32" s="20">
        <v>0</v>
      </c>
      <c r="M32" s="3" t="s">
        <v>113</v>
      </c>
      <c r="N32" s="4" t="s">
        <v>22</v>
      </c>
      <c r="O32" s="3"/>
      <c r="P32" s="36">
        <f t="shared" si="0"/>
        <v>122</v>
      </c>
      <c r="Q32" s="36">
        <f t="shared" si="1"/>
        <v>122</v>
      </c>
    </row>
    <row r="33" spans="1:17" s="21" customFormat="1" ht="20.100000000000001" customHeight="1" x14ac:dyDescent="0.35">
      <c r="A33" s="19">
        <v>55</v>
      </c>
      <c r="B33" s="3" t="s">
        <v>10</v>
      </c>
      <c r="C33" s="3" t="s">
        <v>11</v>
      </c>
      <c r="D33" s="5" t="s">
        <v>131</v>
      </c>
      <c r="E33" s="7" t="s">
        <v>74</v>
      </c>
      <c r="F33" s="9">
        <v>79879</v>
      </c>
      <c r="G33" s="9">
        <v>47269</v>
      </c>
      <c r="H33" s="4">
        <v>41242</v>
      </c>
      <c r="I33" s="4">
        <v>24941</v>
      </c>
      <c r="J33" s="20">
        <v>19546</v>
      </c>
      <c r="K33" s="20">
        <v>15965</v>
      </c>
      <c r="L33" s="20">
        <v>6000</v>
      </c>
      <c r="M33" s="6" t="s">
        <v>80</v>
      </c>
      <c r="N33" s="4" t="s">
        <v>22</v>
      </c>
      <c r="O33" s="3"/>
      <c r="P33" s="36">
        <f t="shared" si="0"/>
        <v>46889</v>
      </c>
      <c r="Q33" s="36">
        <f t="shared" si="1"/>
        <v>29391.666666666668</v>
      </c>
    </row>
    <row r="34" spans="1:17" s="55" customFormat="1" ht="20.100000000000001" customHeight="1" x14ac:dyDescent="0.35">
      <c r="A34" s="53">
        <v>56</v>
      </c>
      <c r="B34" s="11" t="s">
        <v>10</v>
      </c>
      <c r="C34" s="11" t="s">
        <v>11</v>
      </c>
      <c r="D34" s="15" t="s">
        <v>132</v>
      </c>
      <c r="E34" s="16" t="s">
        <v>75</v>
      </c>
      <c r="F34" s="12">
        <v>6020</v>
      </c>
      <c r="G34" s="12">
        <v>5840</v>
      </c>
      <c r="H34" s="13">
        <v>16322</v>
      </c>
      <c r="I34" s="13">
        <v>11017</v>
      </c>
      <c r="J34" s="14">
        <v>11530</v>
      </c>
      <c r="K34" s="14">
        <v>7440</v>
      </c>
      <c r="L34" s="14">
        <v>2900</v>
      </c>
      <c r="M34" s="13" t="s">
        <v>112</v>
      </c>
      <c r="N34" s="13" t="s">
        <v>22</v>
      </c>
      <c r="O34" s="11"/>
      <c r="P34" s="54">
        <f t="shared" si="0"/>
        <v>11290.666666666666</v>
      </c>
      <c r="Q34" s="54">
        <f t="shared" si="1"/>
        <v>8099</v>
      </c>
    </row>
    <row r="35" spans="1:17" s="21" customFormat="1" ht="20.100000000000001" customHeight="1" x14ac:dyDescent="0.35">
      <c r="A35" s="19">
        <v>60</v>
      </c>
      <c r="B35" s="3" t="s">
        <v>4</v>
      </c>
      <c r="C35" s="3" t="s">
        <v>9</v>
      </c>
      <c r="D35" s="5" t="s">
        <v>118</v>
      </c>
      <c r="E35" s="7" t="s">
        <v>148</v>
      </c>
      <c r="F35" s="4"/>
      <c r="G35" s="4"/>
      <c r="H35" s="4">
        <v>0</v>
      </c>
      <c r="I35" s="4">
        <v>0</v>
      </c>
      <c r="J35" s="20">
        <v>2100</v>
      </c>
      <c r="K35" s="20">
        <v>2100</v>
      </c>
      <c r="L35" s="20">
        <v>0</v>
      </c>
      <c r="M35" s="6" t="s">
        <v>80</v>
      </c>
      <c r="N35" s="4" t="s">
        <v>22</v>
      </c>
      <c r="O35" s="3"/>
      <c r="P35" s="36">
        <f t="shared" si="0"/>
        <v>1050</v>
      </c>
      <c r="Q35" s="36">
        <f t="shared" si="1"/>
        <v>1050</v>
      </c>
    </row>
    <row r="36" spans="1:17" s="21" customFormat="1" ht="20.100000000000001" customHeight="1" x14ac:dyDescent="0.35">
      <c r="A36" s="19">
        <v>60</v>
      </c>
      <c r="B36" s="3" t="s">
        <v>4</v>
      </c>
      <c r="C36" s="3" t="s">
        <v>9</v>
      </c>
      <c r="D36" s="5" t="s">
        <v>125</v>
      </c>
      <c r="E36" s="7" t="s">
        <v>149</v>
      </c>
      <c r="F36" s="9">
        <v>41885</v>
      </c>
      <c r="G36" s="9">
        <v>24675</v>
      </c>
      <c r="H36" s="4">
        <v>17730</v>
      </c>
      <c r="I36" s="4">
        <v>13270</v>
      </c>
      <c r="J36" s="20">
        <v>17780</v>
      </c>
      <c r="K36" s="20">
        <v>10310</v>
      </c>
      <c r="L36" s="20">
        <v>0</v>
      </c>
      <c r="M36" s="6" t="s">
        <v>80</v>
      </c>
      <c r="N36" s="4" t="s">
        <v>22</v>
      </c>
      <c r="O36" s="3"/>
      <c r="P36" s="36">
        <f t="shared" si="0"/>
        <v>25798.333333333332</v>
      </c>
      <c r="Q36" s="36">
        <f t="shared" si="1"/>
        <v>16085</v>
      </c>
    </row>
    <row r="37" spans="1:17" s="21" customFormat="1" ht="20.100000000000001" customHeight="1" x14ac:dyDescent="0.35">
      <c r="A37" s="2">
        <v>70</v>
      </c>
      <c r="B37" s="3" t="s">
        <v>2</v>
      </c>
      <c r="C37" s="3" t="s">
        <v>3</v>
      </c>
      <c r="D37" s="5" t="s">
        <v>82</v>
      </c>
      <c r="E37" s="5" t="s">
        <v>83</v>
      </c>
      <c r="F37" s="4">
        <f>2495+456</f>
        <v>2951</v>
      </c>
      <c r="G37" s="4">
        <f>2166+156</f>
        <v>2322</v>
      </c>
      <c r="H37" s="4">
        <f>2128+136+458</f>
        <v>2722</v>
      </c>
      <c r="I37" s="4">
        <f>1149+81+158</f>
        <v>1388</v>
      </c>
      <c r="J37" s="4">
        <f>375+458</f>
        <v>833</v>
      </c>
      <c r="K37" s="4">
        <f>237+375</f>
        <v>612</v>
      </c>
      <c r="L37" s="10">
        <v>19000</v>
      </c>
      <c r="M37" s="6" t="s">
        <v>78</v>
      </c>
      <c r="N37" s="4" t="s">
        <v>22</v>
      </c>
      <c r="O37" s="17"/>
      <c r="P37" s="36">
        <f t="shared" si="0"/>
        <v>2168.6666666666665</v>
      </c>
      <c r="Q37" s="36">
        <f t="shared" si="1"/>
        <v>1440.6666666666667</v>
      </c>
    </row>
    <row r="38" spans="1:17" ht="20.100000000000001" customHeight="1" x14ac:dyDescent="0.35">
      <c r="A38" s="2">
        <v>70</v>
      </c>
      <c r="B38" s="3" t="s">
        <v>2</v>
      </c>
      <c r="C38" s="3" t="s">
        <v>3</v>
      </c>
      <c r="D38" s="7" t="s">
        <v>84</v>
      </c>
      <c r="E38" s="7" t="s">
        <v>85</v>
      </c>
      <c r="F38" s="4">
        <f>2495+456</f>
        <v>2951</v>
      </c>
      <c r="G38" s="4">
        <f>2166+156</f>
        <v>2322</v>
      </c>
      <c r="H38" s="4">
        <f>2128+136+458</f>
        <v>2722</v>
      </c>
      <c r="I38" s="4">
        <f>1149+81+158</f>
        <v>1388</v>
      </c>
      <c r="J38" s="4">
        <f>375+458</f>
        <v>833</v>
      </c>
      <c r="K38" s="4">
        <f>237+375</f>
        <v>612</v>
      </c>
      <c r="L38" s="10">
        <v>10000</v>
      </c>
      <c r="M38" s="6" t="s">
        <v>78</v>
      </c>
      <c r="N38" s="4" t="s">
        <v>22</v>
      </c>
      <c r="O38" s="17"/>
      <c r="P38" s="36">
        <f t="shared" si="0"/>
        <v>2168.6666666666665</v>
      </c>
      <c r="Q38" s="36">
        <f t="shared" si="1"/>
        <v>1440.6666666666667</v>
      </c>
    </row>
    <row r="39" spans="1:17" ht="20.100000000000001" customHeight="1" x14ac:dyDescent="0.35">
      <c r="A39" s="2">
        <v>70</v>
      </c>
      <c r="B39" s="3" t="s">
        <v>2</v>
      </c>
      <c r="C39" s="3" t="s">
        <v>3</v>
      </c>
      <c r="D39" s="7" t="s">
        <v>86</v>
      </c>
      <c r="E39" s="7" t="s">
        <v>87</v>
      </c>
      <c r="F39" s="4">
        <f>2495+456</f>
        <v>2951</v>
      </c>
      <c r="G39" s="4">
        <f>2166+156</f>
        <v>2322</v>
      </c>
      <c r="H39" s="4">
        <f>2128+136+458</f>
        <v>2722</v>
      </c>
      <c r="I39" s="4">
        <f>1149+81+158</f>
        <v>1388</v>
      </c>
      <c r="J39" s="4">
        <f>375+458</f>
        <v>833</v>
      </c>
      <c r="K39" s="4">
        <f>237+375</f>
        <v>612</v>
      </c>
      <c r="L39" s="10">
        <v>6000</v>
      </c>
      <c r="M39" s="6" t="s">
        <v>78</v>
      </c>
      <c r="N39" s="4" t="s">
        <v>22</v>
      </c>
      <c r="O39" s="17"/>
      <c r="P39" s="36">
        <f t="shared" si="0"/>
        <v>2168.6666666666665</v>
      </c>
      <c r="Q39" s="36">
        <f t="shared" si="1"/>
        <v>1440.6666666666667</v>
      </c>
    </row>
    <row r="40" spans="1:17" ht="20.100000000000001" customHeight="1" x14ac:dyDescent="0.35">
      <c r="A40" s="2">
        <v>70</v>
      </c>
      <c r="B40" s="3" t="s">
        <v>2</v>
      </c>
      <c r="C40" s="3" t="s">
        <v>3</v>
      </c>
      <c r="D40" s="7" t="s">
        <v>88</v>
      </c>
      <c r="E40" s="7" t="s">
        <v>89</v>
      </c>
      <c r="F40" s="4">
        <f>2495+456</f>
        <v>2951</v>
      </c>
      <c r="G40" s="4">
        <f>2166+156</f>
        <v>2322</v>
      </c>
      <c r="H40" s="4">
        <f>2128+136+458</f>
        <v>2722</v>
      </c>
      <c r="I40" s="4">
        <f>1149+81+158</f>
        <v>1388</v>
      </c>
      <c r="J40" s="4">
        <f>375+458</f>
        <v>833</v>
      </c>
      <c r="K40" s="4">
        <f>237+375</f>
        <v>612</v>
      </c>
      <c r="L40" s="10">
        <v>12000</v>
      </c>
      <c r="M40" s="6" t="s">
        <v>78</v>
      </c>
      <c r="N40" s="4" t="s">
        <v>22</v>
      </c>
      <c r="O40" s="17"/>
      <c r="P40" s="36">
        <f t="shared" si="0"/>
        <v>2168.6666666666665</v>
      </c>
      <c r="Q40" s="36">
        <f t="shared" si="1"/>
        <v>1440.6666666666667</v>
      </c>
    </row>
    <row r="41" spans="1:17" ht="20.100000000000001" customHeight="1" x14ac:dyDescent="0.35">
      <c r="A41" s="2">
        <v>70</v>
      </c>
      <c r="B41" s="3" t="s">
        <v>2</v>
      </c>
      <c r="C41" s="3" t="s">
        <v>3</v>
      </c>
      <c r="D41" s="7" t="s">
        <v>92</v>
      </c>
      <c r="E41" s="7" t="s">
        <v>93</v>
      </c>
      <c r="F41" s="4">
        <f>2495+456</f>
        <v>2951</v>
      </c>
      <c r="G41" s="4">
        <f>2166+156</f>
        <v>2322</v>
      </c>
      <c r="H41" s="4">
        <f>2128+136+458</f>
        <v>2722</v>
      </c>
      <c r="I41" s="4">
        <f>1149+81+158</f>
        <v>1388</v>
      </c>
      <c r="J41" s="4">
        <f>375+458</f>
        <v>833</v>
      </c>
      <c r="K41" s="4">
        <f>237+375</f>
        <v>612</v>
      </c>
      <c r="L41" s="10">
        <v>13000</v>
      </c>
      <c r="M41" s="6" t="s">
        <v>78</v>
      </c>
      <c r="N41" s="4" t="s">
        <v>22</v>
      </c>
      <c r="O41" s="17"/>
      <c r="P41" s="36">
        <f t="shared" si="0"/>
        <v>2168.6666666666665</v>
      </c>
      <c r="Q41" s="36">
        <f t="shared" si="1"/>
        <v>1440.6666666666667</v>
      </c>
    </row>
    <row r="42" spans="1:17" ht="20.100000000000001" customHeight="1" x14ac:dyDescent="0.35">
      <c r="A42" s="2">
        <v>70</v>
      </c>
      <c r="B42" s="3" t="s">
        <v>2</v>
      </c>
      <c r="C42" s="3" t="s">
        <v>3</v>
      </c>
      <c r="D42" s="7" t="s">
        <v>90</v>
      </c>
      <c r="E42" s="7" t="s">
        <v>91</v>
      </c>
      <c r="F42" s="4">
        <v>12926</v>
      </c>
      <c r="G42" s="4">
        <v>5386</v>
      </c>
      <c r="H42" s="4">
        <v>4651</v>
      </c>
      <c r="I42" s="4">
        <v>3291</v>
      </c>
      <c r="J42" s="4">
        <v>1905</v>
      </c>
      <c r="K42" s="4">
        <v>1761</v>
      </c>
      <c r="L42" s="10">
        <v>43000</v>
      </c>
      <c r="M42" s="6" t="s">
        <v>78</v>
      </c>
      <c r="N42" s="4" t="s">
        <v>22</v>
      </c>
      <c r="O42" s="17"/>
      <c r="P42" s="36">
        <f t="shared" si="0"/>
        <v>6494</v>
      </c>
      <c r="Q42" s="36">
        <f t="shared" si="1"/>
        <v>3479.3333333333335</v>
      </c>
    </row>
    <row r="43" spans="1:17" ht="20.100000000000001" customHeight="1" x14ac:dyDescent="0.35">
      <c r="A43" s="2">
        <v>71</v>
      </c>
      <c r="B43" s="3" t="s">
        <v>2</v>
      </c>
      <c r="C43" s="3" t="s">
        <v>3</v>
      </c>
      <c r="D43" s="7" t="s">
        <v>94</v>
      </c>
      <c r="E43" s="7" t="s">
        <v>95</v>
      </c>
      <c r="F43" s="4">
        <f>2495+300</f>
        <v>2795</v>
      </c>
      <c r="G43" s="4">
        <f>2166+450</f>
        <v>2616</v>
      </c>
      <c r="H43" s="4">
        <f>2128+458</f>
        <v>2586</v>
      </c>
      <c r="I43" s="4">
        <f>1149+81+158</f>
        <v>1388</v>
      </c>
      <c r="J43" s="4">
        <v>458</v>
      </c>
      <c r="K43" s="4">
        <f>375</f>
        <v>375</v>
      </c>
      <c r="L43" s="10">
        <v>26000</v>
      </c>
      <c r="M43" s="6" t="s">
        <v>78</v>
      </c>
      <c r="N43" s="4" t="s">
        <v>22</v>
      </c>
      <c r="O43" s="17"/>
      <c r="P43" s="36">
        <f t="shared" si="0"/>
        <v>1946.3333333333333</v>
      </c>
      <c r="Q43" s="36">
        <f t="shared" si="1"/>
        <v>1459.6666666666667</v>
      </c>
    </row>
    <row r="44" spans="1:17" ht="20.100000000000001" customHeight="1" x14ac:dyDescent="0.35">
      <c r="A44" s="2">
        <v>71</v>
      </c>
      <c r="B44" s="3" t="s">
        <v>2</v>
      </c>
      <c r="C44" s="3" t="s">
        <v>3</v>
      </c>
      <c r="D44" s="7" t="s">
        <v>96</v>
      </c>
      <c r="E44" s="7" t="s">
        <v>97</v>
      </c>
      <c r="F44" s="4">
        <f>2495+300</f>
        <v>2795</v>
      </c>
      <c r="G44" s="4">
        <f>2166+450</f>
        <v>2616</v>
      </c>
      <c r="H44" s="4">
        <f>2128+458</f>
        <v>2586</v>
      </c>
      <c r="I44" s="4">
        <f>1149+81+158</f>
        <v>1388</v>
      </c>
      <c r="J44" s="4">
        <v>458</v>
      </c>
      <c r="K44" s="4">
        <f>375</f>
        <v>375</v>
      </c>
      <c r="L44" s="10">
        <v>24000</v>
      </c>
      <c r="M44" s="6" t="s">
        <v>78</v>
      </c>
      <c r="N44" s="4" t="s">
        <v>22</v>
      </c>
      <c r="O44" s="17"/>
      <c r="P44" s="36">
        <f t="shared" si="0"/>
        <v>1946.3333333333333</v>
      </c>
      <c r="Q44" s="36">
        <f t="shared" si="1"/>
        <v>1459.6666666666667</v>
      </c>
    </row>
    <row r="45" spans="1:17" ht="20.100000000000001" customHeight="1" x14ac:dyDescent="0.35">
      <c r="A45" s="2">
        <v>72</v>
      </c>
      <c r="B45" s="3" t="s">
        <v>2</v>
      </c>
      <c r="C45" s="3" t="s">
        <v>3</v>
      </c>
      <c r="D45" s="7" t="s">
        <v>98</v>
      </c>
      <c r="E45" s="7" t="s">
        <v>99</v>
      </c>
      <c r="F45" s="4">
        <f>2495+300</f>
        <v>2795</v>
      </c>
      <c r="G45" s="4">
        <f>2166+450</f>
        <v>2616</v>
      </c>
      <c r="H45" s="4">
        <v>2128</v>
      </c>
      <c r="I45" s="4">
        <v>1149</v>
      </c>
      <c r="J45" s="4">
        <f>375</f>
        <v>375</v>
      </c>
      <c r="K45" s="4">
        <v>237</v>
      </c>
      <c r="L45" s="10">
        <v>25000</v>
      </c>
      <c r="M45" s="6" t="s">
        <v>78</v>
      </c>
      <c r="N45" s="4" t="s">
        <v>22</v>
      </c>
      <c r="O45" s="17"/>
      <c r="P45" s="36">
        <f t="shared" si="0"/>
        <v>1766</v>
      </c>
      <c r="Q45" s="36">
        <f t="shared" si="1"/>
        <v>1334</v>
      </c>
    </row>
    <row r="46" spans="1:17" ht="20.100000000000001" customHeight="1" x14ac:dyDescent="0.35">
      <c r="A46" s="2">
        <v>72</v>
      </c>
      <c r="B46" s="3" t="s">
        <v>2</v>
      </c>
      <c r="C46" s="3" t="s">
        <v>3</v>
      </c>
      <c r="D46" s="7" t="s">
        <v>100</v>
      </c>
      <c r="E46" s="7" t="s">
        <v>101</v>
      </c>
      <c r="F46" s="4">
        <v>2495</v>
      </c>
      <c r="G46" s="4">
        <v>2166</v>
      </c>
      <c r="H46" s="4">
        <v>2128</v>
      </c>
      <c r="I46" s="4">
        <v>1149</v>
      </c>
      <c r="J46" s="4">
        <f>375</f>
        <v>375</v>
      </c>
      <c r="K46" s="4">
        <v>237</v>
      </c>
      <c r="L46" s="10">
        <v>15000</v>
      </c>
      <c r="M46" s="6" t="s">
        <v>78</v>
      </c>
      <c r="N46" s="4" t="s">
        <v>22</v>
      </c>
      <c r="O46" s="17"/>
      <c r="P46" s="36">
        <f t="shared" si="0"/>
        <v>1666</v>
      </c>
      <c r="Q46" s="36">
        <f t="shared" si="1"/>
        <v>1184</v>
      </c>
    </row>
    <row r="47" spans="1:17" ht="20.100000000000001" customHeight="1" x14ac:dyDescent="0.35">
      <c r="A47" s="2">
        <v>72</v>
      </c>
      <c r="B47" s="3" t="s">
        <v>2</v>
      </c>
      <c r="C47" s="3" t="s">
        <v>3</v>
      </c>
      <c r="D47" s="7" t="s">
        <v>102</v>
      </c>
      <c r="E47" s="7" t="s">
        <v>103</v>
      </c>
      <c r="F47" s="4">
        <v>2495</v>
      </c>
      <c r="G47" s="4">
        <v>2166</v>
      </c>
      <c r="H47" s="4">
        <v>2128</v>
      </c>
      <c r="I47" s="4">
        <v>1149</v>
      </c>
      <c r="J47" s="4">
        <f>375</f>
        <v>375</v>
      </c>
      <c r="K47" s="4">
        <v>237</v>
      </c>
      <c r="L47" s="10">
        <v>15000</v>
      </c>
      <c r="M47" s="6" t="s">
        <v>78</v>
      </c>
      <c r="N47" s="4" t="s">
        <v>22</v>
      </c>
      <c r="O47" s="17"/>
      <c r="P47" s="36">
        <f t="shared" si="0"/>
        <v>1666</v>
      </c>
      <c r="Q47" s="36">
        <f t="shared" si="1"/>
        <v>1184</v>
      </c>
    </row>
    <row r="48" spans="1:17" ht="20.100000000000001" customHeight="1" x14ac:dyDescent="0.35">
      <c r="A48" s="2">
        <v>72</v>
      </c>
      <c r="B48" s="3" t="s">
        <v>2</v>
      </c>
      <c r="C48" s="3" t="s">
        <v>3</v>
      </c>
      <c r="D48" s="7" t="s">
        <v>104</v>
      </c>
      <c r="E48" s="7" t="s">
        <v>105</v>
      </c>
      <c r="F48" s="4">
        <v>2495</v>
      </c>
      <c r="G48" s="4">
        <v>2166</v>
      </c>
      <c r="H48" s="4">
        <v>2128</v>
      </c>
      <c r="I48" s="4">
        <v>1149</v>
      </c>
      <c r="J48" s="4">
        <f>375</f>
        <v>375</v>
      </c>
      <c r="K48" s="4">
        <v>237</v>
      </c>
      <c r="L48" s="10">
        <v>10000</v>
      </c>
      <c r="M48" s="6" t="s">
        <v>78</v>
      </c>
      <c r="N48" s="4" t="s">
        <v>22</v>
      </c>
      <c r="O48" s="17"/>
      <c r="P48" s="36">
        <f t="shared" si="0"/>
        <v>1666</v>
      </c>
      <c r="Q48" s="36">
        <f t="shared" si="1"/>
        <v>1184</v>
      </c>
    </row>
    <row r="49" spans="1:17" ht="20.100000000000001" customHeight="1" x14ac:dyDescent="0.35">
      <c r="A49" s="2">
        <v>75</v>
      </c>
      <c r="B49" s="3" t="s">
        <v>2</v>
      </c>
      <c r="C49" s="3" t="s">
        <v>3</v>
      </c>
      <c r="D49" s="5" t="s">
        <v>106</v>
      </c>
      <c r="E49" s="5" t="s">
        <v>107</v>
      </c>
      <c r="F49" s="4">
        <v>524</v>
      </c>
      <c r="G49" s="4">
        <v>320</v>
      </c>
      <c r="H49" s="4">
        <v>186</v>
      </c>
      <c r="I49" s="4">
        <v>124</v>
      </c>
      <c r="J49" s="4">
        <v>138</v>
      </c>
      <c r="K49" s="4">
        <v>80</v>
      </c>
      <c r="L49" s="10">
        <v>6000</v>
      </c>
      <c r="M49" s="6" t="s">
        <v>78</v>
      </c>
      <c r="N49" s="4" t="s">
        <v>22</v>
      </c>
      <c r="O49" s="17"/>
      <c r="P49" s="36">
        <f t="shared" si="0"/>
        <v>282.66666666666669</v>
      </c>
      <c r="Q49" s="36">
        <f t="shared" si="1"/>
        <v>174.66666666666666</v>
      </c>
    </row>
    <row r="50" spans="1:17" ht="20.100000000000001" customHeight="1" x14ac:dyDescent="0.35">
      <c r="A50" s="2">
        <v>75</v>
      </c>
      <c r="B50" s="3" t="s">
        <v>2</v>
      </c>
      <c r="C50" s="3" t="s">
        <v>3</v>
      </c>
      <c r="D50" s="7" t="s">
        <v>108</v>
      </c>
      <c r="E50" s="7" t="s">
        <v>109</v>
      </c>
      <c r="F50" s="4">
        <v>648</v>
      </c>
      <c r="G50" s="4">
        <v>648</v>
      </c>
      <c r="H50" s="4">
        <v>0</v>
      </c>
      <c r="I50" s="4">
        <v>0</v>
      </c>
      <c r="J50" s="4"/>
      <c r="K50" s="4"/>
      <c r="L50" s="10">
        <v>200</v>
      </c>
      <c r="M50" s="6" t="s">
        <v>78</v>
      </c>
      <c r="N50" s="4" t="s">
        <v>22</v>
      </c>
      <c r="O50" s="17"/>
      <c r="P50" s="36">
        <f t="shared" si="0"/>
        <v>324</v>
      </c>
      <c r="Q50" s="36">
        <f t="shared" si="1"/>
        <v>324</v>
      </c>
    </row>
    <row r="51" spans="1:17" ht="20.100000000000001" customHeight="1" x14ac:dyDescent="0.35">
      <c r="A51" s="2">
        <v>75</v>
      </c>
      <c r="B51" s="3" t="s">
        <v>2</v>
      </c>
      <c r="C51" s="3" t="s">
        <v>3</v>
      </c>
      <c r="D51" s="8" t="s">
        <v>110</v>
      </c>
      <c r="E51" s="7" t="s">
        <v>111</v>
      </c>
      <c r="F51" s="4"/>
      <c r="G51" s="4"/>
      <c r="H51" s="4"/>
      <c r="I51" s="4"/>
      <c r="J51" s="4"/>
      <c r="K51" s="4"/>
      <c r="L51" s="10">
        <v>500</v>
      </c>
      <c r="M51" s="6" t="s">
        <v>78</v>
      </c>
      <c r="N51" s="4" t="s">
        <v>22</v>
      </c>
      <c r="O51" s="17"/>
      <c r="P51" s="36" t="e">
        <f t="shared" si="0"/>
        <v>#DIV/0!</v>
      </c>
      <c r="Q51" s="36" t="e">
        <f t="shared" si="1"/>
        <v>#DIV/0!</v>
      </c>
    </row>
    <row r="52" spans="1:17" x14ac:dyDescent="0.35">
      <c r="F52"/>
      <c r="G52"/>
      <c r="H52"/>
      <c r="I52"/>
      <c r="J52"/>
      <c r="K52"/>
      <c r="L52"/>
    </row>
    <row r="56" spans="1:17" x14ac:dyDescent="0.35">
      <c r="B56" t="s">
        <v>137</v>
      </c>
      <c r="C56" t="s">
        <v>152</v>
      </c>
    </row>
    <row r="57" spans="1:17" x14ac:dyDescent="0.35">
      <c r="B57" t="s">
        <v>137</v>
      </c>
      <c r="C57" t="s">
        <v>153</v>
      </c>
    </row>
    <row r="58" spans="1:17" x14ac:dyDescent="0.35">
      <c r="B58" t="s">
        <v>137</v>
      </c>
      <c r="C58" t="s">
        <v>154</v>
      </c>
    </row>
    <row r="59" spans="1:17" x14ac:dyDescent="0.35">
      <c r="B59" t="s">
        <v>137</v>
      </c>
      <c r="C59" t="s">
        <v>155</v>
      </c>
    </row>
    <row r="60" spans="1:17" x14ac:dyDescent="0.35">
      <c r="B60" t="s">
        <v>137</v>
      </c>
      <c r="C60" t="s">
        <v>156</v>
      </c>
    </row>
    <row r="61" spans="1:17" x14ac:dyDescent="0.35">
      <c r="B61" t="s">
        <v>137</v>
      </c>
      <c r="C61" t="s">
        <v>157</v>
      </c>
    </row>
    <row r="62" spans="1:17" x14ac:dyDescent="0.35">
      <c r="B62" t="s">
        <v>139</v>
      </c>
      <c r="C62" t="s">
        <v>158</v>
      </c>
    </row>
    <row r="63" spans="1:17" x14ac:dyDescent="0.35">
      <c r="B63" t="s">
        <v>139</v>
      </c>
      <c r="C63" t="s">
        <v>159</v>
      </c>
    </row>
    <row r="64" spans="1:17" x14ac:dyDescent="0.35">
      <c r="B64" t="s">
        <v>140</v>
      </c>
      <c r="C64" t="s">
        <v>160</v>
      </c>
    </row>
    <row r="65" spans="2:3" x14ac:dyDescent="0.35">
      <c r="B65" t="s">
        <v>140</v>
      </c>
      <c r="C65" t="s">
        <v>138</v>
      </c>
    </row>
    <row r="66" spans="2:3" x14ac:dyDescent="0.35">
      <c r="B66" t="s">
        <v>140</v>
      </c>
      <c r="C66" t="s">
        <v>161</v>
      </c>
    </row>
    <row r="67" spans="2:3" x14ac:dyDescent="0.35">
      <c r="B67" t="s">
        <v>140</v>
      </c>
      <c r="C67" t="s">
        <v>162</v>
      </c>
    </row>
    <row r="271" spans="10:10" x14ac:dyDescent="0.35">
      <c r="J271" s="1" t="s">
        <v>510</v>
      </c>
    </row>
  </sheetData>
  <autoFilter ref="A3:O51" xr:uid="{00000000-0009-0000-0000-000000000000}"/>
  <mergeCells count="10">
    <mergeCell ref="D1:O1"/>
    <mergeCell ref="D2:D3"/>
    <mergeCell ref="E2:E3"/>
    <mergeCell ref="F2:G2"/>
    <mergeCell ref="H2:I2"/>
    <mergeCell ref="J2:K2"/>
    <mergeCell ref="L2:L3"/>
    <mergeCell ref="M2:M3"/>
    <mergeCell ref="N2:N3"/>
    <mergeCell ref="O2:O3"/>
  </mergeCells>
  <phoneticPr fontId="2" type="noConversion"/>
  <printOptions horizontalCentered="1" verticalCentered="1"/>
  <pageMargins left="0" right="0" top="0" bottom="0" header="0" footer="0"/>
  <pageSetup paperSize="9" scale="4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L43"/>
  <sheetViews>
    <sheetView topLeftCell="A13" workbookViewId="0">
      <selection activeCell="E49" sqref="E49"/>
    </sheetView>
  </sheetViews>
  <sheetFormatPr defaultRowHeight="15.6" x14ac:dyDescent="0.35"/>
  <cols>
    <col min="1" max="1" width="17.6640625" bestFit="1" customWidth="1"/>
    <col min="2" max="2" width="49.33203125" bestFit="1" customWidth="1"/>
    <col min="3" max="3" width="23.5546875" bestFit="1" customWidth="1"/>
    <col min="4" max="4" width="11.44140625" customWidth="1"/>
    <col min="5" max="5" width="11.5546875" style="1" bestFit="1" customWidth="1"/>
    <col min="6" max="6" width="14.109375" style="1" customWidth="1"/>
    <col min="7" max="11" width="20" style="1" customWidth="1"/>
    <col min="12" max="12" width="17.44140625" style="1" customWidth="1"/>
  </cols>
  <sheetData>
    <row r="3" spans="1:12" x14ac:dyDescent="0.35">
      <c r="A3" s="41" t="s">
        <v>393</v>
      </c>
      <c r="B3" s="41" t="s">
        <v>394</v>
      </c>
      <c r="C3" s="41" t="s">
        <v>395</v>
      </c>
      <c r="D3" s="41" t="s">
        <v>396</v>
      </c>
      <c r="E3" s="41" t="s">
        <v>399</v>
      </c>
      <c r="F3" s="41" t="s">
        <v>308</v>
      </c>
      <c r="G3" t="s">
        <v>400</v>
      </c>
      <c r="H3" t="s">
        <v>402</v>
      </c>
      <c r="I3" t="s">
        <v>405</v>
      </c>
      <c r="J3" t="s">
        <v>403</v>
      </c>
      <c r="K3" t="s">
        <v>401</v>
      </c>
      <c r="L3" t="s">
        <v>404</v>
      </c>
    </row>
    <row r="4" spans="1:12" x14ac:dyDescent="0.35">
      <c r="A4" t="s">
        <v>331</v>
      </c>
      <c r="B4" t="s">
        <v>362</v>
      </c>
      <c r="C4" t="s">
        <v>388</v>
      </c>
      <c r="D4" t="s">
        <v>316</v>
      </c>
      <c r="E4" s="36">
        <v>62500</v>
      </c>
      <c r="F4" s="36">
        <v>0</v>
      </c>
      <c r="G4">
        <v>293475</v>
      </c>
      <c r="H4">
        <v>61974</v>
      </c>
      <c r="I4">
        <v>242976</v>
      </c>
      <c r="J4">
        <v>40074</v>
      </c>
      <c r="K4">
        <v>208039</v>
      </c>
      <c r="L4">
        <v>30540</v>
      </c>
    </row>
    <row r="5" spans="1:12" x14ac:dyDescent="0.35">
      <c r="A5" t="s">
        <v>332</v>
      </c>
      <c r="B5" t="s">
        <v>363</v>
      </c>
      <c r="C5" t="s">
        <v>388</v>
      </c>
      <c r="D5" t="s">
        <v>316</v>
      </c>
      <c r="E5" s="36">
        <v>61500</v>
      </c>
      <c r="F5" s="36">
        <v>0</v>
      </c>
      <c r="G5">
        <v>509300</v>
      </c>
      <c r="H5">
        <v>121256</v>
      </c>
      <c r="I5">
        <v>149148</v>
      </c>
      <c r="J5">
        <v>29388</v>
      </c>
      <c r="K5">
        <v>126732</v>
      </c>
      <c r="L5">
        <v>28280</v>
      </c>
    </row>
    <row r="6" spans="1:12" x14ac:dyDescent="0.35">
      <c r="A6" t="s">
        <v>333</v>
      </c>
      <c r="B6" t="s">
        <v>364</v>
      </c>
      <c r="C6" t="s">
        <v>388</v>
      </c>
      <c r="D6" t="s">
        <v>316</v>
      </c>
      <c r="E6" s="36">
        <v>133000</v>
      </c>
      <c r="F6" s="36">
        <v>0</v>
      </c>
      <c r="G6">
        <v>74117</v>
      </c>
      <c r="H6">
        <v>24970</v>
      </c>
      <c r="I6">
        <v>75916</v>
      </c>
      <c r="J6">
        <v>7476</v>
      </c>
      <c r="K6">
        <v>56924</v>
      </c>
      <c r="L6">
        <v>6884</v>
      </c>
    </row>
    <row r="7" spans="1:12" x14ac:dyDescent="0.35">
      <c r="A7" t="s">
        <v>334</v>
      </c>
      <c r="B7" t="s">
        <v>365</v>
      </c>
      <c r="C7" t="s">
        <v>389</v>
      </c>
      <c r="D7" t="s">
        <v>310</v>
      </c>
      <c r="E7" s="36">
        <v>190000</v>
      </c>
      <c r="F7" s="36">
        <v>0</v>
      </c>
      <c r="G7">
        <v>555614</v>
      </c>
      <c r="H7">
        <v>158943</v>
      </c>
      <c r="I7">
        <v>244058</v>
      </c>
      <c r="J7">
        <v>74009</v>
      </c>
      <c r="K7">
        <v>120330</v>
      </c>
      <c r="L7">
        <v>45868</v>
      </c>
    </row>
    <row r="8" spans="1:12" x14ac:dyDescent="0.35">
      <c r="A8" t="s">
        <v>273</v>
      </c>
      <c r="B8" t="s">
        <v>274</v>
      </c>
      <c r="C8" t="s">
        <v>390</v>
      </c>
      <c r="D8" t="s">
        <v>314</v>
      </c>
      <c r="E8" s="36">
        <v>600</v>
      </c>
      <c r="F8" s="36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5">
      <c r="A9" t="s">
        <v>335</v>
      </c>
      <c r="B9" t="s">
        <v>222</v>
      </c>
      <c r="C9" t="s">
        <v>390</v>
      </c>
      <c r="D9" t="s">
        <v>314</v>
      </c>
      <c r="E9" s="36">
        <v>2200</v>
      </c>
      <c r="F9" s="36">
        <v>0</v>
      </c>
      <c r="G9">
        <v>6009</v>
      </c>
      <c r="H9">
        <v>3932</v>
      </c>
      <c r="I9">
        <v>8878</v>
      </c>
      <c r="J9">
        <v>7966</v>
      </c>
      <c r="K9">
        <v>8420</v>
      </c>
      <c r="L9">
        <v>6578</v>
      </c>
    </row>
    <row r="10" spans="1:12" x14ac:dyDescent="0.35">
      <c r="A10" t="s">
        <v>336</v>
      </c>
      <c r="B10" t="s">
        <v>218</v>
      </c>
      <c r="C10" t="s">
        <v>390</v>
      </c>
      <c r="D10" t="s">
        <v>314</v>
      </c>
      <c r="E10" s="36">
        <v>4200</v>
      </c>
      <c r="F10" s="36">
        <v>0</v>
      </c>
      <c r="G10">
        <v>4460</v>
      </c>
      <c r="H10">
        <v>2400</v>
      </c>
      <c r="I10">
        <v>3900</v>
      </c>
      <c r="J10">
        <v>2444</v>
      </c>
      <c r="K10">
        <v>7262</v>
      </c>
      <c r="L10">
        <v>4152</v>
      </c>
    </row>
    <row r="11" spans="1:12" x14ac:dyDescent="0.35">
      <c r="A11" t="s">
        <v>337</v>
      </c>
      <c r="B11" t="s">
        <v>220</v>
      </c>
      <c r="C11" t="s">
        <v>390</v>
      </c>
      <c r="D11" t="s">
        <v>314</v>
      </c>
      <c r="E11" s="36">
        <v>2400</v>
      </c>
      <c r="F11" s="36">
        <v>0</v>
      </c>
      <c r="G11">
        <v>1162</v>
      </c>
      <c r="H11">
        <v>756</v>
      </c>
      <c r="I11">
        <v>10922</v>
      </c>
      <c r="J11">
        <v>5404</v>
      </c>
      <c r="K11">
        <v>12391</v>
      </c>
      <c r="L11">
        <v>6274</v>
      </c>
    </row>
    <row r="12" spans="1:12" x14ac:dyDescent="0.35">
      <c r="A12" t="s">
        <v>338</v>
      </c>
      <c r="B12" t="s">
        <v>258</v>
      </c>
      <c r="C12" t="s">
        <v>390</v>
      </c>
      <c r="D12" t="s">
        <v>314</v>
      </c>
      <c r="E12" s="36">
        <v>100</v>
      </c>
      <c r="F12" s="36">
        <v>0</v>
      </c>
      <c r="G12">
        <v>3118</v>
      </c>
      <c r="H12">
        <v>2122</v>
      </c>
      <c r="I12">
        <v>2978</v>
      </c>
      <c r="J12">
        <v>2340</v>
      </c>
      <c r="K12">
        <v>2509</v>
      </c>
      <c r="L12">
        <v>1488</v>
      </c>
    </row>
    <row r="13" spans="1:12" x14ac:dyDescent="0.35">
      <c r="A13" t="s">
        <v>269</v>
      </c>
      <c r="B13" t="s">
        <v>270</v>
      </c>
      <c r="C13" t="s">
        <v>390</v>
      </c>
      <c r="D13" t="s">
        <v>314</v>
      </c>
      <c r="E13" s="36">
        <v>200</v>
      </c>
      <c r="F13" s="36">
        <v>0</v>
      </c>
      <c r="G13">
        <v>30</v>
      </c>
      <c r="H13">
        <v>30</v>
      </c>
      <c r="I13"/>
      <c r="J13"/>
      <c r="K13">
        <v>0</v>
      </c>
      <c r="L13"/>
    </row>
    <row r="14" spans="1:12" x14ac:dyDescent="0.35">
      <c r="A14" t="s">
        <v>339</v>
      </c>
      <c r="B14" t="s">
        <v>366</v>
      </c>
      <c r="C14" t="s">
        <v>390</v>
      </c>
      <c r="D14" t="s">
        <v>314</v>
      </c>
      <c r="E14" s="36">
        <v>1000</v>
      </c>
      <c r="F14" s="36">
        <v>0</v>
      </c>
      <c r="G14">
        <v>6</v>
      </c>
      <c r="H14">
        <v>6</v>
      </c>
      <c r="I14">
        <v>2614</v>
      </c>
      <c r="J14">
        <v>2302</v>
      </c>
      <c r="K14">
        <v>1571</v>
      </c>
      <c r="L14">
        <v>904</v>
      </c>
    </row>
    <row r="15" spans="1:12" x14ac:dyDescent="0.35">
      <c r="A15" t="s">
        <v>340</v>
      </c>
      <c r="B15" t="s">
        <v>367</v>
      </c>
      <c r="C15" t="s">
        <v>390</v>
      </c>
      <c r="D15" t="s">
        <v>314</v>
      </c>
      <c r="E15" s="36">
        <v>300</v>
      </c>
      <c r="F15" s="36">
        <v>0</v>
      </c>
      <c r="G15">
        <v>6</v>
      </c>
      <c r="H15">
        <v>6</v>
      </c>
      <c r="I15">
        <v>2598</v>
      </c>
      <c r="J15">
        <v>2272</v>
      </c>
      <c r="K15">
        <v>1394</v>
      </c>
      <c r="L15">
        <v>764</v>
      </c>
    </row>
    <row r="16" spans="1:12" x14ac:dyDescent="0.35">
      <c r="A16" t="s">
        <v>267</v>
      </c>
      <c r="B16" t="s">
        <v>268</v>
      </c>
      <c r="C16" t="s">
        <v>390</v>
      </c>
      <c r="D16" t="s">
        <v>314</v>
      </c>
      <c r="E16" s="36">
        <v>6000</v>
      </c>
      <c r="F16" s="36">
        <v>0</v>
      </c>
      <c r="G16">
        <v>0</v>
      </c>
      <c r="H16">
        <v>0</v>
      </c>
      <c r="I16">
        <v>19536</v>
      </c>
      <c r="J16">
        <v>3648</v>
      </c>
      <c r="K16">
        <v>1044</v>
      </c>
      <c r="L16">
        <v>576</v>
      </c>
    </row>
    <row r="17" spans="1:12" x14ac:dyDescent="0.35">
      <c r="A17" t="s">
        <v>224</v>
      </c>
      <c r="B17" t="s">
        <v>368</v>
      </c>
      <c r="C17" t="s">
        <v>390</v>
      </c>
      <c r="D17" t="s">
        <v>314</v>
      </c>
      <c r="E17" s="36">
        <v>500</v>
      </c>
      <c r="F17" s="36">
        <v>2100</v>
      </c>
      <c r="G17">
        <v>12050</v>
      </c>
      <c r="H17">
        <v>4028</v>
      </c>
      <c r="I17">
        <v>19925</v>
      </c>
      <c r="J17">
        <v>8182</v>
      </c>
      <c r="K17">
        <v>2868</v>
      </c>
      <c r="L17">
        <v>1608</v>
      </c>
    </row>
    <row r="18" spans="1:12" x14ac:dyDescent="0.35">
      <c r="A18" t="s">
        <v>341</v>
      </c>
      <c r="B18" t="s">
        <v>369</v>
      </c>
      <c r="C18" t="s">
        <v>390</v>
      </c>
      <c r="D18" t="s">
        <v>314</v>
      </c>
      <c r="E18" s="36">
        <v>600</v>
      </c>
      <c r="F18" s="36">
        <v>0</v>
      </c>
      <c r="G18">
        <v>784</v>
      </c>
      <c r="H18">
        <v>520</v>
      </c>
      <c r="I18">
        <v>2272</v>
      </c>
      <c r="J18">
        <v>1076</v>
      </c>
      <c r="K18">
        <v>4226</v>
      </c>
      <c r="L18">
        <v>4186</v>
      </c>
    </row>
    <row r="19" spans="1:12" x14ac:dyDescent="0.35">
      <c r="A19" t="s">
        <v>265</v>
      </c>
      <c r="B19" t="s">
        <v>266</v>
      </c>
      <c r="C19" t="s">
        <v>390</v>
      </c>
      <c r="D19" t="s">
        <v>314</v>
      </c>
      <c r="E19" s="36">
        <v>20500</v>
      </c>
      <c r="F19" s="36">
        <v>0</v>
      </c>
      <c r="G19">
        <v>3207</v>
      </c>
      <c r="H19">
        <v>1772</v>
      </c>
      <c r="I19">
        <v>44362</v>
      </c>
      <c r="J19">
        <v>8366</v>
      </c>
      <c r="K19">
        <v>948</v>
      </c>
      <c r="L19">
        <v>744</v>
      </c>
    </row>
    <row r="20" spans="1:12" x14ac:dyDescent="0.35">
      <c r="A20" t="s">
        <v>342</v>
      </c>
      <c r="B20" t="s">
        <v>370</v>
      </c>
      <c r="C20" t="s">
        <v>390</v>
      </c>
      <c r="D20" t="s">
        <v>314</v>
      </c>
      <c r="E20" s="36">
        <v>10000</v>
      </c>
      <c r="F20" s="36">
        <v>0</v>
      </c>
      <c r="G20">
        <v>6422</v>
      </c>
      <c r="H20">
        <v>3886</v>
      </c>
      <c r="I20">
        <v>7319</v>
      </c>
      <c r="J20">
        <v>3200</v>
      </c>
      <c r="K20">
        <v>6875</v>
      </c>
      <c r="L20">
        <v>4058</v>
      </c>
    </row>
    <row r="21" spans="1:12" x14ac:dyDescent="0.35">
      <c r="A21" t="s">
        <v>343</v>
      </c>
      <c r="B21" t="s">
        <v>371</v>
      </c>
      <c r="C21" t="s">
        <v>390</v>
      </c>
      <c r="D21" t="s">
        <v>314</v>
      </c>
      <c r="E21" s="36">
        <v>34500</v>
      </c>
      <c r="F21" s="36">
        <v>0</v>
      </c>
      <c r="G21">
        <v>179456</v>
      </c>
      <c r="H21">
        <v>61974</v>
      </c>
      <c r="I21">
        <v>86927</v>
      </c>
      <c r="J21">
        <v>40074</v>
      </c>
      <c r="K21">
        <v>114468</v>
      </c>
      <c r="L21">
        <v>30540</v>
      </c>
    </row>
    <row r="22" spans="1:12" x14ac:dyDescent="0.35">
      <c r="A22" t="s">
        <v>344</v>
      </c>
      <c r="B22" t="s">
        <v>372</v>
      </c>
      <c r="C22" t="s">
        <v>390</v>
      </c>
      <c r="D22" t="s">
        <v>314</v>
      </c>
      <c r="E22" s="36">
        <v>33500</v>
      </c>
      <c r="F22" s="36">
        <v>35000</v>
      </c>
      <c r="G22">
        <v>74082</v>
      </c>
      <c r="H22">
        <v>21652</v>
      </c>
      <c r="I22">
        <v>75121</v>
      </c>
      <c r="J22">
        <v>30476</v>
      </c>
      <c r="K22">
        <v>63808</v>
      </c>
      <c r="L22">
        <v>19252</v>
      </c>
    </row>
    <row r="23" spans="1:12" x14ac:dyDescent="0.35">
      <c r="A23" t="s">
        <v>345</v>
      </c>
      <c r="B23" t="s">
        <v>373</v>
      </c>
      <c r="C23" t="s">
        <v>390</v>
      </c>
      <c r="D23" t="s">
        <v>314</v>
      </c>
      <c r="E23" s="36">
        <v>119500</v>
      </c>
      <c r="F23" s="36">
        <v>0</v>
      </c>
      <c r="G23">
        <v>0</v>
      </c>
      <c r="H23">
        <v>0</v>
      </c>
      <c r="I23"/>
      <c r="J23">
        <v>0</v>
      </c>
      <c r="K23">
        <v>0</v>
      </c>
      <c r="L23">
        <v>0</v>
      </c>
    </row>
    <row r="24" spans="1:12" x14ac:dyDescent="0.35">
      <c r="A24" t="s">
        <v>346</v>
      </c>
      <c r="B24" t="s">
        <v>374</v>
      </c>
      <c r="C24" t="s">
        <v>390</v>
      </c>
      <c r="D24" t="s">
        <v>314</v>
      </c>
      <c r="E24" s="36">
        <v>10500</v>
      </c>
      <c r="F24" s="36">
        <v>0</v>
      </c>
      <c r="G24">
        <v>12340</v>
      </c>
      <c r="H24">
        <v>5512</v>
      </c>
      <c r="I24">
        <v>13378</v>
      </c>
      <c r="J24">
        <v>6328</v>
      </c>
      <c r="K24">
        <v>16377</v>
      </c>
      <c r="L24">
        <v>5860</v>
      </c>
    </row>
    <row r="25" spans="1:12" x14ac:dyDescent="0.35">
      <c r="A25" t="s">
        <v>231</v>
      </c>
      <c r="B25" t="s">
        <v>375</v>
      </c>
      <c r="C25" t="s">
        <v>390</v>
      </c>
      <c r="D25" t="s">
        <v>314</v>
      </c>
      <c r="E25" s="36">
        <v>7000</v>
      </c>
      <c r="F25" s="36">
        <v>0</v>
      </c>
      <c r="G25">
        <v>12340</v>
      </c>
      <c r="H25">
        <v>5512</v>
      </c>
      <c r="I25">
        <v>3263</v>
      </c>
      <c r="J25">
        <v>2008</v>
      </c>
      <c r="K25">
        <v>8539</v>
      </c>
      <c r="L25">
        <v>3952</v>
      </c>
    </row>
    <row r="26" spans="1:12" x14ac:dyDescent="0.35">
      <c r="A26" t="s">
        <v>347</v>
      </c>
      <c r="B26" t="s">
        <v>376</v>
      </c>
      <c r="C26" t="s">
        <v>390</v>
      </c>
      <c r="D26" t="s">
        <v>314</v>
      </c>
      <c r="E26" s="36">
        <v>3000</v>
      </c>
      <c r="F26" s="36">
        <v>0</v>
      </c>
      <c r="G26">
        <v>30</v>
      </c>
      <c r="H26">
        <v>30</v>
      </c>
      <c r="I26">
        <v>5879</v>
      </c>
      <c r="J26">
        <v>3308</v>
      </c>
      <c r="K26">
        <v>326</v>
      </c>
      <c r="L26">
        <v>280</v>
      </c>
    </row>
    <row r="27" spans="1:12" x14ac:dyDescent="0.35">
      <c r="A27" t="s">
        <v>348</v>
      </c>
      <c r="B27" t="s">
        <v>377</v>
      </c>
      <c r="C27" t="s">
        <v>390</v>
      </c>
      <c r="D27" t="s">
        <v>314</v>
      </c>
      <c r="E27" s="36">
        <v>8000</v>
      </c>
      <c r="F27" s="36">
        <v>0</v>
      </c>
      <c r="G27">
        <v>30</v>
      </c>
      <c r="H27">
        <v>30</v>
      </c>
      <c r="I27">
        <v>5934</v>
      </c>
      <c r="J27">
        <v>3408</v>
      </c>
      <c r="K27">
        <v>1028</v>
      </c>
      <c r="L27">
        <v>780</v>
      </c>
    </row>
    <row r="28" spans="1:12" x14ac:dyDescent="0.35">
      <c r="A28" t="s">
        <v>349</v>
      </c>
      <c r="B28" t="s">
        <v>378</v>
      </c>
      <c r="C28" t="s">
        <v>390</v>
      </c>
      <c r="D28" t="s">
        <v>314</v>
      </c>
      <c r="E28" s="36">
        <v>199000</v>
      </c>
      <c r="F28" s="36">
        <v>0</v>
      </c>
      <c r="G28">
        <v>27602</v>
      </c>
      <c r="H28">
        <v>10134</v>
      </c>
      <c r="I28">
        <v>25920</v>
      </c>
      <c r="J28">
        <v>5228</v>
      </c>
      <c r="K28">
        <v>5884</v>
      </c>
      <c r="L28">
        <v>3288</v>
      </c>
    </row>
    <row r="29" spans="1:12" x14ac:dyDescent="0.35">
      <c r="A29" t="s">
        <v>350</v>
      </c>
      <c r="B29" t="s">
        <v>379</v>
      </c>
      <c r="C29" t="s">
        <v>390</v>
      </c>
      <c r="D29" t="s">
        <v>314</v>
      </c>
      <c r="E29" s="36">
        <v>145000</v>
      </c>
      <c r="F29" s="36">
        <v>0</v>
      </c>
      <c r="G29">
        <v>5576</v>
      </c>
      <c r="H29">
        <v>2534</v>
      </c>
      <c r="I29">
        <v>7382</v>
      </c>
      <c r="J29">
        <v>2135</v>
      </c>
      <c r="K29">
        <v>7602</v>
      </c>
      <c r="L29">
        <v>3544</v>
      </c>
    </row>
    <row r="30" spans="1:12" x14ac:dyDescent="0.35">
      <c r="A30" t="s">
        <v>304</v>
      </c>
      <c r="B30" t="s">
        <v>184</v>
      </c>
      <c r="C30" t="s">
        <v>391</v>
      </c>
      <c r="D30" t="s">
        <v>314</v>
      </c>
      <c r="E30" s="36">
        <v>85000</v>
      </c>
      <c r="F30" s="36">
        <v>0</v>
      </c>
      <c r="G30">
        <v>480636</v>
      </c>
      <c r="H30">
        <v>121256</v>
      </c>
      <c r="I30">
        <v>100611</v>
      </c>
      <c r="J30">
        <v>29388</v>
      </c>
      <c r="K30">
        <v>85527</v>
      </c>
      <c r="L30">
        <v>28280</v>
      </c>
    </row>
    <row r="31" spans="1:12" x14ac:dyDescent="0.35">
      <c r="A31" t="s">
        <v>351</v>
      </c>
      <c r="B31" t="s">
        <v>380</v>
      </c>
      <c r="C31" t="s">
        <v>391</v>
      </c>
      <c r="D31" t="s">
        <v>314</v>
      </c>
      <c r="E31" s="36">
        <v>21000</v>
      </c>
      <c r="F31" s="36">
        <v>0</v>
      </c>
      <c r="G31">
        <v>47379</v>
      </c>
      <c r="H31">
        <v>24970</v>
      </c>
      <c r="I31">
        <v>17013</v>
      </c>
      <c r="J31">
        <v>7476</v>
      </c>
      <c r="K31">
        <v>11211</v>
      </c>
      <c r="L31">
        <v>4228</v>
      </c>
    </row>
    <row r="32" spans="1:12" x14ac:dyDescent="0.35">
      <c r="A32" t="s">
        <v>352</v>
      </c>
      <c r="B32" t="s">
        <v>381</v>
      </c>
      <c r="C32" t="s">
        <v>391</v>
      </c>
      <c r="D32" t="s">
        <v>314</v>
      </c>
      <c r="E32" s="36">
        <v>16000</v>
      </c>
      <c r="F32" s="36">
        <v>0</v>
      </c>
      <c r="G32">
        <v>8222</v>
      </c>
      <c r="H32">
        <v>5116</v>
      </c>
      <c r="I32">
        <v>21802</v>
      </c>
      <c r="J32">
        <v>9624</v>
      </c>
      <c r="K32">
        <v>13048</v>
      </c>
      <c r="L32">
        <v>8172</v>
      </c>
    </row>
    <row r="33" spans="1:12" x14ac:dyDescent="0.35">
      <c r="A33" t="s">
        <v>353</v>
      </c>
      <c r="B33" t="s">
        <v>181</v>
      </c>
      <c r="C33" t="s">
        <v>505</v>
      </c>
      <c r="D33" t="s">
        <v>310</v>
      </c>
      <c r="E33" s="36">
        <v>65000</v>
      </c>
      <c r="F33" s="36">
        <v>0</v>
      </c>
      <c r="G33">
        <v>555614</v>
      </c>
      <c r="H33">
        <v>158943</v>
      </c>
      <c r="I33">
        <v>159768</v>
      </c>
      <c r="J33">
        <v>51237</v>
      </c>
      <c r="K33">
        <v>120330</v>
      </c>
      <c r="L33">
        <v>45868</v>
      </c>
    </row>
    <row r="34" spans="1:12" x14ac:dyDescent="0.35">
      <c r="A34" t="s">
        <v>354</v>
      </c>
      <c r="B34" t="s">
        <v>183</v>
      </c>
      <c r="C34" t="s">
        <v>505</v>
      </c>
      <c r="D34" t="s">
        <v>310</v>
      </c>
      <c r="E34" s="36">
        <v>69000</v>
      </c>
      <c r="F34" s="36">
        <v>0</v>
      </c>
      <c r="G34">
        <v>555614</v>
      </c>
      <c r="H34">
        <v>158943</v>
      </c>
      <c r="I34">
        <v>159768</v>
      </c>
      <c r="J34">
        <v>51237</v>
      </c>
      <c r="K34">
        <v>120330</v>
      </c>
      <c r="L34">
        <v>45868</v>
      </c>
    </row>
    <row r="35" spans="1:12" x14ac:dyDescent="0.35">
      <c r="A35" t="s">
        <v>355</v>
      </c>
      <c r="B35" t="s">
        <v>382</v>
      </c>
      <c r="C35" t="s">
        <v>390</v>
      </c>
      <c r="D35" t="s">
        <v>314</v>
      </c>
      <c r="E35" s="36">
        <v>400</v>
      </c>
      <c r="F35" s="36">
        <v>6000</v>
      </c>
      <c r="G35">
        <v>1195</v>
      </c>
      <c r="H35">
        <v>596</v>
      </c>
      <c r="I35">
        <v>3912</v>
      </c>
      <c r="J35">
        <v>1748</v>
      </c>
      <c r="K35">
        <v>4672</v>
      </c>
      <c r="L35">
        <v>2398</v>
      </c>
    </row>
    <row r="36" spans="1:12" x14ac:dyDescent="0.35">
      <c r="A36" t="s">
        <v>356</v>
      </c>
      <c r="B36" t="s">
        <v>240</v>
      </c>
      <c r="C36" t="s">
        <v>390</v>
      </c>
      <c r="D36" t="s">
        <v>314</v>
      </c>
      <c r="E36" s="36">
        <v>43000</v>
      </c>
      <c r="F36" s="36">
        <v>0</v>
      </c>
      <c r="G36">
        <v>3356</v>
      </c>
      <c r="H36">
        <v>2122</v>
      </c>
      <c r="I36">
        <v>5458</v>
      </c>
      <c r="J36">
        <v>4564</v>
      </c>
      <c r="K36">
        <v>7727</v>
      </c>
      <c r="L36">
        <v>3960</v>
      </c>
    </row>
    <row r="37" spans="1:12" x14ac:dyDescent="0.35">
      <c r="A37" t="s">
        <v>357</v>
      </c>
      <c r="B37" t="s">
        <v>383</v>
      </c>
      <c r="C37" t="s">
        <v>390</v>
      </c>
      <c r="D37" t="s">
        <v>314</v>
      </c>
      <c r="E37" s="36">
        <v>4000</v>
      </c>
      <c r="F37" s="36">
        <v>0</v>
      </c>
      <c r="G37">
        <v>1195</v>
      </c>
      <c r="H37">
        <v>596</v>
      </c>
      <c r="I37">
        <v>1186</v>
      </c>
      <c r="J37">
        <v>928</v>
      </c>
      <c r="K37">
        <v>1203</v>
      </c>
      <c r="L37">
        <v>828</v>
      </c>
    </row>
    <row r="38" spans="1:12" x14ac:dyDescent="0.35">
      <c r="A38" t="s">
        <v>358</v>
      </c>
      <c r="B38" t="s">
        <v>384</v>
      </c>
      <c r="C38" t="s">
        <v>390</v>
      </c>
      <c r="D38" t="s">
        <v>314</v>
      </c>
      <c r="E38" s="36">
        <v>2000</v>
      </c>
      <c r="F38" s="36">
        <v>0</v>
      </c>
      <c r="G38">
        <v>3356</v>
      </c>
      <c r="H38">
        <v>2122</v>
      </c>
      <c r="I38">
        <v>1446</v>
      </c>
      <c r="J38">
        <v>1044</v>
      </c>
      <c r="K38">
        <v>3456</v>
      </c>
      <c r="L38">
        <v>2320</v>
      </c>
    </row>
    <row r="39" spans="1:12" x14ac:dyDescent="0.35">
      <c r="A39" t="s">
        <v>288</v>
      </c>
      <c r="B39" t="s">
        <v>385</v>
      </c>
      <c r="C39" t="s">
        <v>392</v>
      </c>
      <c r="D39" t="s">
        <v>311</v>
      </c>
      <c r="E39" s="36">
        <v>50</v>
      </c>
      <c r="F39" s="36">
        <v>0</v>
      </c>
      <c r="G39">
        <v>516</v>
      </c>
      <c r="H39">
        <v>516</v>
      </c>
      <c r="I39">
        <v>428</v>
      </c>
      <c r="J39">
        <v>428</v>
      </c>
      <c r="K39">
        <v>174</v>
      </c>
      <c r="L39">
        <v>174</v>
      </c>
    </row>
    <row r="40" spans="1:12" x14ac:dyDescent="0.35">
      <c r="A40" t="s">
        <v>359</v>
      </c>
      <c r="B40" t="s">
        <v>386</v>
      </c>
      <c r="C40" t="s">
        <v>390</v>
      </c>
      <c r="D40" t="s">
        <v>314</v>
      </c>
      <c r="E40" s="36">
        <v>0</v>
      </c>
      <c r="F40" s="36">
        <v>0</v>
      </c>
      <c r="G40">
        <v>501184</v>
      </c>
      <c r="H40">
        <v>130563</v>
      </c>
      <c r="I40">
        <v>129892</v>
      </c>
      <c r="J40">
        <v>38618</v>
      </c>
      <c r="K40">
        <v>98820</v>
      </c>
      <c r="L40">
        <v>36808</v>
      </c>
    </row>
    <row r="41" spans="1:12" x14ac:dyDescent="0.35">
      <c r="A41" t="s">
        <v>360</v>
      </c>
      <c r="B41" t="s">
        <v>387</v>
      </c>
      <c r="C41" t="s">
        <v>390</v>
      </c>
      <c r="D41" t="s">
        <v>314</v>
      </c>
      <c r="E41" s="36">
        <v>15500</v>
      </c>
      <c r="F41" s="36">
        <v>0</v>
      </c>
      <c r="G41">
        <v>48854</v>
      </c>
      <c r="H41">
        <v>25846</v>
      </c>
      <c r="I41">
        <v>22494</v>
      </c>
      <c r="J41">
        <v>10484</v>
      </c>
      <c r="K41">
        <v>13908</v>
      </c>
      <c r="L41">
        <v>5516</v>
      </c>
    </row>
    <row r="42" spans="1:12" x14ac:dyDescent="0.35">
      <c r="A42" t="s">
        <v>360</v>
      </c>
      <c r="B42" t="s">
        <v>387</v>
      </c>
      <c r="C42" t="s">
        <v>390</v>
      </c>
      <c r="D42" t="s">
        <v>314</v>
      </c>
      <c r="E42" s="36">
        <v>85000</v>
      </c>
      <c r="F42" s="36">
        <v>0</v>
      </c>
      <c r="G42">
        <v>5576</v>
      </c>
      <c r="H42">
        <v>2534</v>
      </c>
      <c r="I42">
        <v>7382</v>
      </c>
      <c r="J42">
        <v>2135</v>
      </c>
      <c r="K42">
        <v>7602</v>
      </c>
      <c r="L42">
        <v>3544</v>
      </c>
    </row>
    <row r="43" spans="1:12" x14ac:dyDescent="0.35">
      <c r="A43" t="s">
        <v>361</v>
      </c>
      <c r="B43" t="s">
        <v>179</v>
      </c>
      <c r="C43" t="s">
        <v>390</v>
      </c>
      <c r="D43" t="s">
        <v>314</v>
      </c>
      <c r="E43" s="36">
        <v>80000</v>
      </c>
      <c r="F43" s="36">
        <v>0</v>
      </c>
      <c r="G43">
        <v>555614</v>
      </c>
      <c r="H43">
        <v>158943</v>
      </c>
      <c r="I43">
        <v>159768</v>
      </c>
      <c r="J43">
        <v>51237</v>
      </c>
      <c r="K43">
        <v>120330</v>
      </c>
      <c r="L43">
        <v>45868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B8C5-286A-44F0-912F-C63D783B0F77}">
  <dimension ref="A3:G125"/>
  <sheetViews>
    <sheetView topLeftCell="A54" workbookViewId="0">
      <selection activeCell="A44" sqref="A44:G83"/>
    </sheetView>
  </sheetViews>
  <sheetFormatPr defaultRowHeight="15.6" x14ac:dyDescent="0.35"/>
  <cols>
    <col min="1" max="1" width="17.44140625" bestFit="1" customWidth="1"/>
    <col min="2" max="2" width="44.44140625" bestFit="1" customWidth="1"/>
    <col min="3" max="5" width="28" style="1" bestFit="1" customWidth="1"/>
    <col min="6" max="6" width="23.109375" bestFit="1" customWidth="1"/>
    <col min="7" max="8" width="28" bestFit="1" customWidth="1"/>
  </cols>
  <sheetData>
    <row r="3" spans="1:5" x14ac:dyDescent="0.35">
      <c r="A3" s="41" t="s">
        <v>393</v>
      </c>
      <c r="B3" s="41" t="s">
        <v>394</v>
      </c>
      <c r="C3" t="s">
        <v>514</v>
      </c>
      <c r="D3" t="s">
        <v>516</v>
      </c>
      <c r="E3" t="s">
        <v>518</v>
      </c>
    </row>
    <row r="4" spans="1:5" x14ac:dyDescent="0.35">
      <c r="A4" t="s">
        <v>331</v>
      </c>
      <c r="B4" t="s">
        <v>362</v>
      </c>
      <c r="C4">
        <v>61974</v>
      </c>
      <c r="D4">
        <v>40074</v>
      </c>
      <c r="E4">
        <v>30540</v>
      </c>
    </row>
    <row r="5" spans="1:5" x14ac:dyDescent="0.35">
      <c r="A5" t="s">
        <v>332</v>
      </c>
      <c r="B5" t="s">
        <v>363</v>
      </c>
      <c r="C5">
        <v>121256</v>
      </c>
      <c r="D5">
        <v>29388</v>
      </c>
      <c r="E5">
        <v>28280</v>
      </c>
    </row>
    <row r="6" spans="1:5" x14ac:dyDescent="0.35">
      <c r="A6" t="s">
        <v>333</v>
      </c>
      <c r="B6" t="s">
        <v>364</v>
      </c>
      <c r="C6">
        <v>24970</v>
      </c>
      <c r="D6">
        <v>7476</v>
      </c>
      <c r="E6">
        <v>6884</v>
      </c>
    </row>
    <row r="7" spans="1:5" x14ac:dyDescent="0.35">
      <c r="A7" t="s">
        <v>334</v>
      </c>
      <c r="B7" t="s">
        <v>365</v>
      </c>
      <c r="C7">
        <v>158943</v>
      </c>
      <c r="D7">
        <v>74009</v>
      </c>
      <c r="E7">
        <v>45868</v>
      </c>
    </row>
    <row r="8" spans="1:5" x14ac:dyDescent="0.35">
      <c r="A8" t="s">
        <v>273</v>
      </c>
      <c r="B8" t="s">
        <v>274</v>
      </c>
      <c r="C8">
        <v>0</v>
      </c>
      <c r="D8">
        <v>0</v>
      </c>
      <c r="E8">
        <v>0</v>
      </c>
    </row>
    <row r="9" spans="1:5" x14ac:dyDescent="0.35">
      <c r="A9" t="s">
        <v>335</v>
      </c>
      <c r="B9" t="s">
        <v>222</v>
      </c>
      <c r="C9">
        <v>3932</v>
      </c>
      <c r="D9">
        <v>7966</v>
      </c>
      <c r="E9">
        <v>6578</v>
      </c>
    </row>
    <row r="10" spans="1:5" x14ac:dyDescent="0.35">
      <c r="A10" t="s">
        <v>336</v>
      </c>
      <c r="B10" t="s">
        <v>218</v>
      </c>
      <c r="C10">
        <v>2400</v>
      </c>
      <c r="D10">
        <v>2444</v>
      </c>
      <c r="E10">
        <v>4152</v>
      </c>
    </row>
    <row r="11" spans="1:5" x14ac:dyDescent="0.35">
      <c r="A11" t="s">
        <v>337</v>
      </c>
      <c r="B11" t="s">
        <v>220</v>
      </c>
      <c r="C11">
        <v>756</v>
      </c>
      <c r="D11">
        <v>5404</v>
      </c>
      <c r="E11">
        <v>6274</v>
      </c>
    </row>
    <row r="12" spans="1:5" x14ac:dyDescent="0.35">
      <c r="A12" t="s">
        <v>338</v>
      </c>
      <c r="B12" t="s">
        <v>258</v>
      </c>
      <c r="C12">
        <v>2122</v>
      </c>
      <c r="D12">
        <v>2340</v>
      </c>
      <c r="E12">
        <v>1488</v>
      </c>
    </row>
    <row r="13" spans="1:5" x14ac:dyDescent="0.35">
      <c r="A13" t="s">
        <v>269</v>
      </c>
      <c r="B13" t="s">
        <v>270</v>
      </c>
      <c r="C13">
        <v>30</v>
      </c>
      <c r="D13"/>
      <c r="E13"/>
    </row>
    <row r="14" spans="1:5" x14ac:dyDescent="0.35">
      <c r="A14" t="s">
        <v>339</v>
      </c>
      <c r="B14" t="s">
        <v>366</v>
      </c>
      <c r="C14">
        <v>6</v>
      </c>
      <c r="D14">
        <v>2302</v>
      </c>
      <c r="E14">
        <v>904</v>
      </c>
    </row>
    <row r="15" spans="1:5" x14ac:dyDescent="0.35">
      <c r="A15" t="s">
        <v>340</v>
      </c>
      <c r="B15" t="s">
        <v>367</v>
      </c>
      <c r="C15">
        <v>6</v>
      </c>
      <c r="D15">
        <v>2272</v>
      </c>
      <c r="E15">
        <v>764</v>
      </c>
    </row>
    <row r="16" spans="1:5" x14ac:dyDescent="0.35">
      <c r="A16" t="s">
        <v>267</v>
      </c>
      <c r="B16" t="s">
        <v>268</v>
      </c>
      <c r="C16">
        <v>0</v>
      </c>
      <c r="D16">
        <v>3648</v>
      </c>
      <c r="E16">
        <v>576</v>
      </c>
    </row>
    <row r="17" spans="1:5" x14ac:dyDescent="0.35">
      <c r="A17" t="s">
        <v>224</v>
      </c>
      <c r="B17" t="s">
        <v>368</v>
      </c>
      <c r="C17">
        <v>4028</v>
      </c>
      <c r="D17">
        <v>8182</v>
      </c>
      <c r="E17">
        <v>1608</v>
      </c>
    </row>
    <row r="18" spans="1:5" x14ac:dyDescent="0.35">
      <c r="A18" t="s">
        <v>341</v>
      </c>
      <c r="B18" t="s">
        <v>369</v>
      </c>
      <c r="C18">
        <v>520</v>
      </c>
      <c r="D18">
        <v>1076</v>
      </c>
      <c r="E18">
        <v>4186</v>
      </c>
    </row>
    <row r="19" spans="1:5" x14ac:dyDescent="0.35">
      <c r="A19" t="s">
        <v>265</v>
      </c>
      <c r="B19" t="s">
        <v>266</v>
      </c>
      <c r="C19">
        <v>1772</v>
      </c>
      <c r="D19">
        <v>8366</v>
      </c>
      <c r="E19">
        <v>744</v>
      </c>
    </row>
    <row r="20" spans="1:5" x14ac:dyDescent="0.35">
      <c r="A20" t="s">
        <v>342</v>
      </c>
      <c r="B20" t="s">
        <v>370</v>
      </c>
      <c r="C20">
        <v>3886</v>
      </c>
      <c r="D20">
        <v>3200</v>
      </c>
      <c r="E20">
        <v>4058</v>
      </c>
    </row>
    <row r="21" spans="1:5" x14ac:dyDescent="0.35">
      <c r="A21" t="s">
        <v>343</v>
      </c>
      <c r="B21" t="s">
        <v>371</v>
      </c>
      <c r="C21">
        <v>61974</v>
      </c>
      <c r="D21">
        <v>40074</v>
      </c>
      <c r="E21">
        <v>30540</v>
      </c>
    </row>
    <row r="22" spans="1:5" x14ac:dyDescent="0.35">
      <c r="A22" t="s">
        <v>344</v>
      </c>
      <c r="B22" t="s">
        <v>372</v>
      </c>
      <c r="C22">
        <v>21652</v>
      </c>
      <c r="D22">
        <v>30476</v>
      </c>
      <c r="E22">
        <v>19252</v>
      </c>
    </row>
    <row r="23" spans="1:5" x14ac:dyDescent="0.35">
      <c r="A23" t="s">
        <v>345</v>
      </c>
      <c r="B23" t="s">
        <v>373</v>
      </c>
      <c r="C23">
        <v>0</v>
      </c>
      <c r="D23">
        <v>0</v>
      </c>
      <c r="E23">
        <v>0</v>
      </c>
    </row>
    <row r="24" spans="1:5" x14ac:dyDescent="0.35">
      <c r="A24" t="s">
        <v>346</v>
      </c>
      <c r="B24" t="s">
        <v>374</v>
      </c>
      <c r="C24">
        <v>5512</v>
      </c>
      <c r="D24">
        <v>6328</v>
      </c>
      <c r="E24">
        <v>5860</v>
      </c>
    </row>
    <row r="25" spans="1:5" x14ac:dyDescent="0.35">
      <c r="A25" t="s">
        <v>231</v>
      </c>
      <c r="B25" t="s">
        <v>375</v>
      </c>
      <c r="C25">
        <v>5512</v>
      </c>
      <c r="D25">
        <v>2008</v>
      </c>
      <c r="E25">
        <v>3952</v>
      </c>
    </row>
    <row r="26" spans="1:5" x14ac:dyDescent="0.35">
      <c r="A26" t="s">
        <v>347</v>
      </c>
      <c r="B26" t="s">
        <v>376</v>
      </c>
      <c r="C26">
        <v>30</v>
      </c>
      <c r="D26">
        <v>3308</v>
      </c>
      <c r="E26">
        <v>280</v>
      </c>
    </row>
    <row r="27" spans="1:5" x14ac:dyDescent="0.35">
      <c r="A27" t="s">
        <v>348</v>
      </c>
      <c r="B27" t="s">
        <v>377</v>
      </c>
      <c r="C27">
        <v>30</v>
      </c>
      <c r="D27">
        <v>3408</v>
      </c>
      <c r="E27">
        <v>780</v>
      </c>
    </row>
    <row r="28" spans="1:5" x14ac:dyDescent="0.35">
      <c r="A28" t="s">
        <v>349</v>
      </c>
      <c r="B28" t="s">
        <v>378</v>
      </c>
      <c r="C28">
        <v>10134</v>
      </c>
      <c r="D28">
        <v>5228</v>
      </c>
      <c r="E28">
        <v>3288</v>
      </c>
    </row>
    <row r="29" spans="1:5" x14ac:dyDescent="0.35">
      <c r="A29" t="s">
        <v>350</v>
      </c>
      <c r="B29" t="s">
        <v>379</v>
      </c>
      <c r="C29">
        <v>2534</v>
      </c>
      <c r="D29">
        <v>2135</v>
      </c>
      <c r="E29">
        <v>3544</v>
      </c>
    </row>
    <row r="30" spans="1:5" x14ac:dyDescent="0.35">
      <c r="A30" t="s">
        <v>304</v>
      </c>
      <c r="B30" t="s">
        <v>184</v>
      </c>
      <c r="C30">
        <v>121256</v>
      </c>
      <c r="D30">
        <v>29388</v>
      </c>
      <c r="E30">
        <v>28280</v>
      </c>
    </row>
    <row r="31" spans="1:5" x14ac:dyDescent="0.35">
      <c r="A31" t="s">
        <v>351</v>
      </c>
      <c r="B31" t="s">
        <v>380</v>
      </c>
      <c r="C31">
        <v>24970</v>
      </c>
      <c r="D31">
        <v>7476</v>
      </c>
      <c r="E31">
        <v>4228</v>
      </c>
    </row>
    <row r="32" spans="1:5" x14ac:dyDescent="0.35">
      <c r="A32" t="s">
        <v>352</v>
      </c>
      <c r="B32" t="s">
        <v>381</v>
      </c>
      <c r="C32">
        <v>5116</v>
      </c>
      <c r="D32">
        <v>9624</v>
      </c>
      <c r="E32">
        <v>8172</v>
      </c>
    </row>
    <row r="33" spans="1:7" x14ac:dyDescent="0.35">
      <c r="A33" t="s">
        <v>353</v>
      </c>
      <c r="B33" t="s">
        <v>181</v>
      </c>
      <c r="C33">
        <v>158943</v>
      </c>
      <c r="D33">
        <v>51237</v>
      </c>
      <c r="E33">
        <v>45868</v>
      </c>
    </row>
    <row r="34" spans="1:7" x14ac:dyDescent="0.35">
      <c r="A34" t="s">
        <v>354</v>
      </c>
      <c r="B34" t="s">
        <v>183</v>
      </c>
      <c r="C34">
        <v>158943</v>
      </c>
      <c r="D34">
        <v>51237</v>
      </c>
      <c r="E34">
        <v>45868</v>
      </c>
    </row>
    <row r="35" spans="1:7" x14ac:dyDescent="0.35">
      <c r="A35" t="s">
        <v>355</v>
      </c>
      <c r="B35" t="s">
        <v>382</v>
      </c>
      <c r="C35">
        <v>596</v>
      </c>
      <c r="D35">
        <v>1748</v>
      </c>
      <c r="E35">
        <v>2398</v>
      </c>
    </row>
    <row r="36" spans="1:7" x14ac:dyDescent="0.35">
      <c r="A36" t="s">
        <v>356</v>
      </c>
      <c r="B36" t="s">
        <v>240</v>
      </c>
      <c r="C36">
        <v>2122</v>
      </c>
      <c r="D36">
        <v>4564</v>
      </c>
      <c r="E36">
        <v>3960</v>
      </c>
    </row>
    <row r="37" spans="1:7" x14ac:dyDescent="0.35">
      <c r="A37" t="s">
        <v>357</v>
      </c>
      <c r="B37" t="s">
        <v>383</v>
      </c>
      <c r="C37">
        <v>596</v>
      </c>
      <c r="D37">
        <v>928</v>
      </c>
      <c r="E37">
        <v>828</v>
      </c>
    </row>
    <row r="38" spans="1:7" x14ac:dyDescent="0.35">
      <c r="A38" t="s">
        <v>358</v>
      </c>
      <c r="B38" t="s">
        <v>384</v>
      </c>
      <c r="C38">
        <v>2122</v>
      </c>
      <c r="D38">
        <v>1044</v>
      </c>
      <c r="E38">
        <v>2320</v>
      </c>
    </row>
    <row r="39" spans="1:7" x14ac:dyDescent="0.35">
      <c r="A39" t="s">
        <v>288</v>
      </c>
      <c r="B39" t="s">
        <v>385</v>
      </c>
      <c r="C39">
        <v>516</v>
      </c>
      <c r="D39">
        <v>428</v>
      </c>
      <c r="E39">
        <v>174</v>
      </c>
    </row>
    <row r="40" spans="1:7" x14ac:dyDescent="0.35">
      <c r="A40" t="s">
        <v>359</v>
      </c>
      <c r="B40" t="s">
        <v>386</v>
      </c>
      <c r="C40">
        <v>130563</v>
      </c>
      <c r="D40">
        <v>38618</v>
      </c>
      <c r="E40">
        <v>36808</v>
      </c>
    </row>
    <row r="41" spans="1:7" x14ac:dyDescent="0.35">
      <c r="A41" t="s">
        <v>360</v>
      </c>
      <c r="B41" t="s">
        <v>387</v>
      </c>
      <c r="C41">
        <v>28380</v>
      </c>
      <c r="D41">
        <v>12619</v>
      </c>
      <c r="E41">
        <v>9060</v>
      </c>
    </row>
    <row r="42" spans="1:7" x14ac:dyDescent="0.35">
      <c r="A42" t="s">
        <v>361</v>
      </c>
      <c r="B42" t="s">
        <v>179</v>
      </c>
      <c r="C42">
        <v>158943</v>
      </c>
      <c r="D42">
        <v>51237</v>
      </c>
      <c r="E42">
        <v>45868</v>
      </c>
    </row>
    <row r="44" spans="1:7" x14ac:dyDescent="0.35">
      <c r="A44" t="s">
        <v>393</v>
      </c>
      <c r="B44" t="s">
        <v>394</v>
      </c>
      <c r="C44" s="1" t="s">
        <v>513</v>
      </c>
      <c r="D44" s="1" t="s">
        <v>515</v>
      </c>
      <c r="E44" s="1" t="s">
        <v>517</v>
      </c>
      <c r="F44" s="1" t="s">
        <v>520</v>
      </c>
      <c r="G44" s="1" t="s">
        <v>521</v>
      </c>
    </row>
    <row r="45" spans="1:7" x14ac:dyDescent="0.35">
      <c r="A45" t="s">
        <v>331</v>
      </c>
      <c r="B45" t="s">
        <v>362</v>
      </c>
      <c r="C45" s="1">
        <v>293475</v>
      </c>
      <c r="D45" s="1">
        <v>242976</v>
      </c>
      <c r="E45" s="1">
        <v>208039</v>
      </c>
      <c r="F45" s="36">
        <f>AVERAGE(C45:E45)</f>
        <v>248163.33333333334</v>
      </c>
      <c r="G45" s="1">
        <v>44196</v>
      </c>
    </row>
    <row r="46" spans="1:7" x14ac:dyDescent="0.35">
      <c r="A46" t="s">
        <v>332</v>
      </c>
      <c r="B46" t="s">
        <v>363</v>
      </c>
      <c r="C46" s="1">
        <v>509300</v>
      </c>
      <c r="D46" s="1">
        <v>149148</v>
      </c>
      <c r="E46" s="1">
        <v>126732</v>
      </c>
      <c r="F46" s="36">
        <f t="shared" ref="F46:F83" si="0">AVERAGE(C46:E46)</f>
        <v>261726.66666666666</v>
      </c>
      <c r="G46" s="1">
        <v>59641.333333333336</v>
      </c>
    </row>
    <row r="47" spans="1:7" x14ac:dyDescent="0.35">
      <c r="A47" t="s">
        <v>333</v>
      </c>
      <c r="B47" t="s">
        <v>364</v>
      </c>
      <c r="C47" s="1">
        <v>74117</v>
      </c>
      <c r="D47" s="1">
        <v>75916</v>
      </c>
      <c r="E47" s="1">
        <v>56924</v>
      </c>
      <c r="F47" s="36">
        <f t="shared" si="0"/>
        <v>68985.666666666672</v>
      </c>
      <c r="G47" s="1">
        <v>13110</v>
      </c>
    </row>
    <row r="48" spans="1:7" x14ac:dyDescent="0.35">
      <c r="A48" t="s">
        <v>334</v>
      </c>
      <c r="B48" t="s">
        <v>365</v>
      </c>
      <c r="C48" s="1">
        <v>555614</v>
      </c>
      <c r="D48" s="1">
        <v>244058</v>
      </c>
      <c r="E48" s="1">
        <v>120330</v>
      </c>
      <c r="F48" s="36">
        <f t="shared" si="0"/>
        <v>306667.33333333331</v>
      </c>
      <c r="G48" s="1">
        <v>92940</v>
      </c>
    </row>
    <row r="49" spans="1:7" x14ac:dyDescent="0.35">
      <c r="A49" t="s">
        <v>273</v>
      </c>
      <c r="B49" t="s">
        <v>274</v>
      </c>
      <c r="C49" s="1">
        <v>0</v>
      </c>
      <c r="D49" s="1">
        <v>0</v>
      </c>
      <c r="E49" s="1">
        <v>0</v>
      </c>
      <c r="F49" s="36">
        <f t="shared" si="0"/>
        <v>0</v>
      </c>
      <c r="G49" s="1">
        <v>0</v>
      </c>
    </row>
    <row r="50" spans="1:7" x14ac:dyDescent="0.35">
      <c r="A50" t="s">
        <v>335</v>
      </c>
      <c r="B50" t="s">
        <v>222</v>
      </c>
      <c r="C50" s="1">
        <v>6009</v>
      </c>
      <c r="D50" s="1">
        <v>8878</v>
      </c>
      <c r="E50" s="1">
        <v>8420</v>
      </c>
      <c r="F50" s="36">
        <f t="shared" si="0"/>
        <v>7769</v>
      </c>
      <c r="G50" s="1">
        <v>6158.666666666667</v>
      </c>
    </row>
    <row r="51" spans="1:7" x14ac:dyDescent="0.35">
      <c r="A51" t="s">
        <v>336</v>
      </c>
      <c r="B51" t="s">
        <v>218</v>
      </c>
      <c r="C51" s="1">
        <v>4460</v>
      </c>
      <c r="D51" s="1">
        <v>3900</v>
      </c>
      <c r="E51" s="1">
        <v>7262</v>
      </c>
      <c r="F51" s="36">
        <f t="shared" si="0"/>
        <v>5207.333333333333</v>
      </c>
      <c r="G51" s="1">
        <v>2998.6666666666665</v>
      </c>
    </row>
    <row r="52" spans="1:7" x14ac:dyDescent="0.35">
      <c r="A52" t="s">
        <v>337</v>
      </c>
      <c r="B52" t="s">
        <v>220</v>
      </c>
      <c r="C52" s="1">
        <v>1162</v>
      </c>
      <c r="D52" s="1">
        <v>10922</v>
      </c>
      <c r="E52" s="1">
        <v>12391</v>
      </c>
      <c r="F52" s="36">
        <f t="shared" si="0"/>
        <v>8158.333333333333</v>
      </c>
      <c r="G52" s="1">
        <v>4144.666666666667</v>
      </c>
    </row>
    <row r="53" spans="1:7" x14ac:dyDescent="0.35">
      <c r="A53" t="s">
        <v>338</v>
      </c>
      <c r="B53" t="s">
        <v>258</v>
      </c>
      <c r="C53" s="1">
        <v>3118</v>
      </c>
      <c r="D53" s="1">
        <v>2978</v>
      </c>
      <c r="E53" s="1">
        <v>2509</v>
      </c>
      <c r="F53" s="36">
        <f t="shared" si="0"/>
        <v>2868.3333333333335</v>
      </c>
      <c r="G53" s="1">
        <v>1983.3333333333333</v>
      </c>
    </row>
    <row r="54" spans="1:7" x14ac:dyDescent="0.35">
      <c r="A54" t="s">
        <v>269</v>
      </c>
      <c r="B54" t="s">
        <v>270</v>
      </c>
      <c r="C54" s="1">
        <v>30</v>
      </c>
      <c r="E54" s="1">
        <v>0</v>
      </c>
      <c r="F54" s="36">
        <f t="shared" si="0"/>
        <v>15</v>
      </c>
      <c r="G54" s="1">
        <v>30</v>
      </c>
    </row>
    <row r="55" spans="1:7" x14ac:dyDescent="0.35">
      <c r="A55" t="s">
        <v>339</v>
      </c>
      <c r="B55" t="s">
        <v>366</v>
      </c>
      <c r="C55" s="1">
        <v>6</v>
      </c>
      <c r="D55" s="1">
        <v>2614</v>
      </c>
      <c r="E55" s="1">
        <v>1571</v>
      </c>
      <c r="F55" s="36">
        <f t="shared" si="0"/>
        <v>1397</v>
      </c>
      <c r="G55" s="1">
        <v>1070.6666666666667</v>
      </c>
    </row>
    <row r="56" spans="1:7" x14ac:dyDescent="0.35">
      <c r="A56" t="s">
        <v>340</v>
      </c>
      <c r="B56" t="s">
        <v>367</v>
      </c>
      <c r="C56" s="1">
        <v>6</v>
      </c>
      <c r="D56" s="1">
        <v>2598</v>
      </c>
      <c r="E56" s="1">
        <v>1394</v>
      </c>
      <c r="F56" s="36">
        <f t="shared" si="0"/>
        <v>1332.6666666666667</v>
      </c>
      <c r="G56" s="1">
        <v>1014</v>
      </c>
    </row>
    <row r="57" spans="1:7" x14ac:dyDescent="0.35">
      <c r="A57" t="s">
        <v>267</v>
      </c>
      <c r="B57" t="s">
        <v>268</v>
      </c>
      <c r="C57" s="1">
        <v>0</v>
      </c>
      <c r="D57" s="1">
        <v>19536</v>
      </c>
      <c r="E57" s="1">
        <v>1044</v>
      </c>
      <c r="F57" s="36">
        <f t="shared" si="0"/>
        <v>6860</v>
      </c>
      <c r="G57" s="1">
        <v>1408</v>
      </c>
    </row>
    <row r="58" spans="1:7" x14ac:dyDescent="0.35">
      <c r="A58" t="s">
        <v>224</v>
      </c>
      <c r="B58" t="s">
        <v>368</v>
      </c>
      <c r="C58" s="1">
        <v>12050</v>
      </c>
      <c r="D58" s="1">
        <v>19925</v>
      </c>
      <c r="E58" s="1">
        <v>2868</v>
      </c>
      <c r="F58" s="36">
        <f t="shared" si="0"/>
        <v>11614.333333333334</v>
      </c>
      <c r="G58" s="1">
        <v>4606</v>
      </c>
    </row>
    <row r="59" spans="1:7" x14ac:dyDescent="0.35">
      <c r="A59" t="s">
        <v>341</v>
      </c>
      <c r="B59" t="s">
        <v>369</v>
      </c>
      <c r="C59" s="1">
        <v>784</v>
      </c>
      <c r="D59" s="1">
        <v>2272</v>
      </c>
      <c r="E59" s="1">
        <v>4226</v>
      </c>
      <c r="F59" s="36">
        <f t="shared" si="0"/>
        <v>2427.3333333333335</v>
      </c>
      <c r="G59" s="1">
        <v>1927.3333333333333</v>
      </c>
    </row>
    <row r="60" spans="1:7" x14ac:dyDescent="0.35">
      <c r="A60" t="s">
        <v>265</v>
      </c>
      <c r="B60" t="s">
        <v>266</v>
      </c>
      <c r="C60" s="1">
        <v>3207</v>
      </c>
      <c r="D60" s="1">
        <v>44362</v>
      </c>
      <c r="E60" s="1">
        <v>948</v>
      </c>
      <c r="F60" s="36">
        <f t="shared" si="0"/>
        <v>16172.333333333334</v>
      </c>
      <c r="G60" s="1">
        <v>3627.3333333333335</v>
      </c>
    </row>
    <row r="61" spans="1:7" x14ac:dyDescent="0.35">
      <c r="A61" t="s">
        <v>342</v>
      </c>
      <c r="B61" t="s">
        <v>370</v>
      </c>
      <c r="C61" s="1">
        <v>6422</v>
      </c>
      <c r="D61" s="1">
        <v>7319</v>
      </c>
      <c r="E61" s="1">
        <v>6875</v>
      </c>
      <c r="F61" s="36">
        <f t="shared" si="0"/>
        <v>6872</v>
      </c>
      <c r="G61" s="1">
        <v>3714.6666666666665</v>
      </c>
    </row>
    <row r="62" spans="1:7" x14ac:dyDescent="0.35">
      <c r="A62" t="s">
        <v>343</v>
      </c>
      <c r="B62" t="s">
        <v>371</v>
      </c>
      <c r="C62" s="1">
        <v>179456</v>
      </c>
      <c r="D62" s="1">
        <v>86927</v>
      </c>
      <c r="E62" s="1">
        <v>114468</v>
      </c>
      <c r="F62" s="36">
        <f t="shared" si="0"/>
        <v>126950.33333333333</v>
      </c>
      <c r="G62" s="1">
        <v>44196</v>
      </c>
    </row>
    <row r="63" spans="1:7" x14ac:dyDescent="0.35">
      <c r="A63" t="s">
        <v>344</v>
      </c>
      <c r="B63" t="s">
        <v>372</v>
      </c>
      <c r="C63" s="1">
        <v>74082</v>
      </c>
      <c r="D63" s="1">
        <v>75121</v>
      </c>
      <c r="E63" s="1">
        <v>63808</v>
      </c>
      <c r="F63" s="36">
        <f t="shared" si="0"/>
        <v>71003.666666666672</v>
      </c>
      <c r="G63" s="1">
        <v>23793.333333333332</v>
      </c>
    </row>
    <row r="64" spans="1:7" x14ac:dyDescent="0.35">
      <c r="A64" t="s">
        <v>345</v>
      </c>
      <c r="B64" t="s">
        <v>373</v>
      </c>
      <c r="C64" s="1">
        <v>0</v>
      </c>
      <c r="E64" s="1">
        <v>0</v>
      </c>
      <c r="F64" s="36">
        <f t="shared" si="0"/>
        <v>0</v>
      </c>
      <c r="G64" s="1">
        <v>0</v>
      </c>
    </row>
    <row r="65" spans="1:7" x14ac:dyDescent="0.35">
      <c r="A65" t="s">
        <v>346</v>
      </c>
      <c r="B65" t="s">
        <v>374</v>
      </c>
      <c r="C65" s="1">
        <v>12340</v>
      </c>
      <c r="D65" s="1">
        <v>13378</v>
      </c>
      <c r="E65" s="1">
        <v>16377</v>
      </c>
      <c r="F65" s="36">
        <f t="shared" si="0"/>
        <v>14031.666666666666</v>
      </c>
      <c r="G65" s="1">
        <v>5900</v>
      </c>
    </row>
    <row r="66" spans="1:7" x14ac:dyDescent="0.35">
      <c r="A66" t="s">
        <v>231</v>
      </c>
      <c r="B66" t="s">
        <v>375</v>
      </c>
      <c r="C66" s="1">
        <v>12340</v>
      </c>
      <c r="D66" s="1">
        <v>3263</v>
      </c>
      <c r="E66" s="1">
        <v>8539</v>
      </c>
      <c r="F66" s="36">
        <f t="shared" si="0"/>
        <v>8047.333333333333</v>
      </c>
      <c r="G66" s="1">
        <v>3824</v>
      </c>
    </row>
    <row r="67" spans="1:7" x14ac:dyDescent="0.35">
      <c r="A67" t="s">
        <v>347</v>
      </c>
      <c r="B67" t="s">
        <v>376</v>
      </c>
      <c r="C67" s="1">
        <v>30</v>
      </c>
      <c r="D67" s="1">
        <v>5879</v>
      </c>
      <c r="E67" s="1">
        <v>326</v>
      </c>
      <c r="F67" s="36">
        <f t="shared" si="0"/>
        <v>2078.3333333333335</v>
      </c>
      <c r="G67" s="1">
        <v>1206</v>
      </c>
    </row>
    <row r="68" spans="1:7" x14ac:dyDescent="0.35">
      <c r="A68" t="s">
        <v>348</v>
      </c>
      <c r="B68" t="s">
        <v>377</v>
      </c>
      <c r="C68" s="1">
        <v>30</v>
      </c>
      <c r="D68" s="1">
        <v>5934</v>
      </c>
      <c r="E68" s="1">
        <v>1028</v>
      </c>
      <c r="F68" s="36">
        <f t="shared" si="0"/>
        <v>2330.6666666666665</v>
      </c>
      <c r="G68" s="1">
        <v>1406</v>
      </c>
    </row>
    <row r="69" spans="1:7" x14ac:dyDescent="0.35">
      <c r="A69" t="s">
        <v>349</v>
      </c>
      <c r="B69" t="s">
        <v>378</v>
      </c>
      <c r="C69" s="1">
        <v>27602</v>
      </c>
      <c r="D69" s="1">
        <v>25920</v>
      </c>
      <c r="E69" s="1">
        <v>5884</v>
      </c>
      <c r="F69" s="36">
        <f t="shared" si="0"/>
        <v>19802</v>
      </c>
      <c r="G69" s="1">
        <v>6216.666666666667</v>
      </c>
    </row>
    <row r="70" spans="1:7" x14ac:dyDescent="0.35">
      <c r="A70" t="s">
        <v>350</v>
      </c>
      <c r="B70" t="s">
        <v>379</v>
      </c>
      <c r="C70" s="1">
        <v>5576</v>
      </c>
      <c r="D70" s="1">
        <v>7382</v>
      </c>
      <c r="E70" s="1">
        <v>7602</v>
      </c>
      <c r="F70" s="36">
        <f t="shared" si="0"/>
        <v>6853.333333333333</v>
      </c>
      <c r="G70" s="1">
        <v>2737.6666666666665</v>
      </c>
    </row>
    <row r="71" spans="1:7" x14ac:dyDescent="0.35">
      <c r="A71" t="s">
        <v>304</v>
      </c>
      <c r="B71" t="s">
        <v>184</v>
      </c>
      <c r="C71" s="1">
        <v>480636</v>
      </c>
      <c r="D71" s="1">
        <v>100611</v>
      </c>
      <c r="E71" s="1">
        <v>85527</v>
      </c>
      <c r="F71" s="36">
        <f t="shared" si="0"/>
        <v>222258</v>
      </c>
      <c r="G71" s="1">
        <v>59641.333333333336</v>
      </c>
    </row>
    <row r="72" spans="1:7" x14ac:dyDescent="0.35">
      <c r="A72" t="s">
        <v>351</v>
      </c>
      <c r="B72" t="s">
        <v>380</v>
      </c>
      <c r="C72" s="1">
        <v>47379</v>
      </c>
      <c r="D72" s="1">
        <v>17013</v>
      </c>
      <c r="E72" s="1">
        <v>11211</v>
      </c>
      <c r="F72" s="36">
        <f t="shared" si="0"/>
        <v>25201</v>
      </c>
      <c r="G72" s="1">
        <v>12224.666666666666</v>
      </c>
    </row>
    <row r="73" spans="1:7" x14ac:dyDescent="0.35">
      <c r="A73" t="s">
        <v>352</v>
      </c>
      <c r="B73" t="s">
        <v>381</v>
      </c>
      <c r="C73" s="1">
        <v>8222</v>
      </c>
      <c r="D73" s="1">
        <v>21802</v>
      </c>
      <c r="E73" s="1">
        <v>13048</v>
      </c>
      <c r="F73" s="36">
        <f t="shared" si="0"/>
        <v>14357.333333333334</v>
      </c>
      <c r="G73" s="1">
        <v>7637.333333333333</v>
      </c>
    </row>
    <row r="74" spans="1:7" x14ac:dyDescent="0.35">
      <c r="A74" t="s">
        <v>353</v>
      </c>
      <c r="B74" t="s">
        <v>181</v>
      </c>
      <c r="C74" s="1">
        <v>555614</v>
      </c>
      <c r="D74" s="1">
        <v>159768</v>
      </c>
      <c r="E74" s="1">
        <v>120330</v>
      </c>
      <c r="F74" s="36">
        <f t="shared" si="0"/>
        <v>278570.66666666669</v>
      </c>
      <c r="G74" s="1">
        <v>85349.333333333328</v>
      </c>
    </row>
    <row r="75" spans="1:7" x14ac:dyDescent="0.35">
      <c r="A75" t="s">
        <v>354</v>
      </c>
      <c r="B75" t="s">
        <v>183</v>
      </c>
      <c r="C75" s="1">
        <v>555614</v>
      </c>
      <c r="D75" s="1">
        <v>159768</v>
      </c>
      <c r="E75" s="1">
        <v>120330</v>
      </c>
      <c r="F75" s="36">
        <f t="shared" si="0"/>
        <v>278570.66666666669</v>
      </c>
      <c r="G75" s="1">
        <v>85349.333333333328</v>
      </c>
    </row>
    <row r="76" spans="1:7" x14ac:dyDescent="0.35">
      <c r="A76" t="s">
        <v>355</v>
      </c>
      <c r="B76" t="s">
        <v>382</v>
      </c>
      <c r="C76" s="1">
        <v>1195</v>
      </c>
      <c r="D76" s="1">
        <v>3912</v>
      </c>
      <c r="E76" s="1">
        <v>4672</v>
      </c>
      <c r="F76" s="36">
        <f t="shared" si="0"/>
        <v>3259.6666666666665</v>
      </c>
      <c r="G76" s="1">
        <v>1580.6666666666667</v>
      </c>
    </row>
    <row r="77" spans="1:7" x14ac:dyDescent="0.35">
      <c r="A77" t="s">
        <v>356</v>
      </c>
      <c r="B77" t="s">
        <v>240</v>
      </c>
      <c r="C77" s="1">
        <v>3356</v>
      </c>
      <c r="D77" s="1">
        <v>5458</v>
      </c>
      <c r="E77" s="1">
        <v>7727</v>
      </c>
      <c r="F77" s="36">
        <f t="shared" si="0"/>
        <v>5513.666666666667</v>
      </c>
      <c r="G77" s="1">
        <v>3548.6666666666665</v>
      </c>
    </row>
    <row r="78" spans="1:7" x14ac:dyDescent="0.35">
      <c r="A78" t="s">
        <v>357</v>
      </c>
      <c r="B78" t="s">
        <v>383</v>
      </c>
      <c r="C78" s="1">
        <v>1195</v>
      </c>
      <c r="D78" s="1">
        <v>1186</v>
      </c>
      <c r="E78" s="1">
        <v>1203</v>
      </c>
      <c r="F78" s="36">
        <f t="shared" si="0"/>
        <v>1194.6666666666667</v>
      </c>
      <c r="G78" s="1">
        <v>784</v>
      </c>
    </row>
    <row r="79" spans="1:7" x14ac:dyDescent="0.35">
      <c r="A79" t="s">
        <v>358</v>
      </c>
      <c r="B79" t="s">
        <v>384</v>
      </c>
      <c r="C79" s="1">
        <v>3356</v>
      </c>
      <c r="D79" s="1">
        <v>1446</v>
      </c>
      <c r="E79" s="1">
        <v>3456</v>
      </c>
      <c r="F79" s="36">
        <f t="shared" si="0"/>
        <v>2752.6666666666665</v>
      </c>
      <c r="G79" s="1">
        <v>1828.6666666666667</v>
      </c>
    </row>
    <row r="80" spans="1:7" x14ac:dyDescent="0.35">
      <c r="A80" t="s">
        <v>288</v>
      </c>
      <c r="B80" t="s">
        <v>385</v>
      </c>
      <c r="C80" s="1">
        <v>516</v>
      </c>
      <c r="D80" s="1">
        <v>428</v>
      </c>
      <c r="E80" s="1">
        <v>174</v>
      </c>
      <c r="F80" s="36">
        <f t="shared" si="0"/>
        <v>372.66666666666669</v>
      </c>
      <c r="G80" s="1">
        <v>372.66666666666669</v>
      </c>
    </row>
    <row r="81" spans="1:7" x14ac:dyDescent="0.35">
      <c r="A81" t="s">
        <v>359</v>
      </c>
      <c r="B81" t="s">
        <v>386</v>
      </c>
      <c r="C81" s="1">
        <v>501184</v>
      </c>
      <c r="D81" s="1">
        <v>129892</v>
      </c>
      <c r="E81" s="1">
        <v>98820</v>
      </c>
      <c r="F81" s="36">
        <f t="shared" si="0"/>
        <v>243298.66666666666</v>
      </c>
      <c r="G81" s="1">
        <v>68663</v>
      </c>
    </row>
    <row r="82" spans="1:7" x14ac:dyDescent="0.35">
      <c r="A82" t="s">
        <v>360</v>
      </c>
      <c r="B82" t="s">
        <v>387</v>
      </c>
      <c r="C82" s="1">
        <v>54430</v>
      </c>
      <c r="D82" s="1">
        <v>29876</v>
      </c>
      <c r="E82" s="1">
        <v>21510</v>
      </c>
      <c r="F82" s="36">
        <f t="shared" si="0"/>
        <v>35272</v>
      </c>
      <c r="G82" s="1">
        <v>16686.333333333332</v>
      </c>
    </row>
    <row r="83" spans="1:7" x14ac:dyDescent="0.35">
      <c r="A83" t="s">
        <v>361</v>
      </c>
      <c r="B83" t="s">
        <v>179</v>
      </c>
      <c r="C83" s="1">
        <v>555614</v>
      </c>
      <c r="D83" s="1">
        <v>159768</v>
      </c>
      <c r="E83" s="1">
        <v>120330</v>
      </c>
      <c r="F83" s="36">
        <f t="shared" si="0"/>
        <v>278570.66666666669</v>
      </c>
      <c r="G83" s="1">
        <v>85349.333333333328</v>
      </c>
    </row>
    <row r="86" spans="1:7" x14ac:dyDescent="0.35">
      <c r="A86" t="s">
        <v>393</v>
      </c>
      <c r="B86" t="s">
        <v>394</v>
      </c>
      <c r="C86" s="1" t="s">
        <v>514</v>
      </c>
      <c r="D86" s="1" t="s">
        <v>516</v>
      </c>
      <c r="E86" s="1" t="s">
        <v>518</v>
      </c>
      <c r="F86" s="1" t="s">
        <v>522</v>
      </c>
    </row>
    <row r="87" spans="1:7" x14ac:dyDescent="0.35">
      <c r="A87" t="s">
        <v>331</v>
      </c>
      <c r="B87" t="s">
        <v>362</v>
      </c>
      <c r="C87" s="1">
        <v>61974</v>
      </c>
      <c r="D87" s="1">
        <v>40074</v>
      </c>
      <c r="E87" s="1">
        <v>30540</v>
      </c>
      <c r="F87" s="36">
        <f t="shared" ref="F87:F125" si="1">AVERAGE(C87:E87)</f>
        <v>44196</v>
      </c>
    </row>
    <row r="88" spans="1:7" x14ac:dyDescent="0.35">
      <c r="A88" t="s">
        <v>332</v>
      </c>
      <c r="B88" t="s">
        <v>363</v>
      </c>
      <c r="C88" s="1">
        <v>121256</v>
      </c>
      <c r="D88" s="1">
        <v>29388</v>
      </c>
      <c r="E88" s="1">
        <v>28280</v>
      </c>
      <c r="F88" s="36">
        <f t="shared" si="1"/>
        <v>59641.333333333336</v>
      </c>
    </row>
    <row r="89" spans="1:7" x14ac:dyDescent="0.35">
      <c r="A89" t="s">
        <v>333</v>
      </c>
      <c r="B89" t="s">
        <v>364</v>
      </c>
      <c r="C89" s="1">
        <v>24970</v>
      </c>
      <c r="D89" s="1">
        <v>7476</v>
      </c>
      <c r="E89" s="1">
        <v>6884</v>
      </c>
      <c r="F89" s="36">
        <f t="shared" si="1"/>
        <v>13110</v>
      </c>
    </row>
    <row r="90" spans="1:7" x14ac:dyDescent="0.35">
      <c r="A90" t="s">
        <v>334</v>
      </c>
      <c r="B90" t="s">
        <v>365</v>
      </c>
      <c r="C90" s="1">
        <v>158943</v>
      </c>
      <c r="D90" s="1">
        <v>74009</v>
      </c>
      <c r="E90" s="1">
        <v>45868</v>
      </c>
      <c r="F90" s="36">
        <f t="shared" si="1"/>
        <v>92940</v>
      </c>
    </row>
    <row r="91" spans="1:7" x14ac:dyDescent="0.35">
      <c r="A91" t="s">
        <v>273</v>
      </c>
      <c r="B91" t="s">
        <v>274</v>
      </c>
      <c r="C91" s="1">
        <v>0</v>
      </c>
      <c r="D91" s="1">
        <v>0</v>
      </c>
      <c r="E91" s="1">
        <v>0</v>
      </c>
      <c r="F91" s="36">
        <f t="shared" si="1"/>
        <v>0</v>
      </c>
    </row>
    <row r="92" spans="1:7" x14ac:dyDescent="0.35">
      <c r="A92" t="s">
        <v>335</v>
      </c>
      <c r="B92" t="s">
        <v>222</v>
      </c>
      <c r="C92" s="1">
        <v>3932</v>
      </c>
      <c r="D92" s="1">
        <v>7966</v>
      </c>
      <c r="E92" s="1">
        <v>6578</v>
      </c>
      <c r="F92" s="36">
        <f t="shared" si="1"/>
        <v>6158.666666666667</v>
      </c>
    </row>
    <row r="93" spans="1:7" x14ac:dyDescent="0.35">
      <c r="A93" t="s">
        <v>336</v>
      </c>
      <c r="B93" t="s">
        <v>218</v>
      </c>
      <c r="C93" s="1">
        <v>2400</v>
      </c>
      <c r="D93" s="1">
        <v>2444</v>
      </c>
      <c r="E93" s="1">
        <v>4152</v>
      </c>
      <c r="F93" s="36">
        <f t="shared" si="1"/>
        <v>2998.6666666666665</v>
      </c>
    </row>
    <row r="94" spans="1:7" x14ac:dyDescent="0.35">
      <c r="A94" t="s">
        <v>337</v>
      </c>
      <c r="B94" t="s">
        <v>220</v>
      </c>
      <c r="C94" s="1">
        <v>756</v>
      </c>
      <c r="D94" s="1">
        <v>5404</v>
      </c>
      <c r="E94" s="1">
        <v>6274</v>
      </c>
      <c r="F94" s="36">
        <f t="shared" si="1"/>
        <v>4144.666666666667</v>
      </c>
    </row>
    <row r="95" spans="1:7" x14ac:dyDescent="0.35">
      <c r="A95" t="s">
        <v>338</v>
      </c>
      <c r="B95" t="s">
        <v>258</v>
      </c>
      <c r="C95" s="1">
        <v>2122</v>
      </c>
      <c r="D95" s="1">
        <v>2340</v>
      </c>
      <c r="E95" s="1">
        <v>1488</v>
      </c>
      <c r="F95" s="36">
        <f t="shared" si="1"/>
        <v>1983.3333333333333</v>
      </c>
    </row>
    <row r="96" spans="1:7" x14ac:dyDescent="0.35">
      <c r="A96" t="s">
        <v>269</v>
      </c>
      <c r="B96" t="s">
        <v>270</v>
      </c>
      <c r="C96" s="1">
        <v>30</v>
      </c>
      <c r="F96" s="36">
        <f t="shared" si="1"/>
        <v>30</v>
      </c>
    </row>
    <row r="97" spans="1:6" x14ac:dyDescent="0.35">
      <c r="A97" t="s">
        <v>339</v>
      </c>
      <c r="B97" t="s">
        <v>366</v>
      </c>
      <c r="C97" s="1">
        <v>6</v>
      </c>
      <c r="D97" s="1">
        <v>2302</v>
      </c>
      <c r="E97" s="1">
        <v>904</v>
      </c>
      <c r="F97" s="36">
        <f t="shared" si="1"/>
        <v>1070.6666666666667</v>
      </c>
    </row>
    <row r="98" spans="1:6" x14ac:dyDescent="0.35">
      <c r="A98" t="s">
        <v>340</v>
      </c>
      <c r="B98" t="s">
        <v>367</v>
      </c>
      <c r="C98" s="1">
        <v>6</v>
      </c>
      <c r="D98" s="1">
        <v>2272</v>
      </c>
      <c r="E98" s="1">
        <v>764</v>
      </c>
      <c r="F98" s="36">
        <f t="shared" si="1"/>
        <v>1014</v>
      </c>
    </row>
    <row r="99" spans="1:6" x14ac:dyDescent="0.35">
      <c r="A99" t="s">
        <v>267</v>
      </c>
      <c r="B99" t="s">
        <v>268</v>
      </c>
      <c r="C99" s="1">
        <v>0</v>
      </c>
      <c r="D99" s="1">
        <v>3648</v>
      </c>
      <c r="E99" s="1">
        <v>576</v>
      </c>
      <c r="F99" s="36">
        <f t="shared" si="1"/>
        <v>1408</v>
      </c>
    </row>
    <row r="100" spans="1:6" x14ac:dyDescent="0.35">
      <c r="A100" t="s">
        <v>224</v>
      </c>
      <c r="B100" t="s">
        <v>368</v>
      </c>
      <c r="C100" s="1">
        <v>4028</v>
      </c>
      <c r="D100" s="1">
        <v>8182</v>
      </c>
      <c r="E100" s="1">
        <v>1608</v>
      </c>
      <c r="F100" s="36">
        <f t="shared" si="1"/>
        <v>4606</v>
      </c>
    </row>
    <row r="101" spans="1:6" x14ac:dyDescent="0.35">
      <c r="A101" t="s">
        <v>341</v>
      </c>
      <c r="B101" t="s">
        <v>369</v>
      </c>
      <c r="C101" s="1">
        <v>520</v>
      </c>
      <c r="D101" s="1">
        <v>1076</v>
      </c>
      <c r="E101" s="1">
        <v>4186</v>
      </c>
      <c r="F101" s="36">
        <f t="shared" si="1"/>
        <v>1927.3333333333333</v>
      </c>
    </row>
    <row r="102" spans="1:6" x14ac:dyDescent="0.35">
      <c r="A102" t="s">
        <v>265</v>
      </c>
      <c r="B102" t="s">
        <v>266</v>
      </c>
      <c r="C102" s="1">
        <v>1772</v>
      </c>
      <c r="D102" s="1">
        <v>8366</v>
      </c>
      <c r="E102" s="1">
        <v>744</v>
      </c>
      <c r="F102" s="36">
        <f t="shared" si="1"/>
        <v>3627.3333333333335</v>
      </c>
    </row>
    <row r="103" spans="1:6" x14ac:dyDescent="0.35">
      <c r="A103" t="s">
        <v>342</v>
      </c>
      <c r="B103" t="s">
        <v>370</v>
      </c>
      <c r="C103" s="1">
        <v>3886</v>
      </c>
      <c r="D103" s="1">
        <v>3200</v>
      </c>
      <c r="E103" s="1">
        <v>4058</v>
      </c>
      <c r="F103" s="36">
        <f t="shared" si="1"/>
        <v>3714.6666666666665</v>
      </c>
    </row>
    <row r="104" spans="1:6" x14ac:dyDescent="0.35">
      <c r="A104" t="s">
        <v>343</v>
      </c>
      <c r="B104" t="s">
        <v>371</v>
      </c>
      <c r="C104" s="1">
        <v>61974</v>
      </c>
      <c r="D104" s="1">
        <v>40074</v>
      </c>
      <c r="E104" s="1">
        <v>30540</v>
      </c>
      <c r="F104" s="36">
        <f t="shared" si="1"/>
        <v>44196</v>
      </c>
    </row>
    <row r="105" spans="1:6" x14ac:dyDescent="0.35">
      <c r="A105" t="s">
        <v>344</v>
      </c>
      <c r="B105" t="s">
        <v>372</v>
      </c>
      <c r="C105" s="1">
        <v>21652</v>
      </c>
      <c r="D105" s="1">
        <v>30476</v>
      </c>
      <c r="E105" s="1">
        <v>19252</v>
      </c>
      <c r="F105" s="36">
        <f t="shared" si="1"/>
        <v>23793.333333333332</v>
      </c>
    </row>
    <row r="106" spans="1:6" x14ac:dyDescent="0.35">
      <c r="A106" t="s">
        <v>345</v>
      </c>
      <c r="B106" t="s">
        <v>373</v>
      </c>
      <c r="C106" s="1">
        <v>0</v>
      </c>
      <c r="D106" s="1">
        <v>0</v>
      </c>
      <c r="E106" s="1">
        <v>0</v>
      </c>
      <c r="F106" s="36">
        <f t="shared" si="1"/>
        <v>0</v>
      </c>
    </row>
    <row r="107" spans="1:6" x14ac:dyDescent="0.35">
      <c r="A107" t="s">
        <v>346</v>
      </c>
      <c r="B107" t="s">
        <v>374</v>
      </c>
      <c r="C107" s="1">
        <v>5512</v>
      </c>
      <c r="D107" s="1">
        <v>6328</v>
      </c>
      <c r="E107" s="1">
        <v>5860</v>
      </c>
      <c r="F107" s="36">
        <f t="shared" si="1"/>
        <v>5900</v>
      </c>
    </row>
    <row r="108" spans="1:6" x14ac:dyDescent="0.35">
      <c r="A108" t="s">
        <v>231</v>
      </c>
      <c r="B108" t="s">
        <v>375</v>
      </c>
      <c r="C108" s="1">
        <v>5512</v>
      </c>
      <c r="D108" s="1">
        <v>2008</v>
      </c>
      <c r="E108" s="1">
        <v>3952</v>
      </c>
      <c r="F108" s="36">
        <f t="shared" si="1"/>
        <v>3824</v>
      </c>
    </row>
    <row r="109" spans="1:6" x14ac:dyDescent="0.35">
      <c r="A109" t="s">
        <v>347</v>
      </c>
      <c r="B109" t="s">
        <v>376</v>
      </c>
      <c r="C109" s="1">
        <v>30</v>
      </c>
      <c r="D109" s="1">
        <v>3308</v>
      </c>
      <c r="E109" s="1">
        <v>280</v>
      </c>
      <c r="F109" s="36">
        <f t="shared" si="1"/>
        <v>1206</v>
      </c>
    </row>
    <row r="110" spans="1:6" x14ac:dyDescent="0.35">
      <c r="A110" t="s">
        <v>348</v>
      </c>
      <c r="B110" t="s">
        <v>377</v>
      </c>
      <c r="C110" s="1">
        <v>30</v>
      </c>
      <c r="D110" s="1">
        <v>3408</v>
      </c>
      <c r="E110" s="1">
        <v>780</v>
      </c>
      <c r="F110" s="36">
        <f t="shared" si="1"/>
        <v>1406</v>
      </c>
    </row>
    <row r="111" spans="1:6" x14ac:dyDescent="0.35">
      <c r="A111" t="s">
        <v>349</v>
      </c>
      <c r="B111" t="s">
        <v>378</v>
      </c>
      <c r="C111" s="1">
        <v>10134</v>
      </c>
      <c r="D111" s="1">
        <v>5228</v>
      </c>
      <c r="E111" s="1">
        <v>3288</v>
      </c>
      <c r="F111" s="36">
        <f t="shared" si="1"/>
        <v>6216.666666666667</v>
      </c>
    </row>
    <row r="112" spans="1:6" x14ac:dyDescent="0.35">
      <c r="A112" t="s">
        <v>350</v>
      </c>
      <c r="B112" t="s">
        <v>379</v>
      </c>
      <c r="C112" s="1">
        <v>2534</v>
      </c>
      <c r="D112" s="1">
        <v>2135</v>
      </c>
      <c r="E112" s="1">
        <v>3544</v>
      </c>
      <c r="F112" s="36">
        <f t="shared" si="1"/>
        <v>2737.6666666666665</v>
      </c>
    </row>
    <row r="113" spans="1:6" x14ac:dyDescent="0.35">
      <c r="A113" t="s">
        <v>304</v>
      </c>
      <c r="B113" t="s">
        <v>184</v>
      </c>
      <c r="C113" s="1">
        <v>121256</v>
      </c>
      <c r="D113" s="1">
        <v>29388</v>
      </c>
      <c r="E113" s="1">
        <v>28280</v>
      </c>
      <c r="F113" s="36">
        <f t="shared" si="1"/>
        <v>59641.333333333336</v>
      </c>
    </row>
    <row r="114" spans="1:6" x14ac:dyDescent="0.35">
      <c r="A114" t="s">
        <v>351</v>
      </c>
      <c r="B114" t="s">
        <v>380</v>
      </c>
      <c r="C114" s="1">
        <v>24970</v>
      </c>
      <c r="D114" s="1">
        <v>7476</v>
      </c>
      <c r="E114" s="1">
        <v>4228</v>
      </c>
      <c r="F114" s="36">
        <f t="shared" si="1"/>
        <v>12224.666666666666</v>
      </c>
    </row>
    <row r="115" spans="1:6" x14ac:dyDescent="0.35">
      <c r="A115" t="s">
        <v>352</v>
      </c>
      <c r="B115" t="s">
        <v>381</v>
      </c>
      <c r="C115" s="1">
        <v>5116</v>
      </c>
      <c r="D115" s="1">
        <v>9624</v>
      </c>
      <c r="E115" s="1">
        <v>8172</v>
      </c>
      <c r="F115" s="36">
        <f t="shared" si="1"/>
        <v>7637.333333333333</v>
      </c>
    </row>
    <row r="116" spans="1:6" x14ac:dyDescent="0.35">
      <c r="A116" t="s">
        <v>353</v>
      </c>
      <c r="B116" t="s">
        <v>181</v>
      </c>
      <c r="C116" s="1">
        <v>158943</v>
      </c>
      <c r="D116" s="1">
        <v>51237</v>
      </c>
      <c r="E116" s="1">
        <v>45868</v>
      </c>
      <c r="F116" s="36">
        <f t="shared" si="1"/>
        <v>85349.333333333328</v>
      </c>
    </row>
    <row r="117" spans="1:6" x14ac:dyDescent="0.35">
      <c r="A117" t="s">
        <v>354</v>
      </c>
      <c r="B117" t="s">
        <v>183</v>
      </c>
      <c r="C117" s="1">
        <v>158943</v>
      </c>
      <c r="D117" s="1">
        <v>51237</v>
      </c>
      <c r="E117" s="1">
        <v>45868</v>
      </c>
      <c r="F117" s="36">
        <f t="shared" si="1"/>
        <v>85349.333333333328</v>
      </c>
    </row>
    <row r="118" spans="1:6" x14ac:dyDescent="0.35">
      <c r="A118" t="s">
        <v>355</v>
      </c>
      <c r="B118" t="s">
        <v>382</v>
      </c>
      <c r="C118" s="1">
        <v>596</v>
      </c>
      <c r="D118" s="1">
        <v>1748</v>
      </c>
      <c r="E118" s="1">
        <v>2398</v>
      </c>
      <c r="F118" s="36">
        <f t="shared" si="1"/>
        <v>1580.6666666666667</v>
      </c>
    </row>
    <row r="119" spans="1:6" x14ac:dyDescent="0.35">
      <c r="A119" t="s">
        <v>356</v>
      </c>
      <c r="B119" t="s">
        <v>240</v>
      </c>
      <c r="C119" s="1">
        <v>2122</v>
      </c>
      <c r="D119" s="1">
        <v>4564</v>
      </c>
      <c r="E119" s="1">
        <v>3960</v>
      </c>
      <c r="F119" s="36">
        <f t="shared" si="1"/>
        <v>3548.6666666666665</v>
      </c>
    </row>
    <row r="120" spans="1:6" x14ac:dyDescent="0.35">
      <c r="A120" t="s">
        <v>357</v>
      </c>
      <c r="B120" t="s">
        <v>383</v>
      </c>
      <c r="C120" s="1">
        <v>596</v>
      </c>
      <c r="D120" s="1">
        <v>928</v>
      </c>
      <c r="E120" s="1">
        <v>828</v>
      </c>
      <c r="F120" s="36">
        <f t="shared" si="1"/>
        <v>784</v>
      </c>
    </row>
    <row r="121" spans="1:6" x14ac:dyDescent="0.35">
      <c r="A121" t="s">
        <v>358</v>
      </c>
      <c r="B121" t="s">
        <v>384</v>
      </c>
      <c r="C121" s="1">
        <v>2122</v>
      </c>
      <c r="D121" s="1">
        <v>1044</v>
      </c>
      <c r="E121" s="1">
        <v>2320</v>
      </c>
      <c r="F121" s="36">
        <f t="shared" si="1"/>
        <v>1828.6666666666667</v>
      </c>
    </row>
    <row r="122" spans="1:6" x14ac:dyDescent="0.35">
      <c r="A122" t="s">
        <v>288</v>
      </c>
      <c r="B122" t="s">
        <v>385</v>
      </c>
      <c r="C122" s="1">
        <v>516</v>
      </c>
      <c r="D122" s="1">
        <v>428</v>
      </c>
      <c r="E122" s="1">
        <v>174</v>
      </c>
      <c r="F122" s="36">
        <f t="shared" si="1"/>
        <v>372.66666666666669</v>
      </c>
    </row>
    <row r="123" spans="1:6" x14ac:dyDescent="0.35">
      <c r="A123" t="s">
        <v>359</v>
      </c>
      <c r="B123" t="s">
        <v>386</v>
      </c>
      <c r="C123" s="1">
        <v>130563</v>
      </c>
      <c r="D123" s="1">
        <v>38618</v>
      </c>
      <c r="E123" s="1">
        <v>36808</v>
      </c>
      <c r="F123" s="36">
        <f t="shared" si="1"/>
        <v>68663</v>
      </c>
    </row>
    <row r="124" spans="1:6" x14ac:dyDescent="0.35">
      <c r="A124" t="s">
        <v>360</v>
      </c>
      <c r="B124" t="s">
        <v>387</v>
      </c>
      <c r="C124" s="1">
        <v>28380</v>
      </c>
      <c r="D124" s="1">
        <v>12619</v>
      </c>
      <c r="E124" s="1">
        <v>9060</v>
      </c>
      <c r="F124" s="36">
        <f t="shared" si="1"/>
        <v>16686.333333333332</v>
      </c>
    </row>
    <row r="125" spans="1:6" x14ac:dyDescent="0.35">
      <c r="A125" t="s">
        <v>361</v>
      </c>
      <c r="B125" t="s">
        <v>179</v>
      </c>
      <c r="C125" s="1">
        <v>158943</v>
      </c>
      <c r="D125" s="1">
        <v>51237</v>
      </c>
      <c r="E125" s="1">
        <v>45868</v>
      </c>
      <c r="F125" s="36">
        <f t="shared" si="1"/>
        <v>85349.333333333328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7999-63B7-4FA2-B3EC-03D7871816C8}">
  <dimension ref="A1:E40"/>
  <sheetViews>
    <sheetView workbookViewId="0">
      <selection sqref="A1:E40"/>
    </sheetView>
  </sheetViews>
  <sheetFormatPr defaultRowHeight="15.6" x14ac:dyDescent="0.35"/>
  <cols>
    <col min="2" max="2" width="14.33203125" bestFit="1" customWidth="1"/>
    <col min="3" max="3" width="44.44140625" bestFit="1" customWidth="1"/>
    <col min="4" max="5" width="15.6640625" style="1" bestFit="1" customWidth="1"/>
  </cols>
  <sheetData>
    <row r="1" spans="1:5" x14ac:dyDescent="0.35">
      <c r="A1" t="s">
        <v>136</v>
      </c>
      <c r="B1" t="s">
        <v>393</v>
      </c>
      <c r="C1" t="s">
        <v>394</v>
      </c>
      <c r="D1" s="1" t="s">
        <v>519</v>
      </c>
      <c r="E1" s="1" t="s">
        <v>521</v>
      </c>
    </row>
    <row r="2" spans="1:5" x14ac:dyDescent="0.35">
      <c r="A2">
        <v>1</v>
      </c>
      <c r="B2" t="s">
        <v>331</v>
      </c>
      <c r="C2" t="s">
        <v>362</v>
      </c>
      <c r="D2" s="1">
        <v>248163.33333333334</v>
      </c>
      <c r="E2" s="1">
        <v>44196</v>
      </c>
    </row>
    <row r="3" spans="1:5" x14ac:dyDescent="0.35">
      <c r="A3">
        <v>1</v>
      </c>
      <c r="B3" t="s">
        <v>332</v>
      </c>
      <c r="C3" t="s">
        <v>363</v>
      </c>
      <c r="D3" s="1">
        <v>261726.66666666666</v>
      </c>
      <c r="E3" s="1">
        <v>59641.333333333336</v>
      </c>
    </row>
    <row r="4" spans="1:5" x14ac:dyDescent="0.35">
      <c r="A4">
        <v>1</v>
      </c>
      <c r="B4" t="s">
        <v>333</v>
      </c>
      <c r="C4" t="s">
        <v>364</v>
      </c>
      <c r="D4" s="1">
        <v>68985.666666666672</v>
      </c>
      <c r="E4" s="1">
        <v>13110</v>
      </c>
    </row>
    <row r="5" spans="1:5" x14ac:dyDescent="0.35">
      <c r="A5">
        <v>2</v>
      </c>
      <c r="B5" t="s">
        <v>334</v>
      </c>
      <c r="C5" t="s">
        <v>365</v>
      </c>
      <c r="D5" s="1">
        <v>306667.33333333331</v>
      </c>
      <c r="E5" s="1">
        <v>92940</v>
      </c>
    </row>
    <row r="6" spans="1:5" x14ac:dyDescent="0.35">
      <c r="A6">
        <v>2</v>
      </c>
      <c r="B6" t="s">
        <v>304</v>
      </c>
      <c r="C6" t="s">
        <v>184</v>
      </c>
      <c r="D6" s="1">
        <v>222258</v>
      </c>
      <c r="E6" s="1">
        <v>59641.333333333336</v>
      </c>
    </row>
    <row r="7" spans="1:5" x14ac:dyDescent="0.35">
      <c r="A7">
        <v>2</v>
      </c>
      <c r="B7" t="s">
        <v>351</v>
      </c>
      <c r="C7" t="s">
        <v>380</v>
      </c>
      <c r="D7" s="1">
        <v>25201</v>
      </c>
      <c r="E7" s="1">
        <v>12224.666666666666</v>
      </c>
    </row>
    <row r="8" spans="1:5" x14ac:dyDescent="0.35">
      <c r="A8">
        <v>2</v>
      </c>
      <c r="B8" t="s">
        <v>352</v>
      </c>
      <c r="C8" t="s">
        <v>381</v>
      </c>
      <c r="D8" s="1">
        <v>14357.333333333334</v>
      </c>
      <c r="E8" s="1">
        <v>7637.333333333333</v>
      </c>
    </row>
    <row r="9" spans="1:5" x14ac:dyDescent="0.35">
      <c r="A9">
        <v>2</v>
      </c>
      <c r="B9" t="s">
        <v>353</v>
      </c>
      <c r="C9" t="s">
        <v>181</v>
      </c>
      <c r="D9" s="1">
        <v>278570.66666666669</v>
      </c>
      <c r="E9" s="1">
        <v>85349.333333333328</v>
      </c>
    </row>
    <row r="10" spans="1:5" x14ac:dyDescent="0.35">
      <c r="A10">
        <v>2</v>
      </c>
      <c r="B10" t="s">
        <v>354</v>
      </c>
      <c r="C10" t="s">
        <v>183</v>
      </c>
      <c r="D10" s="1">
        <v>278570.66666666669</v>
      </c>
      <c r="E10" s="1">
        <v>85349.333333333328</v>
      </c>
    </row>
    <row r="11" spans="1:5" x14ac:dyDescent="0.35">
      <c r="A11">
        <v>2</v>
      </c>
      <c r="B11" t="s">
        <v>359</v>
      </c>
      <c r="C11" t="s">
        <v>386</v>
      </c>
      <c r="D11" s="1">
        <v>243298.66666666666</v>
      </c>
      <c r="E11" s="1">
        <v>68663</v>
      </c>
    </row>
    <row r="12" spans="1:5" x14ac:dyDescent="0.35">
      <c r="A12">
        <v>2</v>
      </c>
      <c r="B12" t="s">
        <v>360</v>
      </c>
      <c r="C12" t="s">
        <v>387</v>
      </c>
      <c r="D12" s="1">
        <v>35272</v>
      </c>
      <c r="E12" s="1">
        <v>16686.333333333332</v>
      </c>
    </row>
    <row r="13" spans="1:5" x14ac:dyDescent="0.35">
      <c r="A13">
        <v>2</v>
      </c>
      <c r="B13" t="s">
        <v>361</v>
      </c>
      <c r="C13" t="s">
        <v>179</v>
      </c>
      <c r="D13" s="1">
        <v>278570.66666666669</v>
      </c>
      <c r="E13" s="1">
        <v>85349.333333333328</v>
      </c>
    </row>
    <row r="14" spans="1:5" x14ac:dyDescent="0.35">
      <c r="A14">
        <v>3</v>
      </c>
      <c r="B14" t="s">
        <v>349</v>
      </c>
      <c r="C14" t="s">
        <v>378</v>
      </c>
      <c r="D14" s="1">
        <v>19802</v>
      </c>
      <c r="E14" s="1">
        <v>6216.666666666667</v>
      </c>
    </row>
    <row r="15" spans="1:5" x14ac:dyDescent="0.35">
      <c r="A15">
        <v>3</v>
      </c>
      <c r="B15" t="s">
        <v>350</v>
      </c>
      <c r="C15" t="s">
        <v>379</v>
      </c>
      <c r="D15" s="1">
        <v>6853.333333333333</v>
      </c>
      <c r="E15" s="1">
        <v>2737.6666666666665</v>
      </c>
    </row>
    <row r="16" spans="1:5" x14ac:dyDescent="0.35">
      <c r="A16">
        <v>4</v>
      </c>
      <c r="B16" t="s">
        <v>335</v>
      </c>
      <c r="C16" t="s">
        <v>222</v>
      </c>
      <c r="D16" s="1">
        <v>7769</v>
      </c>
      <c r="E16" s="1">
        <v>6158.666666666667</v>
      </c>
    </row>
    <row r="17" spans="1:5" x14ac:dyDescent="0.35">
      <c r="A17">
        <v>4</v>
      </c>
      <c r="B17" t="s">
        <v>336</v>
      </c>
      <c r="C17" t="s">
        <v>218</v>
      </c>
      <c r="D17" s="1">
        <v>5207.333333333333</v>
      </c>
      <c r="E17" s="1">
        <v>2998.6666666666665</v>
      </c>
    </row>
    <row r="18" spans="1:5" x14ac:dyDescent="0.35">
      <c r="A18">
        <v>4</v>
      </c>
      <c r="B18" t="s">
        <v>337</v>
      </c>
      <c r="C18" t="s">
        <v>220</v>
      </c>
      <c r="D18" s="1">
        <v>8158.333333333333</v>
      </c>
      <c r="E18" s="1">
        <v>4144.666666666667</v>
      </c>
    </row>
    <row r="19" spans="1:5" x14ac:dyDescent="0.35">
      <c r="A19">
        <v>4</v>
      </c>
      <c r="B19" t="s">
        <v>342</v>
      </c>
      <c r="C19" t="s">
        <v>370</v>
      </c>
      <c r="D19" s="1">
        <v>6872</v>
      </c>
      <c r="E19" s="1">
        <v>3714.6666666666665</v>
      </c>
    </row>
    <row r="20" spans="1:5" x14ac:dyDescent="0.35">
      <c r="A20">
        <v>4</v>
      </c>
      <c r="B20" t="s">
        <v>343</v>
      </c>
      <c r="C20" t="s">
        <v>371</v>
      </c>
      <c r="D20" s="1">
        <v>126950.33333333333</v>
      </c>
      <c r="E20" s="1">
        <v>44196</v>
      </c>
    </row>
    <row r="21" spans="1:5" x14ac:dyDescent="0.35">
      <c r="A21">
        <v>4</v>
      </c>
      <c r="B21" t="s">
        <v>344</v>
      </c>
      <c r="C21" t="s">
        <v>372</v>
      </c>
      <c r="D21" s="1">
        <v>71003.666666666672</v>
      </c>
      <c r="E21" s="1">
        <v>23793.333333333332</v>
      </c>
    </row>
    <row r="22" spans="1:5" x14ac:dyDescent="0.35">
      <c r="A22">
        <v>4</v>
      </c>
      <c r="B22" t="s">
        <v>288</v>
      </c>
      <c r="C22" t="s">
        <v>385</v>
      </c>
      <c r="D22" s="1">
        <v>372.66666666666669</v>
      </c>
      <c r="E22" s="1">
        <v>372.66666666666669</v>
      </c>
    </row>
    <row r="23" spans="1:5" x14ac:dyDescent="0.35">
      <c r="A23">
        <v>5</v>
      </c>
      <c r="B23" t="s">
        <v>338</v>
      </c>
      <c r="C23" t="s">
        <v>258</v>
      </c>
      <c r="D23" s="1">
        <v>2868.3333333333335</v>
      </c>
      <c r="E23" s="1">
        <v>1983.3333333333333</v>
      </c>
    </row>
    <row r="24" spans="1:5" x14ac:dyDescent="0.35">
      <c r="A24">
        <v>5</v>
      </c>
      <c r="B24" t="s">
        <v>339</v>
      </c>
      <c r="C24" t="s">
        <v>366</v>
      </c>
      <c r="D24" s="1">
        <v>1397</v>
      </c>
      <c r="E24" s="1">
        <v>1070.6666666666667</v>
      </c>
    </row>
    <row r="25" spans="1:5" x14ac:dyDescent="0.35">
      <c r="A25">
        <v>5</v>
      </c>
      <c r="B25" t="s">
        <v>340</v>
      </c>
      <c r="C25" t="s">
        <v>367</v>
      </c>
      <c r="D25" s="1">
        <v>1332.6666666666667</v>
      </c>
      <c r="E25" s="1">
        <v>1014</v>
      </c>
    </row>
    <row r="26" spans="1:5" x14ac:dyDescent="0.35">
      <c r="A26">
        <v>5</v>
      </c>
      <c r="B26" t="s">
        <v>346</v>
      </c>
      <c r="C26" t="s">
        <v>374</v>
      </c>
      <c r="D26" s="1">
        <v>14031.666666666666</v>
      </c>
      <c r="E26" s="1">
        <v>5900</v>
      </c>
    </row>
    <row r="27" spans="1:5" x14ac:dyDescent="0.35">
      <c r="A27">
        <v>5</v>
      </c>
      <c r="B27" t="s">
        <v>231</v>
      </c>
      <c r="C27" t="s">
        <v>375</v>
      </c>
      <c r="D27" s="1">
        <v>8047.333333333333</v>
      </c>
      <c r="E27" s="1">
        <v>3824</v>
      </c>
    </row>
    <row r="28" spans="1:5" x14ac:dyDescent="0.35">
      <c r="A28">
        <v>5</v>
      </c>
      <c r="B28" t="s">
        <v>347</v>
      </c>
      <c r="C28" t="s">
        <v>376</v>
      </c>
      <c r="D28" s="1">
        <v>2078.3333333333335</v>
      </c>
      <c r="E28" s="1">
        <v>1206</v>
      </c>
    </row>
    <row r="29" spans="1:5" x14ac:dyDescent="0.35">
      <c r="A29">
        <v>5</v>
      </c>
      <c r="B29" t="s">
        <v>348</v>
      </c>
      <c r="C29" t="s">
        <v>377</v>
      </c>
      <c r="D29" s="1">
        <v>2330.6666666666665</v>
      </c>
      <c r="E29" s="1">
        <v>1406</v>
      </c>
    </row>
    <row r="30" spans="1:5" x14ac:dyDescent="0.35">
      <c r="A30">
        <v>5</v>
      </c>
      <c r="B30" t="s">
        <v>355</v>
      </c>
      <c r="C30" t="s">
        <v>382</v>
      </c>
      <c r="D30" s="1">
        <v>3259.6666666666665</v>
      </c>
      <c r="E30" s="1">
        <v>1580.6666666666667</v>
      </c>
    </row>
    <row r="31" spans="1:5" x14ac:dyDescent="0.35">
      <c r="A31">
        <v>5</v>
      </c>
      <c r="B31" t="s">
        <v>356</v>
      </c>
      <c r="C31" t="s">
        <v>240</v>
      </c>
      <c r="D31" s="1">
        <v>5513.666666666667</v>
      </c>
      <c r="E31" s="1">
        <v>3548.6666666666665</v>
      </c>
    </row>
    <row r="32" spans="1:5" x14ac:dyDescent="0.35">
      <c r="A32">
        <v>5</v>
      </c>
      <c r="B32" t="s">
        <v>357</v>
      </c>
      <c r="C32" t="s">
        <v>383</v>
      </c>
      <c r="D32" s="1">
        <v>1194.6666666666667</v>
      </c>
      <c r="E32" s="1">
        <v>784</v>
      </c>
    </row>
    <row r="33" spans="1:5" x14ac:dyDescent="0.35">
      <c r="A33">
        <v>5</v>
      </c>
      <c r="B33" t="s">
        <v>358</v>
      </c>
      <c r="C33" t="s">
        <v>384</v>
      </c>
      <c r="D33" s="1">
        <v>2752.6666666666665</v>
      </c>
      <c r="E33" s="1">
        <v>1828.6666666666667</v>
      </c>
    </row>
    <row r="34" spans="1:5" x14ac:dyDescent="0.35">
      <c r="A34">
        <v>6</v>
      </c>
      <c r="B34" t="s">
        <v>224</v>
      </c>
      <c r="C34" t="s">
        <v>368</v>
      </c>
      <c r="D34" s="1">
        <v>11614.333333333334</v>
      </c>
      <c r="E34" s="1">
        <v>4606</v>
      </c>
    </row>
    <row r="35" spans="1:5" x14ac:dyDescent="0.35">
      <c r="A35">
        <v>9</v>
      </c>
      <c r="B35" t="s">
        <v>273</v>
      </c>
      <c r="C35" t="s">
        <v>274</v>
      </c>
      <c r="D35" s="1">
        <v>0</v>
      </c>
      <c r="E35" s="1">
        <v>0</v>
      </c>
    </row>
    <row r="36" spans="1:5" x14ac:dyDescent="0.35">
      <c r="A36">
        <v>9</v>
      </c>
      <c r="B36" t="s">
        <v>269</v>
      </c>
      <c r="C36" t="s">
        <v>270</v>
      </c>
      <c r="D36" s="1">
        <v>15</v>
      </c>
      <c r="E36" s="1">
        <v>30</v>
      </c>
    </row>
    <row r="37" spans="1:5" x14ac:dyDescent="0.35">
      <c r="A37">
        <v>9</v>
      </c>
      <c r="B37" t="s">
        <v>267</v>
      </c>
      <c r="C37" t="s">
        <v>268</v>
      </c>
      <c r="D37" s="1">
        <v>6860</v>
      </c>
      <c r="E37" s="1">
        <v>1408</v>
      </c>
    </row>
    <row r="38" spans="1:5" x14ac:dyDescent="0.35">
      <c r="A38">
        <v>9</v>
      </c>
      <c r="B38" t="s">
        <v>341</v>
      </c>
      <c r="C38" t="s">
        <v>369</v>
      </c>
      <c r="D38" s="1">
        <v>2427.3333333333335</v>
      </c>
      <c r="E38" s="1">
        <v>1927.3333333333333</v>
      </c>
    </row>
    <row r="39" spans="1:5" x14ac:dyDescent="0.35">
      <c r="A39">
        <v>9</v>
      </c>
      <c r="B39" t="s">
        <v>265</v>
      </c>
      <c r="C39" t="s">
        <v>266</v>
      </c>
      <c r="D39" s="1">
        <v>16172.333333333334</v>
      </c>
      <c r="E39" s="1">
        <v>3627.3333333333335</v>
      </c>
    </row>
    <row r="40" spans="1:5" x14ac:dyDescent="0.35">
      <c r="A40">
        <v>9</v>
      </c>
      <c r="B40" t="s">
        <v>345</v>
      </c>
      <c r="C40" t="s">
        <v>373</v>
      </c>
      <c r="D40" s="1">
        <v>0</v>
      </c>
      <c r="E40" s="1">
        <v>0</v>
      </c>
    </row>
  </sheetData>
  <autoFilter ref="A1:E40" xr:uid="{C4857999-63B7-4FA2-B3EC-03D7871816C8}">
    <sortState xmlns:xlrd2="http://schemas.microsoft.com/office/spreadsheetml/2017/richdata2" ref="A2:E40">
      <sortCondition ref="A1:A40"/>
    </sortState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Y87"/>
  <sheetViews>
    <sheetView zoomScaleNormal="100" zoomScaleSheetLayoutView="100" workbookViewId="0">
      <pane ySplit="3" topLeftCell="A47" activePane="bottomLeft" state="frozen"/>
      <selection activeCell="C32" sqref="C32"/>
      <selection pane="bottomLeft" activeCell="E90" sqref="E90"/>
    </sheetView>
  </sheetViews>
  <sheetFormatPr defaultRowHeight="15.6" x14ac:dyDescent="0.35"/>
  <cols>
    <col min="1" max="1" width="7.6640625" bestFit="1" customWidth="1"/>
    <col min="2" max="2" width="12" bestFit="1" customWidth="1"/>
    <col min="3" max="4" width="21.6640625" bestFit="1" customWidth="1"/>
    <col min="5" max="5" width="49.6640625" customWidth="1"/>
    <col min="6" max="6" width="20.44140625" style="1" customWidth="1"/>
    <col min="7" max="7" width="22.88671875" style="1" customWidth="1"/>
    <col min="8" max="8" width="23" style="1" customWidth="1"/>
    <col min="9" max="9" width="21" style="1" customWidth="1"/>
    <col min="10" max="10" width="19" style="1" customWidth="1"/>
    <col min="11" max="11" width="20.6640625" style="1" customWidth="1"/>
    <col min="12" max="12" width="21.33203125" style="1" bestFit="1" customWidth="1"/>
    <col min="13" max="13" width="21.33203125" style="1" customWidth="1"/>
    <col min="14" max="14" width="19.109375" bestFit="1" customWidth="1"/>
    <col min="15" max="15" width="17.6640625" bestFit="1" customWidth="1"/>
    <col min="16" max="16" width="40.33203125" bestFit="1" customWidth="1"/>
    <col min="25" max="25" width="9.5546875" bestFit="1" customWidth="1"/>
  </cols>
  <sheetData>
    <row r="1" spans="1:16" ht="37.799999999999997" x14ac:dyDescent="0.35">
      <c r="D1" s="61" t="s">
        <v>163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spans="1:16" ht="19.2" x14ac:dyDescent="0.35">
      <c r="A2" s="2"/>
      <c r="B2" s="2"/>
      <c r="C2" s="2"/>
      <c r="D2" s="28" t="s">
        <v>12</v>
      </c>
      <c r="E2" s="28" t="s">
        <v>13</v>
      </c>
      <c r="F2" s="38" t="s">
        <v>119</v>
      </c>
      <c r="G2" s="39"/>
      <c r="H2" s="38" t="s">
        <v>0</v>
      </c>
      <c r="I2" s="39"/>
      <c r="J2" s="38" t="s">
        <v>135</v>
      </c>
      <c r="K2" s="39"/>
      <c r="L2" s="40" t="s">
        <v>141</v>
      </c>
      <c r="M2" s="40" t="s">
        <v>309</v>
      </c>
      <c r="N2" s="28" t="s">
        <v>76</v>
      </c>
      <c r="O2" s="28" t="s">
        <v>21</v>
      </c>
      <c r="P2" s="68" t="s">
        <v>58</v>
      </c>
    </row>
    <row r="3" spans="1:16" ht="19.2" x14ac:dyDescent="0.35">
      <c r="A3" s="2" t="s">
        <v>136</v>
      </c>
      <c r="B3" s="3" t="s">
        <v>46</v>
      </c>
      <c r="C3" s="23" t="s">
        <v>164</v>
      </c>
      <c r="D3" s="28" t="s">
        <v>12</v>
      </c>
      <c r="E3" s="28" t="s">
        <v>13</v>
      </c>
      <c r="F3" s="4" t="s">
        <v>325</v>
      </c>
      <c r="G3" s="4" t="s">
        <v>326</v>
      </c>
      <c r="H3" s="4" t="s">
        <v>327</v>
      </c>
      <c r="I3" s="4" t="s">
        <v>328</v>
      </c>
      <c r="J3" s="4" t="s">
        <v>329</v>
      </c>
      <c r="K3" s="4" t="s">
        <v>330</v>
      </c>
      <c r="L3" s="40" t="s">
        <v>141</v>
      </c>
      <c r="M3" s="40" t="s">
        <v>309</v>
      </c>
      <c r="N3" s="28" t="s">
        <v>76</v>
      </c>
      <c r="O3" s="28" t="s">
        <v>21</v>
      </c>
      <c r="P3" s="69"/>
    </row>
    <row r="4" spans="1:16" ht="20.100000000000001" hidden="1" customHeight="1" x14ac:dyDescent="0.35">
      <c r="A4" s="2"/>
      <c r="B4" s="3" t="s">
        <v>4</v>
      </c>
      <c r="C4" s="3" t="s">
        <v>165</v>
      </c>
      <c r="D4" s="26" t="s">
        <v>166</v>
      </c>
      <c r="E4" s="25" t="s">
        <v>167</v>
      </c>
      <c r="F4" s="9">
        <v>179456</v>
      </c>
      <c r="G4" s="9">
        <v>61974</v>
      </c>
      <c r="H4" s="9">
        <v>86927</v>
      </c>
      <c r="I4" s="9">
        <v>40074</v>
      </c>
      <c r="J4" s="10">
        <v>114468</v>
      </c>
      <c r="K4" s="10">
        <v>30540</v>
      </c>
      <c r="L4" s="10">
        <v>34500</v>
      </c>
      <c r="M4" s="10">
        <v>0</v>
      </c>
      <c r="N4" s="6" t="s">
        <v>390</v>
      </c>
      <c r="O4" s="4" t="s">
        <v>314</v>
      </c>
      <c r="P4" s="18"/>
    </row>
    <row r="5" spans="1:16" ht="20.100000000000001" hidden="1" customHeight="1" x14ac:dyDescent="0.35">
      <c r="A5" s="2"/>
      <c r="B5" s="3" t="s">
        <v>4</v>
      </c>
      <c r="C5" s="3" t="s">
        <v>168</v>
      </c>
      <c r="D5" s="26" t="s">
        <v>169</v>
      </c>
      <c r="E5" s="25" t="s">
        <v>170</v>
      </c>
      <c r="F5" s="9">
        <v>74082</v>
      </c>
      <c r="G5" s="9">
        <v>21652</v>
      </c>
      <c r="H5" s="9">
        <v>75121</v>
      </c>
      <c r="I5" s="9">
        <v>30476</v>
      </c>
      <c r="J5" s="10">
        <v>63808</v>
      </c>
      <c r="K5" s="10">
        <v>19252</v>
      </c>
      <c r="L5" s="10">
        <v>33500</v>
      </c>
      <c r="M5" s="10">
        <v>35000</v>
      </c>
      <c r="N5" s="6" t="s">
        <v>390</v>
      </c>
      <c r="O5" s="4" t="s">
        <v>314</v>
      </c>
      <c r="P5" s="18"/>
    </row>
    <row r="6" spans="1:16" ht="20.100000000000001" hidden="1" customHeight="1" x14ac:dyDescent="0.35">
      <c r="A6" s="2"/>
      <c r="B6" s="3" t="s">
        <v>4</v>
      </c>
      <c r="C6" s="3" t="s">
        <v>171</v>
      </c>
      <c r="D6" s="26" t="s">
        <v>172</v>
      </c>
      <c r="E6" s="25" t="s">
        <v>174</v>
      </c>
      <c r="F6" s="9">
        <v>6126</v>
      </c>
      <c r="G6" s="9">
        <v>3776</v>
      </c>
      <c r="H6" s="9">
        <v>4668</v>
      </c>
      <c r="I6" s="9">
        <v>2208</v>
      </c>
      <c r="J6" s="10">
        <v>4311</v>
      </c>
      <c r="K6" s="10">
        <v>2642</v>
      </c>
      <c r="L6" s="10">
        <v>10000</v>
      </c>
      <c r="M6" s="10">
        <v>0</v>
      </c>
      <c r="N6" s="6" t="s">
        <v>390</v>
      </c>
      <c r="O6" s="4" t="s">
        <v>314</v>
      </c>
      <c r="P6" s="17"/>
    </row>
    <row r="7" spans="1:16" ht="20.100000000000001" hidden="1" customHeight="1" x14ac:dyDescent="0.35">
      <c r="A7" s="2"/>
      <c r="B7" s="3" t="s">
        <v>4</v>
      </c>
      <c r="C7" s="3" t="s">
        <v>173</v>
      </c>
      <c r="D7" s="26" t="s">
        <v>172</v>
      </c>
      <c r="E7" s="25" t="s">
        <v>174</v>
      </c>
      <c r="F7" s="9">
        <v>296</v>
      </c>
      <c r="G7" s="9">
        <v>110</v>
      </c>
      <c r="H7" s="9">
        <v>2651</v>
      </c>
      <c r="I7" s="9">
        <v>992</v>
      </c>
      <c r="J7" s="10">
        <v>2564</v>
      </c>
      <c r="K7" s="10">
        <v>1416</v>
      </c>
      <c r="L7" s="10">
        <v>10000</v>
      </c>
      <c r="M7" s="10">
        <v>0</v>
      </c>
      <c r="N7" s="6" t="s">
        <v>390</v>
      </c>
      <c r="O7" s="4" t="s">
        <v>314</v>
      </c>
      <c r="P7" s="17" t="s">
        <v>216</v>
      </c>
    </row>
    <row r="8" spans="1:16" ht="20.100000000000001" hidden="1" customHeight="1" x14ac:dyDescent="0.35">
      <c r="A8" s="2">
        <v>1</v>
      </c>
      <c r="B8" s="28" t="s">
        <v>4</v>
      </c>
      <c r="C8" s="28" t="s">
        <v>175</v>
      </c>
      <c r="D8" s="27" t="s">
        <v>176</v>
      </c>
      <c r="E8" s="27" t="s">
        <v>177</v>
      </c>
      <c r="F8" s="9">
        <v>480636</v>
      </c>
      <c r="G8" s="9">
        <v>121256</v>
      </c>
      <c r="H8" s="4">
        <v>100611</v>
      </c>
      <c r="I8" s="4">
        <v>29388</v>
      </c>
      <c r="J8" s="4">
        <v>85527</v>
      </c>
      <c r="K8" s="4">
        <v>28280</v>
      </c>
      <c r="L8" s="10">
        <v>190000</v>
      </c>
      <c r="M8" s="10">
        <v>0</v>
      </c>
      <c r="N8" s="6" t="s">
        <v>389</v>
      </c>
      <c r="O8" s="4" t="s">
        <v>310</v>
      </c>
      <c r="P8" s="17"/>
    </row>
    <row r="9" spans="1:16" ht="20.100000000000001" customHeight="1" x14ac:dyDescent="0.35">
      <c r="A9" s="2">
        <v>1</v>
      </c>
      <c r="B9" s="28" t="s">
        <v>4</v>
      </c>
      <c r="C9" s="28" t="s">
        <v>175</v>
      </c>
      <c r="D9" s="27" t="s">
        <v>214</v>
      </c>
      <c r="E9" s="27" t="s">
        <v>215</v>
      </c>
      <c r="F9" s="9">
        <v>480636</v>
      </c>
      <c r="G9" s="9">
        <v>121256</v>
      </c>
      <c r="H9" s="4">
        <v>100611</v>
      </c>
      <c r="I9" s="4">
        <v>29388</v>
      </c>
      <c r="J9" s="4">
        <v>85527</v>
      </c>
      <c r="K9" s="4">
        <v>28280</v>
      </c>
      <c r="L9" s="10">
        <v>0</v>
      </c>
      <c r="M9" s="10">
        <v>0</v>
      </c>
      <c r="N9" s="6" t="s">
        <v>390</v>
      </c>
      <c r="O9" s="4" t="s">
        <v>314</v>
      </c>
      <c r="P9" s="17"/>
    </row>
    <row r="10" spans="1:16" ht="20.100000000000001" hidden="1" customHeight="1" x14ac:dyDescent="0.35">
      <c r="A10" s="2">
        <v>1</v>
      </c>
      <c r="B10" s="28" t="s">
        <v>4</v>
      </c>
      <c r="C10" s="28" t="s">
        <v>175</v>
      </c>
      <c r="D10" s="25" t="s">
        <v>178</v>
      </c>
      <c r="E10" s="25" t="s">
        <v>179</v>
      </c>
      <c r="F10" s="9">
        <v>480636</v>
      </c>
      <c r="G10" s="9">
        <v>121256</v>
      </c>
      <c r="H10" s="4">
        <v>100611</v>
      </c>
      <c r="I10" s="4">
        <v>29388</v>
      </c>
      <c r="J10" s="4">
        <v>85527</v>
      </c>
      <c r="K10" s="4">
        <v>28280</v>
      </c>
      <c r="L10" s="10">
        <v>80000</v>
      </c>
      <c r="M10" s="10">
        <v>0</v>
      </c>
      <c r="N10" s="6" t="s">
        <v>390</v>
      </c>
      <c r="O10" s="4" t="s">
        <v>314</v>
      </c>
      <c r="P10" s="17"/>
    </row>
    <row r="11" spans="1:16" ht="20.100000000000001" hidden="1" customHeight="1" x14ac:dyDescent="0.35">
      <c r="A11" s="2">
        <v>1</v>
      </c>
      <c r="B11" s="28" t="s">
        <v>4</v>
      </c>
      <c r="C11" s="28" t="s">
        <v>175</v>
      </c>
      <c r="D11" s="25" t="s">
        <v>180</v>
      </c>
      <c r="E11" s="25" t="s">
        <v>181</v>
      </c>
      <c r="F11" s="9">
        <v>480636</v>
      </c>
      <c r="G11" s="9">
        <v>121256</v>
      </c>
      <c r="H11" s="4">
        <v>100611</v>
      </c>
      <c r="I11" s="4">
        <v>29388</v>
      </c>
      <c r="J11" s="4">
        <v>85527</v>
      </c>
      <c r="K11" s="4">
        <v>28280</v>
      </c>
      <c r="L11" s="10">
        <v>65000</v>
      </c>
      <c r="M11" s="10">
        <v>0</v>
      </c>
      <c r="N11" s="6" t="s">
        <v>505</v>
      </c>
      <c r="O11" s="4" t="s">
        <v>310</v>
      </c>
      <c r="P11" s="17"/>
    </row>
    <row r="12" spans="1:16" ht="20.100000000000001" hidden="1" customHeight="1" x14ac:dyDescent="0.35">
      <c r="A12" s="2">
        <v>1</v>
      </c>
      <c r="B12" s="28" t="s">
        <v>4</v>
      </c>
      <c r="C12" s="28" t="s">
        <v>175</v>
      </c>
      <c r="D12" s="25" t="s">
        <v>182</v>
      </c>
      <c r="E12" s="25" t="s">
        <v>183</v>
      </c>
      <c r="F12" s="9">
        <v>480636</v>
      </c>
      <c r="G12" s="9">
        <v>121256</v>
      </c>
      <c r="H12" s="4">
        <v>100611</v>
      </c>
      <c r="I12" s="4">
        <v>29388</v>
      </c>
      <c r="J12" s="4">
        <v>85527</v>
      </c>
      <c r="K12" s="4">
        <v>28280</v>
      </c>
      <c r="L12" s="10">
        <v>69000</v>
      </c>
      <c r="M12" s="10">
        <v>0</v>
      </c>
      <c r="N12" s="6" t="s">
        <v>505</v>
      </c>
      <c r="O12" s="4" t="s">
        <v>310</v>
      </c>
      <c r="P12" s="17"/>
    </row>
    <row r="13" spans="1:16" ht="20.100000000000001" hidden="1" customHeight="1" x14ac:dyDescent="0.35">
      <c r="A13" s="2">
        <v>1</v>
      </c>
      <c r="B13" s="28" t="s">
        <v>4</v>
      </c>
      <c r="C13" s="28" t="s">
        <v>175</v>
      </c>
      <c r="D13" s="37" t="s">
        <v>304</v>
      </c>
      <c r="E13" s="25" t="s">
        <v>184</v>
      </c>
      <c r="F13" s="9">
        <v>480636</v>
      </c>
      <c r="G13" s="9">
        <v>121256</v>
      </c>
      <c r="H13" s="4">
        <v>100611</v>
      </c>
      <c r="I13" s="4">
        <v>29388</v>
      </c>
      <c r="J13" s="4">
        <v>85527</v>
      </c>
      <c r="K13" s="4">
        <v>28280</v>
      </c>
      <c r="L13" s="10">
        <v>85000</v>
      </c>
      <c r="M13" s="10">
        <v>0</v>
      </c>
      <c r="N13" s="6" t="s">
        <v>391</v>
      </c>
      <c r="O13" s="4" t="s">
        <v>314</v>
      </c>
      <c r="P13" s="17"/>
    </row>
    <row r="14" spans="1:16" ht="20.100000000000001" hidden="1" customHeight="1" x14ac:dyDescent="0.35">
      <c r="A14" s="2">
        <v>1</v>
      </c>
      <c r="B14" s="28" t="s">
        <v>4</v>
      </c>
      <c r="C14" s="28" t="s">
        <v>185</v>
      </c>
      <c r="D14" s="27" t="s">
        <v>176</v>
      </c>
      <c r="E14" s="27" t="s">
        <v>177</v>
      </c>
      <c r="F14" s="9">
        <v>6747</v>
      </c>
      <c r="G14" s="9">
        <v>4240</v>
      </c>
      <c r="H14" s="4">
        <v>100611</v>
      </c>
      <c r="I14" s="4">
        <v>29388</v>
      </c>
      <c r="J14" s="4">
        <v>10351</v>
      </c>
      <c r="K14" s="4">
        <v>6884</v>
      </c>
      <c r="L14" s="10">
        <v>190000</v>
      </c>
      <c r="M14" s="10">
        <v>0</v>
      </c>
      <c r="N14" s="6" t="s">
        <v>389</v>
      </c>
      <c r="O14" s="4" t="s">
        <v>310</v>
      </c>
      <c r="P14" s="17"/>
    </row>
    <row r="15" spans="1:16" ht="20.100000000000001" customHeight="1" x14ac:dyDescent="0.35">
      <c r="A15" s="2">
        <v>1</v>
      </c>
      <c r="B15" s="28" t="s">
        <v>4</v>
      </c>
      <c r="C15" s="28" t="s">
        <v>185</v>
      </c>
      <c r="D15" s="27" t="s">
        <v>186</v>
      </c>
      <c r="E15" s="27" t="s">
        <v>187</v>
      </c>
      <c r="F15" s="9">
        <v>6747</v>
      </c>
      <c r="G15" s="9">
        <v>4240</v>
      </c>
      <c r="H15" s="4">
        <v>16321</v>
      </c>
      <c r="I15" s="4">
        <v>6616</v>
      </c>
      <c r="J15" s="4">
        <v>10351</v>
      </c>
      <c r="K15" s="4">
        <v>6884</v>
      </c>
      <c r="L15" s="10">
        <v>0</v>
      </c>
      <c r="M15" s="10">
        <v>0</v>
      </c>
      <c r="N15" s="6" t="s">
        <v>390</v>
      </c>
      <c r="O15" s="4" t="s">
        <v>314</v>
      </c>
      <c r="P15" s="17"/>
    </row>
    <row r="16" spans="1:16" ht="20.100000000000001" hidden="1" customHeight="1" x14ac:dyDescent="0.35">
      <c r="A16" s="2">
        <v>1</v>
      </c>
      <c r="B16" s="28" t="s">
        <v>4</v>
      </c>
      <c r="C16" s="28" t="s">
        <v>185</v>
      </c>
      <c r="D16" s="27" t="s">
        <v>188</v>
      </c>
      <c r="E16" s="27" t="s">
        <v>189</v>
      </c>
      <c r="F16" s="9">
        <v>6747</v>
      </c>
      <c r="G16" s="9">
        <v>4240</v>
      </c>
      <c r="H16" s="4">
        <v>16321</v>
      </c>
      <c r="I16" s="4">
        <v>6616</v>
      </c>
      <c r="J16" s="4">
        <v>10351</v>
      </c>
      <c r="K16" s="4">
        <v>6884</v>
      </c>
      <c r="L16" s="10">
        <v>80000</v>
      </c>
      <c r="M16" s="10">
        <v>0</v>
      </c>
      <c r="N16" s="6" t="s">
        <v>390</v>
      </c>
      <c r="O16" s="4" t="s">
        <v>314</v>
      </c>
      <c r="P16" s="17"/>
    </row>
    <row r="17" spans="1:16" ht="20.100000000000001" hidden="1" customHeight="1" x14ac:dyDescent="0.35">
      <c r="A17" s="2">
        <v>1</v>
      </c>
      <c r="B17" s="28" t="s">
        <v>4</v>
      </c>
      <c r="C17" s="28" t="s">
        <v>185</v>
      </c>
      <c r="D17" s="27" t="s">
        <v>190</v>
      </c>
      <c r="E17" s="27" t="s">
        <v>191</v>
      </c>
      <c r="F17" s="9">
        <v>6747</v>
      </c>
      <c r="G17" s="9">
        <v>4240</v>
      </c>
      <c r="H17" s="4">
        <v>16321</v>
      </c>
      <c r="I17" s="4">
        <v>6616</v>
      </c>
      <c r="J17" s="4">
        <v>10351</v>
      </c>
      <c r="K17" s="4">
        <v>6884</v>
      </c>
      <c r="L17" s="10">
        <v>65000</v>
      </c>
      <c r="M17" s="10">
        <v>0</v>
      </c>
      <c r="N17" s="6" t="s">
        <v>505</v>
      </c>
      <c r="O17" s="4" t="s">
        <v>315</v>
      </c>
      <c r="P17" s="17"/>
    </row>
    <row r="18" spans="1:16" ht="20.100000000000001" hidden="1" customHeight="1" x14ac:dyDescent="0.35">
      <c r="A18" s="2">
        <v>1</v>
      </c>
      <c r="B18" s="28" t="s">
        <v>4</v>
      </c>
      <c r="C18" s="28" t="s">
        <v>185</v>
      </c>
      <c r="D18" s="27" t="s">
        <v>192</v>
      </c>
      <c r="E18" s="27" t="s">
        <v>193</v>
      </c>
      <c r="F18" s="9">
        <v>6747</v>
      </c>
      <c r="G18" s="9">
        <v>4240</v>
      </c>
      <c r="H18" s="4">
        <v>16321</v>
      </c>
      <c r="I18" s="4">
        <v>6616</v>
      </c>
      <c r="J18" s="4">
        <v>10351</v>
      </c>
      <c r="K18" s="4">
        <v>6884</v>
      </c>
      <c r="L18" s="10">
        <v>69000</v>
      </c>
      <c r="M18" s="10">
        <v>0</v>
      </c>
      <c r="N18" s="6" t="s">
        <v>505</v>
      </c>
      <c r="O18" s="4" t="s">
        <v>315</v>
      </c>
      <c r="P18" s="17"/>
    </row>
    <row r="19" spans="1:16" ht="20.100000000000001" hidden="1" customHeight="1" x14ac:dyDescent="0.35">
      <c r="A19" s="2">
        <v>1</v>
      </c>
      <c r="B19" s="28" t="s">
        <v>4</v>
      </c>
      <c r="C19" s="28" t="s">
        <v>185</v>
      </c>
      <c r="D19" s="27" t="s">
        <v>194</v>
      </c>
      <c r="E19" s="27" t="s">
        <v>195</v>
      </c>
      <c r="F19" s="9">
        <v>6747</v>
      </c>
      <c r="G19" s="9">
        <v>4240</v>
      </c>
      <c r="H19" s="4">
        <v>16321</v>
      </c>
      <c r="I19" s="4">
        <v>6616</v>
      </c>
      <c r="J19" s="4">
        <v>10351</v>
      </c>
      <c r="K19" s="4">
        <v>6884</v>
      </c>
      <c r="L19" s="10">
        <v>16000</v>
      </c>
      <c r="M19" s="10">
        <v>0</v>
      </c>
      <c r="N19" s="6" t="s">
        <v>391</v>
      </c>
      <c r="O19" s="4" t="s">
        <v>314</v>
      </c>
      <c r="P19" s="17"/>
    </row>
    <row r="20" spans="1:16" ht="20.100000000000001" hidden="1" customHeight="1" x14ac:dyDescent="0.35">
      <c r="A20" s="2">
        <v>1</v>
      </c>
      <c r="B20" s="28" t="s">
        <v>4</v>
      </c>
      <c r="C20" s="28" t="s">
        <v>290</v>
      </c>
      <c r="D20" s="27" t="s">
        <v>196</v>
      </c>
      <c r="E20" s="27" t="s">
        <v>197</v>
      </c>
      <c r="F20" s="9">
        <v>47379</v>
      </c>
      <c r="G20" s="9">
        <v>24970</v>
      </c>
      <c r="H20" s="4">
        <v>17013</v>
      </c>
      <c r="I20" s="4">
        <v>7476</v>
      </c>
      <c r="J20" s="4">
        <v>11211</v>
      </c>
      <c r="K20" s="4">
        <v>4228</v>
      </c>
      <c r="L20" s="10">
        <v>190000</v>
      </c>
      <c r="M20" s="10">
        <v>0</v>
      </c>
      <c r="N20" s="6" t="s">
        <v>389</v>
      </c>
      <c r="O20" s="4" t="s">
        <v>315</v>
      </c>
      <c r="P20" s="17"/>
    </row>
    <row r="21" spans="1:16" ht="20.100000000000001" hidden="1" customHeight="1" x14ac:dyDescent="0.35">
      <c r="A21" s="2">
        <v>1</v>
      </c>
      <c r="B21" s="28" t="s">
        <v>4</v>
      </c>
      <c r="C21" s="28" t="s">
        <v>290</v>
      </c>
      <c r="D21" s="27" t="s">
        <v>198</v>
      </c>
      <c r="E21" s="27" t="s">
        <v>199</v>
      </c>
      <c r="F21" s="9">
        <v>47379</v>
      </c>
      <c r="G21" s="9">
        <v>24970</v>
      </c>
      <c r="H21" s="4">
        <v>17013</v>
      </c>
      <c r="I21" s="4">
        <v>7476</v>
      </c>
      <c r="J21" s="4">
        <v>11211</v>
      </c>
      <c r="K21" s="4">
        <v>4228</v>
      </c>
      <c r="L21" s="10">
        <v>15500</v>
      </c>
      <c r="M21" s="10">
        <v>0</v>
      </c>
      <c r="N21" s="6" t="s">
        <v>390</v>
      </c>
      <c r="O21" s="4" t="s">
        <v>314</v>
      </c>
      <c r="P21" s="17"/>
    </row>
    <row r="22" spans="1:16" ht="20.100000000000001" hidden="1" customHeight="1" x14ac:dyDescent="0.35">
      <c r="A22" s="2">
        <v>1</v>
      </c>
      <c r="B22" s="28" t="s">
        <v>4</v>
      </c>
      <c r="C22" s="28" t="s">
        <v>290</v>
      </c>
      <c r="D22" s="27" t="s">
        <v>200</v>
      </c>
      <c r="E22" s="27" t="s">
        <v>189</v>
      </c>
      <c r="F22" s="9">
        <v>47379</v>
      </c>
      <c r="G22" s="9">
        <v>24970</v>
      </c>
      <c r="H22" s="4">
        <v>17013</v>
      </c>
      <c r="I22" s="4">
        <v>7476</v>
      </c>
      <c r="J22" s="4">
        <v>11211</v>
      </c>
      <c r="K22" s="4">
        <v>4228</v>
      </c>
      <c r="L22" s="10">
        <v>80000</v>
      </c>
      <c r="M22" s="10">
        <v>0</v>
      </c>
      <c r="N22" s="6" t="s">
        <v>390</v>
      </c>
      <c r="O22" s="4" t="s">
        <v>314</v>
      </c>
      <c r="P22" s="17"/>
    </row>
    <row r="23" spans="1:16" ht="20.100000000000001" hidden="1" customHeight="1" x14ac:dyDescent="0.35">
      <c r="A23" s="2">
        <v>1</v>
      </c>
      <c r="B23" s="28" t="s">
        <v>4</v>
      </c>
      <c r="C23" s="28" t="s">
        <v>290</v>
      </c>
      <c r="D23" s="27" t="s">
        <v>190</v>
      </c>
      <c r="E23" s="27" t="s">
        <v>191</v>
      </c>
      <c r="F23" s="9">
        <v>47379</v>
      </c>
      <c r="G23" s="9">
        <v>24970</v>
      </c>
      <c r="H23" s="4">
        <v>17013</v>
      </c>
      <c r="I23" s="4">
        <v>7476</v>
      </c>
      <c r="J23" s="4">
        <v>11211</v>
      </c>
      <c r="K23" s="4">
        <v>4228</v>
      </c>
      <c r="L23" s="10">
        <v>65000</v>
      </c>
      <c r="M23" s="10">
        <v>0</v>
      </c>
      <c r="N23" s="6" t="s">
        <v>505</v>
      </c>
      <c r="O23" s="4" t="s">
        <v>315</v>
      </c>
      <c r="P23" s="17"/>
    </row>
    <row r="24" spans="1:16" ht="20.100000000000001" hidden="1" customHeight="1" x14ac:dyDescent="0.35">
      <c r="A24" s="2">
        <v>1</v>
      </c>
      <c r="B24" s="28" t="s">
        <v>4</v>
      </c>
      <c r="C24" s="28" t="s">
        <v>290</v>
      </c>
      <c r="D24" s="27" t="s">
        <v>201</v>
      </c>
      <c r="E24" s="27" t="s">
        <v>193</v>
      </c>
      <c r="F24" s="9">
        <v>47379</v>
      </c>
      <c r="G24" s="9">
        <v>24970</v>
      </c>
      <c r="H24" s="4">
        <v>17013</v>
      </c>
      <c r="I24" s="4">
        <v>7476</v>
      </c>
      <c r="J24" s="4">
        <v>11211</v>
      </c>
      <c r="K24" s="4">
        <v>4228</v>
      </c>
      <c r="L24" s="10">
        <v>69000</v>
      </c>
      <c r="M24" s="10">
        <v>0</v>
      </c>
      <c r="N24" s="6" t="s">
        <v>505</v>
      </c>
      <c r="O24" s="4" t="s">
        <v>315</v>
      </c>
      <c r="P24" s="17"/>
    </row>
    <row r="25" spans="1:16" ht="20.100000000000001" hidden="1" customHeight="1" x14ac:dyDescent="0.35">
      <c r="A25" s="2">
        <v>1</v>
      </c>
      <c r="B25" s="28" t="s">
        <v>4</v>
      </c>
      <c r="C25" s="28" t="s">
        <v>290</v>
      </c>
      <c r="D25" s="27" t="s">
        <v>202</v>
      </c>
      <c r="E25" s="27" t="s">
        <v>203</v>
      </c>
      <c r="F25" s="9">
        <v>47379</v>
      </c>
      <c r="G25" s="9">
        <v>24970</v>
      </c>
      <c r="H25" s="4">
        <v>17013</v>
      </c>
      <c r="I25" s="4">
        <v>7476</v>
      </c>
      <c r="J25" s="4">
        <v>11211</v>
      </c>
      <c r="K25" s="4">
        <v>4228</v>
      </c>
      <c r="L25" s="10">
        <v>21000</v>
      </c>
      <c r="M25" s="10">
        <v>0</v>
      </c>
      <c r="N25" s="6" t="s">
        <v>391</v>
      </c>
      <c r="O25" s="4" t="s">
        <v>314</v>
      </c>
      <c r="P25" s="17"/>
    </row>
    <row r="26" spans="1:16" ht="20.100000000000001" hidden="1" customHeight="1" x14ac:dyDescent="0.35">
      <c r="A26" s="2">
        <v>1</v>
      </c>
      <c r="B26" s="3" t="s">
        <v>4</v>
      </c>
      <c r="C26" s="28" t="s">
        <v>291</v>
      </c>
      <c r="D26" s="27" t="s">
        <v>196</v>
      </c>
      <c r="E26" s="27" t="s">
        <v>204</v>
      </c>
      <c r="F26" s="9">
        <v>1475</v>
      </c>
      <c r="G26" s="9">
        <v>876</v>
      </c>
      <c r="H26" s="4">
        <v>5481</v>
      </c>
      <c r="I26" s="4">
        <v>3008</v>
      </c>
      <c r="J26" s="10">
        <v>2697</v>
      </c>
      <c r="K26" s="10">
        <v>1288</v>
      </c>
      <c r="L26" s="10">
        <v>190000</v>
      </c>
      <c r="M26" s="10">
        <v>0</v>
      </c>
      <c r="N26" s="6" t="s">
        <v>389</v>
      </c>
      <c r="O26" s="4" t="s">
        <v>315</v>
      </c>
      <c r="P26" s="17"/>
    </row>
    <row r="27" spans="1:16" ht="20.100000000000001" hidden="1" customHeight="1" x14ac:dyDescent="0.35">
      <c r="A27" s="2">
        <v>1</v>
      </c>
      <c r="B27" s="3" t="s">
        <v>4</v>
      </c>
      <c r="C27" s="28" t="s">
        <v>291</v>
      </c>
      <c r="D27" s="27" t="s">
        <v>205</v>
      </c>
      <c r="E27" s="27" t="s">
        <v>206</v>
      </c>
      <c r="F27" s="9">
        <v>1475</v>
      </c>
      <c r="G27" s="9">
        <v>876</v>
      </c>
      <c r="H27" s="4">
        <v>5481</v>
      </c>
      <c r="I27" s="4">
        <v>3008</v>
      </c>
      <c r="J27" s="10">
        <v>2697</v>
      </c>
      <c r="K27" s="10">
        <v>1288</v>
      </c>
      <c r="L27" s="10">
        <v>15500</v>
      </c>
      <c r="M27" s="10">
        <v>0</v>
      </c>
      <c r="N27" s="6" t="s">
        <v>390</v>
      </c>
      <c r="O27" s="4" t="s">
        <v>314</v>
      </c>
      <c r="P27" s="17"/>
    </row>
    <row r="28" spans="1:16" ht="20.100000000000001" hidden="1" customHeight="1" x14ac:dyDescent="0.35">
      <c r="A28" s="2">
        <v>1</v>
      </c>
      <c r="B28" s="3" t="s">
        <v>4</v>
      </c>
      <c r="C28" s="28" t="s">
        <v>291</v>
      </c>
      <c r="D28" s="27" t="s">
        <v>207</v>
      </c>
      <c r="E28" s="27" t="s">
        <v>208</v>
      </c>
      <c r="F28" s="9">
        <v>1475</v>
      </c>
      <c r="G28" s="9">
        <v>876</v>
      </c>
      <c r="H28" s="4">
        <v>5481</v>
      </c>
      <c r="I28" s="4">
        <v>3008</v>
      </c>
      <c r="J28" s="10">
        <v>2697</v>
      </c>
      <c r="K28" s="10">
        <v>1288</v>
      </c>
      <c r="L28" s="10">
        <v>80000</v>
      </c>
      <c r="M28" s="10">
        <v>0</v>
      </c>
      <c r="N28" s="6" t="s">
        <v>390</v>
      </c>
      <c r="O28" s="4" t="s">
        <v>314</v>
      </c>
      <c r="P28" s="17"/>
    </row>
    <row r="29" spans="1:16" ht="20.100000000000001" hidden="1" customHeight="1" x14ac:dyDescent="0.35">
      <c r="A29" s="2">
        <v>1</v>
      </c>
      <c r="B29" s="3" t="s">
        <v>4</v>
      </c>
      <c r="C29" s="28" t="s">
        <v>291</v>
      </c>
      <c r="D29" s="27" t="s">
        <v>209</v>
      </c>
      <c r="E29" s="27" t="s">
        <v>191</v>
      </c>
      <c r="F29" s="9">
        <v>1475</v>
      </c>
      <c r="G29" s="9">
        <v>876</v>
      </c>
      <c r="H29" s="4">
        <v>5481</v>
      </c>
      <c r="I29" s="4">
        <v>3008</v>
      </c>
      <c r="J29" s="10">
        <v>2697</v>
      </c>
      <c r="K29" s="10">
        <v>1288</v>
      </c>
      <c r="L29" s="10">
        <v>65000</v>
      </c>
      <c r="M29" s="10">
        <v>0</v>
      </c>
      <c r="N29" s="6" t="s">
        <v>505</v>
      </c>
      <c r="O29" s="4" t="s">
        <v>315</v>
      </c>
      <c r="P29" s="17"/>
    </row>
    <row r="30" spans="1:16" ht="20.100000000000001" hidden="1" customHeight="1" x14ac:dyDescent="0.35">
      <c r="A30" s="2">
        <v>1</v>
      </c>
      <c r="B30" s="3" t="s">
        <v>4</v>
      </c>
      <c r="C30" s="28" t="s">
        <v>291</v>
      </c>
      <c r="D30" s="27" t="s">
        <v>210</v>
      </c>
      <c r="E30" s="27" t="s">
        <v>211</v>
      </c>
      <c r="F30" s="9">
        <v>1475</v>
      </c>
      <c r="G30" s="9">
        <v>876</v>
      </c>
      <c r="H30" s="4">
        <v>5481</v>
      </c>
      <c r="I30" s="4">
        <v>3008</v>
      </c>
      <c r="J30" s="10">
        <v>2697</v>
      </c>
      <c r="K30" s="10">
        <v>1288</v>
      </c>
      <c r="L30" s="10">
        <v>69000</v>
      </c>
      <c r="M30" s="10">
        <v>0</v>
      </c>
      <c r="N30" s="6" t="s">
        <v>505</v>
      </c>
      <c r="O30" s="4" t="s">
        <v>315</v>
      </c>
      <c r="P30" s="17"/>
    </row>
    <row r="31" spans="1:16" ht="20.100000000000001" hidden="1" customHeight="1" x14ac:dyDescent="0.35">
      <c r="A31" s="2">
        <v>1</v>
      </c>
      <c r="B31" s="3" t="s">
        <v>4</v>
      </c>
      <c r="C31" s="28" t="s">
        <v>291</v>
      </c>
      <c r="D31" s="27" t="s">
        <v>212</v>
      </c>
      <c r="E31" s="27" t="s">
        <v>213</v>
      </c>
      <c r="F31" s="9">
        <v>1475</v>
      </c>
      <c r="G31" s="9">
        <v>876</v>
      </c>
      <c r="H31" s="4">
        <v>5481</v>
      </c>
      <c r="I31" s="4">
        <v>3008</v>
      </c>
      <c r="J31" s="10">
        <v>2697</v>
      </c>
      <c r="K31" s="10">
        <v>1288</v>
      </c>
      <c r="L31" s="10">
        <v>16000</v>
      </c>
      <c r="M31" s="10">
        <v>0</v>
      </c>
      <c r="N31" s="6" t="s">
        <v>391</v>
      </c>
      <c r="O31" s="4" t="s">
        <v>314</v>
      </c>
      <c r="P31" s="17"/>
    </row>
    <row r="32" spans="1:16" ht="20.100000000000001" hidden="1" customHeight="1" x14ac:dyDescent="0.35">
      <c r="A32" s="2"/>
      <c r="B32" s="3" t="s">
        <v>4</v>
      </c>
      <c r="C32" s="3" t="s">
        <v>292</v>
      </c>
      <c r="D32" s="24" t="s">
        <v>217</v>
      </c>
      <c r="E32" s="25" t="s">
        <v>218</v>
      </c>
      <c r="F32" s="4">
        <v>4460</v>
      </c>
      <c r="G32" s="4">
        <v>2400</v>
      </c>
      <c r="H32" s="4">
        <v>3900</v>
      </c>
      <c r="I32" s="4">
        <v>2444</v>
      </c>
      <c r="J32" s="4">
        <v>7262</v>
      </c>
      <c r="K32" s="4">
        <v>4152</v>
      </c>
      <c r="L32" s="10">
        <v>4200</v>
      </c>
      <c r="M32" s="10">
        <v>0</v>
      </c>
      <c r="N32" s="6" t="s">
        <v>390</v>
      </c>
      <c r="O32" s="4" t="s">
        <v>314</v>
      </c>
      <c r="P32" s="17"/>
    </row>
    <row r="33" spans="1:16" ht="20.100000000000001" hidden="1" customHeight="1" x14ac:dyDescent="0.35">
      <c r="A33" s="2"/>
      <c r="B33" s="3" t="s">
        <v>4</v>
      </c>
      <c r="C33" s="3" t="s">
        <v>293</v>
      </c>
      <c r="D33" s="26" t="s">
        <v>219</v>
      </c>
      <c r="E33" s="25" t="s">
        <v>220</v>
      </c>
      <c r="F33" s="4">
        <v>258</v>
      </c>
      <c r="G33" s="4">
        <v>160</v>
      </c>
      <c r="H33" s="4">
        <v>3240</v>
      </c>
      <c r="I33" s="4">
        <v>1644</v>
      </c>
      <c r="J33" s="4">
        <v>6502</v>
      </c>
      <c r="K33" s="10">
        <v>3752</v>
      </c>
      <c r="L33" s="10">
        <v>2400</v>
      </c>
      <c r="M33" s="10">
        <v>0</v>
      </c>
      <c r="N33" s="6" t="s">
        <v>390</v>
      </c>
      <c r="O33" s="4" t="s">
        <v>314</v>
      </c>
      <c r="P33" s="17"/>
    </row>
    <row r="34" spans="1:16" ht="20.100000000000001" hidden="1" customHeight="1" x14ac:dyDescent="0.35">
      <c r="A34" s="2"/>
      <c r="B34" s="3" t="s">
        <v>4</v>
      </c>
      <c r="C34" s="3" t="s">
        <v>294</v>
      </c>
      <c r="D34" s="26" t="s">
        <v>221</v>
      </c>
      <c r="E34" s="25" t="s">
        <v>222</v>
      </c>
      <c r="F34" s="4">
        <v>6009</v>
      </c>
      <c r="G34" s="4">
        <v>3932</v>
      </c>
      <c r="H34" s="4">
        <v>8878</v>
      </c>
      <c r="I34" s="4">
        <v>7966</v>
      </c>
      <c r="J34" s="4">
        <v>8420</v>
      </c>
      <c r="K34" s="4">
        <v>6578</v>
      </c>
      <c r="L34" s="10">
        <v>2200</v>
      </c>
      <c r="M34" s="10">
        <v>0</v>
      </c>
      <c r="N34" s="6" t="s">
        <v>390</v>
      </c>
      <c r="O34" s="4" t="s">
        <v>314</v>
      </c>
      <c r="P34" s="17"/>
    </row>
    <row r="35" spans="1:16" ht="20.100000000000001" hidden="1" customHeight="1" x14ac:dyDescent="0.35">
      <c r="A35" s="2"/>
      <c r="B35" s="3" t="s">
        <v>4</v>
      </c>
      <c r="C35" s="3" t="s">
        <v>295</v>
      </c>
      <c r="D35" s="26" t="s">
        <v>223</v>
      </c>
      <c r="E35" s="25" t="s">
        <v>220</v>
      </c>
      <c r="F35" s="4">
        <v>904</v>
      </c>
      <c r="G35" s="4">
        <v>596</v>
      </c>
      <c r="H35" s="4">
        <v>7682</v>
      </c>
      <c r="I35" s="4">
        <v>3760</v>
      </c>
      <c r="J35" s="20">
        <v>5889</v>
      </c>
      <c r="K35" s="9">
        <v>2522</v>
      </c>
      <c r="L35" s="10">
        <v>2400</v>
      </c>
      <c r="M35" s="10">
        <v>0</v>
      </c>
      <c r="N35" s="6" t="s">
        <v>390</v>
      </c>
      <c r="O35" s="4" t="s">
        <v>314</v>
      </c>
      <c r="P35" s="17"/>
    </row>
    <row r="36" spans="1:16" ht="20.100000000000001" hidden="1" customHeight="1" x14ac:dyDescent="0.35">
      <c r="A36" s="2"/>
      <c r="B36" s="3" t="s">
        <v>4</v>
      </c>
      <c r="C36" s="30" t="s">
        <v>296</v>
      </c>
      <c r="D36" s="30" t="s">
        <v>224</v>
      </c>
      <c r="E36" s="29" t="s">
        <v>225</v>
      </c>
      <c r="F36" s="9">
        <v>12050</v>
      </c>
      <c r="G36" s="9">
        <v>4028</v>
      </c>
      <c r="H36" s="4">
        <v>19925</v>
      </c>
      <c r="I36" s="4">
        <v>8182</v>
      </c>
      <c r="J36" s="20">
        <v>2868</v>
      </c>
      <c r="K36" s="20">
        <v>1608</v>
      </c>
      <c r="L36" s="20">
        <v>500</v>
      </c>
      <c r="M36" s="20">
        <v>2100</v>
      </c>
      <c r="N36" s="6" t="s">
        <v>390</v>
      </c>
      <c r="O36" s="4" t="s">
        <v>314</v>
      </c>
      <c r="P36" s="3"/>
    </row>
    <row r="37" spans="1:16" ht="20.100000000000001" hidden="1" customHeight="1" x14ac:dyDescent="0.35">
      <c r="A37" s="2"/>
      <c r="B37" s="3" t="s">
        <v>226</v>
      </c>
      <c r="C37" s="3" t="s">
        <v>229</v>
      </c>
      <c r="D37" s="31" t="s">
        <v>227</v>
      </c>
      <c r="E37" s="29" t="s">
        <v>228</v>
      </c>
      <c r="F37" s="4">
        <v>12340</v>
      </c>
      <c r="G37" s="4">
        <v>5512</v>
      </c>
      <c r="H37" s="4">
        <v>13378</v>
      </c>
      <c r="I37" s="4">
        <v>6328</v>
      </c>
      <c r="J37" s="10">
        <v>16377</v>
      </c>
      <c r="K37" s="10">
        <v>5860</v>
      </c>
      <c r="L37" s="10">
        <v>10500</v>
      </c>
      <c r="M37" s="10">
        <v>0</v>
      </c>
      <c r="N37" s="6" t="s">
        <v>390</v>
      </c>
      <c r="O37" s="4" t="s">
        <v>314</v>
      </c>
      <c r="P37" s="17"/>
    </row>
    <row r="38" spans="1:16" ht="20.100000000000001" hidden="1" customHeight="1" x14ac:dyDescent="0.35">
      <c r="A38" s="2"/>
      <c r="B38" s="3" t="s">
        <v>226</v>
      </c>
      <c r="C38" s="3" t="s">
        <v>230</v>
      </c>
      <c r="D38" s="31" t="s">
        <v>231</v>
      </c>
      <c r="E38" s="29" t="s">
        <v>232</v>
      </c>
      <c r="F38" s="4">
        <v>12340</v>
      </c>
      <c r="G38" s="4">
        <v>5512</v>
      </c>
      <c r="H38" s="4">
        <v>3263</v>
      </c>
      <c r="I38" s="4">
        <v>2008</v>
      </c>
      <c r="J38" s="10">
        <v>8539</v>
      </c>
      <c r="K38" s="10">
        <v>3952</v>
      </c>
      <c r="L38" s="10">
        <v>7000</v>
      </c>
      <c r="M38" s="10">
        <v>0</v>
      </c>
      <c r="N38" s="6" t="s">
        <v>390</v>
      </c>
      <c r="O38" s="4" t="s">
        <v>314</v>
      </c>
      <c r="P38" s="17"/>
    </row>
    <row r="39" spans="1:16" ht="20.100000000000001" hidden="1" customHeight="1" x14ac:dyDescent="0.35">
      <c r="A39" s="2"/>
      <c r="B39" s="3" t="s">
        <v>226</v>
      </c>
      <c r="C39" s="3" t="s">
        <v>235</v>
      </c>
      <c r="D39" s="31" t="s">
        <v>233</v>
      </c>
      <c r="E39" s="29" t="s">
        <v>234</v>
      </c>
      <c r="F39" s="9">
        <v>30</v>
      </c>
      <c r="G39" s="9">
        <v>30</v>
      </c>
      <c r="H39" s="4">
        <v>5934</v>
      </c>
      <c r="I39" s="4">
        <v>3408</v>
      </c>
      <c r="J39" s="10">
        <v>1028</v>
      </c>
      <c r="K39" s="10">
        <v>780</v>
      </c>
      <c r="L39" s="10">
        <v>8000</v>
      </c>
      <c r="M39" s="10">
        <v>0</v>
      </c>
      <c r="N39" s="6" t="s">
        <v>390</v>
      </c>
      <c r="O39" s="4" t="s">
        <v>314</v>
      </c>
      <c r="P39" s="17"/>
    </row>
    <row r="40" spans="1:16" ht="20.100000000000001" hidden="1" customHeight="1" x14ac:dyDescent="0.35">
      <c r="A40" s="2"/>
      <c r="B40" s="3" t="s">
        <v>226</v>
      </c>
      <c r="C40" s="3" t="s">
        <v>238</v>
      </c>
      <c r="D40" s="31" t="s">
        <v>236</v>
      </c>
      <c r="E40" s="29" t="s">
        <v>237</v>
      </c>
      <c r="F40" s="9">
        <v>30</v>
      </c>
      <c r="G40" s="9">
        <v>30</v>
      </c>
      <c r="H40" s="4">
        <v>5879</v>
      </c>
      <c r="I40" s="4">
        <v>3308</v>
      </c>
      <c r="J40" s="10">
        <v>326</v>
      </c>
      <c r="K40" s="10">
        <v>280</v>
      </c>
      <c r="L40" s="10">
        <v>3000</v>
      </c>
      <c r="M40" s="10">
        <v>0</v>
      </c>
      <c r="N40" s="6" t="s">
        <v>390</v>
      </c>
      <c r="O40" s="4" t="s">
        <v>314</v>
      </c>
      <c r="P40" s="17"/>
    </row>
    <row r="41" spans="1:16" ht="20.100000000000001" hidden="1" customHeight="1" x14ac:dyDescent="0.35">
      <c r="A41" s="2"/>
      <c r="B41" s="3" t="s">
        <v>226</v>
      </c>
      <c r="C41" s="3" t="s">
        <v>241</v>
      </c>
      <c r="D41" s="30" t="s">
        <v>239</v>
      </c>
      <c r="E41" s="29" t="s">
        <v>240</v>
      </c>
      <c r="F41" s="9">
        <v>3356</v>
      </c>
      <c r="G41" s="9">
        <v>2122</v>
      </c>
      <c r="H41" s="4">
        <v>5458</v>
      </c>
      <c r="I41" s="4">
        <v>4564</v>
      </c>
      <c r="J41" s="10">
        <v>7727</v>
      </c>
      <c r="K41" s="10">
        <v>3960</v>
      </c>
      <c r="L41" s="10">
        <v>43000</v>
      </c>
      <c r="M41" s="10">
        <v>0</v>
      </c>
      <c r="N41" s="6" t="s">
        <v>390</v>
      </c>
      <c r="O41" s="4" t="s">
        <v>314</v>
      </c>
      <c r="P41" s="17"/>
    </row>
    <row r="42" spans="1:16" ht="20.100000000000001" hidden="1" customHeight="1" x14ac:dyDescent="0.35">
      <c r="A42" s="2"/>
      <c r="B42" s="3" t="s">
        <v>226</v>
      </c>
      <c r="C42" s="3" t="s">
        <v>242</v>
      </c>
      <c r="D42" s="30" t="s">
        <v>243</v>
      </c>
      <c r="E42" s="29" t="s">
        <v>244</v>
      </c>
      <c r="F42" s="4">
        <v>3356</v>
      </c>
      <c r="G42" s="4">
        <v>2122</v>
      </c>
      <c r="H42" s="4">
        <v>1446</v>
      </c>
      <c r="I42" s="4">
        <v>1044</v>
      </c>
      <c r="J42" s="10">
        <v>3456</v>
      </c>
      <c r="K42" s="10">
        <v>2320</v>
      </c>
      <c r="L42" s="10">
        <v>2000</v>
      </c>
      <c r="M42" s="10">
        <v>0</v>
      </c>
      <c r="N42" s="6" t="s">
        <v>390</v>
      </c>
      <c r="O42" s="4" t="s">
        <v>314</v>
      </c>
      <c r="P42" s="17"/>
    </row>
    <row r="43" spans="1:16" ht="20.100000000000001" hidden="1" customHeight="1" x14ac:dyDescent="0.35">
      <c r="A43" s="2"/>
      <c r="B43" s="3" t="s">
        <v>226</v>
      </c>
      <c r="C43" s="3" t="s">
        <v>248</v>
      </c>
      <c r="D43" s="30" t="s">
        <v>245</v>
      </c>
      <c r="E43" s="29" t="s">
        <v>246</v>
      </c>
      <c r="F43" s="9">
        <v>1195</v>
      </c>
      <c r="G43" s="9">
        <v>596</v>
      </c>
      <c r="H43" s="4">
        <v>3912</v>
      </c>
      <c r="I43" s="4">
        <v>1748</v>
      </c>
      <c r="J43" s="10">
        <v>4672</v>
      </c>
      <c r="K43" s="4">
        <v>2398</v>
      </c>
      <c r="L43" s="10">
        <v>400</v>
      </c>
      <c r="M43" s="10">
        <v>6000</v>
      </c>
      <c r="N43" s="6" t="s">
        <v>390</v>
      </c>
      <c r="O43" s="4" t="s">
        <v>314</v>
      </c>
      <c r="P43" s="17"/>
    </row>
    <row r="44" spans="1:16" ht="20.100000000000001" hidden="1" customHeight="1" x14ac:dyDescent="0.35">
      <c r="A44" s="19"/>
      <c r="B44" s="3" t="s">
        <v>226</v>
      </c>
      <c r="C44" s="3" t="s">
        <v>247</v>
      </c>
      <c r="D44" s="30" t="s">
        <v>249</v>
      </c>
      <c r="E44" s="29" t="s">
        <v>250</v>
      </c>
      <c r="F44" s="9">
        <v>1195</v>
      </c>
      <c r="G44" s="9">
        <v>596</v>
      </c>
      <c r="H44" s="4">
        <v>1186</v>
      </c>
      <c r="I44" s="4">
        <v>928</v>
      </c>
      <c r="J44" s="20">
        <v>1203</v>
      </c>
      <c r="K44" s="20">
        <v>828</v>
      </c>
      <c r="L44" s="10">
        <v>4000</v>
      </c>
      <c r="M44" s="10">
        <v>0</v>
      </c>
      <c r="N44" s="6" t="s">
        <v>390</v>
      </c>
      <c r="O44" s="4" t="s">
        <v>314</v>
      </c>
      <c r="P44" s="3"/>
    </row>
    <row r="45" spans="1:16" s="21" customFormat="1" ht="20.100000000000001" hidden="1" customHeight="1" x14ac:dyDescent="0.35">
      <c r="A45" s="19"/>
      <c r="B45" s="3" t="s">
        <v>226</v>
      </c>
      <c r="C45" s="3" t="s">
        <v>253</v>
      </c>
      <c r="D45" s="30" t="s">
        <v>251</v>
      </c>
      <c r="E45" s="29" t="s">
        <v>252</v>
      </c>
      <c r="F45" s="9">
        <v>6</v>
      </c>
      <c r="G45" s="9">
        <v>6</v>
      </c>
      <c r="H45" s="4">
        <v>2614</v>
      </c>
      <c r="I45" s="4">
        <v>2302</v>
      </c>
      <c r="J45" s="4">
        <v>1571</v>
      </c>
      <c r="K45" s="20">
        <v>904</v>
      </c>
      <c r="L45" s="10">
        <v>1000</v>
      </c>
      <c r="M45" s="10">
        <v>0</v>
      </c>
      <c r="N45" s="6" t="s">
        <v>390</v>
      </c>
      <c r="O45" s="4" t="s">
        <v>314</v>
      </c>
      <c r="P45" s="3"/>
    </row>
    <row r="46" spans="1:16" s="21" customFormat="1" ht="20.100000000000001" hidden="1" customHeight="1" x14ac:dyDescent="0.35">
      <c r="A46" s="19"/>
      <c r="B46" s="3" t="s">
        <v>226</v>
      </c>
      <c r="C46" s="3" t="s">
        <v>254</v>
      </c>
      <c r="D46" s="30" t="s">
        <v>255</v>
      </c>
      <c r="E46" s="29" t="s">
        <v>256</v>
      </c>
      <c r="F46" s="9">
        <v>6</v>
      </c>
      <c r="G46" s="9">
        <v>6</v>
      </c>
      <c r="H46" s="4">
        <v>2598</v>
      </c>
      <c r="I46" s="4">
        <v>2272</v>
      </c>
      <c r="J46" s="20">
        <v>1394</v>
      </c>
      <c r="K46" s="20">
        <v>764</v>
      </c>
      <c r="L46" s="10">
        <v>300</v>
      </c>
      <c r="M46" s="10">
        <v>0</v>
      </c>
      <c r="N46" s="6" t="s">
        <v>390</v>
      </c>
      <c r="O46" s="4" t="s">
        <v>314</v>
      </c>
      <c r="P46" s="3"/>
    </row>
    <row r="47" spans="1:16" s="21" customFormat="1" ht="20.100000000000001" hidden="1" customHeight="1" x14ac:dyDescent="0.35">
      <c r="A47" s="19"/>
      <c r="B47" s="3" t="s">
        <v>226</v>
      </c>
      <c r="C47" s="3" t="s">
        <v>259</v>
      </c>
      <c r="D47" s="30" t="s">
        <v>257</v>
      </c>
      <c r="E47" s="29" t="s">
        <v>258</v>
      </c>
      <c r="F47" s="9">
        <v>1559</v>
      </c>
      <c r="G47" s="9">
        <v>1061</v>
      </c>
      <c r="H47" s="4">
        <v>2198</v>
      </c>
      <c r="I47" s="4">
        <v>1840</v>
      </c>
      <c r="J47" s="20">
        <v>2031</v>
      </c>
      <c r="K47" s="20">
        <v>1108</v>
      </c>
      <c r="L47" s="10">
        <v>100</v>
      </c>
      <c r="M47" s="10">
        <v>0</v>
      </c>
      <c r="N47" s="6" t="s">
        <v>390</v>
      </c>
      <c r="O47" s="4" t="s">
        <v>314</v>
      </c>
      <c r="P47" s="3"/>
    </row>
    <row r="48" spans="1:16" s="21" customFormat="1" ht="20.100000000000001" hidden="1" customHeight="1" x14ac:dyDescent="0.35">
      <c r="A48" s="19"/>
      <c r="B48" s="3" t="s">
        <v>226</v>
      </c>
      <c r="C48" s="3" t="s">
        <v>260</v>
      </c>
      <c r="D48" s="30" t="s">
        <v>257</v>
      </c>
      <c r="E48" s="29" t="s">
        <v>258</v>
      </c>
      <c r="F48" s="9">
        <v>1559</v>
      </c>
      <c r="G48" s="9">
        <v>1061</v>
      </c>
      <c r="H48" s="4">
        <v>780</v>
      </c>
      <c r="I48" s="4">
        <v>500</v>
      </c>
      <c r="J48" s="20">
        <v>478</v>
      </c>
      <c r="K48" s="20">
        <v>380</v>
      </c>
      <c r="L48" s="10">
        <v>100</v>
      </c>
      <c r="M48" s="10">
        <v>0</v>
      </c>
      <c r="N48" s="6" t="s">
        <v>390</v>
      </c>
      <c r="O48" s="4" t="s">
        <v>314</v>
      </c>
      <c r="P48" s="3" t="s">
        <v>261</v>
      </c>
    </row>
    <row r="49" spans="1:16" s="21" customFormat="1" ht="20.100000000000001" hidden="1" customHeight="1" x14ac:dyDescent="0.35">
      <c r="A49" s="19"/>
      <c r="B49" s="3" t="s">
        <v>262</v>
      </c>
      <c r="C49" s="3" t="s">
        <v>283</v>
      </c>
      <c r="D49" s="24" t="s">
        <v>263</v>
      </c>
      <c r="E49" s="24" t="s">
        <v>264</v>
      </c>
      <c r="F49" s="4">
        <v>0</v>
      </c>
      <c r="G49" s="4">
        <v>0</v>
      </c>
      <c r="H49" s="4"/>
      <c r="I49" s="4">
        <v>0</v>
      </c>
      <c r="J49" s="20">
        <v>0</v>
      </c>
      <c r="K49" s="20">
        <v>0</v>
      </c>
      <c r="L49" s="10">
        <v>119500</v>
      </c>
      <c r="M49" s="10">
        <v>0</v>
      </c>
      <c r="N49" s="6" t="s">
        <v>390</v>
      </c>
      <c r="O49" s="4" t="s">
        <v>314</v>
      </c>
      <c r="P49" s="3"/>
    </row>
    <row r="50" spans="1:16" s="21" customFormat="1" ht="19.2" hidden="1" x14ac:dyDescent="0.35">
      <c r="A50" s="19"/>
      <c r="B50" s="3" t="s">
        <v>262</v>
      </c>
      <c r="C50" s="3" t="s">
        <v>280</v>
      </c>
      <c r="D50" s="24" t="s">
        <v>265</v>
      </c>
      <c r="E50" s="25" t="s">
        <v>266</v>
      </c>
      <c r="F50" s="9">
        <v>3207</v>
      </c>
      <c r="G50" s="9">
        <v>1772</v>
      </c>
      <c r="H50" s="4">
        <v>44362</v>
      </c>
      <c r="I50" s="4">
        <v>8366</v>
      </c>
      <c r="J50" s="20">
        <f>1992-1044</f>
        <v>948</v>
      </c>
      <c r="K50" s="20">
        <v>744</v>
      </c>
      <c r="L50" s="10">
        <v>20500</v>
      </c>
      <c r="M50" s="10">
        <v>0</v>
      </c>
      <c r="N50" s="6" t="s">
        <v>390</v>
      </c>
      <c r="O50" s="4" t="s">
        <v>314</v>
      </c>
      <c r="P50" s="3"/>
    </row>
    <row r="51" spans="1:16" s="21" customFormat="1" ht="19.2" hidden="1" x14ac:dyDescent="0.35">
      <c r="A51" s="2"/>
      <c r="B51" s="3" t="s">
        <v>262</v>
      </c>
      <c r="C51" s="3" t="s">
        <v>284</v>
      </c>
      <c r="D51" s="24" t="s">
        <v>267</v>
      </c>
      <c r="E51" s="24" t="s">
        <v>268</v>
      </c>
      <c r="F51" s="4">
        <v>0</v>
      </c>
      <c r="G51" s="4">
        <v>0</v>
      </c>
      <c r="H51" s="4">
        <v>19536</v>
      </c>
      <c r="I51" s="4">
        <v>3648</v>
      </c>
      <c r="J51" s="4">
        <v>1044</v>
      </c>
      <c r="K51" s="4">
        <v>576</v>
      </c>
      <c r="L51" s="10">
        <v>6000</v>
      </c>
      <c r="M51" s="10">
        <v>0</v>
      </c>
      <c r="N51" s="6" t="s">
        <v>390</v>
      </c>
      <c r="O51" s="4" t="s">
        <v>314</v>
      </c>
      <c r="P51" s="17"/>
    </row>
    <row r="52" spans="1:16" ht="19.2" hidden="1" x14ac:dyDescent="0.35">
      <c r="A52" s="2"/>
      <c r="B52" s="3" t="s">
        <v>262</v>
      </c>
      <c r="C52" s="3" t="s">
        <v>285</v>
      </c>
      <c r="D52" s="24" t="s">
        <v>269</v>
      </c>
      <c r="E52" s="25" t="s">
        <v>270</v>
      </c>
      <c r="F52" s="4">
        <v>30</v>
      </c>
      <c r="G52" s="4">
        <v>30</v>
      </c>
      <c r="H52" s="4"/>
      <c r="I52" s="4"/>
      <c r="J52" s="4">
        <v>0</v>
      </c>
      <c r="K52" s="4"/>
      <c r="L52" s="10">
        <v>200</v>
      </c>
      <c r="M52" s="10">
        <v>0</v>
      </c>
      <c r="N52" s="6" t="s">
        <v>390</v>
      </c>
      <c r="O52" s="4" t="s">
        <v>314</v>
      </c>
      <c r="P52" s="17"/>
    </row>
    <row r="53" spans="1:16" ht="19.2" hidden="1" x14ac:dyDescent="0.35">
      <c r="A53" s="2"/>
      <c r="B53" s="3" t="s">
        <v>262</v>
      </c>
      <c r="C53" s="3" t="s">
        <v>279</v>
      </c>
      <c r="D53" s="24" t="s">
        <v>271</v>
      </c>
      <c r="E53" s="25" t="s">
        <v>272</v>
      </c>
      <c r="F53" s="4">
        <v>784</v>
      </c>
      <c r="G53" s="4">
        <v>520</v>
      </c>
      <c r="H53" s="4">
        <v>2272</v>
      </c>
      <c r="I53" s="4">
        <v>1076</v>
      </c>
      <c r="J53" s="4">
        <v>4226</v>
      </c>
      <c r="K53" s="4">
        <v>4186</v>
      </c>
      <c r="L53" s="10">
        <v>600</v>
      </c>
      <c r="M53" s="10">
        <v>0</v>
      </c>
      <c r="N53" s="6" t="s">
        <v>390</v>
      </c>
      <c r="O53" s="4" t="s">
        <v>314</v>
      </c>
      <c r="P53" s="17"/>
    </row>
    <row r="54" spans="1:16" ht="19.2" hidden="1" x14ac:dyDescent="0.35">
      <c r="A54" s="2"/>
      <c r="B54" s="3" t="s">
        <v>262</v>
      </c>
      <c r="C54" s="3" t="s">
        <v>286</v>
      </c>
      <c r="D54" s="24" t="s">
        <v>273</v>
      </c>
      <c r="E54" s="25" t="s">
        <v>274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10">
        <v>600</v>
      </c>
      <c r="M54" s="10">
        <v>0</v>
      </c>
      <c r="N54" s="6" t="s">
        <v>390</v>
      </c>
      <c r="O54" s="4" t="s">
        <v>314</v>
      </c>
      <c r="P54" s="17"/>
    </row>
    <row r="55" spans="1:16" ht="19.2" hidden="1" x14ac:dyDescent="0.35">
      <c r="A55" s="2"/>
      <c r="B55" s="3" t="s">
        <v>262</v>
      </c>
      <c r="C55" s="28" t="s">
        <v>282</v>
      </c>
      <c r="D55" s="27" t="s">
        <v>277</v>
      </c>
      <c r="E55" s="27" t="s">
        <v>278</v>
      </c>
      <c r="F55" s="4">
        <v>5576</v>
      </c>
      <c r="G55" s="4">
        <v>2534</v>
      </c>
      <c r="H55" s="4">
        <v>7382</v>
      </c>
      <c r="I55" s="4">
        <v>2135</v>
      </c>
      <c r="J55" s="4">
        <v>7602</v>
      </c>
      <c r="K55" s="4">
        <v>3544</v>
      </c>
      <c r="L55" s="10">
        <v>145000</v>
      </c>
      <c r="M55" s="10">
        <v>0</v>
      </c>
      <c r="N55" s="6" t="s">
        <v>390</v>
      </c>
      <c r="O55" s="4" t="s">
        <v>314</v>
      </c>
      <c r="P55" s="17"/>
    </row>
    <row r="56" spans="1:16" ht="19.2" hidden="1" x14ac:dyDescent="0.35">
      <c r="A56" s="2"/>
      <c r="B56" s="3" t="s">
        <v>262</v>
      </c>
      <c r="C56" s="28" t="s">
        <v>282</v>
      </c>
      <c r="D56" s="27" t="s">
        <v>196</v>
      </c>
      <c r="E56" s="27" t="s">
        <v>197</v>
      </c>
      <c r="F56" s="4">
        <v>5576</v>
      </c>
      <c r="G56" s="4">
        <v>2534</v>
      </c>
      <c r="H56" s="4">
        <v>7382</v>
      </c>
      <c r="I56" s="4">
        <v>2135</v>
      </c>
      <c r="J56" s="4">
        <v>7602</v>
      </c>
      <c r="K56" s="4">
        <v>3544</v>
      </c>
      <c r="L56" s="10">
        <v>190000</v>
      </c>
      <c r="M56" s="10">
        <v>0</v>
      </c>
      <c r="N56" s="6" t="s">
        <v>389</v>
      </c>
      <c r="O56" s="4" t="s">
        <v>318</v>
      </c>
      <c r="P56" s="17"/>
    </row>
    <row r="57" spans="1:16" ht="19.2" hidden="1" x14ac:dyDescent="0.35">
      <c r="A57" s="2"/>
      <c r="B57" s="3" t="s">
        <v>262</v>
      </c>
      <c r="C57" s="28" t="s">
        <v>282</v>
      </c>
      <c r="D57" s="27" t="s">
        <v>198</v>
      </c>
      <c r="E57" s="27" t="s">
        <v>199</v>
      </c>
      <c r="F57" s="4">
        <v>5576</v>
      </c>
      <c r="G57" s="4">
        <v>2534</v>
      </c>
      <c r="H57" s="4">
        <v>7382</v>
      </c>
      <c r="I57" s="4">
        <v>2135</v>
      </c>
      <c r="J57" s="4">
        <v>7602</v>
      </c>
      <c r="K57" s="4">
        <v>3544</v>
      </c>
      <c r="L57" s="10">
        <v>85000</v>
      </c>
      <c r="M57" s="10">
        <v>0</v>
      </c>
      <c r="N57" s="6" t="s">
        <v>390</v>
      </c>
      <c r="O57" s="4" t="s">
        <v>314</v>
      </c>
      <c r="P57" s="17" t="s">
        <v>398</v>
      </c>
    </row>
    <row r="58" spans="1:16" ht="19.2" hidden="1" x14ac:dyDescent="0.35">
      <c r="A58" s="2"/>
      <c r="B58" s="3" t="s">
        <v>262</v>
      </c>
      <c r="C58" s="28" t="s">
        <v>282</v>
      </c>
      <c r="D58" s="27" t="s">
        <v>200</v>
      </c>
      <c r="E58" s="27" t="s">
        <v>189</v>
      </c>
      <c r="F58" s="4">
        <v>5576</v>
      </c>
      <c r="G58" s="4">
        <v>2534</v>
      </c>
      <c r="H58" s="4">
        <v>7382</v>
      </c>
      <c r="I58" s="4">
        <v>2135</v>
      </c>
      <c r="J58" s="4">
        <v>7602</v>
      </c>
      <c r="K58" s="4">
        <v>3544</v>
      </c>
      <c r="L58" s="10">
        <v>80000</v>
      </c>
      <c r="M58" s="10">
        <v>0</v>
      </c>
      <c r="N58" s="6" t="s">
        <v>390</v>
      </c>
      <c r="O58" s="4" t="s">
        <v>314</v>
      </c>
      <c r="P58" s="17"/>
    </row>
    <row r="59" spans="1:16" ht="19.2" hidden="1" x14ac:dyDescent="0.35">
      <c r="A59" s="2"/>
      <c r="B59" s="3" t="s">
        <v>262</v>
      </c>
      <c r="C59" s="28" t="s">
        <v>282</v>
      </c>
      <c r="D59" s="27" t="s">
        <v>190</v>
      </c>
      <c r="E59" s="27" t="s">
        <v>191</v>
      </c>
      <c r="F59" s="4">
        <v>5576</v>
      </c>
      <c r="G59" s="4">
        <v>2534</v>
      </c>
      <c r="H59" s="4">
        <v>7382</v>
      </c>
      <c r="I59" s="4">
        <v>2135</v>
      </c>
      <c r="J59" s="4">
        <v>7602</v>
      </c>
      <c r="K59" s="4">
        <v>3544</v>
      </c>
      <c r="L59" s="10">
        <v>65000</v>
      </c>
      <c r="M59" s="10">
        <v>0</v>
      </c>
      <c r="N59" s="6" t="s">
        <v>505</v>
      </c>
      <c r="O59" s="4" t="s">
        <v>319</v>
      </c>
      <c r="P59" s="17"/>
    </row>
    <row r="60" spans="1:16" ht="19.2" hidden="1" x14ac:dyDescent="0.35">
      <c r="A60" s="2"/>
      <c r="B60" s="3" t="s">
        <v>262</v>
      </c>
      <c r="C60" s="28" t="s">
        <v>282</v>
      </c>
      <c r="D60" s="27" t="s">
        <v>201</v>
      </c>
      <c r="E60" s="27" t="s">
        <v>193</v>
      </c>
      <c r="F60" s="4">
        <v>5576</v>
      </c>
      <c r="G60" s="4">
        <v>2534</v>
      </c>
      <c r="H60" s="4">
        <v>7382</v>
      </c>
      <c r="I60" s="4">
        <v>2135</v>
      </c>
      <c r="J60" s="4">
        <v>7602</v>
      </c>
      <c r="K60" s="4">
        <v>3544</v>
      </c>
      <c r="L60" s="10">
        <v>69000</v>
      </c>
      <c r="M60" s="10">
        <v>0</v>
      </c>
      <c r="N60" s="6" t="s">
        <v>505</v>
      </c>
      <c r="O60" s="4" t="s">
        <v>319</v>
      </c>
      <c r="P60" s="17"/>
    </row>
    <row r="61" spans="1:16" ht="19.2" hidden="1" x14ac:dyDescent="0.35">
      <c r="A61" s="2"/>
      <c r="B61" s="3" t="s">
        <v>262</v>
      </c>
      <c r="C61" s="3" t="s">
        <v>287</v>
      </c>
      <c r="D61" s="27" t="s">
        <v>275</v>
      </c>
      <c r="E61" s="27" t="s">
        <v>276</v>
      </c>
      <c r="F61" s="4">
        <v>13801</v>
      </c>
      <c r="G61" s="4">
        <v>5067</v>
      </c>
      <c r="H61" s="4">
        <v>12960</v>
      </c>
      <c r="I61" s="4">
        <v>2614</v>
      </c>
      <c r="J61" s="4">
        <v>2942</v>
      </c>
      <c r="K61" s="4">
        <v>1644</v>
      </c>
      <c r="L61" s="10">
        <v>199000</v>
      </c>
      <c r="M61" s="10">
        <v>0</v>
      </c>
      <c r="N61" s="6" t="s">
        <v>390</v>
      </c>
      <c r="O61" s="4" t="s">
        <v>320</v>
      </c>
      <c r="P61" s="17"/>
    </row>
    <row r="62" spans="1:16" ht="19.2" hidden="1" x14ac:dyDescent="0.35">
      <c r="A62" s="2"/>
      <c r="B62" s="3" t="s">
        <v>262</v>
      </c>
      <c r="C62" s="3" t="s">
        <v>281</v>
      </c>
      <c r="D62" s="27" t="s">
        <v>176</v>
      </c>
      <c r="E62" s="27" t="s">
        <v>177</v>
      </c>
      <c r="F62" s="4">
        <v>13801</v>
      </c>
      <c r="G62" s="4">
        <v>5067</v>
      </c>
      <c r="H62" s="4">
        <v>12960</v>
      </c>
      <c r="I62" s="4">
        <v>2614</v>
      </c>
      <c r="J62" s="4">
        <v>2942</v>
      </c>
      <c r="K62" s="4">
        <v>1644</v>
      </c>
      <c r="L62" s="10">
        <v>190000</v>
      </c>
      <c r="M62" s="10">
        <v>0</v>
      </c>
      <c r="N62" s="6" t="s">
        <v>389</v>
      </c>
      <c r="O62" s="4" t="s">
        <v>321</v>
      </c>
      <c r="P62" s="17"/>
    </row>
    <row r="63" spans="1:16" ht="19.2" x14ac:dyDescent="0.35">
      <c r="A63" s="2"/>
      <c r="B63" s="3" t="s">
        <v>262</v>
      </c>
      <c r="C63" s="3" t="s">
        <v>281</v>
      </c>
      <c r="D63" s="27" t="s">
        <v>214</v>
      </c>
      <c r="E63" s="27" t="s">
        <v>215</v>
      </c>
      <c r="F63" s="4">
        <v>13801</v>
      </c>
      <c r="G63" s="4">
        <v>5067</v>
      </c>
      <c r="H63" s="4">
        <v>12960</v>
      </c>
      <c r="I63" s="4">
        <v>2614</v>
      </c>
      <c r="J63" s="4">
        <v>2942</v>
      </c>
      <c r="K63" s="4">
        <v>1644</v>
      </c>
      <c r="L63" s="10">
        <v>0</v>
      </c>
      <c r="M63" s="10">
        <v>0</v>
      </c>
      <c r="N63" s="6" t="s">
        <v>390</v>
      </c>
      <c r="O63" s="4" t="s">
        <v>322</v>
      </c>
      <c r="P63" s="17"/>
    </row>
    <row r="64" spans="1:16" ht="19.2" hidden="1" x14ac:dyDescent="0.35">
      <c r="A64" s="2"/>
      <c r="B64" s="3" t="s">
        <v>262</v>
      </c>
      <c r="C64" s="3" t="s">
        <v>281</v>
      </c>
      <c r="D64" s="25" t="s">
        <v>178</v>
      </c>
      <c r="E64" s="25" t="s">
        <v>179</v>
      </c>
      <c r="F64" s="4">
        <v>13801</v>
      </c>
      <c r="G64" s="4">
        <v>5067</v>
      </c>
      <c r="H64" s="4">
        <v>12960</v>
      </c>
      <c r="I64" s="4">
        <v>2614</v>
      </c>
      <c r="J64" s="4">
        <v>2942</v>
      </c>
      <c r="K64" s="4">
        <v>1644</v>
      </c>
      <c r="L64" s="10">
        <v>80000</v>
      </c>
      <c r="M64" s="10">
        <v>0</v>
      </c>
      <c r="N64" s="6" t="s">
        <v>390</v>
      </c>
      <c r="O64" s="4" t="s">
        <v>323</v>
      </c>
      <c r="P64" s="17"/>
    </row>
    <row r="65" spans="1:25" ht="19.2" hidden="1" x14ac:dyDescent="0.35">
      <c r="A65" s="2"/>
      <c r="B65" s="3" t="s">
        <v>262</v>
      </c>
      <c r="C65" s="3" t="s">
        <v>281</v>
      </c>
      <c r="D65" s="25" t="s">
        <v>180</v>
      </c>
      <c r="E65" s="25" t="s">
        <v>181</v>
      </c>
      <c r="F65" s="4">
        <v>13801</v>
      </c>
      <c r="G65" s="4">
        <v>5067</v>
      </c>
      <c r="H65" s="4">
        <v>12960</v>
      </c>
      <c r="I65" s="4">
        <v>2614</v>
      </c>
      <c r="J65" s="4">
        <v>2942</v>
      </c>
      <c r="K65" s="4">
        <v>1644</v>
      </c>
      <c r="L65" s="10">
        <v>65000</v>
      </c>
      <c r="M65" s="10">
        <v>0</v>
      </c>
      <c r="N65" s="6" t="s">
        <v>505</v>
      </c>
      <c r="O65" s="4" t="s">
        <v>321</v>
      </c>
      <c r="P65" s="17"/>
    </row>
    <row r="66" spans="1:25" ht="19.2" hidden="1" x14ac:dyDescent="0.35">
      <c r="A66" s="2"/>
      <c r="B66" s="3" t="s">
        <v>262</v>
      </c>
      <c r="C66" s="3" t="s">
        <v>281</v>
      </c>
      <c r="D66" s="25" t="s">
        <v>182</v>
      </c>
      <c r="E66" s="25" t="s">
        <v>183</v>
      </c>
      <c r="F66" s="4">
        <v>13801</v>
      </c>
      <c r="G66" s="4">
        <v>5067</v>
      </c>
      <c r="H66" s="4">
        <v>12960</v>
      </c>
      <c r="I66" s="4">
        <v>2614</v>
      </c>
      <c r="J66" s="4">
        <v>2942</v>
      </c>
      <c r="K66" s="4">
        <v>1644</v>
      </c>
      <c r="L66" s="10">
        <v>69000</v>
      </c>
      <c r="M66" s="10">
        <v>0</v>
      </c>
      <c r="N66" s="6" t="s">
        <v>505</v>
      </c>
      <c r="O66" s="4" t="s">
        <v>321</v>
      </c>
      <c r="P66" s="17"/>
    </row>
    <row r="67" spans="1:25" ht="19.2" hidden="1" x14ac:dyDescent="0.35">
      <c r="A67" s="2"/>
      <c r="B67" s="3" t="s">
        <v>262</v>
      </c>
      <c r="C67" s="3" t="s">
        <v>281</v>
      </c>
      <c r="D67" s="27" t="s">
        <v>275</v>
      </c>
      <c r="E67" s="27" t="s">
        <v>276</v>
      </c>
      <c r="F67" s="4">
        <v>13801</v>
      </c>
      <c r="G67" s="4">
        <v>5067</v>
      </c>
      <c r="H67" s="4">
        <v>12960</v>
      </c>
      <c r="I67" s="4">
        <v>2614</v>
      </c>
      <c r="J67" s="4">
        <v>2942</v>
      </c>
      <c r="K67" s="4">
        <v>1644</v>
      </c>
      <c r="L67" s="10">
        <v>199000</v>
      </c>
      <c r="M67" s="10">
        <v>0</v>
      </c>
      <c r="N67" s="6" t="s">
        <v>390</v>
      </c>
      <c r="O67" s="4" t="s">
        <v>324</v>
      </c>
      <c r="P67" s="17"/>
    </row>
    <row r="68" spans="1:25" ht="19.2" hidden="1" x14ac:dyDescent="0.35">
      <c r="A68" s="2"/>
      <c r="B68" s="3" t="s">
        <v>4</v>
      </c>
      <c r="C68" s="3" t="s">
        <v>289</v>
      </c>
      <c r="D68" s="32" t="s">
        <v>288</v>
      </c>
      <c r="E68" s="33" t="s">
        <v>297</v>
      </c>
      <c r="F68" s="4">
        <v>516</v>
      </c>
      <c r="G68" s="4">
        <v>516</v>
      </c>
      <c r="H68" s="4">
        <v>428</v>
      </c>
      <c r="I68" s="4">
        <v>428</v>
      </c>
      <c r="J68" s="4">
        <v>174</v>
      </c>
      <c r="K68" s="4">
        <v>174</v>
      </c>
      <c r="L68" s="10">
        <v>50</v>
      </c>
      <c r="M68" s="10">
        <v>0</v>
      </c>
      <c r="N68" s="6" t="s">
        <v>392</v>
      </c>
      <c r="O68" s="4" t="s">
        <v>312</v>
      </c>
      <c r="P68" s="17" t="s">
        <v>313</v>
      </c>
    </row>
    <row r="69" spans="1:25" ht="19.2" hidden="1" x14ac:dyDescent="0.35">
      <c r="A69" s="2"/>
      <c r="B69" s="3"/>
      <c r="C69" s="3" t="s">
        <v>305</v>
      </c>
      <c r="D69" s="32" t="s">
        <v>298</v>
      </c>
      <c r="E69" s="33" t="s">
        <v>301</v>
      </c>
      <c r="F69" s="4">
        <v>509300</v>
      </c>
      <c r="G69" s="9">
        <v>121256</v>
      </c>
      <c r="H69" s="4">
        <v>149148</v>
      </c>
      <c r="I69" s="4">
        <v>29388</v>
      </c>
      <c r="J69" s="4">
        <v>126732</v>
      </c>
      <c r="K69" s="4">
        <v>28280</v>
      </c>
      <c r="L69" s="10">
        <v>61500</v>
      </c>
      <c r="M69" s="10">
        <v>0</v>
      </c>
      <c r="N69" s="6" t="s">
        <v>388</v>
      </c>
      <c r="O69" s="4" t="s">
        <v>317</v>
      </c>
      <c r="P69" s="17"/>
    </row>
    <row r="70" spans="1:25" ht="19.2" hidden="1" x14ac:dyDescent="0.35">
      <c r="A70" s="2"/>
      <c r="B70" s="3"/>
      <c r="C70" s="3" t="s">
        <v>306</v>
      </c>
      <c r="D70" s="32" t="s">
        <v>299</v>
      </c>
      <c r="E70" s="33" t="s">
        <v>302</v>
      </c>
      <c r="F70" s="4">
        <v>74117</v>
      </c>
      <c r="G70" s="9">
        <v>24970</v>
      </c>
      <c r="H70" s="4">
        <v>75916</v>
      </c>
      <c r="I70" s="4">
        <v>7476</v>
      </c>
      <c r="J70" s="4">
        <v>56924</v>
      </c>
      <c r="K70" s="4">
        <v>6884</v>
      </c>
      <c r="L70" s="10">
        <v>133000</v>
      </c>
      <c r="M70" s="10">
        <v>0</v>
      </c>
      <c r="N70" s="6" t="s">
        <v>388</v>
      </c>
      <c r="O70" s="4" t="s">
        <v>317</v>
      </c>
      <c r="P70" s="17"/>
    </row>
    <row r="71" spans="1:25" ht="19.2" hidden="1" x14ac:dyDescent="0.35">
      <c r="A71" s="2"/>
      <c r="B71" s="3"/>
      <c r="C71" s="3" t="s">
        <v>307</v>
      </c>
      <c r="D71" s="32" t="s">
        <v>300</v>
      </c>
      <c r="E71" s="33" t="s">
        <v>303</v>
      </c>
      <c r="F71" s="4">
        <v>293475</v>
      </c>
      <c r="G71" s="9">
        <v>61974</v>
      </c>
      <c r="H71" s="4">
        <v>242976</v>
      </c>
      <c r="I71" s="9">
        <v>40074</v>
      </c>
      <c r="J71" s="4">
        <v>208039</v>
      </c>
      <c r="K71" s="10">
        <v>30540</v>
      </c>
      <c r="L71" s="10">
        <v>62500</v>
      </c>
      <c r="M71" s="10">
        <v>0</v>
      </c>
      <c r="N71" s="6" t="s">
        <v>388</v>
      </c>
      <c r="O71" s="4" t="s">
        <v>317</v>
      </c>
      <c r="P71" s="17"/>
    </row>
    <row r="72" spans="1:25" ht="19.2" hidden="1" x14ac:dyDescent="0.35">
      <c r="B72" s="3" t="s">
        <v>262</v>
      </c>
      <c r="F72"/>
      <c r="G72"/>
      <c r="H72" s="34"/>
      <c r="I72"/>
      <c r="J72" s="34"/>
      <c r="K72"/>
      <c r="L72"/>
      <c r="M72"/>
    </row>
    <row r="73" spans="1:25" ht="19.2" x14ac:dyDescent="0.35">
      <c r="B73" s="3"/>
      <c r="J73" s="35"/>
    </row>
    <row r="74" spans="1:25" ht="19.2" x14ac:dyDescent="0.35">
      <c r="B74" s="3"/>
      <c r="N74" s="1"/>
      <c r="O74" s="1"/>
      <c r="P74" s="1"/>
      <c r="Y74" s="36"/>
    </row>
    <row r="75" spans="1:25" ht="19.2" x14ac:dyDescent="0.35">
      <c r="B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36"/>
    </row>
    <row r="76" spans="1:25" x14ac:dyDescent="0.35">
      <c r="N76" s="1"/>
      <c r="O76" s="1"/>
      <c r="P76" s="1"/>
      <c r="Q76" s="1"/>
      <c r="R76" s="1"/>
      <c r="S76" s="1"/>
      <c r="Y76" s="36"/>
    </row>
    <row r="79" spans="1:25" x14ac:dyDescent="0.35">
      <c r="B79" t="s">
        <v>137</v>
      </c>
      <c r="C79" t="s">
        <v>155</v>
      </c>
    </row>
    <row r="80" spans="1:25" x14ac:dyDescent="0.35">
      <c r="B80" t="s">
        <v>137</v>
      </c>
      <c r="C80" t="s">
        <v>156</v>
      </c>
    </row>
    <row r="81" spans="2:3" x14ac:dyDescent="0.35">
      <c r="B81" t="s">
        <v>137</v>
      </c>
      <c r="C81" t="s">
        <v>157</v>
      </c>
    </row>
    <row r="82" spans="2:3" x14ac:dyDescent="0.35">
      <c r="B82" t="s">
        <v>139</v>
      </c>
      <c r="C82" t="s">
        <v>158</v>
      </c>
    </row>
    <row r="83" spans="2:3" x14ac:dyDescent="0.35">
      <c r="B83" t="s">
        <v>139</v>
      </c>
      <c r="C83" t="s">
        <v>159</v>
      </c>
    </row>
    <row r="84" spans="2:3" x14ac:dyDescent="0.35">
      <c r="B84" t="s">
        <v>140</v>
      </c>
      <c r="C84" t="s">
        <v>160</v>
      </c>
    </row>
    <row r="85" spans="2:3" x14ac:dyDescent="0.35">
      <c r="B85" t="s">
        <v>140</v>
      </c>
      <c r="C85" t="s">
        <v>138</v>
      </c>
    </row>
    <row r="86" spans="2:3" x14ac:dyDescent="0.35">
      <c r="B86" t="s">
        <v>140</v>
      </c>
      <c r="C86" t="s">
        <v>161</v>
      </c>
    </row>
    <row r="87" spans="2:3" x14ac:dyDescent="0.35">
      <c r="B87" t="s">
        <v>140</v>
      </c>
      <c r="C87" t="s">
        <v>162</v>
      </c>
    </row>
  </sheetData>
  <autoFilter ref="A3:P72" xr:uid="{00000000-0009-0000-0000-000002000000}">
    <filterColumn colId="3">
      <filters>
        <filter val="P15-FJ-4011"/>
      </filters>
    </filterColumn>
  </autoFilter>
  <mergeCells count="2">
    <mergeCell ref="D1:P1"/>
    <mergeCell ref="P2:P3"/>
  </mergeCells>
  <phoneticPr fontId="4" type="noConversion"/>
  <printOptions horizontalCentered="1" verticalCentered="1"/>
  <pageMargins left="0" right="0" top="0" bottom="0" header="0" footer="0"/>
  <pageSetup paperSize="9" scale="41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48"/>
  <sheetViews>
    <sheetView tabSelected="1" view="pageBreakPreview" zoomScale="70" zoomScaleNormal="100" zoomScaleSheetLayoutView="70" workbookViewId="0">
      <pane ySplit="2" topLeftCell="A21" activePane="bottomLeft" state="frozen"/>
      <selection activeCell="C32" sqref="C32"/>
      <selection pane="bottomLeft" activeCell="E50" sqref="E50"/>
    </sheetView>
  </sheetViews>
  <sheetFormatPr defaultColWidth="9.109375" defaultRowHeight="15.6" x14ac:dyDescent="0.35"/>
  <cols>
    <col min="1" max="1" width="21.6640625" style="42" bestFit="1" customWidth="1"/>
    <col min="2" max="2" width="81.5546875" style="42" bestFit="1" customWidth="1"/>
    <col min="3" max="3" width="16" style="42" bestFit="1" customWidth="1"/>
    <col min="4" max="4" width="15.33203125" style="42" bestFit="1" customWidth="1"/>
    <col min="5" max="5" width="15.5546875" style="42" bestFit="1" customWidth="1"/>
    <col min="6" max="6" width="20.44140625" style="42" bestFit="1" customWidth="1"/>
    <col min="7" max="12" width="24.88671875" style="43" bestFit="1" customWidth="1"/>
    <col min="13" max="13" width="10.5546875" style="42" bestFit="1" customWidth="1"/>
    <col min="14" max="16384" width="9.109375" style="42"/>
  </cols>
  <sheetData>
    <row r="1" spans="1:14" ht="37.799999999999997" x14ac:dyDescent="0.35">
      <c r="A1" s="56" t="s">
        <v>496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4" ht="19.2" x14ac:dyDescent="0.35">
      <c r="A2" s="48" t="s">
        <v>393</v>
      </c>
      <c r="B2" s="48" t="s">
        <v>394</v>
      </c>
      <c r="C2" s="48" t="s">
        <v>395</v>
      </c>
      <c r="D2" s="48" t="s">
        <v>396</v>
      </c>
      <c r="E2" s="48" t="s">
        <v>399</v>
      </c>
      <c r="F2" s="48" t="s">
        <v>495</v>
      </c>
      <c r="G2" s="44" t="s">
        <v>497</v>
      </c>
      <c r="H2" s="44" t="s">
        <v>498</v>
      </c>
      <c r="I2" s="44" t="s">
        <v>499</v>
      </c>
      <c r="J2" s="44" t="s">
        <v>500</v>
      </c>
      <c r="K2" s="44" t="s">
        <v>501</v>
      </c>
      <c r="L2" s="44" t="s">
        <v>494</v>
      </c>
      <c r="M2" s="50" t="s">
        <v>508</v>
      </c>
      <c r="N2" s="50" t="s">
        <v>509</v>
      </c>
    </row>
    <row r="3" spans="1:14" ht="20.100000000000001" customHeight="1" x14ac:dyDescent="0.35">
      <c r="A3" s="48" t="s">
        <v>493</v>
      </c>
      <c r="B3" s="48" t="s">
        <v>492</v>
      </c>
      <c r="C3" s="48" t="s">
        <v>487</v>
      </c>
      <c r="D3" s="48" t="s">
        <v>486</v>
      </c>
      <c r="E3" s="47">
        <v>59500</v>
      </c>
      <c r="F3" s="47">
        <v>0</v>
      </c>
      <c r="G3" s="45">
        <v>293475</v>
      </c>
      <c r="H3" s="45">
        <v>61974</v>
      </c>
      <c r="I3" s="45">
        <v>242976</v>
      </c>
      <c r="J3" s="45">
        <v>40074</v>
      </c>
      <c r="K3" s="45">
        <v>208039</v>
      </c>
      <c r="L3" s="45">
        <v>30540</v>
      </c>
      <c r="M3" s="51">
        <f t="shared" ref="M3:M43" si="0">AVERAGE(G3,I3,K3,)</f>
        <v>186122.5</v>
      </c>
      <c r="N3" s="51">
        <f t="shared" ref="N3:N43" si="1">AVERAGE(H3,J3,L3,)</f>
        <v>33147</v>
      </c>
    </row>
    <row r="4" spans="1:14" ht="20.100000000000001" customHeight="1" x14ac:dyDescent="0.35">
      <c r="A4" s="48" t="s">
        <v>491</v>
      </c>
      <c r="B4" s="48" t="s">
        <v>490</v>
      </c>
      <c r="C4" s="48" t="s">
        <v>487</v>
      </c>
      <c r="D4" s="48" t="s">
        <v>486</v>
      </c>
      <c r="E4" s="47">
        <v>58000</v>
      </c>
      <c r="F4" s="47">
        <v>0</v>
      </c>
      <c r="G4" s="45">
        <v>509300</v>
      </c>
      <c r="H4" s="45">
        <v>121256</v>
      </c>
      <c r="I4" s="45">
        <v>149148</v>
      </c>
      <c r="J4" s="45">
        <v>29388</v>
      </c>
      <c r="K4" s="45">
        <v>126732</v>
      </c>
      <c r="L4" s="45">
        <v>28280</v>
      </c>
      <c r="M4" s="51">
        <f t="shared" si="0"/>
        <v>196295</v>
      </c>
      <c r="N4" s="51">
        <f t="shared" si="1"/>
        <v>44731</v>
      </c>
    </row>
    <row r="5" spans="1:14" ht="20.100000000000001" customHeight="1" x14ac:dyDescent="0.35">
      <c r="A5" s="48" t="s">
        <v>489</v>
      </c>
      <c r="B5" s="48" t="s">
        <v>488</v>
      </c>
      <c r="C5" s="48" t="s">
        <v>487</v>
      </c>
      <c r="D5" s="48" t="s">
        <v>486</v>
      </c>
      <c r="E5" s="47">
        <v>133000</v>
      </c>
      <c r="F5" s="47">
        <v>0</v>
      </c>
      <c r="G5" s="45">
        <v>74117</v>
      </c>
      <c r="H5" s="45">
        <v>24970</v>
      </c>
      <c r="I5" s="45">
        <v>75916</v>
      </c>
      <c r="J5" s="45">
        <v>7476</v>
      </c>
      <c r="K5" s="45">
        <v>56924</v>
      </c>
      <c r="L5" s="45">
        <v>6884</v>
      </c>
      <c r="M5" s="51">
        <f t="shared" si="0"/>
        <v>51739.25</v>
      </c>
      <c r="N5" s="51">
        <f t="shared" si="1"/>
        <v>9832.5</v>
      </c>
    </row>
    <row r="6" spans="1:14" ht="20.100000000000001" customHeight="1" x14ac:dyDescent="0.35">
      <c r="A6" s="48" t="s">
        <v>483</v>
      </c>
      <c r="B6" s="48" t="s">
        <v>482</v>
      </c>
      <c r="C6" s="48" t="s">
        <v>427</v>
      </c>
      <c r="D6" s="48" t="s">
        <v>419</v>
      </c>
      <c r="E6" s="47">
        <v>2200</v>
      </c>
      <c r="F6" s="47">
        <v>0</v>
      </c>
      <c r="G6" s="45">
        <v>6009</v>
      </c>
      <c r="H6" s="45">
        <v>3932</v>
      </c>
      <c r="I6" s="45">
        <v>8878</v>
      </c>
      <c r="J6" s="45">
        <v>7966</v>
      </c>
      <c r="K6" s="45">
        <v>8420</v>
      </c>
      <c r="L6" s="45">
        <v>6578</v>
      </c>
      <c r="M6" s="51">
        <f t="shared" si="0"/>
        <v>5826.75</v>
      </c>
      <c r="N6" s="51">
        <f t="shared" si="1"/>
        <v>4619</v>
      </c>
    </row>
    <row r="7" spans="1:14" ht="20.100000000000001" customHeight="1" x14ac:dyDescent="0.35">
      <c r="A7" s="48" t="s">
        <v>481</v>
      </c>
      <c r="B7" s="48" t="s">
        <v>480</v>
      </c>
      <c r="C7" s="48" t="s">
        <v>427</v>
      </c>
      <c r="D7" s="48" t="s">
        <v>419</v>
      </c>
      <c r="E7" s="47">
        <v>4200</v>
      </c>
      <c r="F7" s="47">
        <v>0</v>
      </c>
      <c r="G7" s="45">
        <v>4460</v>
      </c>
      <c r="H7" s="45">
        <v>2400</v>
      </c>
      <c r="I7" s="45">
        <v>3900</v>
      </c>
      <c r="J7" s="45">
        <v>2444</v>
      </c>
      <c r="K7" s="45">
        <v>7262</v>
      </c>
      <c r="L7" s="45">
        <v>4152</v>
      </c>
      <c r="M7" s="51">
        <f t="shared" si="0"/>
        <v>3905.5</v>
      </c>
      <c r="N7" s="51">
        <f t="shared" si="1"/>
        <v>2249</v>
      </c>
    </row>
    <row r="8" spans="1:14" ht="20.100000000000001" customHeight="1" x14ac:dyDescent="0.35">
      <c r="A8" s="48" t="s">
        <v>479</v>
      </c>
      <c r="B8" s="48" t="s">
        <v>478</v>
      </c>
      <c r="C8" s="48" t="s">
        <v>427</v>
      </c>
      <c r="D8" s="48" t="s">
        <v>419</v>
      </c>
      <c r="E8" s="47">
        <v>2400</v>
      </c>
      <c r="F8" s="47">
        <v>0</v>
      </c>
      <c r="G8" s="45">
        <v>1162</v>
      </c>
      <c r="H8" s="45">
        <v>756</v>
      </c>
      <c r="I8" s="45">
        <v>10922</v>
      </c>
      <c r="J8" s="45">
        <v>5404</v>
      </c>
      <c r="K8" s="45">
        <v>12391</v>
      </c>
      <c r="L8" s="45">
        <v>6274</v>
      </c>
      <c r="M8" s="51">
        <f t="shared" si="0"/>
        <v>6118.75</v>
      </c>
      <c r="N8" s="51">
        <f t="shared" si="1"/>
        <v>3108.5</v>
      </c>
    </row>
    <row r="9" spans="1:14" ht="20.100000000000001" customHeight="1" x14ac:dyDescent="0.35">
      <c r="A9" s="48" t="s">
        <v>477</v>
      </c>
      <c r="B9" s="48" t="s">
        <v>476</v>
      </c>
      <c r="C9" s="48" t="s">
        <v>427</v>
      </c>
      <c r="D9" s="48" t="s">
        <v>419</v>
      </c>
      <c r="E9" s="47">
        <v>100</v>
      </c>
      <c r="F9" s="47">
        <v>0</v>
      </c>
      <c r="G9" s="45">
        <v>3118</v>
      </c>
      <c r="H9" s="45">
        <v>2122</v>
      </c>
      <c r="I9" s="45">
        <v>2978</v>
      </c>
      <c r="J9" s="45">
        <v>2340</v>
      </c>
      <c r="K9" s="45">
        <v>2509</v>
      </c>
      <c r="L9" s="45">
        <v>1488</v>
      </c>
      <c r="M9" s="51">
        <f t="shared" si="0"/>
        <v>2151.25</v>
      </c>
      <c r="N9" s="51">
        <f t="shared" si="1"/>
        <v>1487.5</v>
      </c>
    </row>
    <row r="10" spans="1:14" ht="20.100000000000001" customHeight="1" x14ac:dyDescent="0.35">
      <c r="A10" s="48" t="s">
        <v>467</v>
      </c>
      <c r="B10" s="48" t="s">
        <v>466</v>
      </c>
      <c r="C10" s="48" t="s">
        <v>427</v>
      </c>
      <c r="D10" s="48" t="s">
        <v>419</v>
      </c>
      <c r="E10" s="47">
        <v>500</v>
      </c>
      <c r="F10" s="47">
        <v>2100</v>
      </c>
      <c r="G10" s="45">
        <v>12050</v>
      </c>
      <c r="H10" s="45">
        <v>4028</v>
      </c>
      <c r="I10" s="45">
        <v>19925</v>
      </c>
      <c r="J10" s="45">
        <v>8182</v>
      </c>
      <c r="K10" s="45">
        <v>2868</v>
      </c>
      <c r="L10" s="45">
        <v>1608</v>
      </c>
      <c r="M10" s="51">
        <f t="shared" si="0"/>
        <v>8710.75</v>
      </c>
      <c r="N10" s="51">
        <f t="shared" si="1"/>
        <v>3454.5</v>
      </c>
    </row>
    <row r="11" spans="1:14" ht="20.100000000000001" customHeight="1" x14ac:dyDescent="0.35">
      <c r="A11" s="48" t="s">
        <v>461</v>
      </c>
      <c r="B11" s="48" t="s">
        <v>460</v>
      </c>
      <c r="C11" s="48" t="s">
        <v>427</v>
      </c>
      <c r="D11" s="48" t="s">
        <v>419</v>
      </c>
      <c r="E11" s="47">
        <v>10000</v>
      </c>
      <c r="F11" s="47">
        <v>0</v>
      </c>
      <c r="G11" s="45">
        <v>6422</v>
      </c>
      <c r="H11" s="45">
        <v>3886</v>
      </c>
      <c r="I11" s="45">
        <v>7319</v>
      </c>
      <c r="J11" s="45">
        <v>3200</v>
      </c>
      <c r="K11" s="45">
        <v>6875</v>
      </c>
      <c r="L11" s="45">
        <v>4058</v>
      </c>
      <c r="M11" s="51">
        <f t="shared" si="0"/>
        <v>5154</v>
      </c>
      <c r="N11" s="51">
        <f t="shared" si="1"/>
        <v>2786</v>
      </c>
    </row>
    <row r="12" spans="1:14" ht="20.100000000000001" customHeight="1" x14ac:dyDescent="0.35">
      <c r="A12" s="48" t="s">
        <v>459</v>
      </c>
      <c r="B12" s="48" t="s">
        <v>458</v>
      </c>
      <c r="C12" s="48" t="s">
        <v>427</v>
      </c>
      <c r="D12" s="48" t="s">
        <v>419</v>
      </c>
      <c r="E12" s="47">
        <v>34500</v>
      </c>
      <c r="F12" s="47">
        <v>0</v>
      </c>
      <c r="G12" s="45">
        <v>179456</v>
      </c>
      <c r="H12" s="45">
        <v>61974</v>
      </c>
      <c r="I12" s="45">
        <v>86927</v>
      </c>
      <c r="J12" s="45">
        <v>40074</v>
      </c>
      <c r="K12" s="45">
        <v>114468</v>
      </c>
      <c r="L12" s="45">
        <v>30540</v>
      </c>
      <c r="M12" s="51">
        <f t="shared" si="0"/>
        <v>95212.75</v>
      </c>
      <c r="N12" s="51">
        <f t="shared" si="1"/>
        <v>33147</v>
      </c>
    </row>
    <row r="13" spans="1:14" ht="20.100000000000001" customHeight="1" x14ac:dyDescent="0.35">
      <c r="A13" s="48" t="s">
        <v>457</v>
      </c>
      <c r="B13" s="48" t="s">
        <v>456</v>
      </c>
      <c r="C13" s="48" t="s">
        <v>427</v>
      </c>
      <c r="D13" s="48" t="s">
        <v>419</v>
      </c>
      <c r="E13" s="47">
        <v>33500</v>
      </c>
      <c r="F13" s="47">
        <v>35000</v>
      </c>
      <c r="G13" s="45">
        <v>74082</v>
      </c>
      <c r="H13" s="45">
        <v>21652</v>
      </c>
      <c r="I13" s="45">
        <v>75121</v>
      </c>
      <c r="J13" s="45">
        <v>30476</v>
      </c>
      <c r="K13" s="45">
        <v>63808</v>
      </c>
      <c r="L13" s="45">
        <v>19252</v>
      </c>
      <c r="M13" s="51">
        <f t="shared" si="0"/>
        <v>53252.75</v>
      </c>
      <c r="N13" s="51">
        <f t="shared" si="1"/>
        <v>17845</v>
      </c>
    </row>
    <row r="14" spans="1:14" ht="20.100000000000001" customHeight="1" x14ac:dyDescent="0.35">
      <c r="A14" s="48" t="s">
        <v>473</v>
      </c>
      <c r="B14" s="48" t="s">
        <v>472</v>
      </c>
      <c r="C14" s="48" t="s">
        <v>427</v>
      </c>
      <c r="D14" s="48" t="s">
        <v>419</v>
      </c>
      <c r="E14" s="47">
        <v>1000</v>
      </c>
      <c r="F14" s="47">
        <v>0</v>
      </c>
      <c r="G14" s="45">
        <v>6</v>
      </c>
      <c r="H14" s="45">
        <v>6</v>
      </c>
      <c r="I14" s="45">
        <v>2614</v>
      </c>
      <c r="J14" s="45">
        <v>2302</v>
      </c>
      <c r="K14" s="45">
        <v>1571</v>
      </c>
      <c r="L14" s="45">
        <v>904</v>
      </c>
      <c r="M14" s="51">
        <f t="shared" si="0"/>
        <v>1047.75</v>
      </c>
      <c r="N14" s="51">
        <f t="shared" si="1"/>
        <v>803</v>
      </c>
    </row>
    <row r="15" spans="1:14" ht="20.100000000000001" customHeight="1" x14ac:dyDescent="0.35">
      <c r="A15" s="48" t="s">
        <v>471</v>
      </c>
      <c r="B15" s="48" t="s">
        <v>470</v>
      </c>
      <c r="C15" s="48" t="s">
        <v>427</v>
      </c>
      <c r="D15" s="48" t="s">
        <v>419</v>
      </c>
      <c r="E15" s="47">
        <v>300</v>
      </c>
      <c r="F15" s="47">
        <v>0</v>
      </c>
      <c r="G15" s="45">
        <v>6</v>
      </c>
      <c r="H15" s="45">
        <v>6</v>
      </c>
      <c r="I15" s="45">
        <v>2598</v>
      </c>
      <c r="J15" s="45">
        <v>2272</v>
      </c>
      <c r="K15" s="45">
        <v>1394</v>
      </c>
      <c r="L15" s="45">
        <v>764</v>
      </c>
      <c r="M15" s="51">
        <f t="shared" si="0"/>
        <v>999.5</v>
      </c>
      <c r="N15" s="51">
        <f t="shared" si="1"/>
        <v>760.5</v>
      </c>
    </row>
    <row r="16" spans="1:14" ht="20.100000000000001" customHeight="1" x14ac:dyDescent="0.35">
      <c r="A16" s="48" t="s">
        <v>453</v>
      </c>
      <c r="B16" s="48" t="s">
        <v>452</v>
      </c>
      <c r="C16" s="48" t="s">
        <v>427</v>
      </c>
      <c r="D16" s="48" t="s">
        <v>419</v>
      </c>
      <c r="E16" s="47">
        <v>10500</v>
      </c>
      <c r="F16" s="47">
        <v>0</v>
      </c>
      <c r="G16" s="45">
        <v>12340</v>
      </c>
      <c r="H16" s="45">
        <v>5512</v>
      </c>
      <c r="I16" s="45">
        <v>13378</v>
      </c>
      <c r="J16" s="45">
        <v>6328</v>
      </c>
      <c r="K16" s="45">
        <v>16377</v>
      </c>
      <c r="L16" s="45">
        <v>5860</v>
      </c>
      <c r="M16" s="51">
        <f t="shared" si="0"/>
        <v>10523.75</v>
      </c>
      <c r="N16" s="51">
        <f t="shared" si="1"/>
        <v>4425</v>
      </c>
    </row>
    <row r="17" spans="1:14" ht="20.100000000000001" customHeight="1" x14ac:dyDescent="0.35">
      <c r="A17" s="48" t="s">
        <v>451</v>
      </c>
      <c r="B17" s="48" t="s">
        <v>450</v>
      </c>
      <c r="C17" s="48" t="s">
        <v>427</v>
      </c>
      <c r="D17" s="48" t="s">
        <v>419</v>
      </c>
      <c r="E17" s="47">
        <v>7000</v>
      </c>
      <c r="F17" s="47">
        <v>0</v>
      </c>
      <c r="G17" s="45">
        <v>12340</v>
      </c>
      <c r="H17" s="45">
        <v>5512</v>
      </c>
      <c r="I17" s="45">
        <v>3263</v>
      </c>
      <c r="J17" s="45">
        <v>2008</v>
      </c>
      <c r="K17" s="45">
        <v>8539</v>
      </c>
      <c r="L17" s="45">
        <v>3952</v>
      </c>
      <c r="M17" s="51">
        <f t="shared" si="0"/>
        <v>6035.5</v>
      </c>
      <c r="N17" s="51">
        <f t="shared" si="1"/>
        <v>2868</v>
      </c>
    </row>
    <row r="18" spans="1:14" ht="20.100000000000001" customHeight="1" x14ac:dyDescent="0.35">
      <c r="A18" s="48" t="s">
        <v>449</v>
      </c>
      <c r="B18" s="48" t="s">
        <v>448</v>
      </c>
      <c r="C18" s="48" t="s">
        <v>427</v>
      </c>
      <c r="D18" s="48" t="s">
        <v>419</v>
      </c>
      <c r="E18" s="47">
        <v>3000</v>
      </c>
      <c r="F18" s="47">
        <v>0</v>
      </c>
      <c r="G18" s="45">
        <v>30</v>
      </c>
      <c r="H18" s="45">
        <v>30</v>
      </c>
      <c r="I18" s="45">
        <v>5879</v>
      </c>
      <c r="J18" s="45">
        <v>3308</v>
      </c>
      <c r="K18" s="45">
        <v>326</v>
      </c>
      <c r="L18" s="45">
        <v>280</v>
      </c>
      <c r="M18" s="51">
        <f t="shared" si="0"/>
        <v>1558.75</v>
      </c>
      <c r="N18" s="51">
        <f t="shared" si="1"/>
        <v>904.5</v>
      </c>
    </row>
    <row r="19" spans="1:14" ht="20.100000000000001" customHeight="1" x14ac:dyDescent="0.35">
      <c r="A19" s="48" t="s">
        <v>447</v>
      </c>
      <c r="B19" s="48" t="s">
        <v>446</v>
      </c>
      <c r="C19" s="48" t="s">
        <v>427</v>
      </c>
      <c r="D19" s="48" t="s">
        <v>419</v>
      </c>
      <c r="E19" s="47">
        <v>8000</v>
      </c>
      <c r="F19" s="47">
        <v>0</v>
      </c>
      <c r="G19" s="45">
        <v>30</v>
      </c>
      <c r="H19" s="45">
        <v>30</v>
      </c>
      <c r="I19" s="45">
        <v>5934</v>
      </c>
      <c r="J19" s="45">
        <v>3408</v>
      </c>
      <c r="K19" s="45">
        <v>1028</v>
      </c>
      <c r="L19" s="45">
        <v>780</v>
      </c>
      <c r="M19" s="51">
        <f t="shared" si="0"/>
        <v>1748</v>
      </c>
      <c r="N19" s="51">
        <f t="shared" si="1"/>
        <v>1054.5</v>
      </c>
    </row>
    <row r="20" spans="1:14" ht="20.100000000000001" customHeight="1" x14ac:dyDescent="0.35">
      <c r="A20" s="48" t="s">
        <v>441</v>
      </c>
      <c r="B20" s="48" t="s">
        <v>440</v>
      </c>
      <c r="C20" s="48" t="s">
        <v>427</v>
      </c>
      <c r="D20" s="48" t="s">
        <v>419</v>
      </c>
      <c r="E20" s="47">
        <v>400</v>
      </c>
      <c r="F20" s="47">
        <v>6000</v>
      </c>
      <c r="G20" s="45">
        <v>1195</v>
      </c>
      <c r="H20" s="45">
        <v>596</v>
      </c>
      <c r="I20" s="45">
        <v>3912</v>
      </c>
      <c r="J20" s="45">
        <v>1748</v>
      </c>
      <c r="K20" s="45">
        <v>4672</v>
      </c>
      <c r="L20" s="45">
        <v>2398</v>
      </c>
      <c r="M20" s="51">
        <f t="shared" si="0"/>
        <v>2444.75</v>
      </c>
      <c r="N20" s="51">
        <f t="shared" si="1"/>
        <v>1185.5</v>
      </c>
    </row>
    <row r="21" spans="1:14" ht="20.100000000000001" customHeight="1" x14ac:dyDescent="0.35">
      <c r="A21" s="48" t="s">
        <v>439</v>
      </c>
      <c r="B21" s="48" t="s">
        <v>438</v>
      </c>
      <c r="C21" s="48" t="s">
        <v>427</v>
      </c>
      <c r="D21" s="48" t="s">
        <v>419</v>
      </c>
      <c r="E21" s="47">
        <v>3500</v>
      </c>
      <c r="F21" s="47">
        <v>0</v>
      </c>
      <c r="G21" s="45">
        <v>3356</v>
      </c>
      <c r="H21" s="45">
        <v>2122</v>
      </c>
      <c r="I21" s="45">
        <v>5458</v>
      </c>
      <c r="J21" s="45">
        <v>4564</v>
      </c>
      <c r="K21" s="45">
        <v>7727</v>
      </c>
      <c r="L21" s="45">
        <v>3960</v>
      </c>
      <c r="M21" s="51">
        <f t="shared" si="0"/>
        <v>4135.25</v>
      </c>
      <c r="N21" s="51">
        <f t="shared" si="1"/>
        <v>2661.5</v>
      </c>
    </row>
    <row r="22" spans="1:14" ht="20.100000000000001" customHeight="1" x14ac:dyDescent="0.35">
      <c r="A22" s="48" t="s">
        <v>437</v>
      </c>
      <c r="B22" s="48" t="s">
        <v>436</v>
      </c>
      <c r="C22" s="48" t="s">
        <v>427</v>
      </c>
      <c r="D22" s="48" t="s">
        <v>419</v>
      </c>
      <c r="E22" s="47">
        <v>4000</v>
      </c>
      <c r="F22" s="47">
        <v>0</v>
      </c>
      <c r="G22" s="45">
        <v>1195</v>
      </c>
      <c r="H22" s="45">
        <v>596</v>
      </c>
      <c r="I22" s="45">
        <v>1186</v>
      </c>
      <c r="J22" s="45">
        <v>928</v>
      </c>
      <c r="K22" s="45">
        <v>1203</v>
      </c>
      <c r="L22" s="45">
        <v>828</v>
      </c>
      <c r="M22" s="51">
        <f t="shared" si="0"/>
        <v>896</v>
      </c>
      <c r="N22" s="51">
        <f t="shared" si="1"/>
        <v>588</v>
      </c>
    </row>
    <row r="23" spans="1:14" ht="20.100000000000001" customHeight="1" x14ac:dyDescent="0.35">
      <c r="A23" s="48" t="s">
        <v>435</v>
      </c>
      <c r="B23" s="48" t="s">
        <v>434</v>
      </c>
      <c r="C23" s="48" t="s">
        <v>427</v>
      </c>
      <c r="D23" s="48" t="s">
        <v>419</v>
      </c>
      <c r="E23" s="47">
        <v>2000</v>
      </c>
      <c r="F23" s="47">
        <v>0</v>
      </c>
      <c r="G23" s="45">
        <v>3356</v>
      </c>
      <c r="H23" s="45">
        <v>2122</v>
      </c>
      <c r="I23" s="45">
        <v>1446</v>
      </c>
      <c r="J23" s="45">
        <v>1044</v>
      </c>
      <c r="K23" s="45">
        <v>3456</v>
      </c>
      <c r="L23" s="45">
        <v>2320</v>
      </c>
      <c r="M23" s="51">
        <f t="shared" si="0"/>
        <v>2064.5</v>
      </c>
      <c r="N23" s="51">
        <f t="shared" si="1"/>
        <v>1371.5</v>
      </c>
    </row>
    <row r="24" spans="1:14" ht="20.100000000000001" customHeight="1" x14ac:dyDescent="0.35">
      <c r="A24" s="48" t="s">
        <v>397</v>
      </c>
      <c r="B24" s="48" t="s">
        <v>502</v>
      </c>
      <c r="C24" s="48" t="s">
        <v>427</v>
      </c>
      <c r="D24" s="48" t="s">
        <v>419</v>
      </c>
      <c r="E24" s="47">
        <v>142000</v>
      </c>
      <c r="F24" s="47">
        <v>0</v>
      </c>
      <c r="G24" s="59">
        <v>501184</v>
      </c>
      <c r="H24" s="59">
        <v>130563</v>
      </c>
      <c r="I24" s="59">
        <v>129892</v>
      </c>
      <c r="J24" s="59">
        <v>38618</v>
      </c>
      <c r="K24" s="59">
        <v>98820</v>
      </c>
      <c r="L24" s="59">
        <v>36808</v>
      </c>
      <c r="M24" s="51">
        <f t="shared" si="0"/>
        <v>182474</v>
      </c>
      <c r="N24" s="51">
        <f t="shared" si="1"/>
        <v>51497.25</v>
      </c>
    </row>
    <row r="25" spans="1:14" ht="20.100000000000001" customHeight="1" x14ac:dyDescent="0.35">
      <c r="A25" s="48" t="s">
        <v>503</v>
      </c>
      <c r="B25" s="48" t="s">
        <v>504</v>
      </c>
      <c r="C25" s="48" t="s">
        <v>427</v>
      </c>
      <c r="D25" s="48" t="s">
        <v>419</v>
      </c>
      <c r="E25" s="47">
        <v>0</v>
      </c>
      <c r="F25" s="47">
        <v>110000</v>
      </c>
      <c r="G25" s="60"/>
      <c r="H25" s="60"/>
      <c r="I25" s="60"/>
      <c r="J25" s="60"/>
      <c r="K25" s="60"/>
      <c r="L25" s="60"/>
      <c r="M25" s="51">
        <f t="shared" si="0"/>
        <v>0</v>
      </c>
      <c r="N25" s="51">
        <f t="shared" si="1"/>
        <v>0</v>
      </c>
    </row>
    <row r="26" spans="1:14" ht="20.100000000000001" customHeight="1" x14ac:dyDescent="0.35">
      <c r="A26" s="48" t="s">
        <v>433</v>
      </c>
      <c r="B26" s="48" t="s">
        <v>432</v>
      </c>
      <c r="C26" s="57" t="s">
        <v>427</v>
      </c>
      <c r="D26" s="57" t="s">
        <v>419</v>
      </c>
      <c r="E26" s="47">
        <v>15500</v>
      </c>
      <c r="F26" s="47">
        <v>0</v>
      </c>
      <c r="G26" s="59">
        <v>54430</v>
      </c>
      <c r="H26" s="59">
        <v>30914</v>
      </c>
      <c r="I26" s="59">
        <v>37258</v>
      </c>
      <c r="J26" s="59">
        <v>14754</v>
      </c>
      <c r="K26" s="59">
        <v>29112</v>
      </c>
      <c r="L26" s="59">
        <v>9060</v>
      </c>
      <c r="M26" s="51">
        <f t="shared" si="0"/>
        <v>30200</v>
      </c>
      <c r="N26" s="51">
        <f t="shared" si="1"/>
        <v>13682</v>
      </c>
    </row>
    <row r="27" spans="1:14" ht="20.100000000000001" customHeight="1" x14ac:dyDescent="0.35">
      <c r="A27" s="48" t="s">
        <v>431</v>
      </c>
      <c r="B27" s="48" t="s">
        <v>430</v>
      </c>
      <c r="C27" s="58"/>
      <c r="D27" s="58"/>
      <c r="E27" s="47">
        <v>85000</v>
      </c>
      <c r="F27" s="47">
        <v>0</v>
      </c>
      <c r="G27" s="60"/>
      <c r="H27" s="60"/>
      <c r="I27" s="60"/>
      <c r="J27" s="60"/>
      <c r="K27" s="60"/>
      <c r="L27" s="60"/>
      <c r="M27" s="51">
        <f t="shared" si="0"/>
        <v>0</v>
      </c>
      <c r="N27" s="51">
        <f t="shared" si="1"/>
        <v>0</v>
      </c>
    </row>
    <row r="28" spans="1:14" ht="20.100000000000001" customHeight="1" x14ac:dyDescent="0.35">
      <c r="A28" s="48" t="s">
        <v>429</v>
      </c>
      <c r="B28" s="48" t="s">
        <v>428</v>
      </c>
      <c r="C28" s="48" t="s">
        <v>427</v>
      </c>
      <c r="D28" s="48" t="s">
        <v>419</v>
      </c>
      <c r="E28" s="47">
        <v>80000</v>
      </c>
      <c r="F28" s="47">
        <v>0</v>
      </c>
      <c r="G28" s="45">
        <v>555614</v>
      </c>
      <c r="H28" s="45">
        <v>158943</v>
      </c>
      <c r="I28" s="45">
        <v>159768</v>
      </c>
      <c r="J28" s="45">
        <v>51237</v>
      </c>
      <c r="K28" s="45">
        <v>120330</v>
      </c>
      <c r="L28" s="45">
        <v>45868</v>
      </c>
      <c r="M28" s="51">
        <f t="shared" si="0"/>
        <v>208928</v>
      </c>
      <c r="N28" s="51">
        <f t="shared" si="1"/>
        <v>64012</v>
      </c>
    </row>
    <row r="29" spans="1:14" ht="20.100000000000001" customHeight="1" x14ac:dyDescent="0.35">
      <c r="A29" s="48" t="s">
        <v>426</v>
      </c>
      <c r="B29" s="48" t="s">
        <v>425</v>
      </c>
      <c r="C29" s="48" t="s">
        <v>420</v>
      </c>
      <c r="D29" s="48" t="s">
        <v>419</v>
      </c>
      <c r="E29" s="47">
        <v>82000</v>
      </c>
      <c r="F29" s="47">
        <v>0</v>
      </c>
      <c r="G29" s="45">
        <v>480636</v>
      </c>
      <c r="H29" s="45">
        <v>121256</v>
      </c>
      <c r="I29" s="45">
        <v>100611</v>
      </c>
      <c r="J29" s="45">
        <v>29388</v>
      </c>
      <c r="K29" s="45">
        <v>85527</v>
      </c>
      <c r="L29" s="45">
        <v>28280</v>
      </c>
      <c r="M29" s="51">
        <f t="shared" si="0"/>
        <v>166693.5</v>
      </c>
      <c r="N29" s="51">
        <f t="shared" si="1"/>
        <v>44731</v>
      </c>
    </row>
    <row r="30" spans="1:14" ht="20.100000000000001" customHeight="1" x14ac:dyDescent="0.35">
      <c r="A30" s="48" t="s">
        <v>424</v>
      </c>
      <c r="B30" s="48" t="s">
        <v>423</v>
      </c>
      <c r="C30" s="48" t="s">
        <v>420</v>
      </c>
      <c r="D30" s="48" t="s">
        <v>419</v>
      </c>
      <c r="E30" s="47">
        <v>21000</v>
      </c>
      <c r="F30" s="47">
        <v>0</v>
      </c>
      <c r="G30" s="45">
        <v>47379</v>
      </c>
      <c r="H30" s="45">
        <v>24970</v>
      </c>
      <c r="I30" s="45">
        <v>17013</v>
      </c>
      <c r="J30" s="45">
        <v>7476</v>
      </c>
      <c r="K30" s="45">
        <v>11211</v>
      </c>
      <c r="L30" s="45">
        <v>4228</v>
      </c>
      <c r="M30" s="51">
        <f t="shared" si="0"/>
        <v>18900.75</v>
      </c>
      <c r="N30" s="51">
        <f t="shared" si="1"/>
        <v>9168.5</v>
      </c>
    </row>
    <row r="31" spans="1:14" ht="20.100000000000001" customHeight="1" x14ac:dyDescent="0.35">
      <c r="A31" s="48" t="s">
        <v>422</v>
      </c>
      <c r="B31" s="48" t="s">
        <v>421</v>
      </c>
      <c r="C31" s="48" t="s">
        <v>420</v>
      </c>
      <c r="D31" s="48" t="s">
        <v>419</v>
      </c>
      <c r="E31" s="47">
        <v>16000</v>
      </c>
      <c r="F31" s="47">
        <v>0</v>
      </c>
      <c r="G31" s="45">
        <v>8222</v>
      </c>
      <c r="H31" s="45">
        <v>5116</v>
      </c>
      <c r="I31" s="45">
        <v>21802</v>
      </c>
      <c r="J31" s="45">
        <v>9624</v>
      </c>
      <c r="K31" s="45">
        <v>13048</v>
      </c>
      <c r="L31" s="45">
        <v>8172</v>
      </c>
      <c r="M31" s="51">
        <f t="shared" si="0"/>
        <v>10768</v>
      </c>
      <c r="N31" s="51">
        <f t="shared" si="1"/>
        <v>5728</v>
      </c>
    </row>
    <row r="32" spans="1:14" ht="20.100000000000001" customHeight="1" x14ac:dyDescent="0.35">
      <c r="A32" s="48" t="s">
        <v>418</v>
      </c>
      <c r="B32" s="48" t="s">
        <v>417</v>
      </c>
      <c r="C32" s="48" t="s">
        <v>416</v>
      </c>
      <c r="D32" s="48" t="s">
        <v>410</v>
      </c>
      <c r="E32" s="47">
        <v>190000</v>
      </c>
      <c r="F32" s="47">
        <v>0</v>
      </c>
      <c r="G32" s="47">
        <v>555614</v>
      </c>
      <c r="H32" s="47">
        <v>158943</v>
      </c>
      <c r="I32" s="47">
        <v>244058</v>
      </c>
      <c r="J32" s="47">
        <v>74009</v>
      </c>
      <c r="K32" s="47">
        <v>120330</v>
      </c>
      <c r="L32" s="47">
        <v>45868</v>
      </c>
      <c r="M32" s="51">
        <f t="shared" si="0"/>
        <v>230000.5</v>
      </c>
      <c r="N32" s="51">
        <f t="shared" si="1"/>
        <v>69705</v>
      </c>
    </row>
    <row r="33" spans="1:14" ht="20.100000000000001" customHeight="1" x14ac:dyDescent="0.35">
      <c r="A33" s="48" t="s">
        <v>415</v>
      </c>
      <c r="B33" s="48" t="s">
        <v>414</v>
      </c>
      <c r="C33" s="48" t="s">
        <v>411</v>
      </c>
      <c r="D33" s="48" t="s">
        <v>410</v>
      </c>
      <c r="E33" s="47">
        <v>65000</v>
      </c>
      <c r="F33" s="47">
        <v>0</v>
      </c>
      <c r="G33" s="49">
        <v>555614</v>
      </c>
      <c r="H33" s="49">
        <v>158943</v>
      </c>
      <c r="I33" s="49">
        <v>159768</v>
      </c>
      <c r="J33" s="49">
        <v>51237</v>
      </c>
      <c r="K33" s="49">
        <v>120330</v>
      </c>
      <c r="L33" s="49">
        <v>45868</v>
      </c>
      <c r="M33" s="51">
        <f t="shared" si="0"/>
        <v>208928</v>
      </c>
      <c r="N33" s="51">
        <f t="shared" si="1"/>
        <v>64012</v>
      </c>
    </row>
    <row r="34" spans="1:14" ht="20.100000000000001" customHeight="1" x14ac:dyDescent="0.35">
      <c r="A34" s="48" t="s">
        <v>413</v>
      </c>
      <c r="B34" s="48" t="s">
        <v>412</v>
      </c>
      <c r="C34" s="48" t="s">
        <v>411</v>
      </c>
      <c r="D34" s="48" t="s">
        <v>410</v>
      </c>
      <c r="E34" s="47">
        <v>69000</v>
      </c>
      <c r="F34" s="47">
        <v>0</v>
      </c>
      <c r="G34" s="47">
        <v>555614</v>
      </c>
      <c r="H34" s="47">
        <v>158943</v>
      </c>
      <c r="I34" s="47">
        <v>159768</v>
      </c>
      <c r="J34" s="47">
        <v>51237</v>
      </c>
      <c r="K34" s="47">
        <v>120330</v>
      </c>
      <c r="L34" s="47">
        <v>45868</v>
      </c>
      <c r="M34" s="51">
        <f t="shared" si="0"/>
        <v>208928</v>
      </c>
      <c r="N34" s="51">
        <f t="shared" si="1"/>
        <v>64012</v>
      </c>
    </row>
    <row r="35" spans="1:14" ht="20.100000000000001" customHeight="1" x14ac:dyDescent="0.35">
      <c r="A35" s="48" t="s">
        <v>409</v>
      </c>
      <c r="B35" s="48" t="s">
        <v>408</v>
      </c>
      <c r="C35" s="52" t="s">
        <v>407</v>
      </c>
      <c r="D35" s="52" t="s">
        <v>406</v>
      </c>
      <c r="E35" s="47">
        <v>50</v>
      </c>
      <c r="F35" s="47">
        <v>0</v>
      </c>
      <c r="G35" s="49">
        <v>516</v>
      </c>
      <c r="H35" s="49">
        <v>516</v>
      </c>
      <c r="I35" s="49">
        <v>428</v>
      </c>
      <c r="J35" s="49">
        <v>428</v>
      </c>
      <c r="K35" s="49">
        <v>174</v>
      </c>
      <c r="L35" s="49">
        <v>174</v>
      </c>
      <c r="M35" s="51">
        <f t="shared" si="0"/>
        <v>279.5</v>
      </c>
      <c r="N35" s="51">
        <f t="shared" si="1"/>
        <v>279.5</v>
      </c>
    </row>
    <row r="36" spans="1:14" ht="20.100000000000001" customHeight="1" x14ac:dyDescent="0.35">
      <c r="A36" s="48" t="s">
        <v>485</v>
      </c>
      <c r="B36" s="48" t="s">
        <v>484</v>
      </c>
      <c r="C36" s="48" t="s">
        <v>427</v>
      </c>
      <c r="D36" s="48" t="s">
        <v>419</v>
      </c>
      <c r="E36" s="47">
        <v>600</v>
      </c>
      <c r="F36" s="47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51">
        <f t="shared" si="0"/>
        <v>0</v>
      </c>
      <c r="N36" s="51">
        <f t="shared" si="1"/>
        <v>0</v>
      </c>
    </row>
    <row r="37" spans="1:14" ht="20.100000000000001" customHeight="1" x14ac:dyDescent="0.35">
      <c r="A37" s="48" t="s">
        <v>475</v>
      </c>
      <c r="B37" s="48" t="s">
        <v>474</v>
      </c>
      <c r="C37" s="48" t="s">
        <v>427</v>
      </c>
      <c r="D37" s="48" t="s">
        <v>419</v>
      </c>
      <c r="E37" s="47">
        <v>200</v>
      </c>
      <c r="F37" s="47">
        <v>0</v>
      </c>
      <c r="G37" s="45">
        <v>30</v>
      </c>
      <c r="H37" s="45">
        <v>30</v>
      </c>
      <c r="I37" s="45"/>
      <c r="J37" s="45"/>
      <c r="K37" s="45">
        <v>0</v>
      </c>
      <c r="L37" s="45"/>
      <c r="M37" s="51">
        <f t="shared" si="0"/>
        <v>10</v>
      </c>
      <c r="N37" s="51">
        <f t="shared" si="1"/>
        <v>15</v>
      </c>
    </row>
    <row r="38" spans="1:14" ht="20.100000000000001" customHeight="1" x14ac:dyDescent="0.35">
      <c r="A38" s="48" t="s">
        <v>469</v>
      </c>
      <c r="B38" s="48" t="s">
        <v>468</v>
      </c>
      <c r="C38" s="48" t="s">
        <v>427</v>
      </c>
      <c r="D38" s="48" t="s">
        <v>419</v>
      </c>
      <c r="E38" s="47">
        <v>6000</v>
      </c>
      <c r="F38" s="47">
        <v>0</v>
      </c>
      <c r="G38" s="45">
        <v>0</v>
      </c>
      <c r="H38" s="45">
        <v>0</v>
      </c>
      <c r="I38" s="45">
        <v>19536</v>
      </c>
      <c r="J38" s="45">
        <v>3648</v>
      </c>
      <c r="K38" s="45">
        <v>1044</v>
      </c>
      <c r="L38" s="45">
        <v>576</v>
      </c>
      <c r="M38" s="51">
        <f t="shared" si="0"/>
        <v>5145</v>
      </c>
      <c r="N38" s="51">
        <f t="shared" si="1"/>
        <v>1056</v>
      </c>
    </row>
    <row r="39" spans="1:14" ht="20.100000000000001" customHeight="1" x14ac:dyDescent="0.35">
      <c r="A39" s="48" t="s">
        <v>465</v>
      </c>
      <c r="B39" s="48" t="s">
        <v>464</v>
      </c>
      <c r="C39" s="48" t="s">
        <v>427</v>
      </c>
      <c r="D39" s="48" t="s">
        <v>419</v>
      </c>
      <c r="E39" s="47">
        <v>600</v>
      </c>
      <c r="F39" s="47">
        <v>0</v>
      </c>
      <c r="G39" s="45">
        <v>784</v>
      </c>
      <c r="H39" s="45">
        <v>520</v>
      </c>
      <c r="I39" s="45">
        <v>2272</v>
      </c>
      <c r="J39" s="45">
        <v>1076</v>
      </c>
      <c r="K39" s="45">
        <v>4226</v>
      </c>
      <c r="L39" s="45">
        <v>4186</v>
      </c>
      <c r="M39" s="51">
        <f t="shared" si="0"/>
        <v>1820.5</v>
      </c>
      <c r="N39" s="51">
        <f t="shared" si="1"/>
        <v>1445.5</v>
      </c>
    </row>
    <row r="40" spans="1:14" ht="20.100000000000001" customHeight="1" x14ac:dyDescent="0.35">
      <c r="A40" s="48" t="s">
        <v>463</v>
      </c>
      <c r="B40" s="48" t="s">
        <v>462</v>
      </c>
      <c r="C40" s="48" t="s">
        <v>427</v>
      </c>
      <c r="D40" s="48" t="s">
        <v>419</v>
      </c>
      <c r="E40" s="47">
        <v>20500</v>
      </c>
      <c r="F40" s="47">
        <v>0</v>
      </c>
      <c r="G40" s="45">
        <v>3207</v>
      </c>
      <c r="H40" s="45">
        <v>1772</v>
      </c>
      <c r="I40" s="45">
        <v>44362</v>
      </c>
      <c r="J40" s="45">
        <v>8366</v>
      </c>
      <c r="K40" s="45">
        <v>948</v>
      </c>
      <c r="L40" s="45">
        <v>744</v>
      </c>
      <c r="M40" s="51">
        <f t="shared" si="0"/>
        <v>12129.25</v>
      </c>
      <c r="N40" s="51">
        <f t="shared" si="1"/>
        <v>2720.5</v>
      </c>
    </row>
    <row r="41" spans="1:14" ht="20.100000000000001" customHeight="1" x14ac:dyDescent="0.35">
      <c r="A41" s="48" t="s">
        <v>455</v>
      </c>
      <c r="B41" s="48" t="s">
        <v>454</v>
      </c>
      <c r="C41" s="48" t="s">
        <v>427</v>
      </c>
      <c r="D41" s="48" t="s">
        <v>419</v>
      </c>
      <c r="E41" s="47">
        <v>119500</v>
      </c>
      <c r="F41" s="47">
        <v>0</v>
      </c>
      <c r="G41" s="45">
        <v>0</v>
      </c>
      <c r="H41" s="45">
        <v>0</v>
      </c>
      <c r="I41" s="45"/>
      <c r="J41" s="45">
        <v>0</v>
      </c>
      <c r="K41" s="45">
        <v>0</v>
      </c>
      <c r="L41" s="45">
        <v>0</v>
      </c>
      <c r="M41" s="51">
        <f t="shared" si="0"/>
        <v>0</v>
      </c>
      <c r="N41" s="51">
        <f t="shared" si="1"/>
        <v>0</v>
      </c>
    </row>
    <row r="42" spans="1:14" ht="20.100000000000001" customHeight="1" x14ac:dyDescent="0.35">
      <c r="A42" s="48" t="s">
        <v>445</v>
      </c>
      <c r="B42" s="48" t="s">
        <v>444</v>
      </c>
      <c r="C42" s="48" t="s">
        <v>427</v>
      </c>
      <c r="D42" s="48" t="s">
        <v>419</v>
      </c>
      <c r="E42" s="47">
        <v>199000</v>
      </c>
      <c r="F42" s="47">
        <v>0</v>
      </c>
      <c r="G42" s="45">
        <v>27602</v>
      </c>
      <c r="H42" s="45">
        <v>10134</v>
      </c>
      <c r="I42" s="45">
        <v>25920</v>
      </c>
      <c r="J42" s="45">
        <v>5228</v>
      </c>
      <c r="K42" s="45">
        <v>5884</v>
      </c>
      <c r="L42" s="45">
        <v>3288</v>
      </c>
      <c r="M42" s="51">
        <f t="shared" si="0"/>
        <v>14851.5</v>
      </c>
      <c r="N42" s="51">
        <f t="shared" si="1"/>
        <v>4662.5</v>
      </c>
    </row>
    <row r="43" spans="1:14" ht="20.100000000000001" customHeight="1" x14ac:dyDescent="0.35">
      <c r="A43" s="46" t="s">
        <v>443</v>
      </c>
      <c r="B43" s="46" t="s">
        <v>442</v>
      </c>
      <c r="C43" s="46" t="s">
        <v>427</v>
      </c>
      <c r="D43" s="46" t="s">
        <v>419</v>
      </c>
      <c r="E43" s="45">
        <v>145000</v>
      </c>
      <c r="F43" s="45">
        <v>0</v>
      </c>
      <c r="G43" s="45">
        <v>5576</v>
      </c>
      <c r="H43" s="45">
        <v>2534</v>
      </c>
      <c r="I43" s="45">
        <v>7382</v>
      </c>
      <c r="J43" s="45">
        <v>2135</v>
      </c>
      <c r="K43" s="45">
        <v>7602</v>
      </c>
      <c r="L43" s="45">
        <v>3544</v>
      </c>
      <c r="M43" s="51">
        <f t="shared" si="0"/>
        <v>5140</v>
      </c>
      <c r="N43" s="51">
        <f t="shared" si="1"/>
        <v>2053.25</v>
      </c>
    </row>
    <row r="44" spans="1:14" ht="20.100000000000001" customHeight="1" x14ac:dyDescent="0.35">
      <c r="A44" s="46" t="s">
        <v>523</v>
      </c>
      <c r="B44" s="46" t="s">
        <v>524</v>
      </c>
      <c r="C44" s="46" t="s">
        <v>407</v>
      </c>
      <c r="D44" s="46" t="s">
        <v>406</v>
      </c>
      <c r="E44" s="45">
        <v>0</v>
      </c>
      <c r="F44" s="45"/>
      <c r="G44" s="45">
        <f>2215*2</f>
        <v>4430</v>
      </c>
      <c r="H44" s="45">
        <f>969*2</f>
        <v>1938</v>
      </c>
      <c r="I44" s="45">
        <f>1293*2</f>
        <v>2586</v>
      </c>
      <c r="J44" s="45">
        <f>650*2</f>
        <v>1300</v>
      </c>
      <c r="K44" s="45">
        <f>1156*2</f>
        <v>2312</v>
      </c>
      <c r="L44" s="45">
        <f>200*2</f>
        <v>400</v>
      </c>
      <c r="M44" s="51">
        <f>AVERAGE(G44,I44,K44,)</f>
        <v>2332</v>
      </c>
      <c r="N44" s="51">
        <f>AVERAGE(H44,J44,L44,)</f>
        <v>909.5</v>
      </c>
    </row>
    <row r="45" spans="1:14" ht="20.100000000000001" customHeight="1" x14ac:dyDescent="0.35">
      <c r="A45" s="46" t="s">
        <v>525</v>
      </c>
      <c r="B45" s="46" t="s">
        <v>526</v>
      </c>
      <c r="C45" s="46" t="s">
        <v>407</v>
      </c>
      <c r="D45" s="46" t="s">
        <v>406</v>
      </c>
      <c r="E45" s="45">
        <v>0</v>
      </c>
      <c r="F45" s="45"/>
      <c r="G45" s="45">
        <f>2215*2</f>
        <v>4430</v>
      </c>
      <c r="H45" s="45">
        <f>969*2</f>
        <v>1938</v>
      </c>
      <c r="I45" s="45">
        <f>1293*2</f>
        <v>2586</v>
      </c>
      <c r="J45" s="45">
        <f>650*2</f>
        <v>1300</v>
      </c>
      <c r="K45" s="45">
        <f>1156*2</f>
        <v>2312</v>
      </c>
      <c r="L45" s="45">
        <f>200*2</f>
        <v>400</v>
      </c>
      <c r="M45" s="51">
        <f>AVERAGE(G45,I45,K45,)</f>
        <v>2332</v>
      </c>
      <c r="N45" s="51">
        <f>AVERAGE(H45,J45,L45,)</f>
        <v>909.5</v>
      </c>
    </row>
    <row r="47" spans="1:14" x14ac:dyDescent="0.35">
      <c r="E47" s="42">
        <f>20500</f>
        <v>20500</v>
      </c>
    </row>
    <row r="48" spans="1:14" x14ac:dyDescent="0.35">
      <c r="E48" s="50">
        <f>240*12</f>
        <v>2880</v>
      </c>
    </row>
  </sheetData>
  <autoFilter ref="A2:N2" xr:uid="{00000000-0001-0000-0300-000000000000}"/>
  <mergeCells count="15">
    <mergeCell ref="A1:L1"/>
    <mergeCell ref="C26:C27"/>
    <mergeCell ref="D26:D27"/>
    <mergeCell ref="G26:G27"/>
    <mergeCell ref="H26:H27"/>
    <mergeCell ref="I26:I27"/>
    <mergeCell ref="J26:J27"/>
    <mergeCell ref="K26:K27"/>
    <mergeCell ref="L26:L27"/>
    <mergeCell ref="G24:G25"/>
    <mergeCell ref="H24:H25"/>
    <mergeCell ref="I24:I25"/>
    <mergeCell ref="J24:J25"/>
    <mergeCell ref="K24:K25"/>
    <mergeCell ref="L24:L25"/>
  </mergeCells>
  <phoneticPr fontId="16" type="noConversion"/>
  <printOptions horizontalCentered="1" verticalCentered="1"/>
  <pageMargins left="0" right="0" top="0" bottom="0" header="0" footer="0"/>
  <pageSetup paperSize="9" scale="4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케이블 사용내역</vt:lpstr>
      <vt:lpstr>Sheet4</vt:lpstr>
      <vt:lpstr>Sheet1</vt:lpstr>
      <vt:lpstr>Sheet2</vt:lpstr>
      <vt:lpstr>하우징 사용 내역</vt:lpstr>
      <vt:lpstr>하우징 사용내역 총정리</vt:lpstr>
      <vt:lpstr>'케이블 사용내역'!Print_Area</vt:lpstr>
      <vt:lpstr>'하우징 사용 내역'!Print_Area</vt:lpstr>
      <vt:lpstr>'하우징 사용내역 총정리'!Print_Area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AJW</dc:creator>
  <cp:lastModifiedBy>AJWorld</cp:lastModifiedBy>
  <cp:lastPrinted>2026-04-01T01:15:20Z</cp:lastPrinted>
  <dcterms:created xsi:type="dcterms:W3CDTF">2026-03-25T00:21:54Z</dcterms:created>
  <dcterms:modified xsi:type="dcterms:W3CDTF">2026-04-17T07:05:06Z</dcterms:modified>
</cp:coreProperties>
</file>
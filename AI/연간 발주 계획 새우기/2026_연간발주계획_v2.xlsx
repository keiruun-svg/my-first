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블 사용내역" sheetId="1" state="visible" r:id="rId1"/>
    <sheet xmlns:r="http://schemas.openxmlformats.org/officeDocument/2006/relationships" name="하우징 사용내역" sheetId="2" state="visible" r:id="rId2"/>
    <sheet xmlns:r="http://schemas.openxmlformats.org/officeDocument/2006/relationships" name="2026 월별 발주계획" sheetId="3" state="visible" r:id="rId3"/>
    <sheet xmlns:r="http://schemas.openxmlformats.org/officeDocument/2006/relationships" name="⚠ 이상항목 검토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1F3864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0000FF"/>
      <sz val="9"/>
    </font>
    <font>
      <name val="Arial"/>
      <b val="1"/>
      <color rgb="00C00000"/>
      <sz val="9"/>
    </font>
    <font>
      <name val="Arial"/>
      <b val="1"/>
      <color rgb="00375623"/>
      <sz val="9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4151"/>
      </patternFill>
    </fill>
    <fill>
      <patternFill patternType="solid">
        <fgColor rgb="002F5597"/>
      </patternFill>
    </fill>
    <fill>
      <patternFill patternType="solid">
        <fgColor rgb="002E75B6"/>
      </patternFill>
    </fill>
    <fill>
      <patternFill patternType="solid">
        <fgColor rgb="009DC3E6"/>
      </patternFill>
    </fill>
    <fill>
      <patternFill patternType="solid">
        <fgColor rgb="00375623"/>
      </patternFill>
    </fill>
    <fill>
      <patternFill patternType="solid">
        <fgColor rgb="00C00000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595959"/>
      </patternFill>
    </fill>
    <fill>
      <patternFill patternType="solid">
        <fgColor rgb="00BDD7EE"/>
      </patternFill>
    </fill>
    <fill>
      <patternFill patternType="solid">
        <fgColor rgb="00F5F5F5"/>
      </patternFill>
    </fill>
    <fill>
      <patternFill patternType="solid">
        <fgColor rgb="00FFF2CC"/>
      </patternFill>
    </fill>
    <fill>
      <patternFill patternType="solid">
        <fgColor rgb="00FFFFC0"/>
      </patternFill>
    </fill>
    <fill>
      <patternFill patternType="solid">
        <fgColor rgb="00FFE6C8"/>
      </patternFill>
    </fill>
    <fill>
      <patternFill patternType="solid">
        <fgColor rgb="00FFD7D7"/>
      </patternFill>
    </fill>
    <fill>
      <patternFill patternType="solid">
        <fgColor rgb="00D7E8FF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C55A11"/>
      </left>
      <right style="medium">
        <color rgb="00C55A11"/>
      </right>
      <top style="medium">
        <color rgb="00C55A11"/>
      </top>
      <bottom style="medium">
        <color rgb="00C55A11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3" fontId="4" fillId="13" borderId="1" applyAlignment="1" pivotButton="0" quotePrefix="0" xfId="0">
      <alignment horizontal="right" vertical="center"/>
    </xf>
    <xf numFmtId="164" fontId="4" fillId="13" borderId="1" applyAlignment="1" pivotButton="0" quotePrefix="0" xfId="0">
      <alignment horizontal="center" vertical="center"/>
    </xf>
    <xf numFmtId="3" fontId="5" fillId="14" borderId="1" applyAlignment="1" pivotButton="0" quotePrefix="0" xfId="0">
      <alignment horizontal="right" vertical="center"/>
    </xf>
    <xf numFmtId="3" fontId="6" fillId="15" borderId="2" applyAlignment="1" pivotButton="0" quotePrefix="0" xfId="0">
      <alignment horizontal="right" vertical="center"/>
    </xf>
    <xf numFmtId="3" fontId="7" fillId="13" borderId="1" applyAlignment="1" pivotButton="0" quotePrefix="0" xfId="0">
      <alignment horizontal="right" vertical="center"/>
    </xf>
    <xf numFmtId="0" fontId="0" fillId="13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3" fontId="2" fillId="2" borderId="1" applyAlignment="1" pivotButton="0" quotePrefix="0" xfId="0">
      <alignment horizontal="right" vertical="center"/>
    </xf>
    <xf numFmtId="3" fontId="8" fillId="13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0" fontId="1" fillId="8" borderId="0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/>
    </xf>
    <xf numFmtId="0" fontId="4" fillId="16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/>
    </xf>
    <xf numFmtId="0" fontId="4" fillId="18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0" customWidth="1" min="3" max="3"/>
    <col width="16" customWidth="1" min="4" max="4"/>
    <col width="38" customWidth="1" min="5" max="5"/>
    <col width="12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9" customWidth="1" min="16" max="16"/>
    <col width="9" customWidth="1" min="17" max="17"/>
    <col width="13" customWidth="1" min="18" max="18"/>
    <col width="12" customWidth="1" min="19" max="19"/>
    <col width="12" customWidth="1" min="20" max="20"/>
    <col width="15" customWidth="1" min="21" max="21"/>
    <col width="14" customWidth="1" min="22" max="22"/>
    <col width="20" customWidth="1" min="23" max="23"/>
  </cols>
  <sheetData>
    <row r="1" ht="26" customHeight="1">
      <c r="A1" s="1" t="inlineStr">
        <is>
          <t>2026 연간 발주 계획 — 케이블 사용내역  (단위 : m)</t>
        </is>
      </c>
    </row>
    <row r="2" ht="18" customHeight="1">
      <c r="A2" s="2" t="inlineStr">
        <is>
          <t>기본 정보</t>
        </is>
      </c>
      <c r="B2" s="40" t="n"/>
      <c r="C2" s="40" t="n"/>
      <c r="D2" s="40" t="n"/>
      <c r="E2" s="40" t="n"/>
      <c r="F2" s="40" t="n"/>
      <c r="G2" s="41" t="n"/>
      <c r="H2" s="3" t="inlineStr">
        <is>
          <t>2023년</t>
        </is>
      </c>
      <c r="I2" s="41" t="n"/>
      <c r="J2" s="4" t="inlineStr">
        <is>
          <t>2024년</t>
        </is>
      </c>
      <c r="K2" s="41" t="n"/>
      <c r="L2" s="5" t="inlineStr">
        <is>
          <t>2025년</t>
        </is>
      </c>
      <c r="M2" s="41" t="n"/>
      <c r="N2" s="6" t="inlineStr">
        <is>
          <t>📊 트렌드 분석</t>
        </is>
      </c>
      <c r="O2" s="40" t="n"/>
      <c r="P2" s="40" t="n"/>
      <c r="Q2" s="41" t="n"/>
      <c r="R2" s="7" t="inlineStr">
        <is>
          <t>⚠ 안전재고</t>
        </is>
      </c>
      <c r="S2" s="8" t="inlineStr">
        <is>
          <t>재고 현황</t>
        </is>
      </c>
      <c r="T2" s="41" t="n"/>
      <c r="U2" s="9" t="inlineStr">
        <is>
          <t>✏ 2026 발주 계획</t>
        </is>
      </c>
      <c r="V2" s="41" t="n"/>
      <c r="W2" s="10" t="inlineStr">
        <is>
          <t>비고</t>
        </is>
      </c>
    </row>
    <row r="3" ht="42" customHeight="1">
      <c r="A3" s="11" t="inlineStr">
        <is>
          <t>NO</t>
        </is>
      </c>
      <c r="B3" s="11" t="inlineStr">
        <is>
          <t>파이</t>
        </is>
      </c>
      <c r="C3" s="11" t="inlineStr">
        <is>
          <t>케이블 종류</t>
        </is>
      </c>
      <c r="D3" s="11" t="inlineStr">
        <is>
          <t>품번</t>
        </is>
      </c>
      <c r="E3" s="11" t="inlineStr">
        <is>
          <t>품명</t>
        </is>
      </c>
      <c r="F3" s="11" t="inlineStr">
        <is>
          <t>구매처</t>
        </is>
      </c>
      <c r="G3" s="11" t="inlineStr">
        <is>
          <t>리드타임
(일)</t>
        </is>
      </c>
      <c r="H3" s="11" t="inlineStr">
        <is>
          <t>연간(m)</t>
        </is>
      </c>
      <c r="I3" s="11" t="inlineStr">
        <is>
          <t>피크(m)</t>
        </is>
      </c>
      <c r="J3" s="11" t="inlineStr">
        <is>
          <t>연간(m)</t>
        </is>
      </c>
      <c r="K3" s="11" t="inlineStr">
        <is>
          <t>피크(m)</t>
        </is>
      </c>
      <c r="L3" s="11" t="inlineStr">
        <is>
          <t>연간(m)</t>
        </is>
      </c>
      <c r="M3" s="11" t="inlineStr">
        <is>
          <t>피크(m)</t>
        </is>
      </c>
      <c r="N3" s="11" t="inlineStr">
        <is>
          <t>3개년
평균연간</t>
        </is>
      </c>
      <c r="O3" s="11" t="inlineStr">
        <is>
          <t>3개년
피크평균</t>
        </is>
      </c>
      <c r="P3" s="11" t="inlineStr">
        <is>
          <t>23→24
증감률</t>
        </is>
      </c>
      <c r="Q3" s="11" t="inlineStr">
        <is>
          <t>24→25
증감률</t>
        </is>
      </c>
      <c r="R3" s="11" t="inlineStr">
        <is>
          <t>안전재고
(m)</t>
        </is>
      </c>
      <c r="S3" s="11" t="inlineStr">
        <is>
          <t>현재고
(m)</t>
        </is>
      </c>
      <c r="T3" s="11" t="inlineStr">
        <is>
          <t>기발주
(참고)</t>
        </is>
      </c>
      <c r="U3" s="11" t="inlineStr">
        <is>
          <t>2026목표
(m)</t>
        </is>
      </c>
      <c r="V3" s="11" t="inlineStr">
        <is>
          <t>필요발주
(m)</t>
        </is>
      </c>
      <c r="W3" s="11" t="inlineStr">
        <is>
          <t>비고</t>
        </is>
      </c>
    </row>
    <row r="4" ht="17" customHeight="1">
      <c r="A4" s="12" t="n">
        <v>1</v>
      </c>
      <c r="B4" s="12" t="inlineStr">
        <is>
          <t>2.0mm</t>
        </is>
      </c>
      <c r="C4" s="13" t="inlineStr">
        <is>
          <t>A1-12C</t>
        </is>
      </c>
      <c r="D4" s="13" t="inlineStr">
        <is>
          <t>P14-RM-4204C</t>
        </is>
      </c>
      <c r="E4" s="13" t="inlineStr">
        <is>
          <t>DISTRIBUTION CABLE G657A1 (12C)</t>
        </is>
      </c>
      <c r="F4" s="12" t="inlineStr">
        <is>
          <t>CFOFC</t>
        </is>
      </c>
      <c r="G4" s="12" t="n">
        <v>40</v>
      </c>
      <c r="H4" s="14" t="n">
        <v>1860</v>
      </c>
      <c r="I4" s="14" t="n">
        <v>750</v>
      </c>
      <c r="J4" s="14" t="n">
        <v>2735</v>
      </c>
      <c r="K4" s="14" t="n">
        <v>770</v>
      </c>
      <c r="L4" s="14" t="n">
        <v>908</v>
      </c>
      <c r="M4" s="14" t="n">
        <v>380</v>
      </c>
      <c r="N4" s="14">
        <f>ROUND(AVERAGE(H4,J4,L4),0)</f>
        <v/>
      </c>
      <c r="O4" s="14">
        <f>ROUND(AVERAGE(I4,K4,M4),0)</f>
        <v/>
      </c>
      <c r="P4" s="15">
        <f>IFERROR((J4-H4)/H4,"")</f>
        <v/>
      </c>
      <c r="Q4" s="15">
        <f>IFERROR((L4-J4)/J4,"")</f>
        <v/>
      </c>
      <c r="R4" s="16">
        <f>ROUND(O4*G4/30,0)</f>
        <v/>
      </c>
      <c r="S4" s="14" t="n">
        <v>7000</v>
      </c>
      <c r="T4" s="14" t="n"/>
      <c r="U4" s="17" t="n"/>
      <c r="V4" s="18">
        <f>IFERROR(U4-IFERROR(S4,0)-IFERROR(T4,0),"")</f>
        <v/>
      </c>
      <c r="W4" s="19" t="inlineStr"/>
    </row>
    <row r="5" ht="17" customHeight="1">
      <c r="A5" s="20" t="n">
        <v>2</v>
      </c>
      <c r="B5" s="20" t="inlineStr">
        <is>
          <t>2.0mm</t>
        </is>
      </c>
      <c r="C5" s="21" t="inlineStr">
        <is>
          <t>A1-16C</t>
        </is>
      </c>
      <c r="D5" s="21" t="inlineStr">
        <is>
          <t>P14-RM-4205C</t>
        </is>
      </c>
      <c r="E5" s="21" t="inlineStr">
        <is>
          <t>DISTRIBUTION CABLE G657A1 (16C)</t>
        </is>
      </c>
      <c r="F5" s="20" t="inlineStr">
        <is>
          <t>CFOFC</t>
        </is>
      </c>
      <c r="G5" s="20" t="n">
        <v>40</v>
      </c>
      <c r="H5" s="22" t="n">
        <v>2360</v>
      </c>
      <c r="I5" s="22" t="n">
        <v>995</v>
      </c>
      <c r="J5" s="22" t="n">
        <v>2190</v>
      </c>
      <c r="K5" s="22" t="n">
        <v>740</v>
      </c>
      <c r="L5" s="22" t="n">
        <v>1031</v>
      </c>
      <c r="M5" s="22" t="n">
        <v>320</v>
      </c>
      <c r="N5" s="22">
        <f>ROUND(AVERAGE(H5,J5,L5),0)</f>
        <v/>
      </c>
      <c r="O5" s="22">
        <f>ROUND(AVERAGE(I5,K5,M5),0)</f>
        <v/>
      </c>
      <c r="P5" s="23">
        <f>IFERROR((J5-H5)/H5,"")</f>
        <v/>
      </c>
      <c r="Q5" s="23">
        <f>IFERROR((L5-J5)/J5,"")</f>
        <v/>
      </c>
      <c r="R5" s="16">
        <f>ROUND(O5*G5/30,0)</f>
        <v/>
      </c>
      <c r="S5" s="22" t="n">
        <v>1700</v>
      </c>
      <c r="T5" s="22" t="n"/>
      <c r="U5" s="17" t="n"/>
      <c r="V5" s="24">
        <f>IFERROR(U5-IFERROR(S5,0)-IFERROR(T5,0),"")</f>
        <v/>
      </c>
      <c r="W5" s="25" t="inlineStr"/>
    </row>
    <row r="6" ht="17" customHeight="1">
      <c r="A6" s="12" t="n">
        <v>3</v>
      </c>
      <c r="B6" s="12" t="inlineStr">
        <is>
          <t>2.0mm</t>
        </is>
      </c>
      <c r="C6" s="13" t="inlineStr">
        <is>
          <t>A1-20C</t>
        </is>
      </c>
      <c r="D6" s="13" t="inlineStr">
        <is>
          <t>P14-RM-4206</t>
        </is>
      </c>
      <c r="E6" s="13" t="inlineStr">
        <is>
          <t>DISTRIBUTION CABLE G657A1 (20C)</t>
        </is>
      </c>
      <c r="F6" s="12" t="inlineStr">
        <is>
          <t>CFOFC</t>
        </is>
      </c>
      <c r="G6" s="12" t="n">
        <v>40</v>
      </c>
      <c r="H6" s="14" t="n">
        <v>890</v>
      </c>
      <c r="I6" s="14" t="n">
        <v>400</v>
      </c>
      <c r="J6" s="14" t="n">
        <v>1010</v>
      </c>
      <c r="K6" s="14" t="n">
        <v>560</v>
      </c>
      <c r="L6" s="14" t="n">
        <v>85</v>
      </c>
      <c r="M6" s="14" t="n">
        <v>70</v>
      </c>
      <c r="N6" s="14">
        <f>ROUND(AVERAGE(H6,J6,L6),0)</f>
        <v/>
      </c>
      <c r="O6" s="14">
        <f>ROUND(AVERAGE(I6,K6,M6),0)</f>
        <v/>
      </c>
      <c r="P6" s="15">
        <f>IFERROR((J6-H6)/H6,"")</f>
        <v/>
      </c>
      <c r="Q6" s="15">
        <f>IFERROR((L6-J6)/J6,"")</f>
        <v/>
      </c>
      <c r="R6" s="16">
        <f>ROUND(O6*G6/30,0)</f>
        <v/>
      </c>
      <c r="S6" s="14" t="n">
        <v>800</v>
      </c>
      <c r="T6" s="14" t="n"/>
      <c r="U6" s="17" t="n"/>
      <c r="V6" s="18">
        <f>IFERROR(U6-IFERROR(S6,0)-IFERROR(T6,0),"")</f>
        <v/>
      </c>
      <c r="W6" s="19" t="inlineStr"/>
    </row>
    <row r="7" ht="17" customHeight="1">
      <c r="A7" s="20" t="n">
        <v>4</v>
      </c>
      <c r="B7" s="20" t="inlineStr">
        <is>
          <t>2.0mm</t>
        </is>
      </c>
      <c r="C7" s="21" t="inlineStr">
        <is>
          <t>A1-24C</t>
        </is>
      </c>
      <c r="D7" s="21" t="inlineStr">
        <is>
          <t>P14-RM-4207</t>
        </is>
      </c>
      <c r="E7" s="21" t="inlineStr">
        <is>
          <t>DISTRIBUTION CABLE G657A1 (24C)</t>
        </is>
      </c>
      <c r="F7" s="20" t="inlineStr">
        <is>
          <t>CFOFC</t>
        </is>
      </c>
      <c r="G7" s="20" t="n">
        <v>40</v>
      </c>
      <c r="H7" s="22" t="n">
        <v>284</v>
      </c>
      <c r="I7" s="22" t="n">
        <v>224</v>
      </c>
      <c r="J7" s="22" t="n"/>
      <c r="K7" s="22" t="n"/>
      <c r="L7" s="22" t="n"/>
      <c r="M7" s="22" t="n"/>
      <c r="N7" s="22">
        <f>ROUND(AVERAGE(H7,J7,L7),0)</f>
        <v/>
      </c>
      <c r="O7" s="22">
        <f>ROUND(AVERAGE(I7,K7,M7),0)</f>
        <v/>
      </c>
      <c r="P7" s="23">
        <f>IFERROR((J7-H7)/H7,"")</f>
        <v/>
      </c>
      <c r="Q7" s="23">
        <f>IFERROR((L7-J7)/J7,"")</f>
        <v/>
      </c>
      <c r="R7" s="16">
        <f>ROUND(O7*G7/30,0)</f>
        <v/>
      </c>
      <c r="S7" s="22" t="n">
        <v>5600</v>
      </c>
      <c r="T7" s="22" t="n"/>
      <c r="U7" s="17" t="n"/>
      <c r="V7" s="24">
        <f>IFERROR(U7-IFERROR(S7,0)-IFERROR(T7,0),"")</f>
        <v/>
      </c>
      <c r="W7" s="25" t="inlineStr"/>
    </row>
    <row r="8" ht="17" customHeight="1">
      <c r="A8" s="12" t="n">
        <v>5</v>
      </c>
      <c r="B8" s="12" t="inlineStr">
        <is>
          <t>2.0mm</t>
        </is>
      </c>
      <c r="C8" s="13" t="inlineStr">
        <is>
          <t>A1-4C</t>
        </is>
      </c>
      <c r="D8" s="13" t="inlineStr">
        <is>
          <t>P14-RM-4201C</t>
        </is>
      </c>
      <c r="E8" s="13" t="inlineStr">
        <is>
          <t>DISTRIBUTION CABLE G657A1 (4C)</t>
        </is>
      </c>
      <c r="F8" s="12" t="inlineStr">
        <is>
          <t>CFOFC</t>
        </is>
      </c>
      <c r="G8" s="12" t="n">
        <v>40</v>
      </c>
      <c r="H8" s="14" t="n"/>
      <c r="I8" s="14" t="n"/>
      <c r="J8" s="14" t="n">
        <v>235</v>
      </c>
      <c r="K8" s="14" t="n">
        <v>235</v>
      </c>
      <c r="L8" s="14" t="n">
        <v>2000</v>
      </c>
      <c r="M8" s="14" t="n">
        <v>1175</v>
      </c>
      <c r="N8" s="14">
        <f>ROUND(AVERAGE(H8,J8,L8),0)</f>
        <v/>
      </c>
      <c r="O8" s="14">
        <f>ROUND(AVERAGE(I8,K8,M8),0)</f>
        <v/>
      </c>
      <c r="P8" s="15">
        <f>IFERROR((J8-H8)/H8,"")</f>
        <v/>
      </c>
      <c r="Q8" s="15">
        <f>IFERROR((L8-J8)/J8,"")</f>
        <v/>
      </c>
      <c r="R8" s="16">
        <f>ROUND(O8*G8/30,0)</f>
        <v/>
      </c>
      <c r="S8" s="14" t="n">
        <v>1500</v>
      </c>
      <c r="T8" s="14" t="n"/>
      <c r="U8" s="17" t="n"/>
      <c r="V8" s="18">
        <f>IFERROR(U8-IFERROR(S8,0)-IFERROR(T8,0),"")</f>
        <v/>
      </c>
      <c r="W8" s="19" t="inlineStr"/>
    </row>
    <row r="9" ht="17" customHeight="1">
      <c r="A9" s="20" t="n">
        <v>6</v>
      </c>
      <c r="B9" s="20" t="inlineStr">
        <is>
          <t>2.0mm</t>
        </is>
      </c>
      <c r="C9" s="21" t="inlineStr">
        <is>
          <t>A1-8C</t>
        </is>
      </c>
      <c r="D9" s="21" t="inlineStr">
        <is>
          <t>P14-RM-4203C</t>
        </is>
      </c>
      <c r="E9" s="21" t="inlineStr">
        <is>
          <t>DISTRIBUTION CABLE G657A1 (8C)</t>
        </is>
      </c>
      <c r="F9" s="20" t="inlineStr">
        <is>
          <t>CFOFC</t>
        </is>
      </c>
      <c r="G9" s="20" t="n">
        <v>40</v>
      </c>
      <c r="H9" s="22" t="n">
        <v>1363</v>
      </c>
      <c r="I9" s="22" t="n">
        <v>600</v>
      </c>
      <c r="J9" s="22" t="n">
        <v>1813</v>
      </c>
      <c r="K9" s="22" t="n">
        <v>680</v>
      </c>
      <c r="L9" s="22" t="n">
        <v>6717</v>
      </c>
      <c r="M9" s="22" t="n">
        <v>3053</v>
      </c>
      <c r="N9" s="22">
        <f>ROUND(AVERAGE(H9,J9,L9),0)</f>
        <v/>
      </c>
      <c r="O9" s="22">
        <f>ROUND(AVERAGE(I9,K9,M9),0)</f>
        <v/>
      </c>
      <c r="P9" s="23">
        <f>IFERROR((J9-H9)/H9,"")</f>
        <v/>
      </c>
      <c r="Q9" s="23">
        <f>IFERROR((L9-J9)/J9,"")</f>
        <v/>
      </c>
      <c r="R9" s="16">
        <f>ROUND(O9*G9/30,0)</f>
        <v/>
      </c>
      <c r="S9" s="22" t="n">
        <v>3000</v>
      </c>
      <c r="T9" s="22" t="n"/>
      <c r="U9" s="17" t="n"/>
      <c r="V9" s="24">
        <f>IFERROR(U9-IFERROR(S9,0)-IFERROR(T9,0),"")</f>
        <v/>
      </c>
      <c r="W9" s="25" t="inlineStr"/>
    </row>
    <row r="10" ht="17" customHeight="1">
      <c r="A10" s="12" t="n">
        <v>7</v>
      </c>
      <c r="B10" s="12" t="inlineStr">
        <is>
          <t>2.0mm</t>
        </is>
      </c>
      <c r="C10" s="13" t="inlineStr">
        <is>
          <t>A1-DP</t>
        </is>
      </c>
      <c r="D10" s="13" t="inlineStr">
        <is>
          <t>P14-RM-4189R</t>
        </is>
      </c>
      <c r="E10" s="13" t="inlineStr">
        <is>
          <t>OPTICAL CABLE 2.0mm G657A1 DP-SM (YELLOW,황)</t>
        </is>
      </c>
      <c r="F10" s="12" t="inlineStr">
        <is>
          <t>HUAMAI</t>
        </is>
      </c>
      <c r="G10" s="12" t="n">
        <v>60</v>
      </c>
      <c r="H10" s="14" t="n">
        <v>264991</v>
      </c>
      <c r="I10" s="14" t="n">
        <v>42070</v>
      </c>
      <c r="J10" s="14" t="n">
        <v>154527</v>
      </c>
      <c r="K10" s="14" t="n">
        <v>31158</v>
      </c>
      <c r="L10" s="14" t="n">
        <v>303042</v>
      </c>
      <c r="M10" s="14" t="n">
        <v>47130</v>
      </c>
      <c r="N10" s="14">
        <f>ROUND(AVERAGE(H10,J10,L10),0)</f>
        <v/>
      </c>
      <c r="O10" s="14">
        <f>ROUND(AVERAGE(I10,K10,M10),0)</f>
        <v/>
      </c>
      <c r="P10" s="15">
        <f>IFERROR((J10-H10)/H10,"")</f>
        <v/>
      </c>
      <c r="Q10" s="15">
        <f>IFERROR((L10-J10)/J10,"")</f>
        <v/>
      </c>
      <c r="R10" s="16">
        <f>ROUND(O10*G10/30,0)</f>
        <v/>
      </c>
      <c r="S10" s="14" t="n">
        <v>108000</v>
      </c>
      <c r="T10" s="14" t="n"/>
      <c r="U10" s="17" t="n"/>
      <c r="V10" s="18">
        <f>IFERROR(U10-IFERROR(S10,0)-IFERROR(T10,0),"")</f>
        <v/>
      </c>
      <c r="W10" s="19" t="inlineStr"/>
    </row>
    <row r="11" ht="17" customHeight="1">
      <c r="A11" s="20" t="n">
        <v>8</v>
      </c>
      <c r="B11" s="20" t="inlineStr">
        <is>
          <t>2.0mm</t>
        </is>
      </c>
      <c r="C11" s="21" t="inlineStr">
        <is>
          <t>A1-SP</t>
        </is>
      </c>
      <c r="D11" s="21" t="inlineStr">
        <is>
          <t>P14-RM-4188</t>
        </is>
      </c>
      <c r="E11" s="21" t="inlineStr">
        <is>
          <t>OPTICAL CABLE 2.0mm G657A1 SP-SM (YELLOW,황)</t>
        </is>
      </c>
      <c r="F11" s="20" t="inlineStr">
        <is>
          <t>HUAMAI</t>
        </is>
      </c>
      <c r="G11" s="20" t="n">
        <v>60</v>
      </c>
      <c r="H11" s="22" t="n">
        <v>245155</v>
      </c>
      <c r="I11" s="22" t="n">
        <v>76202</v>
      </c>
      <c r="J11" s="22" t="n">
        <v>124091</v>
      </c>
      <c r="K11" s="22" t="n">
        <v>25930</v>
      </c>
      <c r="L11" s="22" t="n">
        <v>252405</v>
      </c>
      <c r="M11" s="22" t="n">
        <v>46861</v>
      </c>
      <c r="N11" s="22">
        <f>ROUND(AVERAGE(H11,J11,L11),0)</f>
        <v/>
      </c>
      <c r="O11" s="22">
        <f>ROUND(AVERAGE(I11,K11,M11),0)</f>
        <v/>
      </c>
      <c r="P11" s="23">
        <f>IFERROR((J11-H11)/H11,"")</f>
        <v/>
      </c>
      <c r="Q11" s="23">
        <f>IFERROR((L11-J11)/J11,"")</f>
        <v/>
      </c>
      <c r="R11" s="16">
        <f>ROUND(O11*G11/30,0)</f>
        <v/>
      </c>
      <c r="S11" s="22" t="n">
        <v>40000</v>
      </c>
      <c r="T11" s="22" t="n"/>
      <c r="U11" s="17" t="n"/>
      <c r="V11" s="24">
        <f>IFERROR(U11-IFERROR(S11,0)-IFERROR(T11,0),"")</f>
        <v/>
      </c>
      <c r="W11" s="25" t="inlineStr"/>
    </row>
    <row r="12" ht="17" customHeight="1">
      <c r="A12" s="12" t="n">
        <v>9</v>
      </c>
      <c r="B12" s="12" t="inlineStr">
        <is>
          <t>2.0mm</t>
        </is>
      </c>
      <c r="C12" s="13" t="inlineStr">
        <is>
          <t>A1_녹-DP</t>
        </is>
      </c>
      <c r="D12" s="13" t="inlineStr">
        <is>
          <t>P14-RM-4183</t>
        </is>
      </c>
      <c r="E12" s="13" t="inlineStr">
        <is>
          <t>OPTICAL CABLE 2.0mm G657A1 DP-SM (GREEN,녹)</t>
        </is>
      </c>
      <c r="F12" s="12" t="inlineStr">
        <is>
          <t>HUAMAI</t>
        </is>
      </c>
      <c r="G12" s="12" t="n">
        <v>60</v>
      </c>
      <c r="H12" s="14" t="n">
        <v>48355</v>
      </c>
      <c r="I12" s="14" t="n">
        <v>16565</v>
      </c>
      <c r="J12" s="14" t="n">
        <v>61867</v>
      </c>
      <c r="K12" s="14" t="n">
        <v>17362</v>
      </c>
      <c r="L12" s="14" t="n">
        <v>12500</v>
      </c>
      <c r="M12" s="14" t="n">
        <v>6530</v>
      </c>
      <c r="N12" s="14">
        <f>ROUND(AVERAGE(H12,J12,L12),0)</f>
        <v/>
      </c>
      <c r="O12" s="14">
        <f>ROUND(AVERAGE(I12,K12,M12),0)</f>
        <v/>
      </c>
      <c r="P12" s="15">
        <f>IFERROR((J12-H12)/H12,"")</f>
        <v/>
      </c>
      <c r="Q12" s="15">
        <f>IFERROR((L12-J12)/J12,"")</f>
        <v/>
      </c>
      <c r="R12" s="16">
        <f>ROUND(O12*G12/30,0)</f>
        <v/>
      </c>
      <c r="S12" s="14" t="n">
        <v>10000</v>
      </c>
      <c r="T12" s="14" t="n"/>
      <c r="U12" s="17" t="n"/>
      <c r="V12" s="18">
        <f>IFERROR(U12-IFERROR(S12,0)-IFERROR(T12,0),"")</f>
        <v/>
      </c>
      <c r="W12" s="19" t="inlineStr"/>
    </row>
    <row r="13" ht="17" customHeight="1">
      <c r="A13" s="20" t="n">
        <v>10</v>
      </c>
      <c r="B13" s="20" t="inlineStr">
        <is>
          <t>2.0mm</t>
        </is>
      </c>
      <c r="C13" s="21" t="inlineStr">
        <is>
          <t>A1_녹-SP</t>
        </is>
      </c>
      <c r="D13" s="21" t="inlineStr">
        <is>
          <t>P14-RM-4184</t>
        </is>
      </c>
      <c r="E13" s="21" t="inlineStr">
        <is>
          <t>OPTICAL CABLE 2.0mm G657A1 SP-SM (GREEN,녹)</t>
        </is>
      </c>
      <c r="F13" s="20" t="inlineStr">
        <is>
          <t>HUAMAI</t>
        </is>
      </c>
      <c r="G13" s="20" t="n">
        <v>60</v>
      </c>
      <c r="H13" s="22" t="n">
        <v>27496</v>
      </c>
      <c r="I13" s="22" t="n">
        <v>12210</v>
      </c>
      <c r="J13" s="22" t="n">
        <v>28481</v>
      </c>
      <c r="K13" s="22" t="n">
        <v>13340</v>
      </c>
      <c r="L13" s="22" t="n">
        <v>400</v>
      </c>
      <c r="M13" s="22" t="n">
        <v>300</v>
      </c>
      <c r="N13" s="22">
        <f>ROUND(AVERAGE(H13,J13,L13),0)</f>
        <v/>
      </c>
      <c r="O13" s="22">
        <f>ROUND(AVERAGE(I13,K13,M13),0)</f>
        <v/>
      </c>
      <c r="P13" s="23">
        <f>IFERROR((J13-H13)/H13,"")</f>
        <v/>
      </c>
      <c r="Q13" s="23">
        <f>IFERROR((L13-J13)/J13,"")</f>
        <v/>
      </c>
      <c r="R13" s="16">
        <f>ROUND(O13*G13/30,0)</f>
        <v/>
      </c>
      <c r="S13" s="22" t="n">
        <v>10000</v>
      </c>
      <c r="T13" s="22" t="n"/>
      <c r="U13" s="17" t="n"/>
      <c r="V13" s="24">
        <f>IFERROR(U13-IFERROR(S13,0)-IFERROR(T13,0),"")</f>
        <v/>
      </c>
      <c r="W13" s="25" t="inlineStr"/>
    </row>
    <row r="14" ht="17" customHeight="1">
      <c r="A14" s="12" t="n">
        <v>11</v>
      </c>
      <c r="B14" s="12" t="inlineStr">
        <is>
          <t>2.0mm</t>
        </is>
      </c>
      <c r="C14" s="13" t="inlineStr">
        <is>
          <t>A1_자-DP</t>
        </is>
      </c>
      <c r="D14" s="13" t="inlineStr">
        <is>
          <t>P14-RM-418F</t>
        </is>
      </c>
      <c r="E14" s="13" t="inlineStr">
        <is>
          <t>OPTICAL CABLE 2.0mm G657A1 DP-SM (VIOLET, 자)</t>
        </is>
      </c>
      <c r="F14" s="12" t="inlineStr">
        <is>
          <t>HUAMAI</t>
        </is>
      </c>
      <c r="G14" s="12" t="n">
        <v>60</v>
      </c>
      <c r="H14" s="14" t="n">
        <v>2876</v>
      </c>
      <c r="I14" s="14" t="n">
        <v>1700</v>
      </c>
      <c r="J14" s="14" t="n">
        <v>749</v>
      </c>
      <c r="K14" s="14" t="n">
        <v>749</v>
      </c>
      <c r="L14" s="14" t="n"/>
      <c r="M14" s="14" t="n"/>
      <c r="N14" s="14">
        <f>ROUND(AVERAGE(H14,J14,L14),0)</f>
        <v/>
      </c>
      <c r="O14" s="14">
        <f>ROUND(AVERAGE(I14,K14,M14),0)</f>
        <v/>
      </c>
      <c r="P14" s="15">
        <f>IFERROR((J14-H14)/H14,"")</f>
        <v/>
      </c>
      <c r="Q14" s="15">
        <f>IFERROR((L14-J14)/J14,"")</f>
        <v/>
      </c>
      <c r="R14" s="16">
        <f>ROUND(O14*G14/30,0)</f>
        <v/>
      </c>
      <c r="S14" s="14" t="n">
        <v>1650</v>
      </c>
      <c r="T14" s="14" t="n"/>
      <c r="U14" s="17" t="n"/>
      <c r="V14" s="18">
        <f>IFERROR(U14-IFERROR(S14,0)-IFERROR(T14,0),"")</f>
        <v/>
      </c>
      <c r="W14" s="19" t="inlineStr"/>
    </row>
    <row r="15" ht="17" customHeight="1">
      <c r="A15" s="20" t="n">
        <v>12</v>
      </c>
      <c r="B15" s="20" t="inlineStr">
        <is>
          <t>2.0mm</t>
        </is>
      </c>
      <c r="C15" s="21" t="inlineStr">
        <is>
          <t>A1_적-DP</t>
        </is>
      </c>
      <c r="D15" s="21" t="inlineStr">
        <is>
          <t>P14-RM-418CR</t>
        </is>
      </c>
      <c r="E15" s="21" t="inlineStr">
        <is>
          <t>OPTICAL CABLE 2.0mm G657A1 DP-SM (RED,적)</t>
        </is>
      </c>
      <c r="F15" s="20" t="inlineStr">
        <is>
          <t>HUAMAI</t>
        </is>
      </c>
      <c r="G15" s="20" t="n">
        <v>60</v>
      </c>
      <c r="H15" s="22" t="n">
        <v>38608</v>
      </c>
      <c r="I15" s="22" t="n">
        <v>8600</v>
      </c>
      <c r="J15" s="22" t="n">
        <v>20404</v>
      </c>
      <c r="K15" s="22" t="n">
        <v>5193</v>
      </c>
      <c r="L15" s="22" t="n">
        <v>13325</v>
      </c>
      <c r="M15" s="22" t="n">
        <v>6800</v>
      </c>
      <c r="N15" s="22">
        <f>ROUND(AVERAGE(H15,J15,L15),0)</f>
        <v/>
      </c>
      <c r="O15" s="22">
        <f>ROUND(AVERAGE(I15,K15,M15),0)</f>
        <v/>
      </c>
      <c r="P15" s="23">
        <f>IFERROR((J15-H15)/H15,"")</f>
        <v/>
      </c>
      <c r="Q15" s="23">
        <f>IFERROR((L15-J15)/J15,"")</f>
        <v/>
      </c>
      <c r="R15" s="16">
        <f>ROUND(O15*G15/30,0)</f>
        <v/>
      </c>
      <c r="S15" s="22" t="n">
        <v>18000</v>
      </c>
      <c r="T15" s="22" t="n"/>
      <c r="U15" s="17" t="n"/>
      <c r="V15" s="24">
        <f>IFERROR(U15-IFERROR(S15,0)-IFERROR(T15,0),"")</f>
        <v/>
      </c>
      <c r="W15" s="25" t="inlineStr"/>
    </row>
    <row r="16" ht="17" customHeight="1">
      <c r="A16" s="12" t="n">
        <v>13</v>
      </c>
      <c r="B16" s="12" t="inlineStr">
        <is>
          <t>2.0mm</t>
        </is>
      </c>
      <c r="C16" s="13" t="inlineStr">
        <is>
          <t>A1_적-SP</t>
        </is>
      </c>
      <c r="D16" s="13" t="inlineStr">
        <is>
          <t>P14-RM-418D</t>
        </is>
      </c>
      <c r="E16" s="13" t="inlineStr">
        <is>
          <t>OPTICAL CABLE 2.0mm G657A1 SP-SM (RED,적)</t>
        </is>
      </c>
      <c r="F16" s="12" t="inlineStr">
        <is>
          <t>HUAMAI</t>
        </is>
      </c>
      <c r="G16" s="12" t="n">
        <v>60</v>
      </c>
      <c r="H16" s="14" t="n">
        <v>350</v>
      </c>
      <c r="I16" s="14" t="n">
        <v>200</v>
      </c>
      <c r="J16" s="14" t="n">
        <v>622</v>
      </c>
      <c r="K16" s="14" t="n">
        <v>600</v>
      </c>
      <c r="L16" s="14" t="n">
        <v>400</v>
      </c>
      <c r="M16" s="14" t="n">
        <v>300</v>
      </c>
      <c r="N16" s="14">
        <f>ROUND(AVERAGE(H16,J16,L16),0)</f>
        <v/>
      </c>
      <c r="O16" s="14">
        <f>ROUND(AVERAGE(I16,K16,M16),0)</f>
        <v/>
      </c>
      <c r="P16" s="15">
        <f>IFERROR((J16-H16)/H16,"")</f>
        <v/>
      </c>
      <c r="Q16" s="15">
        <f>IFERROR((L16-J16)/J16,"")</f>
        <v/>
      </c>
      <c r="R16" s="16">
        <f>ROUND(O16*G16/30,0)</f>
        <v/>
      </c>
      <c r="S16" s="14" t="n">
        <v>16200</v>
      </c>
      <c r="T16" s="14" t="n"/>
      <c r="U16" s="17" t="n"/>
      <c r="V16" s="18">
        <f>IFERROR(U16-IFERROR(S16,0)-IFERROR(T16,0),"")</f>
        <v/>
      </c>
      <c r="W16" s="19" t="inlineStr"/>
    </row>
    <row r="17" ht="17" customHeight="1">
      <c r="A17" s="20" t="n">
        <v>14</v>
      </c>
      <c r="B17" s="20" t="inlineStr">
        <is>
          <t>2.0mm</t>
        </is>
      </c>
      <c r="C17" s="21" t="inlineStr">
        <is>
          <t>A1_청-DP</t>
        </is>
      </c>
      <c r="D17" s="21" t="inlineStr">
        <is>
          <t>P14-RM-4181R</t>
        </is>
      </c>
      <c r="E17" s="21" t="inlineStr">
        <is>
          <t>OPTICAL CABLE 2.0mm G657A1 DP-SM (BLUE,청)</t>
        </is>
      </c>
      <c r="F17" s="20" t="inlineStr">
        <is>
          <t>HUAMAI</t>
        </is>
      </c>
      <c r="G17" s="20" t="n">
        <v>60</v>
      </c>
      <c r="H17" s="22" t="n">
        <v>43219</v>
      </c>
      <c r="I17" s="22" t="n">
        <v>9500</v>
      </c>
      <c r="J17" s="22" t="n">
        <v>32680</v>
      </c>
      <c r="K17" s="22" t="n">
        <v>13260</v>
      </c>
      <c r="L17" s="22" t="n">
        <v>47465</v>
      </c>
      <c r="M17" s="22" t="n">
        <v>34050</v>
      </c>
      <c r="N17" s="22">
        <f>ROUND(AVERAGE(H17,J17,L17),0)</f>
        <v/>
      </c>
      <c r="O17" s="22">
        <f>ROUND(AVERAGE(I17,K17,M17),0)</f>
        <v/>
      </c>
      <c r="P17" s="23">
        <f>IFERROR((J17-H17)/H17,"")</f>
        <v/>
      </c>
      <c r="Q17" s="23">
        <f>IFERROR((L17-J17)/J17,"")</f>
        <v/>
      </c>
      <c r="R17" s="16">
        <f>ROUND(O17*G17/30,0)</f>
        <v/>
      </c>
      <c r="S17" s="22" t="n">
        <v>18000</v>
      </c>
      <c r="T17" s="22" t="n"/>
      <c r="U17" s="17" t="n"/>
      <c r="V17" s="24">
        <f>IFERROR(U17-IFERROR(S17,0)-IFERROR(T17,0),"")</f>
        <v/>
      </c>
      <c r="W17" s="25" t="inlineStr"/>
    </row>
    <row r="18" ht="17" customHeight="1">
      <c r="A18" s="12" t="n">
        <v>15</v>
      </c>
      <c r="B18" s="12" t="inlineStr">
        <is>
          <t>2.0mm</t>
        </is>
      </c>
      <c r="C18" s="13" t="inlineStr">
        <is>
          <t>A1_청-SP</t>
        </is>
      </c>
      <c r="D18" s="13" t="inlineStr">
        <is>
          <t>P14-RM-4182</t>
        </is>
      </c>
      <c r="E18" s="13" t="inlineStr">
        <is>
          <t>OPTICAL CABLE 2.0mm G657A1 SP-SM (BLUE,청)</t>
        </is>
      </c>
      <c r="F18" s="12" t="inlineStr">
        <is>
          <t>HUAMAI</t>
        </is>
      </c>
      <c r="G18" s="12" t="n">
        <v>60</v>
      </c>
      <c r="H18" s="14" t="n">
        <v>6938</v>
      </c>
      <c r="I18" s="14" t="n">
        <v>6810</v>
      </c>
      <c r="J18" s="14" t="n"/>
      <c r="K18" s="14" t="n"/>
      <c r="L18" s="14" t="n">
        <v>6000</v>
      </c>
      <c r="M18" s="14" t="n">
        <v>3650</v>
      </c>
      <c r="N18" s="14">
        <f>ROUND(AVERAGE(H18,J18,L18),0)</f>
        <v/>
      </c>
      <c r="O18" s="14">
        <f>ROUND(AVERAGE(I18,K18,M18),0)</f>
        <v/>
      </c>
      <c r="P18" s="15">
        <f>IFERROR((J18-H18)/H18,"")</f>
        <v/>
      </c>
      <c r="Q18" s="15">
        <f>IFERROR((L18-J18)/J18,"")</f>
        <v/>
      </c>
      <c r="R18" s="16">
        <f>ROUND(O18*G18/30,0)</f>
        <v/>
      </c>
      <c r="S18" s="14" t="n">
        <v>22000</v>
      </c>
      <c r="T18" s="14" t="n"/>
      <c r="U18" s="17" t="n"/>
      <c r="V18" s="18">
        <f>IFERROR(U18-IFERROR(S18,0)-IFERROR(T18,0),"")</f>
        <v/>
      </c>
      <c r="W18" s="19" t="inlineStr"/>
    </row>
    <row r="19" ht="17" customHeight="1">
      <c r="A19" s="20" t="n">
        <v>16</v>
      </c>
      <c r="B19" s="20" t="inlineStr">
        <is>
          <t>2.0mm</t>
        </is>
      </c>
      <c r="C19" s="21" t="inlineStr">
        <is>
          <t>B3-12C</t>
        </is>
      </c>
      <c r="D19" s="21" t="inlineStr">
        <is>
          <t>P14-RM-420B</t>
        </is>
      </c>
      <c r="E19" s="21" t="inlineStr">
        <is>
          <t>DISTRIBUTION CABLE G657 B3 (12C)</t>
        </is>
      </c>
      <c r="F19" s="20" t="inlineStr">
        <is>
          <t>CFOFC</t>
        </is>
      </c>
      <c r="G19" s="20" t="n">
        <v>40</v>
      </c>
      <c r="H19" s="22" t="n">
        <v>9966</v>
      </c>
      <c r="I19" s="22" t="n">
        <v>2021</v>
      </c>
      <c r="J19" s="22" t="n">
        <v>10851</v>
      </c>
      <c r="K19" s="22" t="n">
        <v>1530</v>
      </c>
      <c r="L19" s="22" t="n">
        <v>12623</v>
      </c>
      <c r="M19" s="22" t="n">
        <v>2431</v>
      </c>
      <c r="N19" s="22">
        <f>ROUND(AVERAGE(H19,J19,L19),0)</f>
        <v/>
      </c>
      <c r="O19" s="22">
        <f>ROUND(AVERAGE(I19,K19,M19),0)</f>
        <v/>
      </c>
      <c r="P19" s="23">
        <f>IFERROR((J19-H19)/H19,"")</f>
        <v/>
      </c>
      <c r="Q19" s="23">
        <f>IFERROR((L19-J19)/J19,"")</f>
        <v/>
      </c>
      <c r="R19" s="16">
        <f>ROUND(O19*G19/30,0)</f>
        <v/>
      </c>
      <c r="S19" s="22" t="n">
        <v>0</v>
      </c>
      <c r="T19" s="22" t="n"/>
      <c r="U19" s="17" t="n"/>
      <c r="V19" s="24">
        <f>IFERROR(U19-IFERROR(S19,0)-IFERROR(T19,0),"")</f>
        <v/>
      </c>
      <c r="W19" s="25" t="inlineStr"/>
    </row>
    <row r="20" ht="17" customHeight="1">
      <c r="A20" s="12" t="n">
        <v>17</v>
      </c>
      <c r="B20" s="12" t="inlineStr">
        <is>
          <t>2.0mm</t>
        </is>
      </c>
      <c r="C20" s="13" t="inlineStr">
        <is>
          <t>B3-16C</t>
        </is>
      </c>
      <c r="D20" s="13" t="inlineStr">
        <is>
          <t>A1 케이블 혼용</t>
        </is>
      </c>
      <c r="E20" s="13" t="n"/>
      <c r="F20" s="12" t="inlineStr">
        <is>
          <t>CFOFC</t>
        </is>
      </c>
      <c r="G20" s="12" t="n">
        <v>40</v>
      </c>
      <c r="H20" s="14" t="n">
        <v>123</v>
      </c>
      <c r="I20" s="14" t="n">
        <v>123</v>
      </c>
      <c r="J20" s="14" t="n"/>
      <c r="K20" s="14" t="n"/>
      <c r="L20" s="14" t="n">
        <v>84</v>
      </c>
      <c r="M20" s="14" t="n">
        <v>78</v>
      </c>
      <c r="N20" s="14">
        <f>ROUND(AVERAGE(H20,J20,L20),0)</f>
        <v/>
      </c>
      <c r="O20" s="14">
        <f>ROUND(AVERAGE(I20,K20,M20),0)</f>
        <v/>
      </c>
      <c r="P20" s="15">
        <f>IFERROR((J20-H20)/H20,"")</f>
        <v/>
      </c>
      <c r="Q20" s="15">
        <f>IFERROR((L20-J20)/J20,"")</f>
        <v/>
      </c>
      <c r="R20" s="16">
        <f>ROUND(O20*G20/30,0)</f>
        <v/>
      </c>
      <c r="S20" s="14" t="n">
        <v>0</v>
      </c>
      <c r="T20" s="14" t="n"/>
      <c r="U20" s="17" t="n"/>
      <c r="V20" s="18">
        <f>IFERROR(U20-IFERROR(S20,0)-IFERROR(T20,0),"")</f>
        <v/>
      </c>
      <c r="W20" s="19" t="inlineStr"/>
    </row>
    <row r="21" ht="17" customHeight="1">
      <c r="A21" s="20" t="n">
        <v>18</v>
      </c>
      <c r="B21" s="20" t="inlineStr">
        <is>
          <t>2.0mm</t>
        </is>
      </c>
      <c r="C21" s="21" t="inlineStr">
        <is>
          <t>B3-24C</t>
        </is>
      </c>
      <c r="D21" s="21" t="inlineStr">
        <is>
          <t>A1 케이블 혼용</t>
        </is>
      </c>
      <c r="E21" s="21" t="n"/>
      <c r="F21" s="20" t="inlineStr">
        <is>
          <t>CFOFC</t>
        </is>
      </c>
      <c r="G21" s="20" t="n">
        <v>60</v>
      </c>
      <c r="H21" s="22" t="n">
        <v>211</v>
      </c>
      <c r="I21" s="22" t="n">
        <v>121</v>
      </c>
      <c r="J21" s="22" t="n">
        <v>146</v>
      </c>
      <c r="K21" s="22" t="n">
        <v>120</v>
      </c>
      <c r="L21" s="22" t="n">
        <v>9</v>
      </c>
      <c r="M21" s="22" t="n">
        <v>9</v>
      </c>
      <c r="N21" s="22">
        <f>ROUND(AVERAGE(H21,J21,L21),0)</f>
        <v/>
      </c>
      <c r="O21" s="22">
        <f>ROUND(AVERAGE(I21,K21,M21),0)</f>
        <v/>
      </c>
      <c r="P21" s="23">
        <f>IFERROR((J21-H21)/H21,"")</f>
        <v/>
      </c>
      <c r="Q21" s="23">
        <f>IFERROR((L21-J21)/J21,"")</f>
        <v/>
      </c>
      <c r="R21" s="16">
        <f>ROUND(O21*G21/30,0)</f>
        <v/>
      </c>
      <c r="S21" s="22" t="n">
        <v>0</v>
      </c>
      <c r="T21" s="22" t="n"/>
      <c r="U21" s="17" t="n"/>
      <c r="V21" s="24">
        <f>IFERROR(U21-IFERROR(S21,0)-IFERROR(T21,0),"")</f>
        <v/>
      </c>
      <c r="W21" s="25" t="inlineStr"/>
    </row>
    <row r="22" ht="17" customHeight="1">
      <c r="A22" s="12" t="n">
        <v>19</v>
      </c>
      <c r="B22" s="12" t="inlineStr">
        <is>
          <t>2.0mm</t>
        </is>
      </c>
      <c r="C22" s="13" t="inlineStr">
        <is>
          <t>B3-4C</t>
        </is>
      </c>
      <c r="D22" s="13" t="inlineStr"/>
      <c r="E22" s="13" t="inlineStr"/>
      <c r="F22" s="12" t="inlineStr"/>
      <c r="G22" s="12" t="n">
        <v>60</v>
      </c>
      <c r="H22" s="14" t="n"/>
      <c r="I22" s="14" t="n"/>
      <c r="J22" s="14" t="n">
        <v>235</v>
      </c>
      <c r="K22" s="14" t="n">
        <v>175</v>
      </c>
      <c r="L22" s="14" t="n">
        <v>2000</v>
      </c>
      <c r="M22" s="14" t="n">
        <v>900</v>
      </c>
      <c r="N22" s="14">
        <f>ROUND(AVERAGE(H22,J22,L22),0)</f>
        <v/>
      </c>
      <c r="O22" s="14">
        <f>ROUND(AVERAGE(I22,K22,M22),0)</f>
        <v/>
      </c>
      <c r="P22" s="15">
        <f>IFERROR((J22-H22)/H22,"")</f>
        <v/>
      </c>
      <c r="Q22" s="15">
        <f>IFERROR((L22-J22)/J22,"")</f>
        <v/>
      </c>
      <c r="R22" s="16">
        <f>ROUND(O22*G22/30,0)</f>
        <v/>
      </c>
      <c r="S22" s="14" t="n"/>
      <c r="T22" s="14" t="n"/>
      <c r="U22" s="17" t="n"/>
      <c r="V22" s="18">
        <f>IFERROR(U22-IFERROR(S22,0)-IFERROR(T22,0),"")</f>
        <v/>
      </c>
      <c r="W22" s="19" t="inlineStr"/>
    </row>
    <row r="23" ht="17" customHeight="1">
      <c r="A23" s="20" t="n">
        <v>20</v>
      </c>
      <c r="B23" s="20" t="inlineStr">
        <is>
          <t>2.0mm</t>
        </is>
      </c>
      <c r="C23" s="21" t="inlineStr">
        <is>
          <t>B3-6C</t>
        </is>
      </c>
      <c r="D23" s="21" t="inlineStr">
        <is>
          <t>P14-RM-420A</t>
        </is>
      </c>
      <c r="E23" s="21" t="inlineStr">
        <is>
          <t>DISTRIBUTION CABLE G657 B3 (6C)</t>
        </is>
      </c>
      <c r="F23" s="20" t="inlineStr">
        <is>
          <t>CFOFC</t>
        </is>
      </c>
      <c r="G23" s="20" t="n">
        <v>40</v>
      </c>
      <c r="H23" s="22" t="n">
        <v>4421</v>
      </c>
      <c r="I23" s="22" t="n">
        <v>823</v>
      </c>
      <c r="J23" s="22" t="n">
        <v>2383</v>
      </c>
      <c r="K23" s="22" t="n">
        <v>822</v>
      </c>
      <c r="L23" s="22" t="n">
        <v>5929</v>
      </c>
      <c r="M23" s="22" t="n">
        <v>1379</v>
      </c>
      <c r="N23" s="22">
        <f>ROUND(AVERAGE(H23,J23,L23),0)</f>
        <v/>
      </c>
      <c r="O23" s="22">
        <f>ROUND(AVERAGE(I23,K23,M23),0)</f>
        <v/>
      </c>
      <c r="P23" s="23">
        <f>IFERROR((J23-H23)/H23,"")</f>
        <v/>
      </c>
      <c r="Q23" s="23">
        <f>IFERROR((L23-J23)/J23,"")</f>
        <v/>
      </c>
      <c r="R23" s="16">
        <f>ROUND(O23*G23/30,0)</f>
        <v/>
      </c>
      <c r="S23" s="22" t="n">
        <v>0</v>
      </c>
      <c r="T23" s="22" t="n"/>
      <c r="U23" s="17" t="n"/>
      <c r="V23" s="24">
        <f>IFERROR(U23-IFERROR(S23,0)-IFERROR(T23,0),"")</f>
        <v/>
      </c>
      <c r="W23" s="25" t="inlineStr"/>
    </row>
    <row r="24" ht="17" customHeight="1">
      <c r="A24" s="12" t="n">
        <v>21</v>
      </c>
      <c r="B24" s="12" t="inlineStr">
        <is>
          <t>2.0mm</t>
        </is>
      </c>
      <c r="C24" s="13" t="inlineStr">
        <is>
          <t>B3-8C</t>
        </is>
      </c>
      <c r="D24" s="13" t="inlineStr">
        <is>
          <t>A1 케이블 혼용</t>
        </is>
      </c>
      <c r="E24" s="13" t="n"/>
      <c r="F24" s="12" t="inlineStr">
        <is>
          <t>CFOFC</t>
        </is>
      </c>
      <c r="G24" s="12" t="n">
        <v>60</v>
      </c>
      <c r="H24" s="14" t="n">
        <v>105</v>
      </c>
      <c r="I24" s="14" t="n">
        <v>105</v>
      </c>
      <c r="J24" s="14" t="n">
        <v>180</v>
      </c>
      <c r="K24" s="14" t="n">
        <v>180</v>
      </c>
      <c r="L24" s="14" t="n"/>
      <c r="M24" s="14" t="n"/>
      <c r="N24" s="14">
        <f>ROUND(AVERAGE(H24,J24,L24),0)</f>
        <v/>
      </c>
      <c r="O24" s="14">
        <f>ROUND(AVERAGE(I24,K24,M24),0)</f>
        <v/>
      </c>
      <c r="P24" s="15">
        <f>IFERROR((J24-H24)/H24,"")</f>
        <v/>
      </c>
      <c r="Q24" s="15">
        <f>IFERROR((L24-J24)/J24,"")</f>
        <v/>
      </c>
      <c r="R24" s="16">
        <f>ROUND(O24*G24/30,0)</f>
        <v/>
      </c>
      <c r="S24" s="14" t="n">
        <v>0</v>
      </c>
      <c r="T24" s="14" t="n"/>
      <c r="U24" s="17" t="n"/>
      <c r="V24" s="18">
        <f>IFERROR(U24-IFERROR(S24,0)-IFERROR(T24,0),"")</f>
        <v/>
      </c>
      <c r="W24" s="19" t="inlineStr"/>
    </row>
    <row r="25" ht="17" customHeight="1">
      <c r="A25" s="20" t="n">
        <v>22</v>
      </c>
      <c r="B25" s="20" t="inlineStr">
        <is>
          <t>2.0mm</t>
        </is>
      </c>
      <c r="C25" s="21" t="inlineStr">
        <is>
          <t>B3-DP</t>
        </is>
      </c>
      <c r="D25" s="21" t="inlineStr">
        <is>
          <t>P14-RM-418R</t>
        </is>
      </c>
      <c r="E25" s="21" t="inlineStr">
        <is>
          <t>OPTICAL CABLE 2.0mm G657 B3 DP-SM (YELLOW,황)</t>
        </is>
      </c>
      <c r="F25" s="20" t="inlineStr">
        <is>
          <t>무송지오씨</t>
        </is>
      </c>
      <c r="G25" s="20" t="n">
        <v>60</v>
      </c>
      <c r="H25" s="22" t="n">
        <v>245427</v>
      </c>
      <c r="I25" s="22" t="n">
        <v>38190</v>
      </c>
      <c r="J25" s="22" t="n">
        <v>189126</v>
      </c>
      <c r="K25" s="22" t="n">
        <v>31139</v>
      </c>
      <c r="L25" s="22" t="n">
        <v>269766</v>
      </c>
      <c r="M25" s="22" t="n">
        <v>38047</v>
      </c>
      <c r="N25" s="22">
        <f>ROUND(AVERAGE(H25,J25,L25),0)</f>
        <v/>
      </c>
      <c r="O25" s="22">
        <f>ROUND(AVERAGE(I25,K25,M25),0)</f>
        <v/>
      </c>
      <c r="P25" s="23">
        <f>IFERROR((J25-H25)/H25,"")</f>
        <v/>
      </c>
      <c r="Q25" s="23">
        <f>IFERROR((L25-J25)/J25,"")</f>
        <v/>
      </c>
      <c r="R25" s="16">
        <f>ROUND(O25*G25/30,0)</f>
        <v/>
      </c>
      <c r="S25" s="22" t="n">
        <v>38000</v>
      </c>
      <c r="T25" s="22" t="n"/>
      <c r="U25" s="17" t="n"/>
      <c r="V25" s="24">
        <f>IFERROR(U25-IFERROR(S25,0)-IFERROR(T25,0),"")</f>
        <v/>
      </c>
      <c r="W25" s="25" t="inlineStr"/>
    </row>
    <row r="26" ht="17" customHeight="1">
      <c r="A26" s="12" t="n">
        <v>23</v>
      </c>
      <c r="B26" s="12" t="inlineStr">
        <is>
          <t>2.0mm</t>
        </is>
      </c>
      <c r="C26" s="13" t="inlineStr">
        <is>
          <t>B3-SP</t>
        </is>
      </c>
      <c r="D26" s="13" t="inlineStr">
        <is>
          <t>P14-RM-418Q</t>
        </is>
      </c>
      <c r="E26" s="13" t="inlineStr">
        <is>
          <t>OPTICAL CABLE 2.0mm G657 B3 SP-SM (YELLOW,황)</t>
        </is>
      </c>
      <c r="F26" s="12" t="inlineStr">
        <is>
          <t>무송지오씨</t>
        </is>
      </c>
      <c r="G26" s="12" t="n">
        <v>60</v>
      </c>
      <c r="H26" s="14" t="n">
        <v>176616</v>
      </c>
      <c r="I26" s="14" t="n">
        <v>27807</v>
      </c>
      <c r="J26" s="14" t="n">
        <v>86711</v>
      </c>
      <c r="K26" s="14" t="n">
        <v>24050</v>
      </c>
      <c r="L26" s="14" t="n">
        <v>103438</v>
      </c>
      <c r="M26" s="14" t="n">
        <v>22050</v>
      </c>
      <c r="N26" s="14">
        <f>ROUND(AVERAGE(H26,J26,L26),0)</f>
        <v/>
      </c>
      <c r="O26" s="14">
        <f>ROUND(AVERAGE(I26,K26,M26),0)</f>
        <v/>
      </c>
      <c r="P26" s="15">
        <f>IFERROR((J26-H26)/H26,"")</f>
        <v/>
      </c>
      <c r="Q26" s="15">
        <f>IFERROR((L26-J26)/J26,"")</f>
        <v/>
      </c>
      <c r="R26" s="16">
        <f>ROUND(O26*G26/30,0)</f>
        <v/>
      </c>
      <c r="S26" s="14" t="n">
        <v>43000</v>
      </c>
      <c r="T26" s="14" t="n"/>
      <c r="U26" s="17" t="n"/>
      <c r="V26" s="18">
        <f>IFERROR(U26-IFERROR(S26,0)-IFERROR(T26,0),"")</f>
        <v/>
      </c>
      <c r="W26" s="19" t="inlineStr"/>
    </row>
    <row r="27" ht="17" customHeight="1">
      <c r="A27" s="20" t="n">
        <v>24</v>
      </c>
      <c r="B27" s="20" t="inlineStr">
        <is>
          <t>2.0mm</t>
        </is>
      </c>
      <c r="C27" s="21" t="inlineStr">
        <is>
          <t>OM1-DP</t>
        </is>
      </c>
      <c r="D27" s="21" t="inlineStr">
        <is>
          <t>P14-RM-4185R</t>
        </is>
      </c>
      <c r="E27" s="21" t="inlineStr">
        <is>
          <t>OPTICAL CABLE 2.0mm DP-MM(OM1) (ORANGE,등)</t>
        </is>
      </c>
      <c r="F27" s="20" t="inlineStr">
        <is>
          <t>HUAMAI</t>
        </is>
      </c>
      <c r="G27" s="20" t="n">
        <v>60</v>
      </c>
      <c r="H27" s="22" t="n">
        <v>49884</v>
      </c>
      <c r="I27" s="22" t="n">
        <v>8898</v>
      </c>
      <c r="J27" s="22" t="n">
        <v>49954</v>
      </c>
      <c r="K27" s="22" t="n">
        <v>22855</v>
      </c>
      <c r="L27" s="22" t="n">
        <v>43359</v>
      </c>
      <c r="M27" s="22" t="n">
        <v>7755</v>
      </c>
      <c r="N27" s="22">
        <f>ROUND(AVERAGE(H27,J27,L27),0)</f>
        <v/>
      </c>
      <c r="O27" s="22">
        <f>ROUND(AVERAGE(I27,K27,M27),0)</f>
        <v/>
      </c>
      <c r="P27" s="23">
        <f>IFERROR((J27-H27)/H27,"")</f>
        <v/>
      </c>
      <c r="Q27" s="23">
        <f>IFERROR((L27-J27)/J27,"")</f>
        <v/>
      </c>
      <c r="R27" s="16">
        <f>ROUND(O27*G27/30,0)</f>
        <v/>
      </c>
      <c r="S27" s="22" t="n">
        <v>24000</v>
      </c>
      <c r="T27" s="22" t="n"/>
      <c r="U27" s="17" t="n"/>
      <c r="V27" s="24">
        <f>IFERROR(U27-IFERROR(S27,0)-IFERROR(T27,0),"")</f>
        <v/>
      </c>
      <c r="W27" s="25" t="inlineStr"/>
    </row>
    <row r="28" ht="17" customHeight="1">
      <c r="A28" s="12" t="n">
        <v>25</v>
      </c>
      <c r="B28" s="12" t="inlineStr">
        <is>
          <t>2.0mm</t>
        </is>
      </c>
      <c r="C28" s="13" t="inlineStr">
        <is>
          <t>OM1-SP</t>
        </is>
      </c>
      <c r="D28" s="13" t="inlineStr">
        <is>
          <t>P14-RM-418E</t>
        </is>
      </c>
      <c r="E28" s="13" t="inlineStr">
        <is>
          <t>OPTICAL CABLE 2.0mm SP-MM(OM1) (ORANGE,등)</t>
        </is>
      </c>
      <c r="F28" s="12" t="inlineStr">
        <is>
          <t>HUAMAI</t>
        </is>
      </c>
      <c r="G28" s="12" t="n">
        <v>60</v>
      </c>
      <c r="H28" s="14" t="n">
        <v>395</v>
      </c>
      <c r="I28" s="14" t="n">
        <v>180</v>
      </c>
      <c r="J28" s="14" t="n">
        <v>805</v>
      </c>
      <c r="K28" s="14" t="n">
        <v>520</v>
      </c>
      <c r="L28" s="14" t="n">
        <v>581</v>
      </c>
      <c r="M28" s="14" t="n">
        <v>575</v>
      </c>
      <c r="N28" s="14">
        <f>ROUND(AVERAGE(H28,J28,L28),0)</f>
        <v/>
      </c>
      <c r="O28" s="14">
        <f>ROUND(AVERAGE(I28,K28,M28),0)</f>
        <v/>
      </c>
      <c r="P28" s="15">
        <f>IFERROR((J28-H28)/H28,"")</f>
        <v/>
      </c>
      <c r="Q28" s="15">
        <f>IFERROR((L28-J28)/J28,"")</f>
        <v/>
      </c>
      <c r="R28" s="16">
        <f>ROUND(O28*G28/30,0)</f>
        <v/>
      </c>
      <c r="S28" s="14" t="n">
        <v>8000</v>
      </c>
      <c r="T28" s="14" t="n"/>
      <c r="U28" s="17" t="n"/>
      <c r="V28" s="18">
        <f>IFERROR(U28-IFERROR(S28,0)-IFERROR(T28,0),"")</f>
        <v/>
      </c>
      <c r="W28" s="19" t="inlineStr"/>
    </row>
    <row r="29" ht="17" customHeight="1">
      <c r="A29" s="20" t="n">
        <v>26</v>
      </c>
      <c r="B29" s="20" t="inlineStr">
        <is>
          <t>2.0mm</t>
        </is>
      </c>
      <c r="C29" s="21" t="inlineStr">
        <is>
          <t>OM3-DP</t>
        </is>
      </c>
      <c r="D29" s="21" t="inlineStr">
        <is>
          <t>P14-RM-418BR</t>
        </is>
      </c>
      <c r="E29" s="21" t="inlineStr">
        <is>
          <t>OPTICAL CABLE 2.0mm DP-MM(OM3) (AQUA,연청)</t>
        </is>
      </c>
      <c r="F29" s="20" t="inlineStr">
        <is>
          <t>HUAMAI</t>
        </is>
      </c>
      <c r="G29" s="20" t="n">
        <v>60</v>
      </c>
      <c r="H29" s="22" t="n">
        <v>29738</v>
      </c>
      <c r="I29" s="22" t="n">
        <v>14136</v>
      </c>
      <c r="J29" s="22" t="n">
        <v>22714</v>
      </c>
      <c r="K29" s="22" t="n">
        <v>6961</v>
      </c>
      <c r="L29" s="22" t="n">
        <v>30932</v>
      </c>
      <c r="M29" s="22" t="n">
        <v>12338</v>
      </c>
      <c r="N29" s="22">
        <f>ROUND(AVERAGE(H29,J29,L29),0)</f>
        <v/>
      </c>
      <c r="O29" s="22">
        <f>ROUND(AVERAGE(I29,K29,M29),0)</f>
        <v/>
      </c>
      <c r="P29" s="23">
        <f>IFERROR((J29-H29)/H29,"")</f>
        <v/>
      </c>
      <c r="Q29" s="23">
        <f>IFERROR((L29-J29)/J29,"")</f>
        <v/>
      </c>
      <c r="R29" s="16">
        <f>ROUND(O29*G29/30,0)</f>
        <v/>
      </c>
      <c r="S29" s="22" t="n">
        <v>24000</v>
      </c>
      <c r="T29" s="22" t="n"/>
      <c r="U29" s="17" t="n"/>
      <c r="V29" s="24">
        <f>IFERROR(U29-IFERROR(S29,0)-IFERROR(T29,0),"")</f>
        <v/>
      </c>
      <c r="W29" s="25" t="inlineStr"/>
    </row>
    <row r="30" ht="17" customHeight="1">
      <c r="A30" s="12" t="n">
        <v>27</v>
      </c>
      <c r="B30" s="12" t="inlineStr">
        <is>
          <t>2.0mm</t>
        </is>
      </c>
      <c r="C30" s="13" t="inlineStr">
        <is>
          <t>OM3-SP</t>
        </is>
      </c>
      <c r="D30" s="13" t="inlineStr"/>
      <c r="E30" s="13" t="inlineStr"/>
      <c r="F30" s="12" t="inlineStr"/>
      <c r="G30" s="12" t="n">
        <v>60</v>
      </c>
      <c r="H30" s="14" t="n"/>
      <c r="I30" s="14" t="n"/>
      <c r="J30" s="14" t="n">
        <v>1</v>
      </c>
      <c r="K30" s="14" t="n">
        <v>1</v>
      </c>
      <c r="L30" s="14" t="n"/>
      <c r="M30" s="14" t="n"/>
      <c r="N30" s="14">
        <f>ROUND(AVERAGE(H30,J30,L30),0)</f>
        <v/>
      </c>
      <c r="O30" s="14">
        <f>ROUND(AVERAGE(I30,K30,M30),0)</f>
        <v/>
      </c>
      <c r="P30" s="15">
        <f>IFERROR((J30-H30)/H30,"")</f>
        <v/>
      </c>
      <c r="Q30" s="15">
        <f>IFERROR((L30-J30)/J30,"")</f>
        <v/>
      </c>
      <c r="R30" s="16">
        <f>ROUND(O30*G30/30,0)</f>
        <v/>
      </c>
      <c r="S30" s="14" t="n"/>
      <c r="T30" s="14" t="n"/>
      <c r="U30" s="17" t="n"/>
      <c r="V30" s="18">
        <f>IFERROR(U30-IFERROR(S30,0)-IFERROR(T30,0),"")</f>
        <v/>
      </c>
      <c r="W30" s="19" t="inlineStr"/>
    </row>
    <row r="31" ht="17" customHeight="1">
      <c r="A31" s="20" t="n">
        <v>28</v>
      </c>
      <c r="B31" s="20" t="inlineStr">
        <is>
          <t>2.0mm</t>
        </is>
      </c>
      <c r="C31" s="21" t="inlineStr">
        <is>
          <t>OM4-DP</t>
        </is>
      </c>
      <c r="D31" s="21" t="inlineStr">
        <is>
          <t>P14-RM-418H</t>
        </is>
      </c>
      <c r="E31" s="21" t="inlineStr">
        <is>
          <t>OPTICAL CABLE 2.0mm DP-MM(OM4)</t>
        </is>
      </c>
      <c r="F31" s="20" t="inlineStr">
        <is>
          <t>HUAMAI</t>
        </is>
      </c>
      <c r="G31" s="20" t="n">
        <v>60</v>
      </c>
      <c r="H31" s="22" t="n">
        <v>511</v>
      </c>
      <c r="I31" s="22" t="n">
        <v>511</v>
      </c>
      <c r="J31" s="22" t="n"/>
      <c r="K31" s="22" t="n"/>
      <c r="L31" s="22" t="n"/>
      <c r="M31" s="22" t="n"/>
      <c r="N31" s="22">
        <f>ROUND(AVERAGE(H31,J31,L31),0)</f>
        <v/>
      </c>
      <c r="O31" s="22">
        <f>ROUND(AVERAGE(I31,K31,M31),0)</f>
        <v/>
      </c>
      <c r="P31" s="23">
        <f>IFERROR((J31-H31)/H31,"")</f>
        <v/>
      </c>
      <c r="Q31" s="23">
        <f>IFERROR((L31-J31)/J31,"")</f>
        <v/>
      </c>
      <c r="R31" s="16">
        <f>ROUND(O31*G31/30,0)</f>
        <v/>
      </c>
      <c r="S31" s="22" t="n">
        <v>100</v>
      </c>
      <c r="T31" s="22" t="n"/>
      <c r="U31" s="17" t="n"/>
      <c r="V31" s="24">
        <f>IFERROR(U31-IFERROR(S31,0)-IFERROR(T31,0),"")</f>
        <v/>
      </c>
      <c r="W31" s="25" t="inlineStr"/>
    </row>
    <row r="32" ht="17" customHeight="1">
      <c r="A32" s="12" t="n">
        <v>29</v>
      </c>
      <c r="B32" s="12" t="inlineStr">
        <is>
          <t>2.0mm</t>
        </is>
      </c>
      <c r="C32" s="13" t="inlineStr">
        <is>
          <t>Optical cable</t>
        </is>
      </c>
      <c r="D32" s="13" t="inlineStr">
        <is>
          <t>P14-RM-4382</t>
        </is>
      </c>
      <c r="E32" s="13" t="inlineStr">
        <is>
          <t>OPTICAL CABLE 5.0mm SM-SP (BLACK)</t>
        </is>
      </c>
      <c r="F32" s="12" t="inlineStr">
        <is>
          <t>HUAMAI</t>
        </is>
      </c>
      <c r="G32" s="12" t="n">
        <v>60</v>
      </c>
      <c r="H32" s="14" t="n">
        <v>41885</v>
      </c>
      <c r="I32" s="14" t="n">
        <v>12000</v>
      </c>
      <c r="J32" s="14" t="n">
        <v>17730</v>
      </c>
      <c r="K32" s="14" t="n">
        <v>4560</v>
      </c>
      <c r="L32" s="14" t="n">
        <v>19880</v>
      </c>
      <c r="M32" s="14" t="n">
        <v>4250</v>
      </c>
      <c r="N32" s="14">
        <f>ROUND(AVERAGE(H32,J32,L32),0)</f>
        <v/>
      </c>
      <c r="O32" s="14">
        <f>ROUND(AVERAGE(I32,K32,M32),0)</f>
        <v/>
      </c>
      <c r="P32" s="15">
        <f>IFERROR((J32-H32)/H32,"")</f>
        <v/>
      </c>
      <c r="Q32" s="15">
        <f>IFERROR((L32-J32)/J32,"")</f>
        <v/>
      </c>
      <c r="R32" s="16">
        <f>ROUND(O32*G32/30,0)</f>
        <v/>
      </c>
      <c r="S32" s="14" t="n">
        <v>0</v>
      </c>
      <c r="T32" s="14" t="n"/>
      <c r="U32" s="17" t="n"/>
      <c r="V32" s="18">
        <f>IFERROR(U32-IFERROR(S32,0)-IFERROR(T32,0),"")</f>
        <v/>
      </c>
      <c r="W32" s="19" t="inlineStr"/>
    </row>
    <row r="33" ht="17" customHeight="1">
      <c r="A33" s="20" t="n">
        <v>30</v>
      </c>
      <c r="B33" s="20" t="inlineStr">
        <is>
          <t>2.0mm</t>
        </is>
      </c>
      <c r="C33" s="21" t="inlineStr">
        <is>
          <t>PIGTAIL</t>
        </is>
      </c>
      <c r="D33" s="21" t="inlineStr">
        <is>
          <t>(확인필요)</t>
        </is>
      </c>
      <c r="E33" s="21" t="inlineStr">
        <is>
          <t>OPTICAL CABLE 2.0mm (2.0mm 자켓 피그테일용)</t>
        </is>
      </c>
      <c r="F33" s="20" t="inlineStr">
        <is>
          <t>(확인필요)</t>
        </is>
      </c>
      <c r="G33" s="20" t="n">
        <v>60</v>
      </c>
      <c r="H33" s="22" t="n">
        <v>398</v>
      </c>
      <c r="I33" s="22" t="n">
        <v>362</v>
      </c>
      <c r="J33" s="22" t="n">
        <v>36</v>
      </c>
      <c r="K33" s="22" t="n">
        <v>36</v>
      </c>
      <c r="L33" s="22" t="n">
        <v>679</v>
      </c>
      <c r="M33" s="22" t="n">
        <v>615</v>
      </c>
      <c r="N33" s="22">
        <f>ROUND(AVERAGE(H33,J33,L33),0)</f>
        <v/>
      </c>
      <c r="O33" s="22">
        <f>ROUND(AVERAGE(I33,K33,M33),0)</f>
        <v/>
      </c>
      <c r="P33" s="23">
        <f>IFERROR((J33-H33)/H33,"")</f>
        <v/>
      </c>
      <c r="Q33" s="23">
        <f>IFERROR((L33-J33)/J33,"")</f>
        <v/>
      </c>
      <c r="R33" s="16">
        <f>ROUND(O33*G33/30,0)</f>
        <v/>
      </c>
      <c r="S33" s="22" t="n">
        <v>0</v>
      </c>
      <c r="T33" s="22" t="n"/>
      <c r="U33" s="17" t="n"/>
      <c r="V33" s="24">
        <f>IFERROR(U33-IFERROR(S33,0)-IFERROR(T33,0),"")</f>
        <v/>
      </c>
      <c r="W33" s="25" t="inlineStr"/>
    </row>
    <row r="34" ht="17" customHeight="1">
      <c r="A34" s="12" t="n">
        <v>31</v>
      </c>
      <c r="B34" s="12" t="inlineStr">
        <is>
          <t>3.0mm</t>
        </is>
      </c>
      <c r="C34" s="13" t="inlineStr">
        <is>
          <t>B3-DP</t>
        </is>
      </c>
      <c r="D34" s="13" t="inlineStr">
        <is>
          <t>P14-RM-4196</t>
        </is>
      </c>
      <c r="E34" s="13" t="inlineStr">
        <is>
          <t>OPTICAL CABLE 3.0mm G657 B3 DP-SM (YELLOW,황)</t>
        </is>
      </c>
      <c r="F34" s="12" t="inlineStr">
        <is>
          <t>무송지오씨</t>
        </is>
      </c>
      <c r="G34" s="12" t="n">
        <v>60</v>
      </c>
      <c r="H34" s="14" t="n">
        <v>2302</v>
      </c>
      <c r="I34" s="14" t="n">
        <v>820</v>
      </c>
      <c r="J34" s="14" t="n">
        <v>8542</v>
      </c>
      <c r="K34" s="14" t="n">
        <v>1318</v>
      </c>
      <c r="L34" s="14" t="n">
        <v>19703</v>
      </c>
      <c r="M34" s="14" t="n">
        <v>2594</v>
      </c>
      <c r="N34" s="14">
        <f>ROUND(AVERAGE(H34,J34,L34),0)</f>
        <v/>
      </c>
      <c r="O34" s="14">
        <f>ROUND(AVERAGE(I34,K34,M34),0)</f>
        <v/>
      </c>
      <c r="P34" s="15">
        <f>IFERROR((J34-H34)/H34,"")</f>
        <v/>
      </c>
      <c r="Q34" s="15">
        <f>IFERROR((L34-J34)/J34,"")</f>
        <v/>
      </c>
      <c r="R34" s="16">
        <f>ROUND(O34*G34/30,0)</f>
        <v/>
      </c>
      <c r="S34" s="14" t="n">
        <v>15000</v>
      </c>
      <c r="T34" s="14" t="n"/>
      <c r="U34" s="17" t="n"/>
      <c r="V34" s="18">
        <f>IFERROR(U34-IFERROR(S34,0)-IFERROR(T34,0),"")</f>
        <v/>
      </c>
      <c r="W34" s="19" t="inlineStr"/>
    </row>
    <row r="35" ht="17" customHeight="1">
      <c r="A35" s="20" t="n">
        <v>32</v>
      </c>
      <c r="B35" s="20" t="inlineStr">
        <is>
          <t>3.0mm</t>
        </is>
      </c>
      <c r="C35" s="21" t="inlineStr">
        <is>
          <t>B3-SP</t>
        </is>
      </c>
      <c r="D35" s="21" t="inlineStr">
        <is>
          <t>P14-RM-4195</t>
        </is>
      </c>
      <c r="E35" s="21" t="inlineStr">
        <is>
          <t>OPTICAL CABLE 3.0mm G657 B3 SP-SM (YELLOW,황)</t>
        </is>
      </c>
      <c r="F35" s="20" t="inlineStr">
        <is>
          <t>무송지오씨</t>
        </is>
      </c>
      <c r="G35" s="20" t="n">
        <v>60</v>
      </c>
      <c r="H35" s="22" t="n">
        <v>2330</v>
      </c>
      <c r="I35" s="22" t="n">
        <v>659</v>
      </c>
      <c r="J35" s="22" t="n">
        <v>13225</v>
      </c>
      <c r="K35" s="22" t="n">
        <v>5280</v>
      </c>
      <c r="L35" s="22" t="n">
        <v>17783</v>
      </c>
      <c r="M35" s="22" t="n">
        <v>3784</v>
      </c>
      <c r="N35" s="22">
        <f>ROUND(AVERAGE(H35,J35,L35),0)</f>
        <v/>
      </c>
      <c r="O35" s="22">
        <f>ROUND(AVERAGE(I35,K35,M35),0)</f>
        <v/>
      </c>
      <c r="P35" s="23">
        <f>IFERROR((J35-H35)/H35,"")</f>
        <v/>
      </c>
      <c r="Q35" s="23">
        <f>IFERROR((L35-J35)/J35,"")</f>
        <v/>
      </c>
      <c r="R35" s="16">
        <f>ROUND(O35*G35/30,0)</f>
        <v/>
      </c>
      <c r="S35" s="22" t="n">
        <v>6000</v>
      </c>
      <c r="T35" s="22" t="n"/>
      <c r="U35" s="17" t="n"/>
      <c r="V35" s="24">
        <f>IFERROR(U35-IFERROR(S35,0)-IFERROR(T35,0),"")</f>
        <v/>
      </c>
      <c r="W35" s="25" t="inlineStr"/>
    </row>
    <row r="36" ht="17" customHeight="1">
      <c r="A36" s="12" t="n">
        <v>33</v>
      </c>
      <c r="B36" s="12" t="inlineStr">
        <is>
          <t>3.0mm</t>
        </is>
      </c>
      <c r="C36" s="13" t="inlineStr">
        <is>
          <t>DROP</t>
        </is>
      </c>
      <c r="D36" s="13" t="inlineStr">
        <is>
          <t>P14-RM-4191</t>
        </is>
      </c>
      <c r="E36" s="13" t="inlineStr">
        <is>
          <t>DROP OPTICAL CABLE 3.0mm SP- SM (BLACK)</t>
        </is>
      </c>
      <c r="F36" s="12" t="inlineStr">
        <is>
          <t>HUAMAI</t>
        </is>
      </c>
      <c r="G36" s="12" t="n">
        <v>60</v>
      </c>
      <c r="H36" s="14" t="n">
        <v>79149</v>
      </c>
      <c r="I36" s="14" t="n">
        <v>15004</v>
      </c>
      <c r="J36" s="14" t="n">
        <v>57564</v>
      </c>
      <c r="K36" s="14" t="n">
        <v>13350</v>
      </c>
      <c r="L36" s="14" t="n">
        <v>31076</v>
      </c>
      <c r="M36" s="14" t="n">
        <v>7130</v>
      </c>
      <c r="N36" s="14">
        <f>ROUND(AVERAGE(H36,J36,L36),0)</f>
        <v/>
      </c>
      <c r="O36" s="14">
        <f>ROUND(AVERAGE(I36,K36,M36),0)</f>
        <v/>
      </c>
      <c r="P36" s="15">
        <f>IFERROR((J36-H36)/H36,"")</f>
        <v/>
      </c>
      <c r="Q36" s="15">
        <f>IFERROR((L36-J36)/J36,"")</f>
        <v/>
      </c>
      <c r="R36" s="16">
        <f>ROUND(O36*G36/30,0)</f>
        <v/>
      </c>
      <c r="S36" s="14" t="n">
        <v>6000</v>
      </c>
      <c r="T36" s="14" t="n"/>
      <c r="U36" s="17" t="n"/>
      <c r="V36" s="18">
        <f>IFERROR(U36-IFERROR(S36,0)-IFERROR(T36,0),"")</f>
        <v/>
      </c>
      <c r="W36" s="19" t="inlineStr"/>
    </row>
    <row r="37" ht="17" customHeight="1">
      <c r="A37" s="20" t="n">
        <v>34</v>
      </c>
      <c r="B37" s="20" t="inlineStr">
        <is>
          <t>0.9mm</t>
        </is>
      </c>
      <c r="C37" s="21" t="inlineStr">
        <is>
          <t>PIGTAIL-MM(OM1)-등</t>
        </is>
      </c>
      <c r="D37" s="21" t="inlineStr">
        <is>
          <t>P14-RM-417G</t>
        </is>
      </c>
      <c r="E37" s="21" t="inlineStr">
        <is>
          <t>OPTICAL CABLE 0.9mm MM(OM1) (ORANGE,등)</t>
        </is>
      </c>
      <c r="F37" s="20" t="inlineStr">
        <is>
          <t>HUAMAI</t>
        </is>
      </c>
      <c r="G37" s="20" t="n">
        <v>60</v>
      </c>
      <c r="H37" s="22" t="n">
        <v>524</v>
      </c>
      <c r="I37" s="22" t="n">
        <v>320</v>
      </c>
      <c r="J37" s="22" t="n">
        <v>186</v>
      </c>
      <c r="K37" s="22" t="n">
        <v>124</v>
      </c>
      <c r="L37" s="22" t="n">
        <v>138</v>
      </c>
      <c r="M37" s="22" t="n">
        <v>80</v>
      </c>
      <c r="N37" s="22">
        <f>ROUND(AVERAGE(H37,J37,L37),0)</f>
        <v/>
      </c>
      <c r="O37" s="22">
        <f>ROUND(AVERAGE(I37,K37,M37),0)</f>
        <v/>
      </c>
      <c r="P37" s="23">
        <f>IFERROR((J37-H37)/H37,"")</f>
        <v/>
      </c>
      <c r="Q37" s="23">
        <f>IFERROR((L37-J37)/J37,"")</f>
        <v/>
      </c>
      <c r="R37" s="16">
        <f>ROUND(O37*G37/30,0)</f>
        <v/>
      </c>
      <c r="S37" s="22" t="n">
        <v>6000</v>
      </c>
      <c r="T37" s="22" t="n"/>
      <c r="U37" s="17" t="n"/>
      <c r="V37" s="24">
        <f>IFERROR(U37-IFERROR(S37,0)-IFERROR(T37,0),"")</f>
        <v/>
      </c>
      <c r="W37" s="25" t="inlineStr"/>
    </row>
    <row r="38" ht="17" customHeight="1">
      <c r="A38" s="12" t="n">
        <v>35</v>
      </c>
      <c r="B38" s="12" t="inlineStr">
        <is>
          <t>0.9mm</t>
        </is>
      </c>
      <c r="C38" s="13" t="inlineStr">
        <is>
          <t>PIGTAIL-MM(OM3)-청록</t>
        </is>
      </c>
      <c r="D38" s="13" t="inlineStr">
        <is>
          <t>P14-RM-417H</t>
        </is>
      </c>
      <c r="E38" s="13" t="inlineStr">
        <is>
          <t>OPTICAL CABLE 0.9mm MM(OM3) (AQUA,연청)</t>
        </is>
      </c>
      <c r="F38" s="12" t="inlineStr">
        <is>
          <t>HUAMAI</t>
        </is>
      </c>
      <c r="G38" s="12" t="n">
        <v>60</v>
      </c>
      <c r="H38" s="14" t="n">
        <v>648</v>
      </c>
      <c r="I38" s="14" t="n">
        <v>648</v>
      </c>
      <c r="J38" s="14" t="n"/>
      <c r="K38" s="14" t="n"/>
      <c r="L38" s="14" t="n"/>
      <c r="M38" s="14" t="n"/>
      <c r="N38" s="14">
        <f>ROUND(AVERAGE(H38,J38,L38),0)</f>
        <v/>
      </c>
      <c r="O38" s="14">
        <f>ROUND(AVERAGE(I38,K38,M38),0)</f>
        <v/>
      </c>
      <c r="P38" s="15">
        <f>IFERROR((J38-H38)/H38,"")</f>
        <v/>
      </c>
      <c r="Q38" s="15">
        <f>IFERROR((L38-J38)/J38,"")</f>
        <v/>
      </c>
      <c r="R38" s="16">
        <f>ROUND(O38*G38/30,0)</f>
        <v/>
      </c>
      <c r="S38" s="14" t="n">
        <v>200</v>
      </c>
      <c r="T38" s="14" t="n"/>
      <c r="U38" s="17" t="n"/>
      <c r="V38" s="18">
        <f>IFERROR(U38-IFERROR(S38,0)-IFERROR(T38,0),"")</f>
        <v/>
      </c>
      <c r="W38" s="19" t="inlineStr"/>
    </row>
    <row r="39" ht="17" customHeight="1">
      <c r="A39" s="20" t="n">
        <v>36</v>
      </c>
      <c r="B39" s="20" t="inlineStr">
        <is>
          <t>0.9mm</t>
        </is>
      </c>
      <c r="C39" s="21" t="inlineStr">
        <is>
          <t>PIGTAIL-SM-갈</t>
        </is>
      </c>
      <c r="D39" s="21" t="inlineStr">
        <is>
          <t>P14-RM-4174</t>
        </is>
      </c>
      <c r="E39" s="21" t="inlineStr">
        <is>
          <t>OPTICAL CABLE 0.9mm SM (BROWN,갈)</t>
        </is>
      </c>
      <c r="F39" s="20" t="inlineStr">
        <is>
          <t>HUAMAI</t>
        </is>
      </c>
      <c r="G39" s="20" t="n">
        <v>60</v>
      </c>
      <c r="H39" s="22" t="n">
        <v>2795</v>
      </c>
      <c r="I39" s="22" t="n">
        <v>2616</v>
      </c>
      <c r="J39" s="22" t="n">
        <v>2586</v>
      </c>
      <c r="K39" s="22" t="n">
        <v>1388</v>
      </c>
      <c r="L39" s="22" t="n">
        <v>458</v>
      </c>
      <c r="M39" s="22" t="n">
        <v>375</v>
      </c>
      <c r="N39" s="22">
        <f>ROUND(AVERAGE(H39,J39,L39),0)</f>
        <v/>
      </c>
      <c r="O39" s="22">
        <f>ROUND(AVERAGE(I39,K39,M39),0)</f>
        <v/>
      </c>
      <c r="P39" s="23">
        <f>IFERROR((J39-H39)/H39,"")</f>
        <v/>
      </c>
      <c r="Q39" s="23">
        <f>IFERROR((L39-J39)/J39,"")</f>
        <v/>
      </c>
      <c r="R39" s="16">
        <f>ROUND(O39*G39/30,0)</f>
        <v/>
      </c>
      <c r="S39" s="22" t="n">
        <v>26000</v>
      </c>
      <c r="T39" s="22" t="n"/>
      <c r="U39" s="17" t="n"/>
      <c r="V39" s="24">
        <f>IFERROR(U39-IFERROR(S39,0)-IFERROR(T39,0),"")</f>
        <v/>
      </c>
      <c r="W39" s="25" t="inlineStr"/>
    </row>
    <row r="40" ht="17" customHeight="1">
      <c r="A40" s="12" t="n">
        <v>37</v>
      </c>
      <c r="B40" s="12" t="inlineStr">
        <is>
          <t>0.9mm</t>
        </is>
      </c>
      <c r="C40" s="13" t="inlineStr">
        <is>
          <t>PIGTAIL-SM-녹</t>
        </is>
      </c>
      <c r="D40" s="13" t="inlineStr">
        <is>
          <t>P14-RM-4176</t>
        </is>
      </c>
      <c r="E40" s="13" t="inlineStr">
        <is>
          <t>OPTICAL CABLE 0.9mm SM (GREEN,녹)</t>
        </is>
      </c>
      <c r="F40" s="12" t="inlineStr">
        <is>
          <t>HUAMAI</t>
        </is>
      </c>
      <c r="G40" s="12" t="n">
        <v>60</v>
      </c>
      <c r="H40" s="14" t="n">
        <v>2951</v>
      </c>
      <c r="I40" s="14" t="n">
        <v>2322</v>
      </c>
      <c r="J40" s="14" t="n">
        <v>2722</v>
      </c>
      <c r="K40" s="14" t="n">
        <v>1388</v>
      </c>
      <c r="L40" s="14" t="n">
        <v>833</v>
      </c>
      <c r="M40" s="14" t="n">
        <v>612</v>
      </c>
      <c r="N40" s="14">
        <f>ROUND(AVERAGE(H40,J40,L40),0)</f>
        <v/>
      </c>
      <c r="O40" s="14">
        <f>ROUND(AVERAGE(I40,K40,M40),0)</f>
        <v/>
      </c>
      <c r="P40" s="15">
        <f>IFERROR((J40-H40)/H40,"")</f>
        <v/>
      </c>
      <c r="Q40" s="15">
        <f>IFERROR((L40-J40)/J40,"")</f>
        <v/>
      </c>
      <c r="R40" s="16">
        <f>ROUND(O40*G40/30,0)</f>
        <v/>
      </c>
      <c r="S40" s="14" t="n">
        <v>6000</v>
      </c>
      <c r="T40" s="14" t="n"/>
      <c r="U40" s="17" t="n"/>
      <c r="V40" s="18">
        <f>IFERROR(U40-IFERROR(S40,0)-IFERROR(T40,0),"")</f>
        <v/>
      </c>
      <c r="W40" s="19" t="inlineStr"/>
    </row>
    <row r="41" ht="17" customHeight="1">
      <c r="A41" s="20" t="n">
        <v>38</v>
      </c>
      <c r="B41" s="20" t="inlineStr">
        <is>
          <t>0.9mm</t>
        </is>
      </c>
      <c r="C41" s="21" t="inlineStr">
        <is>
          <t>PIGTAIL-SM-등</t>
        </is>
      </c>
      <c r="D41" s="21" t="inlineStr">
        <is>
          <t>P14-RM-4178</t>
        </is>
      </c>
      <c r="E41" s="21" t="inlineStr">
        <is>
          <t>OPTICAL CABLE 0.9mm SM (ORANGE,등)</t>
        </is>
      </c>
      <c r="F41" s="20" t="inlineStr">
        <is>
          <t>HUAMAI</t>
        </is>
      </c>
      <c r="G41" s="20" t="n">
        <v>60</v>
      </c>
      <c r="H41" s="22" t="n">
        <v>2951</v>
      </c>
      <c r="I41" s="22" t="n">
        <v>2322</v>
      </c>
      <c r="J41" s="22" t="n">
        <v>2722</v>
      </c>
      <c r="K41" s="22" t="n">
        <v>1388</v>
      </c>
      <c r="L41" s="22" t="n">
        <v>833</v>
      </c>
      <c r="M41" s="22" t="n">
        <v>612</v>
      </c>
      <c r="N41" s="22">
        <f>ROUND(AVERAGE(H41,J41,L41),0)</f>
        <v/>
      </c>
      <c r="O41" s="22">
        <f>ROUND(AVERAGE(I41,K41,M41),0)</f>
        <v/>
      </c>
      <c r="P41" s="23">
        <f>IFERROR((J41-H41)/H41,"")</f>
        <v/>
      </c>
      <c r="Q41" s="23">
        <f>IFERROR((L41-J41)/J41,"")</f>
        <v/>
      </c>
      <c r="R41" s="16">
        <f>ROUND(O41*G41/30,0)</f>
        <v/>
      </c>
      <c r="S41" s="22" t="n">
        <v>10000</v>
      </c>
      <c r="T41" s="22" t="n"/>
      <c r="U41" s="17" t="n"/>
      <c r="V41" s="24">
        <f>IFERROR(U41-IFERROR(S41,0)-IFERROR(T41,0),"")</f>
        <v/>
      </c>
      <c r="W41" s="25" t="inlineStr"/>
    </row>
    <row r="42" ht="17" customHeight="1">
      <c r="A42" s="12" t="n">
        <v>39</v>
      </c>
      <c r="B42" s="12" t="inlineStr">
        <is>
          <t>0.9mm</t>
        </is>
      </c>
      <c r="C42" s="13" t="inlineStr">
        <is>
          <t>PIGTAIL-SM-백</t>
        </is>
      </c>
      <c r="D42" s="13" t="inlineStr">
        <is>
          <t>P14-RM-417B</t>
        </is>
      </c>
      <c r="E42" s="13" t="inlineStr">
        <is>
          <t>OPTICAL CABLE 0.9mm SM (WHITE,백)</t>
        </is>
      </c>
      <c r="F42" s="12" t="inlineStr">
        <is>
          <t>HUAMAI</t>
        </is>
      </c>
      <c r="G42" s="12" t="n">
        <v>60</v>
      </c>
      <c r="H42" s="14" t="n">
        <v>2795</v>
      </c>
      <c r="I42" s="14" t="n">
        <v>2616</v>
      </c>
      <c r="J42" s="14" t="n">
        <v>2128</v>
      </c>
      <c r="K42" s="14" t="n">
        <v>1149</v>
      </c>
      <c r="L42" s="14" t="n">
        <v>375</v>
      </c>
      <c r="M42" s="14" t="n">
        <v>237</v>
      </c>
      <c r="N42" s="14">
        <f>ROUND(AVERAGE(H42,J42,L42),0)</f>
        <v/>
      </c>
      <c r="O42" s="14">
        <f>ROUND(AVERAGE(I42,K42,M42),0)</f>
        <v/>
      </c>
      <c r="P42" s="15">
        <f>IFERROR((J42-H42)/H42,"")</f>
        <v/>
      </c>
      <c r="Q42" s="15">
        <f>IFERROR((L42-J42)/J42,"")</f>
        <v/>
      </c>
      <c r="R42" s="16">
        <f>ROUND(O42*G42/30,0)</f>
        <v/>
      </c>
      <c r="S42" s="14" t="n">
        <v>25000</v>
      </c>
      <c r="T42" s="14" t="n"/>
      <c r="U42" s="17" t="n"/>
      <c r="V42" s="18">
        <f>IFERROR(U42-IFERROR(S42,0)-IFERROR(T42,0),"")</f>
        <v/>
      </c>
      <c r="W42" s="19" t="inlineStr"/>
    </row>
    <row r="43" ht="17" customHeight="1">
      <c r="A43" s="20" t="n">
        <v>40</v>
      </c>
      <c r="B43" s="20" t="inlineStr">
        <is>
          <t>0.9mm</t>
        </is>
      </c>
      <c r="C43" s="21" t="inlineStr">
        <is>
          <t>PIGTAIL-SM-분홍</t>
        </is>
      </c>
      <c r="D43" s="21" t="inlineStr">
        <is>
          <t>P14-RM-417C</t>
        </is>
      </c>
      <c r="E43" s="21" t="inlineStr">
        <is>
          <t>OPTICAL CABLE 0.9mm SM (ROSE,연등)</t>
        </is>
      </c>
      <c r="F43" s="20" t="inlineStr">
        <is>
          <t>HUAMAI</t>
        </is>
      </c>
      <c r="G43" s="20" t="n">
        <v>60</v>
      </c>
      <c r="H43" s="22" t="n">
        <v>2495</v>
      </c>
      <c r="I43" s="22" t="n">
        <v>2166</v>
      </c>
      <c r="J43" s="22" t="n">
        <v>2128</v>
      </c>
      <c r="K43" s="22" t="n">
        <v>1149</v>
      </c>
      <c r="L43" s="22" t="n">
        <v>375</v>
      </c>
      <c r="M43" s="22" t="n">
        <v>237</v>
      </c>
      <c r="N43" s="22">
        <f>ROUND(AVERAGE(H43,J43,L43),0)</f>
        <v/>
      </c>
      <c r="O43" s="22">
        <f>ROUND(AVERAGE(I43,K43,M43),0)</f>
        <v/>
      </c>
      <c r="P43" s="23">
        <f>IFERROR((J43-H43)/H43,"")</f>
        <v/>
      </c>
      <c r="Q43" s="23">
        <f>IFERROR((L43-J43)/J43,"")</f>
        <v/>
      </c>
      <c r="R43" s="16">
        <f>ROUND(O43*G43/30,0)</f>
        <v/>
      </c>
      <c r="S43" s="22" t="n">
        <v>10000</v>
      </c>
      <c r="T43" s="22" t="n"/>
      <c r="U43" s="17" t="n"/>
      <c r="V43" s="24">
        <f>IFERROR(U43-IFERROR(S43,0)-IFERROR(T43,0),"")</f>
        <v/>
      </c>
      <c r="W43" s="25" t="inlineStr"/>
    </row>
    <row r="44" ht="17" customHeight="1">
      <c r="A44" s="12" t="n">
        <v>41</v>
      </c>
      <c r="B44" s="12" t="inlineStr">
        <is>
          <t>0.9mm</t>
        </is>
      </c>
      <c r="C44" s="13" t="inlineStr">
        <is>
          <t>PIGTAIL-SM-자</t>
        </is>
      </c>
      <c r="D44" s="13" t="inlineStr">
        <is>
          <t>P14-RM-4179</t>
        </is>
      </c>
      <c r="E44" s="13" t="inlineStr">
        <is>
          <t>OPTICAL CABLE 0.9mm SM (VIOLET,자)</t>
        </is>
      </c>
      <c r="F44" s="12" t="inlineStr">
        <is>
          <t>HUAMAI</t>
        </is>
      </c>
      <c r="G44" s="12" t="n">
        <v>60</v>
      </c>
      <c r="H44" s="14" t="n">
        <v>2951</v>
      </c>
      <c r="I44" s="14" t="n">
        <v>2322</v>
      </c>
      <c r="J44" s="14" t="n">
        <v>2722</v>
      </c>
      <c r="K44" s="14" t="n">
        <v>1388</v>
      </c>
      <c r="L44" s="14" t="n">
        <v>833</v>
      </c>
      <c r="M44" s="14" t="n">
        <v>612</v>
      </c>
      <c r="N44" s="14">
        <f>ROUND(AVERAGE(H44,J44,L44),0)</f>
        <v/>
      </c>
      <c r="O44" s="14">
        <f>ROUND(AVERAGE(I44,K44,M44),0)</f>
        <v/>
      </c>
      <c r="P44" s="15">
        <f>IFERROR((J44-H44)/H44,"")</f>
        <v/>
      </c>
      <c r="Q44" s="15">
        <f>IFERROR((L44-J44)/J44,"")</f>
        <v/>
      </c>
      <c r="R44" s="16">
        <f>ROUND(O44*G44/30,0)</f>
        <v/>
      </c>
      <c r="S44" s="14" t="n">
        <v>13000</v>
      </c>
      <c r="T44" s="14" t="n"/>
      <c r="U44" s="17" t="n"/>
      <c r="V44" s="18">
        <f>IFERROR(U44-IFERROR(S44,0)-IFERROR(T44,0),"")</f>
        <v/>
      </c>
      <c r="W44" s="19" t="inlineStr"/>
    </row>
    <row r="45" ht="17" customHeight="1">
      <c r="A45" s="20" t="n">
        <v>42</v>
      </c>
      <c r="B45" s="20" t="inlineStr">
        <is>
          <t>0.9mm</t>
        </is>
      </c>
      <c r="C45" s="21" t="inlineStr">
        <is>
          <t>PIGTAIL-SM-적</t>
        </is>
      </c>
      <c r="D45" s="21" t="inlineStr">
        <is>
          <t>P14-RM-417A</t>
        </is>
      </c>
      <c r="E45" s="21" t="inlineStr">
        <is>
          <t>OPTICAL CABLE 0.9mm SM (RED,적)</t>
        </is>
      </c>
      <c r="F45" s="20" t="inlineStr">
        <is>
          <t>HUAMAI</t>
        </is>
      </c>
      <c r="G45" s="20" t="n">
        <v>60</v>
      </c>
      <c r="H45" s="22" t="n">
        <v>2951</v>
      </c>
      <c r="I45" s="22" t="n">
        <v>2322</v>
      </c>
      <c r="J45" s="22" t="n">
        <v>2722</v>
      </c>
      <c r="K45" s="22" t="n">
        <v>1388</v>
      </c>
      <c r="L45" s="22" t="n">
        <v>833</v>
      </c>
      <c r="M45" s="22" t="n">
        <v>612</v>
      </c>
      <c r="N45" s="22">
        <f>ROUND(AVERAGE(H45,J45,L45),0)</f>
        <v/>
      </c>
      <c r="O45" s="22">
        <f>ROUND(AVERAGE(I45,K45,M45),0)</f>
        <v/>
      </c>
      <c r="P45" s="23">
        <f>IFERROR((J45-H45)/H45,"")</f>
        <v/>
      </c>
      <c r="Q45" s="23">
        <f>IFERROR((L45-J45)/J45,"")</f>
        <v/>
      </c>
      <c r="R45" s="16">
        <f>ROUND(O45*G45/30,0)</f>
        <v/>
      </c>
      <c r="S45" s="22" t="n">
        <v>12000</v>
      </c>
      <c r="T45" s="22" t="n"/>
      <c r="U45" s="17" t="n"/>
      <c r="V45" s="24">
        <f>IFERROR(U45-IFERROR(S45,0)-IFERROR(T45,0),"")</f>
        <v/>
      </c>
      <c r="W45" s="25" t="inlineStr"/>
    </row>
    <row r="46" ht="17" customHeight="1">
      <c r="A46" s="12" t="n">
        <v>43</v>
      </c>
      <c r="B46" s="12" t="inlineStr">
        <is>
          <t>0.9mm</t>
        </is>
      </c>
      <c r="C46" s="13" t="inlineStr">
        <is>
          <t>PIGTAIL-SM-청</t>
        </is>
      </c>
      <c r="D46" s="13" t="inlineStr">
        <is>
          <t>P14-RM-4172</t>
        </is>
      </c>
      <c r="E46" s="13" t="inlineStr">
        <is>
          <t>OPTICAL CABLE 0.9mm SM (BLUE,청)</t>
        </is>
      </c>
      <c r="F46" s="12" t="inlineStr">
        <is>
          <t>HUAMAI</t>
        </is>
      </c>
      <c r="G46" s="12" t="n">
        <v>60</v>
      </c>
      <c r="H46" s="14" t="n">
        <v>2951</v>
      </c>
      <c r="I46" s="14" t="n">
        <v>2322</v>
      </c>
      <c r="J46" s="14" t="n">
        <v>2722</v>
      </c>
      <c r="K46" s="14" t="n">
        <v>1388</v>
      </c>
      <c r="L46" s="14" t="n">
        <v>833</v>
      </c>
      <c r="M46" s="14" t="n">
        <v>612</v>
      </c>
      <c r="N46" s="14">
        <f>ROUND(AVERAGE(H46,J46,L46),0)</f>
        <v/>
      </c>
      <c r="O46" s="14">
        <f>ROUND(AVERAGE(I46,K46,M46),0)</f>
        <v/>
      </c>
      <c r="P46" s="15">
        <f>IFERROR((J46-H46)/H46,"")</f>
        <v/>
      </c>
      <c r="Q46" s="15">
        <f>IFERROR((L46-J46)/J46,"")</f>
        <v/>
      </c>
      <c r="R46" s="16">
        <f>ROUND(O46*G46/30,0)</f>
        <v/>
      </c>
      <c r="S46" s="14" t="n">
        <v>19000</v>
      </c>
      <c r="T46" s="14" t="n"/>
      <c r="U46" s="17" t="n"/>
      <c r="V46" s="18">
        <f>IFERROR(U46-IFERROR(S46,0)-IFERROR(T46,0),"")</f>
        <v/>
      </c>
      <c r="W46" s="19" t="inlineStr"/>
    </row>
    <row r="47" ht="17" customHeight="1">
      <c r="A47" s="20" t="n">
        <v>44</v>
      </c>
      <c r="B47" s="20" t="inlineStr">
        <is>
          <t>0.9mm</t>
        </is>
      </c>
      <c r="C47" s="21" t="inlineStr">
        <is>
          <t>PIGTAIL-SM-청록</t>
        </is>
      </c>
      <c r="D47" s="21" t="inlineStr">
        <is>
          <t>P14-RM-417D</t>
        </is>
      </c>
      <c r="E47" s="21" t="inlineStr">
        <is>
          <t>OPTICAL CABLE 0.9mm SM (AQUA,연청)</t>
        </is>
      </c>
      <c r="F47" s="20" t="inlineStr">
        <is>
          <t>HUAMAI</t>
        </is>
      </c>
      <c r="G47" s="20" t="n">
        <v>60</v>
      </c>
      <c r="H47" s="22" t="n">
        <v>2495</v>
      </c>
      <c r="I47" s="22" t="n">
        <v>2166</v>
      </c>
      <c r="J47" s="22" t="n">
        <v>2128</v>
      </c>
      <c r="K47" s="22" t="n">
        <v>1149</v>
      </c>
      <c r="L47" s="22" t="n">
        <v>375</v>
      </c>
      <c r="M47" s="22" t="n">
        <v>237</v>
      </c>
      <c r="N47" s="22">
        <f>ROUND(AVERAGE(H47,J47,L47),0)</f>
        <v/>
      </c>
      <c r="O47" s="22">
        <f>ROUND(AVERAGE(I47,K47,M47),0)</f>
        <v/>
      </c>
      <c r="P47" s="23">
        <f>IFERROR((J47-H47)/H47,"")</f>
        <v/>
      </c>
      <c r="Q47" s="23">
        <f>IFERROR((L47-J47)/J47,"")</f>
        <v/>
      </c>
      <c r="R47" s="16">
        <f>ROUND(O47*G47/30,0)</f>
        <v/>
      </c>
      <c r="S47" s="22" t="n">
        <v>15000</v>
      </c>
      <c r="T47" s="22" t="n"/>
      <c r="U47" s="17" t="n"/>
      <c r="V47" s="24">
        <f>IFERROR(U47-IFERROR(S47,0)-IFERROR(T47,0),"")</f>
        <v/>
      </c>
      <c r="W47" s="25" t="inlineStr"/>
    </row>
    <row r="48" ht="17" customHeight="1">
      <c r="A48" s="12" t="n">
        <v>45</v>
      </c>
      <c r="B48" s="12" t="inlineStr">
        <is>
          <t>0.9mm</t>
        </is>
      </c>
      <c r="C48" s="13" t="inlineStr">
        <is>
          <t>PIGTAIL-SM-황</t>
        </is>
      </c>
      <c r="D48" s="13" t="inlineStr">
        <is>
          <t>P14-RM-417E</t>
        </is>
      </c>
      <c r="E48" s="13" t="inlineStr">
        <is>
          <t>OPTICAL CABLE 0.9mm SM (YELLOW,황)</t>
        </is>
      </c>
      <c r="F48" s="12" t="inlineStr">
        <is>
          <t>HUAMAI</t>
        </is>
      </c>
      <c r="G48" s="12" t="n">
        <v>60</v>
      </c>
      <c r="H48" s="14" t="n">
        <v>12926</v>
      </c>
      <c r="I48" s="14" t="n">
        <v>5386</v>
      </c>
      <c r="J48" s="14" t="n">
        <v>4651</v>
      </c>
      <c r="K48" s="14" t="n">
        <v>3291</v>
      </c>
      <c r="L48" s="14" t="n">
        <v>1905</v>
      </c>
      <c r="M48" s="14" t="n">
        <v>1761</v>
      </c>
      <c r="N48" s="14">
        <f>ROUND(AVERAGE(H48,J48,L48),0)</f>
        <v/>
      </c>
      <c r="O48" s="14">
        <f>ROUND(AVERAGE(I48,K48,M48),0)</f>
        <v/>
      </c>
      <c r="P48" s="15">
        <f>IFERROR((J48-H48)/H48,"")</f>
        <v/>
      </c>
      <c r="Q48" s="15">
        <f>IFERROR((L48-J48)/J48,"")</f>
        <v/>
      </c>
      <c r="R48" s="16">
        <f>ROUND(O48*G48/30,0)</f>
        <v/>
      </c>
      <c r="S48" s="14" t="n">
        <v>43000</v>
      </c>
      <c r="T48" s="14" t="n"/>
      <c r="U48" s="17" t="n"/>
      <c r="V48" s="18">
        <f>IFERROR(U48-IFERROR(S48,0)-IFERROR(T48,0),"")</f>
        <v/>
      </c>
      <c r="W48" s="19" t="inlineStr"/>
    </row>
    <row r="49" ht="17" customHeight="1">
      <c r="A49" s="20" t="n">
        <v>46</v>
      </c>
      <c r="B49" s="20" t="inlineStr">
        <is>
          <t>0.9mm</t>
        </is>
      </c>
      <c r="C49" s="21" t="inlineStr">
        <is>
          <t>PIGTAIL-SM-회</t>
        </is>
      </c>
      <c r="D49" s="21" t="inlineStr">
        <is>
          <t>P14-RM-4175</t>
        </is>
      </c>
      <c r="E49" s="21" t="inlineStr">
        <is>
          <t>OPTICAL CABLE 0.9mm SM (SLATE,회)</t>
        </is>
      </c>
      <c r="F49" s="20" t="inlineStr">
        <is>
          <t>HUAMAI</t>
        </is>
      </c>
      <c r="G49" s="20" t="n">
        <v>60</v>
      </c>
      <c r="H49" s="22" t="n">
        <v>2495</v>
      </c>
      <c r="I49" s="22" t="n">
        <v>2166</v>
      </c>
      <c r="J49" s="22" t="n">
        <v>2128</v>
      </c>
      <c r="K49" s="22" t="n">
        <v>1149</v>
      </c>
      <c r="L49" s="22" t="n">
        <v>375</v>
      </c>
      <c r="M49" s="22" t="n">
        <v>237</v>
      </c>
      <c r="N49" s="22">
        <f>ROUND(AVERAGE(H49,J49,L49),0)</f>
        <v/>
      </c>
      <c r="O49" s="22">
        <f>ROUND(AVERAGE(I49,K49,M49),0)</f>
        <v/>
      </c>
      <c r="P49" s="23">
        <f>IFERROR((J49-H49)/H49,"")</f>
        <v/>
      </c>
      <c r="Q49" s="23">
        <f>IFERROR((L49-J49)/J49,"")</f>
        <v/>
      </c>
      <c r="R49" s="16">
        <f>ROUND(O49*G49/30,0)</f>
        <v/>
      </c>
      <c r="S49" s="22" t="n">
        <v>15000</v>
      </c>
      <c r="T49" s="22" t="n"/>
      <c r="U49" s="17" t="n"/>
      <c r="V49" s="24">
        <f>IFERROR(U49-IFERROR(S49,0)-IFERROR(T49,0),"")</f>
        <v/>
      </c>
      <c r="W49" s="25" t="inlineStr"/>
    </row>
    <row r="50" ht="17" customHeight="1">
      <c r="A50" s="12" t="n">
        <v>47</v>
      </c>
      <c r="B50" s="12" t="inlineStr">
        <is>
          <t>0.9mm</t>
        </is>
      </c>
      <c r="C50" s="13" t="inlineStr">
        <is>
          <t>PIGTAIL-SM-흑</t>
        </is>
      </c>
      <c r="D50" s="13" t="inlineStr">
        <is>
          <t>P14-RM-4171</t>
        </is>
      </c>
      <c r="E50" s="13" t="inlineStr">
        <is>
          <t>OPTICAL CABLE 0.9mm SM (BLACK,흑)</t>
        </is>
      </c>
      <c r="F50" s="12" t="inlineStr">
        <is>
          <t>HUAMAI</t>
        </is>
      </c>
      <c r="G50" s="12" t="n">
        <v>60</v>
      </c>
      <c r="H50" s="14" t="n">
        <v>2795</v>
      </c>
      <c r="I50" s="14" t="n">
        <v>2616</v>
      </c>
      <c r="J50" s="14" t="n">
        <v>2586</v>
      </c>
      <c r="K50" s="14" t="n">
        <v>1388</v>
      </c>
      <c r="L50" s="14" t="n">
        <v>458</v>
      </c>
      <c r="M50" s="14" t="n">
        <v>375</v>
      </c>
      <c r="N50" s="14">
        <f>ROUND(AVERAGE(H50,J50,L50),0)</f>
        <v/>
      </c>
      <c r="O50" s="14">
        <f>ROUND(AVERAGE(I50,K50,M50),0)</f>
        <v/>
      </c>
      <c r="P50" s="15">
        <f>IFERROR((J50-H50)/H50,"")</f>
        <v/>
      </c>
      <c r="Q50" s="15">
        <f>IFERROR((L50-J50)/J50,"")</f>
        <v/>
      </c>
      <c r="R50" s="16">
        <f>ROUND(O50*G50/30,0)</f>
        <v/>
      </c>
      <c r="S50" s="14" t="n">
        <v>24000</v>
      </c>
      <c r="T50" s="14" t="n"/>
      <c r="U50" s="17" t="n"/>
      <c r="V50" s="18">
        <f>IFERROR(U50-IFERROR(S50,0)-IFERROR(T50,0),"")</f>
        <v/>
      </c>
      <c r="W50" s="19" t="inlineStr"/>
    </row>
    <row r="52" ht="18" customHeight="1">
      <c r="C52" s="26" t="inlineStr">
        <is>
          <t>합  계</t>
        </is>
      </c>
      <c r="H52" s="27">
        <f>SUM(H4:H50)</f>
        <v/>
      </c>
      <c r="I52" s="27">
        <f>SUM(I4:I50)</f>
        <v/>
      </c>
      <c r="J52" s="27">
        <f>SUM(J4:J50)</f>
        <v/>
      </c>
      <c r="K52" s="27">
        <f>SUM(K4:K50)</f>
        <v/>
      </c>
      <c r="L52" s="27">
        <f>SUM(L4:L50)</f>
        <v/>
      </c>
      <c r="M52" s="27">
        <f>SUM(M4:M50)</f>
        <v/>
      </c>
      <c r="N52" s="27">
        <f>SUM(N4:N50)</f>
        <v/>
      </c>
      <c r="O52" s="27">
        <f>SUM(O4:O50)</f>
        <v/>
      </c>
    </row>
  </sheetData>
  <mergeCells count="8">
    <mergeCell ref="L2:M2"/>
    <mergeCell ref="A1:W1"/>
    <mergeCell ref="S2:T2"/>
    <mergeCell ref="H2:I2"/>
    <mergeCell ref="U2:V2"/>
    <mergeCell ref="J2:K2"/>
    <mergeCell ref="A2:G2"/>
    <mergeCell ref="N2:Q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0" customWidth="1" min="3" max="3"/>
    <col width="16" customWidth="1" min="4" max="4"/>
    <col width="38" customWidth="1" min="5" max="5"/>
    <col width="12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9" customWidth="1" min="16" max="16"/>
    <col width="9" customWidth="1" min="17" max="17"/>
    <col width="13" customWidth="1" min="18" max="18"/>
    <col width="12" customWidth="1" min="19" max="19"/>
    <col width="12" customWidth="1" min="20" max="20"/>
    <col width="15" customWidth="1" min="21" max="21"/>
    <col width="14" customWidth="1" min="22" max="22"/>
    <col width="20" customWidth="1" min="23" max="23"/>
  </cols>
  <sheetData>
    <row r="1" ht="26" customHeight="1">
      <c r="A1" s="1" t="inlineStr">
        <is>
          <t>2026 연간 발주 계획 — 하우징 사용내역  (단위 : EA)</t>
        </is>
      </c>
    </row>
    <row r="2" ht="18" customHeight="1">
      <c r="A2" s="2" t="inlineStr">
        <is>
          <t>기본 정보</t>
        </is>
      </c>
      <c r="B2" s="40" t="n"/>
      <c r="C2" s="40" t="n"/>
      <c r="D2" s="40" t="n"/>
      <c r="E2" s="40" t="n"/>
      <c r="F2" s="40" t="n"/>
      <c r="G2" s="41" t="n"/>
      <c r="H2" s="3" t="inlineStr">
        <is>
          <t>2023년</t>
        </is>
      </c>
      <c r="I2" s="41" t="n"/>
      <c r="J2" s="4" t="inlineStr">
        <is>
          <t>2024년</t>
        </is>
      </c>
      <c r="K2" s="41" t="n"/>
      <c r="L2" s="5" t="inlineStr">
        <is>
          <t>2025년</t>
        </is>
      </c>
      <c r="M2" s="41" t="n"/>
      <c r="N2" s="6" t="inlineStr">
        <is>
          <t>📊 트렌드 분석</t>
        </is>
      </c>
      <c r="O2" s="40" t="n"/>
      <c r="P2" s="40" t="n"/>
      <c r="Q2" s="41" t="n"/>
      <c r="R2" s="7" t="inlineStr">
        <is>
          <t>⚠ 안전재고</t>
        </is>
      </c>
      <c r="S2" s="8" t="inlineStr">
        <is>
          <t>재고 현황</t>
        </is>
      </c>
      <c r="T2" s="41" t="n"/>
      <c r="U2" s="9" t="inlineStr">
        <is>
          <t>✏ 2026 발주 계획</t>
        </is>
      </c>
      <c r="V2" s="41" t="n"/>
      <c r="W2" s="10" t="inlineStr">
        <is>
          <t>비고</t>
        </is>
      </c>
    </row>
    <row r="3" ht="42" customHeight="1">
      <c r="A3" s="11" t="inlineStr">
        <is>
          <t>NO</t>
        </is>
      </c>
      <c r="B3" s="11" t="inlineStr">
        <is>
          <t>파이</t>
        </is>
      </c>
      <c r="C3" s="11" t="inlineStr">
        <is>
          <t>하우징 타입</t>
        </is>
      </c>
      <c r="D3" s="11" t="inlineStr">
        <is>
          <t>품번</t>
        </is>
      </c>
      <c r="E3" s="11" t="inlineStr">
        <is>
          <t>품명</t>
        </is>
      </c>
      <c r="F3" s="11" t="inlineStr">
        <is>
          <t>구매처</t>
        </is>
      </c>
      <c r="G3" s="11" t="inlineStr">
        <is>
          <t>리드타임
(일)</t>
        </is>
      </c>
      <c r="H3" s="11" t="inlineStr">
        <is>
          <t>연간(EA)</t>
        </is>
      </c>
      <c r="I3" s="11" t="inlineStr">
        <is>
          <t>피크(EA)</t>
        </is>
      </c>
      <c r="J3" s="11" t="inlineStr">
        <is>
          <t>연간(EA)</t>
        </is>
      </c>
      <c r="K3" s="11" t="inlineStr">
        <is>
          <t>피크(EA)</t>
        </is>
      </c>
      <c r="L3" s="11" t="inlineStr">
        <is>
          <t>연간(EA)</t>
        </is>
      </c>
      <c r="M3" s="11" t="inlineStr">
        <is>
          <t>피크(EA)</t>
        </is>
      </c>
      <c r="N3" s="11" t="inlineStr">
        <is>
          <t>3개년
평균연간</t>
        </is>
      </c>
      <c r="O3" s="11" t="inlineStr">
        <is>
          <t>3개년
피크평균</t>
        </is>
      </c>
      <c r="P3" s="11" t="inlineStr">
        <is>
          <t>23→24
증감률</t>
        </is>
      </c>
      <c r="Q3" s="11" t="inlineStr">
        <is>
          <t>24→25
증감률</t>
        </is>
      </c>
      <c r="R3" s="11" t="inlineStr">
        <is>
          <t>안전재고
(EA)</t>
        </is>
      </c>
      <c r="S3" s="11" t="inlineStr">
        <is>
          <t>현재고
(EA)</t>
        </is>
      </c>
      <c r="T3" s="11" t="inlineStr">
        <is>
          <t>기발주
(참고)</t>
        </is>
      </c>
      <c r="U3" s="11" t="inlineStr">
        <is>
          <t>2026목표
(EA)</t>
        </is>
      </c>
      <c r="V3" s="11" t="inlineStr">
        <is>
          <t>필요발주
(EA)</t>
        </is>
      </c>
      <c r="W3" s="11" t="inlineStr">
        <is>
          <t>비고</t>
        </is>
      </c>
    </row>
    <row r="4" ht="17" customHeight="1">
      <c r="A4" s="12" t="n">
        <v>1</v>
      </c>
      <c r="B4" s="12" t="inlineStr">
        <is>
          <t>2.0mm</t>
        </is>
      </c>
      <c r="C4" s="13" t="inlineStr">
        <is>
          <t>FC/APC 녹색</t>
        </is>
      </c>
      <c r="D4" s="13" t="inlineStr">
        <is>
          <t>P14-FS-4227</t>
        </is>
      </c>
      <c r="E4" s="13" t="inlineStr">
        <is>
          <t>OJC HOUSING KIT (OJC FC/APC 2.0 GREEN)</t>
        </is>
      </c>
      <c r="F4" s="12" t="inlineStr">
        <is>
          <t>FIBERCAN</t>
        </is>
      </c>
      <c r="G4" s="12" t="n">
        <v>60</v>
      </c>
      <c r="H4" s="14" t="n">
        <v>1891</v>
      </c>
      <c r="I4" s="14" t="n">
        <v>494</v>
      </c>
      <c r="J4" s="14" t="n">
        <v>791</v>
      </c>
      <c r="K4" s="14" t="n">
        <v>151</v>
      </c>
      <c r="L4" s="14" t="n">
        <v>1320</v>
      </c>
      <c r="M4" s="14" t="n">
        <v>326</v>
      </c>
      <c r="N4" s="14">
        <f>ROUND(AVERAGE(H4,J4,L4),0)</f>
        <v/>
      </c>
      <c r="O4" s="14">
        <f>ROUND(AVERAGE(I4,K4,M4),0)</f>
        <v/>
      </c>
      <c r="P4" s="15">
        <f>IFERROR((J4-H4)/H4,"")</f>
        <v/>
      </c>
      <c r="Q4" s="15">
        <f>IFERROR((L4-J4)/J4,"")</f>
        <v/>
      </c>
      <c r="R4" s="16">
        <f>ROUND(O4*G4/30,0)</f>
        <v/>
      </c>
      <c r="S4" s="14" t="n">
        <v>2200</v>
      </c>
      <c r="T4" s="14" t="n">
        <v>0</v>
      </c>
      <c r="U4" s="17" t="n"/>
      <c r="V4" s="18">
        <f>IFERROR(U4-IFERROR(S4,0)-IFERROR(T4,0),"")</f>
        <v/>
      </c>
      <c r="W4" s="19" t="inlineStr"/>
    </row>
    <row r="5" ht="17" customHeight="1">
      <c r="A5" s="20" t="n">
        <v>2</v>
      </c>
      <c r="B5" s="20" t="inlineStr">
        <is>
          <t>2.0mm</t>
        </is>
      </c>
      <c r="C5" s="21" t="inlineStr">
        <is>
          <t>FC/APC 적색</t>
        </is>
      </c>
      <c r="D5" s="21" t="inlineStr">
        <is>
          <t>P14-FS-422G</t>
        </is>
      </c>
      <c r="E5" s="21" t="inlineStr">
        <is>
          <t>OJC HOUSING KIT (OJC FC/PC,APC 2.0 RED)</t>
        </is>
      </c>
      <c r="F5" s="20" t="inlineStr">
        <is>
          <t>FIBERCAN</t>
        </is>
      </c>
      <c r="G5" s="20" t="n">
        <v>60</v>
      </c>
      <c r="H5" s="22" t="n">
        <v>3426</v>
      </c>
      <c r="I5" s="22" t="n">
        <v>608</v>
      </c>
      <c r="J5" s="22" t="n">
        <v>1352</v>
      </c>
      <c r="K5" s="22" t="n">
        <v>304</v>
      </c>
      <c r="L5" s="22" t="n">
        <v>5382</v>
      </c>
      <c r="M5" s="22" t="n">
        <v>1308</v>
      </c>
      <c r="N5" s="22">
        <f>ROUND(AVERAGE(H5,J5,L5),0)</f>
        <v/>
      </c>
      <c r="O5" s="22">
        <f>ROUND(AVERAGE(I5,K5,M5),0)</f>
        <v/>
      </c>
      <c r="P5" s="23">
        <f>IFERROR((J5-H5)/H5,"")</f>
        <v/>
      </c>
      <c r="Q5" s="23">
        <f>IFERROR((L5-J5)/J5,"")</f>
        <v/>
      </c>
      <c r="R5" s="16">
        <f>ROUND(O5*G5/30,0)</f>
        <v/>
      </c>
      <c r="S5" s="22" t="n">
        <v>2400</v>
      </c>
      <c r="T5" s="22" t="n">
        <v>0</v>
      </c>
      <c r="U5" s="17" t="n"/>
      <c r="V5" s="24">
        <f>IFERROR(U5-IFERROR(S5,0)-IFERROR(T5,0),"")</f>
        <v/>
      </c>
      <c r="W5" s="25" t="inlineStr"/>
    </row>
    <row r="6" ht="17" customHeight="1">
      <c r="A6" s="12" t="n">
        <v>3</v>
      </c>
      <c r="B6" s="12" t="inlineStr">
        <is>
          <t>2.0mm</t>
        </is>
      </c>
      <c r="C6" s="13" t="inlineStr">
        <is>
          <t>FC/PC 적색</t>
        </is>
      </c>
      <c r="D6" s="13" t="inlineStr">
        <is>
          <t>P14-FS-422G</t>
        </is>
      </c>
      <c r="E6" s="13" t="inlineStr">
        <is>
          <t>OJC HOUSING KIT (OJC FC/PC,APC 2.0 RED)</t>
        </is>
      </c>
      <c r="F6" s="12" t="inlineStr">
        <is>
          <t>FIBERCAN</t>
        </is>
      </c>
      <c r="G6" s="12" t="n">
        <v>60</v>
      </c>
      <c r="H6" s="14" t="n">
        <v>2946</v>
      </c>
      <c r="I6" s="14" t="n">
        <v>838</v>
      </c>
      <c r="J6" s="14" t="n">
        <v>722</v>
      </c>
      <c r="K6" s="14" t="n">
        <v>218</v>
      </c>
      <c r="L6" s="14" t="n">
        <v>3318</v>
      </c>
      <c r="M6" s="14" t="n">
        <v>1108</v>
      </c>
      <c r="N6" s="14">
        <f>ROUND(AVERAGE(H6,J6,L6),0)</f>
        <v/>
      </c>
      <c r="O6" s="14">
        <f>ROUND(AVERAGE(I6,K6,M6),0)</f>
        <v/>
      </c>
      <c r="P6" s="15">
        <f>IFERROR((J6-H6)/H6,"")</f>
        <v/>
      </c>
      <c r="Q6" s="15">
        <f>IFERROR((L6-J6)/J6,"")</f>
        <v/>
      </c>
      <c r="R6" s="16">
        <f>ROUND(O6*G6/30,0)</f>
        <v/>
      </c>
      <c r="S6" s="14" t="n">
        <v>2400</v>
      </c>
      <c r="T6" s="14" t="n">
        <v>0</v>
      </c>
      <c r="U6" s="17" t="n"/>
      <c r="V6" s="18">
        <f>IFERROR(U6-IFERROR(S6,0)-IFERROR(T6,0),"")</f>
        <v/>
      </c>
      <c r="W6" s="19" t="inlineStr"/>
    </row>
    <row r="7" ht="17" customHeight="1">
      <c r="A7" s="20" t="n">
        <v>4</v>
      </c>
      <c r="B7" s="20" t="inlineStr">
        <is>
          <t>2.0mm</t>
        </is>
      </c>
      <c r="C7" s="21" t="inlineStr">
        <is>
          <t>FC/PC 흑색</t>
        </is>
      </c>
      <c r="D7" s="21" t="inlineStr">
        <is>
          <t>P14-FS-4229</t>
        </is>
      </c>
      <c r="E7" s="21" t="inlineStr">
        <is>
          <t>OJC HOUSING KIT (OJC FC/PC 2.0 BLACK)</t>
        </is>
      </c>
      <c r="F7" s="20" t="inlineStr">
        <is>
          <t>FIBERCAN</t>
        </is>
      </c>
      <c r="G7" s="20" t="n">
        <v>60</v>
      </c>
      <c r="H7" s="22" t="n">
        <v>1443</v>
      </c>
      <c r="I7" s="22" t="n">
        <v>372</v>
      </c>
      <c r="J7" s="22" t="n">
        <v>678</v>
      </c>
      <c r="K7" s="22" t="n">
        <v>156</v>
      </c>
      <c r="L7" s="22" t="n">
        <v>1166</v>
      </c>
      <c r="M7" s="22" t="n">
        <v>220</v>
      </c>
      <c r="N7" s="22">
        <f>ROUND(AVERAGE(H7,J7,L7),0)</f>
        <v/>
      </c>
      <c r="O7" s="22">
        <f>ROUND(AVERAGE(I7,K7,M7),0)</f>
        <v/>
      </c>
      <c r="P7" s="23">
        <f>IFERROR((J7-H7)/H7,"")</f>
        <v/>
      </c>
      <c r="Q7" s="23">
        <f>IFERROR((L7-J7)/J7,"")</f>
        <v/>
      </c>
      <c r="R7" s="16">
        <f>ROUND(O7*G7/30,0)</f>
        <v/>
      </c>
      <c r="S7" s="22" t="n">
        <v>4200</v>
      </c>
      <c r="T7" s="22" t="n">
        <v>0</v>
      </c>
      <c r="U7" s="17" t="n"/>
      <c r="V7" s="24">
        <f>IFERROR(U7-IFERROR(S7,0)-IFERROR(T7,0),"")</f>
        <v/>
      </c>
      <c r="W7" s="25" t="inlineStr"/>
    </row>
    <row r="8" ht="17" customHeight="1">
      <c r="A8" s="12" t="n">
        <v>5</v>
      </c>
      <c r="B8" s="12" t="inlineStr">
        <is>
          <t>2.0mm</t>
        </is>
      </c>
      <c r="C8" s="13" t="inlineStr">
        <is>
          <t>LC/APC 녹색</t>
        </is>
      </c>
      <c r="D8" s="13" t="inlineStr">
        <is>
          <t>P14-LS-4224</t>
        </is>
      </c>
      <c r="E8" s="13" t="inlineStr">
        <is>
          <t>OJC HOUSING KIT (OJC LC/APC 2.0 GREEN)</t>
        </is>
      </c>
      <c r="F8" s="12" t="inlineStr">
        <is>
          <t>FIBERCAN</t>
        </is>
      </c>
      <c r="G8" s="12" t="n">
        <v>60</v>
      </c>
      <c r="H8" s="14" t="n">
        <v>1796</v>
      </c>
      <c r="I8" s="14" t="n">
        <v>664</v>
      </c>
      <c r="J8" s="14" t="n">
        <v>3368</v>
      </c>
      <c r="K8" s="14" t="n">
        <v>791</v>
      </c>
      <c r="L8" s="14" t="n">
        <v>973</v>
      </c>
      <c r="M8" s="14" t="n">
        <v>439</v>
      </c>
      <c r="N8" s="14">
        <f>ROUND(AVERAGE(H8,J8,L8),0)</f>
        <v/>
      </c>
      <c r="O8" s="14">
        <f>ROUND(AVERAGE(I8,K8,M8),0)</f>
        <v/>
      </c>
      <c r="P8" s="15">
        <f>IFERROR((J8-H8)/H8,"")</f>
        <v/>
      </c>
      <c r="Q8" s="15">
        <f>IFERROR((L8-J8)/J8,"")</f>
        <v/>
      </c>
      <c r="R8" s="16">
        <f>ROUND(O8*G8/30,0)</f>
        <v/>
      </c>
      <c r="S8" s="14" t="n">
        <v>10000</v>
      </c>
      <c r="T8" s="14" t="n">
        <v>0</v>
      </c>
      <c r="U8" s="17" t="n"/>
      <c r="V8" s="18">
        <f>IFERROR(U8-IFERROR(S8,0)-IFERROR(T8,0),"")</f>
        <v/>
      </c>
      <c r="W8" s="19" t="inlineStr"/>
    </row>
    <row r="9" ht="17" customHeight="1">
      <c r="A9" s="20" t="n">
        <v>6</v>
      </c>
      <c r="B9" s="20" t="inlineStr">
        <is>
          <t>2.0mm</t>
        </is>
      </c>
      <c r="C9" s="21" t="inlineStr">
        <is>
          <t>LC/APC 적색</t>
        </is>
      </c>
      <c r="D9" s="21" t="inlineStr">
        <is>
          <t>P14-LS-4224</t>
        </is>
      </c>
      <c r="E9" s="21" t="inlineStr">
        <is>
          <t>OJC HOUSING KIT (OJC LC/APC 2.0 GREEN)</t>
        </is>
      </c>
      <c r="F9" s="20" t="inlineStr">
        <is>
          <t>FIBERCAN</t>
        </is>
      </c>
      <c r="G9" s="20" t="n">
        <v>60</v>
      </c>
      <c r="H9" s="22" t="n">
        <v>344</v>
      </c>
      <c r="I9" s="22" t="n">
        <v>110</v>
      </c>
      <c r="J9" s="22" t="n">
        <v>3344</v>
      </c>
      <c r="K9" s="22" t="n">
        <v>904</v>
      </c>
      <c r="L9" s="22" t="n">
        <v>574</v>
      </c>
      <c r="M9" s="22" t="n">
        <v>290</v>
      </c>
      <c r="N9" s="22">
        <f>ROUND(AVERAGE(H9,J9,L9),0)</f>
        <v/>
      </c>
      <c r="O9" s="22">
        <f>ROUND(AVERAGE(I9,K9,M9),0)</f>
        <v/>
      </c>
      <c r="P9" s="23">
        <f>IFERROR((J9-H9)/H9,"")</f>
        <v/>
      </c>
      <c r="Q9" s="23">
        <f>IFERROR((L9-J9)/J9,"")</f>
        <v/>
      </c>
      <c r="R9" s="16">
        <f>ROUND(O9*G9/30,0)</f>
        <v/>
      </c>
      <c r="S9" s="22" t="n">
        <v>10000</v>
      </c>
      <c r="T9" s="22" t="n">
        <v>0</v>
      </c>
      <c r="U9" s="17" t="n"/>
      <c r="V9" s="24">
        <f>IFERROR(U9-IFERROR(S9,0)-IFERROR(T9,0),"")</f>
        <v/>
      </c>
      <c r="W9" s="25" t="inlineStr"/>
    </row>
    <row r="10" ht="17" customHeight="1">
      <c r="A10" s="12" t="n">
        <v>7</v>
      </c>
      <c r="B10" s="12" t="inlineStr">
        <is>
          <t>2.0mm</t>
        </is>
      </c>
      <c r="C10" s="13" t="inlineStr">
        <is>
          <t>LC/PC 베이지MM</t>
        </is>
      </c>
      <c r="D10" s="13" t="inlineStr">
        <is>
          <t>P14-LM-4226</t>
        </is>
      </c>
      <c r="E10" s="13" t="inlineStr">
        <is>
          <t>OJC HOUSING KIT (OJC LC/PC-MM 2.0 BEIGE)</t>
        </is>
      </c>
      <c r="F10" s="12" t="inlineStr">
        <is>
          <t>FIBERCAN</t>
        </is>
      </c>
      <c r="G10" s="12" t="n">
        <v>60</v>
      </c>
      <c r="H10" s="14" t="n">
        <v>10495</v>
      </c>
      <c r="I10" s="14" t="n">
        <v>1666</v>
      </c>
      <c r="J10" s="14" t="n">
        <v>8350</v>
      </c>
      <c r="K10" s="14" t="n">
        <v>2302</v>
      </c>
      <c r="L10" s="14" t="n">
        <v>9239</v>
      </c>
      <c r="M10" s="14" t="n">
        <v>2254</v>
      </c>
      <c r="N10" s="14">
        <f>ROUND(AVERAGE(H10,J10,L10),0)</f>
        <v/>
      </c>
      <c r="O10" s="14">
        <f>ROUND(AVERAGE(I10,K10,M10),0)</f>
        <v/>
      </c>
      <c r="P10" s="15">
        <f>IFERROR((J10-H10)/H10,"")</f>
        <v/>
      </c>
      <c r="Q10" s="15">
        <f>IFERROR((L10-J10)/J10,"")</f>
        <v/>
      </c>
      <c r="R10" s="16">
        <f>ROUND(O10*G10/30,0)</f>
        <v/>
      </c>
      <c r="S10" s="14" t="n">
        <v>500</v>
      </c>
      <c r="T10" s="14" t="n">
        <v>2100</v>
      </c>
      <c r="U10" s="17" t="n"/>
      <c r="V10" s="18">
        <f>IFERROR(U10-IFERROR(S10,0)-IFERROR(T10,0),"")</f>
        <v/>
      </c>
      <c r="W10" s="19" t="inlineStr"/>
    </row>
    <row r="11" ht="17" customHeight="1">
      <c r="A11" s="20" t="n">
        <v>8</v>
      </c>
      <c r="B11" s="20" t="inlineStr">
        <is>
          <t>2.0mm</t>
        </is>
      </c>
      <c r="C11" s="21" t="inlineStr">
        <is>
          <t>LC/PC 적색</t>
        </is>
      </c>
      <c r="D11" s="21" t="inlineStr">
        <is>
          <t>P14-LS-422A</t>
        </is>
      </c>
      <c r="E11" s="21" t="inlineStr">
        <is>
          <t>OJC HOUSING KIT (OJC LC/PC 2.0 RED)</t>
        </is>
      </c>
      <c r="F11" s="20" t="inlineStr">
        <is>
          <t>FIBERCAN</t>
        </is>
      </c>
      <c r="G11" s="20" t="n">
        <v>60</v>
      </c>
      <c r="H11" s="22" t="n">
        <v>81004</v>
      </c>
      <c r="I11" s="22" t="n">
        <v>11126</v>
      </c>
      <c r="J11" s="22" t="n">
        <v>56694</v>
      </c>
      <c r="K11" s="22" t="n">
        <v>9974</v>
      </c>
      <c r="L11" s="22" t="n">
        <v>61884</v>
      </c>
      <c r="M11" s="22" t="n">
        <v>8428</v>
      </c>
      <c r="N11" s="22">
        <f>ROUND(AVERAGE(H11,J11,L11),0)</f>
        <v/>
      </c>
      <c r="O11" s="22">
        <f>ROUND(AVERAGE(I11,K11,M11),0)</f>
        <v/>
      </c>
      <c r="P11" s="23">
        <f>IFERROR((J11-H11)/H11,"")</f>
        <v/>
      </c>
      <c r="Q11" s="23">
        <f>IFERROR((L11-J11)/J11,"")</f>
        <v/>
      </c>
      <c r="R11" s="16">
        <f>ROUND(O11*G11/30,0)</f>
        <v/>
      </c>
      <c r="S11" s="22" t="n">
        <v>33500</v>
      </c>
      <c r="T11" s="22" t="n">
        <v>35000</v>
      </c>
      <c r="U11" s="17" t="n"/>
      <c r="V11" s="24">
        <f>IFERROR(U11-IFERROR(S11,0)-IFERROR(T11,0),"")</f>
        <v/>
      </c>
      <c r="W11" s="25" t="inlineStr"/>
    </row>
    <row r="12" ht="17" customHeight="1">
      <c r="A12" s="12" t="n">
        <v>9</v>
      </c>
      <c r="B12" s="12" t="inlineStr">
        <is>
          <t>2.0mm</t>
        </is>
      </c>
      <c r="C12" s="13" t="inlineStr">
        <is>
          <t>LC/PC 청색</t>
        </is>
      </c>
      <c r="D12" s="13" t="inlineStr">
        <is>
          <t>P14-LS-4228</t>
        </is>
      </c>
      <c r="E12" s="13" t="inlineStr">
        <is>
          <t>OJC HOUSING KIT (OJC LC/PC 2.0 BLUE)</t>
        </is>
      </c>
      <c r="F12" s="12" t="inlineStr">
        <is>
          <t>FIBERCAN</t>
        </is>
      </c>
      <c r="G12" s="12" t="n">
        <v>60</v>
      </c>
      <c r="H12" s="14" t="n">
        <v>80088</v>
      </c>
      <c r="I12" s="14" t="n">
        <v>10983</v>
      </c>
      <c r="J12" s="14" t="n">
        <v>48303</v>
      </c>
      <c r="K12" s="14" t="n">
        <v>9505</v>
      </c>
      <c r="L12" s="14" t="n">
        <v>76476</v>
      </c>
      <c r="M12" s="14" t="n">
        <v>10842</v>
      </c>
      <c r="N12" s="14">
        <f>ROUND(AVERAGE(H12,J12,L12),0)</f>
        <v/>
      </c>
      <c r="O12" s="14">
        <f>ROUND(AVERAGE(I12,K12,M12),0)</f>
        <v/>
      </c>
      <c r="P12" s="15">
        <f>IFERROR((J12-H12)/H12,"")</f>
        <v/>
      </c>
      <c r="Q12" s="15">
        <f>IFERROR((L12-J12)/J12,"")</f>
        <v/>
      </c>
      <c r="R12" s="16">
        <f>ROUND(O12*G12/30,0)</f>
        <v/>
      </c>
      <c r="S12" s="14" t="n">
        <v>34500</v>
      </c>
      <c r="T12" s="14" t="n">
        <v>0</v>
      </c>
      <c r="U12" s="17" t="n"/>
      <c r="V12" s="18">
        <f>IFERROR(U12-IFERROR(S12,0)-IFERROR(T12,0),"")</f>
        <v/>
      </c>
      <c r="W12" s="19" t="inlineStr"/>
    </row>
    <row r="13" ht="17" customHeight="1">
      <c r="A13" s="20" t="n">
        <v>10</v>
      </c>
      <c r="B13" s="20" t="inlineStr">
        <is>
          <t>2.0mm</t>
        </is>
      </c>
      <c r="C13" s="21" t="inlineStr">
        <is>
          <t>SC/APC 녹색</t>
        </is>
      </c>
      <c r="D13" s="21" t="inlineStr">
        <is>
          <t>N94-1-04075</t>
        </is>
      </c>
      <c r="E13" s="21" t="inlineStr">
        <is>
          <t>SPRING</t>
        </is>
      </c>
      <c r="F13" s="20" t="inlineStr">
        <is>
          <t>상영스프링</t>
        </is>
      </c>
      <c r="G13" s="20" t="n">
        <v>30</v>
      </c>
      <c r="H13" s="22" t="n">
        <v>13562</v>
      </c>
      <c r="I13" s="22" t="n">
        <v>2181</v>
      </c>
      <c r="J13" s="22" t="n">
        <v>12423</v>
      </c>
      <c r="K13" s="22" t="n">
        <v>3542</v>
      </c>
      <c r="L13" s="22" t="n">
        <v>8668</v>
      </c>
      <c r="M13" s="22" t="n">
        <v>1786</v>
      </c>
      <c r="N13" s="22">
        <f>ROUND(AVERAGE(H13,J13,L13),0)</f>
        <v/>
      </c>
      <c r="O13" s="22">
        <f>ROUND(AVERAGE(I13,K13,M13),0)</f>
        <v/>
      </c>
      <c r="P13" s="23">
        <f>IFERROR((J13-H13)/H13,"")</f>
        <v/>
      </c>
      <c r="Q13" s="23">
        <f>IFERROR((L13-J13)/J13,"")</f>
        <v/>
      </c>
      <c r="R13" s="16">
        <f>ROUND(O13*G13/30,0)</f>
        <v/>
      </c>
      <c r="S13" s="22" t="n">
        <v>190000</v>
      </c>
      <c r="T13" s="22" t="n">
        <v>0</v>
      </c>
      <c r="U13" s="17" t="n"/>
      <c r="V13" s="24">
        <f>IFERROR(U13-IFERROR(S13,0)-IFERROR(T13,0),"")</f>
        <v/>
      </c>
      <c r="W13" s="25" t="inlineStr"/>
    </row>
    <row r="14" ht="17" customHeight="1">
      <c r="A14" s="12" t="n">
        <v>11</v>
      </c>
      <c r="B14" s="12" t="inlineStr">
        <is>
          <t>2.0mm</t>
        </is>
      </c>
      <c r="C14" s="13" t="inlineStr">
        <is>
          <t>SC/APC 적색</t>
        </is>
      </c>
      <c r="D14" s="13" t="inlineStr">
        <is>
          <t>N94-1-04075</t>
        </is>
      </c>
      <c r="E14" s="13" t="inlineStr">
        <is>
          <t>SPRING</t>
        </is>
      </c>
      <c r="F14" s="12" t="inlineStr">
        <is>
          <t>상영스프링</t>
        </is>
      </c>
      <c r="G14" s="12" t="n">
        <v>30</v>
      </c>
      <c r="H14" s="14" t="n">
        <v>11724</v>
      </c>
      <c r="I14" s="14" t="n">
        <v>2808</v>
      </c>
      <c r="J14" s="14" t="n">
        <v>4472</v>
      </c>
      <c r="K14" s="14" t="n">
        <v>1260</v>
      </c>
      <c r="L14" s="14" t="n">
        <v>4280</v>
      </c>
      <c r="M14" s="14" t="n">
        <v>928</v>
      </c>
      <c r="N14" s="14">
        <f>ROUND(AVERAGE(H14,J14,L14),0)</f>
        <v/>
      </c>
      <c r="O14" s="14">
        <f>ROUND(AVERAGE(I14,K14,M14),0)</f>
        <v/>
      </c>
      <c r="P14" s="15">
        <f>IFERROR((J14-H14)/H14,"")</f>
        <v/>
      </c>
      <c r="Q14" s="15">
        <f>IFERROR((L14-J14)/J14,"")</f>
        <v/>
      </c>
      <c r="R14" s="16">
        <f>ROUND(O14*G14/30,0)</f>
        <v/>
      </c>
      <c r="S14" s="14" t="n">
        <v>190000</v>
      </c>
      <c r="T14" s="14" t="n">
        <v>0</v>
      </c>
      <c r="U14" s="17" t="n"/>
      <c r="V14" s="18">
        <f>IFERROR(U14-IFERROR(S14,0)-IFERROR(T14,0),"")</f>
        <v/>
      </c>
      <c r="W14" s="19" t="inlineStr"/>
    </row>
    <row r="15" ht="17" customHeight="1">
      <c r="A15" s="20" t="n">
        <v>12</v>
      </c>
      <c r="B15" s="20" t="inlineStr">
        <is>
          <t>2.0mm</t>
        </is>
      </c>
      <c r="C15" s="21" t="inlineStr">
        <is>
          <t>SC/PC 적색</t>
        </is>
      </c>
      <c r="D15" s="21" t="inlineStr">
        <is>
          <t>N94-1-04075</t>
        </is>
      </c>
      <c r="E15" s="21" t="inlineStr">
        <is>
          <t>SPRING</t>
        </is>
      </c>
      <c r="F15" s="20" t="inlineStr">
        <is>
          <t>상영스프링</t>
        </is>
      </c>
      <c r="G15" s="20" t="n">
        <v>30</v>
      </c>
      <c r="H15" s="22" t="n">
        <v>28652</v>
      </c>
      <c r="I15" s="22" t="n">
        <v>5226</v>
      </c>
      <c r="J15" s="22" t="n">
        <v>19072</v>
      </c>
      <c r="K15" s="22" t="n">
        <v>2522</v>
      </c>
      <c r="L15" s="22" t="n">
        <v>16450</v>
      </c>
      <c r="M15" s="22" t="n">
        <v>2590</v>
      </c>
      <c r="N15" s="22">
        <f>ROUND(AVERAGE(H15,J15,L15),0)</f>
        <v/>
      </c>
      <c r="O15" s="22">
        <f>ROUND(AVERAGE(I15,K15,M15),0)</f>
        <v/>
      </c>
      <c r="P15" s="23">
        <f>IFERROR((J15-H15)/H15,"")</f>
        <v/>
      </c>
      <c r="Q15" s="23">
        <f>IFERROR((L15-J15)/J15,"")</f>
        <v/>
      </c>
      <c r="R15" s="16">
        <f>ROUND(O15*G15/30,0)</f>
        <v/>
      </c>
      <c r="S15" s="22" t="n">
        <v>190000</v>
      </c>
      <c r="T15" s="22" t="n">
        <v>0</v>
      </c>
      <c r="U15" s="17" t="n"/>
      <c r="V15" s="24">
        <f>IFERROR(U15-IFERROR(S15,0)-IFERROR(T15,0),"")</f>
        <v/>
      </c>
      <c r="W15" s="25" t="inlineStr"/>
    </row>
    <row r="16" ht="17" customHeight="1">
      <c r="A16" s="12" t="n">
        <v>13</v>
      </c>
      <c r="B16" s="12" t="inlineStr">
        <is>
          <t>2.0mm</t>
        </is>
      </c>
      <c r="C16" s="13" t="inlineStr">
        <is>
          <t>SC/PC 청색</t>
        </is>
      </c>
      <c r="D16" s="13" t="inlineStr">
        <is>
          <t>N94-1-04075</t>
        </is>
      </c>
      <c r="E16" s="13" t="inlineStr">
        <is>
          <t>SPRING</t>
        </is>
      </c>
      <c r="F16" s="12" t="inlineStr">
        <is>
          <t>상영스프링</t>
        </is>
      </c>
      <c r="G16" s="12" t="n">
        <v>30</v>
      </c>
      <c r="H16" s="14" t="n">
        <v>154006</v>
      </c>
      <c r="I16" s="14" t="n">
        <v>19751</v>
      </c>
      <c r="J16" s="14" t="n">
        <v>126611</v>
      </c>
      <c r="K16" s="14" t="n">
        <v>20225</v>
      </c>
      <c r="L16" s="14" t="n">
        <v>137328</v>
      </c>
      <c r="M16" s="14" t="n">
        <v>15780</v>
      </c>
      <c r="N16" s="14">
        <f>ROUND(AVERAGE(H16,J16,L16),0)</f>
        <v/>
      </c>
      <c r="O16" s="14">
        <f>ROUND(AVERAGE(I16,K16,M16),0)</f>
        <v/>
      </c>
      <c r="P16" s="15">
        <f>IFERROR((J16-H16)/H16,"")</f>
        <v/>
      </c>
      <c r="Q16" s="15">
        <f>IFERROR((L16-J16)/J16,"")</f>
        <v/>
      </c>
      <c r="R16" s="16">
        <f>ROUND(O16*G16/30,0)</f>
        <v/>
      </c>
      <c r="S16" s="14" t="n">
        <v>190000</v>
      </c>
      <c r="T16" s="14" t="n">
        <v>0</v>
      </c>
      <c r="U16" s="17" t="n"/>
      <c r="V16" s="18">
        <f>IFERROR(U16-IFERROR(S16,0)-IFERROR(T16,0),"")</f>
        <v/>
      </c>
      <c r="W16" s="19" t="inlineStr"/>
    </row>
    <row r="17" ht="17" customHeight="1">
      <c r="A17" s="20" t="n">
        <v>14</v>
      </c>
      <c r="B17" s="20" t="inlineStr">
        <is>
          <t>3.0mm</t>
        </is>
      </c>
      <c r="C17" s="21" t="inlineStr">
        <is>
          <t>FC/APC 녹색</t>
        </is>
      </c>
      <c r="D17" s="21" t="inlineStr"/>
      <c r="E17" s="21" t="inlineStr"/>
      <c r="F17" s="20" t="inlineStr"/>
      <c r="G17" s="20" t="n">
        <v>60</v>
      </c>
      <c r="H17" s="22" t="n">
        <v>88</v>
      </c>
      <c r="I17" s="22" t="n">
        <v>50</v>
      </c>
      <c r="J17" s="22" t="n">
        <v>220</v>
      </c>
      <c r="K17" s="22" t="n">
        <v>100</v>
      </c>
      <c r="L17" s="22" t="n">
        <v>85</v>
      </c>
      <c r="M17" s="22" t="n">
        <v>35</v>
      </c>
      <c r="N17" s="22">
        <f>ROUND(AVERAGE(H17,J17,L17),0)</f>
        <v/>
      </c>
      <c r="O17" s="22">
        <f>ROUND(AVERAGE(I17,K17,M17),0)</f>
        <v/>
      </c>
      <c r="P17" s="23">
        <f>IFERROR((J17-H17)/H17,"")</f>
        <v/>
      </c>
      <c r="Q17" s="23">
        <f>IFERROR((L17-J17)/J17,"")</f>
        <v/>
      </c>
      <c r="R17" s="16">
        <f>ROUND(O17*G17/30,0)</f>
        <v/>
      </c>
      <c r="S17" s="22" t="n"/>
      <c r="T17" s="22" t="n"/>
      <c r="U17" s="17" t="n"/>
      <c r="V17" s="24">
        <f>IFERROR(U17-IFERROR(S17,0)-IFERROR(T17,0),"")</f>
        <v/>
      </c>
      <c r="W17" s="25" t="inlineStr"/>
    </row>
    <row r="18" ht="17" customHeight="1">
      <c r="A18" s="12" t="n">
        <v>15</v>
      </c>
      <c r="B18" s="12" t="inlineStr">
        <is>
          <t>3.0mm</t>
        </is>
      </c>
      <c r="C18" s="13" t="inlineStr">
        <is>
          <t>FC/APC 적색</t>
        </is>
      </c>
      <c r="D18" s="13" t="inlineStr"/>
      <c r="E18" s="13" t="inlineStr"/>
      <c r="F18" s="12" t="inlineStr"/>
      <c r="G18" s="12" t="n">
        <v>60</v>
      </c>
      <c r="H18" s="14" t="n">
        <v>20</v>
      </c>
      <c r="I18" s="14" t="n">
        <v>20</v>
      </c>
      <c r="J18" s="14" t="n">
        <v>118</v>
      </c>
      <c r="K18" s="14" t="n">
        <v>50</v>
      </c>
      <c r="L18" s="14" t="n">
        <v>242</v>
      </c>
      <c r="M18" s="14" t="n">
        <v>60</v>
      </c>
      <c r="N18" s="14">
        <f>ROUND(AVERAGE(H18,J18,L18),0)</f>
        <v/>
      </c>
      <c r="O18" s="14">
        <f>ROUND(AVERAGE(I18,K18,M18),0)</f>
        <v/>
      </c>
      <c r="P18" s="15">
        <f>IFERROR((J18-H18)/H18,"")</f>
        <v/>
      </c>
      <c r="Q18" s="15">
        <f>IFERROR((L18-J18)/J18,"")</f>
        <v/>
      </c>
      <c r="R18" s="16">
        <f>ROUND(O18*G18/30,0)</f>
        <v/>
      </c>
      <c r="S18" s="14" t="n"/>
      <c r="T18" s="14" t="n"/>
      <c r="U18" s="17" t="n"/>
      <c r="V18" s="18">
        <f>IFERROR(U18-IFERROR(S18,0)-IFERROR(T18,0),"")</f>
        <v/>
      </c>
      <c r="W18" s="19" t="inlineStr"/>
    </row>
    <row r="19" ht="17" customHeight="1">
      <c r="A19" s="20" t="n">
        <v>16</v>
      </c>
      <c r="B19" s="20" t="inlineStr">
        <is>
          <t>3.0mm</t>
        </is>
      </c>
      <c r="C19" s="21" t="inlineStr">
        <is>
          <t>FC/PC 적색</t>
        </is>
      </c>
      <c r="D19" s="21" t="inlineStr"/>
      <c r="E19" s="21" t="inlineStr"/>
      <c r="F19" s="20" t="inlineStr"/>
      <c r="G19" s="20" t="n">
        <v>60</v>
      </c>
      <c r="H19" s="22" t="n"/>
      <c r="I19" s="22" t="n"/>
      <c r="J19" s="22" t="n">
        <v>60</v>
      </c>
      <c r="K19" s="22" t="n">
        <v>36</v>
      </c>
      <c r="L19" s="22" t="n">
        <v>60</v>
      </c>
      <c r="M19" s="22" t="n">
        <v>40</v>
      </c>
      <c r="N19" s="22">
        <f>ROUND(AVERAGE(H19,J19,L19),0)</f>
        <v/>
      </c>
      <c r="O19" s="22">
        <f>ROUND(AVERAGE(I19,K19,M19),0)</f>
        <v/>
      </c>
      <c r="P19" s="23">
        <f>IFERROR((J19-H19)/H19,"")</f>
        <v/>
      </c>
      <c r="Q19" s="23">
        <f>IFERROR((L19-J19)/J19,"")</f>
        <v/>
      </c>
      <c r="R19" s="16">
        <f>ROUND(O19*G19/30,0)</f>
        <v/>
      </c>
      <c r="S19" s="22" t="n"/>
      <c r="T19" s="22" t="n"/>
      <c r="U19" s="17" t="n"/>
      <c r="V19" s="24">
        <f>IFERROR(U19-IFERROR(S19,0)-IFERROR(T19,0),"")</f>
        <v/>
      </c>
      <c r="W19" s="25" t="inlineStr"/>
    </row>
    <row r="20" ht="17" customHeight="1">
      <c r="A20" s="12" t="n">
        <v>17</v>
      </c>
      <c r="B20" s="12" t="inlineStr">
        <is>
          <t>3.0mm</t>
        </is>
      </c>
      <c r="C20" s="13" t="inlineStr">
        <is>
          <t>FC/PC 흑색</t>
        </is>
      </c>
      <c r="D20" s="13" t="inlineStr"/>
      <c r="E20" s="13" t="inlineStr"/>
      <c r="F20" s="12" t="inlineStr"/>
      <c r="G20" s="12" t="n">
        <v>60</v>
      </c>
      <c r="H20" s="14" t="n">
        <v>34</v>
      </c>
      <c r="I20" s="14" t="n">
        <v>30</v>
      </c>
      <c r="J20" s="14" t="n">
        <v>85</v>
      </c>
      <c r="K20" s="14" t="n">
        <v>20</v>
      </c>
      <c r="L20" s="14" t="n">
        <v>119</v>
      </c>
      <c r="M20" s="14" t="n">
        <v>50</v>
      </c>
      <c r="N20" s="14">
        <f>ROUND(AVERAGE(H20,J20,L20),0)</f>
        <v/>
      </c>
      <c r="O20" s="14">
        <f>ROUND(AVERAGE(I20,K20,M20),0)</f>
        <v/>
      </c>
      <c r="P20" s="15">
        <f>IFERROR((J20-H20)/H20,"")</f>
        <v/>
      </c>
      <c r="Q20" s="15">
        <f>IFERROR((L20-J20)/J20,"")</f>
        <v/>
      </c>
      <c r="R20" s="16">
        <f>ROUND(O20*G20/30,0)</f>
        <v/>
      </c>
      <c r="S20" s="14" t="n"/>
      <c r="T20" s="14" t="n"/>
      <c r="U20" s="17" t="n"/>
      <c r="V20" s="18">
        <f>IFERROR(U20-IFERROR(S20,0)-IFERROR(T20,0),"")</f>
        <v/>
      </c>
      <c r="W20" s="19" t="inlineStr"/>
    </row>
    <row r="21" ht="17" customHeight="1">
      <c r="A21" s="20" t="n">
        <v>18</v>
      </c>
      <c r="B21" s="20" t="inlineStr">
        <is>
          <t>3.0mm</t>
        </is>
      </c>
      <c r="C21" s="21" t="inlineStr">
        <is>
          <t>LC/APC 녹색</t>
        </is>
      </c>
      <c r="D21" s="21" t="inlineStr"/>
      <c r="E21" s="21" t="inlineStr"/>
      <c r="F21" s="20" t="inlineStr"/>
      <c r="G21" s="20" t="n">
        <v>60</v>
      </c>
      <c r="H21" s="22" t="n">
        <v>641</v>
      </c>
      <c r="I21" s="22" t="n">
        <v>460</v>
      </c>
      <c r="J21" s="22" t="n">
        <v>1453</v>
      </c>
      <c r="K21" s="22" t="n">
        <v>330</v>
      </c>
      <c r="L21" s="22" t="n">
        <v>290</v>
      </c>
      <c r="M21" s="22" t="n">
        <v>220</v>
      </c>
      <c r="N21" s="22">
        <f>ROUND(AVERAGE(H21,J21,L21),0)</f>
        <v/>
      </c>
      <c r="O21" s="22">
        <f>ROUND(AVERAGE(I21,K21,M21),0)</f>
        <v/>
      </c>
      <c r="P21" s="23">
        <f>IFERROR((J21-H21)/H21,"")</f>
        <v/>
      </c>
      <c r="Q21" s="23">
        <f>IFERROR((L21-J21)/J21,"")</f>
        <v/>
      </c>
      <c r="R21" s="16">
        <f>ROUND(O21*G21/30,0)</f>
        <v/>
      </c>
      <c r="S21" s="22" t="n"/>
      <c r="T21" s="22" t="n"/>
      <c r="U21" s="17" t="n"/>
      <c r="V21" s="24">
        <f>IFERROR(U21-IFERROR(S21,0)-IFERROR(T21,0),"")</f>
        <v/>
      </c>
      <c r="W21" s="25" t="inlineStr"/>
    </row>
    <row r="22" ht="17" customHeight="1">
      <c r="A22" s="12" t="n">
        <v>19</v>
      </c>
      <c r="B22" s="12" t="inlineStr">
        <is>
          <t>3.0mm</t>
        </is>
      </c>
      <c r="C22" s="13" t="inlineStr">
        <is>
          <t>LC/APC 적색</t>
        </is>
      </c>
      <c r="D22" s="13" t="inlineStr"/>
      <c r="E22" s="13" t="inlineStr"/>
      <c r="F22" s="12" t="inlineStr"/>
      <c r="G22" s="12" t="n">
        <v>60</v>
      </c>
      <c r="H22" s="14" t="n">
        <v>556</v>
      </c>
      <c r="I22" s="14" t="n">
        <v>460</v>
      </c>
      <c r="J22" s="14" t="n">
        <v>1438</v>
      </c>
      <c r="K22" s="14" t="n">
        <v>330</v>
      </c>
      <c r="L22" s="14" t="n">
        <v>60</v>
      </c>
      <c r="M22" s="14" t="n">
        <v>40</v>
      </c>
      <c r="N22" s="14">
        <f>ROUND(AVERAGE(H22,J22,L22),0)</f>
        <v/>
      </c>
      <c r="O22" s="14">
        <f>ROUND(AVERAGE(I22,K22,M22),0)</f>
        <v/>
      </c>
      <c r="P22" s="15">
        <f>IFERROR((J22-H22)/H22,"")</f>
        <v/>
      </c>
      <c r="Q22" s="15">
        <f>IFERROR((L22-J22)/J22,"")</f>
        <v/>
      </c>
      <c r="R22" s="16">
        <f>ROUND(O22*G22/30,0)</f>
        <v/>
      </c>
      <c r="S22" s="14" t="n"/>
      <c r="T22" s="14" t="n"/>
      <c r="U22" s="17" t="n"/>
      <c r="V22" s="18">
        <f>IFERROR(U22-IFERROR(S22,0)-IFERROR(T22,0),"")</f>
        <v/>
      </c>
      <c r="W22" s="19" t="inlineStr"/>
    </row>
    <row r="23" ht="17" customHeight="1">
      <c r="A23" s="20" t="n">
        <v>20</v>
      </c>
      <c r="B23" s="20" t="inlineStr">
        <is>
          <t>3.0mm</t>
        </is>
      </c>
      <c r="C23" s="21" t="inlineStr">
        <is>
          <t>LC/PC 적색</t>
        </is>
      </c>
      <c r="D23" s="21" t="inlineStr"/>
      <c r="E23" s="21" t="inlineStr"/>
      <c r="F23" s="20" t="inlineStr"/>
      <c r="G23" s="20" t="n">
        <v>60</v>
      </c>
      <c r="H23" s="22" t="n">
        <v>792</v>
      </c>
      <c r="I23" s="22" t="n">
        <v>300</v>
      </c>
      <c r="J23" s="22" t="n">
        <v>2766</v>
      </c>
      <c r="K23" s="22" t="n">
        <v>610</v>
      </c>
      <c r="L23" s="22" t="n">
        <v>4604</v>
      </c>
      <c r="M23" s="22" t="n">
        <v>968</v>
      </c>
      <c r="N23" s="22">
        <f>ROUND(AVERAGE(H23,J23,L23),0)</f>
        <v/>
      </c>
      <c r="O23" s="22">
        <f>ROUND(AVERAGE(I23,K23,M23),0)</f>
        <v/>
      </c>
      <c r="P23" s="23">
        <f>IFERROR((J23-H23)/H23,"")</f>
        <v/>
      </c>
      <c r="Q23" s="23">
        <f>IFERROR((L23-J23)/J23,"")</f>
        <v/>
      </c>
      <c r="R23" s="16">
        <f>ROUND(O23*G23/30,0)</f>
        <v/>
      </c>
      <c r="S23" s="22" t="n"/>
      <c r="T23" s="22" t="n"/>
      <c r="U23" s="17" t="n"/>
      <c r="V23" s="24">
        <f>IFERROR(U23-IFERROR(S23,0)-IFERROR(T23,0),"")</f>
        <v/>
      </c>
      <c r="W23" s="25" t="inlineStr"/>
    </row>
    <row r="24" ht="17" customHeight="1">
      <c r="A24" s="12" t="n">
        <v>21</v>
      </c>
      <c r="B24" s="12" t="inlineStr">
        <is>
          <t>3.0mm</t>
        </is>
      </c>
      <c r="C24" s="13" t="inlineStr">
        <is>
          <t>LC/PC 청색</t>
        </is>
      </c>
      <c r="D24" s="13" t="inlineStr"/>
      <c r="E24" s="13" t="inlineStr"/>
      <c r="F24" s="12" t="inlineStr"/>
      <c r="G24" s="12" t="n">
        <v>60</v>
      </c>
      <c r="H24" s="14" t="n">
        <v>8071</v>
      </c>
      <c r="I24" s="14" t="n">
        <v>1276</v>
      </c>
      <c r="J24" s="14" t="n">
        <v>11006</v>
      </c>
      <c r="K24" s="14" t="n">
        <v>1755</v>
      </c>
      <c r="L24" s="14" t="n">
        <v>12607</v>
      </c>
      <c r="M24" s="14" t="n">
        <v>2408</v>
      </c>
      <c r="N24" s="14">
        <f>ROUND(AVERAGE(H24,J24,L24),0)</f>
        <v/>
      </c>
      <c r="O24" s="14">
        <f>ROUND(AVERAGE(I24,K24,M24),0)</f>
        <v/>
      </c>
      <c r="P24" s="15">
        <f>IFERROR((J24-H24)/H24,"")</f>
        <v/>
      </c>
      <c r="Q24" s="15">
        <f>IFERROR((L24-J24)/J24,"")</f>
        <v/>
      </c>
      <c r="R24" s="16">
        <f>ROUND(O24*G24/30,0)</f>
        <v/>
      </c>
      <c r="S24" s="14" t="n"/>
      <c r="T24" s="14" t="n"/>
      <c r="U24" s="17" t="n"/>
      <c r="V24" s="18">
        <f>IFERROR(U24-IFERROR(S24,0)-IFERROR(T24,0),"")</f>
        <v/>
      </c>
      <c r="W24" s="19" t="inlineStr"/>
    </row>
    <row r="25" ht="17" customHeight="1">
      <c r="A25" s="20" t="n">
        <v>22</v>
      </c>
      <c r="B25" s="20" t="inlineStr">
        <is>
          <t>3.0mm</t>
        </is>
      </c>
      <c r="C25" s="21" t="inlineStr">
        <is>
          <t>SC/APC 녹색</t>
        </is>
      </c>
      <c r="D25" s="21" t="inlineStr"/>
      <c r="E25" s="21" t="inlineStr"/>
      <c r="F25" s="20" t="inlineStr"/>
      <c r="G25" s="20" t="n">
        <v>60</v>
      </c>
      <c r="H25" s="22" t="n">
        <v>4086</v>
      </c>
      <c r="I25" s="22" t="n">
        <v>1820</v>
      </c>
      <c r="J25" s="22" t="n">
        <v>5367</v>
      </c>
      <c r="K25" s="22" t="n">
        <v>1128</v>
      </c>
      <c r="L25" s="22" t="n">
        <v>6025</v>
      </c>
      <c r="M25" s="22" t="n">
        <v>1449</v>
      </c>
      <c r="N25" s="22">
        <f>ROUND(AVERAGE(H25,J25,L25),0)</f>
        <v/>
      </c>
      <c r="O25" s="22">
        <f>ROUND(AVERAGE(I25,K25,M25),0)</f>
        <v/>
      </c>
      <c r="P25" s="23">
        <f>IFERROR((J25-H25)/H25,"")</f>
        <v/>
      </c>
      <c r="Q25" s="23">
        <f>IFERROR((L25-J25)/J25,"")</f>
        <v/>
      </c>
      <c r="R25" s="16">
        <f>ROUND(O25*G25/30,0)</f>
        <v/>
      </c>
      <c r="S25" s="22" t="n"/>
      <c r="T25" s="22" t="n"/>
      <c r="U25" s="17" t="n"/>
      <c r="V25" s="24">
        <f>IFERROR(U25-IFERROR(S25,0)-IFERROR(T25,0),"")</f>
        <v/>
      </c>
      <c r="W25" s="25" t="inlineStr"/>
    </row>
    <row r="26" ht="17" customHeight="1">
      <c r="A26" s="12" t="n">
        <v>23</v>
      </c>
      <c r="B26" s="12" t="inlineStr">
        <is>
          <t>3.0mm</t>
        </is>
      </c>
      <c r="C26" s="13" t="inlineStr">
        <is>
          <t>SC/APC 적색</t>
        </is>
      </c>
      <c r="D26" s="13" t="inlineStr"/>
      <c r="E26" s="13" t="inlineStr"/>
      <c r="F26" s="12" t="inlineStr"/>
      <c r="G26" s="12" t="n">
        <v>60</v>
      </c>
      <c r="H26" s="14" t="n">
        <v>590</v>
      </c>
      <c r="I26" s="14" t="n">
        <v>188</v>
      </c>
      <c r="J26" s="14" t="n">
        <v>2182</v>
      </c>
      <c r="K26" s="14" t="n">
        <v>604</v>
      </c>
      <c r="L26" s="14" t="n">
        <v>5102</v>
      </c>
      <c r="M26" s="14" t="n">
        <v>1000</v>
      </c>
      <c r="N26" s="14">
        <f>ROUND(AVERAGE(H26,J26,L26),0)</f>
        <v/>
      </c>
      <c r="O26" s="14">
        <f>ROUND(AVERAGE(I26,K26,M26),0)</f>
        <v/>
      </c>
      <c r="P26" s="15">
        <f>IFERROR((J26-H26)/H26,"")</f>
        <v/>
      </c>
      <c r="Q26" s="15">
        <f>IFERROR((L26-J26)/J26,"")</f>
        <v/>
      </c>
      <c r="R26" s="16">
        <f>ROUND(O26*G26/30,0)</f>
        <v/>
      </c>
      <c r="S26" s="14" t="n"/>
      <c r="T26" s="14" t="n"/>
      <c r="U26" s="17" t="n"/>
      <c r="V26" s="18">
        <f>IFERROR(U26-IFERROR(S26,0)-IFERROR(T26,0),"")</f>
        <v/>
      </c>
      <c r="W26" s="19" t="inlineStr"/>
    </row>
    <row r="27" ht="17" customHeight="1">
      <c r="A27" s="20" t="n">
        <v>24</v>
      </c>
      <c r="B27" s="20" t="inlineStr">
        <is>
          <t>3.0mm</t>
        </is>
      </c>
      <c r="C27" s="21" t="inlineStr">
        <is>
          <t>SC/PC 적색</t>
        </is>
      </c>
      <c r="D27" s="21" t="inlineStr"/>
      <c r="E27" s="21" t="inlineStr"/>
      <c r="F27" s="20" t="inlineStr"/>
      <c r="G27" s="20" t="n">
        <v>60</v>
      </c>
      <c r="H27" s="22" t="n">
        <v>402</v>
      </c>
      <c r="I27" s="22" t="n">
        <v>262</v>
      </c>
      <c r="J27" s="22" t="n">
        <v>2304</v>
      </c>
      <c r="K27" s="22" t="n">
        <v>438</v>
      </c>
      <c r="L27" s="22" t="n">
        <v>5328</v>
      </c>
      <c r="M27" s="22" t="n">
        <v>1046</v>
      </c>
      <c r="N27" s="22">
        <f>ROUND(AVERAGE(H27,J27,L27),0)</f>
        <v/>
      </c>
      <c r="O27" s="22">
        <f>ROUND(AVERAGE(I27,K27,M27),0)</f>
        <v/>
      </c>
      <c r="P27" s="23">
        <f>IFERROR((J27-H27)/H27,"")</f>
        <v/>
      </c>
      <c r="Q27" s="23">
        <f>IFERROR((L27-J27)/J27,"")</f>
        <v/>
      </c>
      <c r="R27" s="16">
        <f>ROUND(O27*G27/30,0)</f>
        <v/>
      </c>
      <c r="S27" s="22" t="n"/>
      <c r="T27" s="22" t="n"/>
      <c r="U27" s="17" t="n"/>
      <c r="V27" s="24">
        <f>IFERROR(U27-IFERROR(S27,0)-IFERROR(T27,0),"")</f>
        <v/>
      </c>
      <c r="W27" s="25" t="inlineStr"/>
    </row>
    <row r="28" ht="17" customHeight="1">
      <c r="A28" s="12" t="n">
        <v>25</v>
      </c>
      <c r="B28" s="12" t="inlineStr">
        <is>
          <t>3.0mm</t>
        </is>
      </c>
      <c r="C28" s="13" t="inlineStr">
        <is>
          <t>SC/PC 청색</t>
        </is>
      </c>
      <c r="D28" s="13" t="inlineStr"/>
      <c r="E28" s="13" t="inlineStr"/>
      <c r="F28" s="12" t="inlineStr"/>
      <c r="G28" s="12" t="n">
        <v>60</v>
      </c>
      <c r="H28" s="14" t="n">
        <v>4986</v>
      </c>
      <c r="I28" s="14" t="n">
        <v>1514</v>
      </c>
      <c r="J28" s="14" t="n">
        <v>12809</v>
      </c>
      <c r="K28" s="14" t="n">
        <v>3900</v>
      </c>
      <c r="L28" s="14" t="n">
        <v>14280</v>
      </c>
      <c r="M28" s="14" t="n">
        <v>3521</v>
      </c>
      <c r="N28" s="14">
        <f>ROUND(AVERAGE(H28,J28,L28),0)</f>
        <v/>
      </c>
      <c r="O28" s="14">
        <f>ROUND(AVERAGE(I28,K28,M28),0)</f>
        <v/>
      </c>
      <c r="P28" s="15">
        <f>IFERROR((J28-H28)/H28,"")</f>
        <v/>
      </c>
      <c r="Q28" s="15">
        <f>IFERROR((L28-J28)/J28,"")</f>
        <v/>
      </c>
      <c r="R28" s="16">
        <f>ROUND(O28*G28/30,0)</f>
        <v/>
      </c>
      <c r="S28" s="14" t="n"/>
      <c r="T28" s="14" t="n"/>
      <c r="U28" s="17" t="n"/>
      <c r="V28" s="18">
        <f>IFERROR(U28-IFERROR(S28,0)-IFERROR(T28,0),"")</f>
        <v/>
      </c>
      <c r="W28" s="19" t="inlineStr"/>
    </row>
    <row r="29" ht="17" customHeight="1">
      <c r="A29" s="20" t="n">
        <v>26</v>
      </c>
      <c r="B29" s="20" t="inlineStr">
        <is>
          <t>0.9mm</t>
        </is>
      </c>
      <c r="C29" s="21" t="inlineStr">
        <is>
          <t>FC/PC 흑색</t>
        </is>
      </c>
      <c r="D29" s="21" t="inlineStr"/>
      <c r="E29" s="21" t="inlineStr"/>
      <c r="F29" s="20" t="inlineStr"/>
      <c r="G29" s="20" t="n">
        <v>60</v>
      </c>
      <c r="H29" s="22" t="n">
        <v>30</v>
      </c>
      <c r="I29" s="22" t="n">
        <v>30</v>
      </c>
      <c r="J29" s="22" t="n"/>
      <c r="K29" s="22" t="n"/>
      <c r="L29" s="22" t="n"/>
      <c r="M29" s="22" t="n"/>
      <c r="N29" s="22">
        <f>ROUND(AVERAGE(H29,J29,L29),0)</f>
        <v/>
      </c>
      <c r="O29" s="22">
        <f>ROUND(AVERAGE(I29,K29,M29),0)</f>
        <v/>
      </c>
      <c r="P29" s="23">
        <f>IFERROR((J29-H29)/H29,"")</f>
        <v/>
      </c>
      <c r="Q29" s="23">
        <f>IFERROR((L29-J29)/J29,"")</f>
        <v/>
      </c>
      <c r="R29" s="16">
        <f>ROUND(O29*G29/30,0)</f>
        <v/>
      </c>
      <c r="S29" s="22" t="n"/>
      <c r="T29" s="22" t="n"/>
      <c r="U29" s="17" t="n"/>
      <c r="V29" s="24">
        <f>IFERROR(U29-IFERROR(S29,0)-IFERROR(T29,0),"")</f>
        <v/>
      </c>
      <c r="W29" s="25" t="inlineStr"/>
    </row>
    <row r="30" ht="17" customHeight="1">
      <c r="A30" s="12" t="n">
        <v>27</v>
      </c>
      <c r="B30" s="12" t="inlineStr">
        <is>
          <t>0.9mm</t>
        </is>
      </c>
      <c r="C30" s="13" t="inlineStr">
        <is>
          <t>LC/APC 녹색</t>
        </is>
      </c>
      <c r="D30" s="13" t="inlineStr"/>
      <c r="E30" s="13" t="inlineStr"/>
      <c r="F30" s="12" t="inlineStr"/>
      <c r="G30" s="12" t="n">
        <v>60</v>
      </c>
      <c r="H30" s="14" t="n">
        <v>784</v>
      </c>
      <c r="I30" s="14" t="n">
        <v>520</v>
      </c>
      <c r="J30" s="14" t="n">
        <v>218</v>
      </c>
      <c r="K30" s="14" t="n">
        <v>146</v>
      </c>
      <c r="L30" s="14" t="n">
        <v>72</v>
      </c>
      <c r="M30" s="14" t="n">
        <v>48</v>
      </c>
      <c r="N30" s="14">
        <f>ROUND(AVERAGE(H30,J30,L30),0)</f>
        <v/>
      </c>
      <c r="O30" s="14">
        <f>ROUND(AVERAGE(I30,K30,M30),0)</f>
        <v/>
      </c>
      <c r="P30" s="15">
        <f>IFERROR((J30-H30)/H30,"")</f>
        <v/>
      </c>
      <c r="Q30" s="15">
        <f>IFERROR((L30-J30)/J30,"")</f>
        <v/>
      </c>
      <c r="R30" s="16">
        <f>ROUND(O30*G30/30,0)</f>
        <v/>
      </c>
      <c r="S30" s="14" t="n"/>
      <c r="T30" s="14" t="n"/>
      <c r="U30" s="17" t="n"/>
      <c r="V30" s="18">
        <f>IFERROR(U30-IFERROR(S30,0)-IFERROR(T30,0),"")</f>
        <v/>
      </c>
      <c r="W30" s="19" t="inlineStr"/>
    </row>
    <row r="31" ht="17" customHeight="1">
      <c r="A31" s="20" t="n">
        <v>28</v>
      </c>
      <c r="B31" s="20" t="inlineStr">
        <is>
          <t>0.9mm</t>
        </is>
      </c>
      <c r="C31" s="21" t="inlineStr">
        <is>
          <t>LC/PC 청색</t>
        </is>
      </c>
      <c r="D31" s="21" t="inlineStr"/>
      <c r="E31" s="21" t="inlineStr"/>
      <c r="F31" s="20" t="inlineStr"/>
      <c r="G31" s="20" t="n">
        <v>60</v>
      </c>
      <c r="H31" s="22" t="n">
        <v>2919</v>
      </c>
      <c r="I31" s="22" t="n">
        <v>1078</v>
      </c>
      <c r="J31" s="22" t="n">
        <v>16276</v>
      </c>
      <c r="K31" s="22" t="n">
        <v>6000</v>
      </c>
      <c r="L31" s="22" t="n">
        <v>1440</v>
      </c>
      <c r="M31" s="22" t="n">
        <v>1152</v>
      </c>
      <c r="N31" s="22">
        <f>ROUND(AVERAGE(H31,J31,L31),0)</f>
        <v/>
      </c>
      <c r="O31" s="22">
        <f>ROUND(AVERAGE(I31,K31,M31),0)</f>
        <v/>
      </c>
      <c r="P31" s="23">
        <f>IFERROR((J31-H31)/H31,"")</f>
        <v/>
      </c>
      <c r="Q31" s="23">
        <f>IFERROR((L31-J31)/J31,"")</f>
        <v/>
      </c>
      <c r="R31" s="16">
        <f>ROUND(O31*G31/30,0)</f>
        <v/>
      </c>
      <c r="S31" s="22" t="n"/>
      <c r="T31" s="22" t="n"/>
      <c r="U31" s="17" t="n"/>
      <c r="V31" s="24">
        <f>IFERROR(U31-IFERROR(S31,0)-IFERROR(T31,0),"")</f>
        <v/>
      </c>
      <c r="W31" s="25" t="inlineStr"/>
    </row>
    <row r="32" ht="17" customHeight="1">
      <c r="A32" s="12" t="n">
        <v>29</v>
      </c>
      <c r="B32" s="12" t="inlineStr">
        <is>
          <t>0.9mm</t>
        </is>
      </c>
      <c r="C32" s="13" t="inlineStr">
        <is>
          <t>SC/APC 녹색</t>
        </is>
      </c>
      <c r="D32" s="13" t="inlineStr"/>
      <c r="E32" s="13" t="inlineStr"/>
      <c r="F32" s="12" t="inlineStr"/>
      <c r="G32" s="12" t="n">
        <v>60</v>
      </c>
      <c r="H32" s="14" t="n">
        <v>5576</v>
      </c>
      <c r="I32" s="14" t="n">
        <v>2492</v>
      </c>
      <c r="J32" s="14" t="n">
        <v>4724</v>
      </c>
      <c r="K32" s="14" t="n">
        <v>2604</v>
      </c>
      <c r="L32" s="14" t="n">
        <v>4686</v>
      </c>
      <c r="M32" s="14" t="n">
        <v>3360</v>
      </c>
      <c r="N32" s="14">
        <f>ROUND(AVERAGE(H32,J32,L32),0)</f>
        <v/>
      </c>
      <c r="O32" s="14">
        <f>ROUND(AVERAGE(I32,K32,M32),0)</f>
        <v/>
      </c>
      <c r="P32" s="15">
        <f>IFERROR((J32-H32)/H32,"")</f>
        <v/>
      </c>
      <c r="Q32" s="15">
        <f>IFERROR((L32-J32)/J32,"")</f>
        <v/>
      </c>
      <c r="R32" s="16">
        <f>ROUND(O32*G32/30,0)</f>
        <v/>
      </c>
      <c r="S32" s="14" t="n"/>
      <c r="T32" s="14" t="n"/>
      <c r="U32" s="17" t="n"/>
      <c r="V32" s="18">
        <f>IFERROR(U32-IFERROR(S32,0)-IFERROR(T32,0),"")</f>
        <v/>
      </c>
      <c r="W32" s="19" t="inlineStr"/>
    </row>
    <row r="33" ht="17" customHeight="1">
      <c r="A33" s="20" t="n">
        <v>30</v>
      </c>
      <c r="B33" s="20" t="inlineStr">
        <is>
          <t>0.9mm</t>
        </is>
      </c>
      <c r="C33" s="21" t="inlineStr">
        <is>
          <t>SC/PC 청색</t>
        </is>
      </c>
      <c r="D33" s="21" t="inlineStr"/>
      <c r="E33" s="21" t="inlineStr"/>
      <c r="F33" s="20" t="inlineStr"/>
      <c r="G33" s="20" t="n">
        <v>60</v>
      </c>
      <c r="H33" s="22" t="n">
        <v>13560</v>
      </c>
      <c r="I33" s="22" t="n">
        <v>4596</v>
      </c>
      <c r="J33" s="22" t="n">
        <v>11052</v>
      </c>
      <c r="K33" s="22" t="n">
        <v>3988</v>
      </c>
      <c r="L33" s="22" t="n">
        <v>6123</v>
      </c>
      <c r="M33" s="22" t="n">
        <v>1800</v>
      </c>
      <c r="N33" s="22">
        <f>ROUND(AVERAGE(H33,J33,L33),0)</f>
        <v/>
      </c>
      <c r="O33" s="22">
        <f>ROUND(AVERAGE(I33,K33,M33),0)</f>
        <v/>
      </c>
      <c r="P33" s="23">
        <f>IFERROR((J33-H33)/H33,"")</f>
        <v/>
      </c>
      <c r="Q33" s="23">
        <f>IFERROR((L33-J33)/J33,"")</f>
        <v/>
      </c>
      <c r="R33" s="16">
        <f>ROUND(O33*G33/30,0)</f>
        <v/>
      </c>
      <c r="S33" s="22" t="n"/>
      <c r="T33" s="22" t="n"/>
      <c r="U33" s="17" t="n"/>
      <c r="V33" s="24">
        <f>IFERROR(U33-IFERROR(S33,0)-IFERROR(T33,0),"")</f>
        <v/>
      </c>
      <c r="W33" s="25" t="inlineStr"/>
    </row>
    <row r="35" ht="18" customHeight="1">
      <c r="C35" s="26" t="inlineStr">
        <is>
          <t>합  계</t>
        </is>
      </c>
      <c r="H35" s="27">
        <f>SUM(H4:H33)</f>
        <v/>
      </c>
      <c r="I35" s="27">
        <f>SUM(I4:I33)</f>
        <v/>
      </c>
      <c r="J35" s="27">
        <f>SUM(J4:J33)</f>
        <v/>
      </c>
      <c r="K35" s="27">
        <f>SUM(K4:K33)</f>
        <v/>
      </c>
      <c r="L35" s="27">
        <f>SUM(L4:L33)</f>
        <v/>
      </c>
      <c r="M35" s="27">
        <f>SUM(M4:M33)</f>
        <v/>
      </c>
      <c r="N35" s="27">
        <f>SUM(N4:N33)</f>
        <v/>
      </c>
      <c r="O35" s="27">
        <f>SUM(O4:O33)</f>
        <v/>
      </c>
    </row>
  </sheetData>
  <mergeCells count="8">
    <mergeCell ref="L2:M2"/>
    <mergeCell ref="A1:W1"/>
    <mergeCell ref="S2:T2"/>
    <mergeCell ref="H2:I2"/>
    <mergeCell ref="U2:V2"/>
    <mergeCell ref="J2:K2"/>
    <mergeCell ref="A2:G2"/>
    <mergeCell ref="N2:Q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20" customWidth="1" min="4" max="4"/>
    <col width="16" customWidth="1" min="5" max="5"/>
    <col width="6" customWidth="1" min="6" max="6"/>
    <col width="14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10" customWidth="1" min="20" max="20"/>
  </cols>
  <sheetData>
    <row r="1" ht="26" customHeight="1">
      <c r="A1" s="1" t="inlineStr">
        <is>
          <t>2026 월별 발주 계획 (과거 계절 패턴 기반 자동 분배)</t>
        </is>
      </c>
    </row>
    <row r="2" ht="18" customHeight="1">
      <c r="A2" s="2" t="inlineStr">
        <is>
          <t>기본정보</t>
        </is>
      </c>
      <c r="B2" s="40" t="n"/>
      <c r="C2" s="40" t="n"/>
      <c r="D2" s="40" t="n"/>
      <c r="E2" s="40" t="n"/>
      <c r="F2" s="41" t="n"/>
      <c r="G2" s="9" t="inlineStr">
        <is>
          <t>연간목표</t>
        </is>
      </c>
      <c r="H2" s="4" t="inlineStr">
        <is>
          <t>월별 발주 (연간목표 × 과거 패턴 비율)</t>
        </is>
      </c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0" t="n"/>
      <c r="S2" s="41" t="n"/>
      <c r="T2" s="6" t="inlineStr">
        <is>
          <t>합계검증</t>
        </is>
      </c>
    </row>
    <row r="3" ht="40" customHeight="1">
      <c r="A3" s="11" t="inlineStr">
        <is>
          <t>NO</t>
        </is>
      </c>
      <c r="B3" s="11" t="inlineStr">
        <is>
          <t>분류</t>
        </is>
      </c>
      <c r="C3" s="11" t="inlineStr">
        <is>
          <t>파이</t>
        </is>
      </c>
      <c r="D3" s="11" t="inlineStr">
        <is>
          <t>종류</t>
        </is>
      </c>
      <c r="E3" s="11" t="inlineStr">
        <is>
          <t>품번</t>
        </is>
      </c>
      <c r="F3" s="11" t="inlineStr">
        <is>
          <t>단위</t>
        </is>
      </c>
      <c r="G3" s="11" t="inlineStr">
        <is>
          <t>연간목표</t>
        </is>
      </c>
      <c r="H3" s="11" t="inlineStr">
        <is>
          <t>1월</t>
        </is>
      </c>
      <c r="I3" s="11" t="inlineStr">
        <is>
          <t>2월</t>
        </is>
      </c>
      <c r="J3" s="11" t="inlineStr">
        <is>
          <t>3월</t>
        </is>
      </c>
      <c r="K3" s="11" t="inlineStr">
        <is>
          <t>4월</t>
        </is>
      </c>
      <c r="L3" s="11" t="inlineStr">
        <is>
          <t>5월</t>
        </is>
      </c>
      <c r="M3" s="11" t="inlineStr">
        <is>
          <t>6월</t>
        </is>
      </c>
      <c r="N3" s="11" t="inlineStr">
        <is>
          <t>7월</t>
        </is>
      </c>
      <c r="O3" s="11" t="inlineStr">
        <is>
          <t>8월</t>
        </is>
      </c>
      <c r="P3" s="11" t="inlineStr">
        <is>
          <t>9월</t>
        </is>
      </c>
      <c r="Q3" s="11" t="inlineStr">
        <is>
          <t>10월</t>
        </is>
      </c>
      <c r="R3" s="11" t="inlineStr">
        <is>
          <t>11월</t>
        </is>
      </c>
      <c r="S3" s="11" t="inlineStr">
        <is>
          <t>12월</t>
        </is>
      </c>
      <c r="T3" s="11" t="inlineStr">
        <is>
          <t>합계검증</t>
        </is>
      </c>
    </row>
    <row r="4" ht="17" customHeight="1">
      <c r="A4" s="12" t="n">
        <v>1</v>
      </c>
      <c r="B4" s="12" t="inlineStr">
        <is>
          <t>케이블</t>
        </is>
      </c>
      <c r="C4" s="12" t="inlineStr">
        <is>
          <t>2.0mm</t>
        </is>
      </c>
      <c r="D4" s="13" t="inlineStr">
        <is>
          <t>A1-12C</t>
        </is>
      </c>
      <c r="E4" s="13" t="inlineStr"/>
      <c r="F4" s="13" t="inlineStr">
        <is>
          <t>m</t>
        </is>
      </c>
      <c r="G4" s="17" t="n"/>
      <c r="H4" s="14">
        <f>IFERROR(ROUND($G4*0.063602,0),"")</f>
        <v/>
      </c>
      <c r="I4" s="14">
        <f>IFERROR(ROUND($G4*0.104488,0),"")</f>
        <v/>
      </c>
      <c r="J4" s="14">
        <f>IFERROR(ROUND($G4*0.083591,0),"")</f>
        <v/>
      </c>
      <c r="K4" s="14">
        <f>IFERROR(ROUND($G4*0.081774,0),"")</f>
        <v/>
      </c>
      <c r="L4" s="14">
        <f>IFERROR(ROUND($G4*0.0,0),"")</f>
        <v/>
      </c>
      <c r="M4" s="14">
        <f>IFERROR(ROUND($G4*0.136289,0),"")</f>
        <v/>
      </c>
      <c r="N4" s="14">
        <f>IFERROR(ROUND($G4*0.139924,0),"")</f>
        <v/>
      </c>
      <c r="O4" s="14">
        <f>IFERROR(ROUND($G4*0.054516,0),"")</f>
        <v/>
      </c>
      <c r="P4" s="14">
        <f>IFERROR(ROUND($G4*0.138106,0),"")</f>
        <v/>
      </c>
      <c r="Q4" s="14">
        <f>IFERROR(ROUND($G4*0.008177,0),"")</f>
        <v/>
      </c>
      <c r="R4" s="14">
        <f>IFERROR(ROUND($G4*0.087225,0),"")</f>
        <v/>
      </c>
      <c r="S4" s="14">
        <f>IFERROR(ROUND($G4*0.102308,0),"")</f>
        <v/>
      </c>
      <c r="T4" s="28">
        <f>IFERROR(SUM(H4:S4),"")</f>
        <v/>
      </c>
    </row>
    <row r="5" ht="17" customHeight="1">
      <c r="A5" s="20" t="n">
        <v>2</v>
      </c>
      <c r="B5" s="20" t="inlineStr">
        <is>
          <t>케이블</t>
        </is>
      </c>
      <c r="C5" s="20" t="inlineStr">
        <is>
          <t>2.0mm</t>
        </is>
      </c>
      <c r="D5" s="21" t="inlineStr">
        <is>
          <t>A1-16C</t>
        </is>
      </c>
      <c r="E5" s="21" t="inlineStr"/>
      <c r="F5" s="21" t="inlineStr">
        <is>
          <t>m</t>
        </is>
      </c>
      <c r="G5" s="17" t="n"/>
      <c r="H5" s="22">
        <f>IFERROR(ROUND($G5*0.0,0),"")</f>
        <v/>
      </c>
      <c r="I5" s="22">
        <f>IFERROR(ROUND($G5*0.08959,0),"")</f>
        <v/>
      </c>
      <c r="J5" s="22">
        <f>IFERROR(ROUND($G5*0.080631,0),"")</f>
        <v/>
      </c>
      <c r="K5" s="22">
        <f>IFERROR(ROUND($G5*0.0,0),"")</f>
        <v/>
      </c>
      <c r="L5" s="22">
        <f>IFERROR(ROUND($G5*0.0,0),"")</f>
        <v/>
      </c>
      <c r="M5" s="22">
        <f>IFERROR(ROUND($G5*0.132593,0),"")</f>
        <v/>
      </c>
      <c r="N5" s="22">
        <f>IFERROR(ROUND($G5*0.042107,0),"")</f>
        <v/>
      </c>
      <c r="O5" s="22">
        <f>IFERROR(ROUND($G5*0.165741,0),"")</f>
        <v/>
      </c>
      <c r="P5" s="22">
        <f>IFERROR(ROUND($G5*0.231321,0),"")</f>
        <v/>
      </c>
      <c r="Q5" s="22">
        <f>IFERROR(ROUND($G5*0.155886,0),"")</f>
        <v/>
      </c>
      <c r="R5" s="22">
        <f>IFERROR(ROUND($G5*0.044795,0),"")</f>
        <v/>
      </c>
      <c r="S5" s="22">
        <f>IFERROR(ROUND($G5*0.057337,0),"")</f>
        <v/>
      </c>
      <c r="T5" s="29">
        <f>IFERROR(SUM(H5:S5),"")</f>
        <v/>
      </c>
    </row>
    <row r="6" ht="17" customHeight="1">
      <c r="A6" s="12" t="n">
        <v>3</v>
      </c>
      <c r="B6" s="12" t="inlineStr">
        <is>
          <t>케이블</t>
        </is>
      </c>
      <c r="C6" s="12" t="inlineStr">
        <is>
          <t>2.0mm</t>
        </is>
      </c>
      <c r="D6" s="13" t="inlineStr">
        <is>
          <t>A1-20C</t>
        </is>
      </c>
      <c r="E6" s="13" t="inlineStr"/>
      <c r="F6" s="13" t="inlineStr">
        <is>
          <t>m</t>
        </is>
      </c>
      <c r="G6" s="17" t="n"/>
      <c r="H6" s="14">
        <f>IFERROR(ROUND($G6*0.0,0),"")</f>
        <v/>
      </c>
      <c r="I6" s="14">
        <f>IFERROR(ROUND($G6*0.123426,0),"")</f>
        <v/>
      </c>
      <c r="J6" s="14">
        <f>IFERROR(ROUND($G6*0.050378,0),"")</f>
        <v/>
      </c>
      <c r="K6" s="14">
        <f>IFERROR(ROUND($G6*0.0,0),"")</f>
        <v/>
      </c>
      <c r="L6" s="14">
        <f>IFERROR(ROUND($G6*0.100756,0),"")</f>
        <v/>
      </c>
      <c r="M6" s="14">
        <f>IFERROR(ROUND($G6*0.0,0),"")</f>
        <v/>
      </c>
      <c r="N6" s="14">
        <f>IFERROR(ROUND($G6*0.483627,0),"")</f>
        <v/>
      </c>
      <c r="O6" s="14">
        <f>IFERROR(ROUND($G6*0.0,0),"")</f>
        <v/>
      </c>
      <c r="P6" s="14">
        <f>IFERROR(ROUND($G6*0.206549,0),"")</f>
        <v/>
      </c>
      <c r="Q6" s="14">
        <f>IFERROR(ROUND($G6*0.035264,0),"")</f>
        <v/>
      </c>
      <c r="R6" s="14">
        <f>IFERROR(ROUND($G6*0.0,0),"")</f>
        <v/>
      </c>
      <c r="S6" s="14">
        <f>IFERROR(ROUND($G6*0.0,0),"")</f>
        <v/>
      </c>
      <c r="T6" s="28">
        <f>IFERROR(SUM(H6:S6),"")</f>
        <v/>
      </c>
    </row>
    <row r="7" ht="17" customHeight="1">
      <c r="A7" s="20" t="n">
        <v>4</v>
      </c>
      <c r="B7" s="20" t="inlineStr">
        <is>
          <t>케이블</t>
        </is>
      </c>
      <c r="C7" s="20" t="inlineStr">
        <is>
          <t>2.0mm</t>
        </is>
      </c>
      <c r="D7" s="21" t="inlineStr">
        <is>
          <t>A1-24C</t>
        </is>
      </c>
      <c r="E7" s="21" t="inlineStr"/>
      <c r="F7" s="21" t="inlineStr">
        <is>
          <t>m</t>
        </is>
      </c>
      <c r="G7" s="17" t="n"/>
      <c r="H7" s="22">
        <f>IFERROR(ROUND($G7*0.0,0),"")</f>
        <v/>
      </c>
      <c r="I7" s="22">
        <f>IFERROR(ROUND($G7*0.0,0),"")</f>
        <v/>
      </c>
      <c r="J7" s="22">
        <f>IFERROR(ROUND($G7*0.211268,0),"")</f>
        <v/>
      </c>
      <c r="K7" s="22">
        <f>IFERROR(ROUND($G7*0.788732,0),"")</f>
        <v/>
      </c>
      <c r="L7" s="22">
        <f>IFERROR(ROUND($G7*0.0,0),"")</f>
        <v/>
      </c>
      <c r="M7" s="22">
        <f>IFERROR(ROUND($G7*0.0,0),"")</f>
        <v/>
      </c>
      <c r="N7" s="22">
        <f>IFERROR(ROUND($G7*0.0,0),"")</f>
        <v/>
      </c>
      <c r="O7" s="22">
        <f>IFERROR(ROUND($G7*0.0,0),"")</f>
        <v/>
      </c>
      <c r="P7" s="22">
        <f>IFERROR(ROUND($G7*0.0,0),"")</f>
        <v/>
      </c>
      <c r="Q7" s="22">
        <f>IFERROR(ROUND($G7*0.0,0),"")</f>
        <v/>
      </c>
      <c r="R7" s="22">
        <f>IFERROR(ROUND($G7*0.0,0),"")</f>
        <v/>
      </c>
      <c r="S7" s="22">
        <f>IFERROR(ROUND($G7*0.0,0),"")</f>
        <v/>
      </c>
      <c r="T7" s="29">
        <f>IFERROR(SUM(H7:S7),"")</f>
        <v/>
      </c>
    </row>
    <row r="8" ht="17" customHeight="1">
      <c r="A8" s="12" t="n">
        <v>5</v>
      </c>
      <c r="B8" s="12" t="inlineStr">
        <is>
          <t>케이블</t>
        </is>
      </c>
      <c r="C8" s="12" t="inlineStr">
        <is>
          <t>2.0mm</t>
        </is>
      </c>
      <c r="D8" s="13" t="inlineStr">
        <is>
          <t>A1-4C</t>
        </is>
      </c>
      <c r="E8" s="13" t="inlineStr"/>
      <c r="F8" s="13" t="inlineStr">
        <is>
          <t>m</t>
        </is>
      </c>
      <c r="G8" s="17" t="n"/>
      <c r="H8" s="14">
        <f>IFERROR(ROUND($G8*0.079642,0),"")</f>
        <v/>
      </c>
      <c r="I8" s="14">
        <f>IFERROR(ROUND($G8*0.083669,0),"")</f>
        <v/>
      </c>
      <c r="J8" s="14">
        <f>IFERROR(ROUND($G8*0.083669,0),"")</f>
        <v/>
      </c>
      <c r="K8" s="14">
        <f>IFERROR(ROUND($G8*0.083669,0),"")</f>
        <v/>
      </c>
      <c r="L8" s="14">
        <f>IFERROR(ROUND($G8*0.083669,0),"")</f>
        <v/>
      </c>
      <c r="M8" s="14">
        <f>IFERROR(ROUND($G8*0.083669,0),"")</f>
        <v/>
      </c>
      <c r="N8" s="14">
        <f>IFERROR(ROUND($G8*0.083669,0),"")</f>
        <v/>
      </c>
      <c r="O8" s="14">
        <f>IFERROR(ROUND($G8*0.083669,0),"")</f>
        <v/>
      </c>
      <c r="P8" s="14">
        <f>IFERROR(ROUND($G8*0.083669,0),"")</f>
        <v/>
      </c>
      <c r="Q8" s="14">
        <f>IFERROR(ROUND($G8*0.083669,0),"")</f>
        <v/>
      </c>
      <c r="R8" s="14">
        <f>IFERROR(ROUND($G8*0.083669,0),"")</f>
        <v/>
      </c>
      <c r="S8" s="14">
        <f>IFERROR(ROUND($G8*0.083669,0),"")</f>
        <v/>
      </c>
      <c r="T8" s="28">
        <f>IFERROR(SUM(H8:S8),"")</f>
        <v/>
      </c>
    </row>
    <row r="9" ht="17" customHeight="1">
      <c r="A9" s="20" t="n">
        <v>6</v>
      </c>
      <c r="B9" s="20" t="inlineStr">
        <is>
          <t>케이블</t>
        </is>
      </c>
      <c r="C9" s="20" t="inlineStr">
        <is>
          <t>2.0mm</t>
        </is>
      </c>
      <c r="D9" s="21" t="inlineStr">
        <is>
          <t>A1-8C</t>
        </is>
      </c>
      <c r="E9" s="21" t="inlineStr"/>
      <c r="F9" s="21" t="inlineStr">
        <is>
          <t>m</t>
        </is>
      </c>
      <c r="G9" s="17" t="n"/>
      <c r="H9" s="22">
        <f>IFERROR(ROUND($G9*0.055595,0),"")</f>
        <v/>
      </c>
      <c r="I9" s="22">
        <f>IFERROR(ROUND($G9*0.060649,0),"")</f>
        <v/>
      </c>
      <c r="J9" s="22">
        <f>IFERROR(ROUND($G9*0.008087,0),"")</f>
        <v/>
      </c>
      <c r="K9" s="22">
        <f>IFERROR(ROUND($G9*0.019205,0),"")</f>
        <v/>
      </c>
      <c r="L9" s="22">
        <f>IFERROR(ROUND($G9*0.010108,0),"")</f>
        <v/>
      </c>
      <c r="M9" s="22">
        <f>IFERROR(ROUND($G9*0.017993,0),"")</f>
        <v/>
      </c>
      <c r="N9" s="22">
        <f>IFERROR(ROUND($G9*0.197109,0),"")</f>
        <v/>
      </c>
      <c r="O9" s="22">
        <f>IFERROR(ROUND($G9*0.316183,0),"")</f>
        <v/>
      </c>
      <c r="P9" s="22">
        <f>IFERROR(ROUND($G9*0.066916,0),"")</f>
        <v/>
      </c>
      <c r="Q9" s="22">
        <f>IFERROR(ROUND($G9*0.013646,0),"")</f>
        <v/>
      </c>
      <c r="R9" s="22">
        <f>IFERROR(ROUND($G9*0.091984,0),"")</f>
        <v/>
      </c>
      <c r="S9" s="22">
        <f>IFERROR(ROUND($G9*0.142525,0),"")</f>
        <v/>
      </c>
      <c r="T9" s="29">
        <f>IFERROR(SUM(H9:S9),"")</f>
        <v/>
      </c>
    </row>
    <row r="10" ht="17" customHeight="1">
      <c r="A10" s="12" t="n">
        <v>7</v>
      </c>
      <c r="B10" s="12" t="inlineStr">
        <is>
          <t>케이블</t>
        </is>
      </c>
      <c r="C10" s="12" t="inlineStr">
        <is>
          <t>2.0mm</t>
        </is>
      </c>
      <c r="D10" s="13" t="inlineStr">
        <is>
          <t>A1-DP</t>
        </is>
      </c>
      <c r="E10" s="13" t="inlineStr"/>
      <c r="F10" s="13" t="inlineStr">
        <is>
          <t>m</t>
        </is>
      </c>
      <c r="G10" s="17" t="n"/>
      <c r="H10" s="14">
        <f>IFERROR(ROUND($G10*0.055108,0),"")</f>
        <v/>
      </c>
      <c r="I10" s="14">
        <f>IFERROR(ROUND($G10*0.048451,0),"")</f>
        <v/>
      </c>
      <c r="J10" s="14">
        <f>IFERROR(ROUND($G10*0.104783,0),"")</f>
        <v/>
      </c>
      <c r="K10" s="14">
        <f>IFERROR(ROUND($G10*0.069481,0),"")</f>
        <v/>
      </c>
      <c r="L10" s="14">
        <f>IFERROR(ROUND($G10*0.124055,0),"")</f>
        <v/>
      </c>
      <c r="M10" s="14">
        <f>IFERROR(ROUND($G10*0.099658,0),"")</f>
        <v/>
      </c>
      <c r="N10" s="14">
        <f>IFERROR(ROUND($G10*0.050937,0),"")</f>
        <v/>
      </c>
      <c r="O10" s="14">
        <f>IFERROR(ROUND($G10*0.088234,0),"")</f>
        <v/>
      </c>
      <c r="P10" s="14">
        <f>IFERROR(ROUND($G10*0.085925,0),"")</f>
        <v/>
      </c>
      <c r="Q10" s="14">
        <f>IFERROR(ROUND($G10*0.080774,0),"")</f>
        <v/>
      </c>
      <c r="R10" s="14">
        <f>IFERROR(ROUND($G10*0.089822,0),"")</f>
        <v/>
      </c>
      <c r="S10" s="14">
        <f>IFERROR(ROUND($G10*0.102772,0),"")</f>
        <v/>
      </c>
      <c r="T10" s="28">
        <f>IFERROR(SUM(H10:S10),"")</f>
        <v/>
      </c>
    </row>
    <row r="11" ht="17" customHeight="1">
      <c r="A11" s="20" t="n">
        <v>8</v>
      </c>
      <c r="B11" s="20" t="inlineStr">
        <is>
          <t>케이블</t>
        </is>
      </c>
      <c r="C11" s="20" t="inlineStr">
        <is>
          <t>2.0mm</t>
        </is>
      </c>
      <c r="D11" s="21" t="inlineStr">
        <is>
          <t>A1-SP</t>
        </is>
      </c>
      <c r="E11" s="21" t="inlineStr"/>
      <c r="F11" s="21" t="inlineStr">
        <is>
          <t>m</t>
        </is>
      </c>
      <c r="G11" s="17" t="n"/>
      <c r="H11" s="22">
        <f>IFERROR(ROUND($G11*0.030017,0),"")</f>
        <v/>
      </c>
      <c r="I11" s="22">
        <f>IFERROR(ROUND($G11*0.069446,0),"")</f>
        <v/>
      </c>
      <c r="J11" s="22">
        <f>IFERROR(ROUND($G11*0.032692,0),"")</f>
        <v/>
      </c>
      <c r="K11" s="22">
        <f>IFERROR(ROUND($G11*0.068066,0),"")</f>
        <v/>
      </c>
      <c r="L11" s="22">
        <f>IFERROR(ROUND($G11*0.087046,0),"")</f>
        <v/>
      </c>
      <c r="M11" s="22">
        <f>IFERROR(ROUND($G11*0.061522,0),"")</f>
        <v/>
      </c>
      <c r="N11" s="22">
        <f>IFERROR(ROUND($G11*0.04892,0),"")</f>
        <v/>
      </c>
      <c r="O11" s="22">
        <f>IFERROR(ROUND($G11*0.073987,0),"")</f>
        <v/>
      </c>
      <c r="P11" s="22">
        <f>IFERROR(ROUND($G11*0.126466,0),"")</f>
        <v/>
      </c>
      <c r="Q11" s="22">
        <f>IFERROR(ROUND($G11*0.119987,0),"")</f>
        <v/>
      </c>
      <c r="R11" s="22">
        <f>IFERROR(ROUND($G11*0.163949,0),"")</f>
        <v/>
      </c>
      <c r="S11" s="22">
        <f>IFERROR(ROUND($G11*0.117904,0),"")</f>
        <v/>
      </c>
      <c r="T11" s="29">
        <f>IFERROR(SUM(H11:S11),"")</f>
        <v/>
      </c>
    </row>
    <row r="12" ht="17" customHeight="1">
      <c r="A12" s="12" t="n">
        <v>9</v>
      </c>
      <c r="B12" s="12" t="inlineStr">
        <is>
          <t>케이블</t>
        </is>
      </c>
      <c r="C12" s="12" t="inlineStr">
        <is>
          <t>2.0mm</t>
        </is>
      </c>
      <c r="D12" s="13" t="inlineStr">
        <is>
          <t>A1_녹-DP</t>
        </is>
      </c>
      <c r="E12" s="13" t="inlineStr"/>
      <c r="F12" s="13" t="inlineStr">
        <is>
          <t>m</t>
        </is>
      </c>
      <c r="G12" s="17" t="n"/>
      <c r="H12" s="14">
        <f>IFERROR(ROUND($G12*0.0,0),"")</f>
        <v/>
      </c>
      <c r="I12" s="14">
        <f>IFERROR(ROUND($G12*0.085559,0),"")</f>
        <v/>
      </c>
      <c r="J12" s="14">
        <f>IFERROR(ROUND($G12*0.000407,0),"")</f>
        <v/>
      </c>
      <c r="K12" s="14">
        <f>IFERROR(ROUND($G12*0.065432,0),"")</f>
        <v/>
      </c>
      <c r="L12" s="14">
        <f>IFERROR(ROUND($G12*0.028715,0),"")</f>
        <v/>
      </c>
      <c r="M12" s="14">
        <f>IFERROR(ROUND($G12*0.23959,0),"")</f>
        <v/>
      </c>
      <c r="N12" s="14">
        <f>IFERROR(ROUND($G12*0.068162,0),"")</f>
        <v/>
      </c>
      <c r="O12" s="14">
        <f>IFERROR(ROUND($G12*0.102916,0),"")</f>
        <v/>
      </c>
      <c r="P12" s="14">
        <f>IFERROR(ROUND($G12*0.020819,0),"")</f>
        <v/>
      </c>
      <c r="Q12" s="14">
        <f>IFERROR(ROUND($G12*0.016867,0),"")</f>
        <v/>
      </c>
      <c r="R12" s="14">
        <f>IFERROR(ROUND($G12*0.095077,0),"")</f>
        <v/>
      </c>
      <c r="S12" s="14">
        <f>IFERROR(ROUND($G12*0.276454,0),"")</f>
        <v/>
      </c>
      <c r="T12" s="28">
        <f>IFERROR(SUM(H12:S12),"")</f>
        <v/>
      </c>
    </row>
    <row r="13" ht="17" customHeight="1">
      <c r="A13" s="20" t="n">
        <v>10</v>
      </c>
      <c r="B13" s="20" t="inlineStr">
        <is>
          <t>케이블</t>
        </is>
      </c>
      <c r="C13" s="20" t="inlineStr">
        <is>
          <t>2.0mm</t>
        </is>
      </c>
      <c r="D13" s="21" t="inlineStr">
        <is>
          <t>A1_녹-SP</t>
        </is>
      </c>
      <c r="E13" s="21" t="inlineStr"/>
      <c r="F13" s="21" t="inlineStr">
        <is>
          <t>m</t>
        </is>
      </c>
      <c r="G13" s="17" t="n"/>
      <c r="H13" s="22">
        <f>IFERROR(ROUND($G13*0.000514,0),"")</f>
        <v/>
      </c>
      <c r="I13" s="22">
        <f>IFERROR(ROUND($G13*0.024478,0),"")</f>
        <v/>
      </c>
      <c r="J13" s="22">
        <f>IFERROR(ROUND($G13*0.040442,0),"")</f>
        <v/>
      </c>
      <c r="K13" s="22">
        <f>IFERROR(ROUND($G13*0.001242,0),"")</f>
        <v/>
      </c>
      <c r="L13" s="22">
        <f>IFERROR(ROUND($G13*0.00133,0),"")</f>
        <v/>
      </c>
      <c r="M13" s="22">
        <f>IFERROR(ROUND($G13*0.101389,0),"")</f>
        <v/>
      </c>
      <c r="N13" s="22">
        <f>IFERROR(ROUND($G13*0.326374,0),"")</f>
        <v/>
      </c>
      <c r="O13" s="22">
        <f>IFERROR(ROUND($G13*0.032708,0),"")</f>
        <v/>
      </c>
      <c r="P13" s="22">
        <f>IFERROR(ROUND($G13*0.038473,0),"")</f>
        <v/>
      </c>
      <c r="Q13" s="22">
        <f>IFERROR(ROUND($G13*0.081487,0),"")</f>
        <v/>
      </c>
      <c r="R13" s="22">
        <f>IFERROR(ROUND($G13*0.079997,0),"")</f>
        <v/>
      </c>
      <c r="S13" s="22">
        <f>IFERROR(ROUND($G13*0.271565,0),"")</f>
        <v/>
      </c>
      <c r="T13" s="29">
        <f>IFERROR(SUM(H13:S13),"")</f>
        <v/>
      </c>
    </row>
    <row r="14" ht="17" customHeight="1">
      <c r="A14" s="12" t="n">
        <v>11</v>
      </c>
      <c r="B14" s="12" t="inlineStr">
        <is>
          <t>케이블</t>
        </is>
      </c>
      <c r="C14" s="12" t="inlineStr">
        <is>
          <t>2.0mm</t>
        </is>
      </c>
      <c r="D14" s="13" t="inlineStr">
        <is>
          <t>A1_자-DP</t>
        </is>
      </c>
      <c r="E14" s="13" t="inlineStr"/>
      <c r="F14" s="13" t="inlineStr">
        <is>
          <t>m</t>
        </is>
      </c>
      <c r="G14" s="17" t="n"/>
      <c r="H14" s="14">
        <f>IFERROR(ROUND($G14*0.0,0),"")</f>
        <v/>
      </c>
      <c r="I14" s="14">
        <f>IFERROR(ROUND($G14*0.468966,0),"")</f>
        <v/>
      </c>
      <c r="J14" s="14">
        <f>IFERROR(ROUND($G14*0.0,0),"")</f>
        <v/>
      </c>
      <c r="K14" s="14">
        <f>IFERROR(ROUND($G14*0.0,0),"")</f>
        <v/>
      </c>
      <c r="L14" s="14">
        <f>IFERROR(ROUND($G14*0.206621,0),"")</f>
        <v/>
      </c>
      <c r="M14" s="14">
        <f>IFERROR(ROUND($G14*0.0,0),"")</f>
        <v/>
      </c>
      <c r="N14" s="14">
        <f>IFERROR(ROUND($G14*0.033103,0),"")</f>
        <v/>
      </c>
      <c r="O14" s="14">
        <f>IFERROR(ROUND($G14*0.0,0),"")</f>
        <v/>
      </c>
      <c r="P14" s="14">
        <f>IFERROR(ROUND($G14*0.192,0),"")</f>
        <v/>
      </c>
      <c r="Q14" s="14">
        <f>IFERROR(ROUND($G14*0.0,0),"")</f>
        <v/>
      </c>
      <c r="R14" s="14">
        <f>IFERROR(ROUND($G14*0.0,0),"")</f>
        <v/>
      </c>
      <c r="S14" s="14">
        <f>IFERROR(ROUND($G14*0.09931,0),"")</f>
        <v/>
      </c>
      <c r="T14" s="28">
        <f>IFERROR(SUM(H14:S14),"")</f>
        <v/>
      </c>
    </row>
    <row r="15" ht="17" customHeight="1">
      <c r="A15" s="20" t="n">
        <v>12</v>
      </c>
      <c r="B15" s="20" t="inlineStr">
        <is>
          <t>케이블</t>
        </is>
      </c>
      <c r="C15" s="20" t="inlineStr">
        <is>
          <t>2.0mm</t>
        </is>
      </c>
      <c r="D15" s="21" t="inlineStr">
        <is>
          <t>A1_적-DP</t>
        </is>
      </c>
      <c r="E15" s="21" t="inlineStr"/>
      <c r="F15" s="21" t="inlineStr">
        <is>
          <t>m</t>
        </is>
      </c>
      <c r="G15" s="17" t="n"/>
      <c r="H15" s="22">
        <f>IFERROR(ROUND($G15*0.091074,0),"")</f>
        <v/>
      </c>
      <c r="I15" s="22">
        <f>IFERROR(ROUND($G15*0.075618,0),"")</f>
        <v/>
      </c>
      <c r="J15" s="22">
        <f>IFERROR(ROUND($G15*0.214551,0),"")</f>
        <v/>
      </c>
      <c r="K15" s="22">
        <f>IFERROR(ROUND($G15*0.142666,0),"")</f>
        <v/>
      </c>
      <c r="L15" s="22">
        <f>IFERROR(ROUND($G15*0.133583,0),"")</f>
        <v/>
      </c>
      <c r="M15" s="22">
        <f>IFERROR(ROUND($G15*0.079143,0),"")</f>
        <v/>
      </c>
      <c r="N15" s="22">
        <f>IFERROR(ROUND($G15*0.020598,0),"")</f>
        <v/>
      </c>
      <c r="O15" s="22">
        <f>IFERROR(ROUND($G15*0.026957,0),"")</f>
        <v/>
      </c>
      <c r="P15" s="22">
        <f>IFERROR(ROUND($G15*0.004645,0),"")</f>
        <v/>
      </c>
      <c r="Q15" s="22">
        <f>IFERROR(ROUND($G15*0.068015,0),"")</f>
        <v/>
      </c>
      <c r="R15" s="22">
        <f>IFERROR(ROUND($G15*0.105409,0),"")</f>
        <v/>
      </c>
      <c r="S15" s="22">
        <f>IFERROR(ROUND($G15*0.03774,0),"")</f>
        <v/>
      </c>
      <c r="T15" s="29">
        <f>IFERROR(SUM(H15:S15),"")</f>
        <v/>
      </c>
    </row>
    <row r="16" ht="17" customHeight="1">
      <c r="A16" s="12" t="n">
        <v>13</v>
      </c>
      <c r="B16" s="12" t="inlineStr">
        <is>
          <t>케이블</t>
        </is>
      </c>
      <c r="C16" s="12" t="inlineStr">
        <is>
          <t>2.0mm</t>
        </is>
      </c>
      <c r="D16" s="13" t="inlineStr">
        <is>
          <t>A1_적-SP</t>
        </is>
      </c>
      <c r="E16" s="13" t="inlineStr"/>
      <c r="F16" s="13" t="inlineStr">
        <is>
          <t>m</t>
        </is>
      </c>
      <c r="G16" s="17" t="n"/>
      <c r="H16" s="14">
        <f>IFERROR(ROUND($G16*0.0,0),"")</f>
        <v/>
      </c>
      <c r="I16" s="14">
        <f>IFERROR(ROUND($G16*0.016035,0),"")</f>
        <v/>
      </c>
      <c r="J16" s="14">
        <f>IFERROR(ROUND($G16*0.182216,0),"")</f>
        <v/>
      </c>
      <c r="K16" s="14">
        <f>IFERROR(ROUND($G16*0.0,0),"")</f>
        <v/>
      </c>
      <c r="L16" s="14">
        <f>IFERROR(ROUND($G16*0.0,0),"")</f>
        <v/>
      </c>
      <c r="M16" s="14">
        <f>IFERROR(ROUND($G16*0.0,0),"")</f>
        <v/>
      </c>
      <c r="N16" s="14">
        <f>IFERROR(ROUND($G16*0.145773,0),"")</f>
        <v/>
      </c>
      <c r="O16" s="14">
        <f>IFERROR(ROUND($G16*0.0,0),"")</f>
        <v/>
      </c>
      <c r="P16" s="14">
        <f>IFERROR(ROUND($G16*0.0,0),"")</f>
        <v/>
      </c>
      <c r="Q16" s="14">
        <f>IFERROR(ROUND($G16*0.0,0),"")</f>
        <v/>
      </c>
      <c r="R16" s="14">
        <f>IFERROR(ROUND($G16*0.0,0),"")</f>
        <v/>
      </c>
      <c r="S16" s="14">
        <f>IFERROR(ROUND($G16*0.655977,0),"")</f>
        <v/>
      </c>
      <c r="T16" s="28">
        <f>IFERROR(SUM(H16:S16),"")</f>
        <v/>
      </c>
    </row>
    <row r="17" ht="17" customHeight="1">
      <c r="A17" s="20" t="n">
        <v>14</v>
      </c>
      <c r="B17" s="20" t="inlineStr">
        <is>
          <t>케이블</t>
        </is>
      </c>
      <c r="C17" s="20" t="inlineStr">
        <is>
          <t>2.0mm</t>
        </is>
      </c>
      <c r="D17" s="21" t="inlineStr">
        <is>
          <t>A1_청-DP</t>
        </is>
      </c>
      <c r="E17" s="21" t="inlineStr"/>
      <c r="F17" s="21" t="inlineStr">
        <is>
          <t>m</t>
        </is>
      </c>
      <c r="G17" s="17" t="n"/>
      <c r="H17" s="22">
        <f>IFERROR(ROUND($G17*0.073522,0),"")</f>
        <v/>
      </c>
      <c r="I17" s="22">
        <f>IFERROR(ROUND($G17*0.116809,0),"")</f>
        <v/>
      </c>
      <c r="J17" s="22">
        <f>IFERROR(ROUND($G17*0.094679,0),"")</f>
        <v/>
      </c>
      <c r="K17" s="22">
        <f>IFERROR(ROUND($G17*0.065173,0),"")</f>
        <v/>
      </c>
      <c r="L17" s="22">
        <f>IFERROR(ROUND($G17*0.370773,0),"")</f>
        <v/>
      </c>
      <c r="M17" s="22">
        <f>IFERROR(ROUND($G17*0.024318,0),"")</f>
        <v/>
      </c>
      <c r="N17" s="22">
        <f>IFERROR(ROUND($G17*0.069947,0),"")</f>
        <v/>
      </c>
      <c r="O17" s="22">
        <f>IFERROR(ROUND($G17*0.004458,0),"")</f>
        <v/>
      </c>
      <c r="P17" s="22">
        <f>IFERROR(ROUND($G17*0.035262,0),"")</f>
        <v/>
      </c>
      <c r="Q17" s="22">
        <f>IFERROR(ROUND($G17*0.077575,0),"")</f>
        <v/>
      </c>
      <c r="R17" s="22">
        <f>IFERROR(ROUND($G17*0.057594,0),"")</f>
        <v/>
      </c>
      <c r="S17" s="22">
        <f>IFERROR(ROUND($G17*0.009889,0),"")</f>
        <v/>
      </c>
      <c r="T17" s="29">
        <f>IFERROR(SUM(H17:S17),"")</f>
        <v/>
      </c>
    </row>
    <row r="18" ht="17" customHeight="1">
      <c r="A18" s="12" t="n">
        <v>15</v>
      </c>
      <c r="B18" s="12" t="inlineStr">
        <is>
          <t>케이블</t>
        </is>
      </c>
      <c r="C18" s="12" t="inlineStr">
        <is>
          <t>2.0mm</t>
        </is>
      </c>
      <c r="D18" s="13" t="inlineStr">
        <is>
          <t>A1_청-SP</t>
        </is>
      </c>
      <c r="E18" s="13" t="inlineStr"/>
      <c r="F18" s="13" t="inlineStr">
        <is>
          <t>m</t>
        </is>
      </c>
      <c r="G18" s="17" t="n"/>
      <c r="H18" s="14">
        <f>IFERROR(ROUND($G18*0.005874,0),"")</f>
        <v/>
      </c>
      <c r="I18" s="14">
        <f>IFERROR(ROUND($G18*0.0,0),"")</f>
        <v/>
      </c>
      <c r="J18" s="14">
        <f>IFERROR(ROUND($G18*0.526356,0),"")</f>
        <v/>
      </c>
      <c r="K18" s="14">
        <f>IFERROR(ROUND($G18*0.057969,0),"")</f>
        <v/>
      </c>
      <c r="L18" s="14">
        <f>IFERROR(ROUND($G18*0.077292,0),"")</f>
        <v/>
      </c>
      <c r="M18" s="14">
        <f>IFERROR(ROUND($G18*0.0,0),"")</f>
        <v/>
      </c>
      <c r="N18" s="14">
        <f>IFERROR(ROUND($G18*0.0,0),"")</f>
        <v/>
      </c>
      <c r="O18" s="14">
        <f>IFERROR(ROUND($G18*0.0,0),"")</f>
        <v/>
      </c>
      <c r="P18" s="14">
        <f>IFERROR(ROUND($G18*0.282115,0),"")</f>
        <v/>
      </c>
      <c r="Q18" s="14">
        <f>IFERROR(ROUND($G18*0.004019,0),"")</f>
        <v/>
      </c>
      <c r="R18" s="14">
        <f>IFERROR(ROUND($G18*0.046375,0),"")</f>
        <v/>
      </c>
      <c r="S18" s="14">
        <f>IFERROR(ROUND($G18*0.0,0),"")</f>
        <v/>
      </c>
      <c r="T18" s="28">
        <f>IFERROR(SUM(H18:S18),"")</f>
        <v/>
      </c>
    </row>
    <row r="19" ht="17" customHeight="1">
      <c r="A19" s="20" t="n">
        <v>16</v>
      </c>
      <c r="B19" s="20" t="inlineStr">
        <is>
          <t>케이블</t>
        </is>
      </c>
      <c r="C19" s="20" t="inlineStr">
        <is>
          <t>2.0mm</t>
        </is>
      </c>
      <c r="D19" s="21" t="inlineStr">
        <is>
          <t>B3-12C</t>
        </is>
      </c>
      <c r="E19" s="21" t="inlineStr"/>
      <c r="F19" s="21" t="inlineStr">
        <is>
          <t>m</t>
        </is>
      </c>
      <c r="G19" s="17" t="n"/>
      <c r="H19" s="22">
        <f>IFERROR(ROUND($G19*0.094827,0),"")</f>
        <v/>
      </c>
      <c r="I19" s="22">
        <f>IFERROR(ROUND($G19*0.089234,0),"")</f>
        <v/>
      </c>
      <c r="J19" s="22">
        <f>IFERROR(ROUND($G19*0.033672,0),"")</f>
        <v/>
      </c>
      <c r="K19" s="22">
        <f>IFERROR(ROUND($G19*0.113547,0),"")</f>
        <v/>
      </c>
      <c r="L19" s="22">
        <f>IFERROR(ROUND($G19*0.09363,0),"")</f>
        <v/>
      </c>
      <c r="M19" s="22">
        <f>IFERROR(ROUND($G19*0.121471,0),"")</f>
        <v/>
      </c>
      <c r="N19" s="22">
        <f>IFERROR(ROUND($G19*0.06872,0),"")</f>
        <v/>
      </c>
      <c r="O19" s="22">
        <f>IFERROR(ROUND($G19*0.087141,0),"")</f>
        <v/>
      </c>
      <c r="P19" s="22">
        <f>IFERROR(ROUND($G19*0.028559,0),"")</f>
        <v/>
      </c>
      <c r="Q19" s="22">
        <f>IFERROR(ROUND($G19*0.11558,0),"")</f>
        <v/>
      </c>
      <c r="R19" s="22">
        <f>IFERROR(ROUND($G19*0.070604,0),"")</f>
        <v/>
      </c>
      <c r="S19" s="22">
        <f>IFERROR(ROUND($G19*0.083014,0),"")</f>
        <v/>
      </c>
      <c r="T19" s="29">
        <f>IFERROR(SUM(H19:S19),"")</f>
        <v/>
      </c>
    </row>
    <row r="20" ht="17" customHeight="1">
      <c r="A20" s="12" t="n">
        <v>17</v>
      </c>
      <c r="B20" s="12" t="inlineStr">
        <is>
          <t>케이블</t>
        </is>
      </c>
      <c r="C20" s="12" t="inlineStr">
        <is>
          <t>2.0mm</t>
        </is>
      </c>
      <c r="D20" s="13" t="inlineStr">
        <is>
          <t>B3-16C</t>
        </is>
      </c>
      <c r="E20" s="13" t="inlineStr"/>
      <c r="F20" s="13" t="inlineStr">
        <is>
          <t>m</t>
        </is>
      </c>
      <c r="G20" s="17" t="n"/>
      <c r="H20" s="14">
        <f>IFERROR(ROUND($G20*0.376812,0),"")</f>
        <v/>
      </c>
      <c r="I20" s="14">
        <f>IFERROR(ROUND($G20*0.594203,0),"")</f>
        <v/>
      </c>
      <c r="J20" s="14">
        <f>IFERROR(ROUND($G20*0.028986,0),"")</f>
        <v/>
      </c>
      <c r="K20" s="14">
        <f>IFERROR(ROUND($G20*0.0,0),"")</f>
        <v/>
      </c>
      <c r="L20" s="14">
        <f>IFERROR(ROUND($G20*0.0,0),"")</f>
        <v/>
      </c>
      <c r="M20" s="14">
        <f>IFERROR(ROUND($G20*0.0,0),"")</f>
        <v/>
      </c>
      <c r="N20" s="14">
        <f>IFERROR(ROUND($G20*0.0,0),"")</f>
        <v/>
      </c>
      <c r="O20" s="14">
        <f>IFERROR(ROUND($G20*0.0,0),"")</f>
        <v/>
      </c>
      <c r="P20" s="14">
        <f>IFERROR(ROUND($G20*0.0,0),"")</f>
        <v/>
      </c>
      <c r="Q20" s="14">
        <f>IFERROR(ROUND($G20*0.0,0),"")</f>
        <v/>
      </c>
      <c r="R20" s="14">
        <f>IFERROR(ROUND($G20*0.0,0),"")</f>
        <v/>
      </c>
      <c r="S20" s="14">
        <f>IFERROR(ROUND($G20*0.0,0),"")</f>
        <v/>
      </c>
      <c r="T20" s="28">
        <f>IFERROR(SUM(H20:S20),"")</f>
        <v/>
      </c>
    </row>
    <row r="21" ht="17" customHeight="1">
      <c r="A21" s="20" t="n">
        <v>18</v>
      </c>
      <c r="B21" s="20" t="inlineStr">
        <is>
          <t>케이블</t>
        </is>
      </c>
      <c r="C21" s="20" t="inlineStr">
        <is>
          <t>2.0mm</t>
        </is>
      </c>
      <c r="D21" s="21" t="inlineStr">
        <is>
          <t>B3-24C</t>
        </is>
      </c>
      <c r="E21" s="21" t="inlineStr"/>
      <c r="F21" s="21" t="inlineStr">
        <is>
          <t>m</t>
        </is>
      </c>
      <c r="G21" s="17" t="n"/>
      <c r="H21" s="22">
        <f>IFERROR(ROUND($G21*0.016393,0),"")</f>
        <v/>
      </c>
      <c r="I21" s="22">
        <f>IFERROR(ROUND($G21*0.245902,0),"")</f>
        <v/>
      </c>
      <c r="J21" s="22">
        <f>IFERROR(ROUND($G21*0.0,0),"")</f>
        <v/>
      </c>
      <c r="K21" s="22">
        <f>IFERROR(ROUND($G21*0.02459,0),"")</f>
        <v/>
      </c>
      <c r="L21" s="22">
        <f>IFERROR(ROUND($G21*0.0,0),"")</f>
        <v/>
      </c>
      <c r="M21" s="22">
        <f>IFERROR(ROUND($G21*0.0,0),"")</f>
        <v/>
      </c>
      <c r="N21" s="22">
        <f>IFERROR(ROUND($G21*0.0,0),"")</f>
        <v/>
      </c>
      <c r="O21" s="22">
        <f>IFERROR(ROUND($G21*0.65847,0),"")</f>
        <v/>
      </c>
      <c r="P21" s="22">
        <f>IFERROR(ROUND($G21*0.0,0),"")</f>
        <v/>
      </c>
      <c r="Q21" s="22">
        <f>IFERROR(ROUND($G21*0.054645,0),"")</f>
        <v/>
      </c>
      <c r="R21" s="22">
        <f>IFERROR(ROUND($G21*0.0,0),"")</f>
        <v/>
      </c>
      <c r="S21" s="22">
        <f>IFERROR(ROUND($G21*0.0,0),"")</f>
        <v/>
      </c>
      <c r="T21" s="29">
        <f>IFERROR(SUM(H21:S21),"")</f>
        <v/>
      </c>
    </row>
    <row r="22" ht="17" customHeight="1">
      <c r="A22" s="12" t="n">
        <v>19</v>
      </c>
      <c r="B22" s="12" t="inlineStr">
        <is>
          <t>케이블</t>
        </is>
      </c>
      <c r="C22" s="12" t="inlineStr">
        <is>
          <t>2.0mm</t>
        </is>
      </c>
      <c r="D22" s="13" t="inlineStr">
        <is>
          <t>B3-4C</t>
        </is>
      </c>
      <c r="E22" s="13" t="inlineStr"/>
      <c r="F22" s="13" t="inlineStr">
        <is>
          <t>m</t>
        </is>
      </c>
      <c r="G22" s="17" t="n"/>
      <c r="H22" s="14">
        <f>IFERROR(ROUND($G22*0.111857,0),"")</f>
        <v/>
      </c>
      <c r="I22" s="14">
        <f>IFERROR(ROUND($G22*0.123043,0),"")</f>
        <v/>
      </c>
      <c r="J22" s="14">
        <f>IFERROR(ROUND($G22*0.0,0),"")</f>
        <v/>
      </c>
      <c r="K22" s="14">
        <f>IFERROR(ROUND($G22*0.0,0),"")</f>
        <v/>
      </c>
      <c r="L22" s="14">
        <f>IFERROR(ROUND($G22*0.402685,0),"")</f>
        <v/>
      </c>
      <c r="M22" s="14">
        <f>IFERROR(ROUND($G22*0.0783,0),"")</f>
        <v/>
      </c>
      <c r="N22" s="14">
        <f>IFERROR(ROUND($G22*0.0783,0),"")</f>
        <v/>
      </c>
      <c r="O22" s="14">
        <f>IFERROR(ROUND($G22*0.178971,0),"")</f>
        <v/>
      </c>
      <c r="P22" s="14">
        <f>IFERROR(ROUND($G22*0.0,0),"")</f>
        <v/>
      </c>
      <c r="Q22" s="14">
        <f>IFERROR(ROUND($G22*0.026846,0),"")</f>
        <v/>
      </c>
      <c r="R22" s="14">
        <f>IFERROR(ROUND($G22*0.0,0),"")</f>
        <v/>
      </c>
      <c r="S22" s="14">
        <f>IFERROR(ROUND($G22*0.0,0),"")</f>
        <v/>
      </c>
      <c r="T22" s="28">
        <f>IFERROR(SUM(H22:S22),"")</f>
        <v/>
      </c>
    </row>
    <row r="23" ht="17" customHeight="1">
      <c r="A23" s="20" t="n">
        <v>20</v>
      </c>
      <c r="B23" s="20" t="inlineStr">
        <is>
          <t>케이블</t>
        </is>
      </c>
      <c r="C23" s="20" t="inlineStr">
        <is>
          <t>2.0mm</t>
        </is>
      </c>
      <c r="D23" s="21" t="inlineStr">
        <is>
          <t>B3-6C</t>
        </is>
      </c>
      <c r="E23" s="21" t="inlineStr"/>
      <c r="F23" s="21" t="inlineStr">
        <is>
          <t>m</t>
        </is>
      </c>
      <c r="G23" s="17" t="n"/>
      <c r="H23" s="22">
        <f>IFERROR(ROUND($G23*0.143093,0),"")</f>
        <v/>
      </c>
      <c r="I23" s="22">
        <f>IFERROR(ROUND($G23*0.168224,0),"")</f>
        <v/>
      </c>
      <c r="J23" s="22">
        <f>IFERROR(ROUND($G23*0.143643,0),"")</f>
        <v/>
      </c>
      <c r="K23" s="22">
        <f>IFERROR(ROUND($G23*0.051441,0),"")</f>
        <v/>
      </c>
      <c r="L23" s="22">
        <f>IFERROR(ROUND($G23*0.098563,0),"")</f>
        <v/>
      </c>
      <c r="M23" s="22">
        <f>IFERROR(ROUND($G23*0.024817,0),"")</f>
        <v/>
      </c>
      <c r="N23" s="22">
        <f>IFERROR(ROUND($G23*0.098877,0),"")</f>
        <v/>
      </c>
      <c r="O23" s="22">
        <f>IFERROR(ROUND($G23*0.050263,0),"")</f>
        <v/>
      </c>
      <c r="P23" s="22">
        <f>IFERROR(ROUND($G23*0.03597,0),"")</f>
        <v/>
      </c>
      <c r="Q23" s="22">
        <f>IFERROR(ROUND($G23*0.07508,0),"")</f>
        <v/>
      </c>
      <c r="R23" s="22">
        <f>IFERROR(ROUND($G23*0.046336,0),"")</f>
        <v/>
      </c>
      <c r="S23" s="22">
        <f>IFERROR(ROUND($G23*0.063693,0),"")</f>
        <v/>
      </c>
      <c r="T23" s="29">
        <f>IFERROR(SUM(H23:S23),"")</f>
        <v/>
      </c>
    </row>
    <row r="24" ht="17" customHeight="1">
      <c r="A24" s="12" t="n">
        <v>21</v>
      </c>
      <c r="B24" s="12" t="inlineStr">
        <is>
          <t>케이블</t>
        </is>
      </c>
      <c r="C24" s="12" t="inlineStr">
        <is>
          <t>2.0mm</t>
        </is>
      </c>
      <c r="D24" s="13" t="inlineStr">
        <is>
          <t>B3-8C</t>
        </is>
      </c>
      <c r="E24" s="13" t="inlineStr"/>
      <c r="F24" s="13" t="inlineStr">
        <is>
          <t>m</t>
        </is>
      </c>
      <c r="G24" s="17" t="n"/>
      <c r="H24" s="14">
        <f>IFERROR(ROUND($G24*0.0,0),"")</f>
        <v/>
      </c>
      <c r="I24" s="14">
        <f>IFERROR(ROUND($G24*0.0,0),"")</f>
        <v/>
      </c>
      <c r="J24" s="14">
        <f>IFERROR(ROUND($G24*0.0,0),"")</f>
        <v/>
      </c>
      <c r="K24" s="14">
        <f>IFERROR(ROUND($G24*0.0,0),"")</f>
        <v/>
      </c>
      <c r="L24" s="14">
        <f>IFERROR(ROUND($G24*0.0,0),"")</f>
        <v/>
      </c>
      <c r="M24" s="14">
        <f>IFERROR(ROUND($G24*0.0,0),"")</f>
        <v/>
      </c>
      <c r="N24" s="14">
        <f>IFERROR(ROUND($G24*0.0,0),"")</f>
        <v/>
      </c>
      <c r="O24" s="14">
        <f>IFERROR(ROUND($G24*0.631579,0),"")</f>
        <v/>
      </c>
      <c r="P24" s="14">
        <f>IFERROR(ROUND($G24*0.0,0),"")</f>
        <v/>
      </c>
      <c r="Q24" s="14">
        <f>IFERROR(ROUND($G24*0.368421,0),"")</f>
        <v/>
      </c>
      <c r="R24" s="14">
        <f>IFERROR(ROUND($G24*0.0,0),"")</f>
        <v/>
      </c>
      <c r="S24" s="14">
        <f>IFERROR(ROUND($G24*0.0,0),"")</f>
        <v/>
      </c>
      <c r="T24" s="28">
        <f>IFERROR(SUM(H24:S24),"")</f>
        <v/>
      </c>
    </row>
    <row r="25" ht="17" customHeight="1">
      <c r="A25" s="20" t="n">
        <v>22</v>
      </c>
      <c r="B25" s="20" t="inlineStr">
        <is>
          <t>케이블</t>
        </is>
      </c>
      <c r="C25" s="20" t="inlineStr">
        <is>
          <t>2.0mm</t>
        </is>
      </c>
      <c r="D25" s="21" t="inlineStr">
        <is>
          <t>B3-DP</t>
        </is>
      </c>
      <c r="E25" s="21" t="inlineStr"/>
      <c r="F25" s="21" t="inlineStr">
        <is>
          <t>m</t>
        </is>
      </c>
      <c r="G25" s="17" t="n"/>
      <c r="H25" s="22">
        <f>IFERROR(ROUND($G25*0.113701,0),"")</f>
        <v/>
      </c>
      <c r="I25" s="22">
        <f>IFERROR(ROUND($G25*0.1005,0),"")</f>
        <v/>
      </c>
      <c r="J25" s="22">
        <f>IFERROR(ROUND($G25*0.085602,0),"")</f>
        <v/>
      </c>
      <c r="K25" s="22">
        <f>IFERROR(ROUND($G25*0.106605,0),"")</f>
        <v/>
      </c>
      <c r="L25" s="22">
        <f>IFERROR(ROUND($G25*0.055797,0),"")</f>
        <v/>
      </c>
      <c r="M25" s="22">
        <f>IFERROR(ROUND($G25*0.07624,0),"")</f>
        <v/>
      </c>
      <c r="N25" s="22">
        <f>IFERROR(ROUND($G25*0.089082,0),"")</f>
        <v/>
      </c>
      <c r="O25" s="22">
        <f>IFERROR(ROUND($G25*0.078171,0),"")</f>
        <v/>
      </c>
      <c r="P25" s="22">
        <f>IFERROR(ROUND($G25*0.074943,0),"")</f>
        <v/>
      </c>
      <c r="Q25" s="22">
        <f>IFERROR(ROUND($G25*0.08019,0),"")</f>
        <v/>
      </c>
      <c r="R25" s="22">
        <f>IFERROR(ROUND($G25*0.099989,0),"")</f>
        <v/>
      </c>
      <c r="S25" s="22">
        <f>IFERROR(ROUND($G25*0.039181,0),"")</f>
        <v/>
      </c>
      <c r="T25" s="29">
        <f>IFERROR(SUM(H25:S25),"")</f>
        <v/>
      </c>
    </row>
    <row r="26" ht="17" customHeight="1">
      <c r="A26" s="12" t="n">
        <v>23</v>
      </c>
      <c r="B26" s="12" t="inlineStr">
        <is>
          <t>케이블</t>
        </is>
      </c>
      <c r="C26" s="12" t="inlineStr">
        <is>
          <t>2.0mm</t>
        </is>
      </c>
      <c r="D26" s="13" t="inlineStr">
        <is>
          <t>B3-SP</t>
        </is>
      </c>
      <c r="E26" s="13" t="inlineStr"/>
      <c r="F26" s="13" t="inlineStr">
        <is>
          <t>m</t>
        </is>
      </c>
      <c r="G26" s="17" t="n"/>
      <c r="H26" s="14">
        <f>IFERROR(ROUND($G26*0.101714,0),"")</f>
        <v/>
      </c>
      <c r="I26" s="14">
        <f>IFERROR(ROUND($G26*0.038049,0),"")</f>
        <v/>
      </c>
      <c r="J26" s="14">
        <f>IFERROR(ROUND($G26*0.049912,0),"")</f>
        <v/>
      </c>
      <c r="K26" s="14">
        <f>IFERROR(ROUND($G26*0.07838,0),"")</f>
        <v/>
      </c>
      <c r="L26" s="14">
        <f>IFERROR(ROUND($G26*0.103699,0),"")</f>
        <v/>
      </c>
      <c r="M26" s="14">
        <f>IFERROR(ROUND($G26*0.106973,0),"")</f>
        <v/>
      </c>
      <c r="N26" s="14">
        <f>IFERROR(ROUND($G26*0.094055,0),"")</f>
        <v/>
      </c>
      <c r="O26" s="14">
        <f>IFERROR(ROUND($G26*0.078173,0),"")</f>
        <v/>
      </c>
      <c r="P26" s="14">
        <f>IFERROR(ROUND($G26*0.083688,0),"")</f>
        <v/>
      </c>
      <c r="Q26" s="14">
        <f>IFERROR(ROUND($G26*0.087358,0),"")</f>
        <v/>
      </c>
      <c r="R26" s="14">
        <f>IFERROR(ROUND($G26*0.119033,0),"")</f>
        <v/>
      </c>
      <c r="S26" s="14">
        <f>IFERROR(ROUND($G26*0.058967,0),"")</f>
        <v/>
      </c>
      <c r="T26" s="28">
        <f>IFERROR(SUM(H26:S26),"")</f>
        <v/>
      </c>
    </row>
    <row r="27" ht="17" customHeight="1">
      <c r="A27" s="20" t="n">
        <v>24</v>
      </c>
      <c r="B27" s="20" t="inlineStr">
        <is>
          <t>케이블</t>
        </is>
      </c>
      <c r="C27" s="20" t="inlineStr">
        <is>
          <t>2.0mm</t>
        </is>
      </c>
      <c r="D27" s="21" t="inlineStr">
        <is>
          <t>OM1-DP</t>
        </is>
      </c>
      <c r="E27" s="21" t="inlineStr"/>
      <c r="F27" s="21" t="inlineStr">
        <is>
          <t>m</t>
        </is>
      </c>
      <c r="G27" s="17" t="n"/>
      <c r="H27" s="22">
        <f>IFERROR(ROUND($G27*0.067557,0),"")</f>
        <v/>
      </c>
      <c r="I27" s="22">
        <f>IFERROR(ROUND($G27*0.035343,0),"")</f>
        <v/>
      </c>
      <c r="J27" s="22">
        <f>IFERROR(ROUND($G27*0.06417,0),"")</f>
        <v/>
      </c>
      <c r="K27" s="22">
        <f>IFERROR(ROUND($G27*0.048136,0),"")</f>
        <v/>
      </c>
      <c r="L27" s="22">
        <f>IFERROR(ROUND($G27*0.127112,0),"")</f>
        <v/>
      </c>
      <c r="M27" s="22">
        <f>IFERROR(ROUND($G27*0.079045,0),"")</f>
        <v/>
      </c>
      <c r="N27" s="22">
        <f>IFERROR(ROUND($G27*0.073235,0),"")</f>
        <v/>
      </c>
      <c r="O27" s="22">
        <f>IFERROR(ROUND($G27*0.105407,0),"")</f>
        <v/>
      </c>
      <c r="P27" s="22">
        <f>IFERROR(ROUND($G27*0.078067,0),"")</f>
        <v/>
      </c>
      <c r="Q27" s="22">
        <f>IFERROR(ROUND($G27*0.232721,0),"")</f>
        <v/>
      </c>
      <c r="R27" s="22">
        <f>IFERROR(ROUND($G27*0.054463,0),"")</f>
        <v/>
      </c>
      <c r="S27" s="22">
        <f>IFERROR(ROUND($G27*0.034742,0),"")</f>
        <v/>
      </c>
      <c r="T27" s="29">
        <f>IFERROR(SUM(H27:S27),"")</f>
        <v/>
      </c>
    </row>
    <row r="28" ht="17" customHeight="1">
      <c r="A28" s="12" t="n">
        <v>25</v>
      </c>
      <c r="B28" s="12" t="inlineStr">
        <is>
          <t>케이블</t>
        </is>
      </c>
      <c r="C28" s="12" t="inlineStr">
        <is>
          <t>2.0mm</t>
        </is>
      </c>
      <c r="D28" s="13" t="inlineStr">
        <is>
          <t>OM1-SP</t>
        </is>
      </c>
      <c r="E28" s="13" t="inlineStr"/>
      <c r="F28" s="13" t="inlineStr">
        <is>
          <t>m</t>
        </is>
      </c>
      <c r="G28" s="17" t="n"/>
      <c r="H28" s="14">
        <f>IFERROR(ROUND($G28*0.0,0),"")</f>
        <v/>
      </c>
      <c r="I28" s="14">
        <f>IFERROR(ROUND($G28*0.322852,0),"")</f>
        <v/>
      </c>
      <c r="J28" s="14">
        <f>IFERROR(ROUND($G28*0.037058,0),"")</f>
        <v/>
      </c>
      <c r="K28" s="14">
        <f>IFERROR(ROUND($G28*0.0,0),"")</f>
        <v/>
      </c>
      <c r="L28" s="14">
        <f>IFERROR(ROUND($G28*0.098259,0),"")</f>
        <v/>
      </c>
      <c r="M28" s="14">
        <f>IFERROR(ROUND($G28*0.148793,0),"")</f>
        <v/>
      </c>
      <c r="N28" s="14">
        <f>IFERROR(ROUND($G28*0.291971,0),"")</f>
        <v/>
      </c>
      <c r="O28" s="14">
        <f>IFERROR(ROUND($G28*0.0,0),"")</f>
        <v/>
      </c>
      <c r="P28" s="14">
        <f>IFERROR(ROUND($G28*0.0,0),"")</f>
        <v/>
      </c>
      <c r="Q28" s="14">
        <f>IFERROR(ROUND($G28*0.101067,0),"")</f>
        <v/>
      </c>
      <c r="R28" s="14">
        <f>IFERROR(ROUND($G28*0.0,0),"")</f>
        <v/>
      </c>
      <c r="S28" s="14">
        <f>IFERROR(ROUND($G28*0.0,0),"")</f>
        <v/>
      </c>
      <c r="T28" s="28">
        <f>IFERROR(SUM(H28:S28),"")</f>
        <v/>
      </c>
    </row>
    <row r="29" ht="17" customHeight="1">
      <c r="A29" s="20" t="n">
        <v>26</v>
      </c>
      <c r="B29" s="20" t="inlineStr">
        <is>
          <t>케이블</t>
        </is>
      </c>
      <c r="C29" s="20" t="inlineStr">
        <is>
          <t>2.0mm</t>
        </is>
      </c>
      <c r="D29" s="21" t="inlineStr">
        <is>
          <t>OM3-DP</t>
        </is>
      </c>
      <c r="E29" s="21" t="inlineStr"/>
      <c r="F29" s="21" t="inlineStr">
        <is>
          <t>m</t>
        </is>
      </c>
      <c r="G29" s="17" t="n"/>
      <c r="H29" s="22">
        <f>IFERROR(ROUND($G29*0.092416,0),"")</f>
        <v/>
      </c>
      <c r="I29" s="22">
        <f>IFERROR(ROUND($G29*0.042922,0),"")</f>
        <v/>
      </c>
      <c r="J29" s="22">
        <f>IFERROR(ROUND($G29*0.044757,0),"")</f>
        <v/>
      </c>
      <c r="K29" s="22">
        <f>IFERROR(ROUND($G29*0.033843,0),"")</f>
        <v/>
      </c>
      <c r="L29" s="22">
        <f>IFERROR(ROUND($G29*0.027823,0),"")</f>
        <v/>
      </c>
      <c r="M29" s="22">
        <f>IFERROR(ROUND($G29*0.129353,0),"")</f>
        <v/>
      </c>
      <c r="N29" s="22">
        <f>IFERROR(ROUND($G29*0.041231,0),"")</f>
        <v/>
      </c>
      <c r="O29" s="22">
        <f>IFERROR(ROUND($G29*0.160618,0),"")</f>
        <v/>
      </c>
      <c r="P29" s="22">
        <f>IFERROR(ROUND($G29*0.046064,0),"")</f>
        <v/>
      </c>
      <c r="Q29" s="22">
        <f>IFERROR(ROUND($G29*0.206802,0),"")</f>
        <v/>
      </c>
      <c r="R29" s="22">
        <f>IFERROR(ROUND($G29*0.122745,0),"")</f>
        <v/>
      </c>
      <c r="S29" s="22">
        <f>IFERROR(ROUND($G29*0.051425,0),"")</f>
        <v/>
      </c>
      <c r="T29" s="29">
        <f>IFERROR(SUM(H29:S29),"")</f>
        <v/>
      </c>
    </row>
    <row r="30" ht="17" customHeight="1">
      <c r="A30" s="12" t="n">
        <v>27</v>
      </c>
      <c r="B30" s="12" t="inlineStr">
        <is>
          <t>케이블</t>
        </is>
      </c>
      <c r="C30" s="12" t="inlineStr">
        <is>
          <t>2.0mm</t>
        </is>
      </c>
      <c r="D30" s="13" t="inlineStr">
        <is>
          <t>OM3-SP</t>
        </is>
      </c>
      <c r="E30" s="13" t="inlineStr"/>
      <c r="F30" s="13" t="inlineStr">
        <is>
          <t>m</t>
        </is>
      </c>
      <c r="G30" s="17" t="n"/>
      <c r="H30" s="14">
        <f>IFERROR(ROUND($G30*0.0,0),"")</f>
        <v/>
      </c>
      <c r="I30" s="14">
        <f>IFERROR(ROUND($G30*0.0,0),"")</f>
        <v/>
      </c>
      <c r="J30" s="14">
        <f>IFERROR(ROUND($G30*0.0,0),"")</f>
        <v/>
      </c>
      <c r="K30" s="14">
        <f>IFERROR(ROUND($G30*0.0,0),"")</f>
        <v/>
      </c>
      <c r="L30" s="14">
        <f>IFERROR(ROUND($G30*0.0,0),"")</f>
        <v/>
      </c>
      <c r="M30" s="14">
        <f>IFERROR(ROUND($G30*0.0,0),"")</f>
        <v/>
      </c>
      <c r="N30" s="14">
        <f>IFERROR(ROUND($G30*0.0,0),"")</f>
        <v/>
      </c>
      <c r="O30" s="14">
        <f>IFERROR(ROUND($G30*1.0,0),"")</f>
        <v/>
      </c>
      <c r="P30" s="14">
        <f>IFERROR(ROUND($G30*0.0,0),"")</f>
        <v/>
      </c>
      <c r="Q30" s="14">
        <f>IFERROR(ROUND($G30*0.0,0),"")</f>
        <v/>
      </c>
      <c r="R30" s="14">
        <f>IFERROR(ROUND($G30*0.0,0),"")</f>
        <v/>
      </c>
      <c r="S30" s="14">
        <f>IFERROR(ROUND($G30*0.0,0),"")</f>
        <v/>
      </c>
      <c r="T30" s="28">
        <f>IFERROR(SUM(H30:S30),"")</f>
        <v/>
      </c>
    </row>
    <row r="31" ht="17" customHeight="1">
      <c r="A31" s="20" t="n">
        <v>28</v>
      </c>
      <c r="B31" s="20" t="inlineStr">
        <is>
          <t>케이블</t>
        </is>
      </c>
      <c r="C31" s="20" t="inlineStr">
        <is>
          <t>2.0mm</t>
        </is>
      </c>
      <c r="D31" s="21" t="inlineStr">
        <is>
          <t>OM4-DP</t>
        </is>
      </c>
      <c r="E31" s="21" t="inlineStr"/>
      <c r="F31" s="21" t="inlineStr">
        <is>
          <t>m</t>
        </is>
      </c>
      <c r="G31" s="17" t="n"/>
      <c r="H31" s="22">
        <f>IFERROR(ROUND($G31*0.074364,0),"")</f>
        <v/>
      </c>
      <c r="I31" s="22">
        <f>IFERROR(ROUND($G31*0.084149,0),"")</f>
        <v/>
      </c>
      <c r="J31" s="22">
        <f>IFERROR(ROUND($G31*0.084149,0),"")</f>
        <v/>
      </c>
      <c r="K31" s="22">
        <f>IFERROR(ROUND($G31*0.084149,0),"")</f>
        <v/>
      </c>
      <c r="L31" s="22">
        <f>IFERROR(ROUND($G31*0.084149,0),"")</f>
        <v/>
      </c>
      <c r="M31" s="22">
        <f>IFERROR(ROUND($G31*0.084149,0),"")</f>
        <v/>
      </c>
      <c r="N31" s="22">
        <f>IFERROR(ROUND($G31*0.084149,0),"")</f>
        <v/>
      </c>
      <c r="O31" s="22">
        <f>IFERROR(ROUND($G31*0.084149,0),"")</f>
        <v/>
      </c>
      <c r="P31" s="22">
        <f>IFERROR(ROUND($G31*0.084149,0),"")</f>
        <v/>
      </c>
      <c r="Q31" s="22">
        <f>IFERROR(ROUND($G31*0.084149,0),"")</f>
        <v/>
      </c>
      <c r="R31" s="22">
        <f>IFERROR(ROUND($G31*0.084149,0),"")</f>
        <v/>
      </c>
      <c r="S31" s="22">
        <f>IFERROR(ROUND($G31*0.084149,0),"")</f>
        <v/>
      </c>
      <c r="T31" s="29">
        <f>IFERROR(SUM(H31:S31),"")</f>
        <v/>
      </c>
    </row>
    <row r="32" ht="17" customHeight="1">
      <c r="A32" s="12" t="n">
        <v>29</v>
      </c>
      <c r="B32" s="12" t="inlineStr">
        <is>
          <t>케이블</t>
        </is>
      </c>
      <c r="C32" s="12" t="inlineStr">
        <is>
          <t>2.0mm</t>
        </is>
      </c>
      <c r="D32" s="13" t="inlineStr">
        <is>
          <t>Optical cable</t>
        </is>
      </c>
      <c r="E32" s="13" t="inlineStr"/>
      <c r="F32" s="13" t="inlineStr">
        <is>
          <t>m</t>
        </is>
      </c>
      <c r="G32" s="17" t="n"/>
      <c r="H32" s="14">
        <f>IFERROR(ROUND($G32*0.131895,0),"")</f>
        <v/>
      </c>
      <c r="I32" s="14">
        <f>IFERROR(ROUND($G32*0.067929,0),"")</f>
        <v/>
      </c>
      <c r="J32" s="14">
        <f>IFERROR(ROUND($G32*0.178628,0),"")</f>
        <v/>
      </c>
      <c r="K32" s="14">
        <f>IFERROR(ROUND($G32*0.078999,0),"")</f>
        <v/>
      </c>
      <c r="L32" s="14">
        <f>IFERROR(ROUND($G32*0.076609,0),"")</f>
        <v/>
      </c>
      <c r="M32" s="14">
        <f>IFERROR(ROUND($G32*0.039877,0),"")</f>
        <v/>
      </c>
      <c r="N32" s="14">
        <f>IFERROR(ROUND($G32*0.084911,0),"")</f>
        <v/>
      </c>
      <c r="O32" s="14">
        <f>IFERROR(ROUND($G32*0.10856,0),"")</f>
        <v/>
      </c>
      <c r="P32" s="14">
        <f>IFERROR(ROUND($G32*0.035851,0),"")</f>
        <v/>
      </c>
      <c r="Q32" s="14">
        <f>IFERROR(ROUND($G32*0.011321,0),"")</f>
        <v/>
      </c>
      <c r="R32" s="14">
        <f>IFERROR(ROUND($G32*0.075225,0),"")</f>
        <v/>
      </c>
      <c r="S32" s="14">
        <f>IFERROR(ROUND($G32*0.110196,0),"")</f>
        <v/>
      </c>
      <c r="T32" s="28">
        <f>IFERROR(SUM(H32:S32),"")</f>
        <v/>
      </c>
    </row>
    <row r="33" ht="17" customHeight="1">
      <c r="A33" s="20" t="n">
        <v>30</v>
      </c>
      <c r="B33" s="20" t="inlineStr">
        <is>
          <t>케이블</t>
        </is>
      </c>
      <c r="C33" s="20" t="inlineStr">
        <is>
          <t>2.0mm</t>
        </is>
      </c>
      <c r="D33" s="21" t="inlineStr">
        <is>
          <t>PIGTAIL</t>
        </is>
      </c>
      <c r="E33" s="21" t="inlineStr"/>
      <c r="F33" s="21" t="inlineStr">
        <is>
          <t>m</t>
        </is>
      </c>
      <c r="G33" s="17" t="n"/>
      <c r="H33" s="22">
        <f>IFERROR(ROUND($G33*0.552561,0),"")</f>
        <v/>
      </c>
      <c r="I33" s="22">
        <f>IFERROR(ROUND($G33*0.0,0),"")</f>
        <v/>
      </c>
      <c r="J33" s="22">
        <f>IFERROR(ROUND($G33*0.0,0),"")</f>
        <v/>
      </c>
      <c r="K33" s="22">
        <f>IFERROR(ROUND($G33*0.325247,0),"")</f>
        <v/>
      </c>
      <c r="L33" s="22">
        <f>IFERROR(ROUND($G33*0.0,0),"")</f>
        <v/>
      </c>
      <c r="M33" s="22">
        <f>IFERROR(ROUND($G33*0.032345,0),"")</f>
        <v/>
      </c>
      <c r="N33" s="22">
        <f>IFERROR(ROUND($G33*0.0,0),"")</f>
        <v/>
      </c>
      <c r="O33" s="22">
        <f>IFERROR(ROUND($G33*0.0,0),"")</f>
        <v/>
      </c>
      <c r="P33" s="22">
        <f>IFERROR(ROUND($G33*0.0,0),"")</f>
        <v/>
      </c>
      <c r="Q33" s="22">
        <f>IFERROR(ROUND($G33*0.0,0),"")</f>
        <v/>
      </c>
      <c r="R33" s="22">
        <f>IFERROR(ROUND($G33*0.089847,0),"")</f>
        <v/>
      </c>
      <c r="S33" s="22">
        <f>IFERROR(ROUND($G33*0.0,0),"")</f>
        <v/>
      </c>
      <c r="T33" s="29">
        <f>IFERROR(SUM(H33:S33),"")</f>
        <v/>
      </c>
    </row>
    <row r="34" ht="17" customHeight="1">
      <c r="A34" s="12" t="n">
        <v>31</v>
      </c>
      <c r="B34" s="12" t="inlineStr">
        <is>
          <t>케이블</t>
        </is>
      </c>
      <c r="C34" s="12" t="inlineStr">
        <is>
          <t>3.0mm</t>
        </is>
      </c>
      <c r="D34" s="13" t="inlineStr">
        <is>
          <t>B3-DP</t>
        </is>
      </c>
      <c r="E34" s="13" t="inlineStr"/>
      <c r="F34" s="13" t="inlineStr">
        <is>
          <t>m</t>
        </is>
      </c>
      <c r="G34" s="17" t="n"/>
      <c r="H34" s="14">
        <f>IFERROR(ROUND($G34*0.079288,0),"")</f>
        <v/>
      </c>
      <c r="I34" s="14">
        <f>IFERROR(ROUND($G34*0.081285,0),"")</f>
        <v/>
      </c>
      <c r="J34" s="14">
        <f>IFERROR(ROUND($G34*0.092873,0),"")</f>
        <v/>
      </c>
      <c r="K34" s="14">
        <f>IFERROR(ROUND($G34*0.081186,0),"")</f>
        <v/>
      </c>
      <c r="L34" s="14">
        <f>IFERROR(ROUND($G34*0.061152,0),"")</f>
        <v/>
      </c>
      <c r="M34" s="14">
        <f>IFERROR(ROUND($G34*0.074966,0),"")</f>
        <v/>
      </c>
      <c r="N34" s="14">
        <f>IFERROR(ROUND($G34*0.125151,0),"")</f>
        <v/>
      </c>
      <c r="O34" s="14">
        <f>IFERROR(ROUND($G34*0.112482,0),"")</f>
        <v/>
      </c>
      <c r="P34" s="14">
        <f>IFERROR(ROUND($G34*0.072184,0),"")</f>
        <v/>
      </c>
      <c r="Q34" s="14">
        <f>IFERROR(ROUND($G34*0.080663,0),"")</f>
        <v/>
      </c>
      <c r="R34" s="14">
        <f>IFERROR(ROUND($G34*0.064556,0),"")</f>
        <v/>
      </c>
      <c r="S34" s="14">
        <f>IFERROR(ROUND($G34*0.074214,0),"")</f>
        <v/>
      </c>
      <c r="T34" s="28">
        <f>IFERROR(SUM(H34:S34),"")</f>
        <v/>
      </c>
    </row>
    <row r="35" ht="17" customHeight="1">
      <c r="A35" s="20" t="n">
        <v>32</v>
      </c>
      <c r="B35" s="20" t="inlineStr">
        <is>
          <t>케이블</t>
        </is>
      </c>
      <c r="C35" s="20" t="inlineStr">
        <is>
          <t>3.0mm</t>
        </is>
      </c>
      <c r="D35" s="21" t="inlineStr">
        <is>
          <t>B3-SP</t>
        </is>
      </c>
      <c r="E35" s="21" t="inlineStr"/>
      <c r="F35" s="21" t="inlineStr">
        <is>
          <t>m</t>
        </is>
      </c>
      <c r="G35" s="17" t="n"/>
      <c r="H35" s="22">
        <f>IFERROR(ROUND($G35*0.063741,0),"")</f>
        <v/>
      </c>
      <c r="I35" s="22">
        <f>IFERROR(ROUND($G35*0.161767,0),"")</f>
        <v/>
      </c>
      <c r="J35" s="22">
        <f>IFERROR(ROUND($G35*0.084678,0),"")</f>
        <v/>
      </c>
      <c r="K35" s="22">
        <f>IFERROR(ROUND($G35*0.114284,0),"")</f>
        <v/>
      </c>
      <c r="L35" s="22">
        <f>IFERROR(ROUND($G35*0.124933,0),"")</f>
        <v/>
      </c>
      <c r="M35" s="22">
        <f>IFERROR(ROUND($G35*0.028106,0),"")</f>
        <v/>
      </c>
      <c r="N35" s="22">
        <f>IFERROR(ROUND($G35*0.066861,0),"")</f>
        <v/>
      </c>
      <c r="O35" s="22">
        <f>IFERROR(ROUND($G35*0.014308,0),"")</f>
        <v/>
      </c>
      <c r="P35" s="22">
        <f>IFERROR(ROUND($G35*0.184954,0),"")</f>
        <v/>
      </c>
      <c r="Q35" s="22">
        <f>IFERROR(ROUND($G35*0.061641,0),"")</f>
        <v/>
      </c>
      <c r="R35" s="22">
        <f>IFERROR(ROUND($G35*0.056362,0),"")</f>
        <v/>
      </c>
      <c r="S35" s="22">
        <f>IFERROR(ROUND($G35*0.038365,0),"")</f>
        <v/>
      </c>
      <c r="T35" s="29">
        <f>IFERROR(SUM(H35:S35),"")</f>
        <v/>
      </c>
    </row>
    <row r="36" ht="17" customHeight="1">
      <c r="A36" s="12" t="n">
        <v>33</v>
      </c>
      <c r="B36" s="12" t="inlineStr">
        <is>
          <t>케이블</t>
        </is>
      </c>
      <c r="C36" s="12" t="inlineStr">
        <is>
          <t>3.0mm</t>
        </is>
      </c>
      <c r="D36" s="13" t="inlineStr">
        <is>
          <t>DROP</t>
        </is>
      </c>
      <c r="E36" s="13" t="inlineStr"/>
      <c r="F36" s="13" t="inlineStr">
        <is>
          <t>m</t>
        </is>
      </c>
      <c r="G36" s="17" t="n"/>
      <c r="H36" s="14">
        <f>IFERROR(ROUND($G36*0.07426,0),"")</f>
        <v/>
      </c>
      <c r="I36" s="14">
        <f>IFERROR(ROUND($G36*0.105066,0),"")</f>
        <v/>
      </c>
      <c r="J36" s="14">
        <f>IFERROR(ROUND($G36*0.083235,0),"")</f>
        <v/>
      </c>
      <c r="K36" s="14">
        <f>IFERROR(ROUND($G36*0.088605,0),"")</f>
        <v/>
      </c>
      <c r="L36" s="14">
        <f>IFERROR(ROUND($G36*0.088576,0),"")</f>
        <v/>
      </c>
      <c r="M36" s="14">
        <f>IFERROR(ROUND($G36*0.066542,0),"")</f>
        <v/>
      </c>
      <c r="N36" s="14">
        <f>IFERROR(ROUND($G36*0.107099,0),"")</f>
        <v/>
      </c>
      <c r="O36" s="14">
        <f>IFERROR(ROUND($G36*0.155612,0),"")</f>
        <v/>
      </c>
      <c r="P36" s="14">
        <f>IFERROR(ROUND($G36*0.04455,0),"")</f>
        <v/>
      </c>
      <c r="Q36" s="14">
        <f>IFERROR(ROUND($G36*0.045235,0),"")</f>
        <v/>
      </c>
      <c r="R36" s="14">
        <f>IFERROR(ROUND($G36*0.081144,0),"")</f>
        <v/>
      </c>
      <c r="S36" s="14">
        <f>IFERROR(ROUND($G36*0.060075,0),"")</f>
        <v/>
      </c>
      <c r="T36" s="28">
        <f>IFERROR(SUM(H36:S36),"")</f>
        <v/>
      </c>
    </row>
    <row r="37" ht="17" customHeight="1">
      <c r="A37" s="20" t="n">
        <v>34</v>
      </c>
      <c r="B37" s="20" t="inlineStr">
        <is>
          <t>케이블</t>
        </is>
      </c>
      <c r="C37" s="20" t="inlineStr">
        <is>
          <t>0.9mm</t>
        </is>
      </c>
      <c r="D37" s="21" t="inlineStr">
        <is>
          <t>PIGTAIL-MM(OM1)-등</t>
        </is>
      </c>
      <c r="E37" s="21" t="inlineStr"/>
      <c r="F37" s="21" t="inlineStr">
        <is>
          <t>m</t>
        </is>
      </c>
      <c r="G37" s="17" t="n"/>
      <c r="H37" s="22">
        <f>IFERROR(ROUND($G37*0.066038,0),"")</f>
        <v/>
      </c>
      <c r="I37" s="22">
        <f>IFERROR(ROUND($G37*0.084906,0),"")</f>
        <v/>
      </c>
      <c r="J37" s="22">
        <f>IFERROR(ROUND($G37*0.084906,0),"")</f>
        <v/>
      </c>
      <c r="K37" s="22">
        <f>IFERROR(ROUND($G37*0.084906,0),"")</f>
        <v/>
      </c>
      <c r="L37" s="22">
        <f>IFERROR(ROUND($G37*0.084906,0),"")</f>
        <v/>
      </c>
      <c r="M37" s="22">
        <f>IFERROR(ROUND($G37*0.084906,0),"")</f>
        <v/>
      </c>
      <c r="N37" s="22">
        <f>IFERROR(ROUND($G37*0.084906,0),"")</f>
        <v/>
      </c>
      <c r="O37" s="22">
        <f>IFERROR(ROUND($G37*0.084906,0),"")</f>
        <v/>
      </c>
      <c r="P37" s="22">
        <f>IFERROR(ROUND($G37*0.084906,0),"")</f>
        <v/>
      </c>
      <c r="Q37" s="22">
        <f>IFERROR(ROUND($G37*0.084906,0),"")</f>
        <v/>
      </c>
      <c r="R37" s="22">
        <f>IFERROR(ROUND($G37*0.084906,0),"")</f>
        <v/>
      </c>
      <c r="S37" s="22">
        <f>IFERROR(ROUND($G37*0.084906,0),"")</f>
        <v/>
      </c>
      <c r="T37" s="29">
        <f>IFERROR(SUM(H37:S37),"")</f>
        <v/>
      </c>
    </row>
    <row r="38" ht="17" customHeight="1">
      <c r="A38" s="12" t="n">
        <v>35</v>
      </c>
      <c r="B38" s="12" t="inlineStr">
        <is>
          <t>케이블</t>
        </is>
      </c>
      <c r="C38" s="12" t="inlineStr">
        <is>
          <t>0.9mm</t>
        </is>
      </c>
      <c r="D38" s="13" t="inlineStr">
        <is>
          <t>PIGTAIL-MM(OM3)-청록</t>
        </is>
      </c>
      <c r="E38" s="13" t="inlineStr"/>
      <c r="F38" s="13" t="inlineStr">
        <is>
          <t>m</t>
        </is>
      </c>
      <c r="G38" s="17" t="n"/>
      <c r="H38" s="14">
        <f>IFERROR(ROUND($G38*0.083333,0),"")</f>
        <v/>
      </c>
      <c r="I38" s="14">
        <f>IFERROR(ROUND($G38*0.083333,0),"")</f>
        <v/>
      </c>
      <c r="J38" s="14">
        <f>IFERROR(ROUND($G38*0.083333,0),"")</f>
        <v/>
      </c>
      <c r="K38" s="14">
        <f>IFERROR(ROUND($G38*0.083333,0),"")</f>
        <v/>
      </c>
      <c r="L38" s="14">
        <f>IFERROR(ROUND($G38*0.083333,0),"")</f>
        <v/>
      </c>
      <c r="M38" s="14">
        <f>IFERROR(ROUND($G38*0.083333,0),"")</f>
        <v/>
      </c>
      <c r="N38" s="14">
        <f>IFERROR(ROUND($G38*0.083333,0),"")</f>
        <v/>
      </c>
      <c r="O38" s="14">
        <f>IFERROR(ROUND($G38*0.083333,0),"")</f>
        <v/>
      </c>
      <c r="P38" s="14">
        <f>IFERROR(ROUND($G38*0.083333,0),"")</f>
        <v/>
      </c>
      <c r="Q38" s="14">
        <f>IFERROR(ROUND($G38*0.083333,0),"")</f>
        <v/>
      </c>
      <c r="R38" s="14">
        <f>IFERROR(ROUND($G38*0.083333,0),"")</f>
        <v/>
      </c>
      <c r="S38" s="14">
        <f>IFERROR(ROUND($G38*0.083333,0),"")</f>
        <v/>
      </c>
      <c r="T38" s="28">
        <f>IFERROR(SUM(H38:S38),"")</f>
        <v/>
      </c>
    </row>
    <row r="39" ht="17" customHeight="1">
      <c r="A39" s="20" t="n">
        <v>36</v>
      </c>
      <c r="B39" s="20" t="inlineStr">
        <is>
          <t>케이블</t>
        </is>
      </c>
      <c r="C39" s="20" t="inlineStr">
        <is>
          <t>0.9mm</t>
        </is>
      </c>
      <c r="D39" s="21" t="inlineStr">
        <is>
          <t>PIGTAIL-SM-갈</t>
        </is>
      </c>
      <c r="E39" s="21" t="inlineStr"/>
      <c r="F39" s="21" t="inlineStr">
        <is>
          <t>m</t>
        </is>
      </c>
      <c r="G39" s="17" t="n"/>
      <c r="H39" s="22">
        <f>IFERROR(ROUND($G39*0.082548,0),"")</f>
        <v/>
      </c>
      <c r="I39" s="22">
        <f>IFERROR(ROUND($G39*0.083405,0),"")</f>
        <v/>
      </c>
      <c r="J39" s="22">
        <f>IFERROR(ROUND($G39*0.083405,0),"")</f>
        <v/>
      </c>
      <c r="K39" s="22">
        <f>IFERROR(ROUND($G39*0.083405,0),"")</f>
        <v/>
      </c>
      <c r="L39" s="22">
        <f>IFERROR(ROUND($G39*0.083405,0),"")</f>
        <v/>
      </c>
      <c r="M39" s="22">
        <f>IFERROR(ROUND($G39*0.083405,0),"")</f>
        <v/>
      </c>
      <c r="N39" s="22">
        <f>IFERROR(ROUND($G39*0.083405,0),"")</f>
        <v/>
      </c>
      <c r="O39" s="22">
        <f>IFERROR(ROUND($G39*0.083405,0),"")</f>
        <v/>
      </c>
      <c r="P39" s="22">
        <f>IFERROR(ROUND($G39*0.083405,0),"")</f>
        <v/>
      </c>
      <c r="Q39" s="22">
        <f>IFERROR(ROUND($G39*0.083405,0),"")</f>
        <v/>
      </c>
      <c r="R39" s="22">
        <f>IFERROR(ROUND($G39*0.083405,0),"")</f>
        <v/>
      </c>
      <c r="S39" s="22">
        <f>IFERROR(ROUND($G39*0.083405,0),"")</f>
        <v/>
      </c>
      <c r="T39" s="29">
        <f>IFERROR(SUM(H39:S39),"")</f>
        <v/>
      </c>
    </row>
    <row r="40" ht="17" customHeight="1">
      <c r="A40" s="12" t="n">
        <v>37</v>
      </c>
      <c r="B40" s="12" t="inlineStr">
        <is>
          <t>케이블</t>
        </is>
      </c>
      <c r="C40" s="12" t="inlineStr">
        <is>
          <t>0.9mm</t>
        </is>
      </c>
      <c r="D40" s="13" t="inlineStr">
        <is>
          <t>PIGTAIL-SM-녹</t>
        </is>
      </c>
      <c r="E40" s="13" t="inlineStr"/>
      <c r="F40" s="13" t="inlineStr">
        <is>
          <t>m</t>
        </is>
      </c>
      <c r="G40" s="17" t="n"/>
      <c r="H40" s="14">
        <f>IFERROR(ROUND($G40*0.083615,0),"")</f>
        <v/>
      </c>
      <c r="I40" s="14">
        <f>IFERROR(ROUND($G40*0.083308,0),"")</f>
        <v/>
      </c>
      <c r="J40" s="14">
        <f>IFERROR(ROUND($G40*0.083308,0),"")</f>
        <v/>
      </c>
      <c r="K40" s="14">
        <f>IFERROR(ROUND($G40*0.083308,0),"")</f>
        <v/>
      </c>
      <c r="L40" s="14">
        <f>IFERROR(ROUND($G40*0.083308,0),"")</f>
        <v/>
      </c>
      <c r="M40" s="14">
        <f>IFERROR(ROUND($G40*0.083308,0),"")</f>
        <v/>
      </c>
      <c r="N40" s="14">
        <f>IFERROR(ROUND($G40*0.083308,0),"")</f>
        <v/>
      </c>
      <c r="O40" s="14">
        <f>IFERROR(ROUND($G40*0.083308,0),"")</f>
        <v/>
      </c>
      <c r="P40" s="14">
        <f>IFERROR(ROUND($G40*0.083308,0),"")</f>
        <v/>
      </c>
      <c r="Q40" s="14">
        <f>IFERROR(ROUND($G40*0.083308,0),"")</f>
        <v/>
      </c>
      <c r="R40" s="14">
        <f>IFERROR(ROUND($G40*0.083308,0),"")</f>
        <v/>
      </c>
      <c r="S40" s="14">
        <f>IFERROR(ROUND($G40*0.083308,0),"")</f>
        <v/>
      </c>
      <c r="T40" s="28">
        <f>IFERROR(SUM(H40:S40),"")</f>
        <v/>
      </c>
    </row>
    <row r="41" ht="17" customHeight="1">
      <c r="A41" s="20" t="n">
        <v>38</v>
      </c>
      <c r="B41" s="20" t="inlineStr">
        <is>
          <t>케이블</t>
        </is>
      </c>
      <c r="C41" s="20" t="inlineStr">
        <is>
          <t>0.9mm</t>
        </is>
      </c>
      <c r="D41" s="21" t="inlineStr">
        <is>
          <t>PIGTAIL-SM-등</t>
        </is>
      </c>
      <c r="E41" s="21" t="inlineStr"/>
      <c r="F41" s="21" t="inlineStr">
        <is>
          <t>m</t>
        </is>
      </c>
      <c r="G41" s="17" t="n"/>
      <c r="H41" s="22">
        <f>IFERROR(ROUND($G41*0.083615,0),"")</f>
        <v/>
      </c>
      <c r="I41" s="22">
        <f>IFERROR(ROUND($G41*0.083308,0),"")</f>
        <v/>
      </c>
      <c r="J41" s="22">
        <f>IFERROR(ROUND($G41*0.083308,0),"")</f>
        <v/>
      </c>
      <c r="K41" s="22">
        <f>IFERROR(ROUND($G41*0.083308,0),"")</f>
        <v/>
      </c>
      <c r="L41" s="22">
        <f>IFERROR(ROUND($G41*0.083308,0),"")</f>
        <v/>
      </c>
      <c r="M41" s="22">
        <f>IFERROR(ROUND($G41*0.083308,0),"")</f>
        <v/>
      </c>
      <c r="N41" s="22">
        <f>IFERROR(ROUND($G41*0.083308,0),"")</f>
        <v/>
      </c>
      <c r="O41" s="22">
        <f>IFERROR(ROUND($G41*0.083308,0),"")</f>
        <v/>
      </c>
      <c r="P41" s="22">
        <f>IFERROR(ROUND($G41*0.083308,0),"")</f>
        <v/>
      </c>
      <c r="Q41" s="22">
        <f>IFERROR(ROUND($G41*0.083308,0),"")</f>
        <v/>
      </c>
      <c r="R41" s="22">
        <f>IFERROR(ROUND($G41*0.083308,0),"")</f>
        <v/>
      </c>
      <c r="S41" s="22">
        <f>IFERROR(ROUND($G41*0.083308,0),"")</f>
        <v/>
      </c>
      <c r="T41" s="29">
        <f>IFERROR(SUM(H41:S41),"")</f>
        <v/>
      </c>
    </row>
    <row r="42" ht="17" customHeight="1">
      <c r="A42" s="12" t="n">
        <v>39</v>
      </c>
      <c r="B42" s="12" t="inlineStr">
        <is>
          <t>케이블</t>
        </is>
      </c>
      <c r="C42" s="12" t="inlineStr">
        <is>
          <t>0.9mm</t>
        </is>
      </c>
      <c r="D42" s="13" t="inlineStr">
        <is>
          <t>PIGTAIL-SM-백</t>
        </is>
      </c>
      <c r="E42" s="13" t="inlineStr"/>
      <c r="F42" s="13" t="inlineStr">
        <is>
          <t>m</t>
        </is>
      </c>
      <c r="G42" s="17" t="n"/>
      <c r="H42" s="14">
        <f>IFERROR(ROUND($G42*0.084371,0),"")</f>
        <v/>
      </c>
      <c r="I42" s="14">
        <f>IFERROR(ROUND($G42*0.083239,0),"")</f>
        <v/>
      </c>
      <c r="J42" s="14">
        <f>IFERROR(ROUND($G42*0.083239,0),"")</f>
        <v/>
      </c>
      <c r="K42" s="14">
        <f>IFERROR(ROUND($G42*0.083239,0),"")</f>
        <v/>
      </c>
      <c r="L42" s="14">
        <f>IFERROR(ROUND($G42*0.083239,0),"")</f>
        <v/>
      </c>
      <c r="M42" s="14">
        <f>IFERROR(ROUND($G42*0.083239,0),"")</f>
        <v/>
      </c>
      <c r="N42" s="14">
        <f>IFERROR(ROUND($G42*0.083239,0),"")</f>
        <v/>
      </c>
      <c r="O42" s="14">
        <f>IFERROR(ROUND($G42*0.083239,0),"")</f>
        <v/>
      </c>
      <c r="P42" s="14">
        <f>IFERROR(ROUND($G42*0.083239,0),"")</f>
        <v/>
      </c>
      <c r="Q42" s="14">
        <f>IFERROR(ROUND($G42*0.083239,0),"")</f>
        <v/>
      </c>
      <c r="R42" s="14">
        <f>IFERROR(ROUND($G42*0.083239,0),"")</f>
        <v/>
      </c>
      <c r="S42" s="14">
        <f>IFERROR(ROUND($G42*0.083239,0),"")</f>
        <v/>
      </c>
      <c r="T42" s="28">
        <f>IFERROR(SUM(H42:S42),"")</f>
        <v/>
      </c>
    </row>
    <row r="43" ht="17" customHeight="1">
      <c r="A43" s="20" t="n">
        <v>40</v>
      </c>
      <c r="B43" s="20" t="inlineStr">
        <is>
          <t>케이블</t>
        </is>
      </c>
      <c r="C43" s="20" t="inlineStr">
        <is>
          <t>0.9mm</t>
        </is>
      </c>
      <c r="D43" s="21" t="inlineStr">
        <is>
          <t>PIGTAIL-SM-분홍</t>
        </is>
      </c>
      <c r="E43" s="21" t="inlineStr"/>
      <c r="F43" s="21" t="inlineStr">
        <is>
          <t>m</t>
        </is>
      </c>
      <c r="G43" s="17" t="n"/>
      <c r="H43" s="22">
        <f>IFERROR(ROUND($G43*0.084434,0),"")</f>
        <v/>
      </c>
      <c r="I43" s="22">
        <f>IFERROR(ROUND($G43*0.083233,0),"")</f>
        <v/>
      </c>
      <c r="J43" s="22">
        <f>IFERROR(ROUND($G43*0.083233,0),"")</f>
        <v/>
      </c>
      <c r="K43" s="22">
        <f>IFERROR(ROUND($G43*0.083233,0),"")</f>
        <v/>
      </c>
      <c r="L43" s="22">
        <f>IFERROR(ROUND($G43*0.083233,0),"")</f>
        <v/>
      </c>
      <c r="M43" s="22">
        <f>IFERROR(ROUND($G43*0.083233,0),"")</f>
        <v/>
      </c>
      <c r="N43" s="22">
        <f>IFERROR(ROUND($G43*0.083233,0),"")</f>
        <v/>
      </c>
      <c r="O43" s="22">
        <f>IFERROR(ROUND($G43*0.083233,0),"")</f>
        <v/>
      </c>
      <c r="P43" s="22">
        <f>IFERROR(ROUND($G43*0.083233,0),"")</f>
        <v/>
      </c>
      <c r="Q43" s="22">
        <f>IFERROR(ROUND($G43*0.083233,0),"")</f>
        <v/>
      </c>
      <c r="R43" s="22">
        <f>IFERROR(ROUND($G43*0.083233,0),"")</f>
        <v/>
      </c>
      <c r="S43" s="22">
        <f>IFERROR(ROUND($G43*0.083233,0),"")</f>
        <v/>
      </c>
      <c r="T43" s="29">
        <f>IFERROR(SUM(H43:S43),"")</f>
        <v/>
      </c>
    </row>
    <row r="44" ht="17" customHeight="1">
      <c r="A44" s="12" t="n">
        <v>41</v>
      </c>
      <c r="B44" s="12" t="inlineStr">
        <is>
          <t>케이블</t>
        </is>
      </c>
      <c r="C44" s="12" t="inlineStr">
        <is>
          <t>0.9mm</t>
        </is>
      </c>
      <c r="D44" s="13" t="inlineStr">
        <is>
          <t>PIGTAIL-SM-자</t>
        </is>
      </c>
      <c r="E44" s="13" t="inlineStr"/>
      <c r="F44" s="13" t="inlineStr">
        <is>
          <t>m</t>
        </is>
      </c>
      <c r="G44" s="17" t="n"/>
      <c r="H44" s="14">
        <f>IFERROR(ROUND($G44*0.083615,0),"")</f>
        <v/>
      </c>
      <c r="I44" s="14">
        <f>IFERROR(ROUND($G44*0.083308,0),"")</f>
        <v/>
      </c>
      <c r="J44" s="14">
        <f>IFERROR(ROUND($G44*0.083308,0),"")</f>
        <v/>
      </c>
      <c r="K44" s="14">
        <f>IFERROR(ROUND($G44*0.083308,0),"")</f>
        <v/>
      </c>
      <c r="L44" s="14">
        <f>IFERROR(ROUND($G44*0.083308,0),"")</f>
        <v/>
      </c>
      <c r="M44" s="14">
        <f>IFERROR(ROUND($G44*0.083308,0),"")</f>
        <v/>
      </c>
      <c r="N44" s="14">
        <f>IFERROR(ROUND($G44*0.083308,0),"")</f>
        <v/>
      </c>
      <c r="O44" s="14">
        <f>IFERROR(ROUND($G44*0.083308,0),"")</f>
        <v/>
      </c>
      <c r="P44" s="14">
        <f>IFERROR(ROUND($G44*0.083308,0),"")</f>
        <v/>
      </c>
      <c r="Q44" s="14">
        <f>IFERROR(ROUND($G44*0.083308,0),"")</f>
        <v/>
      </c>
      <c r="R44" s="14">
        <f>IFERROR(ROUND($G44*0.083308,0),"")</f>
        <v/>
      </c>
      <c r="S44" s="14">
        <f>IFERROR(ROUND($G44*0.083308,0),"")</f>
        <v/>
      </c>
      <c r="T44" s="28">
        <f>IFERROR(SUM(H44:S44),"")</f>
        <v/>
      </c>
    </row>
    <row r="45" ht="17" customHeight="1">
      <c r="A45" s="20" t="n">
        <v>42</v>
      </c>
      <c r="B45" s="20" t="inlineStr">
        <is>
          <t>케이블</t>
        </is>
      </c>
      <c r="C45" s="20" t="inlineStr">
        <is>
          <t>0.9mm</t>
        </is>
      </c>
      <c r="D45" s="21" t="inlineStr">
        <is>
          <t>PIGTAIL-SM-적</t>
        </is>
      </c>
      <c r="E45" s="21" t="inlineStr"/>
      <c r="F45" s="21" t="inlineStr">
        <is>
          <t>m</t>
        </is>
      </c>
      <c r="G45" s="17" t="n"/>
      <c r="H45" s="22">
        <f>IFERROR(ROUND($G45*0.083615,0),"")</f>
        <v/>
      </c>
      <c r="I45" s="22">
        <f>IFERROR(ROUND($G45*0.083308,0),"")</f>
        <v/>
      </c>
      <c r="J45" s="22">
        <f>IFERROR(ROUND($G45*0.083308,0),"")</f>
        <v/>
      </c>
      <c r="K45" s="22">
        <f>IFERROR(ROUND($G45*0.083308,0),"")</f>
        <v/>
      </c>
      <c r="L45" s="22">
        <f>IFERROR(ROUND($G45*0.083308,0),"")</f>
        <v/>
      </c>
      <c r="M45" s="22">
        <f>IFERROR(ROUND($G45*0.083308,0),"")</f>
        <v/>
      </c>
      <c r="N45" s="22">
        <f>IFERROR(ROUND($G45*0.083308,0),"")</f>
        <v/>
      </c>
      <c r="O45" s="22">
        <f>IFERROR(ROUND($G45*0.083308,0),"")</f>
        <v/>
      </c>
      <c r="P45" s="22">
        <f>IFERROR(ROUND($G45*0.083308,0),"")</f>
        <v/>
      </c>
      <c r="Q45" s="22">
        <f>IFERROR(ROUND($G45*0.083308,0),"")</f>
        <v/>
      </c>
      <c r="R45" s="22">
        <f>IFERROR(ROUND($G45*0.083308,0),"")</f>
        <v/>
      </c>
      <c r="S45" s="22">
        <f>IFERROR(ROUND($G45*0.083308,0),"")</f>
        <v/>
      </c>
      <c r="T45" s="29">
        <f>IFERROR(SUM(H45:S45),"")</f>
        <v/>
      </c>
    </row>
    <row r="46" ht="17" customHeight="1">
      <c r="A46" s="12" t="n">
        <v>43</v>
      </c>
      <c r="B46" s="12" t="inlineStr">
        <is>
          <t>케이블</t>
        </is>
      </c>
      <c r="C46" s="12" t="inlineStr">
        <is>
          <t>0.9mm</t>
        </is>
      </c>
      <c r="D46" s="13" t="inlineStr">
        <is>
          <t>PIGTAIL-SM-청</t>
        </is>
      </c>
      <c r="E46" s="13" t="inlineStr"/>
      <c r="F46" s="13" t="inlineStr">
        <is>
          <t>m</t>
        </is>
      </c>
      <c r="G46" s="17" t="n"/>
      <c r="H46" s="14">
        <f>IFERROR(ROUND($G46*0.083615,0),"")</f>
        <v/>
      </c>
      <c r="I46" s="14">
        <f>IFERROR(ROUND($G46*0.083308,0),"")</f>
        <v/>
      </c>
      <c r="J46" s="14">
        <f>IFERROR(ROUND($G46*0.083308,0),"")</f>
        <v/>
      </c>
      <c r="K46" s="14">
        <f>IFERROR(ROUND($G46*0.083308,0),"")</f>
        <v/>
      </c>
      <c r="L46" s="14">
        <f>IFERROR(ROUND($G46*0.083308,0),"")</f>
        <v/>
      </c>
      <c r="M46" s="14">
        <f>IFERROR(ROUND($G46*0.083308,0),"")</f>
        <v/>
      </c>
      <c r="N46" s="14">
        <f>IFERROR(ROUND($G46*0.083308,0),"")</f>
        <v/>
      </c>
      <c r="O46" s="14">
        <f>IFERROR(ROUND($G46*0.083308,0),"")</f>
        <v/>
      </c>
      <c r="P46" s="14">
        <f>IFERROR(ROUND($G46*0.083308,0),"")</f>
        <v/>
      </c>
      <c r="Q46" s="14">
        <f>IFERROR(ROUND($G46*0.083308,0),"")</f>
        <v/>
      </c>
      <c r="R46" s="14">
        <f>IFERROR(ROUND($G46*0.083308,0),"")</f>
        <v/>
      </c>
      <c r="S46" s="14">
        <f>IFERROR(ROUND($G46*0.083308,0),"")</f>
        <v/>
      </c>
      <c r="T46" s="28">
        <f>IFERROR(SUM(H46:S46),"")</f>
        <v/>
      </c>
    </row>
    <row r="47" ht="17" customHeight="1">
      <c r="A47" s="20" t="n">
        <v>44</v>
      </c>
      <c r="B47" s="20" t="inlineStr">
        <is>
          <t>케이블</t>
        </is>
      </c>
      <c r="C47" s="20" t="inlineStr">
        <is>
          <t>0.9mm</t>
        </is>
      </c>
      <c r="D47" s="21" t="inlineStr">
        <is>
          <t>PIGTAIL-SM-청록</t>
        </is>
      </c>
      <c r="E47" s="21" t="inlineStr"/>
      <c r="F47" s="21" t="inlineStr">
        <is>
          <t>m</t>
        </is>
      </c>
      <c r="G47" s="17" t="n"/>
      <c r="H47" s="22">
        <f>IFERROR(ROUND($G47*0.084434,0),"")</f>
        <v/>
      </c>
      <c r="I47" s="22">
        <f>IFERROR(ROUND($G47*0.083233,0),"")</f>
        <v/>
      </c>
      <c r="J47" s="22">
        <f>IFERROR(ROUND($G47*0.083233,0),"")</f>
        <v/>
      </c>
      <c r="K47" s="22">
        <f>IFERROR(ROUND($G47*0.083233,0),"")</f>
        <v/>
      </c>
      <c r="L47" s="22">
        <f>IFERROR(ROUND($G47*0.083233,0),"")</f>
        <v/>
      </c>
      <c r="M47" s="22">
        <f>IFERROR(ROUND($G47*0.083233,0),"")</f>
        <v/>
      </c>
      <c r="N47" s="22">
        <f>IFERROR(ROUND($G47*0.083233,0),"")</f>
        <v/>
      </c>
      <c r="O47" s="22">
        <f>IFERROR(ROUND($G47*0.083233,0),"")</f>
        <v/>
      </c>
      <c r="P47" s="22">
        <f>IFERROR(ROUND($G47*0.083233,0),"")</f>
        <v/>
      </c>
      <c r="Q47" s="22">
        <f>IFERROR(ROUND($G47*0.083233,0),"")</f>
        <v/>
      </c>
      <c r="R47" s="22">
        <f>IFERROR(ROUND($G47*0.083233,0),"")</f>
        <v/>
      </c>
      <c r="S47" s="22">
        <f>IFERROR(ROUND($G47*0.083233,0),"")</f>
        <v/>
      </c>
      <c r="T47" s="29">
        <f>IFERROR(SUM(H47:S47),"")</f>
        <v/>
      </c>
    </row>
    <row r="48" ht="17" customHeight="1">
      <c r="A48" s="12" t="n">
        <v>45</v>
      </c>
      <c r="B48" s="12" t="inlineStr">
        <is>
          <t>케이블</t>
        </is>
      </c>
      <c r="C48" s="12" t="inlineStr">
        <is>
          <t>0.9mm</t>
        </is>
      </c>
      <c r="D48" s="13" t="inlineStr">
        <is>
          <t>PIGTAIL-SM-황</t>
        </is>
      </c>
      <c r="E48" s="13" t="inlineStr"/>
      <c r="F48" s="13" t="inlineStr">
        <is>
          <t>m</t>
        </is>
      </c>
      <c r="G48" s="17" t="n"/>
      <c r="H48" s="14">
        <f>IFERROR(ROUND($G48*0.083051,0),"")</f>
        <v/>
      </c>
      <c r="I48" s="14">
        <f>IFERROR(ROUND($G48*0.083359,0),"")</f>
        <v/>
      </c>
      <c r="J48" s="14">
        <f>IFERROR(ROUND($G48*0.083359,0),"")</f>
        <v/>
      </c>
      <c r="K48" s="14">
        <f>IFERROR(ROUND($G48*0.083359,0),"")</f>
        <v/>
      </c>
      <c r="L48" s="14">
        <f>IFERROR(ROUND($G48*0.083359,0),"")</f>
        <v/>
      </c>
      <c r="M48" s="14">
        <f>IFERROR(ROUND($G48*0.083359,0),"")</f>
        <v/>
      </c>
      <c r="N48" s="14">
        <f>IFERROR(ROUND($G48*0.083359,0),"")</f>
        <v/>
      </c>
      <c r="O48" s="14">
        <f>IFERROR(ROUND($G48*0.083359,0),"")</f>
        <v/>
      </c>
      <c r="P48" s="14">
        <f>IFERROR(ROUND($G48*0.083359,0),"")</f>
        <v/>
      </c>
      <c r="Q48" s="14">
        <f>IFERROR(ROUND($G48*0.083359,0),"")</f>
        <v/>
      </c>
      <c r="R48" s="14">
        <f>IFERROR(ROUND($G48*0.083359,0),"")</f>
        <v/>
      </c>
      <c r="S48" s="14">
        <f>IFERROR(ROUND($G48*0.083359,0),"")</f>
        <v/>
      </c>
      <c r="T48" s="28">
        <f>IFERROR(SUM(H48:S48),"")</f>
        <v/>
      </c>
    </row>
    <row r="49" ht="17" customHeight="1">
      <c r="A49" s="20" t="n">
        <v>46</v>
      </c>
      <c r="B49" s="20" t="inlineStr">
        <is>
          <t>케이블</t>
        </is>
      </c>
      <c r="C49" s="20" t="inlineStr">
        <is>
          <t>0.9mm</t>
        </is>
      </c>
      <c r="D49" s="21" t="inlineStr">
        <is>
          <t>PIGTAIL-SM-회</t>
        </is>
      </c>
      <c r="E49" s="21" t="inlineStr"/>
      <c r="F49" s="21" t="inlineStr">
        <is>
          <t>m</t>
        </is>
      </c>
      <c r="G49" s="17" t="n"/>
      <c r="H49" s="22">
        <f>IFERROR(ROUND($G49*0.084434,0),"")</f>
        <v/>
      </c>
      <c r="I49" s="22">
        <f>IFERROR(ROUND($G49*0.083233,0),"")</f>
        <v/>
      </c>
      <c r="J49" s="22">
        <f>IFERROR(ROUND($G49*0.083233,0),"")</f>
        <v/>
      </c>
      <c r="K49" s="22">
        <f>IFERROR(ROUND($G49*0.083233,0),"")</f>
        <v/>
      </c>
      <c r="L49" s="22">
        <f>IFERROR(ROUND($G49*0.083233,0),"")</f>
        <v/>
      </c>
      <c r="M49" s="22">
        <f>IFERROR(ROUND($G49*0.083233,0),"")</f>
        <v/>
      </c>
      <c r="N49" s="22">
        <f>IFERROR(ROUND($G49*0.083233,0),"")</f>
        <v/>
      </c>
      <c r="O49" s="22">
        <f>IFERROR(ROUND($G49*0.083233,0),"")</f>
        <v/>
      </c>
      <c r="P49" s="22">
        <f>IFERROR(ROUND($G49*0.083233,0),"")</f>
        <v/>
      </c>
      <c r="Q49" s="22">
        <f>IFERROR(ROUND($G49*0.083233,0),"")</f>
        <v/>
      </c>
      <c r="R49" s="22">
        <f>IFERROR(ROUND($G49*0.083233,0),"")</f>
        <v/>
      </c>
      <c r="S49" s="22">
        <f>IFERROR(ROUND($G49*0.083233,0),"")</f>
        <v/>
      </c>
      <c r="T49" s="29">
        <f>IFERROR(SUM(H49:S49),"")</f>
        <v/>
      </c>
    </row>
    <row r="50" ht="17" customHeight="1">
      <c r="A50" s="12" t="n">
        <v>47</v>
      </c>
      <c r="B50" s="12" t="inlineStr">
        <is>
          <t>케이블</t>
        </is>
      </c>
      <c r="C50" s="12" t="inlineStr">
        <is>
          <t>0.9mm</t>
        </is>
      </c>
      <c r="D50" s="13" t="inlineStr">
        <is>
          <t>PIGTAIL-SM-흑</t>
        </is>
      </c>
      <c r="E50" s="13" t="inlineStr"/>
      <c r="F50" s="13" t="inlineStr">
        <is>
          <t>m</t>
        </is>
      </c>
      <c r="G50" s="17" t="n"/>
      <c r="H50" s="14">
        <f>IFERROR(ROUND($G50*0.082548,0),"")</f>
        <v/>
      </c>
      <c r="I50" s="14">
        <f>IFERROR(ROUND($G50*0.083405,0),"")</f>
        <v/>
      </c>
      <c r="J50" s="14">
        <f>IFERROR(ROUND($G50*0.083405,0),"")</f>
        <v/>
      </c>
      <c r="K50" s="14">
        <f>IFERROR(ROUND($G50*0.083405,0),"")</f>
        <v/>
      </c>
      <c r="L50" s="14">
        <f>IFERROR(ROUND($G50*0.083405,0),"")</f>
        <v/>
      </c>
      <c r="M50" s="14">
        <f>IFERROR(ROUND($G50*0.083405,0),"")</f>
        <v/>
      </c>
      <c r="N50" s="14">
        <f>IFERROR(ROUND($G50*0.083405,0),"")</f>
        <v/>
      </c>
      <c r="O50" s="14">
        <f>IFERROR(ROUND($G50*0.083405,0),"")</f>
        <v/>
      </c>
      <c r="P50" s="14">
        <f>IFERROR(ROUND($G50*0.083405,0),"")</f>
        <v/>
      </c>
      <c r="Q50" s="14">
        <f>IFERROR(ROUND($G50*0.083405,0),"")</f>
        <v/>
      </c>
      <c r="R50" s="14">
        <f>IFERROR(ROUND($G50*0.083405,0),"")</f>
        <v/>
      </c>
      <c r="S50" s="14">
        <f>IFERROR(ROUND($G50*0.083405,0),"")</f>
        <v/>
      </c>
      <c r="T50" s="28">
        <f>IFERROR(SUM(H50:S50),"")</f>
        <v/>
      </c>
    </row>
    <row r="51" ht="17" customHeight="1">
      <c r="A51" s="20" t="n">
        <v>48</v>
      </c>
      <c r="B51" s="20" t="inlineStr">
        <is>
          <t>하우징</t>
        </is>
      </c>
      <c r="C51" s="20" t="inlineStr">
        <is>
          <t>2.0mm</t>
        </is>
      </c>
      <c r="D51" s="21" t="inlineStr">
        <is>
          <t>FC/APC 녹색</t>
        </is>
      </c>
      <c r="E51" s="21" t="inlineStr"/>
      <c r="F51" s="21" t="inlineStr">
        <is>
          <t>EA</t>
        </is>
      </c>
      <c r="G51" s="17" t="n"/>
      <c r="H51" s="22">
        <f>IFERROR(ROUND($G51*0.062719,0),"")</f>
        <v/>
      </c>
      <c r="I51" s="22">
        <f>IFERROR(ROUND($G51*0.047476,0),"")</f>
        <v/>
      </c>
      <c r="J51" s="22">
        <f>IFERROR(ROUND($G51*0.168166,0),"")</f>
        <v/>
      </c>
      <c r="K51" s="22">
        <f>IFERROR(ROUND($G51*0.090205,0),"")</f>
        <v/>
      </c>
      <c r="L51" s="22">
        <f>IFERROR(ROUND($G51*0.094453,0),"")</f>
        <v/>
      </c>
      <c r="M51" s="22">
        <f>IFERROR(ROUND($G51*0.175162,0),"")</f>
        <v/>
      </c>
      <c r="N51" s="22">
        <f>IFERROR(ROUND($G51*0.049725,0),"")</f>
        <v/>
      </c>
      <c r="O51" s="22">
        <f>IFERROR(ROUND($G51*0.052224,0),"")</f>
        <v/>
      </c>
      <c r="P51" s="22">
        <f>IFERROR(ROUND($G51*0.041979,0),"")</f>
        <v/>
      </c>
      <c r="Q51" s="22">
        <f>IFERROR(ROUND($G51*0.107196,0),"")</f>
        <v/>
      </c>
      <c r="R51" s="22">
        <f>IFERROR(ROUND($G51*0.053473,0),"")</f>
        <v/>
      </c>
      <c r="S51" s="22">
        <f>IFERROR(ROUND($G51*0.057221,0),"")</f>
        <v/>
      </c>
      <c r="T51" s="29">
        <f>IFERROR(SUM(H51:S51),"")</f>
        <v/>
      </c>
    </row>
    <row r="52" ht="17" customHeight="1">
      <c r="A52" s="12" t="n">
        <v>49</v>
      </c>
      <c r="B52" s="12" t="inlineStr">
        <is>
          <t>하우징</t>
        </is>
      </c>
      <c r="C52" s="12" t="inlineStr">
        <is>
          <t>2.0mm</t>
        </is>
      </c>
      <c r="D52" s="13" t="inlineStr">
        <is>
          <t>FC/APC 적색</t>
        </is>
      </c>
      <c r="E52" s="13" t="inlineStr"/>
      <c r="F52" s="13" t="inlineStr">
        <is>
          <t>EA</t>
        </is>
      </c>
      <c r="G52" s="17" t="n"/>
      <c r="H52" s="14">
        <f>IFERROR(ROUND($G52*0.041339,0),"")</f>
        <v/>
      </c>
      <c r="I52" s="14">
        <f>IFERROR(ROUND($G52*0.165354,0),"")</f>
        <v/>
      </c>
      <c r="J52" s="14">
        <f>IFERROR(ROUND($G52*0.139764,0),"")</f>
        <v/>
      </c>
      <c r="K52" s="14">
        <f>IFERROR(ROUND($G52*0.113189,0),"")</f>
        <v/>
      </c>
      <c r="L52" s="14">
        <f>IFERROR(ROUND($G52*0.069488,0),"")</f>
        <v/>
      </c>
      <c r="M52" s="14">
        <f>IFERROR(ROUND($G52*0.103346,0),"")</f>
        <v/>
      </c>
      <c r="N52" s="14">
        <f>IFERROR(ROUND($G52*0.070669,0),"")</f>
        <v/>
      </c>
      <c r="O52" s="14">
        <f>IFERROR(ROUND($G52*0.054724,0),"")</f>
        <v/>
      </c>
      <c r="P52" s="14">
        <f>IFERROR(ROUND($G52*0.035039,0),"")</f>
        <v/>
      </c>
      <c r="Q52" s="14">
        <f>IFERROR(ROUND($G52*0.074803,0),"")</f>
        <v/>
      </c>
      <c r="R52" s="14">
        <f>IFERROR(ROUND($G52*0.099213,0),"")</f>
        <v/>
      </c>
      <c r="S52" s="14">
        <f>IFERROR(ROUND($G52*0.033071,0),"")</f>
        <v/>
      </c>
      <c r="T52" s="28">
        <f>IFERROR(SUM(H52:S52),"")</f>
        <v/>
      </c>
    </row>
    <row r="53" ht="17" customHeight="1">
      <c r="A53" s="20" t="n">
        <v>50</v>
      </c>
      <c r="B53" s="20" t="inlineStr">
        <is>
          <t>하우징</t>
        </is>
      </c>
      <c r="C53" s="20" t="inlineStr">
        <is>
          <t>2.0mm</t>
        </is>
      </c>
      <c r="D53" s="21" t="inlineStr">
        <is>
          <t>FC/PC 적색</t>
        </is>
      </c>
      <c r="E53" s="21" t="inlineStr"/>
      <c r="F53" s="21" t="inlineStr">
        <is>
          <t>EA</t>
        </is>
      </c>
      <c r="G53" s="17" t="n"/>
      <c r="H53" s="22">
        <f>IFERROR(ROUND($G53*0.020899,0),"")</f>
        <v/>
      </c>
      <c r="I53" s="22">
        <f>IFERROR(ROUND($G53*0.171772,0),"")</f>
        <v/>
      </c>
      <c r="J53" s="22">
        <f>IFERROR(ROUND($G53*0.158317,0),"")</f>
        <v/>
      </c>
      <c r="K53" s="22">
        <f>IFERROR(ROUND($G53*0.054395,0),"")</f>
        <v/>
      </c>
      <c r="L53" s="22">
        <f>IFERROR(ROUND($G53*0.043229,0),"")</f>
        <v/>
      </c>
      <c r="M53" s="22">
        <f>IFERROR(ROUND($G53*0.088749,0),"")</f>
        <v/>
      </c>
      <c r="N53" s="22">
        <f>IFERROR(ROUND($G53*0.103636,0),"")</f>
        <v/>
      </c>
      <c r="O53" s="22">
        <f>IFERROR(ROUND($G53*0.068995,0),"")</f>
        <v/>
      </c>
      <c r="P53" s="22">
        <f>IFERROR(ROUND($G53*0.081019,0),"")</f>
        <v/>
      </c>
      <c r="Q53" s="22">
        <f>IFERROR(ROUND($G53*0.062411,0),"")</f>
        <v/>
      </c>
      <c r="R53" s="22">
        <f>IFERROR(ROUND($G53*0.128257,0),"")</f>
        <v/>
      </c>
      <c r="S53" s="22">
        <f>IFERROR(ROUND($G53*0.018322,0),"")</f>
        <v/>
      </c>
      <c r="T53" s="29">
        <f>IFERROR(SUM(H53:S53),"")</f>
        <v/>
      </c>
    </row>
    <row r="54" ht="17" customHeight="1">
      <c r="A54" s="12" t="n">
        <v>51</v>
      </c>
      <c r="B54" s="12" t="inlineStr">
        <is>
          <t>하우징</t>
        </is>
      </c>
      <c r="C54" s="12" t="inlineStr">
        <is>
          <t>2.0mm</t>
        </is>
      </c>
      <c r="D54" s="13" t="inlineStr">
        <is>
          <t>FC/PC 흑색</t>
        </is>
      </c>
      <c r="E54" s="13" t="inlineStr"/>
      <c r="F54" s="13" t="inlineStr">
        <is>
          <t>EA</t>
        </is>
      </c>
      <c r="G54" s="17" t="n"/>
      <c r="H54" s="14">
        <f>IFERROR(ROUND($G54*0.050806,0),"")</f>
        <v/>
      </c>
      <c r="I54" s="14">
        <f>IFERROR(ROUND($G54*0.031944,0),"")</f>
        <v/>
      </c>
      <c r="J54" s="14">
        <f>IFERROR(ROUND($G54*0.064497,0),"")</f>
        <v/>
      </c>
      <c r="K54" s="14">
        <f>IFERROR(ROUND($G54*0.052023,0),"")</f>
        <v/>
      </c>
      <c r="L54" s="14">
        <f>IFERROR(ROUND($G54*0.117432,0),"")</f>
        <v/>
      </c>
      <c r="M54" s="14">
        <f>IFERROR(ROUND($G54*0.050198,0),"")</f>
        <v/>
      </c>
      <c r="N54" s="14">
        <f>IFERROR(ROUND($G54*0.185275,0),"")</f>
        <v/>
      </c>
      <c r="O54" s="14">
        <f>IFERROR(ROUND($G54*0.117128,0),"")</f>
        <v/>
      </c>
      <c r="P54" s="14">
        <f>IFERROR(ROUND($G54*0.076361,0),"")</f>
        <v/>
      </c>
      <c r="Q54" s="14">
        <f>IFERROR(ROUND($G54*0.068451,0),"")</f>
        <v/>
      </c>
      <c r="R54" s="14">
        <f>IFERROR(ROUND($G54*0.097049,0),"")</f>
        <v/>
      </c>
      <c r="S54" s="14">
        <f>IFERROR(ROUND($G54*0.088835,0),"")</f>
        <v/>
      </c>
      <c r="T54" s="28">
        <f>IFERROR(SUM(H54:S54),"")</f>
        <v/>
      </c>
    </row>
    <row r="55" ht="17" customHeight="1">
      <c r="A55" s="20" t="n">
        <v>52</v>
      </c>
      <c r="B55" s="20" t="inlineStr">
        <is>
          <t>하우징</t>
        </is>
      </c>
      <c r="C55" s="20" t="inlineStr">
        <is>
          <t>2.0mm</t>
        </is>
      </c>
      <c r="D55" s="21" t="inlineStr">
        <is>
          <t>LC/APC 녹색</t>
        </is>
      </c>
      <c r="E55" s="21" t="inlineStr"/>
      <c r="F55" s="21" t="inlineStr">
        <is>
          <t>EA</t>
        </is>
      </c>
      <c r="G55" s="17" t="n"/>
      <c r="H55" s="22">
        <f>IFERROR(ROUND($G55*0.072837,0),"")</f>
        <v/>
      </c>
      <c r="I55" s="22">
        <f>IFERROR(ROUND($G55*0.030308,0),"")</f>
        <v/>
      </c>
      <c r="J55" s="22">
        <f>IFERROR(ROUND($G55*0.161968,0),"")</f>
        <v/>
      </c>
      <c r="K55" s="22">
        <f>IFERROR(ROUND($G55*0.129705,0),"")</f>
        <v/>
      </c>
      <c r="L55" s="22">
        <f>IFERROR(ROUND($G55*0.186247,0),"")</f>
        <v/>
      </c>
      <c r="M55" s="22">
        <f>IFERROR(ROUND($G55*0.117158,0),"")</f>
        <v/>
      </c>
      <c r="N55" s="22">
        <f>IFERROR(ROUND($G55*0.152029,0),"")</f>
        <v/>
      </c>
      <c r="O55" s="22">
        <f>IFERROR(ROUND($G55*0.052306,0),"")</f>
        <v/>
      </c>
      <c r="P55" s="22">
        <f>IFERROR(ROUND($G55*0.044647,0),"")</f>
        <v/>
      </c>
      <c r="Q55" s="22">
        <f>IFERROR(ROUND($G55*0.018902,0),"")</f>
        <v/>
      </c>
      <c r="R55" s="22">
        <f>IFERROR(ROUND($G55*0.0,0),"")</f>
        <v/>
      </c>
      <c r="S55" s="22">
        <f>IFERROR(ROUND($G55*0.033893,0),"")</f>
        <v/>
      </c>
      <c r="T55" s="29">
        <f>IFERROR(SUM(H55:S55),"")</f>
        <v/>
      </c>
    </row>
    <row r="56" ht="17" customHeight="1">
      <c r="A56" s="12" t="n">
        <v>53</v>
      </c>
      <c r="B56" s="12" t="inlineStr">
        <is>
          <t>하우징</t>
        </is>
      </c>
      <c r="C56" s="12" t="inlineStr">
        <is>
          <t>2.0mm</t>
        </is>
      </c>
      <c r="D56" s="13" t="inlineStr">
        <is>
          <t>LC/APC 적색</t>
        </is>
      </c>
      <c r="E56" s="13" t="inlineStr"/>
      <c r="F56" s="13" t="inlineStr">
        <is>
          <t>EA</t>
        </is>
      </c>
      <c r="G56" s="17" t="n"/>
      <c r="H56" s="14">
        <f>IFERROR(ROUND($G56*0.030502,0),"")</f>
        <v/>
      </c>
      <c r="I56" s="14">
        <f>IFERROR(ROUND($G56*0.033318,0),"")</f>
        <v/>
      </c>
      <c r="J56" s="14">
        <f>IFERROR(ROUND($G56*0.240263,0),"")</f>
        <v/>
      </c>
      <c r="K56" s="14">
        <f>IFERROR(ROUND($G56*0.03801,0),"")</f>
        <v/>
      </c>
      <c r="L56" s="14">
        <f>IFERROR(ROUND($G56*0.198968,0),"")</f>
        <v/>
      </c>
      <c r="M56" s="14">
        <f>IFERROR(ROUND($G56*0.106523,0),"")</f>
        <v/>
      </c>
      <c r="N56" s="14">
        <f>IFERROR(ROUND($G56*0.163773,0),"")</f>
        <v/>
      </c>
      <c r="O56" s="14">
        <f>IFERROR(ROUND($G56*0.061004,0),"")</f>
        <v/>
      </c>
      <c r="P56" s="14">
        <f>IFERROR(ROUND($G56*0.115908,0),"")</f>
        <v/>
      </c>
      <c r="Q56" s="14">
        <f>IFERROR(ROUND($G56*0.011732,0),"")</f>
        <v/>
      </c>
      <c r="R56" s="14">
        <f>IFERROR(ROUND($G56*0.0,0),"")</f>
        <v/>
      </c>
      <c r="S56" s="14">
        <f>IFERROR(ROUND($G56*0.0,0),"")</f>
        <v/>
      </c>
      <c r="T56" s="28">
        <f>IFERROR(SUM(H56:S56),"")</f>
        <v/>
      </c>
    </row>
    <row r="57" ht="17" customHeight="1">
      <c r="A57" s="20" t="n">
        <v>54</v>
      </c>
      <c r="B57" s="20" t="inlineStr">
        <is>
          <t>하우징</t>
        </is>
      </c>
      <c r="C57" s="20" t="inlineStr">
        <is>
          <t>2.0mm</t>
        </is>
      </c>
      <c r="D57" s="21" t="inlineStr">
        <is>
          <t>LC/PC 베이지MM</t>
        </is>
      </c>
      <c r="E57" s="21" t="inlineStr"/>
      <c r="F57" s="21" t="inlineStr">
        <is>
          <t>EA</t>
        </is>
      </c>
      <c r="G57" s="17" t="n"/>
      <c r="H57" s="22">
        <f>IFERROR(ROUND($G57*0.117149,0),"")</f>
        <v/>
      </c>
      <c r="I57" s="22">
        <f>IFERROR(ROUND($G57*0.05042,0),"")</f>
        <v/>
      </c>
      <c r="J57" s="22">
        <f>IFERROR(ROUND($G57*0.053945,0),"")</f>
        <v/>
      </c>
      <c r="K57" s="22">
        <f>IFERROR(ROUND($G57*0.040379,0),"")</f>
        <v/>
      </c>
      <c r="L57" s="22">
        <f>IFERROR(ROUND($G57*0.052521,0),"")</f>
        <v/>
      </c>
      <c r="M57" s="22">
        <f>IFERROR(ROUND($G57*0.094573,0),"")</f>
        <v/>
      </c>
      <c r="N57" s="22">
        <f>IFERROR(ROUND($G57*0.085315,0),"")</f>
        <v/>
      </c>
      <c r="O57" s="22">
        <f>IFERROR(ROUND($G57*0.1143,0),"")</f>
        <v/>
      </c>
      <c r="P57" s="22">
        <f>IFERROR(ROUND($G57*0.069078,0),"")</f>
        <v/>
      </c>
      <c r="Q57" s="22">
        <f>IFERROR(ROUND($G57*0.18345,0),"")</f>
        <v/>
      </c>
      <c r="R57" s="22">
        <f>IFERROR(ROUND($G57*0.090372,0),"")</f>
        <v/>
      </c>
      <c r="S57" s="22">
        <f>IFERROR(ROUND($G57*0.048497,0),"")</f>
        <v/>
      </c>
      <c r="T57" s="29">
        <f>IFERROR(SUM(H57:S57),"")</f>
        <v/>
      </c>
    </row>
    <row r="58" ht="17" customHeight="1">
      <c r="A58" s="12" t="n">
        <v>55</v>
      </c>
      <c r="B58" s="12" t="inlineStr">
        <is>
          <t>하우징</t>
        </is>
      </c>
      <c r="C58" s="12" t="inlineStr">
        <is>
          <t>2.0mm</t>
        </is>
      </c>
      <c r="D58" s="13" t="inlineStr">
        <is>
          <t>LC/PC 적색</t>
        </is>
      </c>
      <c r="E58" s="13" t="inlineStr"/>
      <c r="F58" s="13" t="inlineStr">
        <is>
          <t>EA</t>
        </is>
      </c>
      <c r="G58" s="17" t="n"/>
      <c r="H58" s="14">
        <f>IFERROR(ROUND($G58*0.112245,0),"")</f>
        <v/>
      </c>
      <c r="I58" s="14">
        <f>IFERROR(ROUND($G58*0.062922,0),"")</f>
        <v/>
      </c>
      <c r="J58" s="14">
        <f>IFERROR(ROUND($G58*0.102073,0),"")</f>
        <v/>
      </c>
      <c r="K58" s="14">
        <f>IFERROR(ROUND($G58*0.080498,0),"")</f>
        <v/>
      </c>
      <c r="L58" s="14">
        <f>IFERROR(ROUND($G58*0.0959,0),"")</f>
        <v/>
      </c>
      <c r="M58" s="14">
        <f>IFERROR(ROUND($G58*0.080137,0),"")</f>
        <v/>
      </c>
      <c r="N58" s="14">
        <f>IFERROR(ROUND($G58*0.080288,0),"")</f>
        <v/>
      </c>
      <c r="O58" s="14">
        <f>IFERROR(ROUND($G58*0.056749,0),"")</f>
        <v/>
      </c>
      <c r="P58" s="14">
        <f>IFERROR(ROUND($G58*0.069666,0),"")</f>
        <v/>
      </c>
      <c r="Q58" s="14">
        <f>IFERROR(ROUND($G58*0.082953,0),"")</f>
        <v/>
      </c>
      <c r="R58" s="14">
        <f>IFERROR(ROUND($G58*0.09109,0),"")</f>
        <v/>
      </c>
      <c r="S58" s="14">
        <f>IFERROR(ROUND($G58*0.085479,0),"")</f>
        <v/>
      </c>
      <c r="T58" s="28">
        <f>IFERROR(SUM(H58:S58),"")</f>
        <v/>
      </c>
    </row>
    <row r="59" ht="17" customHeight="1">
      <c r="A59" s="20" t="n">
        <v>56</v>
      </c>
      <c r="B59" s="20" t="inlineStr">
        <is>
          <t>하우징</t>
        </is>
      </c>
      <c r="C59" s="20" t="inlineStr">
        <is>
          <t>2.0mm</t>
        </is>
      </c>
      <c r="D59" s="21" t="inlineStr">
        <is>
          <t>LC/PC 청색</t>
        </is>
      </c>
      <c r="E59" s="21" t="inlineStr"/>
      <c r="F59" s="21" t="inlineStr">
        <is>
          <t>EA</t>
        </is>
      </c>
      <c r="G59" s="17" t="n"/>
      <c r="H59" s="22">
        <f>IFERROR(ROUND($G59*0.106059,0),"")</f>
        <v/>
      </c>
      <c r="I59" s="22">
        <f>IFERROR(ROUND($G59*0.057789,0),"")</f>
        <v/>
      </c>
      <c r="J59" s="22">
        <f>IFERROR(ROUND($G59*0.094149,0),"")</f>
        <v/>
      </c>
      <c r="K59" s="22">
        <f>IFERROR(ROUND($G59*0.096648,0),"")</f>
        <v/>
      </c>
      <c r="L59" s="22">
        <f>IFERROR(ROUND($G59*0.081619,0),"")</f>
        <v/>
      </c>
      <c r="M59" s="22">
        <f>IFERROR(ROUND($G59*0.080726,0),"")</f>
        <v/>
      </c>
      <c r="N59" s="22">
        <f>IFERROR(ROUND($G59*0.082741,0),"")</f>
        <v/>
      </c>
      <c r="O59" s="22">
        <f>IFERROR(ROUND($G59*0.061708,0),"")</f>
        <v/>
      </c>
      <c r="P59" s="22">
        <f>IFERROR(ROUND($G59*0.074883,0),"")</f>
        <v/>
      </c>
      <c r="Q59" s="22">
        <f>IFERROR(ROUND($G59*0.082771,0),"")</f>
        <v/>
      </c>
      <c r="R59" s="22">
        <f>IFERROR(ROUND($G59*0.105337,0),"")</f>
        <v/>
      </c>
      <c r="S59" s="22">
        <f>IFERROR(ROUND($G59*0.075571,0),"")</f>
        <v/>
      </c>
      <c r="T59" s="29">
        <f>IFERROR(SUM(H59:S59),"")</f>
        <v/>
      </c>
    </row>
    <row r="60" ht="17" customHeight="1">
      <c r="A60" s="12" t="n">
        <v>57</v>
      </c>
      <c r="B60" s="12" t="inlineStr">
        <is>
          <t>하우징</t>
        </is>
      </c>
      <c r="C60" s="12" t="inlineStr">
        <is>
          <t>2.0mm</t>
        </is>
      </c>
      <c r="D60" s="13" t="inlineStr">
        <is>
          <t>SC/APC 녹색</t>
        </is>
      </c>
      <c r="E60" s="13" t="inlineStr"/>
      <c r="F60" s="13" t="inlineStr">
        <is>
          <t>EA</t>
        </is>
      </c>
      <c r="G60" s="17" t="n"/>
      <c r="H60" s="14">
        <f>IFERROR(ROUND($G60*0.05053,0),"")</f>
        <v/>
      </c>
      <c r="I60" s="14">
        <f>IFERROR(ROUND($G60*0.059764,0),"")</f>
        <v/>
      </c>
      <c r="J60" s="14">
        <f>IFERROR(ROUND($G60*0.07806,0),"")</f>
        <v/>
      </c>
      <c r="K60" s="14">
        <f>IFERROR(ROUND($G60*0.054685,0),"")</f>
        <v/>
      </c>
      <c r="L60" s="14">
        <f>IFERROR(ROUND($G60*0.098895,0),"")</f>
        <v/>
      </c>
      <c r="M60" s="14">
        <f>IFERROR(ROUND($G60*0.164863,0),"")</f>
        <v/>
      </c>
      <c r="N60" s="14">
        <f>IFERROR(ROUND($G60*0.063631,0),"")</f>
        <v/>
      </c>
      <c r="O60" s="14">
        <f>IFERROR(ROUND($G60*0.041786,0),"")</f>
        <v/>
      </c>
      <c r="P60" s="14">
        <f>IFERROR(ROUND($G60*0.126829,0),"")</f>
        <v/>
      </c>
      <c r="Q60" s="14">
        <f>IFERROR(ROUND($G60*0.122154,0),"")</f>
        <v/>
      </c>
      <c r="R60" s="14">
        <f>IFERROR(ROUND($G60*0.033302,0),"")</f>
        <v/>
      </c>
      <c r="S60" s="14">
        <f>IFERROR(ROUND($G60*0.105503,0),"")</f>
        <v/>
      </c>
      <c r="T60" s="28">
        <f>IFERROR(SUM(H60:S60),"")</f>
        <v/>
      </c>
    </row>
    <row r="61" ht="17" customHeight="1">
      <c r="A61" s="20" t="n">
        <v>58</v>
      </c>
      <c r="B61" s="20" t="inlineStr">
        <is>
          <t>하우징</t>
        </is>
      </c>
      <c r="C61" s="20" t="inlineStr">
        <is>
          <t>2.0mm</t>
        </is>
      </c>
      <c r="D61" s="21" t="inlineStr">
        <is>
          <t>SC/APC 적색</t>
        </is>
      </c>
      <c r="E61" s="21" t="inlineStr"/>
      <c r="F61" s="21" t="inlineStr">
        <is>
          <t>EA</t>
        </is>
      </c>
      <c r="G61" s="17" t="n"/>
      <c r="H61" s="22">
        <f>IFERROR(ROUND($G61*0.057628,0),"")</f>
        <v/>
      </c>
      <c r="I61" s="22">
        <f>IFERROR(ROUND($G61*0.049814,0),"")</f>
        <v/>
      </c>
      <c r="J61" s="22">
        <f>IFERROR(ROUND($G61*0.173764,0),"")</f>
        <v/>
      </c>
      <c r="K61" s="22">
        <f>IFERROR(ROUND($G61*0.104317,0),"")</f>
        <v/>
      </c>
      <c r="L61" s="22">
        <f>IFERROR(ROUND($G61*0.058312,0),"")</f>
        <v/>
      </c>
      <c r="M61" s="22">
        <f>IFERROR(ROUND($G61*0.046396,0),"")</f>
        <v/>
      </c>
      <c r="N61" s="22">
        <f>IFERROR(ROUND($G61*0.17562,0),"")</f>
        <v/>
      </c>
      <c r="O61" s="22">
        <f>IFERROR(ROUND($G61*0.047275,0),"")</f>
        <v/>
      </c>
      <c r="P61" s="22">
        <f>IFERROR(ROUND($G61*0.112229,0),"")</f>
        <v/>
      </c>
      <c r="Q61" s="22">
        <f>IFERROR(ROUND($G61*0.048349,0),"")</f>
        <v/>
      </c>
      <c r="R61" s="22">
        <f>IFERROR(ROUND($G61*0.090447,0),"")</f>
        <v/>
      </c>
      <c r="S61" s="22">
        <f>IFERROR(ROUND($G61*0.035847,0),"")</f>
        <v/>
      </c>
      <c r="T61" s="29">
        <f>IFERROR(SUM(H61:S61),"")</f>
        <v/>
      </c>
    </row>
    <row r="62" ht="17" customHeight="1">
      <c r="A62" s="12" t="n">
        <v>59</v>
      </c>
      <c r="B62" s="12" t="inlineStr">
        <is>
          <t>하우징</t>
        </is>
      </c>
      <c r="C62" s="12" t="inlineStr">
        <is>
          <t>2.0mm</t>
        </is>
      </c>
      <c r="D62" s="13" t="inlineStr">
        <is>
          <t>SC/PC 적색</t>
        </is>
      </c>
      <c r="E62" s="13" t="inlineStr"/>
      <c r="F62" s="13" t="inlineStr">
        <is>
          <t>EA</t>
        </is>
      </c>
      <c r="G62" s="17" t="n"/>
      <c r="H62" s="14">
        <f>IFERROR(ROUND($G62*0.097921,0),"")</f>
        <v/>
      </c>
      <c r="I62" s="14">
        <f>IFERROR(ROUND($G62*0.073737,0),"")</f>
        <v/>
      </c>
      <c r="J62" s="14">
        <f>IFERROR(ROUND($G62*0.075077,0),"")</f>
        <v/>
      </c>
      <c r="K62" s="14">
        <f>IFERROR(ROUND($G62*0.089102,0),"")</f>
        <v/>
      </c>
      <c r="L62" s="14">
        <f>IFERROR(ROUND($G62*0.135818,0),"")</f>
        <v/>
      </c>
      <c r="M62" s="14">
        <f>IFERROR(ROUND($G62*0.120797,0),"")</f>
        <v/>
      </c>
      <c r="N62" s="14">
        <f>IFERROR(ROUND($G62*0.055973,0),"")</f>
        <v/>
      </c>
      <c r="O62" s="14">
        <f>IFERROR(ROUND($G62*0.074547,0),"")</f>
        <v/>
      </c>
      <c r="P62" s="14">
        <f>IFERROR(ROUND($G62*0.066195,0),"")</f>
        <v/>
      </c>
      <c r="Q62" s="14">
        <f>IFERROR(ROUND($G62*0.047371,0),"")</f>
        <v/>
      </c>
      <c r="R62" s="14">
        <f>IFERROR(ROUND($G62*0.098825,0),"")</f>
        <v/>
      </c>
      <c r="S62" s="14">
        <f>IFERROR(ROUND($G62*0.064637,0),"")</f>
        <v/>
      </c>
      <c r="T62" s="28">
        <f>IFERROR(SUM(H62:S62),"")</f>
        <v/>
      </c>
    </row>
    <row r="63" ht="17" customHeight="1">
      <c r="A63" s="20" t="n">
        <v>60</v>
      </c>
      <c r="B63" s="20" t="inlineStr">
        <is>
          <t>하우징</t>
        </is>
      </c>
      <c r="C63" s="20" t="inlineStr">
        <is>
          <t>2.0mm</t>
        </is>
      </c>
      <c r="D63" s="21" t="inlineStr">
        <is>
          <t>SC/PC 청색</t>
        </is>
      </c>
      <c r="E63" s="21" t="inlineStr"/>
      <c r="F63" s="21" t="inlineStr">
        <is>
          <t>EA</t>
        </is>
      </c>
      <c r="G63" s="17" t="n"/>
      <c r="H63" s="22">
        <f>IFERROR(ROUND($G63*0.066573,0),"")</f>
        <v/>
      </c>
      <c r="I63" s="22">
        <f>IFERROR(ROUND($G63*0.101786,0),"")</f>
        <v/>
      </c>
      <c r="J63" s="22">
        <f>IFERROR(ROUND($G63*0.065958,0),"")</f>
        <v/>
      </c>
      <c r="K63" s="22">
        <f>IFERROR(ROUND($G63*0.097032,0),"")</f>
        <v/>
      </c>
      <c r="L63" s="22">
        <f>IFERROR(ROUND($G63*0.080934,0),"")</f>
        <v/>
      </c>
      <c r="M63" s="22">
        <f>IFERROR(ROUND($G63*0.082968,0),"")</f>
        <v/>
      </c>
      <c r="N63" s="22">
        <f>IFERROR(ROUND($G63*0.078754,0),"")</f>
        <v/>
      </c>
      <c r="O63" s="22">
        <f>IFERROR(ROUND($G63*0.085913,0),"")</f>
        <v/>
      </c>
      <c r="P63" s="22">
        <f>IFERROR(ROUND($G63*0.082578,0),"")</f>
        <v/>
      </c>
      <c r="Q63" s="22">
        <f>IFERROR(ROUND($G63*0.081293,0),"")</f>
        <v/>
      </c>
      <c r="R63" s="22">
        <f>IFERROR(ROUND($G63*0.088813,0),"")</f>
        <v/>
      </c>
      <c r="S63" s="22">
        <f>IFERROR(ROUND($G63*0.087397,0),"")</f>
        <v/>
      </c>
      <c r="T63" s="29">
        <f>IFERROR(SUM(H63:S63),"")</f>
        <v/>
      </c>
    </row>
    <row r="64" ht="17" customHeight="1">
      <c r="A64" s="12" t="n">
        <v>61</v>
      </c>
      <c r="B64" s="12" t="inlineStr">
        <is>
          <t>하우징</t>
        </is>
      </c>
      <c r="C64" s="12" t="inlineStr">
        <is>
          <t>3.0mm</t>
        </is>
      </c>
      <c r="D64" s="13" t="inlineStr">
        <is>
          <t>FC/APC 녹색</t>
        </is>
      </c>
      <c r="E64" s="13" t="inlineStr"/>
      <c r="F64" s="13" t="inlineStr">
        <is>
          <t>EA</t>
        </is>
      </c>
      <c r="G64" s="17" t="n"/>
      <c r="H64" s="14">
        <f>IFERROR(ROUND($G64*0.318066,0),"")</f>
        <v/>
      </c>
      <c r="I64" s="14">
        <f>IFERROR(ROUND($G64*0.0,0),"")</f>
        <v/>
      </c>
      <c r="J64" s="14">
        <f>IFERROR(ROUND($G64*0.058524,0),"")</f>
        <v/>
      </c>
      <c r="K64" s="14">
        <f>IFERROR(ROUND($G64*0.076336,0),"")</f>
        <v/>
      </c>
      <c r="L64" s="14">
        <f>IFERROR(ROUND($G64*0.050891,0),"")</f>
        <v/>
      </c>
      <c r="M64" s="14">
        <f>IFERROR(ROUND($G64*0.012723,0),"")</f>
        <v/>
      </c>
      <c r="N64" s="14">
        <f>IFERROR(ROUND($G64*0.012723,0),"")</f>
        <v/>
      </c>
      <c r="O64" s="14">
        <f>IFERROR(ROUND($G64*0.0,0),"")</f>
        <v/>
      </c>
      <c r="P64" s="14">
        <f>IFERROR(ROUND($G64*0.050891,0),"")</f>
        <v/>
      </c>
      <c r="Q64" s="14">
        <f>IFERROR(ROUND($G64*0.254453,0),"")</f>
        <v/>
      </c>
      <c r="R64" s="14">
        <f>IFERROR(ROUND($G64*0.139949,0),"")</f>
        <v/>
      </c>
      <c r="S64" s="14">
        <f>IFERROR(ROUND($G64*0.025445,0),"")</f>
        <v/>
      </c>
      <c r="T64" s="28">
        <f>IFERROR(SUM(H64:S64),"")</f>
        <v/>
      </c>
    </row>
    <row r="65" ht="17" customHeight="1">
      <c r="A65" s="20" t="n">
        <v>62</v>
      </c>
      <c r="B65" s="20" t="inlineStr">
        <is>
          <t>하우징</t>
        </is>
      </c>
      <c r="C65" s="20" t="inlineStr">
        <is>
          <t>3.0mm</t>
        </is>
      </c>
      <c r="D65" s="21" t="inlineStr">
        <is>
          <t>FC/APC 적색</t>
        </is>
      </c>
      <c r="E65" s="21" t="inlineStr"/>
      <c r="F65" s="21" t="inlineStr">
        <is>
          <t>EA</t>
        </is>
      </c>
      <c r="G65" s="17" t="n"/>
      <c r="H65" s="22">
        <f>IFERROR(ROUND($G65*0.0,0),"")</f>
        <v/>
      </c>
      <c r="I65" s="22">
        <f>IFERROR(ROUND($G65*0.047368,0),"")</f>
        <v/>
      </c>
      <c r="J65" s="22">
        <f>IFERROR(ROUND($G65*0.052632,0),"")</f>
        <v/>
      </c>
      <c r="K65" s="22">
        <f>IFERROR(ROUND($G65*0.078947,0),"")</f>
        <v/>
      </c>
      <c r="L65" s="22">
        <f>IFERROR(ROUND($G65*0.157895,0),"")</f>
        <v/>
      </c>
      <c r="M65" s="22">
        <f>IFERROR(ROUND($G65*0.157895,0),"")</f>
        <v/>
      </c>
      <c r="N65" s="22">
        <f>IFERROR(ROUND($G65*0.026316,0),"")</f>
        <v/>
      </c>
      <c r="O65" s="22">
        <f>IFERROR(ROUND($G65*0.094737,0),"")</f>
        <v/>
      </c>
      <c r="P65" s="22">
        <f>IFERROR(ROUND($G65*0.184211,0),"")</f>
        <v/>
      </c>
      <c r="Q65" s="22">
        <f>IFERROR(ROUND($G65*0.052632,0),"")</f>
        <v/>
      </c>
      <c r="R65" s="22">
        <f>IFERROR(ROUND($G65*0.121053,0),"")</f>
        <v/>
      </c>
      <c r="S65" s="22">
        <f>IFERROR(ROUND($G65*0.026316,0),"")</f>
        <v/>
      </c>
      <c r="T65" s="29">
        <f>IFERROR(SUM(H65:S65),"")</f>
        <v/>
      </c>
    </row>
    <row r="66" ht="17" customHeight="1">
      <c r="A66" s="12" t="n">
        <v>63</v>
      </c>
      <c r="B66" s="12" t="inlineStr">
        <is>
          <t>하우징</t>
        </is>
      </c>
      <c r="C66" s="12" t="inlineStr">
        <is>
          <t>3.0mm</t>
        </is>
      </c>
      <c r="D66" s="13" t="inlineStr">
        <is>
          <t>FC/PC 적색</t>
        </is>
      </c>
      <c r="E66" s="13" t="inlineStr"/>
      <c r="F66" s="13" t="inlineStr">
        <is>
          <t>EA</t>
        </is>
      </c>
      <c r="G66" s="17" t="n"/>
      <c r="H66" s="14">
        <f>IFERROR(ROUND($G66*0.3,0),"")</f>
        <v/>
      </c>
      <c r="I66" s="14">
        <f>IFERROR(ROUND($G66*0.333333,0),"")</f>
        <v/>
      </c>
      <c r="J66" s="14">
        <f>IFERROR(ROUND($G66*0.0,0),"")</f>
        <v/>
      </c>
      <c r="K66" s="14">
        <f>IFERROR(ROUND($G66*0.0,0),"")</f>
        <v/>
      </c>
      <c r="L66" s="14">
        <f>IFERROR(ROUND($G66*0.0,0),"")</f>
        <v/>
      </c>
      <c r="M66" s="14">
        <f>IFERROR(ROUND($G66*0.166667,0),"")</f>
        <v/>
      </c>
      <c r="N66" s="14">
        <f>IFERROR(ROUND($G66*0.0,0),"")</f>
        <v/>
      </c>
      <c r="O66" s="14">
        <f>IFERROR(ROUND($G66*0.166667,0),"")</f>
        <v/>
      </c>
      <c r="P66" s="14">
        <f>IFERROR(ROUND($G66*0.0,0),"")</f>
        <v/>
      </c>
      <c r="Q66" s="14">
        <f>IFERROR(ROUND($G66*0.0,0),"")</f>
        <v/>
      </c>
      <c r="R66" s="14">
        <f>IFERROR(ROUND($G66*0.0,0),"")</f>
        <v/>
      </c>
      <c r="S66" s="14">
        <f>IFERROR(ROUND($G66*0.033333,0),"")</f>
        <v/>
      </c>
      <c r="T66" s="28">
        <f>IFERROR(SUM(H66:S66),"")</f>
        <v/>
      </c>
    </row>
    <row r="67" ht="17" customHeight="1">
      <c r="A67" s="20" t="n">
        <v>64</v>
      </c>
      <c r="B67" s="20" t="inlineStr">
        <is>
          <t>하우징</t>
        </is>
      </c>
      <c r="C67" s="20" t="inlineStr">
        <is>
          <t>3.0mm</t>
        </is>
      </c>
      <c r="D67" s="21" t="inlineStr">
        <is>
          <t>FC/PC 흑색</t>
        </is>
      </c>
      <c r="E67" s="21" t="inlineStr"/>
      <c r="F67" s="21" t="inlineStr">
        <is>
          <t>EA</t>
        </is>
      </c>
      <c r="G67" s="17" t="n"/>
      <c r="H67" s="22">
        <f>IFERROR(ROUND($G67*0.420168,0),"")</f>
        <v/>
      </c>
      <c r="I67" s="22">
        <f>IFERROR(ROUND($G67*0.0,0),"")</f>
        <v/>
      </c>
      <c r="J67" s="22">
        <f>IFERROR(ROUND($G67*0.012605,0),"")</f>
        <v/>
      </c>
      <c r="K67" s="22">
        <f>IFERROR(ROUND($G67*0.0,0),"")</f>
        <v/>
      </c>
      <c r="L67" s="22">
        <f>IFERROR(ROUND($G67*0.063025,0),"")</f>
        <v/>
      </c>
      <c r="M67" s="22">
        <f>IFERROR(ROUND($G67*0.084034,0),"")</f>
        <v/>
      </c>
      <c r="N67" s="22">
        <f>IFERROR(ROUND($G67*0.0,0),"")</f>
        <v/>
      </c>
      <c r="O67" s="22">
        <f>IFERROR(ROUND($G67*0.163866,0),"")</f>
        <v/>
      </c>
      <c r="P67" s="22">
        <f>IFERROR(ROUND($G67*0.042017,0),"")</f>
        <v/>
      </c>
      <c r="Q67" s="22">
        <f>IFERROR(ROUND($G67*0.0,0),"")</f>
        <v/>
      </c>
      <c r="R67" s="22">
        <f>IFERROR(ROUND($G67*0.084034,0),"")</f>
        <v/>
      </c>
      <c r="S67" s="22">
        <f>IFERROR(ROUND($G67*0.130252,0),"")</f>
        <v/>
      </c>
      <c r="T67" s="29">
        <f>IFERROR(SUM(H67:S67),"")</f>
        <v/>
      </c>
    </row>
    <row r="68" ht="17" customHeight="1">
      <c r="A68" s="12" t="n">
        <v>65</v>
      </c>
      <c r="B68" s="12" t="inlineStr">
        <is>
          <t>하우징</t>
        </is>
      </c>
      <c r="C68" s="12" t="inlineStr">
        <is>
          <t>3.0mm</t>
        </is>
      </c>
      <c r="D68" s="13" t="inlineStr">
        <is>
          <t>LC/APC 녹색</t>
        </is>
      </c>
      <c r="E68" s="13" t="inlineStr"/>
      <c r="F68" s="13" t="inlineStr">
        <is>
          <t>EA</t>
        </is>
      </c>
      <c r="G68" s="17" t="n"/>
      <c r="H68" s="14">
        <f>IFERROR(ROUND($G68*0.106963,0),"")</f>
        <v/>
      </c>
      <c r="I68" s="14">
        <f>IFERROR(ROUND($G68*0.091023,0),"")</f>
        <v/>
      </c>
      <c r="J68" s="14">
        <f>IFERROR(ROUND($G68*0.041946,0),"")</f>
        <v/>
      </c>
      <c r="K68" s="14">
        <f>IFERROR(ROUND($G68*0.075503,0),"")</f>
        <v/>
      </c>
      <c r="L68" s="14">
        <f>IFERROR(ROUND($G68*0.075503,0),"")</f>
        <v/>
      </c>
      <c r="M68" s="14">
        <f>IFERROR(ROUND($G68*0.004195,0),"")</f>
        <v/>
      </c>
      <c r="N68" s="14">
        <f>IFERROR(ROUND($G68*0.052852,0),"")</f>
        <v/>
      </c>
      <c r="O68" s="14">
        <f>IFERROR(ROUND($G68*0.009228,0),"")</f>
        <v/>
      </c>
      <c r="P68" s="14">
        <f>IFERROR(ROUND($G68*0.0,0),"")</f>
        <v/>
      </c>
      <c r="Q68" s="14">
        <f>IFERROR(ROUND($G68*0.155201,0),"")</f>
        <v/>
      </c>
      <c r="R68" s="14">
        <f>IFERROR(ROUND($G68*0.058725,0),"")</f>
        <v/>
      </c>
      <c r="S68" s="14">
        <f>IFERROR(ROUND($G68*0.328859,0),"")</f>
        <v/>
      </c>
      <c r="T68" s="28">
        <f>IFERROR(SUM(H68:S68),"")</f>
        <v/>
      </c>
    </row>
    <row r="69" ht="17" customHeight="1">
      <c r="A69" s="20" t="n">
        <v>66</v>
      </c>
      <c r="B69" s="20" t="inlineStr">
        <is>
          <t>하우징</t>
        </is>
      </c>
      <c r="C69" s="20" t="inlineStr">
        <is>
          <t>3.0mm</t>
        </is>
      </c>
      <c r="D69" s="21" t="inlineStr">
        <is>
          <t>LC/APC 적색</t>
        </is>
      </c>
      <c r="E69" s="21" t="inlineStr"/>
      <c r="F69" s="21" t="inlineStr">
        <is>
          <t>EA</t>
        </is>
      </c>
      <c r="G69" s="17" t="n"/>
      <c r="H69" s="22">
        <f>IFERROR(ROUND($G69*0.116845,0),"")</f>
        <v/>
      </c>
      <c r="I69" s="22">
        <f>IFERROR(ROUND($G69*0.090555,0),"")</f>
        <v/>
      </c>
      <c r="J69" s="22">
        <f>IFERROR(ROUND($G69*0.019474,0),"")</f>
        <v/>
      </c>
      <c r="K69" s="22">
        <f>IFERROR(ROUND($G69*0.092502,0),"")</f>
        <v/>
      </c>
      <c r="L69" s="22">
        <f>IFERROR(ROUND($G69*0.087634,0),"")</f>
        <v/>
      </c>
      <c r="M69" s="22">
        <f>IFERROR(ROUND($G69*0.004869,0),"")</f>
        <v/>
      </c>
      <c r="N69" s="22">
        <f>IFERROR(ROUND($G69*0.061344,0),"")</f>
        <v/>
      </c>
      <c r="O69" s="22">
        <f>IFERROR(ROUND($G69*0.005842,0),"")</f>
        <v/>
      </c>
      <c r="P69" s="22">
        <f>IFERROR(ROUND($G69*0.0,0),"")</f>
        <v/>
      </c>
      <c r="Q69" s="22">
        <f>IFERROR(ROUND($G69*0.180136,0),"")</f>
        <v/>
      </c>
      <c r="R69" s="22">
        <f>IFERROR(ROUND($G69*0.06816,0),"")</f>
        <v/>
      </c>
      <c r="S69" s="22">
        <f>IFERROR(ROUND($G69*0.272639,0),"")</f>
        <v/>
      </c>
      <c r="T69" s="29">
        <f>IFERROR(SUM(H69:S69),"")</f>
        <v/>
      </c>
    </row>
    <row r="70" ht="17" customHeight="1">
      <c r="A70" s="12" t="n">
        <v>67</v>
      </c>
      <c r="B70" s="12" t="inlineStr">
        <is>
          <t>하우징</t>
        </is>
      </c>
      <c r="C70" s="12" t="inlineStr">
        <is>
          <t>3.0mm</t>
        </is>
      </c>
      <c r="D70" s="13" t="inlineStr">
        <is>
          <t>LC/PC 적색</t>
        </is>
      </c>
      <c r="E70" s="13" t="inlineStr"/>
      <c r="F70" s="13" t="inlineStr">
        <is>
          <t>EA</t>
        </is>
      </c>
      <c r="G70" s="17" t="n"/>
      <c r="H70" s="14">
        <f>IFERROR(ROUND($G70*0.048763,0),"")</f>
        <v/>
      </c>
      <c r="I70" s="14">
        <f>IFERROR(ROUND($G70*0.063955,0),"")</f>
        <v/>
      </c>
      <c r="J70" s="14">
        <f>IFERROR(ROUND($G70*0.074737,0),"")</f>
        <v/>
      </c>
      <c r="K70" s="14">
        <f>IFERROR(ROUND($G70*0.15903,0),"")</f>
        <v/>
      </c>
      <c r="L70" s="14">
        <f>IFERROR(ROUND($G70*0.040186,0),"")</f>
        <v/>
      </c>
      <c r="M70" s="14">
        <f>IFERROR(ROUND($G70*0.06518,0),"")</f>
        <v/>
      </c>
      <c r="N70" s="14">
        <f>IFERROR(ROUND($G70*0.168831,0),"")</f>
        <v/>
      </c>
      <c r="O70" s="14">
        <f>IFERROR(ROUND($G70*0.144572,0),"")</f>
        <v/>
      </c>
      <c r="P70" s="14">
        <f>IFERROR(ROUND($G70*0.057584,0),"")</f>
        <v/>
      </c>
      <c r="Q70" s="14">
        <f>IFERROR(ROUND($G70*0.06273,0),"")</f>
        <v/>
      </c>
      <c r="R70" s="14">
        <f>IFERROR(ROUND($G70*0.077922,0),"")</f>
        <v/>
      </c>
      <c r="S70" s="14">
        <f>IFERROR(ROUND($G70*0.036511,0),"")</f>
        <v/>
      </c>
      <c r="T70" s="28">
        <f>IFERROR(SUM(H70:S70),"")</f>
        <v/>
      </c>
    </row>
    <row r="71" ht="17" customHeight="1">
      <c r="A71" s="20" t="n">
        <v>68</v>
      </c>
      <c r="B71" s="20" t="inlineStr">
        <is>
          <t>하우징</t>
        </is>
      </c>
      <c r="C71" s="20" t="inlineStr">
        <is>
          <t>3.0mm</t>
        </is>
      </c>
      <c r="D71" s="21" t="inlineStr">
        <is>
          <t>LC/PC 청색</t>
        </is>
      </c>
      <c r="E71" s="21" t="inlineStr"/>
      <c r="F71" s="21" t="inlineStr">
        <is>
          <t>EA</t>
        </is>
      </c>
      <c r="G71" s="17" t="n"/>
      <c r="H71" s="22">
        <f>IFERROR(ROUND($G71*0.093801,0),"")</f>
        <v/>
      </c>
      <c r="I71" s="22">
        <f>IFERROR(ROUND($G71*0.107878,0),"")</f>
        <v/>
      </c>
      <c r="J71" s="22">
        <f>IFERROR(ROUND($G71*0.100713,0),"")</f>
        <v/>
      </c>
      <c r="K71" s="22">
        <f>IFERROR(ROUND($G71*0.086542,0),"")</f>
        <v/>
      </c>
      <c r="L71" s="22">
        <f>IFERROR(ROUND($G71*0.088688,0),"")</f>
        <v/>
      </c>
      <c r="M71" s="22">
        <f>IFERROR(ROUND($G71*0.073381,0),"")</f>
        <v/>
      </c>
      <c r="N71" s="22">
        <f>IFERROR(ROUND($G71*0.127004,0),"")</f>
        <v/>
      </c>
      <c r="O71" s="22">
        <f>IFERROR(ROUND($G71*0.095632,0),"")</f>
        <v/>
      </c>
      <c r="P71" s="22">
        <f>IFERROR(ROUND($G71*0.057979,0),"")</f>
        <v/>
      </c>
      <c r="Q71" s="22">
        <f>IFERROR(ROUND($G71*0.063313,0),"")</f>
        <v/>
      </c>
      <c r="R71" s="22">
        <f>IFERROR(ROUND($G71*0.067005,0),"")</f>
        <v/>
      </c>
      <c r="S71" s="22">
        <f>IFERROR(ROUND($G71*0.038063,0),"")</f>
        <v/>
      </c>
      <c r="T71" s="29">
        <f>IFERROR(SUM(H71:S71),"")</f>
        <v/>
      </c>
    </row>
    <row r="72" ht="17" customHeight="1">
      <c r="A72" s="12" t="n">
        <v>69</v>
      </c>
      <c r="B72" s="12" t="inlineStr">
        <is>
          <t>하우징</t>
        </is>
      </c>
      <c r="C72" s="12" t="inlineStr">
        <is>
          <t>3.0mm</t>
        </is>
      </c>
      <c r="D72" s="13" t="inlineStr">
        <is>
          <t>SC/APC 녹색</t>
        </is>
      </c>
      <c r="E72" s="13" t="inlineStr"/>
      <c r="F72" s="13" t="inlineStr">
        <is>
          <t>EA</t>
        </is>
      </c>
      <c r="G72" s="17" t="n"/>
      <c r="H72" s="14">
        <f>IFERROR(ROUND($G72*0.06015,0),"")</f>
        <v/>
      </c>
      <c r="I72" s="14">
        <f>IFERROR(ROUND($G72*0.245445,0),"")</f>
        <v/>
      </c>
      <c r="J72" s="14">
        <f>IFERROR(ROUND($G72*0.090451,0),"")</f>
        <v/>
      </c>
      <c r="K72" s="14">
        <f>IFERROR(ROUND($G72*0.132123,0),"")</f>
        <v/>
      </c>
      <c r="L72" s="14">
        <f>IFERROR(ROUND($G72*0.086122,0),"")</f>
        <v/>
      </c>
      <c r="M72" s="14">
        <f>IFERROR(ROUND($G72*0.012728,0),"")</f>
        <v/>
      </c>
      <c r="N72" s="14">
        <f>IFERROR(ROUND($G72*0.062734,0),"")</f>
        <v/>
      </c>
      <c r="O72" s="14">
        <f>IFERROR(ROUND($G72*0.02875,0),"")</f>
        <v/>
      </c>
      <c r="P72" s="14">
        <f>IFERROR(ROUND($G72*0.052268,0),"")</f>
        <v/>
      </c>
      <c r="Q72" s="14">
        <f>IFERROR(ROUND($G72*0.041995,0),"")</f>
        <v/>
      </c>
      <c r="R72" s="14">
        <f>IFERROR(ROUND($G72*0.059568,0),"")</f>
        <v/>
      </c>
      <c r="S72" s="14">
        <f>IFERROR(ROUND($G72*0.127665,0),"")</f>
        <v/>
      </c>
      <c r="T72" s="28">
        <f>IFERROR(SUM(H72:S72),"")</f>
        <v/>
      </c>
    </row>
    <row r="73" ht="17" customHeight="1">
      <c r="A73" s="20" t="n">
        <v>70</v>
      </c>
      <c r="B73" s="20" t="inlineStr">
        <is>
          <t>하우징</t>
        </is>
      </c>
      <c r="C73" s="20" t="inlineStr">
        <is>
          <t>3.0mm</t>
        </is>
      </c>
      <c r="D73" s="21" t="inlineStr">
        <is>
          <t>SC/APC 적색</t>
        </is>
      </c>
      <c r="E73" s="21" t="inlineStr"/>
      <c r="F73" s="21" t="inlineStr">
        <is>
          <t>EA</t>
        </is>
      </c>
      <c r="G73" s="17" t="n"/>
      <c r="H73" s="22">
        <f>IFERROR(ROUND($G73*0.107442,0),"")</f>
        <v/>
      </c>
      <c r="I73" s="22">
        <f>IFERROR(ROUND($G73*0.125476,0),"")</f>
        <v/>
      </c>
      <c r="J73" s="22">
        <f>IFERROR(ROUND($G73*0.04826,0),"")</f>
        <v/>
      </c>
      <c r="K73" s="22">
        <f>IFERROR(ROUND($G73*0.02794,0),"")</f>
        <v/>
      </c>
      <c r="L73" s="22">
        <f>IFERROR(ROUND($G73*0.03048,0),"")</f>
        <v/>
      </c>
      <c r="M73" s="22">
        <f>IFERROR(ROUND($G73*0.041148,0),"")</f>
        <v/>
      </c>
      <c r="N73" s="22">
        <f>IFERROR(ROUND($G73*0.127508,0),"")</f>
        <v/>
      </c>
      <c r="O73" s="22">
        <f>IFERROR(ROUND($G73*0.14732,0),"")</f>
        <v/>
      </c>
      <c r="P73" s="22">
        <f>IFERROR(ROUND($G73*0.04699,0),"")</f>
        <v/>
      </c>
      <c r="Q73" s="22">
        <f>IFERROR(ROUND($G73*0.108712,0),"")</f>
        <v/>
      </c>
      <c r="R73" s="22">
        <f>IFERROR(ROUND($G73*0.119888,0),"")</f>
        <v/>
      </c>
      <c r="S73" s="22">
        <f>IFERROR(ROUND($G73*0.068834,0),"")</f>
        <v/>
      </c>
      <c r="T73" s="29">
        <f>IFERROR(SUM(H73:S73),"")</f>
        <v/>
      </c>
    </row>
    <row r="74" ht="17" customHeight="1">
      <c r="A74" s="12" t="n">
        <v>71</v>
      </c>
      <c r="B74" s="12" t="inlineStr">
        <is>
          <t>하우징</t>
        </is>
      </c>
      <c r="C74" s="12" t="inlineStr">
        <is>
          <t>3.0mm</t>
        </is>
      </c>
      <c r="D74" s="13" t="inlineStr">
        <is>
          <t>SC/PC 적색</t>
        </is>
      </c>
      <c r="E74" s="13" t="inlineStr"/>
      <c r="F74" s="13" t="inlineStr">
        <is>
          <t>EA</t>
        </is>
      </c>
      <c r="G74" s="17" t="n"/>
      <c r="H74" s="14">
        <f>IFERROR(ROUND($G74*0.093353,0),"")</f>
        <v/>
      </c>
      <c r="I74" s="14">
        <f>IFERROR(ROUND($G74*0.047797,0),"")</f>
        <v/>
      </c>
      <c r="J74" s="14">
        <f>IFERROR(ROUND($G74*0.143888,0),"")</f>
        <v/>
      </c>
      <c r="K74" s="14">
        <f>IFERROR(ROUND($G74*0.064725,0),"")</f>
        <v/>
      </c>
      <c r="L74" s="14">
        <f>IFERROR(ROUND($G74*0.097336,0),"")</f>
        <v/>
      </c>
      <c r="M74" s="14">
        <f>IFERROR(ROUND($G74*0.109037,0),"")</f>
        <v/>
      </c>
      <c r="N74" s="14">
        <f>IFERROR(ROUND($G74*0.128205,0),"")</f>
        <v/>
      </c>
      <c r="O74" s="14">
        <f>IFERROR(ROUND($G74*0.074185,0),"")</f>
        <v/>
      </c>
      <c r="P74" s="14">
        <f>IFERROR(ROUND($G74*0.066219,0),"")</f>
        <v/>
      </c>
      <c r="Q74" s="14">
        <f>IFERROR(ROUND($G74*0.064974,0),"")</f>
        <v/>
      </c>
      <c r="R74" s="14">
        <f>IFERROR(ROUND($G74*0.046054,0),"")</f>
        <v/>
      </c>
      <c r="S74" s="14">
        <f>IFERROR(ROUND($G74*0.064227,0),"")</f>
        <v/>
      </c>
      <c r="T74" s="28">
        <f>IFERROR(SUM(H74:S74),"")</f>
        <v/>
      </c>
    </row>
    <row r="75" ht="17" customHeight="1">
      <c r="A75" s="20" t="n">
        <v>72</v>
      </c>
      <c r="B75" s="20" t="inlineStr">
        <is>
          <t>하우징</t>
        </is>
      </c>
      <c r="C75" s="20" t="inlineStr">
        <is>
          <t>3.0mm</t>
        </is>
      </c>
      <c r="D75" s="21" t="inlineStr">
        <is>
          <t>SC/PC 청색</t>
        </is>
      </c>
      <c r="E75" s="21" t="inlineStr"/>
      <c r="F75" s="21" t="inlineStr">
        <is>
          <t>EA</t>
        </is>
      </c>
      <c r="G75" s="17" t="n"/>
      <c r="H75" s="22">
        <f>IFERROR(ROUND($G75*0.069493,0),"")</f>
        <v/>
      </c>
      <c r="I75" s="22">
        <f>IFERROR(ROUND($G75*0.050756,0),"")</f>
        <v/>
      </c>
      <c r="J75" s="22">
        <f>IFERROR(ROUND($G75*0.081839,0),"")</f>
        <v/>
      </c>
      <c r="K75" s="22">
        <f>IFERROR(ROUND($G75*0.089883,0),"")</f>
        <v/>
      </c>
      <c r="L75" s="22">
        <f>IFERROR(ROUND($G75*0.124645,0),"")</f>
        <v/>
      </c>
      <c r="M75" s="22">
        <f>IFERROR(ROUND($G75*0.036134,0),"")</f>
        <v/>
      </c>
      <c r="N75" s="22">
        <f>IFERROR(ROUND($G75*0.086485,0),"")</f>
        <v/>
      </c>
      <c r="O75" s="22">
        <f>IFERROR(ROUND($G75*0.111738,0),"")</f>
        <v/>
      </c>
      <c r="P75" s="22">
        <f>IFERROR(ROUND($G75*0.158504,0),"")</f>
        <v/>
      </c>
      <c r="Q75" s="22">
        <f>IFERROR(ROUND($G75*0.064162,0),"")</f>
        <v/>
      </c>
      <c r="R75" s="22">
        <f>IFERROR(ROUND($G75*0.054934,0),"")</f>
        <v/>
      </c>
      <c r="S75" s="22">
        <f>IFERROR(ROUND($G75*0.071426,0),"")</f>
        <v/>
      </c>
      <c r="T75" s="29">
        <f>IFERROR(SUM(H75:S75),"")</f>
        <v/>
      </c>
    </row>
    <row r="76" ht="17" customHeight="1">
      <c r="A76" s="12" t="n">
        <v>73</v>
      </c>
      <c r="B76" s="12" t="inlineStr">
        <is>
          <t>하우징</t>
        </is>
      </c>
      <c r="C76" s="12" t="inlineStr">
        <is>
          <t>0.9mm</t>
        </is>
      </c>
      <c r="D76" s="13" t="inlineStr">
        <is>
          <t>FC/PC 흑색</t>
        </is>
      </c>
      <c r="E76" s="13" t="inlineStr"/>
      <c r="F76" s="13" t="inlineStr">
        <is>
          <t>EA</t>
        </is>
      </c>
      <c r="G76" s="17" t="n"/>
      <c r="H76" s="14">
        <f>IFERROR(ROUND($G76*1.0,0),"")</f>
        <v/>
      </c>
      <c r="I76" s="14">
        <f>IFERROR(ROUND($G76*0.0,0),"")</f>
        <v/>
      </c>
      <c r="J76" s="14">
        <f>IFERROR(ROUND($G76*0.0,0),"")</f>
        <v/>
      </c>
      <c r="K76" s="14">
        <f>IFERROR(ROUND($G76*0.0,0),"")</f>
        <v/>
      </c>
      <c r="L76" s="14">
        <f>IFERROR(ROUND($G76*0.0,0),"")</f>
        <v/>
      </c>
      <c r="M76" s="14">
        <f>IFERROR(ROUND($G76*0.0,0),"")</f>
        <v/>
      </c>
      <c r="N76" s="14">
        <f>IFERROR(ROUND($G76*0.0,0),"")</f>
        <v/>
      </c>
      <c r="O76" s="14">
        <f>IFERROR(ROUND($G76*0.0,0),"")</f>
        <v/>
      </c>
      <c r="P76" s="14">
        <f>IFERROR(ROUND($G76*0.0,0),"")</f>
        <v/>
      </c>
      <c r="Q76" s="14">
        <f>IFERROR(ROUND($G76*0.0,0),"")</f>
        <v/>
      </c>
      <c r="R76" s="14">
        <f>IFERROR(ROUND($G76*0.0,0),"")</f>
        <v/>
      </c>
      <c r="S76" s="14">
        <f>IFERROR(ROUND($G76*0.0,0),"")</f>
        <v/>
      </c>
      <c r="T76" s="28">
        <f>IFERROR(SUM(H76:S76),"")</f>
        <v/>
      </c>
    </row>
    <row r="77" ht="17" customHeight="1">
      <c r="A77" s="20" t="n">
        <v>74</v>
      </c>
      <c r="B77" s="20" t="inlineStr">
        <is>
          <t>하우징</t>
        </is>
      </c>
      <c r="C77" s="20" t="inlineStr">
        <is>
          <t>0.9mm</t>
        </is>
      </c>
      <c r="D77" s="21" t="inlineStr">
        <is>
          <t>LC/APC 녹색</t>
        </is>
      </c>
      <c r="E77" s="21" t="inlineStr"/>
      <c r="F77" s="21" t="inlineStr">
        <is>
          <t>EA</t>
        </is>
      </c>
      <c r="G77" s="17" t="n"/>
      <c r="H77" s="22">
        <f>IFERROR(ROUND($G77*0.0,0),"")</f>
        <v/>
      </c>
      <c r="I77" s="22">
        <f>IFERROR(ROUND($G77*0.011173,0),"")</f>
        <v/>
      </c>
      <c r="J77" s="22">
        <f>IFERROR(ROUND($G77*0.0,0),"")</f>
        <v/>
      </c>
      <c r="K77" s="22">
        <f>IFERROR(ROUND($G77*0.13594,0),"")</f>
        <v/>
      </c>
      <c r="L77" s="22">
        <f>IFERROR(ROUND($G77*0.111732,0),"")</f>
        <v/>
      </c>
      <c r="M77" s="22">
        <f>IFERROR(ROUND($G77*0.011173,0),"")</f>
        <v/>
      </c>
      <c r="N77" s="22">
        <f>IFERROR(ROUND($G77*0.0,0),"")</f>
        <v/>
      </c>
      <c r="O77" s="22">
        <f>IFERROR(ROUND($G77*0.0,0),"")</f>
        <v/>
      </c>
      <c r="P77" s="22">
        <f>IFERROR(ROUND($G77*0.178771,0),"")</f>
        <v/>
      </c>
      <c r="Q77" s="22">
        <f>IFERROR(ROUND($G77*0.484171,0),"")</f>
        <v/>
      </c>
      <c r="R77" s="22">
        <f>IFERROR(ROUND($G77*0.022346,0),"")</f>
        <v/>
      </c>
      <c r="S77" s="22">
        <f>IFERROR(ROUND($G77*0.044693,0),"")</f>
        <v/>
      </c>
      <c r="T77" s="29">
        <f>IFERROR(SUM(H77:S77),"")</f>
        <v/>
      </c>
    </row>
    <row r="78" ht="17" customHeight="1">
      <c r="A78" s="12" t="n">
        <v>75</v>
      </c>
      <c r="B78" s="12" t="inlineStr">
        <is>
          <t>하우징</t>
        </is>
      </c>
      <c r="C78" s="12" t="inlineStr">
        <is>
          <t>0.9mm</t>
        </is>
      </c>
      <c r="D78" s="13" t="inlineStr">
        <is>
          <t>LC/PC 청색</t>
        </is>
      </c>
      <c r="E78" s="13" t="inlineStr"/>
      <c r="F78" s="13" t="inlineStr">
        <is>
          <t>EA</t>
        </is>
      </c>
      <c r="G78" s="17" t="n"/>
      <c r="H78" s="14">
        <f>IFERROR(ROUND($G78*0.020063,0),"")</f>
        <v/>
      </c>
      <c r="I78" s="14">
        <f>IFERROR(ROUND($G78*0.039157,0),"")</f>
        <v/>
      </c>
      <c r="J78" s="14">
        <f>IFERROR(ROUND($G78*0.212697,0),"")</f>
        <v/>
      </c>
      <c r="K78" s="14">
        <f>IFERROR(ROUND($G78*0.015701,0),"")</f>
        <v/>
      </c>
      <c r="L78" s="14">
        <f>IFERROR(ROUND($G78*0.155076,0),"")</f>
        <v/>
      </c>
      <c r="M78" s="14">
        <f>IFERROR(ROUND($G78*0.304725,0),"")</f>
        <v/>
      </c>
      <c r="N78" s="14">
        <f>IFERROR(ROUND($G78*0.005815,0),"")</f>
        <v/>
      </c>
      <c r="O78" s="14">
        <f>IFERROR(ROUND($G78*0.044972,0),"")</f>
        <v/>
      </c>
      <c r="P78" s="14">
        <f>IFERROR(ROUND($G78*0.055827,0),"")</f>
        <v/>
      </c>
      <c r="Q78" s="14">
        <f>IFERROR(ROUND($G78*0.019772,0),"")</f>
        <v/>
      </c>
      <c r="R78" s="14">
        <f>IFERROR(ROUND($G78*0.093627,0),"")</f>
        <v/>
      </c>
      <c r="S78" s="14">
        <f>IFERROR(ROUND($G78*0.032566,0),"")</f>
        <v/>
      </c>
      <c r="T78" s="28">
        <f>IFERROR(SUM(H78:S78),"")</f>
        <v/>
      </c>
    </row>
    <row r="79" ht="17" customHeight="1">
      <c r="A79" s="20" t="n">
        <v>76</v>
      </c>
      <c r="B79" s="20" t="inlineStr">
        <is>
          <t>하우징</t>
        </is>
      </c>
      <c r="C79" s="20" t="inlineStr">
        <is>
          <t>0.9mm</t>
        </is>
      </c>
      <c r="D79" s="21" t="inlineStr">
        <is>
          <t>SC/APC 녹색</t>
        </is>
      </c>
      <c r="E79" s="21" t="inlineStr"/>
      <c r="F79" s="21" t="inlineStr">
        <is>
          <t>EA</t>
        </is>
      </c>
      <c r="G79" s="17" t="n"/>
      <c r="H79" s="22">
        <f>IFERROR(ROUND($G79*0.0714,0),"")</f>
        <v/>
      </c>
      <c r="I79" s="22">
        <f>IFERROR(ROUND($G79*0.073669,0),"")</f>
        <v/>
      </c>
      <c r="J79" s="22">
        <f>IFERROR(ROUND($G79*0.173762,0),"")</f>
        <v/>
      </c>
      <c r="K79" s="22">
        <f>IFERROR(ROUND($G79*0.027359,0),"")</f>
        <v/>
      </c>
      <c r="L79" s="22">
        <f>IFERROR(ROUND($G79*0.033498,0),"")</f>
        <v/>
      </c>
      <c r="M79" s="22">
        <f>IFERROR(ROUND($G79*0.046043,0),"")</f>
        <v/>
      </c>
      <c r="N79" s="22">
        <f>IFERROR(ROUND($G79*0.022021,0),"")</f>
        <v/>
      </c>
      <c r="O79" s="22">
        <f>IFERROR(ROUND($G79*0.030028,0),"")</f>
        <v/>
      </c>
      <c r="P79" s="22">
        <f>IFERROR(ROUND($G79*0.053383,0),"")</f>
        <v/>
      </c>
      <c r="Q79" s="22">
        <f>IFERROR(ROUND($G79*0.281863,0),"")</f>
        <v/>
      </c>
      <c r="R79" s="22">
        <f>IFERROR(ROUND($G79*0.020686,0),"")</f>
        <v/>
      </c>
      <c r="S79" s="22">
        <f>IFERROR(ROUND($G79*0.166289,0),"")</f>
        <v/>
      </c>
      <c r="T79" s="29">
        <f>IFERROR(SUM(H79:S79),"")</f>
        <v/>
      </c>
    </row>
    <row r="80" ht="17" customHeight="1">
      <c r="A80" s="12" t="n">
        <v>77</v>
      </c>
      <c r="B80" s="12" t="inlineStr">
        <is>
          <t>하우징</t>
        </is>
      </c>
      <c r="C80" s="12" t="inlineStr">
        <is>
          <t>0.9mm</t>
        </is>
      </c>
      <c r="D80" s="13" t="inlineStr">
        <is>
          <t>SC/PC 청색</t>
        </is>
      </c>
      <c r="E80" s="13" t="inlineStr"/>
      <c r="F80" s="13" t="inlineStr">
        <is>
          <t>EA</t>
        </is>
      </c>
      <c r="G80" s="17" t="n"/>
      <c r="H80" s="14">
        <f>IFERROR(ROUND($G80*0.132097,0),"")</f>
        <v/>
      </c>
      <c r="I80" s="14">
        <f>IFERROR(ROUND($G80*0.058565,0),"")</f>
        <v/>
      </c>
      <c r="J80" s="14">
        <f>IFERROR(ROUND($G80*0.07659,0),"")</f>
        <v/>
      </c>
      <c r="K80" s="14">
        <f>IFERROR(ROUND($G80*0.043273,0),"")</f>
        <v/>
      </c>
      <c r="L80" s="14">
        <f>IFERROR(ROUND($G80*0.068782,0),"")</f>
        <v/>
      </c>
      <c r="M80" s="14">
        <f>IFERROR(ROUND($G80*0.20641,0),"")</f>
        <v/>
      </c>
      <c r="N80" s="14">
        <f>IFERROR(ROUND($G80*0.048804,0),"")</f>
        <v/>
      </c>
      <c r="O80" s="14">
        <f>IFERROR(ROUND($G80*0.025378,0),"")</f>
        <v/>
      </c>
      <c r="P80" s="14">
        <f>IFERROR(ROUND($G80*0.13932,0),"")</f>
        <v/>
      </c>
      <c r="Q80" s="14">
        <f>IFERROR(ROUND($G80*0.047958,0),"")</f>
        <v/>
      </c>
      <c r="R80" s="14">
        <f>IFERROR(ROUND($G80*0.023068,0),"")</f>
        <v/>
      </c>
      <c r="S80" s="14">
        <f>IFERROR(ROUND($G80*0.129754,0),"")</f>
        <v/>
      </c>
      <c r="T80" s="28">
        <f>IFERROR(SUM(H80:S80),"")</f>
        <v/>
      </c>
    </row>
  </sheetData>
  <mergeCells count="3">
    <mergeCell ref="A1:T1"/>
    <mergeCell ref="A2:F2"/>
    <mergeCell ref="H2:S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65" customWidth="1" min="4" max="4"/>
  </cols>
  <sheetData>
    <row r="1" ht="26" customHeight="1">
      <c r="A1" s="30" t="inlineStr">
        <is>
          <t>데이터 이상 항목 검토 (자동 분석)</t>
        </is>
      </c>
    </row>
    <row r="3" ht="30" customHeight="1">
      <c r="A3" s="11" t="inlineStr">
        <is>
          <t>구분</t>
        </is>
      </c>
      <c r="B3" s="11" t="inlineStr">
        <is>
          <t>항목</t>
        </is>
      </c>
      <c r="C3" s="11" t="inlineStr">
        <is>
          <t>품번</t>
        </is>
      </c>
      <c r="D3" s="11" t="inlineStr">
        <is>
          <t>내용 및 조치 권고</t>
        </is>
      </c>
    </row>
    <row r="4" ht="40" customHeight="1">
      <c r="A4" s="31" t="inlineStr">
        <is>
          <t>검토필요</t>
        </is>
      </c>
      <c r="B4" s="32" t="inlineStr">
        <is>
          <t>2.0mm 자켓 피그테일 케이블</t>
        </is>
      </c>
      <c r="C4" s="32" t="inlineStr">
        <is>
          <t>(확인필요)</t>
        </is>
      </c>
      <c r="D4" s="33" t="inlineStr">
        <is>
          <t>참고파일에 품번 미등재. 사용 케이블 품번 확인 및 등록 필요.</t>
        </is>
      </c>
    </row>
    <row r="5" ht="40" customHeight="1">
      <c r="A5" s="34" t="inlineStr">
        <is>
          <t>검토필요</t>
        </is>
      </c>
      <c r="B5" s="35" t="inlineStr">
        <is>
          <t>OM4 피그테일 케이블</t>
        </is>
      </c>
      <c r="C5" s="35" t="inlineStr">
        <is>
          <t>P14-RM-417K</t>
        </is>
      </c>
      <c r="D5" s="36" t="inlineStr">
        <is>
          <t>3개년 사용 데이터 없음 — 재고 보유 중. 단종/미사용 여부 확인 필요.</t>
        </is>
      </c>
    </row>
    <row r="6" ht="40" customHeight="1">
      <c r="A6" s="31" t="inlineStr">
        <is>
          <t>주의</t>
        </is>
      </c>
      <c r="B6" s="32" t="inlineStr">
        <is>
          <t>OM3 피그테일 케이블</t>
        </is>
      </c>
      <c r="C6" s="32" t="inlineStr">
        <is>
          <t>P14-RM-417H</t>
        </is>
      </c>
      <c r="D6" s="33" t="inlineStr">
        <is>
          <t>23년 648m → 24~25년 0m — 미사용 추세. 재고 소진 후 단종 검토.</t>
        </is>
      </c>
    </row>
    <row r="7" ht="40" customHeight="1">
      <c r="A7" s="37" t="inlineStr">
        <is>
          <t>정보</t>
        </is>
      </c>
      <c r="B7" s="38" t="inlineStr">
        <is>
          <t>피그테일 케이블 전체</t>
        </is>
      </c>
      <c r="C7" s="38" t="inlineStr">
        <is>
          <t>(전 색상)</t>
        </is>
      </c>
      <c r="D7" s="39" t="inlineStr">
        <is>
          <t>23년 대비 25년 약 81% 급감 — 전반적 수요 감소. 2026 목표량 보수적 설정 권고.</t>
        </is>
      </c>
    </row>
    <row r="8" ht="40" customHeight="1">
      <c r="A8" s="37" t="inlineStr">
        <is>
          <t>정보</t>
        </is>
      </c>
      <c r="B8" s="38" t="inlineStr">
        <is>
          <t>A1-4C 케이블</t>
        </is>
      </c>
      <c r="C8" s="38" t="inlineStr">
        <is>
          <t>P14-RM-4201C</t>
        </is>
      </c>
      <c r="D8" s="39" t="inlineStr">
        <is>
          <t>ROW 데이터 분류 이슈로 참고파일에서 직접 로드. 24년=235m, 25년=2,000m.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2026-04-28T06:57:07Z</dcterms:created>
  <dcterms:modified xmlns:dcterms="http://purl.org/dc/terms/" xmlns:xsi="http://www.w3.org/2001/XMLSchema-instance" xsi:type="dcterms:W3CDTF">2026-04-28T06:58:29Z</dcterms:modified>
</cp:coreProperties>
</file>
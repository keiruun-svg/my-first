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케이블 사용내역" sheetId="1" state="visible" r:id="rId3"/>
    <sheet name="하우징 사용내역" sheetId="2" state="visible" r:id="rId4"/>
    <sheet name="2026 월별 발주계획" sheetId="3" state="visible" r:id="rId5"/>
    <sheet name="⚠ 이상항목 검토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<sst xmlns="http://schemas.openxmlformats.org/spreadsheetml/2006/main" count="678" uniqueCount="208">
  <si>
    <r>
      <rPr>
        <b val="true"/>
        <sz val="13"/>
        <color rgb="FFFFFFFF"/>
        <rFont val="Arial"/>
        <family val="0"/>
        <charset val="1"/>
      </rPr>
      <t xml:space="preserve">2026 </t>
    </r>
    <r>
      <rPr>
        <b val="true"/>
        <sz val="13"/>
        <color rgb="FFFFFFFF"/>
        <rFont val="DejaVu Sans"/>
        <family val="2"/>
      </rPr>
      <t xml:space="preserve">연간 발주 계획 — 케이블 사용내역  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단위 </t>
    </r>
    <r>
      <rPr>
        <b val="true"/>
        <sz val="13"/>
        <color rgb="FFFFFFFF"/>
        <rFont val="Arial"/>
        <family val="0"/>
        <charset val="1"/>
      </rPr>
      <t xml:space="preserve">: m)</t>
    </r>
  </si>
  <si>
    <t xml:space="preserve">기본 정보</t>
  </si>
  <si>
    <r>
      <rPr>
        <b val="true"/>
        <sz val="9"/>
        <color rgb="FFFFFFFF"/>
        <rFont val="Arial"/>
        <family val="0"/>
        <charset val="1"/>
      </rPr>
      <t xml:space="preserve">2023</t>
    </r>
    <r>
      <rPr>
        <b val="true"/>
        <sz val="9"/>
        <color rgb="FFFFFFFF"/>
        <rFont val="DejaVu Sans"/>
        <family val="2"/>
      </rPr>
      <t xml:space="preserve">년</t>
    </r>
  </si>
  <si>
    <r>
      <rPr>
        <b val="true"/>
        <sz val="9"/>
        <color rgb="FFFFFFFF"/>
        <rFont val="Arial"/>
        <family val="0"/>
        <charset val="1"/>
      </rPr>
      <t xml:space="preserve">2024</t>
    </r>
    <r>
      <rPr>
        <b val="true"/>
        <sz val="9"/>
        <color rgb="FFFFFFFF"/>
        <rFont val="DejaVu Sans"/>
        <family val="2"/>
      </rPr>
      <t xml:space="preserve">년</t>
    </r>
  </si>
  <si>
    <r>
      <rPr>
        <b val="true"/>
        <sz val="9"/>
        <color rgb="FF1F3864"/>
        <rFont val="Arial"/>
        <family val="0"/>
        <charset val="1"/>
      </rPr>
      <t xml:space="preserve">2025</t>
    </r>
    <r>
      <rPr>
        <b val="true"/>
        <sz val="9"/>
        <color rgb="FF1F3864"/>
        <rFont val="DejaVu Sans"/>
        <family val="2"/>
      </rPr>
      <t xml:space="preserve">년</t>
    </r>
  </si>
  <si>
    <t xml:space="preserve">📊 트렌드 분석</t>
  </si>
  <si>
    <t xml:space="preserve">⚠ 안전재고</t>
  </si>
  <si>
    <t xml:space="preserve">재고 현황</t>
  </si>
  <si>
    <r>
      <rPr>
        <b val="true"/>
        <sz val="9"/>
        <color rgb="FFFFFFFF"/>
        <rFont val="Arial"/>
        <family val="0"/>
        <charset val="1"/>
      </rPr>
      <t xml:space="preserve">✏ 2026 </t>
    </r>
    <r>
      <rPr>
        <b val="true"/>
        <sz val="9"/>
        <color rgb="FFFFFFFF"/>
        <rFont val="DejaVu Sans"/>
        <family val="2"/>
      </rPr>
      <t xml:space="preserve">발주 계획</t>
    </r>
  </si>
  <si>
    <t xml:space="preserve">비고</t>
  </si>
  <si>
    <r>
      <rPr>
        <b val="true"/>
        <sz val="9"/>
        <color rgb="FFFFFFFF"/>
        <rFont val="DejaVu Sans"/>
        <family val="2"/>
      </rPr>
      <t xml:space="preserve">📊 수요 기반 분석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판매량 </t>
    </r>
    <r>
      <rPr>
        <b val="true"/>
        <sz val="9"/>
        <color rgb="FFFFFFFF"/>
        <rFont val="Arial"/>
        <family val="0"/>
        <charset val="1"/>
      </rPr>
      <t xml:space="preserve">+ </t>
    </r>
    <r>
      <rPr>
        <b val="true"/>
        <sz val="9"/>
        <color rgb="FFFFFFFF"/>
        <rFont val="DejaVu Sans"/>
        <family val="2"/>
      </rPr>
      <t xml:space="preserve">생산비중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</si>
  <si>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NO</t>
  </si>
  <si>
    <t xml:space="preserve">파이</t>
  </si>
  <si>
    <t xml:space="preserve">케이블 종류</t>
  </si>
  <si>
    <t xml:space="preserve">품번</t>
  </si>
  <si>
    <t xml:space="preserve">품명</t>
  </si>
  <si>
    <t xml:space="preserve">구매처</t>
  </si>
  <si>
    <r>
      <rPr>
        <b val="true"/>
        <sz val="9"/>
        <color rgb="FFFFFFFF"/>
        <rFont val="DejaVu Sans"/>
        <family val="2"/>
      </rPr>
      <t xml:space="preserve">리드타임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일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</si>
  <si>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DejaVu Sans"/>
        <family val="2"/>
      </rPr>
      <t xml:space="preserve">연간</t>
    </r>
    <r>
      <rPr>
        <b val="true"/>
        <sz val="9"/>
        <color rgb="FFFFFFFF"/>
        <rFont val="Arial"/>
        <family val="0"/>
        <charset val="1"/>
      </rPr>
      <t xml:space="preserve">(m)</t>
    </r>
  </si>
  <si>
    <r>
      <rPr>
        <b val="true"/>
        <sz val="9"/>
        <color rgb="FFFFFFFF"/>
        <rFont val="DejaVu Sans"/>
        <family val="2"/>
      </rPr>
      <t xml:space="preserve">피크</t>
    </r>
    <r>
      <rPr>
        <b val="true"/>
        <sz val="9"/>
        <color rgb="FFFFFFFF"/>
        <rFont val="Arial"/>
        <family val="0"/>
        <charset val="1"/>
      </rPr>
      <t xml:space="preserve">(m)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</si>
  <si>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DejaVu Sans"/>
        <family val="2"/>
      </rPr>
      <t xml:space="preserve">개년
평균연간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</si>
  <si>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DejaVu Sans"/>
        <family val="2"/>
      </rPr>
      <t xml:space="preserve">개년
피크평균</t>
    </r>
  </si>
  <si>
    <r>
      <rPr>
        <b val="true"/>
        <sz val="9"/>
        <color rgb="FFFFFFFF"/>
        <rFont val="Arial"/>
        <family val="0"/>
        <charset val="1"/>
      </rPr>
      <t xml:space="preserve">23→24
</t>
    </r>
    <r>
      <rPr>
        <b val="true"/>
        <sz val="9"/>
        <color rgb="FFFFFFFF"/>
        <rFont val="DejaVu Sans"/>
        <family val="2"/>
      </rPr>
      <t xml:space="preserve">증감률</t>
    </r>
  </si>
  <si>
    <r>
      <rPr>
        <b val="true"/>
        <sz val="9"/>
        <color rgb="FFFFFFFF"/>
        <rFont val="Arial"/>
        <family val="0"/>
        <charset val="1"/>
      </rPr>
      <t xml:space="preserve">24→25
</t>
    </r>
    <r>
      <rPr>
        <b val="true"/>
        <sz val="9"/>
        <color rgb="FFFFFFFF"/>
        <rFont val="DejaVu Sans"/>
        <family val="2"/>
      </rPr>
      <t xml:space="preserve">증감률</t>
    </r>
  </si>
  <si>
    <r>
      <rPr>
        <b val="true"/>
        <sz val="9"/>
        <color rgb="FFFFFFFF"/>
        <rFont val="DejaVu Sans"/>
        <family val="2"/>
      </rPr>
      <t xml:space="preserve">안전재고
</t>
    </r>
    <r>
      <rPr>
        <b val="true"/>
        <sz val="9"/>
        <color rgb="FFFFFFFF"/>
        <rFont val="Arial"/>
        <family val="0"/>
        <charset val="1"/>
      </rPr>
      <t xml:space="preserve">(m)</t>
    </r>
  </si>
  <si>
    <r>
      <rPr>
        <b val="true"/>
        <sz val="9"/>
        <color rgb="FFFFFFFF"/>
        <rFont val="DejaVu Sans"/>
        <family val="2"/>
      </rPr>
      <t xml:space="preserve">현재고
</t>
    </r>
    <r>
      <rPr>
        <b val="true"/>
        <sz val="9"/>
        <color rgb="FFFFFFFF"/>
        <rFont val="Arial"/>
        <family val="0"/>
        <charset val="1"/>
      </rPr>
      <t xml:space="preserve">(m)</t>
    </r>
  </si>
  <si>
    <r>
      <rPr>
        <b val="true"/>
        <sz val="9"/>
        <color rgb="FFFFFFFF"/>
        <rFont val="DejaVu Sans"/>
        <family val="2"/>
      </rPr>
      <t xml:space="preserve">기발주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참고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</si>
  <si>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2026</t>
    </r>
    <r>
      <rPr>
        <b val="true"/>
        <sz val="9"/>
        <color rgb="FFFFFFFF"/>
        <rFont val="DejaVu Sans"/>
        <family val="2"/>
      </rPr>
      <t xml:space="preserve">목표
</t>
    </r>
    <r>
      <rPr>
        <b val="true"/>
        <sz val="9"/>
        <color rgb="FFFFFFFF"/>
        <rFont val="Arial"/>
        <family val="0"/>
        <charset val="1"/>
      </rPr>
      <t xml:space="preserve">(m)</t>
    </r>
  </si>
  <si>
    <r>
      <rPr>
        <b val="true"/>
        <sz val="9"/>
        <color rgb="FFFFFFFF"/>
        <rFont val="DejaVu Sans"/>
        <family val="2"/>
      </rPr>
      <t xml:space="preserve">필요발주
</t>
    </r>
    <r>
      <rPr>
        <b val="true"/>
        <sz val="9"/>
        <color rgb="FFFFFFFF"/>
        <rFont val="Arial"/>
        <family val="0"/>
        <charset val="1"/>
      </rPr>
      <t xml:space="preserve">(m)</t>
    </r>
  </si>
  <si>
    <r>
      <rPr>
        <b val="true"/>
        <sz val="9"/>
        <color rgb="FFFFFFFF"/>
        <rFont val="Arial"/>
        <family val="0"/>
        <charset val="1"/>
      </rPr>
      <t xml:space="preserve">2026 </t>
    </r>
    <r>
      <rPr>
        <b val="true"/>
        <sz val="9"/>
        <color rgb="FFFFFFFF"/>
        <rFont val="DejaVu Sans"/>
        <family val="2"/>
      </rPr>
      <t xml:space="preserve">제안량
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수요기반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</si>
  <si>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vs 3</t>
    </r>
    <r>
      <rPr>
        <b val="true"/>
        <sz val="9"/>
        <color rgb="FFFFFFFF"/>
        <rFont val="DejaVu Sans"/>
        <family val="2"/>
      </rPr>
      <t xml:space="preserve">개년평균
비교</t>
    </r>
  </si>
  <si>
    <t xml:space="preserve">평균
생산비중</t>
  </si>
  <si>
    <t xml:space="preserve">판매
트렌드</t>
  </si>
  <si>
    <t xml:space="preserve">수입의존
위험도</t>
  </si>
  <si>
    <t xml:space="preserve">2.0mm</t>
  </si>
  <si>
    <t xml:space="preserve">A1-12C</t>
  </si>
  <si>
    <t xml:space="preserve">P14-RM-4204C</t>
  </si>
  <si>
    <t xml:space="preserve">DISTRIBUTION CABLE G657A1 (12C)</t>
  </si>
  <si>
    <t xml:space="preserve">CFOFC</t>
  </si>
  <si>
    <t xml:space="preserve">🟢 안전</t>
  </si>
  <si>
    <t xml:space="preserve">A1-16C</t>
  </si>
  <si>
    <t xml:space="preserve">P14-RM-4205C</t>
  </si>
  <si>
    <t xml:space="preserve">DISTRIBUTION CABLE G657A1 (16C)</t>
  </si>
  <si>
    <t xml:space="preserve">A1-20C</t>
  </si>
  <si>
    <t xml:space="preserve">P14-RM-4206</t>
  </si>
  <si>
    <t xml:space="preserve">DISTRIBUTION CABLE G657A1 (20C)</t>
  </si>
  <si>
    <t xml:space="preserve">A1-24C</t>
  </si>
  <si>
    <t xml:space="preserve">P14-RM-4207</t>
  </si>
  <si>
    <t xml:space="preserve">DISTRIBUTION CABLE G657A1 (24C)</t>
  </si>
  <si>
    <t xml:space="preserve">⬜ 데이터없음</t>
  </si>
  <si>
    <t xml:space="preserve">A1-8C</t>
  </si>
  <si>
    <t xml:space="preserve">P14-RM-4203C</t>
  </si>
  <si>
    <t xml:space="preserve">DISTRIBUTION CABLE G657A1 (8C)</t>
  </si>
  <si>
    <t xml:space="preserve">A1-DP</t>
  </si>
  <si>
    <t xml:space="preserve">P14-RM-4189R</t>
  </si>
  <si>
    <r>
      <rPr>
        <sz val="9"/>
        <color rgb="FF000000"/>
        <rFont val="Arial"/>
        <family val="0"/>
        <charset val="1"/>
      </rPr>
      <t xml:space="preserve">OPTICAL CABLE 2.0mm G657A1 DP-SM (YELLOW,</t>
    </r>
    <r>
      <rPr>
        <sz val="9"/>
        <color rgb="FF000000"/>
        <rFont val="DejaVu Sans"/>
        <family val="2"/>
      </rPr>
      <t xml:space="preserve">황</t>
    </r>
    <r>
      <rPr>
        <sz val="9"/>
        <color rgb="FF000000"/>
        <rFont val="Arial"/>
        <family val="0"/>
        <charset val="1"/>
      </rPr>
      <t xml:space="preserve">)</t>
    </r>
  </si>
  <si>
    <t xml:space="preserve">HUAMAI</t>
  </si>
  <si>
    <t xml:space="preserve">🟠 주의</t>
  </si>
  <si>
    <t xml:space="preserve">A1-SP</t>
  </si>
  <si>
    <t xml:space="preserve">P14-RM-4188</t>
  </si>
  <si>
    <r>
      <rPr>
        <sz val="9"/>
        <color rgb="FF000000"/>
        <rFont val="Arial"/>
        <family val="0"/>
        <charset val="1"/>
      </rPr>
      <t xml:space="preserve">OPTICAL CABLE 2.0mm G657A1 SP-SM (YELLOW,</t>
    </r>
    <r>
      <rPr>
        <sz val="9"/>
        <color rgb="FF000000"/>
        <rFont val="DejaVu Sans"/>
        <family val="2"/>
      </rPr>
      <t xml:space="preserve">황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</si>
  <si>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A1_</t>
    </r>
    <r>
      <rPr>
        <sz val="9"/>
        <color rgb="FF000000"/>
        <rFont val="DejaVu Sans"/>
        <family val="2"/>
      </rPr>
      <t xml:space="preserve">녹</t>
    </r>
    <r>
      <rPr>
        <sz val="9"/>
        <color rgb="FF000000"/>
        <rFont val="Arial"/>
        <family val="0"/>
        <charset val="1"/>
      </rPr>
      <t xml:space="preserve">-DP</t>
    </r>
  </si>
  <si>
    <t xml:space="preserve">P14-RM-4183</t>
  </si>
  <si>
    <r>
      <rPr>
        <sz val="9"/>
        <color rgb="FF000000"/>
        <rFont val="Arial"/>
        <family val="0"/>
        <charset val="1"/>
      </rPr>
      <t xml:space="preserve">OPTICAL CABLE 2.0mm G657A1 DP-SM (GREEN,</t>
    </r>
    <r>
      <rPr>
        <sz val="9"/>
        <color rgb="FF000000"/>
        <rFont val="DejaVu Sans"/>
        <family val="2"/>
      </rPr>
      <t xml:space="preserve">녹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</si>
  <si>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A1_</t>
    </r>
    <r>
      <rPr>
        <sz val="9"/>
        <color rgb="FF000000"/>
        <rFont val="DejaVu Sans"/>
        <family val="2"/>
      </rPr>
      <t xml:space="preserve">녹</t>
    </r>
    <r>
      <rPr>
        <sz val="9"/>
        <color rgb="FF000000"/>
        <rFont val="Arial"/>
        <family val="0"/>
        <charset val="1"/>
      </rPr>
      <t xml:space="preserve">-SP</t>
    </r>
  </si>
  <si>
    <t xml:space="preserve">P14-RM-4184</t>
  </si>
  <si>
    <r>
      <rPr>
        <sz val="9"/>
        <color rgb="FF000000"/>
        <rFont val="Arial"/>
        <family val="0"/>
        <charset val="1"/>
      </rPr>
      <t xml:space="preserve">OPTICAL CABLE 2.0mm G657A1 SP-SM (GREEN,</t>
    </r>
    <r>
      <rPr>
        <sz val="9"/>
        <color rgb="FF000000"/>
        <rFont val="DejaVu Sans"/>
        <family val="2"/>
      </rPr>
      <t xml:space="preserve">녹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</si>
  <si>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A1_</t>
    </r>
    <r>
      <rPr>
        <sz val="9"/>
        <color rgb="FF000000"/>
        <rFont val="DejaVu Sans"/>
        <family val="2"/>
      </rPr>
      <t xml:space="preserve">자</t>
    </r>
    <r>
      <rPr>
        <sz val="9"/>
        <color rgb="FF000000"/>
        <rFont val="Arial"/>
        <family val="0"/>
        <charset val="1"/>
      </rPr>
      <t xml:space="preserve">-DP</t>
    </r>
  </si>
  <si>
    <t xml:space="preserve">P14-RM-418F</t>
  </si>
  <si>
    <r>
      <rPr>
        <sz val="9"/>
        <color rgb="FF000000"/>
        <rFont val="Arial"/>
        <family val="0"/>
        <charset val="1"/>
      </rPr>
      <t xml:space="preserve">OPTICAL CABLE 2.0mm G657A1 DP-SM (VIOLET, </t>
    </r>
    <r>
      <rPr>
        <sz val="9"/>
        <color rgb="FF000000"/>
        <rFont val="DejaVu Sans"/>
        <family val="2"/>
      </rPr>
      <t xml:space="preserve">자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</si>
  <si>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A1_</t>
    </r>
    <r>
      <rPr>
        <sz val="9"/>
        <color rgb="FF000000"/>
        <rFont val="DejaVu Sans"/>
        <family val="2"/>
      </rPr>
      <t xml:space="preserve">적</t>
    </r>
    <r>
      <rPr>
        <sz val="9"/>
        <color rgb="FF000000"/>
        <rFont val="Arial"/>
        <family val="0"/>
        <charset val="1"/>
      </rPr>
      <t xml:space="preserve">-DP</t>
    </r>
  </si>
  <si>
    <t xml:space="preserve">P14-RM-418CR</t>
  </si>
  <si>
    <r>
      <rPr>
        <sz val="9"/>
        <color rgb="FF000000"/>
        <rFont val="Arial"/>
        <family val="0"/>
        <charset val="1"/>
      </rPr>
      <t xml:space="preserve">OPTICAL CABLE 2.0mm G657A1 DP-SM (RED,</t>
    </r>
    <r>
      <rPr>
        <sz val="9"/>
        <color rgb="FF000000"/>
        <rFont val="DejaVu Sans"/>
        <family val="2"/>
      </rPr>
      <t xml:space="preserve">적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</si>
  <si>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A1_</t>
    </r>
    <r>
      <rPr>
        <sz val="9"/>
        <color rgb="FF000000"/>
        <rFont val="DejaVu Sans"/>
        <family val="2"/>
      </rPr>
      <t xml:space="preserve">적</t>
    </r>
    <r>
      <rPr>
        <sz val="9"/>
        <color rgb="FF000000"/>
        <rFont val="Arial"/>
        <family val="0"/>
        <charset val="1"/>
      </rPr>
      <t xml:space="preserve">-SP</t>
    </r>
  </si>
  <si>
    <t xml:space="preserve">P14-RM-418D</t>
  </si>
  <si>
    <r>
      <rPr>
        <sz val="9"/>
        <color rgb="FF000000"/>
        <rFont val="Arial"/>
        <family val="0"/>
        <charset val="1"/>
      </rPr>
      <t xml:space="preserve">OPTICAL CABLE 2.0mm G657A1 SP-SM (RED,</t>
    </r>
    <r>
      <rPr>
        <sz val="9"/>
        <color rgb="FF000000"/>
        <rFont val="DejaVu Sans"/>
        <family val="2"/>
      </rPr>
      <t xml:space="preserve">적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</si>
  <si>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A1_</t>
    </r>
    <r>
      <rPr>
        <sz val="9"/>
        <color rgb="FF000000"/>
        <rFont val="DejaVu Sans"/>
        <family val="2"/>
      </rPr>
      <t xml:space="preserve">청</t>
    </r>
    <r>
      <rPr>
        <sz val="9"/>
        <color rgb="FF000000"/>
        <rFont val="Arial"/>
        <family val="0"/>
        <charset val="1"/>
      </rPr>
      <t xml:space="preserve">-DP</t>
    </r>
  </si>
  <si>
    <t xml:space="preserve">P14-RM-4181R</t>
  </si>
  <si>
    <r>
      <rPr>
        <sz val="9"/>
        <color rgb="FF000000"/>
        <rFont val="Arial"/>
        <family val="0"/>
        <charset val="1"/>
      </rPr>
      <t xml:space="preserve">OPTICAL CABLE 2.0mm G657A1 DP-SM (BLUE,</t>
    </r>
    <r>
      <rPr>
        <sz val="9"/>
        <color rgb="FF000000"/>
        <rFont val="DejaVu Sans"/>
        <family val="2"/>
      </rPr>
      <t xml:space="preserve">청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</si>
  <si>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A1_</t>
    </r>
    <r>
      <rPr>
        <sz val="9"/>
        <color rgb="FF000000"/>
        <rFont val="DejaVu Sans"/>
        <family val="2"/>
      </rPr>
      <t xml:space="preserve">청</t>
    </r>
    <r>
      <rPr>
        <sz val="9"/>
        <color rgb="FF000000"/>
        <rFont val="Arial"/>
        <family val="0"/>
        <charset val="1"/>
      </rPr>
      <t xml:space="preserve">-SP</t>
    </r>
  </si>
  <si>
    <t xml:space="preserve">P14-RM-4182</t>
  </si>
  <si>
    <r>
      <rPr>
        <sz val="9"/>
        <color rgb="FF000000"/>
        <rFont val="Arial"/>
        <family val="0"/>
        <charset val="1"/>
      </rPr>
      <t xml:space="preserve">OPTICAL CABLE 2.0mm G657A1 SP-SM (BLUE,</t>
    </r>
    <r>
      <rPr>
        <sz val="9"/>
        <color rgb="FF000000"/>
        <rFont val="DejaVu Sans"/>
        <family val="2"/>
      </rPr>
      <t xml:space="preserve">청</t>
    </r>
    <r>
      <rPr>
        <sz val="9"/>
        <color rgb="FF000000"/>
        <rFont val="Arial"/>
        <family val="0"/>
        <charset val="1"/>
      </rPr>
      <t xml:space="preserve">)</t>
    </r>
  </si>
  <si>
    <t xml:space="preserve">🔴 고위험</t>
  </si>
  <si>
    <t xml:space="preserve">B3-12C</t>
  </si>
  <si>
    <t xml:space="preserve">P14-RM-420B</t>
  </si>
  <si>
    <t xml:space="preserve">DISTRIBUTION CABLE G657 B3 (12C)</t>
  </si>
  <si>
    <t xml:space="preserve">B3-16C</t>
  </si>
  <si>
    <r>
      <rPr>
        <sz val="9"/>
        <color rgb="FF000000"/>
        <rFont val="Arial"/>
        <family val="0"/>
        <charset val="1"/>
      </rPr>
      <t xml:space="preserve">A1 </t>
    </r>
    <r>
      <rPr>
        <sz val="9"/>
        <color rgb="FF000000"/>
        <rFont val="DejaVu Sans"/>
        <family val="2"/>
      </rPr>
      <t xml:space="preserve">케이블 혼용</t>
    </r>
  </si>
  <si>
    <t xml:space="preserve">B3-24C</t>
  </si>
  <si>
    <t xml:space="preserve">B3-4C</t>
  </si>
  <si>
    <t xml:space="preserve">B3-6C</t>
  </si>
  <si>
    <t xml:space="preserve">P14-RM-420A</t>
  </si>
  <si>
    <t xml:space="preserve">DISTRIBUTION CABLE G657 B3 (6C)</t>
  </si>
  <si>
    <t xml:space="preserve">B3-8C</t>
  </si>
  <si>
    <t xml:space="preserve">B3-DP</t>
  </si>
  <si>
    <t xml:space="preserve">P14-RM-418R</t>
  </si>
  <si>
    <r>
      <rPr>
        <sz val="9"/>
        <color rgb="FF000000"/>
        <rFont val="Arial"/>
        <family val="0"/>
        <charset val="1"/>
      </rPr>
      <t xml:space="preserve">OPTICAL CABLE 2.0mm G657 B3 DP-SM (YELLOW,</t>
    </r>
    <r>
      <rPr>
        <sz val="9"/>
        <color rgb="FF000000"/>
        <rFont val="DejaVu Sans"/>
        <family val="2"/>
      </rPr>
      <t xml:space="preserve">황</t>
    </r>
    <r>
      <rPr>
        <sz val="9"/>
        <color rgb="FF000000"/>
        <rFont val="Arial"/>
        <family val="0"/>
        <charset val="1"/>
      </rPr>
      <t xml:space="preserve">)</t>
    </r>
  </si>
  <si>
    <t xml:space="preserve">무송지오씨</t>
  </si>
  <si>
    <t xml:space="preserve">B3-SP</t>
  </si>
  <si>
    <t xml:space="preserve">P14-RM-418Q</t>
  </si>
  <si>
    <r>
      <rPr>
        <sz val="9"/>
        <color rgb="FF000000"/>
        <rFont val="Arial"/>
        <family val="0"/>
        <charset val="1"/>
      </rPr>
      <t xml:space="preserve">OPTICAL CABLE 2.0mm G657 B3 SP-SM (YELLOW,</t>
    </r>
    <r>
      <rPr>
        <sz val="9"/>
        <color rgb="FF000000"/>
        <rFont val="DejaVu Sans"/>
        <family val="2"/>
      </rPr>
      <t xml:space="preserve">황</t>
    </r>
    <r>
      <rPr>
        <sz val="9"/>
        <color rgb="FF000000"/>
        <rFont val="Arial"/>
        <family val="0"/>
        <charset val="1"/>
      </rPr>
      <t xml:space="preserve">)</t>
    </r>
  </si>
  <si>
    <t xml:space="preserve">OM1-DP</t>
  </si>
  <si>
    <t xml:space="preserve">P14-RM-4185R</t>
  </si>
  <si>
    <r>
      <rPr>
        <sz val="9"/>
        <color rgb="FF000000"/>
        <rFont val="Arial"/>
        <family val="0"/>
        <charset val="1"/>
      </rPr>
      <t xml:space="preserve">OPTICAL CABLE 2.0mm DP-MM(OM1) (ORANGE,</t>
    </r>
    <r>
      <rPr>
        <sz val="9"/>
        <color rgb="FF000000"/>
        <rFont val="DejaVu Sans"/>
        <family val="2"/>
      </rPr>
      <t xml:space="preserve">등</t>
    </r>
    <r>
      <rPr>
        <sz val="9"/>
        <color rgb="FF000000"/>
        <rFont val="Arial"/>
        <family val="0"/>
        <charset val="1"/>
      </rPr>
      <t xml:space="preserve">)</t>
    </r>
  </si>
  <si>
    <t xml:space="preserve">OM1-SP</t>
  </si>
  <si>
    <t xml:space="preserve">P14-RM-418E</t>
  </si>
  <si>
    <r>
      <rPr>
        <sz val="9"/>
        <color rgb="FF000000"/>
        <rFont val="Arial"/>
        <family val="0"/>
        <charset val="1"/>
      </rPr>
      <t xml:space="preserve">OPTICAL CABLE 2.0mm SP-MM(OM1) (ORANGE,</t>
    </r>
    <r>
      <rPr>
        <sz val="9"/>
        <color rgb="FF000000"/>
        <rFont val="DejaVu Sans"/>
        <family val="2"/>
      </rPr>
      <t xml:space="preserve">등</t>
    </r>
    <r>
      <rPr>
        <sz val="9"/>
        <color rgb="FF000000"/>
        <rFont val="Arial"/>
        <family val="0"/>
        <charset val="1"/>
      </rPr>
      <t xml:space="preserve">)</t>
    </r>
  </si>
  <si>
    <t xml:space="preserve">OM3-DP</t>
  </si>
  <si>
    <t xml:space="preserve">P14-RM-418BR</t>
  </si>
  <si>
    <r>
      <rPr>
        <sz val="9"/>
        <color rgb="FF000000"/>
        <rFont val="Arial"/>
        <family val="0"/>
        <charset val="1"/>
      </rPr>
      <t xml:space="preserve">OPTICAL CABLE 2.0mm DP-MM(OM3) (AQUA,</t>
    </r>
    <r>
      <rPr>
        <sz val="9"/>
        <color rgb="FF000000"/>
        <rFont val="DejaVu Sans"/>
        <family val="2"/>
      </rPr>
      <t xml:space="preserve">연청</t>
    </r>
    <r>
      <rPr>
        <sz val="9"/>
        <color rgb="FF000000"/>
        <rFont val="Arial"/>
        <family val="0"/>
        <charset val="1"/>
      </rPr>
      <t xml:space="preserve">)</t>
    </r>
  </si>
  <si>
    <t xml:space="preserve">OM3-SP</t>
  </si>
  <si>
    <t xml:space="preserve">Optical cable</t>
  </si>
  <si>
    <t xml:space="preserve">P14-RM-4382</t>
  </si>
  <si>
    <t xml:space="preserve">OPTICAL CABLE 5.0mm SM-SP (BLACK)</t>
  </si>
  <si>
    <t xml:space="preserve">PIGTAIL</t>
  </si>
  <si>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확인필요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</si>
  <si>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OPTICAL CABLE 2.0mm (2.0mm </t>
    </r>
    <r>
      <rPr>
        <sz val="9"/>
        <color rgb="FF000000"/>
        <rFont val="DejaVu Sans"/>
        <family val="2"/>
      </rPr>
      <t xml:space="preserve">자켓 피그테일용</t>
    </r>
    <r>
      <rPr>
        <sz val="9"/>
        <color rgb="FF000000"/>
        <rFont val="Arial"/>
        <family val="0"/>
        <charset val="1"/>
      </rPr>
      <t xml:space="preserve">)</t>
    </r>
  </si>
  <si>
    <t xml:space="preserve">3.0mm</t>
  </si>
  <si>
    <t xml:space="preserve">P14-RM-4196</t>
  </si>
  <si>
    <r>
      <rPr>
        <sz val="9"/>
        <color rgb="FF000000"/>
        <rFont val="Arial"/>
        <family val="0"/>
        <charset val="1"/>
      </rPr>
      <t xml:space="preserve">OPTICAL CABLE 3.0mm G657 B3 DP-SM (YELLOW,</t>
    </r>
    <r>
      <rPr>
        <sz val="9"/>
        <color rgb="FF000000"/>
        <rFont val="DejaVu Sans"/>
        <family val="2"/>
      </rPr>
      <t xml:space="preserve">황</t>
    </r>
    <r>
      <rPr>
        <sz val="9"/>
        <color rgb="FF000000"/>
        <rFont val="Arial"/>
        <family val="0"/>
        <charset val="1"/>
      </rPr>
      <t xml:space="preserve">)</t>
    </r>
  </si>
  <si>
    <t xml:space="preserve">P14-RM-4195</t>
  </si>
  <si>
    <r>
      <rPr>
        <sz val="9"/>
        <color rgb="FF000000"/>
        <rFont val="Arial"/>
        <family val="0"/>
        <charset val="1"/>
      </rPr>
      <t xml:space="preserve">OPTICAL CABLE 3.0mm G657 B3 SP-SM (YELLOW,</t>
    </r>
    <r>
      <rPr>
        <sz val="9"/>
        <color rgb="FF000000"/>
        <rFont val="DejaVu Sans"/>
        <family val="2"/>
      </rPr>
      <t xml:space="preserve">황</t>
    </r>
    <r>
      <rPr>
        <sz val="9"/>
        <color rgb="FF000000"/>
        <rFont val="Arial"/>
        <family val="0"/>
        <charset val="1"/>
      </rPr>
      <t xml:space="preserve">)</t>
    </r>
  </si>
  <si>
    <t xml:space="preserve">DROP</t>
  </si>
  <si>
    <t xml:space="preserve">P14-RM-4191</t>
  </si>
  <si>
    <t xml:space="preserve">DROP OPTICAL CABLE 3.0mm SP- SM (BLACK)</t>
  </si>
  <si>
    <t xml:space="preserve">합  계</t>
  </si>
  <si>
    <r>
      <rPr>
        <b val="true"/>
        <sz val="13"/>
        <color rgb="FFFFFFFF"/>
        <rFont val="Arial"/>
        <family val="0"/>
        <charset val="1"/>
      </rPr>
      <t xml:space="preserve">2026 </t>
    </r>
    <r>
      <rPr>
        <b val="true"/>
        <sz val="13"/>
        <color rgb="FFFFFFFF"/>
        <rFont val="DejaVu Sans"/>
        <family val="2"/>
      </rPr>
      <t xml:space="preserve">연간 발주 계획 — 하우징 사용내역  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단위 </t>
    </r>
    <r>
      <rPr>
        <b val="true"/>
        <sz val="13"/>
        <color rgb="FFFFFFFF"/>
        <rFont val="Arial"/>
        <family val="0"/>
        <charset val="1"/>
      </rPr>
      <t xml:space="preserve">: EA)</t>
    </r>
  </si>
  <si>
    <t xml:space="preserve">하우징 타입</t>
  </si>
  <si>
    <r>
      <rPr>
        <b val="true"/>
        <sz val="9"/>
        <color rgb="FFFFFFFF"/>
        <rFont val="DejaVu Sans"/>
        <family val="2"/>
      </rPr>
      <t xml:space="preserve">연간</t>
    </r>
    <r>
      <rPr>
        <b val="true"/>
        <sz val="9"/>
        <color rgb="FFFFFFFF"/>
        <rFont val="Arial"/>
        <family val="0"/>
        <charset val="1"/>
      </rPr>
      <t xml:space="preserve">(EA)</t>
    </r>
  </si>
  <si>
    <r>
      <rPr>
        <b val="true"/>
        <sz val="9"/>
        <color rgb="FFFFFFFF"/>
        <rFont val="DejaVu Sans"/>
        <family val="2"/>
      </rPr>
      <t xml:space="preserve">피크</t>
    </r>
    <r>
      <rPr>
        <b val="true"/>
        <sz val="9"/>
        <color rgb="FFFFFFFF"/>
        <rFont val="Arial"/>
        <family val="0"/>
        <charset val="1"/>
      </rPr>
      <t xml:space="preserve">(EA)</t>
    </r>
  </si>
  <si>
    <r>
      <rPr>
        <b val="true"/>
        <sz val="9"/>
        <color rgb="FFFFFFFF"/>
        <rFont val="DejaVu Sans"/>
        <family val="2"/>
      </rPr>
      <t xml:space="preserve">안전재고
</t>
    </r>
    <r>
      <rPr>
        <b val="true"/>
        <sz val="9"/>
        <color rgb="FFFFFFFF"/>
        <rFont val="Arial"/>
        <family val="0"/>
        <charset val="1"/>
      </rPr>
      <t xml:space="preserve">(EA)</t>
    </r>
  </si>
  <si>
    <r>
      <rPr>
        <b val="true"/>
        <sz val="9"/>
        <color rgb="FFFFFFFF"/>
        <rFont val="DejaVu Sans"/>
        <family val="2"/>
      </rPr>
      <t xml:space="preserve">현재고
</t>
    </r>
    <r>
      <rPr>
        <b val="true"/>
        <sz val="9"/>
        <color rgb="FFFFFFFF"/>
        <rFont val="Arial"/>
        <family val="0"/>
        <charset val="1"/>
      </rPr>
      <t xml:space="preserve">(EA)</t>
    </r>
  </si>
  <si>
    <r>
      <rPr>
        <b val="true"/>
        <sz val="9"/>
        <color rgb="FFFFFFFF"/>
        <rFont val="Arial"/>
        <family val="0"/>
        <charset val="1"/>
      </rPr>
      <t xml:space="preserve">2026</t>
    </r>
    <r>
      <rPr>
        <b val="true"/>
        <sz val="9"/>
        <color rgb="FFFFFFFF"/>
        <rFont val="DejaVu Sans"/>
        <family val="2"/>
      </rPr>
      <t xml:space="preserve">목표
</t>
    </r>
    <r>
      <rPr>
        <b val="true"/>
        <sz val="9"/>
        <color rgb="FFFFFFFF"/>
        <rFont val="Arial"/>
        <family val="0"/>
        <charset val="1"/>
      </rPr>
      <t xml:space="preserve">(EA)</t>
    </r>
  </si>
  <si>
    <r>
      <rPr>
        <b val="true"/>
        <sz val="9"/>
        <color rgb="FFFFFFFF"/>
        <rFont val="DejaVu Sans"/>
        <family val="2"/>
      </rPr>
      <t xml:space="preserve">필요발주
</t>
    </r>
    <r>
      <rPr>
        <b val="true"/>
        <sz val="9"/>
        <color rgb="FFFFFFFF"/>
        <rFont val="Arial"/>
        <family val="0"/>
        <charset val="1"/>
      </rPr>
      <t xml:space="preserve">(EA)</t>
    </r>
  </si>
  <si>
    <r>
      <rPr>
        <sz val="9"/>
        <color rgb="FF000000"/>
        <rFont val="Arial"/>
        <family val="0"/>
        <charset val="1"/>
      </rPr>
      <t xml:space="preserve">FC/APC </t>
    </r>
    <r>
      <rPr>
        <sz val="9"/>
        <color rgb="FF000000"/>
        <rFont val="DejaVu Sans"/>
        <family val="2"/>
      </rPr>
      <t xml:space="preserve">녹색</t>
    </r>
  </si>
  <si>
    <t xml:space="preserve">P14-FS-4227</t>
  </si>
  <si>
    <t xml:space="preserve">OJC HOUSING KIT (OJC FC/APC 2.0 GREEN)</t>
  </si>
  <si>
    <t xml:space="preserve">FIBERCAN</t>
  </si>
  <si>
    <r>
      <rPr>
        <sz val="9"/>
        <color rgb="FF000000"/>
        <rFont val="Arial"/>
        <family val="0"/>
        <charset val="1"/>
      </rPr>
      <t xml:space="preserve">FC/APC </t>
    </r>
    <r>
      <rPr>
        <sz val="9"/>
        <color rgb="FF000000"/>
        <rFont val="DejaVu Sans"/>
        <family val="2"/>
      </rPr>
      <t xml:space="preserve">적색</t>
    </r>
  </si>
  <si>
    <t xml:space="preserve">P14-FS-422G</t>
  </si>
  <si>
    <t xml:space="preserve">OJC HOUSING KIT (OJC FC/PC,APC 2.0 RED)</t>
  </si>
  <si>
    <r>
      <rPr>
        <sz val="9"/>
        <color rgb="FF000000"/>
        <rFont val="Arial"/>
        <family val="0"/>
        <charset val="1"/>
      </rPr>
      <t xml:space="preserve">FC/PC </t>
    </r>
    <r>
      <rPr>
        <sz val="9"/>
        <color rgb="FF000000"/>
        <rFont val="DejaVu Sans"/>
        <family val="2"/>
      </rPr>
      <t xml:space="preserve">적색</t>
    </r>
  </si>
  <si>
    <r>
      <rPr>
        <sz val="9"/>
        <color rgb="FF000000"/>
        <rFont val="Arial"/>
        <family val="0"/>
        <charset val="1"/>
      </rPr>
      <t xml:space="preserve">FC/PC </t>
    </r>
    <r>
      <rPr>
        <sz val="9"/>
        <color rgb="FF000000"/>
        <rFont val="DejaVu Sans"/>
        <family val="2"/>
      </rPr>
      <t xml:space="preserve">흑색</t>
    </r>
  </si>
  <si>
    <t xml:space="preserve">P14-FS-4229</t>
  </si>
  <si>
    <t xml:space="preserve">OJC HOUSING KIT (OJC FC/PC 2.0 BLACK)</t>
  </si>
  <si>
    <r>
      <rPr>
        <sz val="9"/>
        <color rgb="FF000000"/>
        <rFont val="Arial"/>
        <family val="0"/>
        <charset val="1"/>
      </rPr>
      <t xml:space="preserve">LC/APC </t>
    </r>
    <r>
      <rPr>
        <sz val="9"/>
        <color rgb="FF000000"/>
        <rFont val="DejaVu Sans"/>
        <family val="2"/>
      </rPr>
      <t xml:space="preserve">녹색</t>
    </r>
  </si>
  <si>
    <t xml:space="preserve">P14-LS-4224</t>
  </si>
  <si>
    <t xml:space="preserve">OJC HOUSING KIT (OJC LC/APC 2.0 GREEN)</t>
  </si>
  <si>
    <r>
      <rPr>
        <sz val="9"/>
        <color rgb="FF000000"/>
        <rFont val="Arial"/>
        <family val="0"/>
        <charset val="1"/>
      </rPr>
      <t xml:space="preserve">LC/APC </t>
    </r>
    <r>
      <rPr>
        <sz val="9"/>
        <color rgb="FF000000"/>
        <rFont val="DejaVu Sans"/>
        <family val="2"/>
      </rPr>
      <t xml:space="preserve">적색</t>
    </r>
  </si>
  <si>
    <r>
      <rPr>
        <sz val="9"/>
        <color rgb="FF000000"/>
        <rFont val="Arial"/>
        <family val="0"/>
        <charset val="1"/>
      </rPr>
      <t xml:space="preserve">LC/PC </t>
    </r>
    <r>
      <rPr>
        <sz val="9"/>
        <color rgb="FF000000"/>
        <rFont val="DejaVu Sans"/>
        <family val="2"/>
      </rPr>
      <t xml:space="preserve">베이지</t>
    </r>
    <r>
      <rPr>
        <sz val="9"/>
        <color rgb="FF000000"/>
        <rFont val="Arial"/>
        <family val="0"/>
        <charset val="1"/>
      </rPr>
      <t xml:space="preserve">MM</t>
    </r>
  </si>
  <si>
    <t xml:space="preserve">P14-LM-4226</t>
  </si>
  <si>
    <t xml:space="preserve">OJC HOUSING KIT (OJC LC/PC-MM 2.0 BEIGE)</t>
  </si>
  <si>
    <r>
      <rPr>
        <sz val="9"/>
        <color rgb="FF000000"/>
        <rFont val="Arial"/>
        <family val="0"/>
        <charset val="1"/>
      </rPr>
      <t xml:space="preserve">LC/PC </t>
    </r>
    <r>
      <rPr>
        <sz val="9"/>
        <color rgb="FF000000"/>
        <rFont val="DejaVu Sans"/>
        <family val="2"/>
      </rPr>
      <t xml:space="preserve">적색</t>
    </r>
  </si>
  <si>
    <t xml:space="preserve">P14-LS-422A</t>
  </si>
  <si>
    <t xml:space="preserve">OJC HOUSING KIT (OJC LC/PC 2.0 RED)</t>
  </si>
  <si>
    <r>
      <rPr>
        <sz val="9"/>
        <color rgb="FF000000"/>
        <rFont val="Arial"/>
        <family val="0"/>
        <charset val="1"/>
      </rPr>
      <t xml:space="preserve">LC/PC </t>
    </r>
    <r>
      <rPr>
        <sz val="9"/>
        <color rgb="FF000000"/>
        <rFont val="DejaVu Sans"/>
        <family val="2"/>
      </rPr>
      <t xml:space="preserve">청색</t>
    </r>
  </si>
  <si>
    <t xml:space="preserve">P14-LS-4228</t>
  </si>
  <si>
    <t xml:space="preserve">OJC HOUSING KIT (OJC LC/PC 2.0 BLUE)</t>
  </si>
  <si>
    <r>
      <rPr>
        <sz val="9"/>
        <color rgb="FF000000"/>
        <rFont val="Arial"/>
        <family val="0"/>
        <charset val="1"/>
      </rPr>
      <t xml:space="preserve">SC/APC </t>
    </r>
    <r>
      <rPr>
        <sz val="9"/>
        <color rgb="FF000000"/>
        <rFont val="DejaVu Sans"/>
        <family val="2"/>
      </rPr>
      <t xml:space="preserve">녹색</t>
    </r>
  </si>
  <si>
    <t xml:space="preserve">N94-1-04075</t>
  </si>
  <si>
    <t xml:space="preserve">SPRING</t>
  </si>
  <si>
    <t xml:space="preserve">상영스프링</t>
  </si>
  <si>
    <r>
      <rPr>
        <sz val="9"/>
        <color rgb="FF000000"/>
        <rFont val="Arial"/>
        <family val="0"/>
        <charset val="1"/>
      </rPr>
      <t xml:space="preserve">SC/APC </t>
    </r>
    <r>
      <rPr>
        <sz val="9"/>
        <color rgb="FF000000"/>
        <rFont val="DejaVu Sans"/>
        <family val="2"/>
      </rPr>
      <t xml:space="preserve">적색</t>
    </r>
  </si>
  <si>
    <r>
      <rPr>
        <sz val="9"/>
        <color rgb="FF000000"/>
        <rFont val="Arial"/>
        <family val="0"/>
        <charset val="1"/>
      </rPr>
      <t xml:space="preserve">SC/PC </t>
    </r>
    <r>
      <rPr>
        <sz val="9"/>
        <color rgb="FF000000"/>
        <rFont val="DejaVu Sans"/>
        <family val="2"/>
      </rPr>
      <t xml:space="preserve">적색</t>
    </r>
  </si>
  <si>
    <r>
      <rPr>
        <sz val="9"/>
        <color rgb="FF000000"/>
        <rFont val="Arial"/>
        <family val="0"/>
        <charset val="1"/>
      </rPr>
      <t xml:space="preserve">SC/PC </t>
    </r>
    <r>
      <rPr>
        <sz val="9"/>
        <color rgb="FF000000"/>
        <rFont val="DejaVu Sans"/>
        <family val="2"/>
      </rPr>
      <t xml:space="preserve">청색</t>
    </r>
  </si>
  <si>
    <t xml:space="preserve">0.9mm</t>
  </si>
  <si>
    <r>
      <rPr>
        <b val="true"/>
        <sz val="13"/>
        <color rgb="FFFFFFFF"/>
        <rFont val="Arial"/>
        <family val="0"/>
        <charset val="1"/>
      </rPr>
      <t xml:space="preserve">2026 </t>
    </r>
    <r>
      <rPr>
        <b val="true"/>
        <sz val="13"/>
        <color rgb="FFFFFFFF"/>
        <rFont val="DejaVu Sans"/>
        <family val="2"/>
      </rPr>
      <t xml:space="preserve">월별 발주 계획 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과거 계절 패턴 기반 자동 분배</t>
    </r>
    <r>
      <rPr>
        <b val="true"/>
        <sz val="13"/>
        <color rgb="FFFFFFFF"/>
        <rFont val="Arial"/>
        <family val="0"/>
        <charset val="1"/>
      </rPr>
      <t xml:space="preserve">)</t>
    </r>
  </si>
  <si>
    <t xml:space="preserve">기본정보</t>
  </si>
  <si>
    <t xml:space="preserve">연간목표</t>
  </si>
  <si>
    <r>
      <rPr>
        <b val="true"/>
        <sz val="9"/>
        <color rgb="FFFFFFFF"/>
        <rFont val="DejaVu Sans"/>
        <family val="2"/>
      </rPr>
      <t xml:space="preserve">월별 발주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연간목표 </t>
    </r>
    <r>
      <rPr>
        <b val="true"/>
        <sz val="9"/>
        <color rgb="FFFFFFFF"/>
        <rFont val="Arial"/>
        <family val="0"/>
        <charset val="1"/>
      </rPr>
      <t xml:space="preserve">× </t>
    </r>
    <r>
      <rPr>
        <b val="true"/>
        <sz val="9"/>
        <color rgb="FFFFFFFF"/>
        <rFont val="DejaVu Sans"/>
        <family val="2"/>
      </rPr>
      <t xml:space="preserve">과거 패턴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</si>
  <si>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합계검증</t>
  </si>
  <si>
    <t xml:space="preserve">분류</t>
  </si>
  <si>
    <t xml:space="preserve">종류</t>
  </si>
  <si>
    <t xml:space="preserve">단위</t>
  </si>
  <si>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</si>
  <si>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</si>
  <si>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</si>
  <si>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4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</si>
  <si>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</si>
  <si>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6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</si>
  <si>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7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</si>
  <si>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8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</si>
  <si>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9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</si>
  <si>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10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</si>
  <si>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11</t>
    </r>
    <r>
      <rPr>
        <b val="true"/>
        <sz val="9"/>
        <color rgb="FFFFFFFF"/>
        <rFont val="DejaVu Sans"/>
        <family val="2"/>
      </rPr>
      <t xml:space="preserve">월</t>
    </r>
  </si>
  <si>
    <r>
      <rPr>
        <b val="true"/>
        <sz val="9"/>
        <color rgb="FFFFFFFF"/>
        <rFont val="Arial"/>
        <family val="0"/>
        <charset val="1"/>
      </rPr>
      <t xml:space="preserve">12</t>
    </r>
    <r>
      <rPr>
        <b val="true"/>
        <sz val="9"/>
        <color rgb="FFFFFFFF"/>
        <rFont val="DejaVu Sans"/>
        <family val="2"/>
      </rPr>
      <t xml:space="preserve">월</t>
    </r>
  </si>
  <si>
    <t xml:space="preserve">케이블</t>
  </si>
  <si>
    <t xml:space="preserve">m</t>
  </si>
  <si>
    <t xml:space="preserve">하우징</t>
  </si>
  <si>
    <t xml:space="preserve">EA</t>
  </si>
  <si>
    <r>
      <rPr>
        <b val="true"/>
        <sz val="13"/>
        <color rgb="FFFFFFFF"/>
        <rFont val="DejaVu Sans"/>
        <family val="2"/>
      </rPr>
      <t xml:space="preserve">데이터 이상 항목 검토 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자동 분석</t>
    </r>
    <r>
      <rPr>
        <b val="true"/>
        <sz val="13"/>
        <color rgb="FFFFFFFF"/>
        <rFont val="Arial"/>
        <family val="0"/>
        <charset val="1"/>
      </rPr>
      <t xml:space="preserve">)</t>
    </r>
  </si>
  <si>
    <t xml:space="preserve">구분</t>
  </si>
  <si>
    <t xml:space="preserve">항목</t>
  </si>
  <si>
    <t xml:space="preserve">내용 및 조치 권고</t>
  </si>
  <si>
    <t xml:space="preserve">주의</t>
  </si>
  <si>
    <r>
      <rPr>
        <sz val="9"/>
        <rFont val="Arial"/>
        <family val="0"/>
        <charset val="1"/>
      </rPr>
      <t xml:space="preserve">2.0mm </t>
    </r>
    <r>
      <rPr>
        <sz val="9"/>
        <rFont val="DejaVu Sans"/>
        <family val="2"/>
      </rPr>
      <t xml:space="preserve">자켓 피그테일</t>
    </r>
  </si>
  <si>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확인필요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</si>
  <si>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참고파일에 품번 미등재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사용 케이블 품번 확인 필요</t>
    </r>
    <r>
      <rPr>
        <sz val="9"/>
        <rFont val="Arial"/>
        <family val="0"/>
        <charset val="1"/>
      </rPr>
      <t xml:space="preserve">.</t>
    </r>
  </si>
  <si>
    <t xml:space="preserve">정보</t>
  </si>
  <si>
    <r>
      <rPr>
        <sz val="9"/>
        <rFont val="Arial"/>
        <family val="0"/>
        <charset val="1"/>
      </rPr>
      <t xml:space="preserve">OM4 </t>
    </r>
    <r>
      <rPr>
        <sz val="9"/>
        <rFont val="DejaVu Sans"/>
        <family val="2"/>
      </rPr>
      <t xml:space="preserve">피그테일 케이블</t>
    </r>
  </si>
  <si>
    <t xml:space="preserve">P14-RM-417K</t>
  </si>
  <si>
    <r>
      <rPr>
        <sz val="9"/>
        <rFont val="Arial"/>
        <family val="0"/>
        <charset val="1"/>
      </rPr>
      <t xml:space="preserve">3</t>
    </r>
    <r>
      <rPr>
        <sz val="9"/>
        <rFont val="DejaVu Sans"/>
        <family val="2"/>
      </rPr>
      <t xml:space="preserve">개년 사용 없음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재고 보유</t>
    </r>
    <r>
      <rPr>
        <sz val="9"/>
        <rFont val="Arial"/>
        <family val="0"/>
        <charset val="1"/>
      </rPr>
      <t xml:space="preserve">. </t>
    </r>
    <r>
      <rPr>
        <sz val="9"/>
        <rFont val="DejaVu Sans"/>
        <family val="2"/>
      </rPr>
      <t xml:space="preserve">단종 검토 필요</t>
    </r>
    <r>
      <rPr>
        <sz val="9"/>
        <rFont val="Arial"/>
        <family val="0"/>
        <charset val="1"/>
      </rPr>
      <t xml:space="preserve">.</t>
    </r>
  </si>
  <si>
    <r>
      <rPr>
        <sz val="9"/>
        <rFont val="Arial"/>
        <family val="0"/>
        <charset val="1"/>
      </rPr>
      <t xml:space="preserve">OM3 </t>
    </r>
    <r>
      <rPr>
        <sz val="9"/>
        <rFont val="DejaVu Sans"/>
        <family val="2"/>
      </rPr>
      <t xml:space="preserve">피그테일 케이블</t>
    </r>
  </si>
  <si>
    <t xml:space="preserve">P14-RM-417H</t>
  </si>
  <si>
    <r>
      <rPr>
        <sz val="9"/>
        <rFont val="Arial"/>
        <family val="0"/>
        <charset val="1"/>
      </rPr>
      <t xml:space="preserve">23</t>
    </r>
    <r>
      <rPr>
        <sz val="9"/>
        <rFont val="DejaVu Sans"/>
        <family val="2"/>
      </rPr>
      <t xml:space="preserve">년 </t>
    </r>
    <r>
      <rPr>
        <sz val="9"/>
        <rFont val="Arial"/>
        <family val="0"/>
        <charset val="1"/>
      </rPr>
      <t xml:space="preserve">648m → 24~25</t>
    </r>
    <r>
      <rPr>
        <sz val="9"/>
        <rFont val="DejaVu Sans"/>
        <family val="2"/>
      </rPr>
      <t xml:space="preserve">년 </t>
    </r>
    <r>
      <rPr>
        <sz val="9"/>
        <rFont val="Arial"/>
        <family val="0"/>
        <charset val="1"/>
      </rPr>
      <t xml:space="preserve">0m. </t>
    </r>
    <r>
      <rPr>
        <sz val="9"/>
        <rFont val="DejaVu Sans"/>
        <family val="2"/>
      </rPr>
      <t xml:space="preserve">미사용 추세</t>
    </r>
    <r>
      <rPr>
        <sz val="9"/>
        <rFont val="Arial"/>
        <family val="0"/>
        <charset val="1"/>
      </rPr>
      <t xml:space="preserve">.</t>
    </r>
  </si>
  <si>
    <t xml:space="preserve">피그테일 전체</t>
  </si>
  <si>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전 색상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</si>
  <si>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23</t>
    </r>
    <r>
      <rPr>
        <sz val="9"/>
        <rFont val="DejaVu Sans"/>
        <family val="2"/>
      </rPr>
      <t xml:space="preserve">년 대비 </t>
    </r>
    <r>
      <rPr>
        <sz val="9"/>
        <rFont val="Arial"/>
        <family val="0"/>
        <charset val="1"/>
      </rPr>
      <t xml:space="preserve">25</t>
    </r>
    <r>
      <rPr>
        <sz val="9"/>
        <rFont val="DejaVu Sans"/>
        <family val="2"/>
      </rPr>
      <t xml:space="preserve">년 약 </t>
    </r>
    <r>
      <rPr>
        <sz val="9"/>
        <rFont val="Arial"/>
        <family val="0"/>
        <charset val="1"/>
      </rPr>
      <t xml:space="preserve">81% </t>
    </r>
    <r>
      <rPr>
        <sz val="9"/>
        <rFont val="DejaVu Sans"/>
        <family val="2"/>
      </rPr>
      <t xml:space="preserve">급감</t>
    </r>
    <r>
      <rPr>
        <sz val="9"/>
        <rFont val="Arial"/>
        <family val="0"/>
        <charset val="1"/>
      </rPr>
      <t xml:space="preserve">. 2026 </t>
    </r>
    <r>
      <rPr>
        <sz val="9"/>
        <rFont val="DejaVu Sans"/>
        <family val="2"/>
      </rPr>
      <t xml:space="preserve">목표량 보수적 설정 권고</t>
    </r>
    <r>
      <rPr>
        <sz val="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</si>
</sst>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;[RED]\-0.0%"/>
    <numFmt numFmtId="167" formatCode="0%;[RED]\-0%"/>
    <numFmt numFmtId="168" formatCode="0%"/>
    <numFmt numFmtId="169" formatCode="\+0.0%;[RED]\-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DejaVu Sans"/>
      <family val="2"/>
    </font>
    <font>
      <b val="true"/>
      <sz val="9"/>
      <color rgb="FFFFFFFF"/>
      <name val="DejaVu Sans"/>
      <family val="2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1F3864"/>
      <name val="DejaVu Sans"/>
      <family val="2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8"/>
      <name val="DejaVu Sans"/>
      <family val="2"/>
    </font>
    <font>
      <sz val="9"/>
      <color rgb="FF1A5C1A"/>
      <name val="Arial"/>
      <family val="0"/>
      <charset val="1"/>
    </font>
    <font>
      <sz val="9"/>
      <color rgb="FF000000"/>
      <name val="DejaVu Sans"/>
      <family val="2"/>
    </font>
    <font>
      <b val="true"/>
      <sz val="9"/>
      <color rgb="FF375623"/>
      <name val="Arial"/>
      <family val="0"/>
      <charset val="1"/>
    </font>
    <font>
      <b val="true"/>
      <sz val="9"/>
      <name val="DejaVu Sans"/>
      <family val="2"/>
    </font>
    <font>
      <sz val="9"/>
      <name val="Arial"/>
      <family val="0"/>
      <charset val="1"/>
    </font>
    <font>
      <sz val="9"/>
      <name val="DejaVu Sans"/>
      <family val="2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74151"/>
      </patternFill>
    </fill>
    <fill>
      <patternFill patternType="solid">
        <fgColor rgb="FF374151"/>
        <bgColor rgb="FF1F3864"/>
      </patternFill>
    </fill>
    <fill>
      <patternFill patternType="solid">
        <fgColor rgb="FF2F5597"/>
        <bgColor rgb="FF2E75B6"/>
      </patternFill>
    </fill>
    <fill>
      <patternFill patternType="solid">
        <fgColor rgb="FF2E75B6"/>
        <bgColor rgb="FF2F5597"/>
      </patternFill>
    </fill>
    <fill>
      <patternFill patternType="solid">
        <fgColor rgb="FF9DC3E6"/>
        <bgColor rgb="FFBDD7EE"/>
      </patternFill>
    </fill>
    <fill>
      <patternFill patternType="solid">
        <fgColor rgb="FF375623"/>
        <bgColor rgb="FF1A5C1A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843C0C"/>
      </patternFill>
    </fill>
    <fill>
      <patternFill patternType="solid">
        <fgColor rgb="FF595959"/>
        <bgColor rgb="FF375623"/>
      </patternFill>
    </fill>
    <fill>
      <patternFill patternType="solid">
        <fgColor rgb="FF843C0C"/>
        <bgColor rgb="FF993366"/>
      </patternFill>
    </fill>
    <fill>
      <patternFill patternType="solid">
        <fgColor rgb="FFBDD7EE"/>
        <bgColor rgb="FFD7E8FF"/>
      </patternFill>
    </fill>
    <fill>
      <patternFill patternType="solid">
        <fgColor rgb="FFF5F5F5"/>
        <bgColor rgb="FFEBF3FB"/>
      </patternFill>
    </fill>
    <fill>
      <patternFill patternType="solid">
        <fgColor rgb="FFFFF2CC"/>
        <bgColor rgb="FFFFE6C8"/>
      </patternFill>
    </fill>
    <fill>
      <patternFill patternType="solid">
        <fgColor rgb="FFFFFFC0"/>
        <bgColor rgb="FFFFF2CC"/>
      </patternFill>
    </fill>
    <fill>
      <patternFill patternType="solid">
        <fgColor rgb="FFEBF3FB"/>
        <bgColor rgb="FFF5F5F5"/>
      </patternFill>
    </fill>
    <fill>
      <patternFill patternType="solid">
        <fgColor rgb="FFD7F0D7"/>
        <bgColor rgb="FFD7E8FF"/>
      </patternFill>
    </fill>
    <fill>
      <patternFill patternType="solid">
        <fgColor rgb="FFD7E8FF"/>
        <bgColor rgb="FFEBF3FB"/>
      </patternFill>
    </fill>
    <fill>
      <patternFill patternType="solid">
        <fgColor rgb="FFFFD7D7"/>
        <bgColor rgb="FFFFE6C8"/>
      </patternFill>
    </fill>
    <fill>
      <patternFill patternType="solid">
        <fgColor rgb="FFFFE6C8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rgb="FFC55A11"/>
      </left>
      <right style="medium">
        <color rgb="FFC55A11"/>
      </right>
      <top style="medium">
        <color rgb="FFC55A11"/>
      </top>
      <bottom style="medium">
        <color rgb="FFC55A1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1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A5C1A"/>
      <rgbColor rgb="FF000080"/>
      <rgbColor rgb="FF808000"/>
      <rgbColor rgb="FF800080"/>
      <rgbColor rgb="FF008080"/>
      <rgbColor rgb="FFFFE6C8"/>
      <rgbColor rgb="FF808080"/>
      <rgbColor rgb="FF9999FF"/>
      <rgbColor rgb="FF7030A0"/>
      <rgbColor rgb="FFFFFFC0"/>
      <rgbColor rgb="FFD7E8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7F0D7"/>
      <rgbColor rgb="FFFFF2CC"/>
      <rgbColor rgb="FF9DC3E6"/>
      <rgbColor rgb="FFF5F5F5"/>
      <rgbColor rgb="FFCC99FF"/>
      <rgbColor rgb="FFFFD7D7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75623"/>
      <rgbColor rgb="FF843C0C"/>
      <rgbColor rgb="FF993366"/>
      <rgbColor rgb="FF2F5597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15" min="8" style="0" width="14"/>
    <col collapsed="false" customWidth="true" hidden="false" outlineLevel="0" max="17" min="16" style="0" width="9"/>
    <col collapsed="false" customWidth="true" hidden="false" outlineLevel="0" max="18" min="18" style="0" width="13"/>
    <col collapsed="false" customWidth="true" hidden="false" outlineLevel="0" max="20" min="19" style="0" width="12"/>
    <col collapsed="false" customWidth="true" hidden="false" outlineLevel="0" max="21" min="21" style="0" width="15"/>
    <col collapsed="false" customWidth="true" hidden="false" outlineLevel="0" max="22" min="22" style="0" width="14"/>
    <col collapsed="false" customWidth="true" hidden="false" outlineLevel="0" max="23" min="23" style="0" width="20"/>
    <col collapsed="false" customWidth="true" hidden="false" outlineLevel="0" max="28" min="24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3"/>
      <c r="J2" s="4" t="s">
        <v>3</v>
      </c>
      <c r="K2" s="4"/>
      <c r="L2" s="5" t="s">
        <v>4</v>
      </c>
      <c r="M2" s="5"/>
      <c r="N2" s="6" t="s">
        <v>5</v>
      </c>
      <c r="O2" s="6"/>
      <c r="P2" s="6"/>
      <c r="Q2" s="6"/>
      <c r="R2" s="7" t="s">
        <v>6</v>
      </c>
      <c r="S2" s="8" t="s">
        <v>7</v>
      </c>
      <c r="T2" s="8"/>
      <c r="U2" s="9" t="s">
        <v>8</v>
      </c>
      <c r="V2" s="9"/>
      <c r="W2" s="10" t="s">
        <v>9</v>
      </c>
      <c r="X2" s="11" t="s">
        <v>10</v>
      </c>
      <c r="Y2" s="11"/>
      <c r="Z2" s="11"/>
      <c r="AA2" s="11"/>
      <c r="AB2" s="11"/>
    </row>
    <row r="3" customFormat="false" ht="42" hidden="false" customHeight="true" outlineLevel="0" collapsed="false">
      <c r="A3" s="12" t="s">
        <v>11</v>
      </c>
      <c r="B3" s="13" t="s">
        <v>12</v>
      </c>
      <c r="C3" s="13" t="s">
        <v>13</v>
      </c>
      <c r="D3" s="13" t="s">
        <v>14</v>
      </c>
      <c r="E3" s="13" t="s">
        <v>15</v>
      </c>
      <c r="F3" s="13" t="s">
        <v>16</v>
      </c>
      <c r="G3" s="13" t="s">
        <v>17</v>
      </c>
      <c r="H3" s="13" t="s">
        <v>18</v>
      </c>
      <c r="I3" s="13" t="s">
        <v>19</v>
      </c>
      <c r="J3" s="13" t="s">
        <v>18</v>
      </c>
      <c r="K3" s="13" t="s">
        <v>19</v>
      </c>
      <c r="L3" s="13" t="s">
        <v>18</v>
      </c>
      <c r="M3" s="13" t="s">
        <v>19</v>
      </c>
      <c r="N3" s="12" t="s">
        <v>20</v>
      </c>
      <c r="O3" s="12" t="s">
        <v>21</v>
      </c>
      <c r="P3" s="12" t="s">
        <v>22</v>
      </c>
      <c r="Q3" s="12" t="s">
        <v>23</v>
      </c>
      <c r="R3" s="13" t="s">
        <v>24</v>
      </c>
      <c r="S3" s="13" t="s">
        <v>25</v>
      </c>
      <c r="T3" s="13" t="s">
        <v>26</v>
      </c>
      <c r="U3" s="12" t="s">
        <v>27</v>
      </c>
      <c r="V3" s="13" t="s">
        <v>28</v>
      </c>
      <c r="W3" s="13" t="s">
        <v>9</v>
      </c>
      <c r="X3" s="14" t="s">
        <v>29</v>
      </c>
      <c r="Y3" s="14" t="s">
        <v>30</v>
      </c>
      <c r="Z3" s="15" t="s">
        <v>31</v>
      </c>
      <c r="AA3" s="15" t="s">
        <v>32</v>
      </c>
      <c r="AB3" s="15" t="s">
        <v>33</v>
      </c>
    </row>
    <row r="4" customFormat="false" ht="16.5" hidden="false" customHeight="true" outlineLevel="0" collapsed="false">
      <c r="A4" s="16" t="n">
        <v>1</v>
      </c>
      <c r="B4" s="16" t="s">
        <v>34</v>
      </c>
      <c r="C4" s="17" t="s">
        <v>35</v>
      </c>
      <c r="D4" s="17" t="s">
        <v>36</v>
      </c>
      <c r="E4" s="17" t="s">
        <v>37</v>
      </c>
      <c r="F4" s="16" t="s">
        <v>38</v>
      </c>
      <c r="G4" s="16" t="n">
        <v>40</v>
      </c>
      <c r="H4" s="18" t="n">
        <v>1860</v>
      </c>
      <c r="I4" s="18" t="n">
        <v>750</v>
      </c>
      <c r="J4" s="18" t="n">
        <v>2735</v>
      </c>
      <c r="K4" s="18" t="n">
        <v>770</v>
      </c>
      <c r="L4" s="18" t="n">
        <v>908</v>
      </c>
      <c r="M4" s="18" t="n">
        <v>380</v>
      </c>
      <c r="N4" s="18" t="n">
        <f aca="false">ROUND(AVERAGE(H4,J4,L4),0)</f>
        <v>1834</v>
      </c>
      <c r="O4" s="18" t="n">
        <f aca="false">ROUND(AVERAGE(I4,K4,M4),0)</f>
        <v>633</v>
      </c>
      <c r="P4" s="19" t="n">
        <f aca="false">IFERROR((J4-H4)/H4,"")</f>
        <v>0.470430107526882</v>
      </c>
      <c r="Q4" s="19" t="n">
        <f aca="false">IFERROR((L4-J4)/J4,"")</f>
        <v>-0.66800731261426</v>
      </c>
      <c r="R4" s="20" t="n">
        <f aca="false">ROUND(O4*G4/30,0)</f>
        <v>844</v>
      </c>
      <c r="S4" s="18" t="n">
        <v>7000</v>
      </c>
      <c r="T4" s="18"/>
      <c r="U4" s="21"/>
      <c r="V4" s="22" t="n">
        <f aca="false">IFERROR(U4-IFERROR(S4,0)-IFERROR(T4,0),"")</f>
        <v>-7000</v>
      </c>
      <c r="W4" s="23"/>
      <c r="X4" s="24" t="n">
        <v>761</v>
      </c>
      <c r="Y4" s="25" t="n">
        <f aca="false">IFERROR(X4/N4-1,"")</f>
        <v>-0.585059978189749</v>
      </c>
      <c r="Z4" s="26" t="n">
        <v>1</v>
      </c>
      <c r="AA4" s="27" t="n">
        <v>-0.1843</v>
      </c>
      <c r="AB4" s="28" t="s">
        <v>39</v>
      </c>
    </row>
    <row r="5" customFormat="false" ht="16.5" hidden="false" customHeight="true" outlineLevel="0" collapsed="false">
      <c r="A5" s="29" t="n">
        <v>2</v>
      </c>
      <c r="B5" s="29" t="s">
        <v>34</v>
      </c>
      <c r="C5" s="30" t="s">
        <v>40</v>
      </c>
      <c r="D5" s="30" t="s">
        <v>41</v>
      </c>
      <c r="E5" s="30" t="s">
        <v>42</v>
      </c>
      <c r="F5" s="29" t="s">
        <v>38</v>
      </c>
      <c r="G5" s="29" t="n">
        <v>40</v>
      </c>
      <c r="H5" s="31" t="n">
        <v>2360</v>
      </c>
      <c r="I5" s="31" t="n">
        <v>995</v>
      </c>
      <c r="J5" s="31" t="n">
        <v>2190</v>
      </c>
      <c r="K5" s="31" t="n">
        <v>740</v>
      </c>
      <c r="L5" s="31" t="n">
        <v>1031</v>
      </c>
      <c r="M5" s="31" t="n">
        <v>320</v>
      </c>
      <c r="N5" s="31" t="n">
        <f aca="false">ROUND(AVERAGE(H5,J5,L5),0)</f>
        <v>1860</v>
      </c>
      <c r="O5" s="31" t="n">
        <f aca="false">ROUND(AVERAGE(I5,K5,M5),0)</f>
        <v>685</v>
      </c>
      <c r="P5" s="32" t="n">
        <f aca="false">IFERROR((J5-H5)/H5,"")</f>
        <v>-0.0720338983050848</v>
      </c>
      <c r="Q5" s="32" t="n">
        <f aca="false">IFERROR((L5-J5)/J5,"")</f>
        <v>-0.529223744292237</v>
      </c>
      <c r="R5" s="20" t="n">
        <f aca="false">ROUND(O5*G5/30,0)</f>
        <v>913</v>
      </c>
      <c r="S5" s="31" t="n">
        <v>1700</v>
      </c>
      <c r="T5" s="31"/>
      <c r="U5" s="21"/>
      <c r="V5" s="33" t="n">
        <f aca="false">IFERROR(U5-IFERROR(S5,0)-IFERROR(T5,0),"")</f>
        <v>-1700</v>
      </c>
      <c r="W5" s="34"/>
      <c r="X5" s="24" t="n">
        <v>972</v>
      </c>
      <c r="Y5" s="25" t="n">
        <f aca="false">IFERROR(X5/N5-1,"")</f>
        <v>-0.47741935483871</v>
      </c>
      <c r="Z5" s="26" t="n">
        <v>0.831</v>
      </c>
      <c r="AA5" s="27" t="n">
        <v>-0.0656</v>
      </c>
      <c r="AB5" s="28" t="s">
        <v>39</v>
      </c>
    </row>
    <row r="6" customFormat="false" ht="16.5" hidden="false" customHeight="true" outlineLevel="0" collapsed="false">
      <c r="A6" s="16" t="n">
        <v>3</v>
      </c>
      <c r="B6" s="16" t="s">
        <v>34</v>
      </c>
      <c r="C6" s="17" t="s">
        <v>43</v>
      </c>
      <c r="D6" s="17" t="s">
        <v>44</v>
      </c>
      <c r="E6" s="17" t="s">
        <v>45</v>
      </c>
      <c r="F6" s="16" t="s">
        <v>38</v>
      </c>
      <c r="G6" s="16" t="n">
        <v>40</v>
      </c>
      <c r="H6" s="18" t="n">
        <v>890</v>
      </c>
      <c r="I6" s="18" t="n">
        <v>400</v>
      </c>
      <c r="J6" s="18" t="n">
        <v>1010</v>
      </c>
      <c r="K6" s="18" t="n">
        <v>560</v>
      </c>
      <c r="L6" s="18" t="n">
        <v>85</v>
      </c>
      <c r="M6" s="18" t="n">
        <v>70</v>
      </c>
      <c r="N6" s="18" t="n">
        <f aca="false">ROUND(AVERAGE(H6,J6,L6),0)</f>
        <v>662</v>
      </c>
      <c r="O6" s="18" t="n">
        <f aca="false">ROUND(AVERAGE(I6,K6,M6),0)</f>
        <v>343</v>
      </c>
      <c r="P6" s="19" t="n">
        <f aca="false">IFERROR((J6-H6)/H6,"")</f>
        <v>0.134831460674157</v>
      </c>
      <c r="Q6" s="19" t="n">
        <f aca="false">IFERROR((L6-J6)/J6,"")</f>
        <v>-0.915841584158416</v>
      </c>
      <c r="R6" s="20" t="n">
        <f aca="false">ROUND(O6*G6/30,0)</f>
        <v>457</v>
      </c>
      <c r="S6" s="18" t="n">
        <v>800</v>
      </c>
      <c r="T6" s="18"/>
      <c r="U6" s="21"/>
      <c r="V6" s="22" t="n">
        <f aca="false">IFERROR(U6-IFERROR(S6,0)-IFERROR(T6,0),"")</f>
        <v>-800</v>
      </c>
      <c r="W6" s="23"/>
      <c r="X6" s="24" t="n">
        <v>81</v>
      </c>
      <c r="Y6" s="25" t="n">
        <f aca="false">IFERROR(X6/N6-1,"")</f>
        <v>-0.877643504531722</v>
      </c>
      <c r="Z6" s="26" t="n">
        <v>1</v>
      </c>
      <c r="AA6" s="27" t="n">
        <v>-0.0976</v>
      </c>
      <c r="AB6" s="28" t="s">
        <v>39</v>
      </c>
    </row>
    <row r="7" customFormat="false" ht="16.5" hidden="false" customHeight="true" outlineLevel="0" collapsed="false">
      <c r="A7" s="29" t="n">
        <v>4</v>
      </c>
      <c r="B7" s="29" t="s">
        <v>34</v>
      </c>
      <c r="C7" s="30" t="s">
        <v>46</v>
      </c>
      <c r="D7" s="30" t="s">
        <v>47</v>
      </c>
      <c r="E7" s="30" t="s">
        <v>48</v>
      </c>
      <c r="F7" s="29" t="s">
        <v>38</v>
      </c>
      <c r="G7" s="29" t="n">
        <v>40</v>
      </c>
      <c r="H7" s="31" t="n">
        <v>284</v>
      </c>
      <c r="I7" s="31" t="n">
        <v>224</v>
      </c>
      <c r="J7" s="31"/>
      <c r="K7" s="31"/>
      <c r="L7" s="31"/>
      <c r="M7" s="31"/>
      <c r="N7" s="31" t="n">
        <f aca="false">ROUND(AVERAGE(H7,J7,L7),0)</f>
        <v>284</v>
      </c>
      <c r="O7" s="31" t="n">
        <f aca="false">ROUND(AVERAGE(I7,K7,M7),0)</f>
        <v>224</v>
      </c>
      <c r="P7" s="32" t="n">
        <f aca="false">IFERROR((J7-H7)/H7,"")</f>
        <v>-1</v>
      </c>
      <c r="Q7" s="32" t="str">
        <f aca="false">IFERROR((L7-J7)/J7,"")</f>
        <v/>
      </c>
      <c r="R7" s="20" t="n">
        <f aca="false">ROUND(O7*G7/30,0)</f>
        <v>299</v>
      </c>
      <c r="S7" s="31" t="n">
        <v>5600</v>
      </c>
      <c r="T7" s="31"/>
      <c r="U7" s="21"/>
      <c r="V7" s="33" t="n">
        <f aca="false">IFERROR(U7-IFERROR(S7,0)-IFERROR(T7,0),"")</f>
        <v>-5600</v>
      </c>
      <c r="W7" s="34"/>
      <c r="X7" s="24"/>
      <c r="Y7" s="25" t="n">
        <f aca="false">IFERROR(X7/N7-1,"")</f>
        <v>-1</v>
      </c>
      <c r="Z7" s="35"/>
      <c r="AA7" s="27"/>
      <c r="AB7" s="36" t="s">
        <v>49</v>
      </c>
    </row>
    <row r="8" customFormat="false" ht="16.5" hidden="false" customHeight="true" outlineLevel="0" collapsed="false">
      <c r="A8" s="16" t="n">
        <v>5</v>
      </c>
      <c r="B8" s="16" t="s">
        <v>34</v>
      </c>
      <c r="C8" s="17" t="s">
        <v>50</v>
      </c>
      <c r="D8" s="17" t="s">
        <v>51</v>
      </c>
      <c r="E8" s="17" t="s">
        <v>52</v>
      </c>
      <c r="F8" s="16" t="s">
        <v>38</v>
      </c>
      <c r="G8" s="16" t="n">
        <v>40</v>
      </c>
      <c r="H8" s="18" t="n">
        <v>1363</v>
      </c>
      <c r="I8" s="18" t="n">
        <v>600</v>
      </c>
      <c r="J8" s="18" t="n">
        <v>1813</v>
      </c>
      <c r="K8" s="18" t="n">
        <v>680</v>
      </c>
      <c r="L8" s="18" t="n">
        <v>6717</v>
      </c>
      <c r="M8" s="18" t="n">
        <v>3053</v>
      </c>
      <c r="N8" s="18" t="n">
        <f aca="false">ROUND(AVERAGE(H8,J8,L8),0)</f>
        <v>3298</v>
      </c>
      <c r="O8" s="18" t="n">
        <f aca="false">ROUND(AVERAGE(I8,K8,M8),0)</f>
        <v>1444</v>
      </c>
      <c r="P8" s="19" t="n">
        <f aca="false">IFERROR((J8-H8)/H8,"")</f>
        <v>0.33015407190022</v>
      </c>
      <c r="Q8" s="19" t="n">
        <f aca="false">IFERROR((L8-J8)/J8,"")</f>
        <v>2.70490899062328</v>
      </c>
      <c r="R8" s="20" t="n">
        <f aca="false">ROUND(O8*G8/30,0)</f>
        <v>1925</v>
      </c>
      <c r="S8" s="18" t="n">
        <v>3000</v>
      </c>
      <c r="T8" s="18"/>
      <c r="U8" s="21"/>
      <c r="V8" s="22" t="n">
        <f aca="false">IFERROR(U8-IFERROR(S8,0)-IFERROR(T8,0),"")</f>
        <v>-3000</v>
      </c>
      <c r="W8" s="23"/>
      <c r="X8" s="24" t="n">
        <v>8122</v>
      </c>
      <c r="Y8" s="25" t="n">
        <f aca="false">IFERROR(X8/N8-1,"")</f>
        <v>1.46270466949666</v>
      </c>
      <c r="Z8" s="26" t="n">
        <v>1</v>
      </c>
      <c r="AA8" s="37" t="n">
        <v>0.1916</v>
      </c>
      <c r="AB8" s="28" t="s">
        <v>39</v>
      </c>
    </row>
    <row r="9" customFormat="false" ht="16.5" hidden="false" customHeight="true" outlineLevel="0" collapsed="false">
      <c r="A9" s="29" t="n">
        <v>6</v>
      </c>
      <c r="B9" s="29" t="s">
        <v>34</v>
      </c>
      <c r="C9" s="30" t="s">
        <v>53</v>
      </c>
      <c r="D9" s="30" t="s">
        <v>54</v>
      </c>
      <c r="E9" s="30" t="s">
        <v>55</v>
      </c>
      <c r="F9" s="29" t="s">
        <v>56</v>
      </c>
      <c r="G9" s="29" t="n">
        <v>60</v>
      </c>
      <c r="H9" s="31" t="n">
        <v>264991</v>
      </c>
      <c r="I9" s="31" t="n">
        <v>42070</v>
      </c>
      <c r="J9" s="31" t="n">
        <v>154527</v>
      </c>
      <c r="K9" s="31" t="n">
        <v>31158</v>
      </c>
      <c r="L9" s="31" t="n">
        <v>303042</v>
      </c>
      <c r="M9" s="31" t="n">
        <v>47130</v>
      </c>
      <c r="N9" s="31" t="n">
        <f aca="false">ROUND(AVERAGE(H9,J9,L9),0)</f>
        <v>240853</v>
      </c>
      <c r="O9" s="31" t="n">
        <f aca="false">ROUND(AVERAGE(I9,K9,M9),0)</f>
        <v>40119</v>
      </c>
      <c r="P9" s="32" t="n">
        <f aca="false">IFERROR((J9-H9)/H9,"")</f>
        <v>-0.4168594405093</v>
      </c>
      <c r="Q9" s="32" t="n">
        <f aca="false">IFERROR((L9-J9)/J9,"")</f>
        <v>0.961094177716516</v>
      </c>
      <c r="R9" s="20" t="n">
        <f aca="false">ROUND(O9*G9/30,0)</f>
        <v>80238</v>
      </c>
      <c r="S9" s="31" t="n">
        <v>108000</v>
      </c>
      <c r="T9" s="31"/>
      <c r="U9" s="21"/>
      <c r="V9" s="33" t="n">
        <f aca="false">IFERROR(U9-IFERROR(S9,0)-IFERROR(T9,0),"")</f>
        <v>-108000</v>
      </c>
      <c r="W9" s="34"/>
      <c r="X9" s="24" t="n">
        <v>339256</v>
      </c>
      <c r="Y9" s="25" t="n">
        <f aca="false">IFERROR(X9/N9-1,"")</f>
        <v>0.4085604082158</v>
      </c>
      <c r="Z9" s="38" t="n">
        <v>0.454</v>
      </c>
      <c r="AA9" s="27" t="n">
        <v>-0.0146</v>
      </c>
      <c r="AB9" s="39" t="s">
        <v>57</v>
      </c>
    </row>
    <row r="10" customFormat="false" ht="16.5" hidden="false" customHeight="true" outlineLevel="0" collapsed="false">
      <c r="A10" s="16" t="n">
        <v>7</v>
      </c>
      <c r="B10" s="16" t="s">
        <v>34</v>
      </c>
      <c r="C10" s="17" t="s">
        <v>58</v>
      </c>
      <c r="D10" s="17" t="s">
        <v>59</v>
      </c>
      <c r="E10" s="17" t="s">
        <v>60</v>
      </c>
      <c r="F10" s="16" t="s">
        <v>56</v>
      </c>
      <c r="G10" s="16" t="n">
        <v>60</v>
      </c>
      <c r="H10" s="18" t="n">
        <v>245155</v>
      </c>
      <c r="I10" s="18" t="n">
        <v>76202</v>
      </c>
      <c r="J10" s="18" t="n">
        <v>124091</v>
      </c>
      <c r="K10" s="18" t="n">
        <v>25930</v>
      </c>
      <c r="L10" s="18" t="n">
        <v>252405</v>
      </c>
      <c r="M10" s="18" t="n">
        <v>46861</v>
      </c>
      <c r="N10" s="18" t="n">
        <f aca="false">ROUND(AVERAGE(H10,J10,L10),0)</f>
        <v>207217</v>
      </c>
      <c r="O10" s="18" t="n">
        <f aca="false">ROUND(AVERAGE(I10,K10,M10),0)</f>
        <v>49664</v>
      </c>
      <c r="P10" s="19" t="n">
        <f aca="false">IFERROR((J10-H10)/H10,"")</f>
        <v>-0.493826354755155</v>
      </c>
      <c r="Q10" s="19" t="n">
        <f aca="false">IFERROR((L10-J10)/J10,"")</f>
        <v>1.03403147690002</v>
      </c>
      <c r="R10" s="20" t="n">
        <f aca="false">ROUND(O10*G10/30,0)</f>
        <v>99328</v>
      </c>
      <c r="S10" s="18" t="n">
        <v>40000</v>
      </c>
      <c r="T10" s="18"/>
      <c r="U10" s="21"/>
      <c r="V10" s="22" t="n">
        <f aca="false">IFERROR(U10-IFERROR(S10,0)-IFERROR(T10,0),"")</f>
        <v>-40000</v>
      </c>
      <c r="W10" s="23"/>
      <c r="X10" s="24" t="n">
        <v>280109</v>
      </c>
      <c r="Y10" s="25" t="n">
        <f aca="false">IFERROR(X10/N10-1,"")</f>
        <v>0.351766505643842</v>
      </c>
      <c r="Z10" s="38" t="n">
        <v>0.376</v>
      </c>
      <c r="AA10" s="37" t="n">
        <v>0.0521</v>
      </c>
      <c r="AB10" s="39" t="s">
        <v>57</v>
      </c>
    </row>
    <row r="11" customFormat="false" ht="16.5" hidden="false" customHeight="true" outlineLevel="0" collapsed="false">
      <c r="A11" s="29" t="n">
        <v>8</v>
      </c>
      <c r="B11" s="29" t="s">
        <v>34</v>
      </c>
      <c r="C11" s="30" t="s">
        <v>61</v>
      </c>
      <c r="D11" s="30" t="s">
        <v>62</v>
      </c>
      <c r="E11" s="30" t="s">
        <v>63</v>
      </c>
      <c r="F11" s="29" t="s">
        <v>56</v>
      </c>
      <c r="G11" s="29" t="n">
        <v>60</v>
      </c>
      <c r="H11" s="31" t="n">
        <v>48355</v>
      </c>
      <c r="I11" s="31" t="n">
        <v>16565</v>
      </c>
      <c r="J11" s="31" t="n">
        <v>61867</v>
      </c>
      <c r="K11" s="31" t="n">
        <v>17362</v>
      </c>
      <c r="L11" s="31" t="n">
        <v>12500</v>
      </c>
      <c r="M11" s="31" t="n">
        <v>6530</v>
      </c>
      <c r="N11" s="31" t="n">
        <f aca="false">ROUND(AVERAGE(H11,J11,L11),0)</f>
        <v>40907</v>
      </c>
      <c r="O11" s="31" t="n">
        <f aca="false">ROUND(AVERAGE(I11,K11,M11),0)</f>
        <v>13486</v>
      </c>
      <c r="P11" s="32" t="n">
        <f aca="false">IFERROR((J11-H11)/H11,"")</f>
        <v>0.279433357460449</v>
      </c>
      <c r="Q11" s="32" t="n">
        <f aca="false">IFERROR((L11-J11)/J11,"")</f>
        <v>-0.797953674818562</v>
      </c>
      <c r="R11" s="20" t="n">
        <f aca="false">ROUND(O11*G11/30,0)</f>
        <v>26972</v>
      </c>
      <c r="S11" s="31" t="n">
        <v>10000</v>
      </c>
      <c r="T11" s="31"/>
      <c r="U11" s="21"/>
      <c r="V11" s="33" t="n">
        <f aca="false">IFERROR(U11-IFERROR(S11,0)-IFERROR(T11,0),"")</f>
        <v>-10000</v>
      </c>
      <c r="W11" s="34"/>
      <c r="X11" s="24" t="n">
        <v>14943</v>
      </c>
      <c r="Y11" s="25" t="n">
        <f aca="false">IFERROR(X11/N11-1,"")</f>
        <v>-0.634707996186472</v>
      </c>
      <c r="Z11" s="26" t="n">
        <v>0.97</v>
      </c>
      <c r="AA11" s="37" t="n">
        <v>0.1954</v>
      </c>
      <c r="AB11" s="28" t="s">
        <v>39</v>
      </c>
    </row>
    <row r="12" customFormat="false" ht="16.5" hidden="false" customHeight="true" outlineLevel="0" collapsed="false">
      <c r="A12" s="16" t="n">
        <v>9</v>
      </c>
      <c r="B12" s="16" t="s">
        <v>34</v>
      </c>
      <c r="C12" s="17" t="s">
        <v>64</v>
      </c>
      <c r="D12" s="17" t="s">
        <v>65</v>
      </c>
      <c r="E12" s="17" t="s">
        <v>66</v>
      </c>
      <c r="F12" s="16" t="s">
        <v>56</v>
      </c>
      <c r="G12" s="16" t="n">
        <v>60</v>
      </c>
      <c r="H12" s="18" t="n">
        <v>27496</v>
      </c>
      <c r="I12" s="18" t="n">
        <v>12210</v>
      </c>
      <c r="J12" s="18" t="n">
        <v>28481</v>
      </c>
      <c r="K12" s="18" t="n">
        <v>13340</v>
      </c>
      <c r="L12" s="18" t="n">
        <v>400</v>
      </c>
      <c r="M12" s="18" t="n">
        <v>300</v>
      </c>
      <c r="N12" s="18" t="n">
        <f aca="false">ROUND(AVERAGE(H12,J12,L12),0)</f>
        <v>18792</v>
      </c>
      <c r="O12" s="18" t="n">
        <f aca="false">ROUND(AVERAGE(I12,K12,M12),0)</f>
        <v>8617</v>
      </c>
      <c r="P12" s="19" t="n">
        <f aca="false">IFERROR((J12-H12)/H12,"")</f>
        <v>0.0358233924934536</v>
      </c>
      <c r="Q12" s="19" t="n">
        <f aca="false">IFERROR((L12-J12)/J12,"")</f>
        <v>-0.985955549313577</v>
      </c>
      <c r="R12" s="20" t="n">
        <f aca="false">ROUND(O12*G12/30,0)</f>
        <v>17234</v>
      </c>
      <c r="S12" s="18" t="n">
        <v>10000</v>
      </c>
      <c r="T12" s="18"/>
      <c r="U12" s="21"/>
      <c r="V12" s="22" t="n">
        <f aca="false">IFERROR(U12-IFERROR(S12,0)-IFERROR(T12,0),"")</f>
        <v>-10000</v>
      </c>
      <c r="W12" s="23"/>
      <c r="X12" s="24" t="n">
        <v>235</v>
      </c>
      <c r="Y12" s="25" t="n">
        <f aca="false">IFERROR(X12/N12-1,"")</f>
        <v>-0.987494678586633</v>
      </c>
      <c r="Z12" s="26" t="n">
        <v>0.972</v>
      </c>
      <c r="AA12" s="27" t="n">
        <v>-0.2966</v>
      </c>
      <c r="AB12" s="28" t="s">
        <v>39</v>
      </c>
    </row>
    <row r="13" customFormat="false" ht="16.5" hidden="false" customHeight="true" outlineLevel="0" collapsed="false">
      <c r="A13" s="29" t="n">
        <v>10</v>
      </c>
      <c r="B13" s="29" t="s">
        <v>34</v>
      </c>
      <c r="C13" s="30" t="s">
        <v>67</v>
      </c>
      <c r="D13" s="30" t="s">
        <v>68</v>
      </c>
      <c r="E13" s="30" t="s">
        <v>69</v>
      </c>
      <c r="F13" s="29" t="s">
        <v>56</v>
      </c>
      <c r="G13" s="29" t="n">
        <v>60</v>
      </c>
      <c r="H13" s="31" t="n">
        <v>2876</v>
      </c>
      <c r="I13" s="31" t="n">
        <v>1700</v>
      </c>
      <c r="J13" s="31" t="n">
        <v>749</v>
      </c>
      <c r="K13" s="31" t="n">
        <v>749</v>
      </c>
      <c r="L13" s="31"/>
      <c r="M13" s="31"/>
      <c r="N13" s="31" t="n">
        <f aca="false">ROUND(AVERAGE(H13,J13,L13),0)</f>
        <v>1813</v>
      </c>
      <c r="O13" s="31" t="n">
        <f aca="false">ROUND(AVERAGE(I13,K13,M13),0)</f>
        <v>1225</v>
      </c>
      <c r="P13" s="32" t="n">
        <f aca="false">IFERROR((J13-H13)/H13,"")</f>
        <v>-0.739568845618915</v>
      </c>
      <c r="Q13" s="32" t="n">
        <f aca="false">IFERROR((L13-J13)/J13,"")</f>
        <v>-1</v>
      </c>
      <c r="R13" s="20" t="n">
        <f aca="false">ROUND(O13*G13/30,0)</f>
        <v>2450</v>
      </c>
      <c r="S13" s="31" t="n">
        <v>1650</v>
      </c>
      <c r="T13" s="31"/>
      <c r="U13" s="21"/>
      <c r="V13" s="33" t="n">
        <f aca="false">IFERROR(U13-IFERROR(S13,0)-IFERROR(T13,0),"")</f>
        <v>-1650</v>
      </c>
      <c r="W13" s="34"/>
      <c r="X13" s="24"/>
      <c r="Y13" s="25" t="n">
        <f aca="false">IFERROR(X13/N13-1,"")</f>
        <v>-1</v>
      </c>
      <c r="Z13" s="35"/>
      <c r="AA13" s="27"/>
      <c r="AB13" s="36" t="s">
        <v>49</v>
      </c>
    </row>
    <row r="14" customFormat="false" ht="16.5" hidden="false" customHeight="true" outlineLevel="0" collapsed="false">
      <c r="A14" s="16" t="n">
        <v>11</v>
      </c>
      <c r="B14" s="16" t="s">
        <v>34</v>
      </c>
      <c r="C14" s="17" t="s">
        <v>70</v>
      </c>
      <c r="D14" s="17" t="s">
        <v>71</v>
      </c>
      <c r="E14" s="17" t="s">
        <v>72</v>
      </c>
      <c r="F14" s="16" t="s">
        <v>56</v>
      </c>
      <c r="G14" s="16" t="n">
        <v>60</v>
      </c>
      <c r="H14" s="18" t="n">
        <v>38608</v>
      </c>
      <c r="I14" s="18" t="n">
        <v>8600</v>
      </c>
      <c r="J14" s="18" t="n">
        <v>20404</v>
      </c>
      <c r="K14" s="18" t="n">
        <v>5193</v>
      </c>
      <c r="L14" s="18" t="n">
        <v>13325</v>
      </c>
      <c r="M14" s="18" t="n">
        <v>6800</v>
      </c>
      <c r="N14" s="18" t="n">
        <f aca="false">ROUND(AVERAGE(H14,J14,L14),0)</f>
        <v>24112</v>
      </c>
      <c r="O14" s="18" t="n">
        <f aca="false">ROUND(AVERAGE(I14,K14,M14),0)</f>
        <v>6864</v>
      </c>
      <c r="P14" s="19" t="n">
        <f aca="false">IFERROR((J14-H14)/H14,"")</f>
        <v>-0.47150849564857</v>
      </c>
      <c r="Q14" s="19" t="n">
        <f aca="false">IFERROR((L14-J14)/J14,"")</f>
        <v>-0.346941776122329</v>
      </c>
      <c r="R14" s="20" t="n">
        <f aca="false">ROUND(O14*G14/30,0)</f>
        <v>13728</v>
      </c>
      <c r="S14" s="18" t="n">
        <v>18000</v>
      </c>
      <c r="T14" s="18"/>
      <c r="U14" s="21"/>
      <c r="V14" s="22" t="n">
        <f aca="false">IFERROR(U14-IFERROR(S14,0)-IFERROR(T14,0),"")</f>
        <v>-18000</v>
      </c>
      <c r="W14" s="23"/>
      <c r="X14" s="24" t="n">
        <v>17509</v>
      </c>
      <c r="Y14" s="25" t="n">
        <f aca="false">IFERROR(X14/N14-1,"")</f>
        <v>-0.273847047113471</v>
      </c>
      <c r="Z14" s="40" t="n">
        <v>0.752</v>
      </c>
      <c r="AA14" s="37" t="n">
        <v>0.353</v>
      </c>
      <c r="AB14" s="28" t="s">
        <v>39</v>
      </c>
    </row>
    <row r="15" customFormat="false" ht="16.5" hidden="false" customHeight="true" outlineLevel="0" collapsed="false">
      <c r="A15" s="29" t="n">
        <v>12</v>
      </c>
      <c r="B15" s="29" t="s">
        <v>34</v>
      </c>
      <c r="C15" s="30" t="s">
        <v>73</v>
      </c>
      <c r="D15" s="30" t="s">
        <v>74</v>
      </c>
      <c r="E15" s="30" t="s">
        <v>75</v>
      </c>
      <c r="F15" s="29" t="s">
        <v>56</v>
      </c>
      <c r="G15" s="29" t="n">
        <v>60</v>
      </c>
      <c r="H15" s="31" t="n">
        <v>350</v>
      </c>
      <c r="I15" s="31" t="n">
        <v>200</v>
      </c>
      <c r="J15" s="31" t="n">
        <v>622</v>
      </c>
      <c r="K15" s="31" t="n">
        <v>600</v>
      </c>
      <c r="L15" s="31" t="n">
        <v>400</v>
      </c>
      <c r="M15" s="31" t="n">
        <v>300</v>
      </c>
      <c r="N15" s="31" t="n">
        <f aca="false">ROUND(AVERAGE(H15,J15,L15),0)</f>
        <v>457</v>
      </c>
      <c r="O15" s="31" t="n">
        <f aca="false">ROUND(AVERAGE(I15,K15,M15),0)</f>
        <v>367</v>
      </c>
      <c r="P15" s="32" t="n">
        <f aca="false">IFERROR((J15-H15)/H15,"")</f>
        <v>0.777142857142857</v>
      </c>
      <c r="Q15" s="32" t="n">
        <f aca="false">IFERROR((L15-J15)/J15,"")</f>
        <v>-0.356913183279743</v>
      </c>
      <c r="R15" s="20" t="n">
        <f aca="false">ROUND(O15*G15/30,0)</f>
        <v>734</v>
      </c>
      <c r="S15" s="31" t="n">
        <v>16200</v>
      </c>
      <c r="T15" s="31"/>
      <c r="U15" s="21"/>
      <c r="V15" s="33" t="n">
        <f aca="false">IFERROR(U15-IFERROR(S15,0)-IFERROR(T15,0),"")</f>
        <v>-16200</v>
      </c>
      <c r="W15" s="34"/>
      <c r="X15" s="24" t="n">
        <v>400</v>
      </c>
      <c r="Y15" s="25" t="n">
        <f aca="false">IFERROR(X15/N15-1,"")</f>
        <v>-0.12472647702407</v>
      </c>
      <c r="Z15" s="26" t="n">
        <v>1</v>
      </c>
      <c r="AA15" s="27" t="n">
        <v>0</v>
      </c>
      <c r="AB15" s="28" t="s">
        <v>39</v>
      </c>
    </row>
    <row r="16" customFormat="false" ht="16.5" hidden="false" customHeight="true" outlineLevel="0" collapsed="false">
      <c r="A16" s="16" t="n">
        <v>13</v>
      </c>
      <c r="B16" s="16" t="s">
        <v>34</v>
      </c>
      <c r="C16" s="17" t="s">
        <v>76</v>
      </c>
      <c r="D16" s="17" t="s">
        <v>77</v>
      </c>
      <c r="E16" s="17" t="s">
        <v>78</v>
      </c>
      <c r="F16" s="16" t="s">
        <v>56</v>
      </c>
      <c r="G16" s="16" t="n">
        <v>60</v>
      </c>
      <c r="H16" s="18" t="n">
        <v>43219</v>
      </c>
      <c r="I16" s="18" t="n">
        <v>9500</v>
      </c>
      <c r="J16" s="18" t="n">
        <v>32680</v>
      </c>
      <c r="K16" s="18" t="n">
        <v>13260</v>
      </c>
      <c r="L16" s="18" t="n">
        <v>47465</v>
      </c>
      <c r="M16" s="18" t="n">
        <v>34050</v>
      </c>
      <c r="N16" s="18" t="n">
        <f aca="false">ROUND(AVERAGE(H16,J16,L16),0)</f>
        <v>41121</v>
      </c>
      <c r="O16" s="18" t="n">
        <f aca="false">ROUND(AVERAGE(I16,K16,M16),0)</f>
        <v>18937</v>
      </c>
      <c r="P16" s="19" t="n">
        <f aca="false">IFERROR((J16-H16)/H16,"")</f>
        <v>-0.243851084013975</v>
      </c>
      <c r="Q16" s="19" t="n">
        <f aca="false">IFERROR((L16-J16)/J16,"")</f>
        <v>0.452417380660955</v>
      </c>
      <c r="R16" s="20" t="n">
        <f aca="false">ROUND(O16*G16/30,0)</f>
        <v>37874</v>
      </c>
      <c r="S16" s="18" t="n">
        <v>18000</v>
      </c>
      <c r="T16" s="18"/>
      <c r="U16" s="21"/>
      <c r="V16" s="22" t="n">
        <f aca="false">IFERROR(U16-IFERROR(S16,0)-IFERROR(T16,0),"")</f>
        <v>-18000</v>
      </c>
      <c r="W16" s="23"/>
      <c r="X16" s="24" t="n">
        <v>59332</v>
      </c>
      <c r="Y16" s="25" t="n">
        <f aca="false">IFERROR(X16/N16-1,"")</f>
        <v>0.442863743586002</v>
      </c>
      <c r="Z16" s="26" t="n">
        <v>1</v>
      </c>
      <c r="AA16" s="37" t="n">
        <v>0.3976</v>
      </c>
      <c r="AB16" s="28" t="s">
        <v>39</v>
      </c>
    </row>
    <row r="17" customFormat="false" ht="16.5" hidden="false" customHeight="true" outlineLevel="0" collapsed="false">
      <c r="A17" s="29" t="n">
        <v>14</v>
      </c>
      <c r="B17" s="29" t="s">
        <v>34</v>
      </c>
      <c r="C17" s="30" t="s">
        <v>79</v>
      </c>
      <c r="D17" s="30" t="s">
        <v>80</v>
      </c>
      <c r="E17" s="30" t="s">
        <v>81</v>
      </c>
      <c r="F17" s="29" t="s">
        <v>56</v>
      </c>
      <c r="G17" s="29" t="n">
        <v>60</v>
      </c>
      <c r="H17" s="31" t="n">
        <v>6938</v>
      </c>
      <c r="I17" s="31" t="n">
        <v>6810</v>
      </c>
      <c r="J17" s="31"/>
      <c r="K17" s="31"/>
      <c r="L17" s="31" t="n">
        <v>6000</v>
      </c>
      <c r="M17" s="31" t="n">
        <v>3650</v>
      </c>
      <c r="N17" s="31" t="n">
        <f aca="false">ROUND(AVERAGE(H17,J17,L17),0)</f>
        <v>6469</v>
      </c>
      <c r="O17" s="31" t="n">
        <f aca="false">ROUND(AVERAGE(I17,K17,M17),0)</f>
        <v>5230</v>
      </c>
      <c r="P17" s="32" t="n">
        <f aca="false">IFERROR((J17-H17)/H17,"")</f>
        <v>-1</v>
      </c>
      <c r="Q17" s="32" t="str">
        <f aca="false">IFERROR((L17-J17)/J17,"")</f>
        <v/>
      </c>
      <c r="R17" s="20" t="n">
        <f aca="false">ROUND(O17*G17/30,0)</f>
        <v>10460</v>
      </c>
      <c r="S17" s="31" t="n">
        <v>22000</v>
      </c>
      <c r="T17" s="31"/>
      <c r="U17" s="21"/>
      <c r="V17" s="33" t="n">
        <f aca="false">IFERROR(U17-IFERROR(S17,0)-IFERROR(T17,0),"")</f>
        <v>-22000</v>
      </c>
      <c r="W17" s="34"/>
      <c r="X17" s="24" t="n">
        <v>5875</v>
      </c>
      <c r="Y17" s="25" t="n">
        <f aca="false">IFERROR(X17/N17-1,"")</f>
        <v>-0.0918225382593909</v>
      </c>
      <c r="Z17" s="38" t="n">
        <v>0.267</v>
      </c>
      <c r="AA17" s="37" t="n">
        <v>0.7023</v>
      </c>
      <c r="AB17" s="41" t="s">
        <v>82</v>
      </c>
    </row>
    <row r="18" customFormat="false" ht="16.5" hidden="false" customHeight="true" outlineLevel="0" collapsed="false">
      <c r="A18" s="16" t="n">
        <v>15</v>
      </c>
      <c r="B18" s="16" t="s">
        <v>34</v>
      </c>
      <c r="C18" s="17" t="s">
        <v>83</v>
      </c>
      <c r="D18" s="17" t="s">
        <v>84</v>
      </c>
      <c r="E18" s="17" t="s">
        <v>85</v>
      </c>
      <c r="F18" s="16" t="s">
        <v>38</v>
      </c>
      <c r="G18" s="16" t="n">
        <v>40</v>
      </c>
      <c r="H18" s="18" t="n">
        <v>9966</v>
      </c>
      <c r="I18" s="18" t="n">
        <v>2021</v>
      </c>
      <c r="J18" s="18" t="n">
        <v>10851</v>
      </c>
      <c r="K18" s="18" t="n">
        <v>1530</v>
      </c>
      <c r="L18" s="18" t="n">
        <v>12623</v>
      </c>
      <c r="M18" s="18" t="n">
        <v>2431</v>
      </c>
      <c r="N18" s="18" t="n">
        <f aca="false">ROUND(AVERAGE(H18,J18,L18),0)</f>
        <v>11147</v>
      </c>
      <c r="O18" s="18" t="n">
        <f aca="false">ROUND(AVERAGE(I18,K18,M18),0)</f>
        <v>1994</v>
      </c>
      <c r="P18" s="19" t="n">
        <f aca="false">IFERROR((J18-H18)/H18,"")</f>
        <v>0.0888019265502709</v>
      </c>
      <c r="Q18" s="19" t="n">
        <f aca="false">IFERROR((L18-J18)/J18,"")</f>
        <v>0.163302921389734</v>
      </c>
      <c r="R18" s="20" t="n">
        <f aca="false">ROUND(O18*G18/30,0)</f>
        <v>2659</v>
      </c>
      <c r="S18" s="18" t="n">
        <v>0</v>
      </c>
      <c r="T18" s="18"/>
      <c r="U18" s="21"/>
      <c r="V18" s="22" t="n">
        <f aca="false">IFERROR(U18-IFERROR(S18,0)-IFERROR(T18,0),"")</f>
        <v>0</v>
      </c>
      <c r="W18" s="23"/>
      <c r="X18" s="24" t="n">
        <v>18841</v>
      </c>
      <c r="Y18" s="25" t="n">
        <f aca="false">IFERROR(X18/N18-1,"")</f>
        <v>0.69023055530636</v>
      </c>
      <c r="Z18" s="26" t="n">
        <v>0.993</v>
      </c>
      <c r="AA18" s="37" t="n">
        <v>0.5198</v>
      </c>
      <c r="AB18" s="28" t="s">
        <v>39</v>
      </c>
    </row>
    <row r="19" customFormat="false" ht="16.5" hidden="false" customHeight="true" outlineLevel="0" collapsed="false">
      <c r="A19" s="29" t="n">
        <v>16</v>
      </c>
      <c r="B19" s="29" t="s">
        <v>34</v>
      </c>
      <c r="C19" s="30" t="s">
        <v>86</v>
      </c>
      <c r="D19" s="30" t="s">
        <v>87</v>
      </c>
      <c r="E19" s="30"/>
      <c r="F19" s="29" t="s">
        <v>38</v>
      </c>
      <c r="G19" s="29" t="n">
        <v>40</v>
      </c>
      <c r="H19" s="31" t="n">
        <v>123</v>
      </c>
      <c r="I19" s="31" t="n">
        <v>123</v>
      </c>
      <c r="J19" s="31"/>
      <c r="K19" s="31"/>
      <c r="L19" s="31" t="n">
        <v>84</v>
      </c>
      <c r="M19" s="31" t="n">
        <v>78</v>
      </c>
      <c r="N19" s="31" t="n">
        <f aca="false">ROUND(AVERAGE(H19,J19,L19),0)</f>
        <v>104</v>
      </c>
      <c r="O19" s="31" t="n">
        <f aca="false">ROUND(AVERAGE(I19,K19,M19),0)</f>
        <v>101</v>
      </c>
      <c r="P19" s="32" t="n">
        <f aca="false">IFERROR((J19-H19)/H19,"")</f>
        <v>-1</v>
      </c>
      <c r="Q19" s="32" t="str">
        <f aca="false">IFERROR((L19-J19)/J19,"")</f>
        <v/>
      </c>
      <c r="R19" s="20" t="n">
        <f aca="false">ROUND(O19*G19/30,0)</f>
        <v>135</v>
      </c>
      <c r="S19" s="31" t="n">
        <v>0</v>
      </c>
      <c r="T19" s="31"/>
      <c r="U19" s="21"/>
      <c r="V19" s="33" t="n">
        <f aca="false">IFERROR(U19-IFERROR(S19,0)-IFERROR(T19,0),"")</f>
        <v>0</v>
      </c>
      <c r="W19" s="34"/>
      <c r="X19" s="24" t="n">
        <v>69</v>
      </c>
      <c r="Y19" s="25" t="n">
        <f aca="false">IFERROR(X19/N19-1,"")</f>
        <v>-0.336538461538462</v>
      </c>
      <c r="Z19" s="26" t="n">
        <v>1</v>
      </c>
      <c r="AA19" s="27" t="n">
        <v>-0.1736</v>
      </c>
      <c r="AB19" s="28" t="s">
        <v>39</v>
      </c>
    </row>
    <row r="20" customFormat="false" ht="16.5" hidden="false" customHeight="true" outlineLevel="0" collapsed="false">
      <c r="A20" s="16" t="n">
        <v>17</v>
      </c>
      <c r="B20" s="16" t="s">
        <v>34</v>
      </c>
      <c r="C20" s="17" t="s">
        <v>88</v>
      </c>
      <c r="D20" s="17" t="s">
        <v>87</v>
      </c>
      <c r="E20" s="17"/>
      <c r="F20" s="16" t="s">
        <v>38</v>
      </c>
      <c r="G20" s="16" t="n">
        <v>60</v>
      </c>
      <c r="H20" s="18" t="n">
        <v>211</v>
      </c>
      <c r="I20" s="18" t="n">
        <v>121</v>
      </c>
      <c r="J20" s="18" t="n">
        <v>146</v>
      </c>
      <c r="K20" s="18" t="n">
        <v>120</v>
      </c>
      <c r="L20" s="18" t="n">
        <v>9</v>
      </c>
      <c r="M20" s="18" t="n">
        <v>9</v>
      </c>
      <c r="N20" s="18" t="n">
        <f aca="false">ROUND(AVERAGE(H20,J20,L20),0)</f>
        <v>122</v>
      </c>
      <c r="O20" s="18" t="n">
        <f aca="false">ROUND(AVERAGE(I20,K20,M20),0)</f>
        <v>83</v>
      </c>
      <c r="P20" s="19" t="n">
        <f aca="false">IFERROR((J20-H20)/H20,"")</f>
        <v>-0.308056872037915</v>
      </c>
      <c r="Q20" s="19" t="n">
        <f aca="false">IFERROR((L20-J20)/J20,"")</f>
        <v>-0.938356164383562</v>
      </c>
      <c r="R20" s="20" t="n">
        <f aca="false">ROUND(O20*G20/30,0)</f>
        <v>166</v>
      </c>
      <c r="S20" s="18" t="n">
        <v>0</v>
      </c>
      <c r="T20" s="18"/>
      <c r="U20" s="21"/>
      <c r="V20" s="22" t="n">
        <f aca="false">IFERROR(U20-IFERROR(S20,0)-IFERROR(T20,0),"")</f>
        <v>0</v>
      </c>
      <c r="W20" s="23"/>
      <c r="X20" s="24" t="n">
        <v>5</v>
      </c>
      <c r="Y20" s="25" t="n">
        <f aca="false">IFERROR(X20/N20-1,"")</f>
        <v>-0.959016393442623</v>
      </c>
      <c r="Z20" s="26" t="n">
        <v>1</v>
      </c>
      <c r="AA20" s="27" t="n">
        <v>-0.4523</v>
      </c>
      <c r="AB20" s="28" t="s">
        <v>39</v>
      </c>
    </row>
    <row r="21" customFormat="false" ht="16.5" hidden="false" customHeight="true" outlineLevel="0" collapsed="false">
      <c r="A21" s="29" t="n">
        <v>18</v>
      </c>
      <c r="B21" s="29" t="s">
        <v>34</v>
      </c>
      <c r="C21" s="30" t="s">
        <v>89</v>
      </c>
      <c r="D21" s="30"/>
      <c r="E21" s="30"/>
      <c r="F21" s="29"/>
      <c r="G21" s="29" t="n">
        <v>60</v>
      </c>
      <c r="H21" s="31"/>
      <c r="I21" s="31"/>
      <c r="J21" s="31" t="n">
        <v>235</v>
      </c>
      <c r="K21" s="31" t="n">
        <v>175</v>
      </c>
      <c r="L21" s="31" t="n">
        <v>2000</v>
      </c>
      <c r="M21" s="31" t="n">
        <v>900</v>
      </c>
      <c r="N21" s="31" t="n">
        <f aca="false">ROUND(AVERAGE(H21,J21,L21),0)</f>
        <v>1118</v>
      </c>
      <c r="O21" s="31" t="n">
        <f aca="false">ROUND(AVERAGE(I21,K21,M21),0)</f>
        <v>538</v>
      </c>
      <c r="P21" s="32" t="str">
        <f aca="false">IFERROR((J21-H21)/H21,"")</f>
        <v/>
      </c>
      <c r="Q21" s="32" t="n">
        <f aca="false">IFERROR((L21-J21)/J21,"")</f>
        <v>7.51063829787234</v>
      </c>
      <c r="R21" s="20" t="n">
        <f aca="false">ROUND(O21*G21/30,0)</f>
        <v>1076</v>
      </c>
      <c r="S21" s="31"/>
      <c r="T21" s="31"/>
      <c r="U21" s="21"/>
      <c r="V21" s="33" t="n">
        <f aca="false">IFERROR(U21-IFERROR(S21,0)-IFERROR(T21,0),"")</f>
        <v>0</v>
      </c>
      <c r="W21" s="34"/>
      <c r="X21" s="24" t="n">
        <v>2500</v>
      </c>
      <c r="Y21" s="25" t="n">
        <f aca="false">IFERROR(X21/N21-1,"")</f>
        <v>1.23613595706619</v>
      </c>
      <c r="Z21" s="26" t="n">
        <v>1</v>
      </c>
      <c r="AA21" s="37" t="n">
        <v>0.1923</v>
      </c>
      <c r="AB21" s="28" t="s">
        <v>39</v>
      </c>
    </row>
    <row r="22" customFormat="false" ht="16.5" hidden="false" customHeight="true" outlineLevel="0" collapsed="false">
      <c r="A22" s="16" t="n">
        <v>19</v>
      </c>
      <c r="B22" s="16" t="s">
        <v>34</v>
      </c>
      <c r="C22" s="17" t="s">
        <v>90</v>
      </c>
      <c r="D22" s="17" t="s">
        <v>91</v>
      </c>
      <c r="E22" s="17" t="s">
        <v>92</v>
      </c>
      <c r="F22" s="16" t="s">
        <v>38</v>
      </c>
      <c r="G22" s="16" t="n">
        <v>40</v>
      </c>
      <c r="H22" s="18" t="n">
        <v>4421</v>
      </c>
      <c r="I22" s="18" t="n">
        <v>823</v>
      </c>
      <c r="J22" s="18" t="n">
        <v>2383</v>
      </c>
      <c r="K22" s="18" t="n">
        <v>822</v>
      </c>
      <c r="L22" s="18" t="n">
        <v>5929</v>
      </c>
      <c r="M22" s="18" t="n">
        <v>1379</v>
      </c>
      <c r="N22" s="18" t="n">
        <f aca="false">ROUND(AVERAGE(H22,J22,L22),0)</f>
        <v>4244</v>
      </c>
      <c r="O22" s="18" t="n">
        <f aca="false">ROUND(AVERAGE(I22,K22,M22),0)</f>
        <v>1008</v>
      </c>
      <c r="P22" s="19" t="n">
        <f aca="false">IFERROR((J22-H22)/H22,"")</f>
        <v>-0.460981678353314</v>
      </c>
      <c r="Q22" s="19" t="n">
        <f aca="false">IFERROR((L22-J22)/J22,"")</f>
        <v>1.4880402853546</v>
      </c>
      <c r="R22" s="20" t="n">
        <f aca="false">ROUND(O22*G22/30,0)</f>
        <v>1344</v>
      </c>
      <c r="S22" s="18" t="n">
        <v>0</v>
      </c>
      <c r="T22" s="18"/>
      <c r="U22" s="21"/>
      <c r="V22" s="22" t="n">
        <f aca="false">IFERROR(U22-IFERROR(S22,0)-IFERROR(T22,0),"")</f>
        <v>0</v>
      </c>
      <c r="W22" s="23"/>
      <c r="X22" s="24" t="n">
        <v>9921</v>
      </c>
      <c r="Y22" s="25" t="n">
        <f aca="false">IFERROR(X22/N22-1,"")</f>
        <v>1.33765315739868</v>
      </c>
      <c r="Z22" s="26" t="n">
        <v>0.992</v>
      </c>
      <c r="AA22" s="37" t="n">
        <v>0.7318</v>
      </c>
      <c r="AB22" s="28" t="s">
        <v>39</v>
      </c>
    </row>
    <row r="23" customFormat="false" ht="16.5" hidden="false" customHeight="true" outlineLevel="0" collapsed="false">
      <c r="A23" s="29" t="n">
        <v>20</v>
      </c>
      <c r="B23" s="29" t="s">
        <v>34</v>
      </c>
      <c r="C23" s="30" t="s">
        <v>93</v>
      </c>
      <c r="D23" s="30" t="s">
        <v>87</v>
      </c>
      <c r="E23" s="30"/>
      <c r="F23" s="29" t="s">
        <v>38</v>
      </c>
      <c r="G23" s="29" t="n">
        <v>60</v>
      </c>
      <c r="H23" s="31" t="n">
        <v>105</v>
      </c>
      <c r="I23" s="31" t="n">
        <v>105</v>
      </c>
      <c r="J23" s="31" t="n">
        <v>180</v>
      </c>
      <c r="K23" s="31" t="n">
        <v>180</v>
      </c>
      <c r="L23" s="31"/>
      <c r="M23" s="31"/>
      <c r="N23" s="31" t="n">
        <f aca="false">ROUND(AVERAGE(H23,J23,L23),0)</f>
        <v>143</v>
      </c>
      <c r="O23" s="31" t="n">
        <f aca="false">ROUND(AVERAGE(I23,K23,M23),0)</f>
        <v>143</v>
      </c>
      <c r="P23" s="32" t="n">
        <f aca="false">IFERROR((J23-H23)/H23,"")</f>
        <v>0.714285714285714</v>
      </c>
      <c r="Q23" s="32" t="n">
        <f aca="false">IFERROR((L23-J23)/J23,"")</f>
        <v>-1</v>
      </c>
      <c r="R23" s="20" t="n">
        <f aca="false">ROUND(O23*G23/30,0)</f>
        <v>286</v>
      </c>
      <c r="S23" s="31" t="n">
        <v>0</v>
      </c>
      <c r="T23" s="31"/>
      <c r="U23" s="21"/>
      <c r="V23" s="33" t="n">
        <f aca="false">IFERROR(U23-IFERROR(S23,0)-IFERROR(T23,0),"")</f>
        <v>0</v>
      </c>
      <c r="W23" s="34"/>
      <c r="X23" s="24"/>
      <c r="Y23" s="25" t="n">
        <f aca="false">IFERROR(X23/N23-1,"")</f>
        <v>-1</v>
      </c>
      <c r="Z23" s="35"/>
      <c r="AA23" s="27"/>
      <c r="AB23" s="36" t="s">
        <v>49</v>
      </c>
    </row>
    <row r="24" customFormat="false" ht="16.5" hidden="false" customHeight="true" outlineLevel="0" collapsed="false">
      <c r="A24" s="16" t="n">
        <v>21</v>
      </c>
      <c r="B24" s="16" t="s">
        <v>34</v>
      </c>
      <c r="C24" s="17" t="s">
        <v>94</v>
      </c>
      <c r="D24" s="17" t="s">
        <v>95</v>
      </c>
      <c r="E24" s="17" t="s">
        <v>96</v>
      </c>
      <c r="F24" s="42" t="s">
        <v>97</v>
      </c>
      <c r="G24" s="16" t="n">
        <v>60</v>
      </c>
      <c r="H24" s="18" t="n">
        <v>245427</v>
      </c>
      <c r="I24" s="18" t="n">
        <v>38190</v>
      </c>
      <c r="J24" s="18" t="n">
        <v>189126</v>
      </c>
      <c r="K24" s="18" t="n">
        <v>31139</v>
      </c>
      <c r="L24" s="18" t="n">
        <v>269766</v>
      </c>
      <c r="M24" s="18" t="n">
        <v>38047</v>
      </c>
      <c r="N24" s="18" t="n">
        <f aca="false">ROUND(AVERAGE(H24,J24,L24),0)</f>
        <v>234773</v>
      </c>
      <c r="O24" s="18" t="n">
        <f aca="false">ROUND(AVERAGE(I24,K24,M24),0)</f>
        <v>35792</v>
      </c>
      <c r="P24" s="19" t="n">
        <f aca="false">IFERROR((J24-H24)/H24,"")</f>
        <v>-0.229400188243347</v>
      </c>
      <c r="Q24" s="19" t="n">
        <f aca="false">IFERROR((L24-J24)/J24,"")</f>
        <v>0.426382411725516</v>
      </c>
      <c r="R24" s="20" t="n">
        <f aca="false">ROUND(O24*G24/30,0)</f>
        <v>71584</v>
      </c>
      <c r="S24" s="18" t="n">
        <v>38000</v>
      </c>
      <c r="T24" s="18"/>
      <c r="U24" s="21"/>
      <c r="V24" s="22" t="n">
        <f aca="false">IFERROR(U24-IFERROR(S24,0)-IFERROR(T24,0),"")</f>
        <v>-38000</v>
      </c>
      <c r="W24" s="23"/>
      <c r="X24" s="24" t="n">
        <v>306502</v>
      </c>
      <c r="Y24" s="25" t="n">
        <f aca="false">IFERROR(X24/N24-1,"")</f>
        <v>0.305524911297296</v>
      </c>
      <c r="Z24" s="38" t="n">
        <v>0.297</v>
      </c>
      <c r="AA24" s="37" t="n">
        <v>0.0158</v>
      </c>
      <c r="AB24" s="41" t="s">
        <v>82</v>
      </c>
    </row>
    <row r="25" customFormat="false" ht="16.5" hidden="false" customHeight="true" outlineLevel="0" collapsed="false">
      <c r="A25" s="29" t="n">
        <v>22</v>
      </c>
      <c r="B25" s="29" t="s">
        <v>34</v>
      </c>
      <c r="C25" s="30" t="s">
        <v>98</v>
      </c>
      <c r="D25" s="30" t="s">
        <v>99</v>
      </c>
      <c r="E25" s="30" t="s">
        <v>100</v>
      </c>
      <c r="F25" s="43" t="s">
        <v>97</v>
      </c>
      <c r="G25" s="29" t="n">
        <v>60</v>
      </c>
      <c r="H25" s="31" t="n">
        <v>176616</v>
      </c>
      <c r="I25" s="31" t="n">
        <v>27807</v>
      </c>
      <c r="J25" s="31" t="n">
        <v>86711</v>
      </c>
      <c r="K25" s="31" t="n">
        <v>24050</v>
      </c>
      <c r="L25" s="31" t="n">
        <v>103438</v>
      </c>
      <c r="M25" s="31" t="n">
        <v>22050</v>
      </c>
      <c r="N25" s="31" t="n">
        <f aca="false">ROUND(AVERAGE(H25,J25,L25),0)</f>
        <v>122255</v>
      </c>
      <c r="O25" s="31" t="n">
        <f aca="false">ROUND(AVERAGE(I25,K25,M25),0)</f>
        <v>24636</v>
      </c>
      <c r="P25" s="32" t="n">
        <f aca="false">IFERROR((J25-H25)/H25,"")</f>
        <v>-0.509042215880781</v>
      </c>
      <c r="Q25" s="32" t="n">
        <f aca="false">IFERROR((L25-J25)/J25,"")</f>
        <v>0.192905167741117</v>
      </c>
      <c r="R25" s="20" t="n">
        <f aca="false">ROUND(O25*G25/30,0)</f>
        <v>49272</v>
      </c>
      <c r="S25" s="31" t="n">
        <v>43000</v>
      </c>
      <c r="T25" s="31"/>
      <c r="U25" s="21"/>
      <c r="V25" s="33" t="n">
        <f aca="false">IFERROR(U25-IFERROR(S25,0)-IFERROR(T25,0),"")</f>
        <v>-43000</v>
      </c>
      <c r="W25" s="34"/>
      <c r="X25" s="24" t="n">
        <v>108496</v>
      </c>
      <c r="Y25" s="25" t="n">
        <f aca="false">IFERROR(X25/N25-1,"")</f>
        <v>-0.11254345425545</v>
      </c>
      <c r="Z25" s="38" t="n">
        <v>0.372</v>
      </c>
      <c r="AA25" s="27" t="n">
        <v>-0.105</v>
      </c>
      <c r="AB25" s="39" t="s">
        <v>57</v>
      </c>
    </row>
    <row r="26" customFormat="false" ht="16.5" hidden="false" customHeight="true" outlineLevel="0" collapsed="false">
      <c r="A26" s="16" t="n">
        <v>23</v>
      </c>
      <c r="B26" s="16" t="s">
        <v>34</v>
      </c>
      <c r="C26" s="17" t="s">
        <v>101</v>
      </c>
      <c r="D26" s="17" t="s">
        <v>102</v>
      </c>
      <c r="E26" s="17" t="s">
        <v>103</v>
      </c>
      <c r="F26" s="16" t="s">
        <v>56</v>
      </c>
      <c r="G26" s="16" t="n">
        <v>60</v>
      </c>
      <c r="H26" s="18" t="n">
        <v>49884</v>
      </c>
      <c r="I26" s="18" t="n">
        <v>8898</v>
      </c>
      <c r="J26" s="18" t="n">
        <v>49954</v>
      </c>
      <c r="K26" s="18" t="n">
        <v>22855</v>
      </c>
      <c r="L26" s="18" t="n">
        <v>43359</v>
      </c>
      <c r="M26" s="18" t="n">
        <v>7755</v>
      </c>
      <c r="N26" s="18" t="n">
        <f aca="false">ROUND(AVERAGE(H26,J26,L26),0)</f>
        <v>47732</v>
      </c>
      <c r="O26" s="18" t="n">
        <f aca="false">ROUND(AVERAGE(I26,K26,M26),0)</f>
        <v>13169</v>
      </c>
      <c r="P26" s="19" t="n">
        <f aca="false">IFERROR((J26-H26)/H26,"")</f>
        <v>0.00140325555288269</v>
      </c>
      <c r="Q26" s="19" t="n">
        <f aca="false">IFERROR((L26-J26)/J26,"")</f>
        <v>-0.132021459742964</v>
      </c>
      <c r="R26" s="20" t="n">
        <f aca="false">ROUND(O26*G26/30,0)</f>
        <v>26338</v>
      </c>
      <c r="S26" s="18" t="n">
        <v>24000</v>
      </c>
      <c r="T26" s="18"/>
      <c r="U26" s="21"/>
      <c r="V26" s="22" t="n">
        <f aca="false">IFERROR(U26-IFERROR(S26,0)-IFERROR(T26,0),"")</f>
        <v>-24000</v>
      </c>
      <c r="W26" s="23"/>
      <c r="X26" s="24" t="n">
        <v>47086</v>
      </c>
      <c r="Y26" s="25" t="n">
        <f aca="false">IFERROR(X26/N26-1,"")</f>
        <v>-0.0135338975949049</v>
      </c>
      <c r="Z26" s="40" t="n">
        <v>0.566</v>
      </c>
      <c r="AA26" s="37" t="n">
        <v>0.0365</v>
      </c>
      <c r="AB26" s="39" t="s">
        <v>57</v>
      </c>
    </row>
    <row r="27" customFormat="false" ht="16.5" hidden="false" customHeight="true" outlineLevel="0" collapsed="false">
      <c r="A27" s="29" t="n">
        <v>24</v>
      </c>
      <c r="B27" s="29" t="s">
        <v>34</v>
      </c>
      <c r="C27" s="30" t="s">
        <v>104</v>
      </c>
      <c r="D27" s="30" t="s">
        <v>105</v>
      </c>
      <c r="E27" s="30" t="s">
        <v>106</v>
      </c>
      <c r="F27" s="29" t="s">
        <v>56</v>
      </c>
      <c r="G27" s="29" t="n">
        <v>60</v>
      </c>
      <c r="H27" s="31" t="n">
        <v>395</v>
      </c>
      <c r="I27" s="31" t="n">
        <v>180</v>
      </c>
      <c r="J27" s="31" t="n">
        <v>805</v>
      </c>
      <c r="K27" s="31" t="n">
        <v>520</v>
      </c>
      <c r="L27" s="31" t="n">
        <v>581</v>
      </c>
      <c r="M27" s="31" t="n">
        <v>575</v>
      </c>
      <c r="N27" s="31" t="n">
        <f aca="false">ROUND(AVERAGE(H27,J27,L27),0)</f>
        <v>594</v>
      </c>
      <c r="O27" s="31" t="n">
        <f aca="false">ROUND(AVERAGE(I27,K27,M27),0)</f>
        <v>425</v>
      </c>
      <c r="P27" s="32" t="n">
        <f aca="false">IFERROR((J27-H27)/H27,"")</f>
        <v>1.0379746835443</v>
      </c>
      <c r="Q27" s="32" t="n">
        <f aca="false">IFERROR((L27-J27)/J27,"")</f>
        <v>-0.278260869565217</v>
      </c>
      <c r="R27" s="20" t="n">
        <f aca="false">ROUND(O27*G27/30,0)</f>
        <v>850</v>
      </c>
      <c r="S27" s="31" t="n">
        <v>8000</v>
      </c>
      <c r="T27" s="31"/>
      <c r="U27" s="21"/>
      <c r="V27" s="33" t="n">
        <f aca="false">IFERROR(U27-IFERROR(S27,0)-IFERROR(T27,0),"")</f>
        <v>-8000</v>
      </c>
      <c r="W27" s="34"/>
      <c r="X27" s="24" t="n">
        <v>1031</v>
      </c>
      <c r="Y27" s="25" t="n">
        <f aca="false">IFERROR(X27/N27-1,"")</f>
        <v>0.735690235690236</v>
      </c>
      <c r="Z27" s="40" t="n">
        <v>0.758</v>
      </c>
      <c r="AA27" s="37" t="n">
        <v>0.9064</v>
      </c>
      <c r="AB27" s="28" t="s">
        <v>39</v>
      </c>
    </row>
    <row r="28" customFormat="false" ht="16.5" hidden="false" customHeight="true" outlineLevel="0" collapsed="false">
      <c r="A28" s="16" t="n">
        <v>25</v>
      </c>
      <c r="B28" s="16" t="s">
        <v>34</v>
      </c>
      <c r="C28" s="17" t="s">
        <v>107</v>
      </c>
      <c r="D28" s="17" t="s">
        <v>108</v>
      </c>
      <c r="E28" s="17" t="s">
        <v>109</v>
      </c>
      <c r="F28" s="16" t="s">
        <v>56</v>
      </c>
      <c r="G28" s="16" t="n">
        <v>60</v>
      </c>
      <c r="H28" s="18" t="n">
        <v>29738</v>
      </c>
      <c r="I28" s="18" t="n">
        <v>14136</v>
      </c>
      <c r="J28" s="18" t="n">
        <v>22714</v>
      </c>
      <c r="K28" s="18" t="n">
        <v>6961</v>
      </c>
      <c r="L28" s="18" t="n">
        <v>30932</v>
      </c>
      <c r="M28" s="18" t="n">
        <v>12338</v>
      </c>
      <c r="N28" s="18" t="n">
        <f aca="false">ROUND(AVERAGE(H28,J28,L28),0)</f>
        <v>27795</v>
      </c>
      <c r="O28" s="18" t="n">
        <f aca="false">ROUND(AVERAGE(I28,K28,M28),0)</f>
        <v>11145</v>
      </c>
      <c r="P28" s="19" t="n">
        <f aca="false">IFERROR((J28-H28)/H28,"")</f>
        <v>-0.236196112717735</v>
      </c>
      <c r="Q28" s="19" t="n">
        <f aca="false">IFERROR((L28-J28)/J28,"")</f>
        <v>0.361803293123184</v>
      </c>
      <c r="R28" s="20" t="n">
        <f aca="false">ROUND(O28*G28/30,0)</f>
        <v>22290</v>
      </c>
      <c r="S28" s="18" t="n">
        <v>24000</v>
      </c>
      <c r="T28" s="18"/>
      <c r="U28" s="21"/>
      <c r="V28" s="22" t="n">
        <f aca="false">IFERROR(U28-IFERROR(S28,0)-IFERROR(T28,0),"")</f>
        <v>-24000</v>
      </c>
      <c r="W28" s="23"/>
      <c r="X28" s="24" t="n">
        <v>32758</v>
      </c>
      <c r="Y28" s="25" t="n">
        <f aca="false">IFERROR(X28/N28-1,"")</f>
        <v>0.178557294477424</v>
      </c>
      <c r="Z28" s="26" t="n">
        <v>0.817</v>
      </c>
      <c r="AA28" s="37" t="n">
        <v>0.0236</v>
      </c>
      <c r="AB28" s="28" t="s">
        <v>39</v>
      </c>
    </row>
    <row r="29" customFormat="false" ht="16.5" hidden="false" customHeight="true" outlineLevel="0" collapsed="false">
      <c r="A29" s="29" t="n">
        <v>26</v>
      </c>
      <c r="B29" s="29" t="s">
        <v>34</v>
      </c>
      <c r="C29" s="30" t="s">
        <v>110</v>
      </c>
      <c r="D29" s="30"/>
      <c r="E29" s="30"/>
      <c r="F29" s="29"/>
      <c r="G29" s="29" t="n">
        <v>60</v>
      </c>
      <c r="H29" s="31"/>
      <c r="I29" s="31"/>
      <c r="J29" s="31" t="n">
        <v>1</v>
      </c>
      <c r="K29" s="31" t="n">
        <v>1</v>
      </c>
      <c r="L29" s="31"/>
      <c r="M29" s="31"/>
      <c r="N29" s="31" t="n">
        <f aca="false">ROUND(AVERAGE(H29,J29,L29),0)</f>
        <v>1</v>
      </c>
      <c r="O29" s="31" t="n">
        <f aca="false">ROUND(AVERAGE(I29,K29,M29),0)</f>
        <v>1</v>
      </c>
      <c r="P29" s="32" t="str">
        <f aca="false">IFERROR((J29-H29)/H29,"")</f>
        <v/>
      </c>
      <c r="Q29" s="32" t="n">
        <f aca="false">IFERROR((L29-J29)/J29,"")</f>
        <v>-1</v>
      </c>
      <c r="R29" s="20" t="n">
        <f aca="false">ROUND(O29*G29/30,0)</f>
        <v>2</v>
      </c>
      <c r="S29" s="31"/>
      <c r="T29" s="31"/>
      <c r="U29" s="21"/>
      <c r="V29" s="33" t="n">
        <f aca="false">IFERROR(U29-IFERROR(S29,0)-IFERROR(T29,0),"")</f>
        <v>0</v>
      </c>
      <c r="W29" s="34"/>
      <c r="X29" s="24"/>
      <c r="Y29" s="25" t="n">
        <f aca="false">IFERROR(X29/N29-1,"")</f>
        <v>-1</v>
      </c>
      <c r="Z29" s="35"/>
      <c r="AA29" s="27"/>
      <c r="AB29" s="36" t="s">
        <v>49</v>
      </c>
    </row>
    <row r="30" customFormat="false" ht="16.5" hidden="false" customHeight="true" outlineLevel="0" collapsed="false">
      <c r="A30" s="16" t="n">
        <v>27</v>
      </c>
      <c r="B30" s="16" t="s">
        <v>34</v>
      </c>
      <c r="C30" s="17" t="s">
        <v>111</v>
      </c>
      <c r="D30" s="17" t="s">
        <v>112</v>
      </c>
      <c r="E30" s="17" t="s">
        <v>113</v>
      </c>
      <c r="F30" s="16" t="s">
        <v>56</v>
      </c>
      <c r="G30" s="16" t="n">
        <v>60</v>
      </c>
      <c r="H30" s="18" t="n">
        <v>41885</v>
      </c>
      <c r="I30" s="18" t="n">
        <v>12000</v>
      </c>
      <c r="J30" s="18" t="n">
        <v>17730</v>
      </c>
      <c r="K30" s="18" t="n">
        <v>4560</v>
      </c>
      <c r="L30" s="18" t="n">
        <v>19880</v>
      </c>
      <c r="M30" s="18" t="n">
        <v>4250</v>
      </c>
      <c r="N30" s="18" t="n">
        <f aca="false">ROUND(AVERAGE(H30,J30,L30),0)</f>
        <v>26498</v>
      </c>
      <c r="O30" s="18" t="n">
        <f aca="false">ROUND(AVERAGE(I30,K30,M30),0)</f>
        <v>6937</v>
      </c>
      <c r="P30" s="19" t="n">
        <f aca="false">IFERROR((J30-H30)/H30,"")</f>
        <v>-0.576698101945804</v>
      </c>
      <c r="Q30" s="19" t="n">
        <f aca="false">IFERROR((L30-J30)/J30,"")</f>
        <v>0.121263395375071</v>
      </c>
      <c r="R30" s="20" t="n">
        <f aca="false">ROUND(O30*G30/30,0)</f>
        <v>13874</v>
      </c>
      <c r="S30" s="18" t="n">
        <v>0</v>
      </c>
      <c r="T30" s="18"/>
      <c r="U30" s="21"/>
      <c r="V30" s="22" t="n">
        <f aca="false">IFERROR(U30-IFERROR(S30,0)-IFERROR(T30,0),"")</f>
        <v>0</v>
      </c>
      <c r="W30" s="23"/>
      <c r="X30" s="24" t="n">
        <v>23348</v>
      </c>
      <c r="Y30" s="25" t="n">
        <f aca="false">IFERROR(X30/N30-1,"")</f>
        <v>-0.118876896369537</v>
      </c>
      <c r="Z30" s="26" t="n">
        <v>0.872</v>
      </c>
      <c r="AA30" s="37" t="n">
        <v>0.312</v>
      </c>
      <c r="AB30" s="28" t="s">
        <v>39</v>
      </c>
    </row>
    <row r="31" customFormat="false" ht="16.5" hidden="false" customHeight="true" outlineLevel="0" collapsed="false">
      <c r="A31" s="29" t="n">
        <v>28</v>
      </c>
      <c r="B31" s="29" t="s">
        <v>34</v>
      </c>
      <c r="C31" s="30" t="s">
        <v>114</v>
      </c>
      <c r="D31" s="30" t="s">
        <v>115</v>
      </c>
      <c r="E31" s="30" t="s">
        <v>116</v>
      </c>
      <c r="F31" s="29" t="s">
        <v>115</v>
      </c>
      <c r="G31" s="29" t="n">
        <v>60</v>
      </c>
      <c r="H31" s="31" t="n">
        <v>398</v>
      </c>
      <c r="I31" s="31" t="n">
        <v>362</v>
      </c>
      <c r="J31" s="31" t="n">
        <v>36</v>
      </c>
      <c r="K31" s="31" t="n">
        <v>36</v>
      </c>
      <c r="L31" s="31" t="n">
        <v>679</v>
      </c>
      <c r="M31" s="31" t="n">
        <v>615</v>
      </c>
      <c r="N31" s="31" t="n">
        <f aca="false">ROUND(AVERAGE(H31,J31,L31),0)</f>
        <v>371</v>
      </c>
      <c r="O31" s="31" t="n">
        <f aca="false">ROUND(AVERAGE(I31,K31,M31),0)</f>
        <v>338</v>
      </c>
      <c r="P31" s="32" t="n">
        <f aca="false">IFERROR((J31-H31)/H31,"")</f>
        <v>-0.909547738693467</v>
      </c>
      <c r="Q31" s="32" t="n">
        <f aca="false">IFERROR((L31-J31)/J31,"")</f>
        <v>17.8611111111111</v>
      </c>
      <c r="R31" s="20" t="n">
        <f aca="false">ROUND(O31*G31/30,0)</f>
        <v>676</v>
      </c>
      <c r="S31" s="31" t="n">
        <v>0</v>
      </c>
      <c r="T31" s="31"/>
      <c r="U31" s="21"/>
      <c r="V31" s="33" t="n">
        <f aca="false">IFERROR(U31-IFERROR(S31,0)-IFERROR(T31,0),"")</f>
        <v>0</v>
      </c>
      <c r="W31" s="34"/>
      <c r="X31" s="24" t="n">
        <v>677</v>
      </c>
      <c r="Y31" s="25" t="n">
        <f aca="false">IFERROR(X31/N31-1,"")</f>
        <v>0.824797843665768</v>
      </c>
      <c r="Z31" s="26" t="n">
        <v>1</v>
      </c>
      <c r="AA31" s="27" t="n">
        <v>-0.0033</v>
      </c>
      <c r="AB31" s="28" t="s">
        <v>39</v>
      </c>
    </row>
    <row r="32" customFormat="false" ht="16.5" hidden="false" customHeight="true" outlineLevel="0" collapsed="false">
      <c r="A32" s="16" t="n">
        <v>29</v>
      </c>
      <c r="B32" s="16" t="s">
        <v>117</v>
      </c>
      <c r="C32" s="17" t="s">
        <v>94</v>
      </c>
      <c r="D32" s="17" t="s">
        <v>118</v>
      </c>
      <c r="E32" s="17" t="s">
        <v>119</v>
      </c>
      <c r="F32" s="42" t="s">
        <v>97</v>
      </c>
      <c r="G32" s="16" t="n">
        <v>60</v>
      </c>
      <c r="H32" s="18" t="n">
        <v>2302</v>
      </c>
      <c r="I32" s="18" t="n">
        <v>820</v>
      </c>
      <c r="J32" s="18" t="n">
        <v>8542</v>
      </c>
      <c r="K32" s="18" t="n">
        <v>1318</v>
      </c>
      <c r="L32" s="18" t="n">
        <v>19703</v>
      </c>
      <c r="M32" s="18" t="n">
        <v>2594</v>
      </c>
      <c r="N32" s="18" t="n">
        <f aca="false">ROUND(AVERAGE(H32,J32,L32),0)</f>
        <v>10182</v>
      </c>
      <c r="O32" s="18" t="n">
        <f aca="false">ROUND(AVERAGE(I32,K32,M32),0)</f>
        <v>1577</v>
      </c>
      <c r="P32" s="19" t="n">
        <f aca="false">IFERROR((J32-H32)/H32,"")</f>
        <v>2.71068635968723</v>
      </c>
      <c r="Q32" s="19" t="n">
        <f aca="false">IFERROR((L32-J32)/J32,"")</f>
        <v>1.30660266916413</v>
      </c>
      <c r="R32" s="20" t="n">
        <f aca="false">ROUND(O32*G32/30,0)</f>
        <v>3154</v>
      </c>
      <c r="S32" s="18" t="n">
        <v>15000</v>
      </c>
      <c r="T32" s="18"/>
      <c r="U32" s="21"/>
      <c r="V32" s="22" t="n">
        <f aca="false">IFERROR(U32-IFERROR(S32,0)-IFERROR(T32,0),"")</f>
        <v>-15000</v>
      </c>
      <c r="W32" s="23"/>
      <c r="X32" s="24" t="n">
        <v>21256</v>
      </c>
      <c r="Y32" s="25" t="n">
        <f aca="false">IFERROR(X32/N32-1,"")</f>
        <v>1.08760557847181</v>
      </c>
      <c r="Z32" s="38" t="n">
        <v>0.318</v>
      </c>
      <c r="AA32" s="37" t="n">
        <v>0.0548</v>
      </c>
      <c r="AB32" s="39" t="s">
        <v>57</v>
      </c>
    </row>
    <row r="33" customFormat="false" ht="16.5" hidden="false" customHeight="true" outlineLevel="0" collapsed="false">
      <c r="A33" s="29" t="n">
        <v>30</v>
      </c>
      <c r="B33" s="29" t="s">
        <v>117</v>
      </c>
      <c r="C33" s="30" t="s">
        <v>98</v>
      </c>
      <c r="D33" s="30" t="s">
        <v>120</v>
      </c>
      <c r="E33" s="30" t="s">
        <v>121</v>
      </c>
      <c r="F33" s="43" t="s">
        <v>97</v>
      </c>
      <c r="G33" s="29" t="n">
        <v>60</v>
      </c>
      <c r="H33" s="31" t="n">
        <v>2330</v>
      </c>
      <c r="I33" s="31" t="n">
        <v>659</v>
      </c>
      <c r="J33" s="31" t="n">
        <v>13225</v>
      </c>
      <c r="K33" s="31" t="n">
        <v>5280</v>
      </c>
      <c r="L33" s="31" t="n">
        <v>17783</v>
      </c>
      <c r="M33" s="31" t="n">
        <v>3784</v>
      </c>
      <c r="N33" s="31" t="n">
        <f aca="false">ROUND(AVERAGE(H33,J33,L33),0)</f>
        <v>11113</v>
      </c>
      <c r="O33" s="31" t="n">
        <f aca="false">ROUND(AVERAGE(I33,K33,M33),0)</f>
        <v>3241</v>
      </c>
      <c r="P33" s="32" t="n">
        <f aca="false">IFERROR((J33-H33)/H33,"")</f>
        <v>4.67596566523605</v>
      </c>
      <c r="Q33" s="32" t="n">
        <f aca="false">IFERROR((L33-J33)/J33,"")</f>
        <v>0.344650283553875</v>
      </c>
      <c r="R33" s="20" t="n">
        <f aca="false">ROUND(O33*G33/30,0)</f>
        <v>6482</v>
      </c>
      <c r="S33" s="31" t="n">
        <v>6000</v>
      </c>
      <c r="T33" s="31"/>
      <c r="U33" s="21"/>
      <c r="V33" s="33" t="n">
        <f aca="false">IFERROR(U33-IFERROR(S33,0)-IFERROR(T33,0),"")</f>
        <v>-6000</v>
      </c>
      <c r="W33" s="34"/>
      <c r="X33" s="24" t="n">
        <v>16709</v>
      </c>
      <c r="Y33" s="25" t="n">
        <f aca="false">IFERROR(X33/N33-1,"")</f>
        <v>0.503554395752722</v>
      </c>
      <c r="Z33" s="38" t="n">
        <v>0.106</v>
      </c>
      <c r="AA33" s="27" t="n">
        <v>-0.3416</v>
      </c>
      <c r="AB33" s="41" t="s">
        <v>82</v>
      </c>
    </row>
    <row r="34" customFormat="false" ht="16.5" hidden="false" customHeight="true" outlineLevel="0" collapsed="false">
      <c r="A34" s="16" t="n">
        <v>31</v>
      </c>
      <c r="B34" s="16" t="s">
        <v>117</v>
      </c>
      <c r="C34" s="17" t="s">
        <v>122</v>
      </c>
      <c r="D34" s="17" t="s">
        <v>123</v>
      </c>
      <c r="E34" s="17" t="s">
        <v>124</v>
      </c>
      <c r="F34" s="16" t="s">
        <v>56</v>
      </c>
      <c r="G34" s="16" t="n">
        <v>60</v>
      </c>
      <c r="H34" s="18" t="n">
        <v>79149</v>
      </c>
      <c r="I34" s="18" t="n">
        <v>15004</v>
      </c>
      <c r="J34" s="18" t="n">
        <v>57564</v>
      </c>
      <c r="K34" s="18" t="n">
        <v>13350</v>
      </c>
      <c r="L34" s="18" t="n">
        <v>31076</v>
      </c>
      <c r="M34" s="18" t="n">
        <v>7130</v>
      </c>
      <c r="N34" s="18" t="n">
        <f aca="false">ROUND(AVERAGE(H34,J34,L34),0)</f>
        <v>55930</v>
      </c>
      <c r="O34" s="18" t="n">
        <f aca="false">ROUND(AVERAGE(I34,K34,M34),0)</f>
        <v>11828</v>
      </c>
      <c r="P34" s="19" t="n">
        <f aca="false">IFERROR((J34-H34)/H34,"")</f>
        <v>-0.272713489747186</v>
      </c>
      <c r="Q34" s="19" t="n">
        <f aca="false">IFERROR((L34-J34)/J34,"")</f>
        <v>-0.460148704051143</v>
      </c>
      <c r="R34" s="20" t="n">
        <f aca="false">ROUND(O34*G34/30,0)</f>
        <v>23656</v>
      </c>
      <c r="S34" s="18" t="n">
        <v>6000</v>
      </c>
      <c r="T34" s="18"/>
      <c r="U34" s="21"/>
      <c r="V34" s="22" t="n">
        <f aca="false">IFERROR(U34-IFERROR(S34,0)-IFERROR(T34,0),"")</f>
        <v>-6000</v>
      </c>
      <c r="W34" s="23"/>
      <c r="X34" s="24" t="n">
        <v>28397</v>
      </c>
      <c r="Y34" s="25" t="n">
        <f aca="false">IFERROR(X34/N34-1,"")</f>
        <v>-0.492276059359914</v>
      </c>
      <c r="Z34" s="26" t="n">
        <v>0.954</v>
      </c>
      <c r="AA34" s="27" t="n">
        <v>-0.1026</v>
      </c>
      <c r="AB34" s="28" t="s">
        <v>39</v>
      </c>
    </row>
    <row r="35" customFormat="false" ht="15" hidden="false" customHeight="false" outlineLevel="0" collapsed="false">
      <c r="X35" s="24" t="n">
        <v>28397</v>
      </c>
      <c r="Y35" s="25" t="n">
        <f aca="false">Y34</f>
        <v>-0.492276059359914</v>
      </c>
      <c r="Z35" s="26" t="n">
        <v>0.954</v>
      </c>
      <c r="AA35" s="27" t="n">
        <v>-0.1026</v>
      </c>
      <c r="AB35" s="28" t="s">
        <v>39</v>
      </c>
    </row>
    <row r="36" customFormat="false" ht="18" hidden="false" customHeight="true" outlineLevel="0" collapsed="false">
      <c r="C36" s="44" t="s">
        <v>125</v>
      </c>
      <c r="H36" s="45" t="n">
        <f aca="false">SUM(H4:H34)</f>
        <v>1327695</v>
      </c>
      <c r="I36" s="45" t="n">
        <f aca="false">SUM(I4:I34)</f>
        <v>298075</v>
      </c>
      <c r="J36" s="45" t="n">
        <f aca="false">SUM(J4:J34)</f>
        <v>891372</v>
      </c>
      <c r="K36" s="45" t="n">
        <f aca="false">SUM(K4:K34)</f>
        <v>223239</v>
      </c>
      <c r="L36" s="45" t="n">
        <f aca="false">SUM(L4:L34)</f>
        <v>1202120</v>
      </c>
      <c r="M36" s="45" t="n">
        <f aca="false">SUM(M4:M34)</f>
        <v>253379</v>
      </c>
      <c r="N36" s="45" t="n">
        <f aca="false">SUM(N4:N34)</f>
        <v>1143801</v>
      </c>
      <c r="O36" s="45" t="n">
        <f aca="false">SUM(O4:O34)</f>
        <v>260794</v>
      </c>
    </row>
  </sheetData>
  <mergeCells count="9">
    <mergeCell ref="A1:W1"/>
    <mergeCell ref="A2:G2"/>
    <mergeCell ref="H2:I2"/>
    <mergeCell ref="J2:K2"/>
    <mergeCell ref="L2:M2"/>
    <mergeCell ref="N2:Q2"/>
    <mergeCell ref="S2:T2"/>
    <mergeCell ref="U2:V2"/>
    <mergeCell ref="X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15" min="8" style="0" width="14"/>
    <col collapsed="false" customWidth="true" hidden="false" outlineLevel="0" max="17" min="16" style="0" width="9"/>
    <col collapsed="false" customWidth="true" hidden="false" outlineLevel="0" max="18" min="18" style="0" width="13"/>
    <col collapsed="false" customWidth="true" hidden="false" outlineLevel="0" max="20" min="19" style="0" width="12"/>
    <col collapsed="false" customWidth="true" hidden="false" outlineLevel="0" max="21" min="21" style="0" width="15"/>
    <col collapsed="false" customWidth="true" hidden="false" outlineLevel="0" max="22" min="22" style="0" width="14"/>
    <col collapsed="false" customWidth="true" hidden="false" outlineLevel="0" max="23" min="23" style="0" width="20"/>
    <col collapsed="false" customWidth="true" hidden="false" outlineLevel="0" max="28" min="24" style="0" width="13"/>
  </cols>
  <sheetData>
    <row r="1" customFormat="false" ht="25.5" hidden="false" customHeight="true" outlineLevel="0" collapsed="false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3"/>
      <c r="J2" s="4" t="s">
        <v>3</v>
      </c>
      <c r="K2" s="4"/>
      <c r="L2" s="5" t="s">
        <v>4</v>
      </c>
      <c r="M2" s="5"/>
      <c r="N2" s="6" t="s">
        <v>5</v>
      </c>
      <c r="O2" s="6"/>
      <c r="P2" s="6"/>
      <c r="Q2" s="6"/>
      <c r="R2" s="7" t="s">
        <v>6</v>
      </c>
      <c r="S2" s="8" t="s">
        <v>7</v>
      </c>
      <c r="T2" s="8"/>
      <c r="U2" s="9" t="s">
        <v>8</v>
      </c>
      <c r="V2" s="9"/>
      <c r="W2" s="10" t="s">
        <v>9</v>
      </c>
      <c r="X2" s="11" t="s">
        <v>10</v>
      </c>
      <c r="Y2" s="11"/>
      <c r="Z2" s="11"/>
      <c r="AA2" s="11"/>
      <c r="AB2" s="11"/>
    </row>
    <row r="3" customFormat="false" ht="42" hidden="false" customHeight="true" outlineLevel="0" collapsed="false">
      <c r="A3" s="12" t="s">
        <v>11</v>
      </c>
      <c r="B3" s="13" t="s">
        <v>12</v>
      </c>
      <c r="C3" s="13" t="s">
        <v>127</v>
      </c>
      <c r="D3" s="13" t="s">
        <v>14</v>
      </c>
      <c r="E3" s="13" t="s">
        <v>15</v>
      </c>
      <c r="F3" s="13" t="s">
        <v>16</v>
      </c>
      <c r="G3" s="13" t="s">
        <v>17</v>
      </c>
      <c r="H3" s="13" t="s">
        <v>128</v>
      </c>
      <c r="I3" s="13" t="s">
        <v>129</v>
      </c>
      <c r="J3" s="13" t="s">
        <v>128</v>
      </c>
      <c r="K3" s="13" t="s">
        <v>129</v>
      </c>
      <c r="L3" s="13" t="s">
        <v>128</v>
      </c>
      <c r="M3" s="13" t="s">
        <v>129</v>
      </c>
      <c r="N3" s="12" t="s">
        <v>20</v>
      </c>
      <c r="O3" s="12" t="s">
        <v>21</v>
      </c>
      <c r="P3" s="12" t="s">
        <v>22</v>
      </c>
      <c r="Q3" s="12" t="s">
        <v>23</v>
      </c>
      <c r="R3" s="13" t="s">
        <v>130</v>
      </c>
      <c r="S3" s="13" t="s">
        <v>131</v>
      </c>
      <c r="T3" s="13" t="s">
        <v>26</v>
      </c>
      <c r="U3" s="12" t="s">
        <v>132</v>
      </c>
      <c r="V3" s="13" t="s">
        <v>133</v>
      </c>
      <c r="W3" s="13" t="s">
        <v>9</v>
      </c>
      <c r="X3" s="14" t="s">
        <v>29</v>
      </c>
      <c r="Y3" s="14" t="s">
        <v>30</v>
      </c>
      <c r="Z3" s="15" t="s">
        <v>31</v>
      </c>
      <c r="AA3" s="15" t="s">
        <v>32</v>
      </c>
      <c r="AB3" s="15" t="s">
        <v>33</v>
      </c>
    </row>
    <row r="4" customFormat="false" ht="16.5" hidden="false" customHeight="true" outlineLevel="0" collapsed="false">
      <c r="A4" s="16" t="n">
        <v>1</v>
      </c>
      <c r="B4" s="16" t="s">
        <v>34</v>
      </c>
      <c r="C4" s="17" t="s">
        <v>134</v>
      </c>
      <c r="D4" s="17" t="s">
        <v>135</v>
      </c>
      <c r="E4" s="17" t="s">
        <v>136</v>
      </c>
      <c r="F4" s="16" t="s">
        <v>137</v>
      </c>
      <c r="G4" s="16" t="n">
        <v>60</v>
      </c>
      <c r="H4" s="18" t="n">
        <v>1891</v>
      </c>
      <c r="I4" s="18" t="n">
        <v>494</v>
      </c>
      <c r="J4" s="18" t="n">
        <v>791</v>
      </c>
      <c r="K4" s="18" t="n">
        <v>151</v>
      </c>
      <c r="L4" s="18" t="n">
        <v>1320</v>
      </c>
      <c r="M4" s="18" t="n">
        <v>326</v>
      </c>
      <c r="N4" s="18" t="n">
        <f aca="false">ROUND(AVERAGE(H4,J4,L4),0)</f>
        <v>1334</v>
      </c>
      <c r="O4" s="18" t="n">
        <f aca="false">ROUND(AVERAGE(I4,K4,M4),0)</f>
        <v>324</v>
      </c>
      <c r="P4" s="19" t="n">
        <f aca="false">IFERROR((J4-H4)/H4,"")</f>
        <v>-0.581702802749868</v>
      </c>
      <c r="Q4" s="19" t="n">
        <f aca="false">IFERROR((L4-J4)/J4,"")</f>
        <v>0.668773704171934</v>
      </c>
      <c r="R4" s="20" t="n">
        <f aca="false">ROUND(O4*G4/30,0)</f>
        <v>648</v>
      </c>
      <c r="S4" s="18" t="n">
        <v>2200</v>
      </c>
      <c r="T4" s="18" t="n">
        <v>0</v>
      </c>
      <c r="U4" s="21"/>
      <c r="V4" s="22" t="n">
        <f aca="false">IFERROR(U4-IFERROR(S4,0)-IFERROR(T4,0),"")</f>
        <v>-2200</v>
      </c>
      <c r="W4" s="23"/>
      <c r="X4" s="24" t="n">
        <v>1437</v>
      </c>
      <c r="Y4" s="25" t="n">
        <f aca="false">IFERROR(X4/N4-1,"")</f>
        <v>0.0772113943028485</v>
      </c>
      <c r="Z4" s="38" t="n">
        <v>0.424</v>
      </c>
      <c r="AA4" s="37" t="n">
        <v>0.0945</v>
      </c>
      <c r="AB4" s="39" t="s">
        <v>57</v>
      </c>
    </row>
    <row r="5" customFormat="false" ht="16.5" hidden="false" customHeight="true" outlineLevel="0" collapsed="false">
      <c r="A5" s="29" t="n">
        <v>2</v>
      </c>
      <c r="B5" s="29" t="s">
        <v>34</v>
      </c>
      <c r="C5" s="30" t="s">
        <v>138</v>
      </c>
      <c r="D5" s="30" t="s">
        <v>139</v>
      </c>
      <c r="E5" s="30" t="s">
        <v>140</v>
      </c>
      <c r="F5" s="29" t="s">
        <v>137</v>
      </c>
      <c r="G5" s="29" t="n">
        <v>60</v>
      </c>
      <c r="H5" s="31" t="n">
        <v>3426</v>
      </c>
      <c r="I5" s="31" t="n">
        <v>608</v>
      </c>
      <c r="J5" s="31" t="n">
        <v>1352</v>
      </c>
      <c r="K5" s="31" t="n">
        <v>304</v>
      </c>
      <c r="L5" s="31" t="n">
        <v>5382</v>
      </c>
      <c r="M5" s="31" t="n">
        <v>1308</v>
      </c>
      <c r="N5" s="31" t="n">
        <f aca="false">ROUND(AVERAGE(H5,J5,L5),0)</f>
        <v>3387</v>
      </c>
      <c r="O5" s="31" t="n">
        <f aca="false">ROUND(AVERAGE(I5,K5,M5),0)</f>
        <v>740</v>
      </c>
      <c r="P5" s="32" t="n">
        <f aca="false">IFERROR((J5-H5)/H5,"")</f>
        <v>-0.605370694687683</v>
      </c>
      <c r="Q5" s="32" t="n">
        <f aca="false">IFERROR((L5-J5)/J5,"")</f>
        <v>2.98076923076923</v>
      </c>
      <c r="R5" s="20" t="n">
        <f aca="false">ROUND(O5*G5/30,0)</f>
        <v>1480</v>
      </c>
      <c r="S5" s="31" t="n">
        <v>2400</v>
      </c>
      <c r="T5" s="31" t="n">
        <v>0</v>
      </c>
      <c r="U5" s="21"/>
      <c r="V5" s="33" t="n">
        <f aca="false">IFERROR(U5-IFERROR(S5,0)-IFERROR(T5,0),"")</f>
        <v>-2400</v>
      </c>
      <c r="W5" s="34"/>
      <c r="X5" s="24" t="n">
        <v>6012</v>
      </c>
      <c r="Y5" s="25" t="n">
        <f aca="false">IFERROR(X5/N5-1,"")</f>
        <v>0.775022143489814</v>
      </c>
      <c r="Z5" s="38" t="n">
        <v>0.365</v>
      </c>
      <c r="AA5" s="37" t="n">
        <v>0.109</v>
      </c>
      <c r="AB5" s="39" t="s">
        <v>57</v>
      </c>
    </row>
    <row r="6" customFormat="false" ht="16.5" hidden="false" customHeight="true" outlineLevel="0" collapsed="false">
      <c r="A6" s="16" t="n">
        <v>3</v>
      </c>
      <c r="B6" s="16" t="s">
        <v>34</v>
      </c>
      <c r="C6" s="17" t="s">
        <v>141</v>
      </c>
      <c r="D6" s="17" t="s">
        <v>139</v>
      </c>
      <c r="E6" s="17" t="s">
        <v>140</v>
      </c>
      <c r="F6" s="16" t="s">
        <v>137</v>
      </c>
      <c r="G6" s="16" t="n">
        <v>60</v>
      </c>
      <c r="H6" s="18" t="n">
        <v>2946</v>
      </c>
      <c r="I6" s="18" t="n">
        <v>838</v>
      </c>
      <c r="J6" s="18" t="n">
        <v>722</v>
      </c>
      <c r="K6" s="18" t="n">
        <v>218</v>
      </c>
      <c r="L6" s="18" t="n">
        <v>3318</v>
      </c>
      <c r="M6" s="18" t="n">
        <v>1108</v>
      </c>
      <c r="N6" s="18" t="n">
        <f aca="false">ROUND(AVERAGE(H6,J6,L6),0)</f>
        <v>2329</v>
      </c>
      <c r="O6" s="18" t="n">
        <f aca="false">ROUND(AVERAGE(I6,K6,M6),0)</f>
        <v>721</v>
      </c>
      <c r="P6" s="19" t="n">
        <f aca="false">IFERROR((J6-H6)/H6,"")</f>
        <v>-0.754921928038018</v>
      </c>
      <c r="Q6" s="19" t="n">
        <f aca="false">IFERROR((L6-J6)/J6,"")</f>
        <v>3.59556786703601</v>
      </c>
      <c r="R6" s="20" t="n">
        <f aca="false">ROUND(O6*G6/30,0)</f>
        <v>1442</v>
      </c>
      <c r="S6" s="18" t="n">
        <v>2400</v>
      </c>
      <c r="T6" s="18" t="n">
        <v>0</v>
      </c>
      <c r="U6" s="21"/>
      <c r="V6" s="22" t="n">
        <f aca="false">IFERROR(U6-IFERROR(S6,0)-IFERROR(T6,0),"")</f>
        <v>-2400</v>
      </c>
      <c r="W6" s="23"/>
      <c r="X6" s="24" t="n">
        <v>3939</v>
      </c>
      <c r="Y6" s="25" t="n">
        <f aca="false">IFERROR(X6/N6-1,"")</f>
        <v>0.691283812795191</v>
      </c>
      <c r="Z6" s="38" t="n">
        <v>0.492</v>
      </c>
      <c r="AA6" s="37" t="n">
        <v>0.193</v>
      </c>
      <c r="AB6" s="39" t="s">
        <v>57</v>
      </c>
    </row>
    <row r="7" customFormat="false" ht="16.5" hidden="false" customHeight="true" outlineLevel="0" collapsed="false">
      <c r="A7" s="29" t="n">
        <v>4</v>
      </c>
      <c r="B7" s="29" t="s">
        <v>34</v>
      </c>
      <c r="C7" s="30" t="s">
        <v>142</v>
      </c>
      <c r="D7" s="30" t="s">
        <v>143</v>
      </c>
      <c r="E7" s="30" t="s">
        <v>144</v>
      </c>
      <c r="F7" s="29" t="s">
        <v>137</v>
      </c>
      <c r="G7" s="29" t="n">
        <v>60</v>
      </c>
      <c r="H7" s="31" t="n">
        <v>1443</v>
      </c>
      <c r="I7" s="31" t="n">
        <v>372</v>
      </c>
      <c r="J7" s="31" t="n">
        <v>678</v>
      </c>
      <c r="K7" s="31" t="n">
        <v>156</v>
      </c>
      <c r="L7" s="31" t="n">
        <v>1166</v>
      </c>
      <c r="M7" s="31" t="n">
        <v>220</v>
      </c>
      <c r="N7" s="31" t="n">
        <f aca="false">ROUND(AVERAGE(H7,J7,L7),0)</f>
        <v>1096</v>
      </c>
      <c r="O7" s="31" t="n">
        <f aca="false">ROUND(AVERAGE(I7,K7,M7),0)</f>
        <v>249</v>
      </c>
      <c r="P7" s="32" t="n">
        <f aca="false">IFERROR((J7-H7)/H7,"")</f>
        <v>-0.53014553014553</v>
      </c>
      <c r="Q7" s="32" t="n">
        <f aca="false">IFERROR((L7-J7)/J7,"")</f>
        <v>0.71976401179941</v>
      </c>
      <c r="R7" s="20" t="n">
        <f aca="false">ROUND(O7*G7/30,0)</f>
        <v>498</v>
      </c>
      <c r="S7" s="31" t="n">
        <v>4200</v>
      </c>
      <c r="T7" s="31" t="n">
        <v>0</v>
      </c>
      <c r="U7" s="21"/>
      <c r="V7" s="33" t="n">
        <f aca="false">IFERROR(U7-IFERROR(S7,0)-IFERROR(T7,0),"")</f>
        <v>-4200</v>
      </c>
      <c r="W7" s="34"/>
      <c r="X7" s="24" t="n">
        <v>1379</v>
      </c>
      <c r="Y7" s="25" t="n">
        <f aca="false">IFERROR(X7/N7-1,"")</f>
        <v>0.258211678832117</v>
      </c>
      <c r="Z7" s="40" t="n">
        <v>0.799</v>
      </c>
      <c r="AA7" s="37" t="n">
        <v>0.1299</v>
      </c>
      <c r="AB7" s="28" t="s">
        <v>39</v>
      </c>
    </row>
    <row r="8" customFormat="false" ht="16.5" hidden="false" customHeight="true" outlineLevel="0" collapsed="false">
      <c r="A8" s="16" t="n">
        <v>5</v>
      </c>
      <c r="B8" s="16" t="s">
        <v>34</v>
      </c>
      <c r="C8" s="17" t="s">
        <v>145</v>
      </c>
      <c r="D8" s="17" t="s">
        <v>146</v>
      </c>
      <c r="E8" s="17" t="s">
        <v>147</v>
      </c>
      <c r="F8" s="16" t="s">
        <v>137</v>
      </c>
      <c r="G8" s="16" t="n">
        <v>60</v>
      </c>
      <c r="H8" s="18" t="n">
        <v>1796</v>
      </c>
      <c r="I8" s="18" t="n">
        <v>664</v>
      </c>
      <c r="J8" s="18" t="n">
        <v>3368</v>
      </c>
      <c r="K8" s="18" t="n">
        <v>791</v>
      </c>
      <c r="L8" s="18" t="n">
        <v>973</v>
      </c>
      <c r="M8" s="18" t="n">
        <v>439</v>
      </c>
      <c r="N8" s="18" t="n">
        <f aca="false">ROUND(AVERAGE(H8,J8,L8),0)</f>
        <v>2046</v>
      </c>
      <c r="O8" s="18" t="n">
        <f aca="false">ROUND(AVERAGE(I8,K8,M8),0)</f>
        <v>631</v>
      </c>
      <c r="P8" s="19" t="n">
        <f aca="false">IFERROR((J8-H8)/H8,"")</f>
        <v>0.875278396436526</v>
      </c>
      <c r="Q8" s="19" t="n">
        <f aca="false">IFERROR((L8-J8)/J8,"")</f>
        <v>-0.711104513064133</v>
      </c>
      <c r="R8" s="20" t="n">
        <f aca="false">ROUND(O8*G8/30,0)</f>
        <v>1262</v>
      </c>
      <c r="S8" s="18" t="n">
        <v>10000</v>
      </c>
      <c r="T8" s="18" t="n">
        <v>0</v>
      </c>
      <c r="U8" s="21"/>
      <c r="V8" s="22" t="n">
        <f aca="false">IFERROR(U8-IFERROR(S8,0)-IFERROR(T8,0),"")</f>
        <v>-10000</v>
      </c>
      <c r="W8" s="23"/>
      <c r="X8" s="24" t="n">
        <v>1230</v>
      </c>
      <c r="Y8" s="25" t="n">
        <f aca="false">IFERROR(X8/N8-1,"")</f>
        <v>-0.398826979472141</v>
      </c>
      <c r="Z8" s="40" t="n">
        <v>0.785</v>
      </c>
      <c r="AA8" s="37" t="n">
        <v>0.2503</v>
      </c>
      <c r="AB8" s="28" t="s">
        <v>39</v>
      </c>
    </row>
    <row r="9" customFormat="false" ht="16.5" hidden="false" customHeight="true" outlineLevel="0" collapsed="false">
      <c r="A9" s="29" t="n">
        <v>6</v>
      </c>
      <c r="B9" s="29" t="s">
        <v>34</v>
      </c>
      <c r="C9" s="30" t="s">
        <v>148</v>
      </c>
      <c r="D9" s="30" t="s">
        <v>146</v>
      </c>
      <c r="E9" s="30" t="s">
        <v>147</v>
      </c>
      <c r="F9" s="29" t="s">
        <v>137</v>
      </c>
      <c r="G9" s="29" t="n">
        <v>60</v>
      </c>
      <c r="H9" s="31" t="n">
        <v>344</v>
      </c>
      <c r="I9" s="31" t="n">
        <v>110</v>
      </c>
      <c r="J9" s="31" t="n">
        <v>3344</v>
      </c>
      <c r="K9" s="31" t="n">
        <v>904</v>
      </c>
      <c r="L9" s="31" t="n">
        <v>574</v>
      </c>
      <c r="M9" s="31" t="n">
        <v>290</v>
      </c>
      <c r="N9" s="31" t="n">
        <f aca="false">ROUND(AVERAGE(H9,J9,L9),0)</f>
        <v>1421</v>
      </c>
      <c r="O9" s="31" t="n">
        <f aca="false">ROUND(AVERAGE(I9,K9,M9),0)</f>
        <v>435</v>
      </c>
      <c r="P9" s="32" t="n">
        <f aca="false">IFERROR((J9-H9)/H9,"")</f>
        <v>8.72093023255814</v>
      </c>
      <c r="Q9" s="32" t="n">
        <f aca="false">IFERROR((L9-J9)/J9,"")</f>
        <v>-0.828349282296651</v>
      </c>
      <c r="R9" s="20" t="n">
        <f aca="false">ROUND(O9*G9/30,0)</f>
        <v>870</v>
      </c>
      <c r="S9" s="31" t="n">
        <v>10000</v>
      </c>
      <c r="T9" s="31" t="n">
        <v>0</v>
      </c>
      <c r="U9" s="21"/>
      <c r="V9" s="33" t="n">
        <f aca="false">IFERROR(U9-IFERROR(S9,0)-IFERROR(T9,0),"")</f>
        <v>-10000</v>
      </c>
      <c r="W9" s="34"/>
      <c r="X9" s="24" t="n">
        <v>898</v>
      </c>
      <c r="Y9" s="25" t="n">
        <f aca="false">IFERROR(X9/N9-1,"")</f>
        <v>-0.368050668543279</v>
      </c>
      <c r="Z9" s="40" t="n">
        <v>0.575</v>
      </c>
      <c r="AA9" s="37" t="n">
        <v>0.5007</v>
      </c>
      <c r="AB9" s="39" t="s">
        <v>57</v>
      </c>
    </row>
    <row r="10" customFormat="false" ht="16.5" hidden="false" customHeight="true" outlineLevel="0" collapsed="false">
      <c r="A10" s="16" t="n">
        <v>7</v>
      </c>
      <c r="B10" s="16" t="s">
        <v>34</v>
      </c>
      <c r="C10" s="17" t="s">
        <v>149</v>
      </c>
      <c r="D10" s="17" t="s">
        <v>150</v>
      </c>
      <c r="E10" s="17" t="s">
        <v>151</v>
      </c>
      <c r="F10" s="16" t="s">
        <v>137</v>
      </c>
      <c r="G10" s="16" t="n">
        <v>60</v>
      </c>
      <c r="H10" s="18" t="n">
        <v>10495</v>
      </c>
      <c r="I10" s="18" t="n">
        <v>1666</v>
      </c>
      <c r="J10" s="18" t="n">
        <v>8350</v>
      </c>
      <c r="K10" s="18" t="n">
        <v>2302</v>
      </c>
      <c r="L10" s="18" t="n">
        <v>9239</v>
      </c>
      <c r="M10" s="18" t="n">
        <v>2254</v>
      </c>
      <c r="N10" s="18" t="n">
        <f aca="false">ROUND(AVERAGE(H10,J10,L10),0)</f>
        <v>9361</v>
      </c>
      <c r="O10" s="18" t="n">
        <f aca="false">ROUND(AVERAGE(I10,K10,M10),0)</f>
        <v>2074</v>
      </c>
      <c r="P10" s="19" t="n">
        <f aca="false">IFERROR((J10-H10)/H10,"")</f>
        <v>-0.204383039542639</v>
      </c>
      <c r="Q10" s="19" t="n">
        <f aca="false">IFERROR((L10-J10)/J10,"")</f>
        <v>0.106467065868263</v>
      </c>
      <c r="R10" s="20" t="n">
        <f aca="false">ROUND(O10*G10/30,0)</f>
        <v>4148</v>
      </c>
      <c r="S10" s="18" t="n">
        <v>500</v>
      </c>
      <c r="T10" s="18" t="n">
        <v>2100</v>
      </c>
      <c r="U10" s="21"/>
      <c r="V10" s="22" t="n">
        <f aca="false">IFERROR(U10-IFERROR(S10,0)-IFERROR(T10,0),"")</f>
        <v>-2600</v>
      </c>
      <c r="W10" s="23"/>
      <c r="X10" s="24" t="n">
        <v>9548</v>
      </c>
      <c r="Y10" s="25" t="n">
        <f aca="false">IFERROR(X10/N10-1,"")</f>
        <v>0.0199764982373678</v>
      </c>
      <c r="Z10" s="40" t="n">
        <v>0.631</v>
      </c>
      <c r="AA10" s="37" t="n">
        <v>0.007</v>
      </c>
      <c r="AB10" s="39" t="s">
        <v>57</v>
      </c>
    </row>
    <row r="11" customFormat="false" ht="16.5" hidden="false" customHeight="true" outlineLevel="0" collapsed="false">
      <c r="A11" s="29" t="n">
        <v>8</v>
      </c>
      <c r="B11" s="29" t="s">
        <v>34</v>
      </c>
      <c r="C11" s="30" t="s">
        <v>152</v>
      </c>
      <c r="D11" s="30" t="s">
        <v>153</v>
      </c>
      <c r="E11" s="30" t="s">
        <v>154</v>
      </c>
      <c r="F11" s="29" t="s">
        <v>137</v>
      </c>
      <c r="G11" s="29" t="n">
        <v>60</v>
      </c>
      <c r="H11" s="31" t="n">
        <v>81004</v>
      </c>
      <c r="I11" s="31" t="n">
        <v>11126</v>
      </c>
      <c r="J11" s="31" t="n">
        <v>56694</v>
      </c>
      <c r="K11" s="31" t="n">
        <v>9974</v>
      </c>
      <c r="L11" s="31" t="n">
        <v>61884</v>
      </c>
      <c r="M11" s="31" t="n">
        <v>8428</v>
      </c>
      <c r="N11" s="31" t="n">
        <f aca="false">ROUND(AVERAGE(H11,J11,L11),0)</f>
        <v>66527</v>
      </c>
      <c r="O11" s="31" t="n">
        <f aca="false">ROUND(AVERAGE(I11,K11,M11),0)</f>
        <v>9843</v>
      </c>
      <c r="P11" s="32" t="n">
        <f aca="false">IFERROR((J11-H11)/H11,"")</f>
        <v>-0.300108636610538</v>
      </c>
      <c r="Q11" s="32" t="n">
        <f aca="false">IFERROR((L11-J11)/J11,"")</f>
        <v>0.0915440787384908</v>
      </c>
      <c r="R11" s="20" t="n">
        <f aca="false">ROUND(O11*G11/30,0)</f>
        <v>19686</v>
      </c>
      <c r="S11" s="31" t="n">
        <v>33500</v>
      </c>
      <c r="T11" s="31" t="n">
        <v>35000</v>
      </c>
      <c r="U11" s="21"/>
      <c r="V11" s="33" t="n">
        <f aca="false">IFERROR(U11-IFERROR(S11,0)-IFERROR(T11,0),"")</f>
        <v>-68500</v>
      </c>
      <c r="W11" s="34"/>
      <c r="X11" s="24" t="n">
        <v>69312</v>
      </c>
      <c r="Y11" s="25" t="n">
        <f aca="false">IFERROR(X11/N11-1,"")</f>
        <v>0.0418627023614473</v>
      </c>
      <c r="Z11" s="38" t="n">
        <v>0.404</v>
      </c>
      <c r="AA11" s="37" t="n">
        <v>0.0157</v>
      </c>
      <c r="AB11" s="39" t="s">
        <v>57</v>
      </c>
    </row>
    <row r="12" customFormat="false" ht="16.5" hidden="false" customHeight="true" outlineLevel="0" collapsed="false">
      <c r="A12" s="16" t="n">
        <v>9</v>
      </c>
      <c r="B12" s="16" t="s">
        <v>34</v>
      </c>
      <c r="C12" s="17" t="s">
        <v>155</v>
      </c>
      <c r="D12" s="17" t="s">
        <v>156</v>
      </c>
      <c r="E12" s="17" t="s">
        <v>157</v>
      </c>
      <c r="F12" s="16" t="s">
        <v>137</v>
      </c>
      <c r="G12" s="16" t="n">
        <v>60</v>
      </c>
      <c r="H12" s="18" t="n">
        <v>80088</v>
      </c>
      <c r="I12" s="18" t="n">
        <v>10983</v>
      </c>
      <c r="J12" s="18" t="n">
        <v>48303</v>
      </c>
      <c r="K12" s="18" t="n">
        <v>9505</v>
      </c>
      <c r="L12" s="18" t="n">
        <v>76476</v>
      </c>
      <c r="M12" s="18" t="n">
        <v>10842</v>
      </c>
      <c r="N12" s="18" t="n">
        <f aca="false">ROUND(AVERAGE(H12,J12,L12),0)</f>
        <v>68289</v>
      </c>
      <c r="O12" s="18" t="n">
        <f aca="false">ROUND(AVERAGE(I12,K12,M12),0)</f>
        <v>10443</v>
      </c>
      <c r="P12" s="19" t="n">
        <f aca="false">IFERROR((J12-H12)/H12,"")</f>
        <v>-0.396875936469883</v>
      </c>
      <c r="Q12" s="19" t="n">
        <f aca="false">IFERROR((L12-J12)/J12,"")</f>
        <v>0.583255698403826</v>
      </c>
      <c r="R12" s="20" t="n">
        <f aca="false">ROUND(O12*G12/30,0)</f>
        <v>20886</v>
      </c>
      <c r="S12" s="18" t="n">
        <v>34500</v>
      </c>
      <c r="T12" s="18" t="n">
        <v>0</v>
      </c>
      <c r="U12" s="21"/>
      <c r="V12" s="22" t="n">
        <f aca="false">IFERROR(U12-IFERROR(S12,0)-IFERROR(T12,0),"")</f>
        <v>-34500</v>
      </c>
      <c r="W12" s="23"/>
      <c r="X12" s="24" t="n">
        <v>91362</v>
      </c>
      <c r="Y12" s="25" t="n">
        <f aca="false">IFERROR(X12/N12-1,"")</f>
        <v>0.337872863858015</v>
      </c>
      <c r="Z12" s="38" t="n">
        <v>0.428</v>
      </c>
      <c r="AA12" s="37" t="n">
        <v>0.0739</v>
      </c>
      <c r="AB12" s="39" t="s">
        <v>57</v>
      </c>
    </row>
    <row r="13" customFormat="false" ht="16.5" hidden="false" customHeight="true" outlineLevel="0" collapsed="false">
      <c r="A13" s="29" t="n">
        <v>10</v>
      </c>
      <c r="B13" s="29" t="s">
        <v>34</v>
      </c>
      <c r="C13" s="30" t="s">
        <v>158</v>
      </c>
      <c r="D13" s="30" t="s">
        <v>159</v>
      </c>
      <c r="E13" s="30" t="s">
        <v>160</v>
      </c>
      <c r="F13" s="43" t="s">
        <v>161</v>
      </c>
      <c r="G13" s="29" t="n">
        <v>30</v>
      </c>
      <c r="H13" s="31" t="n">
        <v>13562</v>
      </c>
      <c r="I13" s="31" t="n">
        <v>2181</v>
      </c>
      <c r="J13" s="31" t="n">
        <v>12423</v>
      </c>
      <c r="K13" s="31" t="n">
        <v>3542</v>
      </c>
      <c r="L13" s="31" t="n">
        <v>8668</v>
      </c>
      <c r="M13" s="31" t="n">
        <v>1786</v>
      </c>
      <c r="N13" s="31" t="n">
        <f aca="false">ROUND(AVERAGE(H13,J13,L13),0)</f>
        <v>11551</v>
      </c>
      <c r="O13" s="31" t="n">
        <f aca="false">ROUND(AVERAGE(I13,K13,M13),0)</f>
        <v>2503</v>
      </c>
      <c r="P13" s="32" t="n">
        <f aca="false">IFERROR((J13-H13)/H13,"")</f>
        <v>-0.0839846630290518</v>
      </c>
      <c r="Q13" s="32" t="n">
        <f aca="false">IFERROR((L13-J13)/J13,"")</f>
        <v>-0.302261933510424</v>
      </c>
      <c r="R13" s="20" t="n">
        <f aca="false">ROUND(O13*G13/30,0)</f>
        <v>2503</v>
      </c>
      <c r="S13" s="31" t="n">
        <v>190000</v>
      </c>
      <c r="T13" s="31" t="n">
        <v>0</v>
      </c>
      <c r="U13" s="21"/>
      <c r="V13" s="33" t="n">
        <f aca="false">IFERROR(U13-IFERROR(S13,0)-IFERROR(T13,0),"")</f>
        <v>-190000</v>
      </c>
      <c r="W13" s="34"/>
      <c r="X13" s="24" t="n">
        <v>9329</v>
      </c>
      <c r="Y13" s="25" t="n">
        <f aca="false">IFERROR(X13/N13-1,"")</f>
        <v>-0.192364297463423</v>
      </c>
      <c r="Z13" s="40" t="n">
        <v>0.57</v>
      </c>
      <c r="AA13" s="37" t="n">
        <v>0.048</v>
      </c>
      <c r="AB13" s="39" t="s">
        <v>57</v>
      </c>
    </row>
    <row r="14" customFormat="false" ht="16.5" hidden="false" customHeight="true" outlineLevel="0" collapsed="false">
      <c r="A14" s="16" t="n">
        <v>11</v>
      </c>
      <c r="B14" s="16" t="s">
        <v>34</v>
      </c>
      <c r="C14" s="17" t="s">
        <v>162</v>
      </c>
      <c r="D14" s="17" t="s">
        <v>159</v>
      </c>
      <c r="E14" s="17" t="s">
        <v>160</v>
      </c>
      <c r="F14" s="42" t="s">
        <v>161</v>
      </c>
      <c r="G14" s="16" t="n">
        <v>30</v>
      </c>
      <c r="H14" s="18" t="n">
        <v>11724</v>
      </c>
      <c r="I14" s="18" t="n">
        <v>2808</v>
      </c>
      <c r="J14" s="18" t="n">
        <v>4472</v>
      </c>
      <c r="K14" s="18" t="n">
        <v>1260</v>
      </c>
      <c r="L14" s="18" t="n">
        <v>4280</v>
      </c>
      <c r="M14" s="18" t="n">
        <v>928</v>
      </c>
      <c r="N14" s="18" t="n">
        <f aca="false">ROUND(AVERAGE(H14,J14,L14),0)</f>
        <v>6825</v>
      </c>
      <c r="O14" s="18" t="n">
        <f aca="false">ROUND(AVERAGE(I14,K14,M14),0)</f>
        <v>1665</v>
      </c>
      <c r="P14" s="19" t="n">
        <f aca="false">IFERROR((J14-H14)/H14,"")</f>
        <v>-0.61856021835551</v>
      </c>
      <c r="Q14" s="19" t="n">
        <f aca="false">IFERROR((L14-J14)/J14,"")</f>
        <v>-0.0429338103756708</v>
      </c>
      <c r="R14" s="20" t="n">
        <f aca="false">ROUND(O14*G14/30,0)</f>
        <v>1665</v>
      </c>
      <c r="S14" s="18" t="n">
        <v>190000</v>
      </c>
      <c r="T14" s="18" t="n">
        <v>0</v>
      </c>
      <c r="U14" s="21"/>
      <c r="V14" s="22" t="n">
        <f aca="false">IFERROR(U14-IFERROR(S14,0)-IFERROR(T14,0),"")</f>
        <v>-190000</v>
      </c>
      <c r="W14" s="23"/>
      <c r="X14" s="24" t="n">
        <v>5674</v>
      </c>
      <c r="Y14" s="25" t="n">
        <f aca="false">IFERROR(X14/N14-1,"")</f>
        <v>-0.168644688644689</v>
      </c>
      <c r="Z14" s="40" t="n">
        <v>0.793</v>
      </c>
      <c r="AA14" s="37" t="n">
        <v>0.3112</v>
      </c>
      <c r="AB14" s="28" t="s">
        <v>39</v>
      </c>
    </row>
    <row r="15" customFormat="false" ht="16.5" hidden="false" customHeight="true" outlineLevel="0" collapsed="false">
      <c r="A15" s="29" t="n">
        <v>12</v>
      </c>
      <c r="B15" s="29" t="s">
        <v>34</v>
      </c>
      <c r="C15" s="30" t="s">
        <v>163</v>
      </c>
      <c r="D15" s="30" t="s">
        <v>159</v>
      </c>
      <c r="E15" s="30" t="s">
        <v>160</v>
      </c>
      <c r="F15" s="43" t="s">
        <v>161</v>
      </c>
      <c r="G15" s="29" t="n">
        <v>30</v>
      </c>
      <c r="H15" s="31" t="n">
        <v>28652</v>
      </c>
      <c r="I15" s="31" t="n">
        <v>5226</v>
      </c>
      <c r="J15" s="31" t="n">
        <v>19072</v>
      </c>
      <c r="K15" s="31" t="n">
        <v>2522</v>
      </c>
      <c r="L15" s="31" t="n">
        <v>16450</v>
      </c>
      <c r="M15" s="31" t="n">
        <v>2590</v>
      </c>
      <c r="N15" s="31" t="n">
        <f aca="false">ROUND(AVERAGE(H15,J15,L15),0)</f>
        <v>21391</v>
      </c>
      <c r="O15" s="31" t="n">
        <f aca="false">ROUND(AVERAGE(I15,K15,M15),0)</f>
        <v>3446</v>
      </c>
      <c r="P15" s="32" t="n">
        <f aca="false">IFERROR((J15-H15)/H15,"")</f>
        <v>-0.334357112941505</v>
      </c>
      <c r="Q15" s="32" t="n">
        <f aca="false">IFERROR((L15-J15)/J15,"")</f>
        <v>-0.137479026845638</v>
      </c>
      <c r="R15" s="20" t="n">
        <f aca="false">ROUND(O15*G15/30,0)</f>
        <v>3446</v>
      </c>
      <c r="S15" s="31" t="n">
        <v>190000</v>
      </c>
      <c r="T15" s="31" t="n">
        <v>0</v>
      </c>
      <c r="U15" s="21"/>
      <c r="V15" s="33" t="n">
        <f aca="false">IFERROR(U15-IFERROR(S15,0)-IFERROR(T15,0),"")</f>
        <v>-190000</v>
      </c>
      <c r="W15" s="34"/>
      <c r="X15" s="24" t="n">
        <v>18375</v>
      </c>
      <c r="Y15" s="25" t="n">
        <f aca="false">IFERROR(X15/N15-1,"")</f>
        <v>-0.140993875929129</v>
      </c>
      <c r="Z15" s="38" t="n">
        <v>0.404</v>
      </c>
      <c r="AA15" s="27" t="n">
        <v>-0.0536</v>
      </c>
      <c r="AB15" s="39" t="s">
        <v>57</v>
      </c>
    </row>
    <row r="16" customFormat="false" ht="16.5" hidden="false" customHeight="true" outlineLevel="0" collapsed="false">
      <c r="A16" s="16" t="n">
        <v>13</v>
      </c>
      <c r="B16" s="16" t="s">
        <v>34</v>
      </c>
      <c r="C16" s="17" t="s">
        <v>164</v>
      </c>
      <c r="D16" s="17" t="s">
        <v>159</v>
      </c>
      <c r="E16" s="17" t="s">
        <v>160</v>
      </c>
      <c r="F16" s="42" t="s">
        <v>161</v>
      </c>
      <c r="G16" s="16" t="n">
        <v>30</v>
      </c>
      <c r="H16" s="18" t="n">
        <v>154006</v>
      </c>
      <c r="I16" s="18" t="n">
        <v>19751</v>
      </c>
      <c r="J16" s="18" t="n">
        <v>126611</v>
      </c>
      <c r="K16" s="18" t="n">
        <v>20225</v>
      </c>
      <c r="L16" s="18" t="n">
        <v>137328</v>
      </c>
      <c r="M16" s="18" t="n">
        <v>15780</v>
      </c>
      <c r="N16" s="18" t="n">
        <f aca="false">ROUND(AVERAGE(H16,J16,L16),0)</f>
        <v>139315</v>
      </c>
      <c r="O16" s="18" t="n">
        <f aca="false">ROUND(AVERAGE(I16,K16,M16),0)</f>
        <v>18585</v>
      </c>
      <c r="P16" s="19" t="n">
        <f aca="false">IFERROR((J16-H16)/H16,"")</f>
        <v>-0.177882679895588</v>
      </c>
      <c r="Q16" s="19" t="n">
        <f aca="false">IFERROR((L16-J16)/J16,"")</f>
        <v>0.084645094028165</v>
      </c>
      <c r="R16" s="20" t="n">
        <f aca="false">ROUND(O16*G16/30,0)</f>
        <v>18585</v>
      </c>
      <c r="S16" s="18" t="n">
        <v>190000</v>
      </c>
      <c r="T16" s="18" t="n">
        <v>0</v>
      </c>
      <c r="U16" s="21"/>
      <c r="V16" s="22" t="n">
        <f aca="false">IFERROR(U16-IFERROR(S16,0)-IFERROR(T16,0),"")</f>
        <v>-190000</v>
      </c>
      <c r="W16" s="23"/>
      <c r="X16" s="24" t="n">
        <v>166648</v>
      </c>
      <c r="Y16" s="25" t="n">
        <f aca="false">IFERROR(X16/N16-1,"")</f>
        <v>0.196195671679288</v>
      </c>
      <c r="Z16" s="38" t="n">
        <v>0.393</v>
      </c>
      <c r="AA16" s="37" t="n">
        <v>0.0343</v>
      </c>
      <c r="AB16" s="39" t="s">
        <v>57</v>
      </c>
    </row>
    <row r="17" customFormat="false" ht="16.5" hidden="false" customHeight="true" outlineLevel="0" collapsed="false">
      <c r="A17" s="29" t="n">
        <v>14</v>
      </c>
      <c r="B17" s="29" t="s">
        <v>117</v>
      </c>
      <c r="C17" s="30" t="s">
        <v>134</v>
      </c>
      <c r="D17" s="30"/>
      <c r="E17" s="30"/>
      <c r="F17" s="29"/>
      <c r="G17" s="29" t="n">
        <v>60</v>
      </c>
      <c r="H17" s="31" t="n">
        <v>88</v>
      </c>
      <c r="I17" s="31" t="n">
        <v>50</v>
      </c>
      <c r="J17" s="31" t="n">
        <v>220</v>
      </c>
      <c r="K17" s="31" t="n">
        <v>100</v>
      </c>
      <c r="L17" s="31" t="n">
        <v>85</v>
      </c>
      <c r="M17" s="31" t="n">
        <v>35</v>
      </c>
      <c r="N17" s="31" t="n">
        <f aca="false">ROUND(AVERAGE(H17,J17,L17),0)</f>
        <v>131</v>
      </c>
      <c r="O17" s="31" t="n">
        <f aca="false">ROUND(AVERAGE(I17,K17,M17),0)</f>
        <v>62</v>
      </c>
      <c r="P17" s="32" t="n">
        <f aca="false">IFERROR((J17-H17)/H17,"")</f>
        <v>1.5</v>
      </c>
      <c r="Q17" s="32" t="n">
        <f aca="false">IFERROR((L17-J17)/J17,"")</f>
        <v>-0.613636363636364</v>
      </c>
      <c r="R17" s="20" t="n">
        <f aca="false">ROUND(O17*G17/30,0)</f>
        <v>124</v>
      </c>
      <c r="S17" s="31"/>
      <c r="T17" s="31"/>
      <c r="U17" s="21"/>
      <c r="V17" s="33" t="n">
        <f aca="false">IFERROR(U17-IFERROR(S17,0)-IFERROR(T17,0),"")</f>
        <v>0</v>
      </c>
      <c r="W17" s="34"/>
      <c r="X17" s="24" t="n">
        <v>102</v>
      </c>
      <c r="Y17" s="25" t="n">
        <f aca="false">IFERROR(X17/N17-1,"")</f>
        <v>-0.221374045801527</v>
      </c>
      <c r="Z17" s="40" t="n">
        <v>0.639</v>
      </c>
      <c r="AA17" s="37" t="n">
        <v>0.1573</v>
      </c>
      <c r="AB17" s="39" t="s">
        <v>57</v>
      </c>
    </row>
    <row r="18" customFormat="false" ht="16.5" hidden="false" customHeight="true" outlineLevel="0" collapsed="false">
      <c r="A18" s="16" t="n">
        <v>15</v>
      </c>
      <c r="B18" s="16" t="s">
        <v>117</v>
      </c>
      <c r="C18" s="17" t="s">
        <v>138</v>
      </c>
      <c r="D18" s="17"/>
      <c r="E18" s="17"/>
      <c r="F18" s="16"/>
      <c r="G18" s="16" t="n">
        <v>60</v>
      </c>
      <c r="H18" s="18" t="n">
        <v>20</v>
      </c>
      <c r="I18" s="18" t="n">
        <v>20</v>
      </c>
      <c r="J18" s="18" t="n">
        <v>118</v>
      </c>
      <c r="K18" s="18" t="n">
        <v>50</v>
      </c>
      <c r="L18" s="18" t="n">
        <v>242</v>
      </c>
      <c r="M18" s="18" t="n">
        <v>60</v>
      </c>
      <c r="N18" s="18" t="n">
        <f aca="false">ROUND(AVERAGE(H18,J18,L18),0)</f>
        <v>127</v>
      </c>
      <c r="O18" s="18" t="n">
        <f aca="false">ROUND(AVERAGE(I18,K18,M18),0)</f>
        <v>43</v>
      </c>
      <c r="P18" s="19" t="n">
        <f aca="false">IFERROR((J18-H18)/H18,"")</f>
        <v>4.9</v>
      </c>
      <c r="Q18" s="19" t="n">
        <f aca="false">IFERROR((L18-J18)/J18,"")</f>
        <v>1.05084745762712</v>
      </c>
      <c r="R18" s="20" t="n">
        <f aca="false">ROUND(O18*G18/30,0)</f>
        <v>86</v>
      </c>
      <c r="S18" s="18"/>
      <c r="T18" s="18"/>
      <c r="U18" s="21"/>
      <c r="V18" s="22" t="n">
        <f aca="false">IFERROR(U18-IFERROR(S18,0)-IFERROR(T18,0),"")</f>
        <v>0</v>
      </c>
      <c r="W18" s="23"/>
      <c r="X18" s="24" t="n">
        <v>262</v>
      </c>
      <c r="Y18" s="25" t="n">
        <f aca="false">IFERROR(X18/N18-1,"")</f>
        <v>1.06299212598425</v>
      </c>
      <c r="Z18" s="40" t="n">
        <v>0.651</v>
      </c>
      <c r="AA18" s="37" t="n">
        <v>0.2305</v>
      </c>
      <c r="AB18" s="39" t="s">
        <v>57</v>
      </c>
    </row>
    <row r="19" customFormat="false" ht="16.5" hidden="false" customHeight="true" outlineLevel="0" collapsed="false">
      <c r="A19" s="29" t="n">
        <v>16</v>
      </c>
      <c r="B19" s="29" t="s">
        <v>117</v>
      </c>
      <c r="C19" s="30" t="s">
        <v>141</v>
      </c>
      <c r="D19" s="30"/>
      <c r="E19" s="30"/>
      <c r="F19" s="29"/>
      <c r="G19" s="29" t="n">
        <v>60</v>
      </c>
      <c r="H19" s="31"/>
      <c r="I19" s="31"/>
      <c r="J19" s="31" t="n">
        <v>60</v>
      </c>
      <c r="K19" s="31" t="n">
        <v>36</v>
      </c>
      <c r="L19" s="31" t="n">
        <v>60</v>
      </c>
      <c r="M19" s="31" t="n">
        <v>40</v>
      </c>
      <c r="N19" s="31" t="n">
        <f aca="false">ROUND(AVERAGE(H19,J19,L19),0)</f>
        <v>60</v>
      </c>
      <c r="O19" s="31" t="n">
        <f aca="false">ROUND(AVERAGE(I19,K19,M19),0)</f>
        <v>38</v>
      </c>
      <c r="P19" s="32" t="str">
        <f aca="false">IFERROR((J19-H19)/H19,"")</f>
        <v/>
      </c>
      <c r="Q19" s="32" t="n">
        <f aca="false">IFERROR((L19-J19)/J19,"")</f>
        <v>0</v>
      </c>
      <c r="R19" s="20" t="n">
        <f aca="false">ROUND(O19*G19/30,0)</f>
        <v>76</v>
      </c>
      <c r="S19" s="31"/>
      <c r="T19" s="31"/>
      <c r="U19" s="21"/>
      <c r="V19" s="33" t="n">
        <f aca="false">IFERROR(U19-IFERROR(S19,0)-IFERROR(T19,0),"")</f>
        <v>0</v>
      </c>
      <c r="W19" s="34"/>
      <c r="X19" s="24" t="n">
        <v>71</v>
      </c>
      <c r="Y19" s="25" t="n">
        <f aca="false">IFERROR(X19/N19-1,"")</f>
        <v>0.183333333333333</v>
      </c>
      <c r="Z19" s="26" t="n">
        <v>1</v>
      </c>
      <c r="AA19" s="37" t="n">
        <v>0.1785</v>
      </c>
      <c r="AB19" s="28" t="s">
        <v>39</v>
      </c>
    </row>
    <row r="20" customFormat="false" ht="16.5" hidden="false" customHeight="true" outlineLevel="0" collapsed="false">
      <c r="A20" s="16" t="n">
        <v>17</v>
      </c>
      <c r="B20" s="16" t="s">
        <v>117</v>
      </c>
      <c r="C20" s="17" t="s">
        <v>142</v>
      </c>
      <c r="D20" s="17"/>
      <c r="E20" s="17"/>
      <c r="F20" s="16"/>
      <c r="G20" s="16" t="n">
        <v>60</v>
      </c>
      <c r="H20" s="18" t="n">
        <v>34</v>
      </c>
      <c r="I20" s="18" t="n">
        <v>30</v>
      </c>
      <c r="J20" s="18" t="n">
        <v>85</v>
      </c>
      <c r="K20" s="18" t="n">
        <v>20</v>
      </c>
      <c r="L20" s="18" t="n">
        <v>119</v>
      </c>
      <c r="M20" s="18" t="n">
        <v>50</v>
      </c>
      <c r="N20" s="18" t="n">
        <f aca="false">ROUND(AVERAGE(H20,J20,L20),0)</f>
        <v>79</v>
      </c>
      <c r="O20" s="18" t="n">
        <f aca="false">ROUND(AVERAGE(I20,K20,M20),0)</f>
        <v>33</v>
      </c>
      <c r="P20" s="19" t="n">
        <f aca="false">IFERROR((J20-H20)/H20,"")</f>
        <v>1.5</v>
      </c>
      <c r="Q20" s="19" t="n">
        <f aca="false">IFERROR((L20-J20)/J20,"")</f>
        <v>0.4</v>
      </c>
      <c r="R20" s="20" t="n">
        <f aca="false">ROUND(O20*G20/30,0)</f>
        <v>66</v>
      </c>
      <c r="S20" s="18"/>
      <c r="T20" s="18"/>
      <c r="U20" s="21"/>
      <c r="V20" s="22" t="n">
        <f aca="false">IFERROR(U20-IFERROR(S20,0)-IFERROR(T20,0),"")</f>
        <v>0</v>
      </c>
      <c r="W20" s="23"/>
      <c r="X20" s="24" t="n">
        <v>190</v>
      </c>
      <c r="Y20" s="25" t="n">
        <f aca="false">IFERROR(X20/N20-1,"")</f>
        <v>1.40506329113924</v>
      </c>
      <c r="Z20" s="26" t="n">
        <v>1</v>
      </c>
      <c r="AA20" s="37" t="n">
        <v>0.7472</v>
      </c>
      <c r="AB20" s="28" t="s">
        <v>39</v>
      </c>
    </row>
    <row r="21" customFormat="false" ht="16.5" hidden="false" customHeight="true" outlineLevel="0" collapsed="false">
      <c r="A21" s="29" t="n">
        <v>18</v>
      </c>
      <c r="B21" s="29" t="s">
        <v>117</v>
      </c>
      <c r="C21" s="30" t="s">
        <v>145</v>
      </c>
      <c r="D21" s="30"/>
      <c r="E21" s="30"/>
      <c r="F21" s="29"/>
      <c r="G21" s="29" t="n">
        <v>60</v>
      </c>
      <c r="H21" s="31" t="n">
        <v>641</v>
      </c>
      <c r="I21" s="31" t="n">
        <v>460</v>
      </c>
      <c r="J21" s="31" t="n">
        <v>1453</v>
      </c>
      <c r="K21" s="31" t="n">
        <v>330</v>
      </c>
      <c r="L21" s="31" t="n">
        <v>290</v>
      </c>
      <c r="M21" s="31" t="n">
        <v>220</v>
      </c>
      <c r="N21" s="31" t="n">
        <f aca="false">ROUND(AVERAGE(H21,J21,L21),0)</f>
        <v>795</v>
      </c>
      <c r="O21" s="31" t="n">
        <f aca="false">ROUND(AVERAGE(I21,K21,M21),0)</f>
        <v>337</v>
      </c>
      <c r="P21" s="32" t="n">
        <f aca="false">IFERROR((J21-H21)/H21,"")</f>
        <v>1.26677067082683</v>
      </c>
      <c r="Q21" s="32" t="n">
        <f aca="false">IFERROR((L21-J21)/J21,"")</f>
        <v>-0.800412938747419</v>
      </c>
      <c r="R21" s="20" t="n">
        <f aca="false">ROUND(O21*G21/30,0)</f>
        <v>674</v>
      </c>
      <c r="S21" s="31"/>
      <c r="T21" s="31"/>
      <c r="U21" s="21"/>
      <c r="V21" s="33" t="n">
        <f aca="false">IFERROR(U21-IFERROR(S21,0)-IFERROR(T21,0),"")</f>
        <v>0</v>
      </c>
      <c r="W21" s="34"/>
      <c r="X21" s="24" t="n">
        <v>40</v>
      </c>
      <c r="Y21" s="25" t="n">
        <f aca="false">IFERROR(X21/N21-1,"")</f>
        <v>-0.949685534591195</v>
      </c>
      <c r="Z21" s="38" t="n">
        <v>0.392</v>
      </c>
      <c r="AA21" s="37" t="n">
        <v>0.079</v>
      </c>
      <c r="AB21" s="39" t="s">
        <v>57</v>
      </c>
    </row>
    <row r="22" customFormat="false" ht="16.5" hidden="false" customHeight="true" outlineLevel="0" collapsed="false">
      <c r="A22" s="16" t="n">
        <v>19</v>
      </c>
      <c r="B22" s="16" t="s">
        <v>117</v>
      </c>
      <c r="C22" s="17" t="s">
        <v>148</v>
      </c>
      <c r="D22" s="17"/>
      <c r="E22" s="17"/>
      <c r="F22" s="16"/>
      <c r="G22" s="16" t="n">
        <v>60</v>
      </c>
      <c r="H22" s="18" t="n">
        <v>556</v>
      </c>
      <c r="I22" s="18" t="n">
        <v>460</v>
      </c>
      <c r="J22" s="18" t="n">
        <v>1438</v>
      </c>
      <c r="K22" s="18" t="n">
        <v>330</v>
      </c>
      <c r="L22" s="18" t="n">
        <v>60</v>
      </c>
      <c r="M22" s="18" t="n">
        <v>40</v>
      </c>
      <c r="N22" s="18" t="n">
        <f aca="false">ROUND(AVERAGE(H22,J22,L22),0)</f>
        <v>685</v>
      </c>
      <c r="O22" s="18" t="n">
        <f aca="false">ROUND(AVERAGE(I22,K22,M22),0)</f>
        <v>277</v>
      </c>
      <c r="P22" s="19" t="n">
        <f aca="false">IFERROR((J22-H22)/H22,"")</f>
        <v>1.5863309352518</v>
      </c>
      <c r="Q22" s="19" t="n">
        <f aca="false">IFERROR((L22-J22)/J22,"")</f>
        <v>-0.958275382475661</v>
      </c>
      <c r="R22" s="20" t="n">
        <f aca="false">ROUND(O22*G22/30,0)</f>
        <v>554</v>
      </c>
      <c r="S22" s="18"/>
      <c r="T22" s="18"/>
      <c r="U22" s="21"/>
      <c r="V22" s="22" t="n">
        <f aca="false">IFERROR(U22-IFERROR(S22,0)-IFERROR(T22,0),"")</f>
        <v>0</v>
      </c>
      <c r="W22" s="23"/>
      <c r="X22" s="24" t="n">
        <v>30</v>
      </c>
      <c r="Y22" s="25" t="n">
        <f aca="false">IFERROR(X22/N22-1,"")</f>
        <v>-0.956204379562044</v>
      </c>
      <c r="Z22" s="38" t="n">
        <v>0.326</v>
      </c>
      <c r="AA22" s="37" t="n">
        <v>0.0876</v>
      </c>
      <c r="AB22" s="39" t="s">
        <v>57</v>
      </c>
    </row>
    <row r="23" customFormat="false" ht="16.5" hidden="false" customHeight="true" outlineLevel="0" collapsed="false">
      <c r="A23" s="29" t="n">
        <v>20</v>
      </c>
      <c r="B23" s="29" t="s">
        <v>117</v>
      </c>
      <c r="C23" s="30" t="s">
        <v>152</v>
      </c>
      <c r="D23" s="30"/>
      <c r="E23" s="30"/>
      <c r="F23" s="29"/>
      <c r="G23" s="29" t="n">
        <v>60</v>
      </c>
      <c r="H23" s="31" t="n">
        <v>792</v>
      </c>
      <c r="I23" s="31" t="n">
        <v>300</v>
      </c>
      <c r="J23" s="31" t="n">
        <v>2766</v>
      </c>
      <c r="K23" s="31" t="n">
        <v>610</v>
      </c>
      <c r="L23" s="31" t="n">
        <v>4604</v>
      </c>
      <c r="M23" s="31" t="n">
        <v>968</v>
      </c>
      <c r="N23" s="31" t="n">
        <f aca="false">ROUND(AVERAGE(H23,J23,L23),0)</f>
        <v>2721</v>
      </c>
      <c r="O23" s="31" t="n">
        <f aca="false">ROUND(AVERAGE(I23,K23,M23),0)</f>
        <v>626</v>
      </c>
      <c r="P23" s="32" t="n">
        <f aca="false">IFERROR((J23-H23)/H23,"")</f>
        <v>2.49242424242424</v>
      </c>
      <c r="Q23" s="32" t="n">
        <f aca="false">IFERROR((L23-J23)/J23,"")</f>
        <v>0.664497469269704</v>
      </c>
      <c r="R23" s="20" t="n">
        <f aca="false">ROUND(O23*G23/30,0)</f>
        <v>1252</v>
      </c>
      <c r="S23" s="31"/>
      <c r="T23" s="31"/>
      <c r="U23" s="21"/>
      <c r="V23" s="33" t="n">
        <f aca="false">IFERROR(U23-IFERROR(S23,0)-IFERROR(T23,0),"")</f>
        <v>0</v>
      </c>
      <c r="W23" s="34"/>
      <c r="X23" s="24" t="n">
        <v>5304</v>
      </c>
      <c r="Y23" s="25" t="n">
        <f aca="false">IFERROR(X23/N23-1,"")</f>
        <v>0.949283351708931</v>
      </c>
      <c r="Z23" s="38" t="n">
        <v>0.326</v>
      </c>
      <c r="AA23" s="37" t="n">
        <v>0.0524</v>
      </c>
      <c r="AB23" s="39" t="s">
        <v>57</v>
      </c>
    </row>
    <row r="24" customFormat="false" ht="16.5" hidden="false" customHeight="true" outlineLevel="0" collapsed="false">
      <c r="A24" s="16" t="n">
        <v>21</v>
      </c>
      <c r="B24" s="16" t="s">
        <v>117</v>
      </c>
      <c r="C24" s="17" t="s">
        <v>155</v>
      </c>
      <c r="D24" s="17"/>
      <c r="E24" s="17"/>
      <c r="F24" s="16"/>
      <c r="G24" s="16" t="n">
        <v>60</v>
      </c>
      <c r="H24" s="18" t="n">
        <v>8071</v>
      </c>
      <c r="I24" s="18" t="n">
        <v>1276</v>
      </c>
      <c r="J24" s="18" t="n">
        <v>11006</v>
      </c>
      <c r="K24" s="18" t="n">
        <v>1755</v>
      </c>
      <c r="L24" s="18" t="n">
        <v>12607</v>
      </c>
      <c r="M24" s="18" t="n">
        <v>2408</v>
      </c>
      <c r="N24" s="18" t="n">
        <f aca="false">ROUND(AVERAGE(H24,J24,L24),0)</f>
        <v>10561</v>
      </c>
      <c r="O24" s="18" t="n">
        <f aca="false">ROUND(AVERAGE(I24,K24,M24),0)</f>
        <v>1813</v>
      </c>
      <c r="P24" s="19" t="n">
        <f aca="false">IFERROR((J24-H24)/H24,"")</f>
        <v>0.363647627307645</v>
      </c>
      <c r="Q24" s="19" t="n">
        <f aca="false">IFERROR((L24-J24)/J24,"")</f>
        <v>0.145466109394876</v>
      </c>
      <c r="R24" s="20" t="n">
        <f aca="false">ROUND(O24*G24/30,0)</f>
        <v>3626</v>
      </c>
      <c r="S24" s="18"/>
      <c r="T24" s="18"/>
      <c r="U24" s="21"/>
      <c r="V24" s="22" t="n">
        <f aca="false">IFERROR(U24-IFERROR(S24,0)-IFERROR(T24,0),"")</f>
        <v>0</v>
      </c>
      <c r="W24" s="23"/>
      <c r="X24" s="24" t="n">
        <v>13566</v>
      </c>
      <c r="Y24" s="25" t="n">
        <f aca="false">IFERROR(X24/N24-1,"")</f>
        <v>0.284537449105198</v>
      </c>
      <c r="Z24" s="38" t="n">
        <v>0.366</v>
      </c>
      <c r="AA24" s="37" t="n">
        <v>0.002</v>
      </c>
      <c r="AB24" s="39" t="s">
        <v>57</v>
      </c>
    </row>
    <row r="25" customFormat="false" ht="16.5" hidden="false" customHeight="true" outlineLevel="0" collapsed="false">
      <c r="A25" s="29" t="n">
        <v>22</v>
      </c>
      <c r="B25" s="29" t="s">
        <v>117</v>
      </c>
      <c r="C25" s="30" t="s">
        <v>158</v>
      </c>
      <c r="D25" s="30"/>
      <c r="E25" s="30"/>
      <c r="F25" s="29"/>
      <c r="G25" s="29" t="n">
        <v>60</v>
      </c>
      <c r="H25" s="31" t="n">
        <v>4086</v>
      </c>
      <c r="I25" s="31" t="n">
        <v>1820</v>
      </c>
      <c r="J25" s="31" t="n">
        <v>5367</v>
      </c>
      <c r="K25" s="31" t="n">
        <v>1128</v>
      </c>
      <c r="L25" s="31" t="n">
        <v>6025</v>
      </c>
      <c r="M25" s="31" t="n">
        <v>1449</v>
      </c>
      <c r="N25" s="31" t="n">
        <f aca="false">ROUND(AVERAGE(H25,J25,L25),0)</f>
        <v>5159</v>
      </c>
      <c r="O25" s="31" t="n">
        <f aca="false">ROUND(AVERAGE(I25,K25,M25),0)</f>
        <v>1466</v>
      </c>
      <c r="P25" s="32" t="n">
        <f aca="false">IFERROR((J25-H25)/H25,"")</f>
        <v>0.313509544787078</v>
      </c>
      <c r="Q25" s="32" t="n">
        <f aca="false">IFERROR((L25-J25)/J25,"")</f>
        <v>0.122601080678219</v>
      </c>
      <c r="R25" s="20" t="n">
        <f aca="false">ROUND(O25*G25/30,0)</f>
        <v>2932</v>
      </c>
      <c r="S25" s="31"/>
      <c r="T25" s="31"/>
      <c r="U25" s="21"/>
      <c r="V25" s="33" t="n">
        <f aca="false">IFERROR(U25-IFERROR(S25,0)-IFERROR(T25,0),"")</f>
        <v>0</v>
      </c>
      <c r="W25" s="34"/>
      <c r="X25" s="24" t="n">
        <v>5305</v>
      </c>
      <c r="Y25" s="25" t="n">
        <f aca="false">IFERROR(X25/N25-1,"")</f>
        <v>0.0283000581508044</v>
      </c>
      <c r="Z25" s="38" t="n">
        <v>0.286</v>
      </c>
      <c r="AA25" s="27" t="n">
        <v>-0.0531</v>
      </c>
      <c r="AB25" s="41" t="s">
        <v>82</v>
      </c>
    </row>
    <row r="26" customFormat="false" ht="16.5" hidden="false" customHeight="true" outlineLevel="0" collapsed="false">
      <c r="A26" s="16" t="n">
        <v>23</v>
      </c>
      <c r="B26" s="16" t="s">
        <v>117</v>
      </c>
      <c r="C26" s="17" t="s">
        <v>162</v>
      </c>
      <c r="D26" s="17"/>
      <c r="E26" s="17"/>
      <c r="F26" s="16"/>
      <c r="G26" s="16" t="n">
        <v>60</v>
      </c>
      <c r="H26" s="18" t="n">
        <v>590</v>
      </c>
      <c r="I26" s="18" t="n">
        <v>188</v>
      </c>
      <c r="J26" s="18" t="n">
        <v>2182</v>
      </c>
      <c r="K26" s="18" t="n">
        <v>604</v>
      </c>
      <c r="L26" s="18" t="n">
        <v>5102</v>
      </c>
      <c r="M26" s="18" t="n">
        <v>1000</v>
      </c>
      <c r="N26" s="18" t="n">
        <f aca="false">ROUND(AVERAGE(H26,J26,L26),0)</f>
        <v>2625</v>
      </c>
      <c r="O26" s="18" t="n">
        <f aca="false">ROUND(AVERAGE(I26,K26,M26),0)</f>
        <v>597</v>
      </c>
      <c r="P26" s="19" t="n">
        <f aca="false">IFERROR((J26-H26)/H26,"")</f>
        <v>2.69830508474576</v>
      </c>
      <c r="Q26" s="19" t="n">
        <f aca="false">IFERROR((L26-J26)/J26,"")</f>
        <v>1.33822181484876</v>
      </c>
      <c r="R26" s="20" t="n">
        <f aca="false">ROUND(O26*G26/30,0)</f>
        <v>1194</v>
      </c>
      <c r="S26" s="18"/>
      <c r="T26" s="18"/>
      <c r="U26" s="21"/>
      <c r="V26" s="22" t="n">
        <f aca="false">IFERROR(U26-IFERROR(S26,0)-IFERROR(T26,0),"")</f>
        <v>0</v>
      </c>
      <c r="W26" s="23"/>
      <c r="X26" s="24" t="n">
        <v>5813</v>
      </c>
      <c r="Y26" s="25" t="n">
        <f aca="false">IFERROR(X26/N26-1,"")</f>
        <v>1.21447619047619</v>
      </c>
      <c r="Z26" s="38" t="n">
        <v>0.308</v>
      </c>
      <c r="AA26" s="37" t="n">
        <v>0.1009</v>
      </c>
      <c r="AB26" s="39" t="s">
        <v>57</v>
      </c>
    </row>
    <row r="27" customFormat="false" ht="16.5" hidden="false" customHeight="true" outlineLevel="0" collapsed="false">
      <c r="A27" s="29" t="n">
        <v>24</v>
      </c>
      <c r="B27" s="29" t="s">
        <v>117</v>
      </c>
      <c r="C27" s="30" t="s">
        <v>163</v>
      </c>
      <c r="D27" s="30"/>
      <c r="E27" s="30"/>
      <c r="F27" s="29"/>
      <c r="G27" s="29" t="n">
        <v>60</v>
      </c>
      <c r="H27" s="31" t="n">
        <v>402</v>
      </c>
      <c r="I27" s="31" t="n">
        <v>262</v>
      </c>
      <c r="J27" s="31" t="n">
        <v>2304</v>
      </c>
      <c r="K27" s="31" t="n">
        <v>438</v>
      </c>
      <c r="L27" s="31" t="n">
        <v>5328</v>
      </c>
      <c r="M27" s="31" t="n">
        <v>1046</v>
      </c>
      <c r="N27" s="31" t="n">
        <f aca="false">ROUND(AVERAGE(H27,J27,L27),0)</f>
        <v>2678</v>
      </c>
      <c r="O27" s="31" t="n">
        <f aca="false">ROUND(AVERAGE(I27,K27,M27),0)</f>
        <v>582</v>
      </c>
      <c r="P27" s="32" t="n">
        <f aca="false">IFERROR((J27-H27)/H27,"")</f>
        <v>4.73134328358209</v>
      </c>
      <c r="Q27" s="32" t="n">
        <f aca="false">IFERROR((L27-J27)/J27,"")</f>
        <v>1.3125</v>
      </c>
      <c r="R27" s="20" t="n">
        <f aca="false">ROUND(O27*G27/30,0)</f>
        <v>1164</v>
      </c>
      <c r="S27" s="31"/>
      <c r="T27" s="31"/>
      <c r="U27" s="21"/>
      <c r="V27" s="33" t="n">
        <f aca="false">IFERROR(U27-IFERROR(S27,0)-IFERROR(T27,0),"")</f>
        <v>0</v>
      </c>
      <c r="W27" s="34"/>
      <c r="X27" s="24" t="n">
        <v>5886</v>
      </c>
      <c r="Y27" s="25" t="n">
        <f aca="false">IFERROR(X27/N27-1,"")</f>
        <v>1.19790888722928</v>
      </c>
      <c r="Z27" s="38" t="n">
        <v>0.361</v>
      </c>
      <c r="AA27" s="37" t="n">
        <v>0.0157</v>
      </c>
      <c r="AB27" s="39" t="s">
        <v>57</v>
      </c>
    </row>
    <row r="28" customFormat="false" ht="16.5" hidden="false" customHeight="true" outlineLevel="0" collapsed="false">
      <c r="A28" s="16" t="n">
        <v>25</v>
      </c>
      <c r="B28" s="16" t="s">
        <v>117</v>
      </c>
      <c r="C28" s="17" t="s">
        <v>164</v>
      </c>
      <c r="D28" s="17"/>
      <c r="E28" s="17"/>
      <c r="F28" s="16"/>
      <c r="G28" s="16" t="n">
        <v>60</v>
      </c>
      <c r="H28" s="18" t="n">
        <v>4986</v>
      </c>
      <c r="I28" s="18" t="n">
        <v>1514</v>
      </c>
      <c r="J28" s="18" t="n">
        <v>12809</v>
      </c>
      <c r="K28" s="18" t="n">
        <v>3900</v>
      </c>
      <c r="L28" s="18" t="n">
        <v>14280</v>
      </c>
      <c r="M28" s="18" t="n">
        <v>3521</v>
      </c>
      <c r="N28" s="18" t="n">
        <f aca="false">ROUND(AVERAGE(H28,J28,L28),0)</f>
        <v>10692</v>
      </c>
      <c r="O28" s="18" t="n">
        <f aca="false">ROUND(AVERAGE(I28,K28,M28),0)</f>
        <v>2978</v>
      </c>
      <c r="P28" s="19" t="n">
        <f aca="false">IFERROR((J28-H28)/H28,"")</f>
        <v>1.56899318090654</v>
      </c>
      <c r="Q28" s="19" t="n">
        <f aca="false">IFERROR((L28-J28)/J28,"")</f>
        <v>0.114841127332344</v>
      </c>
      <c r="R28" s="20" t="n">
        <f aca="false">ROUND(O28*G28/30,0)</f>
        <v>5956</v>
      </c>
      <c r="S28" s="18"/>
      <c r="T28" s="18"/>
      <c r="U28" s="21"/>
      <c r="V28" s="22" t="n">
        <f aca="false">IFERROR(U28-IFERROR(S28,0)-IFERROR(T28,0),"")</f>
        <v>0</v>
      </c>
      <c r="W28" s="23"/>
      <c r="X28" s="24" t="n">
        <v>13700</v>
      </c>
      <c r="Y28" s="25" t="n">
        <f aca="false">IFERROR(X28/N28-1,"")</f>
        <v>0.281331836887393</v>
      </c>
      <c r="Z28" s="38" t="n">
        <v>0.129</v>
      </c>
      <c r="AA28" s="27" t="n">
        <v>-0.2946</v>
      </c>
      <c r="AB28" s="41" t="s">
        <v>82</v>
      </c>
    </row>
    <row r="29" customFormat="false" ht="16.5" hidden="false" customHeight="true" outlineLevel="0" collapsed="false">
      <c r="A29" s="29" t="n">
        <v>26</v>
      </c>
      <c r="B29" s="29" t="s">
        <v>165</v>
      </c>
      <c r="C29" s="30" t="s">
        <v>142</v>
      </c>
      <c r="D29" s="30"/>
      <c r="E29" s="30"/>
      <c r="F29" s="29"/>
      <c r="G29" s="29" t="n">
        <v>60</v>
      </c>
      <c r="H29" s="31" t="n">
        <v>30</v>
      </c>
      <c r="I29" s="31" t="n">
        <v>30</v>
      </c>
      <c r="J29" s="31"/>
      <c r="K29" s="31"/>
      <c r="L29" s="31"/>
      <c r="M29" s="31"/>
      <c r="N29" s="31" t="n">
        <f aca="false">ROUND(AVERAGE(H29,J29,L29),0)</f>
        <v>30</v>
      </c>
      <c r="O29" s="31" t="n">
        <f aca="false">ROUND(AVERAGE(I29,K29,M29),0)</f>
        <v>30</v>
      </c>
      <c r="P29" s="32" t="n">
        <f aca="false">IFERROR((J29-H29)/H29,"")</f>
        <v>-1</v>
      </c>
      <c r="Q29" s="32" t="str">
        <f aca="false">IFERROR((L29-J29)/J29,"")</f>
        <v/>
      </c>
      <c r="R29" s="20" t="n">
        <f aca="false">ROUND(O29*G29/30,0)</f>
        <v>60</v>
      </c>
      <c r="S29" s="31"/>
      <c r="T29" s="31"/>
      <c r="U29" s="21"/>
      <c r="V29" s="33" t="n">
        <f aca="false">IFERROR(U29-IFERROR(S29,0)-IFERROR(T29,0),"")</f>
        <v>0</v>
      </c>
      <c r="W29" s="34"/>
      <c r="X29" s="24"/>
      <c r="Y29" s="25" t="n">
        <f aca="false">IFERROR(X29/N29-1,"")</f>
        <v>-1</v>
      </c>
      <c r="Z29" s="35"/>
      <c r="AA29" s="27"/>
      <c r="AB29" s="36" t="s">
        <v>49</v>
      </c>
    </row>
    <row r="30" customFormat="false" ht="16.5" hidden="false" customHeight="true" outlineLevel="0" collapsed="false">
      <c r="A30" s="16" t="n">
        <v>27</v>
      </c>
      <c r="B30" s="16" t="s">
        <v>165</v>
      </c>
      <c r="C30" s="17" t="s">
        <v>145</v>
      </c>
      <c r="D30" s="17"/>
      <c r="E30" s="17"/>
      <c r="F30" s="16"/>
      <c r="G30" s="16" t="n">
        <v>60</v>
      </c>
      <c r="H30" s="18" t="n">
        <v>784</v>
      </c>
      <c r="I30" s="18" t="n">
        <v>520</v>
      </c>
      <c r="J30" s="18" t="n">
        <v>218</v>
      </c>
      <c r="K30" s="18" t="n">
        <v>146</v>
      </c>
      <c r="L30" s="18" t="n">
        <v>72</v>
      </c>
      <c r="M30" s="18" t="n">
        <v>48</v>
      </c>
      <c r="N30" s="18" t="n">
        <f aca="false">ROUND(AVERAGE(H30,J30,L30),0)</f>
        <v>358</v>
      </c>
      <c r="O30" s="18" t="n">
        <f aca="false">ROUND(AVERAGE(I30,K30,M30),0)</f>
        <v>238</v>
      </c>
      <c r="P30" s="19" t="n">
        <f aca="false">IFERROR((J30-H30)/H30,"")</f>
        <v>-0.721938775510204</v>
      </c>
      <c r="Q30" s="19" t="n">
        <f aca="false">IFERROR((L30-J30)/J30,"")</f>
        <v>-0.669724770642202</v>
      </c>
      <c r="R30" s="20" t="n">
        <f aca="false">ROUND(O30*G30/30,0)</f>
        <v>476</v>
      </c>
      <c r="S30" s="18"/>
      <c r="T30" s="18"/>
      <c r="U30" s="21"/>
      <c r="V30" s="22" t="n">
        <f aca="false">IFERROR(U30-IFERROR(S30,0)-IFERROR(T30,0),"")</f>
        <v>0</v>
      </c>
      <c r="W30" s="23"/>
      <c r="X30" s="24" t="n">
        <v>54</v>
      </c>
      <c r="Y30" s="25" t="n">
        <f aca="false">IFERROR(X30/N30-1,"")</f>
        <v>-0.849162011173184</v>
      </c>
      <c r="Z30" s="26" t="n">
        <v>1</v>
      </c>
      <c r="AA30" s="27" t="n">
        <v>-0.25</v>
      </c>
      <c r="AB30" s="28" t="s">
        <v>39</v>
      </c>
    </row>
    <row r="31" customFormat="false" ht="16.5" hidden="false" customHeight="true" outlineLevel="0" collapsed="false">
      <c r="A31" s="29" t="n">
        <v>28</v>
      </c>
      <c r="B31" s="29" t="s">
        <v>165</v>
      </c>
      <c r="C31" s="30" t="s">
        <v>155</v>
      </c>
      <c r="D31" s="30"/>
      <c r="E31" s="30"/>
      <c r="F31" s="29"/>
      <c r="G31" s="29" t="n">
        <v>60</v>
      </c>
      <c r="H31" s="31" t="n">
        <v>2919</v>
      </c>
      <c r="I31" s="31" t="n">
        <v>1078</v>
      </c>
      <c r="J31" s="31" t="n">
        <v>16276</v>
      </c>
      <c r="K31" s="31" t="n">
        <v>6000</v>
      </c>
      <c r="L31" s="31" t="n">
        <v>1440</v>
      </c>
      <c r="M31" s="31" t="n">
        <v>1152</v>
      </c>
      <c r="N31" s="31" t="n">
        <f aca="false">ROUND(AVERAGE(H31,J31,L31),0)</f>
        <v>6878</v>
      </c>
      <c r="O31" s="31" t="n">
        <f aca="false">ROUND(AVERAGE(I31,K31,M31),0)</f>
        <v>2743</v>
      </c>
      <c r="P31" s="32" t="n">
        <f aca="false">IFERROR((J31-H31)/H31,"")</f>
        <v>4.57588215142172</v>
      </c>
      <c r="Q31" s="32" t="n">
        <f aca="false">IFERROR((L31-J31)/J31,"")</f>
        <v>-0.911526173507004</v>
      </c>
      <c r="R31" s="20" t="n">
        <f aca="false">ROUND(O31*G31/30,0)</f>
        <v>5486</v>
      </c>
      <c r="S31" s="31"/>
      <c r="T31" s="31"/>
      <c r="U31" s="21"/>
      <c r="V31" s="33" t="n">
        <f aca="false">IFERROR(U31-IFERROR(S31,0)-IFERROR(T31,0),"")</f>
        <v>0</v>
      </c>
      <c r="W31" s="34"/>
      <c r="X31" s="24" t="n">
        <v>2448</v>
      </c>
      <c r="Y31" s="25" t="n">
        <f aca="false">IFERROR(X31/N31-1,"")</f>
        <v>-0.644082582145973</v>
      </c>
      <c r="Z31" s="38" t="n">
        <v>0.191</v>
      </c>
      <c r="AA31" s="27" t="n">
        <v>-0.1381</v>
      </c>
      <c r="AB31" s="41" t="s">
        <v>82</v>
      </c>
    </row>
    <row r="32" customFormat="false" ht="16.5" hidden="false" customHeight="true" outlineLevel="0" collapsed="false">
      <c r="A32" s="16" t="n">
        <v>29</v>
      </c>
      <c r="B32" s="16" t="s">
        <v>165</v>
      </c>
      <c r="C32" s="17" t="s">
        <v>158</v>
      </c>
      <c r="D32" s="17"/>
      <c r="E32" s="17"/>
      <c r="F32" s="16"/>
      <c r="G32" s="16" t="n">
        <v>60</v>
      </c>
      <c r="H32" s="18" t="n">
        <v>5576</v>
      </c>
      <c r="I32" s="18" t="n">
        <v>2492</v>
      </c>
      <c r="J32" s="18" t="n">
        <v>4724</v>
      </c>
      <c r="K32" s="18" t="n">
        <v>2604</v>
      </c>
      <c r="L32" s="18" t="n">
        <v>4686</v>
      </c>
      <c r="M32" s="18" t="n">
        <v>3360</v>
      </c>
      <c r="N32" s="18" t="n">
        <f aca="false">ROUND(AVERAGE(H32,J32,L32),0)</f>
        <v>4995</v>
      </c>
      <c r="O32" s="18" t="n">
        <f aca="false">ROUND(AVERAGE(I32,K32,M32),0)</f>
        <v>2819</v>
      </c>
      <c r="P32" s="19" t="n">
        <f aca="false">IFERROR((J32-H32)/H32,"")</f>
        <v>-0.152797704447633</v>
      </c>
      <c r="Q32" s="19" t="n">
        <f aca="false">IFERROR((L32-J32)/J32,"")</f>
        <v>-0.00804403048264183</v>
      </c>
      <c r="R32" s="20" t="n">
        <f aca="false">ROUND(O32*G32/30,0)</f>
        <v>5638</v>
      </c>
      <c r="S32" s="18"/>
      <c r="T32" s="18"/>
      <c r="U32" s="21"/>
      <c r="V32" s="22" t="n">
        <f aca="false">IFERROR(U32-IFERROR(S32,0)-IFERROR(T32,0),"")</f>
        <v>0</v>
      </c>
      <c r="W32" s="23"/>
      <c r="X32" s="24" t="n">
        <v>3955</v>
      </c>
      <c r="Y32" s="25" t="n">
        <f aca="false">IFERROR(X32/N32-1,"")</f>
        <v>-0.208208208208208</v>
      </c>
      <c r="Z32" s="38" t="n">
        <v>0.116</v>
      </c>
      <c r="AA32" s="37" t="n">
        <v>0.0617</v>
      </c>
      <c r="AB32" s="41" t="s">
        <v>82</v>
      </c>
    </row>
    <row r="33" customFormat="false" ht="16.5" hidden="false" customHeight="true" outlineLevel="0" collapsed="false">
      <c r="A33" s="29" t="n">
        <v>30</v>
      </c>
      <c r="B33" s="29" t="s">
        <v>165</v>
      </c>
      <c r="C33" s="30" t="s">
        <v>164</v>
      </c>
      <c r="D33" s="30"/>
      <c r="E33" s="30"/>
      <c r="F33" s="29"/>
      <c r="G33" s="29" t="n">
        <v>60</v>
      </c>
      <c r="H33" s="31" t="n">
        <v>13560</v>
      </c>
      <c r="I33" s="31" t="n">
        <v>4596</v>
      </c>
      <c r="J33" s="31" t="n">
        <v>11052</v>
      </c>
      <c r="K33" s="31" t="n">
        <v>3988</v>
      </c>
      <c r="L33" s="31" t="n">
        <v>6123</v>
      </c>
      <c r="M33" s="31" t="n">
        <v>1800</v>
      </c>
      <c r="N33" s="31" t="n">
        <f aca="false">ROUND(AVERAGE(H33,J33,L33),0)</f>
        <v>10245</v>
      </c>
      <c r="O33" s="31" t="n">
        <f aca="false">ROUND(AVERAGE(I33,K33,M33),0)</f>
        <v>3461</v>
      </c>
      <c r="P33" s="32" t="n">
        <f aca="false">IFERROR((J33-H33)/H33,"")</f>
        <v>-0.184955752212389</v>
      </c>
      <c r="Q33" s="32" t="n">
        <f aca="false">IFERROR((L33-J33)/J33,"")</f>
        <v>-0.445982627578719</v>
      </c>
      <c r="R33" s="20" t="n">
        <f aca="false">ROUND(O33*G33/30,0)</f>
        <v>6922</v>
      </c>
      <c r="S33" s="31"/>
      <c r="T33" s="31"/>
      <c r="U33" s="21"/>
      <c r="V33" s="33" t="n">
        <f aca="false">IFERROR(U33-IFERROR(S33,0)-IFERROR(T33,0),"")</f>
        <v>0</v>
      </c>
      <c r="W33" s="34"/>
      <c r="X33" s="24" t="n">
        <v>4922</v>
      </c>
      <c r="Y33" s="25" t="n">
        <f aca="false">IFERROR(X33/N33-1,"")</f>
        <v>-0.519570522205954</v>
      </c>
      <c r="Z33" s="38" t="n">
        <v>0.035</v>
      </c>
      <c r="AA33" s="27" t="n">
        <v>-0.1975</v>
      </c>
      <c r="AB33" s="41" t="s">
        <v>82</v>
      </c>
    </row>
    <row r="34" customFormat="false" ht="15" hidden="false" customHeight="false" outlineLevel="0" collapsed="false">
      <c r="X34" s="24" t="n">
        <v>4922</v>
      </c>
      <c r="Y34" s="25" t="n">
        <f aca="false">Y33</f>
        <v>-0.519570522205954</v>
      </c>
      <c r="Z34" s="38" t="n">
        <v>0.035</v>
      </c>
      <c r="AA34" s="27" t="n">
        <v>-0.1975</v>
      </c>
      <c r="AB34" s="41" t="s">
        <v>82</v>
      </c>
    </row>
    <row r="35" customFormat="false" ht="18" hidden="false" customHeight="true" outlineLevel="0" collapsed="false">
      <c r="C35" s="44" t="s">
        <v>125</v>
      </c>
      <c r="H35" s="45" t="n">
        <f aca="false">SUM(H4:H33)</f>
        <v>434512</v>
      </c>
      <c r="I35" s="45" t="n">
        <f aca="false">SUM(I4:I33)</f>
        <v>71923</v>
      </c>
      <c r="J35" s="45" t="n">
        <f aca="false">SUM(J4:J33)</f>
        <v>358258</v>
      </c>
      <c r="K35" s="45" t="n">
        <f aca="false">SUM(K4:K33)</f>
        <v>73893</v>
      </c>
      <c r="L35" s="45" t="n">
        <f aca="false">SUM(L4:L33)</f>
        <v>388181</v>
      </c>
      <c r="M35" s="45" t="n">
        <f aca="false">SUM(M4:M33)</f>
        <v>63496</v>
      </c>
      <c r="N35" s="45" t="n">
        <f aca="false">SUM(N4:N33)</f>
        <v>393691</v>
      </c>
      <c r="O35" s="45" t="n">
        <f aca="false">SUM(O4:O33)</f>
        <v>69802</v>
      </c>
    </row>
  </sheetData>
  <mergeCells count="9">
    <mergeCell ref="A1:W1"/>
    <mergeCell ref="A2:G2"/>
    <mergeCell ref="H2:I2"/>
    <mergeCell ref="J2:K2"/>
    <mergeCell ref="L2:M2"/>
    <mergeCell ref="N2:Q2"/>
    <mergeCell ref="S2:T2"/>
    <mergeCell ref="U2:V2"/>
    <mergeCell ref="X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6"/>
    <col collapsed="false" customWidth="true" hidden="false" outlineLevel="0" max="7" min="7" style="0" width="14"/>
    <col collapsed="false" customWidth="true" hidden="false" outlineLevel="0" max="19" min="8" style="0" width="9"/>
    <col collapsed="false" customWidth="true" hidden="false" outlineLevel="0" max="20" min="20" style="0" width="10"/>
  </cols>
  <sheetData>
    <row r="1" customFormat="false" ht="25.5" hidden="false" customHeight="true" outlineLevel="0" collapsed="false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8" hidden="false" customHeight="true" outlineLevel="0" collapsed="false">
      <c r="A2" s="2" t="s">
        <v>167</v>
      </c>
      <c r="B2" s="2"/>
      <c r="C2" s="2"/>
      <c r="D2" s="2"/>
      <c r="E2" s="2"/>
      <c r="F2" s="2"/>
      <c r="G2" s="46" t="s">
        <v>168</v>
      </c>
      <c r="H2" s="47" t="s">
        <v>169</v>
      </c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6" t="s">
        <v>170</v>
      </c>
    </row>
    <row r="3" customFormat="false" ht="39.75" hidden="false" customHeight="true" outlineLevel="0" collapsed="false">
      <c r="A3" s="12" t="s">
        <v>11</v>
      </c>
      <c r="B3" s="13" t="s">
        <v>171</v>
      </c>
      <c r="C3" s="13" t="s">
        <v>12</v>
      </c>
      <c r="D3" s="13" t="s">
        <v>172</v>
      </c>
      <c r="E3" s="13" t="s">
        <v>14</v>
      </c>
      <c r="F3" s="13" t="s">
        <v>173</v>
      </c>
      <c r="G3" s="13" t="s">
        <v>168</v>
      </c>
      <c r="H3" s="12" t="s">
        <v>174</v>
      </c>
      <c r="I3" s="12" t="s">
        <v>175</v>
      </c>
      <c r="J3" s="12" t="s">
        <v>176</v>
      </c>
      <c r="K3" s="12" t="s">
        <v>177</v>
      </c>
      <c r="L3" s="12" t="s">
        <v>178</v>
      </c>
      <c r="M3" s="12" t="s">
        <v>179</v>
      </c>
      <c r="N3" s="12" t="s">
        <v>180</v>
      </c>
      <c r="O3" s="12" t="s">
        <v>181</v>
      </c>
      <c r="P3" s="12" t="s">
        <v>182</v>
      </c>
      <c r="Q3" s="12" t="s">
        <v>183</v>
      </c>
      <c r="R3" s="12" t="s">
        <v>184</v>
      </c>
      <c r="S3" s="12" t="s">
        <v>185</v>
      </c>
      <c r="T3" s="13" t="s">
        <v>170</v>
      </c>
    </row>
    <row r="4" customFormat="false" ht="16.5" hidden="false" customHeight="true" outlineLevel="0" collapsed="false">
      <c r="A4" s="16" t="n">
        <v>1</v>
      </c>
      <c r="B4" s="42" t="s">
        <v>186</v>
      </c>
      <c r="C4" s="16" t="s">
        <v>34</v>
      </c>
      <c r="D4" s="17" t="s">
        <v>35</v>
      </c>
      <c r="E4" s="17"/>
      <c r="F4" s="17" t="s">
        <v>187</v>
      </c>
      <c r="G4" s="21"/>
      <c r="H4" s="18" t="n">
        <f aca="false">IFERROR(ROUND($G4*0.063602,0),"")</f>
        <v>0</v>
      </c>
      <c r="I4" s="18" t="n">
        <f aca="false">IFERROR(ROUND($G4*0.104488,0),"")</f>
        <v>0</v>
      </c>
      <c r="J4" s="18" t="n">
        <f aca="false">IFERROR(ROUND($G4*0.083591,0),"")</f>
        <v>0</v>
      </c>
      <c r="K4" s="18" t="n">
        <f aca="false">IFERROR(ROUND($G4*0.081774,0),"")</f>
        <v>0</v>
      </c>
      <c r="L4" s="18" t="n">
        <f aca="false">IFERROR(ROUND($G4*0,0),"")</f>
        <v>0</v>
      </c>
      <c r="M4" s="18" t="n">
        <f aca="false">IFERROR(ROUND($G4*0.136289,0),"")</f>
        <v>0</v>
      </c>
      <c r="N4" s="18" t="n">
        <f aca="false">IFERROR(ROUND($G4*0.139924,0),"")</f>
        <v>0</v>
      </c>
      <c r="O4" s="18" t="n">
        <f aca="false">IFERROR(ROUND($G4*0.054516,0),"")</f>
        <v>0</v>
      </c>
      <c r="P4" s="18" t="n">
        <f aca="false">IFERROR(ROUND($G4*0.138106,0),"")</f>
        <v>0</v>
      </c>
      <c r="Q4" s="18" t="n">
        <f aca="false">IFERROR(ROUND($G4*0.008177,0),"")</f>
        <v>0</v>
      </c>
      <c r="R4" s="18" t="n">
        <f aca="false">IFERROR(ROUND($G4*0.087225,0),"")</f>
        <v>0</v>
      </c>
      <c r="S4" s="18" t="n">
        <f aca="false">IFERROR(ROUND($G4*0.102308,0),"")</f>
        <v>0</v>
      </c>
      <c r="T4" s="48" t="n">
        <f aca="false">IFERROR(SUM(H4:S4),"")</f>
        <v>0</v>
      </c>
    </row>
    <row r="5" customFormat="false" ht="16.5" hidden="false" customHeight="true" outlineLevel="0" collapsed="false">
      <c r="A5" s="29" t="n">
        <v>2</v>
      </c>
      <c r="B5" s="43" t="s">
        <v>186</v>
      </c>
      <c r="C5" s="29" t="s">
        <v>34</v>
      </c>
      <c r="D5" s="30" t="s">
        <v>40</v>
      </c>
      <c r="E5" s="30"/>
      <c r="F5" s="30" t="s">
        <v>187</v>
      </c>
      <c r="G5" s="21"/>
      <c r="H5" s="31" t="n">
        <f aca="false">IFERROR(ROUND($G5*0,0),"")</f>
        <v>0</v>
      </c>
      <c r="I5" s="31" t="n">
        <f aca="false">IFERROR(ROUND($G5*0.08959,0),"")</f>
        <v>0</v>
      </c>
      <c r="J5" s="31" t="n">
        <f aca="false">IFERROR(ROUND($G5*0.080631,0),"")</f>
        <v>0</v>
      </c>
      <c r="K5" s="31" t="n">
        <f aca="false">IFERROR(ROUND($G5*0,0),"")</f>
        <v>0</v>
      </c>
      <c r="L5" s="31" t="n">
        <f aca="false">IFERROR(ROUND($G5*0,0),"")</f>
        <v>0</v>
      </c>
      <c r="M5" s="31" t="n">
        <f aca="false">IFERROR(ROUND($G5*0.132593,0),"")</f>
        <v>0</v>
      </c>
      <c r="N5" s="31" t="n">
        <f aca="false">IFERROR(ROUND($G5*0.042107,0),"")</f>
        <v>0</v>
      </c>
      <c r="O5" s="31" t="n">
        <f aca="false">IFERROR(ROUND($G5*0.165741,0),"")</f>
        <v>0</v>
      </c>
      <c r="P5" s="31" t="n">
        <f aca="false">IFERROR(ROUND($G5*0.231321,0),"")</f>
        <v>0</v>
      </c>
      <c r="Q5" s="31" t="n">
        <f aca="false">IFERROR(ROUND($G5*0.155886,0),"")</f>
        <v>0</v>
      </c>
      <c r="R5" s="31" t="n">
        <f aca="false">IFERROR(ROUND($G5*0.044795,0),"")</f>
        <v>0</v>
      </c>
      <c r="S5" s="31" t="n">
        <f aca="false">IFERROR(ROUND($G5*0.057337,0),"")</f>
        <v>0</v>
      </c>
      <c r="T5" s="49" t="n">
        <f aca="false">IFERROR(SUM(H5:S5),"")</f>
        <v>0</v>
      </c>
    </row>
    <row r="6" customFormat="false" ht="16.5" hidden="false" customHeight="true" outlineLevel="0" collapsed="false">
      <c r="A6" s="16" t="n">
        <v>3</v>
      </c>
      <c r="B6" s="42" t="s">
        <v>186</v>
      </c>
      <c r="C6" s="16" t="s">
        <v>34</v>
      </c>
      <c r="D6" s="17" t="s">
        <v>43</v>
      </c>
      <c r="E6" s="17"/>
      <c r="F6" s="17" t="s">
        <v>187</v>
      </c>
      <c r="G6" s="21"/>
      <c r="H6" s="18" t="n">
        <f aca="false">IFERROR(ROUND($G6*0,0),"")</f>
        <v>0</v>
      </c>
      <c r="I6" s="18" t="n">
        <f aca="false">IFERROR(ROUND($G6*0.123426,0),"")</f>
        <v>0</v>
      </c>
      <c r="J6" s="18" t="n">
        <f aca="false">IFERROR(ROUND($G6*0.050378,0),"")</f>
        <v>0</v>
      </c>
      <c r="K6" s="18" t="n">
        <f aca="false">IFERROR(ROUND($G6*0,0),"")</f>
        <v>0</v>
      </c>
      <c r="L6" s="18" t="n">
        <f aca="false">IFERROR(ROUND($G6*0.100756,0),"")</f>
        <v>0</v>
      </c>
      <c r="M6" s="18" t="n">
        <f aca="false">IFERROR(ROUND($G6*0,0),"")</f>
        <v>0</v>
      </c>
      <c r="N6" s="18" t="n">
        <f aca="false">IFERROR(ROUND($G6*0.483627,0),"")</f>
        <v>0</v>
      </c>
      <c r="O6" s="18" t="n">
        <f aca="false">IFERROR(ROUND($G6*0,0),"")</f>
        <v>0</v>
      </c>
      <c r="P6" s="18" t="n">
        <f aca="false">IFERROR(ROUND($G6*0.206549,0),"")</f>
        <v>0</v>
      </c>
      <c r="Q6" s="18" t="n">
        <f aca="false">IFERROR(ROUND($G6*0.035264,0),"")</f>
        <v>0</v>
      </c>
      <c r="R6" s="18" t="n">
        <f aca="false">IFERROR(ROUND($G6*0,0),"")</f>
        <v>0</v>
      </c>
      <c r="S6" s="18" t="n">
        <f aca="false">IFERROR(ROUND($G6*0,0),"")</f>
        <v>0</v>
      </c>
      <c r="T6" s="48" t="n">
        <f aca="false">IFERROR(SUM(H6:S6),"")</f>
        <v>0</v>
      </c>
    </row>
    <row r="7" customFormat="false" ht="16.5" hidden="false" customHeight="true" outlineLevel="0" collapsed="false">
      <c r="A7" s="29" t="n">
        <v>4</v>
      </c>
      <c r="B7" s="43" t="s">
        <v>186</v>
      </c>
      <c r="C7" s="29" t="s">
        <v>34</v>
      </c>
      <c r="D7" s="30" t="s">
        <v>46</v>
      </c>
      <c r="E7" s="30"/>
      <c r="F7" s="30" t="s">
        <v>187</v>
      </c>
      <c r="G7" s="21"/>
      <c r="H7" s="31" t="n">
        <f aca="false">IFERROR(ROUND($G7*0,0),"")</f>
        <v>0</v>
      </c>
      <c r="I7" s="31" t="n">
        <f aca="false">IFERROR(ROUND($G7*0,0),"")</f>
        <v>0</v>
      </c>
      <c r="J7" s="31" t="n">
        <f aca="false">IFERROR(ROUND($G7*0.211268,0),"")</f>
        <v>0</v>
      </c>
      <c r="K7" s="31" t="n">
        <f aca="false">IFERROR(ROUND($G7*0.788732,0),"")</f>
        <v>0</v>
      </c>
      <c r="L7" s="31" t="n">
        <f aca="false">IFERROR(ROUND($G7*0,0),"")</f>
        <v>0</v>
      </c>
      <c r="M7" s="31" t="n">
        <f aca="false">IFERROR(ROUND($G7*0,0),"")</f>
        <v>0</v>
      </c>
      <c r="N7" s="31" t="n">
        <f aca="false">IFERROR(ROUND($G7*0,0),"")</f>
        <v>0</v>
      </c>
      <c r="O7" s="31" t="n">
        <f aca="false">IFERROR(ROUND($G7*0,0),"")</f>
        <v>0</v>
      </c>
      <c r="P7" s="31" t="n">
        <f aca="false">IFERROR(ROUND($G7*0,0),"")</f>
        <v>0</v>
      </c>
      <c r="Q7" s="31" t="n">
        <f aca="false">IFERROR(ROUND($G7*0,0),"")</f>
        <v>0</v>
      </c>
      <c r="R7" s="31" t="n">
        <f aca="false">IFERROR(ROUND($G7*0,0),"")</f>
        <v>0</v>
      </c>
      <c r="S7" s="31" t="n">
        <f aca="false">IFERROR(ROUND($G7*0,0),"")</f>
        <v>0</v>
      </c>
      <c r="T7" s="49" t="n">
        <f aca="false">IFERROR(SUM(H7:S7),"")</f>
        <v>0</v>
      </c>
    </row>
    <row r="8" customFormat="false" ht="16.5" hidden="false" customHeight="true" outlineLevel="0" collapsed="false">
      <c r="A8" s="16" t="n">
        <v>5</v>
      </c>
      <c r="B8" s="42" t="s">
        <v>186</v>
      </c>
      <c r="C8" s="16" t="s">
        <v>34</v>
      </c>
      <c r="D8" s="17" t="s">
        <v>50</v>
      </c>
      <c r="E8" s="17"/>
      <c r="F8" s="17" t="s">
        <v>187</v>
      </c>
      <c r="G8" s="21"/>
      <c r="H8" s="18" t="n">
        <f aca="false">IFERROR(ROUND($G8*0.055595,0),"")</f>
        <v>0</v>
      </c>
      <c r="I8" s="18" t="n">
        <f aca="false">IFERROR(ROUND($G8*0.060649,0),"")</f>
        <v>0</v>
      </c>
      <c r="J8" s="18" t="n">
        <f aca="false">IFERROR(ROUND($G8*0.008087,0),"")</f>
        <v>0</v>
      </c>
      <c r="K8" s="18" t="n">
        <f aca="false">IFERROR(ROUND($G8*0.019205,0),"")</f>
        <v>0</v>
      </c>
      <c r="L8" s="18" t="n">
        <f aca="false">IFERROR(ROUND($G8*0.010108,0),"")</f>
        <v>0</v>
      </c>
      <c r="M8" s="18" t="n">
        <f aca="false">IFERROR(ROUND($G8*0.017993,0),"")</f>
        <v>0</v>
      </c>
      <c r="N8" s="18" t="n">
        <f aca="false">IFERROR(ROUND($G8*0.197109,0),"")</f>
        <v>0</v>
      </c>
      <c r="O8" s="18" t="n">
        <f aca="false">IFERROR(ROUND($G8*0.316183,0),"")</f>
        <v>0</v>
      </c>
      <c r="P8" s="18" t="n">
        <f aca="false">IFERROR(ROUND($G8*0.066916,0),"")</f>
        <v>0</v>
      </c>
      <c r="Q8" s="18" t="n">
        <f aca="false">IFERROR(ROUND($G8*0.013646,0),"")</f>
        <v>0</v>
      </c>
      <c r="R8" s="18" t="n">
        <f aca="false">IFERROR(ROUND($G8*0.091984,0),"")</f>
        <v>0</v>
      </c>
      <c r="S8" s="18" t="n">
        <f aca="false">IFERROR(ROUND($G8*0.142525,0),"")</f>
        <v>0</v>
      </c>
      <c r="T8" s="48" t="n">
        <f aca="false">IFERROR(SUM(H8:S8),"")</f>
        <v>0</v>
      </c>
    </row>
    <row r="9" customFormat="false" ht="16.5" hidden="false" customHeight="true" outlineLevel="0" collapsed="false">
      <c r="A9" s="29" t="n">
        <v>6</v>
      </c>
      <c r="B9" s="43" t="s">
        <v>186</v>
      </c>
      <c r="C9" s="29" t="s">
        <v>34</v>
      </c>
      <c r="D9" s="30" t="s">
        <v>53</v>
      </c>
      <c r="E9" s="30"/>
      <c r="F9" s="30" t="s">
        <v>187</v>
      </c>
      <c r="G9" s="21"/>
      <c r="H9" s="31" t="n">
        <f aca="false">IFERROR(ROUND($G9*0.055108,0),"")</f>
        <v>0</v>
      </c>
      <c r="I9" s="31" t="n">
        <f aca="false">IFERROR(ROUND($G9*0.048451,0),"")</f>
        <v>0</v>
      </c>
      <c r="J9" s="31" t="n">
        <f aca="false">IFERROR(ROUND($G9*0.104783,0),"")</f>
        <v>0</v>
      </c>
      <c r="K9" s="31" t="n">
        <f aca="false">IFERROR(ROUND($G9*0.069481,0),"")</f>
        <v>0</v>
      </c>
      <c r="L9" s="31" t="n">
        <f aca="false">IFERROR(ROUND($G9*0.124055,0),"")</f>
        <v>0</v>
      </c>
      <c r="M9" s="31" t="n">
        <f aca="false">IFERROR(ROUND($G9*0.099658,0),"")</f>
        <v>0</v>
      </c>
      <c r="N9" s="31" t="n">
        <f aca="false">IFERROR(ROUND($G9*0.050937,0),"")</f>
        <v>0</v>
      </c>
      <c r="O9" s="31" t="n">
        <f aca="false">IFERROR(ROUND($G9*0.088234,0),"")</f>
        <v>0</v>
      </c>
      <c r="P9" s="31" t="n">
        <f aca="false">IFERROR(ROUND($G9*0.085925,0),"")</f>
        <v>0</v>
      </c>
      <c r="Q9" s="31" t="n">
        <f aca="false">IFERROR(ROUND($G9*0.080774,0),"")</f>
        <v>0</v>
      </c>
      <c r="R9" s="31" t="n">
        <f aca="false">IFERROR(ROUND($G9*0.089822,0),"")</f>
        <v>0</v>
      </c>
      <c r="S9" s="31" t="n">
        <f aca="false">IFERROR(ROUND($G9*0.102772,0),"")</f>
        <v>0</v>
      </c>
      <c r="T9" s="49" t="n">
        <f aca="false">IFERROR(SUM(H9:S9),"")</f>
        <v>0</v>
      </c>
    </row>
    <row r="10" customFormat="false" ht="16.5" hidden="false" customHeight="true" outlineLevel="0" collapsed="false">
      <c r="A10" s="16" t="n">
        <v>7</v>
      </c>
      <c r="B10" s="42" t="s">
        <v>186</v>
      </c>
      <c r="C10" s="16" t="s">
        <v>34</v>
      </c>
      <c r="D10" s="17" t="s">
        <v>58</v>
      </c>
      <c r="E10" s="17"/>
      <c r="F10" s="17" t="s">
        <v>187</v>
      </c>
      <c r="G10" s="21"/>
      <c r="H10" s="18" t="n">
        <f aca="false">IFERROR(ROUND($G10*0.030017,0),"")</f>
        <v>0</v>
      </c>
      <c r="I10" s="18" t="n">
        <f aca="false">IFERROR(ROUND($G10*0.069446,0),"")</f>
        <v>0</v>
      </c>
      <c r="J10" s="18" t="n">
        <f aca="false">IFERROR(ROUND($G10*0.032692,0),"")</f>
        <v>0</v>
      </c>
      <c r="K10" s="18" t="n">
        <f aca="false">IFERROR(ROUND($G10*0.068066,0),"")</f>
        <v>0</v>
      </c>
      <c r="L10" s="18" t="n">
        <f aca="false">IFERROR(ROUND($G10*0.087046,0),"")</f>
        <v>0</v>
      </c>
      <c r="M10" s="18" t="n">
        <f aca="false">IFERROR(ROUND($G10*0.061522,0),"")</f>
        <v>0</v>
      </c>
      <c r="N10" s="18" t="n">
        <f aca="false">IFERROR(ROUND($G10*0.04892,0),"")</f>
        <v>0</v>
      </c>
      <c r="O10" s="18" t="n">
        <f aca="false">IFERROR(ROUND($G10*0.073987,0),"")</f>
        <v>0</v>
      </c>
      <c r="P10" s="18" t="n">
        <f aca="false">IFERROR(ROUND($G10*0.126466,0),"")</f>
        <v>0</v>
      </c>
      <c r="Q10" s="18" t="n">
        <f aca="false">IFERROR(ROUND($G10*0.119987,0),"")</f>
        <v>0</v>
      </c>
      <c r="R10" s="18" t="n">
        <f aca="false">IFERROR(ROUND($G10*0.163949,0),"")</f>
        <v>0</v>
      </c>
      <c r="S10" s="18" t="n">
        <f aca="false">IFERROR(ROUND($G10*0.117904,0),"")</f>
        <v>0</v>
      </c>
      <c r="T10" s="48" t="n">
        <f aca="false">IFERROR(SUM(H10:S10),"")</f>
        <v>0</v>
      </c>
    </row>
    <row r="11" customFormat="false" ht="16.5" hidden="false" customHeight="true" outlineLevel="0" collapsed="false">
      <c r="A11" s="29" t="n">
        <v>8</v>
      </c>
      <c r="B11" s="43" t="s">
        <v>186</v>
      </c>
      <c r="C11" s="29" t="s">
        <v>34</v>
      </c>
      <c r="D11" s="30" t="s">
        <v>61</v>
      </c>
      <c r="E11" s="30"/>
      <c r="F11" s="30" t="s">
        <v>187</v>
      </c>
      <c r="G11" s="21"/>
      <c r="H11" s="31" t="n">
        <f aca="false">IFERROR(ROUND($G11*0,0),"")</f>
        <v>0</v>
      </c>
      <c r="I11" s="31" t="n">
        <f aca="false">IFERROR(ROUND($G11*0.085559,0),"")</f>
        <v>0</v>
      </c>
      <c r="J11" s="31" t="n">
        <f aca="false">IFERROR(ROUND($G11*0.000407,0),"")</f>
        <v>0</v>
      </c>
      <c r="K11" s="31" t="n">
        <f aca="false">IFERROR(ROUND($G11*0.065432,0),"")</f>
        <v>0</v>
      </c>
      <c r="L11" s="31" t="n">
        <f aca="false">IFERROR(ROUND($G11*0.028715,0),"")</f>
        <v>0</v>
      </c>
      <c r="M11" s="31" t="n">
        <f aca="false">IFERROR(ROUND($G11*0.23959,0),"")</f>
        <v>0</v>
      </c>
      <c r="N11" s="31" t="n">
        <f aca="false">IFERROR(ROUND($G11*0.068162,0),"")</f>
        <v>0</v>
      </c>
      <c r="O11" s="31" t="n">
        <f aca="false">IFERROR(ROUND($G11*0.102916,0),"")</f>
        <v>0</v>
      </c>
      <c r="P11" s="31" t="n">
        <f aca="false">IFERROR(ROUND($G11*0.020819,0),"")</f>
        <v>0</v>
      </c>
      <c r="Q11" s="31" t="n">
        <f aca="false">IFERROR(ROUND($G11*0.016867,0),"")</f>
        <v>0</v>
      </c>
      <c r="R11" s="31" t="n">
        <f aca="false">IFERROR(ROUND($G11*0.095077,0),"")</f>
        <v>0</v>
      </c>
      <c r="S11" s="31" t="n">
        <f aca="false">IFERROR(ROUND($G11*0.276454,0),"")</f>
        <v>0</v>
      </c>
      <c r="T11" s="49" t="n">
        <f aca="false">IFERROR(SUM(H11:S11),"")</f>
        <v>0</v>
      </c>
    </row>
    <row r="12" customFormat="false" ht="16.5" hidden="false" customHeight="true" outlineLevel="0" collapsed="false">
      <c r="A12" s="16" t="n">
        <v>9</v>
      </c>
      <c r="B12" s="42" t="s">
        <v>186</v>
      </c>
      <c r="C12" s="16" t="s">
        <v>34</v>
      </c>
      <c r="D12" s="17" t="s">
        <v>64</v>
      </c>
      <c r="E12" s="17"/>
      <c r="F12" s="17" t="s">
        <v>187</v>
      </c>
      <c r="G12" s="21"/>
      <c r="H12" s="18" t="n">
        <f aca="false">IFERROR(ROUND($G12*0.000514,0),"")</f>
        <v>0</v>
      </c>
      <c r="I12" s="18" t="n">
        <f aca="false">IFERROR(ROUND($G12*0.024478,0),"")</f>
        <v>0</v>
      </c>
      <c r="J12" s="18" t="n">
        <f aca="false">IFERROR(ROUND($G12*0.040442,0),"")</f>
        <v>0</v>
      </c>
      <c r="K12" s="18" t="n">
        <f aca="false">IFERROR(ROUND($G12*0.001242,0),"")</f>
        <v>0</v>
      </c>
      <c r="L12" s="18" t="n">
        <f aca="false">IFERROR(ROUND($G12*0.00133,0),"")</f>
        <v>0</v>
      </c>
      <c r="M12" s="18" t="n">
        <f aca="false">IFERROR(ROUND($G12*0.101389,0),"")</f>
        <v>0</v>
      </c>
      <c r="N12" s="18" t="n">
        <f aca="false">IFERROR(ROUND($G12*0.326374,0),"")</f>
        <v>0</v>
      </c>
      <c r="O12" s="18" t="n">
        <f aca="false">IFERROR(ROUND($G12*0.032708,0),"")</f>
        <v>0</v>
      </c>
      <c r="P12" s="18" t="n">
        <f aca="false">IFERROR(ROUND($G12*0.038473,0),"")</f>
        <v>0</v>
      </c>
      <c r="Q12" s="18" t="n">
        <f aca="false">IFERROR(ROUND($G12*0.081487,0),"")</f>
        <v>0</v>
      </c>
      <c r="R12" s="18" t="n">
        <f aca="false">IFERROR(ROUND($G12*0.079997,0),"")</f>
        <v>0</v>
      </c>
      <c r="S12" s="18" t="n">
        <f aca="false">IFERROR(ROUND($G12*0.271565,0),"")</f>
        <v>0</v>
      </c>
      <c r="T12" s="48" t="n">
        <f aca="false">IFERROR(SUM(H12:S12),"")</f>
        <v>0</v>
      </c>
    </row>
    <row r="13" customFormat="false" ht="16.5" hidden="false" customHeight="true" outlineLevel="0" collapsed="false">
      <c r="A13" s="29" t="n">
        <v>10</v>
      </c>
      <c r="B13" s="43" t="s">
        <v>186</v>
      </c>
      <c r="C13" s="29" t="s">
        <v>34</v>
      </c>
      <c r="D13" s="30" t="s">
        <v>67</v>
      </c>
      <c r="E13" s="30"/>
      <c r="F13" s="30" t="s">
        <v>187</v>
      </c>
      <c r="G13" s="21"/>
      <c r="H13" s="31" t="n">
        <f aca="false">IFERROR(ROUND($G13*0,0),"")</f>
        <v>0</v>
      </c>
      <c r="I13" s="31" t="n">
        <f aca="false">IFERROR(ROUND($G13*0.468966,0),"")</f>
        <v>0</v>
      </c>
      <c r="J13" s="31" t="n">
        <f aca="false">IFERROR(ROUND($G13*0,0),"")</f>
        <v>0</v>
      </c>
      <c r="K13" s="31" t="n">
        <f aca="false">IFERROR(ROUND($G13*0,0),"")</f>
        <v>0</v>
      </c>
      <c r="L13" s="31" t="n">
        <f aca="false">IFERROR(ROUND($G13*0.206621,0),"")</f>
        <v>0</v>
      </c>
      <c r="M13" s="31" t="n">
        <f aca="false">IFERROR(ROUND($G13*0,0),"")</f>
        <v>0</v>
      </c>
      <c r="N13" s="31" t="n">
        <f aca="false">IFERROR(ROUND($G13*0.033103,0),"")</f>
        <v>0</v>
      </c>
      <c r="O13" s="31" t="n">
        <f aca="false">IFERROR(ROUND($G13*0,0),"")</f>
        <v>0</v>
      </c>
      <c r="P13" s="31" t="n">
        <f aca="false">IFERROR(ROUND($G13*0.192,0),"")</f>
        <v>0</v>
      </c>
      <c r="Q13" s="31" t="n">
        <f aca="false">IFERROR(ROUND($G13*0,0),"")</f>
        <v>0</v>
      </c>
      <c r="R13" s="31" t="n">
        <f aca="false">IFERROR(ROUND($G13*0,0),"")</f>
        <v>0</v>
      </c>
      <c r="S13" s="31" t="n">
        <f aca="false">IFERROR(ROUND($G13*0.09931,0),"")</f>
        <v>0</v>
      </c>
      <c r="T13" s="49" t="n">
        <f aca="false">IFERROR(SUM(H13:S13),"")</f>
        <v>0</v>
      </c>
    </row>
    <row r="14" customFormat="false" ht="16.5" hidden="false" customHeight="true" outlineLevel="0" collapsed="false">
      <c r="A14" s="16" t="n">
        <v>11</v>
      </c>
      <c r="B14" s="42" t="s">
        <v>186</v>
      </c>
      <c r="C14" s="16" t="s">
        <v>34</v>
      </c>
      <c r="D14" s="17" t="s">
        <v>70</v>
      </c>
      <c r="E14" s="17"/>
      <c r="F14" s="17" t="s">
        <v>187</v>
      </c>
      <c r="G14" s="21"/>
      <c r="H14" s="18" t="n">
        <f aca="false">IFERROR(ROUND($G14*0.091074,0),"")</f>
        <v>0</v>
      </c>
      <c r="I14" s="18" t="n">
        <f aca="false">IFERROR(ROUND($G14*0.075618,0),"")</f>
        <v>0</v>
      </c>
      <c r="J14" s="18" t="n">
        <f aca="false">IFERROR(ROUND($G14*0.214551,0),"")</f>
        <v>0</v>
      </c>
      <c r="K14" s="18" t="n">
        <f aca="false">IFERROR(ROUND($G14*0.142666,0),"")</f>
        <v>0</v>
      </c>
      <c r="L14" s="18" t="n">
        <f aca="false">IFERROR(ROUND($G14*0.133583,0),"")</f>
        <v>0</v>
      </c>
      <c r="M14" s="18" t="n">
        <f aca="false">IFERROR(ROUND($G14*0.079143,0),"")</f>
        <v>0</v>
      </c>
      <c r="N14" s="18" t="n">
        <f aca="false">IFERROR(ROUND($G14*0.020598,0),"")</f>
        <v>0</v>
      </c>
      <c r="O14" s="18" t="n">
        <f aca="false">IFERROR(ROUND($G14*0.026957,0),"")</f>
        <v>0</v>
      </c>
      <c r="P14" s="18" t="n">
        <f aca="false">IFERROR(ROUND($G14*0.004645,0),"")</f>
        <v>0</v>
      </c>
      <c r="Q14" s="18" t="n">
        <f aca="false">IFERROR(ROUND($G14*0.068015,0),"")</f>
        <v>0</v>
      </c>
      <c r="R14" s="18" t="n">
        <f aca="false">IFERROR(ROUND($G14*0.105409,0),"")</f>
        <v>0</v>
      </c>
      <c r="S14" s="18" t="n">
        <f aca="false">IFERROR(ROUND($G14*0.03774,0),"")</f>
        <v>0</v>
      </c>
      <c r="T14" s="48" t="n">
        <f aca="false">IFERROR(SUM(H14:S14),"")</f>
        <v>0</v>
      </c>
    </row>
    <row r="15" customFormat="false" ht="16.5" hidden="false" customHeight="true" outlineLevel="0" collapsed="false">
      <c r="A15" s="29" t="n">
        <v>12</v>
      </c>
      <c r="B15" s="43" t="s">
        <v>186</v>
      </c>
      <c r="C15" s="29" t="s">
        <v>34</v>
      </c>
      <c r="D15" s="30" t="s">
        <v>73</v>
      </c>
      <c r="E15" s="30"/>
      <c r="F15" s="30" t="s">
        <v>187</v>
      </c>
      <c r="G15" s="21"/>
      <c r="H15" s="31" t="n">
        <f aca="false">IFERROR(ROUND($G15*0,0),"")</f>
        <v>0</v>
      </c>
      <c r="I15" s="31" t="n">
        <f aca="false">IFERROR(ROUND($G15*0.016035,0),"")</f>
        <v>0</v>
      </c>
      <c r="J15" s="31" t="n">
        <f aca="false">IFERROR(ROUND($G15*0.182216,0),"")</f>
        <v>0</v>
      </c>
      <c r="K15" s="31" t="n">
        <f aca="false">IFERROR(ROUND($G15*0,0),"")</f>
        <v>0</v>
      </c>
      <c r="L15" s="31" t="n">
        <f aca="false">IFERROR(ROUND($G15*0,0),"")</f>
        <v>0</v>
      </c>
      <c r="M15" s="31" t="n">
        <f aca="false">IFERROR(ROUND($G15*0,0),"")</f>
        <v>0</v>
      </c>
      <c r="N15" s="31" t="n">
        <f aca="false">IFERROR(ROUND($G15*0.145773,0),"")</f>
        <v>0</v>
      </c>
      <c r="O15" s="31" t="n">
        <f aca="false">IFERROR(ROUND($G15*0,0),"")</f>
        <v>0</v>
      </c>
      <c r="P15" s="31" t="n">
        <f aca="false">IFERROR(ROUND($G15*0,0),"")</f>
        <v>0</v>
      </c>
      <c r="Q15" s="31" t="n">
        <f aca="false">IFERROR(ROUND($G15*0,0),"")</f>
        <v>0</v>
      </c>
      <c r="R15" s="31" t="n">
        <f aca="false">IFERROR(ROUND($G15*0,0),"")</f>
        <v>0</v>
      </c>
      <c r="S15" s="31" t="n">
        <f aca="false">IFERROR(ROUND($G15*0.655977,0),"")</f>
        <v>0</v>
      </c>
      <c r="T15" s="49" t="n">
        <f aca="false">IFERROR(SUM(H15:S15),"")</f>
        <v>0</v>
      </c>
    </row>
    <row r="16" customFormat="false" ht="16.5" hidden="false" customHeight="true" outlineLevel="0" collapsed="false">
      <c r="A16" s="16" t="n">
        <v>13</v>
      </c>
      <c r="B16" s="42" t="s">
        <v>186</v>
      </c>
      <c r="C16" s="16" t="s">
        <v>34</v>
      </c>
      <c r="D16" s="17" t="s">
        <v>76</v>
      </c>
      <c r="E16" s="17"/>
      <c r="F16" s="17" t="s">
        <v>187</v>
      </c>
      <c r="G16" s="21"/>
      <c r="H16" s="18" t="n">
        <f aca="false">IFERROR(ROUND($G16*0.073522,0),"")</f>
        <v>0</v>
      </c>
      <c r="I16" s="18" t="n">
        <f aca="false">IFERROR(ROUND($G16*0.116809,0),"")</f>
        <v>0</v>
      </c>
      <c r="J16" s="18" t="n">
        <f aca="false">IFERROR(ROUND($G16*0.094679,0),"")</f>
        <v>0</v>
      </c>
      <c r="K16" s="18" t="n">
        <f aca="false">IFERROR(ROUND($G16*0.065173,0),"")</f>
        <v>0</v>
      </c>
      <c r="L16" s="18" t="n">
        <f aca="false">IFERROR(ROUND($G16*0.370773,0),"")</f>
        <v>0</v>
      </c>
      <c r="M16" s="18" t="n">
        <f aca="false">IFERROR(ROUND($G16*0.024318,0),"")</f>
        <v>0</v>
      </c>
      <c r="N16" s="18" t="n">
        <f aca="false">IFERROR(ROUND($G16*0.069947,0),"")</f>
        <v>0</v>
      </c>
      <c r="O16" s="18" t="n">
        <f aca="false">IFERROR(ROUND($G16*0.004458,0),"")</f>
        <v>0</v>
      </c>
      <c r="P16" s="18" t="n">
        <f aca="false">IFERROR(ROUND($G16*0.035262,0),"")</f>
        <v>0</v>
      </c>
      <c r="Q16" s="18" t="n">
        <f aca="false">IFERROR(ROUND($G16*0.077575,0),"")</f>
        <v>0</v>
      </c>
      <c r="R16" s="18" t="n">
        <f aca="false">IFERROR(ROUND($G16*0.057594,0),"")</f>
        <v>0</v>
      </c>
      <c r="S16" s="18" t="n">
        <f aca="false">IFERROR(ROUND($G16*0.009889,0),"")</f>
        <v>0</v>
      </c>
      <c r="T16" s="48" t="n">
        <f aca="false">IFERROR(SUM(H16:S16),"")</f>
        <v>0</v>
      </c>
    </row>
    <row r="17" customFormat="false" ht="16.5" hidden="false" customHeight="true" outlineLevel="0" collapsed="false">
      <c r="A17" s="29" t="n">
        <v>14</v>
      </c>
      <c r="B17" s="43" t="s">
        <v>186</v>
      </c>
      <c r="C17" s="29" t="s">
        <v>34</v>
      </c>
      <c r="D17" s="30" t="s">
        <v>79</v>
      </c>
      <c r="E17" s="30"/>
      <c r="F17" s="30" t="s">
        <v>187</v>
      </c>
      <c r="G17" s="21"/>
      <c r="H17" s="31" t="n">
        <f aca="false">IFERROR(ROUND($G17*0.005874,0),"")</f>
        <v>0</v>
      </c>
      <c r="I17" s="31" t="n">
        <f aca="false">IFERROR(ROUND($G17*0,0),"")</f>
        <v>0</v>
      </c>
      <c r="J17" s="31" t="n">
        <f aca="false">IFERROR(ROUND($G17*0.526356,0),"")</f>
        <v>0</v>
      </c>
      <c r="K17" s="31" t="n">
        <f aca="false">IFERROR(ROUND($G17*0.057969,0),"")</f>
        <v>0</v>
      </c>
      <c r="L17" s="31" t="n">
        <f aca="false">IFERROR(ROUND($G17*0.077292,0),"")</f>
        <v>0</v>
      </c>
      <c r="M17" s="31" t="n">
        <f aca="false">IFERROR(ROUND($G17*0,0),"")</f>
        <v>0</v>
      </c>
      <c r="N17" s="31" t="n">
        <f aca="false">IFERROR(ROUND($G17*0,0),"")</f>
        <v>0</v>
      </c>
      <c r="O17" s="31" t="n">
        <f aca="false">IFERROR(ROUND($G17*0,0),"")</f>
        <v>0</v>
      </c>
      <c r="P17" s="31" t="n">
        <f aca="false">IFERROR(ROUND($G17*0.282115,0),"")</f>
        <v>0</v>
      </c>
      <c r="Q17" s="31" t="n">
        <f aca="false">IFERROR(ROUND($G17*0.004019,0),"")</f>
        <v>0</v>
      </c>
      <c r="R17" s="31" t="n">
        <f aca="false">IFERROR(ROUND($G17*0.046375,0),"")</f>
        <v>0</v>
      </c>
      <c r="S17" s="31" t="n">
        <f aca="false">IFERROR(ROUND($G17*0,0),"")</f>
        <v>0</v>
      </c>
      <c r="T17" s="49" t="n">
        <f aca="false">IFERROR(SUM(H17:S17),"")</f>
        <v>0</v>
      </c>
    </row>
    <row r="18" customFormat="false" ht="16.5" hidden="false" customHeight="true" outlineLevel="0" collapsed="false">
      <c r="A18" s="16" t="n">
        <v>15</v>
      </c>
      <c r="B18" s="42" t="s">
        <v>186</v>
      </c>
      <c r="C18" s="16" t="s">
        <v>34</v>
      </c>
      <c r="D18" s="17" t="s">
        <v>83</v>
      </c>
      <c r="E18" s="17"/>
      <c r="F18" s="17" t="s">
        <v>187</v>
      </c>
      <c r="G18" s="21"/>
      <c r="H18" s="18" t="n">
        <f aca="false">IFERROR(ROUND($G18*0.094827,0),"")</f>
        <v>0</v>
      </c>
      <c r="I18" s="18" t="n">
        <f aca="false">IFERROR(ROUND($G18*0.089234,0),"")</f>
        <v>0</v>
      </c>
      <c r="J18" s="18" t="n">
        <f aca="false">IFERROR(ROUND($G18*0.033672,0),"")</f>
        <v>0</v>
      </c>
      <c r="K18" s="18" t="n">
        <f aca="false">IFERROR(ROUND($G18*0.113547,0),"")</f>
        <v>0</v>
      </c>
      <c r="L18" s="18" t="n">
        <f aca="false">IFERROR(ROUND($G18*0.09363,0),"")</f>
        <v>0</v>
      </c>
      <c r="M18" s="18" t="n">
        <f aca="false">IFERROR(ROUND($G18*0.121471,0),"")</f>
        <v>0</v>
      </c>
      <c r="N18" s="18" t="n">
        <f aca="false">IFERROR(ROUND($G18*0.06872,0),"")</f>
        <v>0</v>
      </c>
      <c r="O18" s="18" t="n">
        <f aca="false">IFERROR(ROUND($G18*0.087141,0),"")</f>
        <v>0</v>
      </c>
      <c r="P18" s="18" t="n">
        <f aca="false">IFERROR(ROUND($G18*0.028559,0),"")</f>
        <v>0</v>
      </c>
      <c r="Q18" s="18" t="n">
        <f aca="false">IFERROR(ROUND($G18*0.11558,0),"")</f>
        <v>0</v>
      </c>
      <c r="R18" s="18" t="n">
        <f aca="false">IFERROR(ROUND($G18*0.070604,0),"")</f>
        <v>0</v>
      </c>
      <c r="S18" s="18" t="n">
        <f aca="false">IFERROR(ROUND($G18*0.083014,0),"")</f>
        <v>0</v>
      </c>
      <c r="T18" s="48" t="n">
        <f aca="false">IFERROR(SUM(H18:S18),"")</f>
        <v>0</v>
      </c>
    </row>
    <row r="19" customFormat="false" ht="16.5" hidden="false" customHeight="true" outlineLevel="0" collapsed="false">
      <c r="A19" s="29" t="n">
        <v>16</v>
      </c>
      <c r="B19" s="43" t="s">
        <v>186</v>
      </c>
      <c r="C19" s="29" t="s">
        <v>34</v>
      </c>
      <c r="D19" s="30" t="s">
        <v>86</v>
      </c>
      <c r="E19" s="30"/>
      <c r="F19" s="30" t="s">
        <v>187</v>
      </c>
      <c r="G19" s="21"/>
      <c r="H19" s="31" t="n">
        <f aca="false">IFERROR(ROUND($G19*0.376812,0),"")</f>
        <v>0</v>
      </c>
      <c r="I19" s="31" t="n">
        <f aca="false">IFERROR(ROUND($G19*0.594203,0),"")</f>
        <v>0</v>
      </c>
      <c r="J19" s="31" t="n">
        <f aca="false">IFERROR(ROUND($G19*0.028986,0),"")</f>
        <v>0</v>
      </c>
      <c r="K19" s="31" t="n">
        <f aca="false">IFERROR(ROUND($G19*0,0),"")</f>
        <v>0</v>
      </c>
      <c r="L19" s="31" t="n">
        <f aca="false">IFERROR(ROUND($G19*0,0),"")</f>
        <v>0</v>
      </c>
      <c r="M19" s="31" t="n">
        <f aca="false">IFERROR(ROUND($G19*0,0),"")</f>
        <v>0</v>
      </c>
      <c r="N19" s="31" t="n">
        <f aca="false">IFERROR(ROUND($G19*0,0),"")</f>
        <v>0</v>
      </c>
      <c r="O19" s="31" t="n">
        <f aca="false">IFERROR(ROUND($G19*0,0),"")</f>
        <v>0</v>
      </c>
      <c r="P19" s="31" t="n">
        <f aca="false">IFERROR(ROUND($G19*0,0),"")</f>
        <v>0</v>
      </c>
      <c r="Q19" s="31" t="n">
        <f aca="false">IFERROR(ROUND($G19*0,0),"")</f>
        <v>0</v>
      </c>
      <c r="R19" s="31" t="n">
        <f aca="false">IFERROR(ROUND($G19*0,0),"")</f>
        <v>0</v>
      </c>
      <c r="S19" s="31" t="n">
        <f aca="false">IFERROR(ROUND($G19*0,0),"")</f>
        <v>0</v>
      </c>
      <c r="T19" s="49" t="n">
        <f aca="false">IFERROR(SUM(H19:S19),"")</f>
        <v>0</v>
      </c>
    </row>
    <row r="20" customFormat="false" ht="16.5" hidden="false" customHeight="true" outlineLevel="0" collapsed="false">
      <c r="A20" s="16" t="n">
        <v>17</v>
      </c>
      <c r="B20" s="42" t="s">
        <v>186</v>
      </c>
      <c r="C20" s="16" t="s">
        <v>34</v>
      </c>
      <c r="D20" s="17" t="s">
        <v>88</v>
      </c>
      <c r="E20" s="17"/>
      <c r="F20" s="17" t="s">
        <v>187</v>
      </c>
      <c r="G20" s="21"/>
      <c r="H20" s="18" t="n">
        <f aca="false">IFERROR(ROUND($G20*0.016393,0),"")</f>
        <v>0</v>
      </c>
      <c r="I20" s="18" t="n">
        <f aca="false">IFERROR(ROUND($G20*0.245902,0),"")</f>
        <v>0</v>
      </c>
      <c r="J20" s="18" t="n">
        <f aca="false">IFERROR(ROUND($G20*0,0),"")</f>
        <v>0</v>
      </c>
      <c r="K20" s="18" t="n">
        <f aca="false">IFERROR(ROUND($G20*0.02459,0),"")</f>
        <v>0</v>
      </c>
      <c r="L20" s="18" t="n">
        <f aca="false">IFERROR(ROUND($G20*0,0),"")</f>
        <v>0</v>
      </c>
      <c r="M20" s="18" t="n">
        <f aca="false">IFERROR(ROUND($G20*0,0),"")</f>
        <v>0</v>
      </c>
      <c r="N20" s="18" t="n">
        <f aca="false">IFERROR(ROUND($G20*0,0),"")</f>
        <v>0</v>
      </c>
      <c r="O20" s="18" t="n">
        <f aca="false">IFERROR(ROUND($G20*0.65847,0),"")</f>
        <v>0</v>
      </c>
      <c r="P20" s="18" t="n">
        <f aca="false">IFERROR(ROUND($G20*0,0),"")</f>
        <v>0</v>
      </c>
      <c r="Q20" s="18" t="n">
        <f aca="false">IFERROR(ROUND($G20*0.054645,0),"")</f>
        <v>0</v>
      </c>
      <c r="R20" s="18" t="n">
        <f aca="false">IFERROR(ROUND($G20*0,0),"")</f>
        <v>0</v>
      </c>
      <c r="S20" s="18" t="n">
        <f aca="false">IFERROR(ROUND($G20*0,0),"")</f>
        <v>0</v>
      </c>
      <c r="T20" s="48" t="n">
        <f aca="false">IFERROR(SUM(H20:S20),"")</f>
        <v>0</v>
      </c>
    </row>
    <row r="21" customFormat="false" ht="16.5" hidden="false" customHeight="true" outlineLevel="0" collapsed="false">
      <c r="A21" s="29" t="n">
        <v>18</v>
      </c>
      <c r="B21" s="43" t="s">
        <v>186</v>
      </c>
      <c r="C21" s="29" t="s">
        <v>34</v>
      </c>
      <c r="D21" s="30" t="s">
        <v>89</v>
      </c>
      <c r="E21" s="30"/>
      <c r="F21" s="30" t="s">
        <v>187</v>
      </c>
      <c r="G21" s="21"/>
      <c r="H21" s="31" t="n">
        <f aca="false">IFERROR(ROUND($G21*0.111857,0),"")</f>
        <v>0</v>
      </c>
      <c r="I21" s="31" t="n">
        <f aca="false">IFERROR(ROUND($G21*0.123043,0),"")</f>
        <v>0</v>
      </c>
      <c r="J21" s="31" t="n">
        <f aca="false">IFERROR(ROUND($G21*0,0),"")</f>
        <v>0</v>
      </c>
      <c r="K21" s="31" t="n">
        <f aca="false">IFERROR(ROUND($G21*0,0),"")</f>
        <v>0</v>
      </c>
      <c r="L21" s="31" t="n">
        <f aca="false">IFERROR(ROUND($G21*0.402685,0),"")</f>
        <v>0</v>
      </c>
      <c r="M21" s="31" t="n">
        <f aca="false">IFERROR(ROUND($G21*0.0783,0),"")</f>
        <v>0</v>
      </c>
      <c r="N21" s="31" t="n">
        <f aca="false">IFERROR(ROUND($G21*0.0783,0),"")</f>
        <v>0</v>
      </c>
      <c r="O21" s="31" t="n">
        <f aca="false">IFERROR(ROUND($G21*0.178971,0),"")</f>
        <v>0</v>
      </c>
      <c r="P21" s="31" t="n">
        <f aca="false">IFERROR(ROUND($G21*0,0),"")</f>
        <v>0</v>
      </c>
      <c r="Q21" s="31" t="n">
        <f aca="false">IFERROR(ROUND($G21*0.026846,0),"")</f>
        <v>0</v>
      </c>
      <c r="R21" s="31" t="n">
        <f aca="false">IFERROR(ROUND($G21*0,0),"")</f>
        <v>0</v>
      </c>
      <c r="S21" s="31" t="n">
        <f aca="false">IFERROR(ROUND($G21*0,0),"")</f>
        <v>0</v>
      </c>
      <c r="T21" s="49" t="n">
        <f aca="false">IFERROR(SUM(H21:S21),"")</f>
        <v>0</v>
      </c>
    </row>
    <row r="22" customFormat="false" ht="16.5" hidden="false" customHeight="true" outlineLevel="0" collapsed="false">
      <c r="A22" s="16" t="n">
        <v>19</v>
      </c>
      <c r="B22" s="42" t="s">
        <v>186</v>
      </c>
      <c r="C22" s="16" t="s">
        <v>34</v>
      </c>
      <c r="D22" s="17" t="s">
        <v>90</v>
      </c>
      <c r="E22" s="17"/>
      <c r="F22" s="17" t="s">
        <v>187</v>
      </c>
      <c r="G22" s="21"/>
      <c r="H22" s="18" t="n">
        <f aca="false">IFERROR(ROUND($G22*0.143093,0),"")</f>
        <v>0</v>
      </c>
      <c r="I22" s="18" t="n">
        <f aca="false">IFERROR(ROUND($G22*0.168224,0),"")</f>
        <v>0</v>
      </c>
      <c r="J22" s="18" t="n">
        <f aca="false">IFERROR(ROUND($G22*0.143643,0),"")</f>
        <v>0</v>
      </c>
      <c r="K22" s="18" t="n">
        <f aca="false">IFERROR(ROUND($G22*0.051441,0),"")</f>
        <v>0</v>
      </c>
      <c r="L22" s="18" t="n">
        <f aca="false">IFERROR(ROUND($G22*0.098563,0),"")</f>
        <v>0</v>
      </c>
      <c r="M22" s="18" t="n">
        <f aca="false">IFERROR(ROUND($G22*0.024817,0),"")</f>
        <v>0</v>
      </c>
      <c r="N22" s="18" t="n">
        <f aca="false">IFERROR(ROUND($G22*0.098877,0),"")</f>
        <v>0</v>
      </c>
      <c r="O22" s="18" t="n">
        <f aca="false">IFERROR(ROUND($G22*0.050263,0),"")</f>
        <v>0</v>
      </c>
      <c r="P22" s="18" t="n">
        <f aca="false">IFERROR(ROUND($G22*0.03597,0),"")</f>
        <v>0</v>
      </c>
      <c r="Q22" s="18" t="n">
        <f aca="false">IFERROR(ROUND($G22*0.07508,0),"")</f>
        <v>0</v>
      </c>
      <c r="R22" s="18" t="n">
        <f aca="false">IFERROR(ROUND($G22*0.046336,0),"")</f>
        <v>0</v>
      </c>
      <c r="S22" s="18" t="n">
        <f aca="false">IFERROR(ROUND($G22*0.063693,0),"")</f>
        <v>0</v>
      </c>
      <c r="T22" s="48" t="n">
        <f aca="false">IFERROR(SUM(H22:S22),"")</f>
        <v>0</v>
      </c>
    </row>
    <row r="23" customFormat="false" ht="16.5" hidden="false" customHeight="true" outlineLevel="0" collapsed="false">
      <c r="A23" s="29" t="n">
        <v>20</v>
      </c>
      <c r="B23" s="43" t="s">
        <v>186</v>
      </c>
      <c r="C23" s="29" t="s">
        <v>34</v>
      </c>
      <c r="D23" s="30" t="s">
        <v>93</v>
      </c>
      <c r="E23" s="30"/>
      <c r="F23" s="30" t="s">
        <v>187</v>
      </c>
      <c r="G23" s="21"/>
      <c r="H23" s="31" t="n">
        <f aca="false">IFERROR(ROUND($G23*0,0),"")</f>
        <v>0</v>
      </c>
      <c r="I23" s="31" t="n">
        <f aca="false">IFERROR(ROUND($G23*0,0),"")</f>
        <v>0</v>
      </c>
      <c r="J23" s="31" t="n">
        <f aca="false">IFERROR(ROUND($G23*0,0),"")</f>
        <v>0</v>
      </c>
      <c r="K23" s="31" t="n">
        <f aca="false">IFERROR(ROUND($G23*0,0),"")</f>
        <v>0</v>
      </c>
      <c r="L23" s="31" t="n">
        <f aca="false">IFERROR(ROUND($G23*0,0),"")</f>
        <v>0</v>
      </c>
      <c r="M23" s="31" t="n">
        <f aca="false">IFERROR(ROUND($G23*0,0),"")</f>
        <v>0</v>
      </c>
      <c r="N23" s="31" t="n">
        <f aca="false">IFERROR(ROUND($G23*0,0),"")</f>
        <v>0</v>
      </c>
      <c r="O23" s="31" t="n">
        <f aca="false">IFERROR(ROUND($G23*0.631579,0),"")</f>
        <v>0</v>
      </c>
      <c r="P23" s="31" t="n">
        <f aca="false">IFERROR(ROUND($G23*0,0),"")</f>
        <v>0</v>
      </c>
      <c r="Q23" s="31" t="n">
        <f aca="false">IFERROR(ROUND($G23*0.368421,0),"")</f>
        <v>0</v>
      </c>
      <c r="R23" s="31" t="n">
        <f aca="false">IFERROR(ROUND($G23*0,0),"")</f>
        <v>0</v>
      </c>
      <c r="S23" s="31" t="n">
        <f aca="false">IFERROR(ROUND($G23*0,0),"")</f>
        <v>0</v>
      </c>
      <c r="T23" s="49" t="n">
        <f aca="false">IFERROR(SUM(H23:S23),"")</f>
        <v>0</v>
      </c>
    </row>
    <row r="24" customFormat="false" ht="16.5" hidden="false" customHeight="true" outlineLevel="0" collapsed="false">
      <c r="A24" s="16" t="n">
        <v>21</v>
      </c>
      <c r="B24" s="42" t="s">
        <v>186</v>
      </c>
      <c r="C24" s="16" t="s">
        <v>34</v>
      </c>
      <c r="D24" s="17" t="s">
        <v>94</v>
      </c>
      <c r="E24" s="17"/>
      <c r="F24" s="17" t="s">
        <v>187</v>
      </c>
      <c r="G24" s="21"/>
      <c r="H24" s="18" t="n">
        <f aca="false">IFERROR(ROUND($G24*0.113701,0),"")</f>
        <v>0</v>
      </c>
      <c r="I24" s="18" t="n">
        <f aca="false">IFERROR(ROUND($G24*0.1005,0),"")</f>
        <v>0</v>
      </c>
      <c r="J24" s="18" t="n">
        <f aca="false">IFERROR(ROUND($G24*0.085602,0),"")</f>
        <v>0</v>
      </c>
      <c r="K24" s="18" t="n">
        <f aca="false">IFERROR(ROUND($G24*0.106605,0),"")</f>
        <v>0</v>
      </c>
      <c r="L24" s="18" t="n">
        <f aca="false">IFERROR(ROUND($G24*0.055797,0),"")</f>
        <v>0</v>
      </c>
      <c r="M24" s="18" t="n">
        <f aca="false">IFERROR(ROUND($G24*0.07624,0),"")</f>
        <v>0</v>
      </c>
      <c r="N24" s="18" t="n">
        <f aca="false">IFERROR(ROUND($G24*0.089082,0),"")</f>
        <v>0</v>
      </c>
      <c r="O24" s="18" t="n">
        <f aca="false">IFERROR(ROUND($G24*0.078171,0),"")</f>
        <v>0</v>
      </c>
      <c r="P24" s="18" t="n">
        <f aca="false">IFERROR(ROUND($G24*0.074943,0),"")</f>
        <v>0</v>
      </c>
      <c r="Q24" s="18" t="n">
        <f aca="false">IFERROR(ROUND($G24*0.08019,0),"")</f>
        <v>0</v>
      </c>
      <c r="R24" s="18" t="n">
        <f aca="false">IFERROR(ROUND($G24*0.099989,0),"")</f>
        <v>0</v>
      </c>
      <c r="S24" s="18" t="n">
        <f aca="false">IFERROR(ROUND($G24*0.039181,0),"")</f>
        <v>0</v>
      </c>
      <c r="T24" s="48" t="n">
        <f aca="false">IFERROR(SUM(H24:S24),"")</f>
        <v>0</v>
      </c>
    </row>
    <row r="25" customFormat="false" ht="16.5" hidden="false" customHeight="true" outlineLevel="0" collapsed="false">
      <c r="A25" s="29" t="n">
        <v>22</v>
      </c>
      <c r="B25" s="43" t="s">
        <v>186</v>
      </c>
      <c r="C25" s="29" t="s">
        <v>34</v>
      </c>
      <c r="D25" s="30" t="s">
        <v>98</v>
      </c>
      <c r="E25" s="30"/>
      <c r="F25" s="30" t="s">
        <v>187</v>
      </c>
      <c r="G25" s="21"/>
      <c r="H25" s="31" t="n">
        <f aca="false">IFERROR(ROUND($G25*0.101714,0),"")</f>
        <v>0</v>
      </c>
      <c r="I25" s="31" t="n">
        <f aca="false">IFERROR(ROUND($G25*0.038049,0),"")</f>
        <v>0</v>
      </c>
      <c r="J25" s="31" t="n">
        <f aca="false">IFERROR(ROUND($G25*0.049912,0),"")</f>
        <v>0</v>
      </c>
      <c r="K25" s="31" t="n">
        <f aca="false">IFERROR(ROUND($G25*0.07838,0),"")</f>
        <v>0</v>
      </c>
      <c r="L25" s="31" t="n">
        <f aca="false">IFERROR(ROUND($G25*0.103699,0),"")</f>
        <v>0</v>
      </c>
      <c r="M25" s="31" t="n">
        <f aca="false">IFERROR(ROUND($G25*0.106973,0),"")</f>
        <v>0</v>
      </c>
      <c r="N25" s="31" t="n">
        <f aca="false">IFERROR(ROUND($G25*0.094055,0),"")</f>
        <v>0</v>
      </c>
      <c r="O25" s="31" t="n">
        <f aca="false">IFERROR(ROUND($G25*0.078173,0),"")</f>
        <v>0</v>
      </c>
      <c r="P25" s="31" t="n">
        <f aca="false">IFERROR(ROUND($G25*0.083688,0),"")</f>
        <v>0</v>
      </c>
      <c r="Q25" s="31" t="n">
        <f aca="false">IFERROR(ROUND($G25*0.087358,0),"")</f>
        <v>0</v>
      </c>
      <c r="R25" s="31" t="n">
        <f aca="false">IFERROR(ROUND($G25*0.119033,0),"")</f>
        <v>0</v>
      </c>
      <c r="S25" s="31" t="n">
        <f aca="false">IFERROR(ROUND($G25*0.058967,0),"")</f>
        <v>0</v>
      </c>
      <c r="T25" s="49" t="n">
        <f aca="false">IFERROR(SUM(H25:S25),"")</f>
        <v>0</v>
      </c>
    </row>
    <row r="26" customFormat="false" ht="16.5" hidden="false" customHeight="true" outlineLevel="0" collapsed="false">
      <c r="A26" s="16" t="n">
        <v>23</v>
      </c>
      <c r="B26" s="42" t="s">
        <v>186</v>
      </c>
      <c r="C26" s="16" t="s">
        <v>34</v>
      </c>
      <c r="D26" s="17" t="s">
        <v>101</v>
      </c>
      <c r="E26" s="17"/>
      <c r="F26" s="17" t="s">
        <v>187</v>
      </c>
      <c r="G26" s="21"/>
      <c r="H26" s="18" t="n">
        <f aca="false">IFERROR(ROUND($G26*0.067557,0),"")</f>
        <v>0</v>
      </c>
      <c r="I26" s="18" t="n">
        <f aca="false">IFERROR(ROUND($G26*0.035343,0),"")</f>
        <v>0</v>
      </c>
      <c r="J26" s="18" t="n">
        <f aca="false">IFERROR(ROUND($G26*0.06417,0),"")</f>
        <v>0</v>
      </c>
      <c r="K26" s="18" t="n">
        <f aca="false">IFERROR(ROUND($G26*0.048136,0),"")</f>
        <v>0</v>
      </c>
      <c r="L26" s="18" t="n">
        <f aca="false">IFERROR(ROUND($G26*0.127112,0),"")</f>
        <v>0</v>
      </c>
      <c r="M26" s="18" t="n">
        <f aca="false">IFERROR(ROUND($G26*0.079045,0),"")</f>
        <v>0</v>
      </c>
      <c r="N26" s="18" t="n">
        <f aca="false">IFERROR(ROUND($G26*0.073235,0),"")</f>
        <v>0</v>
      </c>
      <c r="O26" s="18" t="n">
        <f aca="false">IFERROR(ROUND($G26*0.105407,0),"")</f>
        <v>0</v>
      </c>
      <c r="P26" s="18" t="n">
        <f aca="false">IFERROR(ROUND($G26*0.078067,0),"")</f>
        <v>0</v>
      </c>
      <c r="Q26" s="18" t="n">
        <f aca="false">IFERROR(ROUND($G26*0.232721,0),"")</f>
        <v>0</v>
      </c>
      <c r="R26" s="18" t="n">
        <f aca="false">IFERROR(ROUND($G26*0.054463,0),"")</f>
        <v>0</v>
      </c>
      <c r="S26" s="18" t="n">
        <f aca="false">IFERROR(ROUND($G26*0.034742,0),"")</f>
        <v>0</v>
      </c>
      <c r="T26" s="48" t="n">
        <f aca="false">IFERROR(SUM(H26:S26),"")</f>
        <v>0</v>
      </c>
    </row>
    <row r="27" customFormat="false" ht="16.5" hidden="false" customHeight="true" outlineLevel="0" collapsed="false">
      <c r="A27" s="29" t="n">
        <v>24</v>
      </c>
      <c r="B27" s="43" t="s">
        <v>186</v>
      </c>
      <c r="C27" s="29" t="s">
        <v>34</v>
      </c>
      <c r="D27" s="30" t="s">
        <v>104</v>
      </c>
      <c r="E27" s="30"/>
      <c r="F27" s="30" t="s">
        <v>187</v>
      </c>
      <c r="G27" s="21"/>
      <c r="H27" s="31" t="n">
        <f aca="false">IFERROR(ROUND($G27*0,0),"")</f>
        <v>0</v>
      </c>
      <c r="I27" s="31" t="n">
        <f aca="false">IFERROR(ROUND($G27*0.322852,0),"")</f>
        <v>0</v>
      </c>
      <c r="J27" s="31" t="n">
        <f aca="false">IFERROR(ROUND($G27*0.037058,0),"")</f>
        <v>0</v>
      </c>
      <c r="K27" s="31" t="n">
        <f aca="false">IFERROR(ROUND($G27*0,0),"")</f>
        <v>0</v>
      </c>
      <c r="L27" s="31" t="n">
        <f aca="false">IFERROR(ROUND($G27*0.098259,0),"")</f>
        <v>0</v>
      </c>
      <c r="M27" s="31" t="n">
        <f aca="false">IFERROR(ROUND($G27*0.148793,0),"")</f>
        <v>0</v>
      </c>
      <c r="N27" s="31" t="n">
        <f aca="false">IFERROR(ROUND($G27*0.291971,0),"")</f>
        <v>0</v>
      </c>
      <c r="O27" s="31" t="n">
        <f aca="false">IFERROR(ROUND($G27*0,0),"")</f>
        <v>0</v>
      </c>
      <c r="P27" s="31" t="n">
        <f aca="false">IFERROR(ROUND($G27*0,0),"")</f>
        <v>0</v>
      </c>
      <c r="Q27" s="31" t="n">
        <f aca="false">IFERROR(ROUND($G27*0.101067,0),"")</f>
        <v>0</v>
      </c>
      <c r="R27" s="31" t="n">
        <f aca="false">IFERROR(ROUND($G27*0,0),"")</f>
        <v>0</v>
      </c>
      <c r="S27" s="31" t="n">
        <f aca="false">IFERROR(ROUND($G27*0,0),"")</f>
        <v>0</v>
      </c>
      <c r="T27" s="49" t="n">
        <f aca="false">IFERROR(SUM(H27:S27),"")</f>
        <v>0</v>
      </c>
    </row>
    <row r="28" customFormat="false" ht="16.5" hidden="false" customHeight="true" outlineLevel="0" collapsed="false">
      <c r="A28" s="16" t="n">
        <v>25</v>
      </c>
      <c r="B28" s="42" t="s">
        <v>186</v>
      </c>
      <c r="C28" s="16" t="s">
        <v>34</v>
      </c>
      <c r="D28" s="17" t="s">
        <v>107</v>
      </c>
      <c r="E28" s="17"/>
      <c r="F28" s="17" t="s">
        <v>187</v>
      </c>
      <c r="G28" s="21"/>
      <c r="H28" s="18" t="n">
        <f aca="false">IFERROR(ROUND($G28*0.092416,0),"")</f>
        <v>0</v>
      </c>
      <c r="I28" s="18" t="n">
        <f aca="false">IFERROR(ROUND($G28*0.042922,0),"")</f>
        <v>0</v>
      </c>
      <c r="J28" s="18" t="n">
        <f aca="false">IFERROR(ROUND($G28*0.044757,0),"")</f>
        <v>0</v>
      </c>
      <c r="K28" s="18" t="n">
        <f aca="false">IFERROR(ROUND($G28*0.033843,0),"")</f>
        <v>0</v>
      </c>
      <c r="L28" s="18" t="n">
        <f aca="false">IFERROR(ROUND($G28*0.027823,0),"")</f>
        <v>0</v>
      </c>
      <c r="M28" s="18" t="n">
        <f aca="false">IFERROR(ROUND($G28*0.129353,0),"")</f>
        <v>0</v>
      </c>
      <c r="N28" s="18" t="n">
        <f aca="false">IFERROR(ROUND($G28*0.041231,0),"")</f>
        <v>0</v>
      </c>
      <c r="O28" s="18" t="n">
        <f aca="false">IFERROR(ROUND($G28*0.160618,0),"")</f>
        <v>0</v>
      </c>
      <c r="P28" s="18" t="n">
        <f aca="false">IFERROR(ROUND($G28*0.046064,0),"")</f>
        <v>0</v>
      </c>
      <c r="Q28" s="18" t="n">
        <f aca="false">IFERROR(ROUND($G28*0.206802,0),"")</f>
        <v>0</v>
      </c>
      <c r="R28" s="18" t="n">
        <f aca="false">IFERROR(ROUND($G28*0.122745,0),"")</f>
        <v>0</v>
      </c>
      <c r="S28" s="18" t="n">
        <f aca="false">IFERROR(ROUND($G28*0.051425,0),"")</f>
        <v>0</v>
      </c>
      <c r="T28" s="48" t="n">
        <f aca="false">IFERROR(SUM(H28:S28),"")</f>
        <v>0</v>
      </c>
    </row>
    <row r="29" customFormat="false" ht="16.5" hidden="false" customHeight="true" outlineLevel="0" collapsed="false">
      <c r="A29" s="29" t="n">
        <v>26</v>
      </c>
      <c r="B29" s="43" t="s">
        <v>186</v>
      </c>
      <c r="C29" s="29" t="s">
        <v>34</v>
      </c>
      <c r="D29" s="30" t="s">
        <v>110</v>
      </c>
      <c r="E29" s="30"/>
      <c r="F29" s="30" t="s">
        <v>187</v>
      </c>
      <c r="G29" s="21"/>
      <c r="H29" s="31" t="n">
        <f aca="false">IFERROR(ROUND($G29*0,0),"")</f>
        <v>0</v>
      </c>
      <c r="I29" s="31" t="n">
        <f aca="false">IFERROR(ROUND($G29*0,0),"")</f>
        <v>0</v>
      </c>
      <c r="J29" s="31" t="n">
        <f aca="false">IFERROR(ROUND($G29*0,0),"")</f>
        <v>0</v>
      </c>
      <c r="K29" s="31" t="n">
        <f aca="false">IFERROR(ROUND($G29*0,0),"")</f>
        <v>0</v>
      </c>
      <c r="L29" s="31" t="n">
        <f aca="false">IFERROR(ROUND($G29*0,0),"")</f>
        <v>0</v>
      </c>
      <c r="M29" s="31" t="n">
        <f aca="false">IFERROR(ROUND($G29*0,0),"")</f>
        <v>0</v>
      </c>
      <c r="N29" s="31" t="n">
        <f aca="false">IFERROR(ROUND($G29*0,0),"")</f>
        <v>0</v>
      </c>
      <c r="O29" s="31" t="n">
        <f aca="false">IFERROR(ROUND($G29*1,0),"")</f>
        <v>0</v>
      </c>
      <c r="P29" s="31" t="n">
        <f aca="false">IFERROR(ROUND($G29*0,0),"")</f>
        <v>0</v>
      </c>
      <c r="Q29" s="31" t="n">
        <f aca="false">IFERROR(ROUND($G29*0,0),"")</f>
        <v>0</v>
      </c>
      <c r="R29" s="31" t="n">
        <f aca="false">IFERROR(ROUND($G29*0,0),"")</f>
        <v>0</v>
      </c>
      <c r="S29" s="31" t="n">
        <f aca="false">IFERROR(ROUND($G29*0,0),"")</f>
        <v>0</v>
      </c>
      <c r="T29" s="49" t="n">
        <f aca="false">IFERROR(SUM(H29:S29),"")</f>
        <v>0</v>
      </c>
    </row>
    <row r="30" customFormat="false" ht="16.5" hidden="false" customHeight="true" outlineLevel="0" collapsed="false">
      <c r="A30" s="16" t="n">
        <v>27</v>
      </c>
      <c r="B30" s="42" t="s">
        <v>186</v>
      </c>
      <c r="C30" s="16" t="s">
        <v>34</v>
      </c>
      <c r="D30" s="17" t="s">
        <v>111</v>
      </c>
      <c r="E30" s="17"/>
      <c r="F30" s="17" t="s">
        <v>187</v>
      </c>
      <c r="G30" s="21"/>
      <c r="H30" s="18" t="n">
        <f aca="false">IFERROR(ROUND($G30*0.131895,0),"")</f>
        <v>0</v>
      </c>
      <c r="I30" s="18" t="n">
        <f aca="false">IFERROR(ROUND($G30*0.067929,0),"")</f>
        <v>0</v>
      </c>
      <c r="J30" s="18" t="n">
        <f aca="false">IFERROR(ROUND($G30*0.178628,0),"")</f>
        <v>0</v>
      </c>
      <c r="K30" s="18" t="n">
        <f aca="false">IFERROR(ROUND($G30*0.078999,0),"")</f>
        <v>0</v>
      </c>
      <c r="L30" s="18" t="n">
        <f aca="false">IFERROR(ROUND($G30*0.076609,0),"")</f>
        <v>0</v>
      </c>
      <c r="M30" s="18" t="n">
        <f aca="false">IFERROR(ROUND($G30*0.039877,0),"")</f>
        <v>0</v>
      </c>
      <c r="N30" s="18" t="n">
        <f aca="false">IFERROR(ROUND($G30*0.084911,0),"")</f>
        <v>0</v>
      </c>
      <c r="O30" s="18" t="n">
        <f aca="false">IFERROR(ROUND($G30*0.10856,0),"")</f>
        <v>0</v>
      </c>
      <c r="P30" s="18" t="n">
        <f aca="false">IFERROR(ROUND($G30*0.035851,0),"")</f>
        <v>0</v>
      </c>
      <c r="Q30" s="18" t="n">
        <f aca="false">IFERROR(ROUND($G30*0.011321,0),"")</f>
        <v>0</v>
      </c>
      <c r="R30" s="18" t="n">
        <f aca="false">IFERROR(ROUND($G30*0.075225,0),"")</f>
        <v>0</v>
      </c>
      <c r="S30" s="18" t="n">
        <f aca="false">IFERROR(ROUND($G30*0.110196,0),"")</f>
        <v>0</v>
      </c>
      <c r="T30" s="48" t="n">
        <f aca="false">IFERROR(SUM(H30:S30),"")</f>
        <v>0</v>
      </c>
    </row>
    <row r="31" customFormat="false" ht="16.5" hidden="false" customHeight="true" outlineLevel="0" collapsed="false">
      <c r="A31" s="29" t="n">
        <v>28</v>
      </c>
      <c r="B31" s="43" t="s">
        <v>186</v>
      </c>
      <c r="C31" s="29" t="s">
        <v>34</v>
      </c>
      <c r="D31" s="30" t="s">
        <v>114</v>
      </c>
      <c r="E31" s="30"/>
      <c r="F31" s="30" t="s">
        <v>187</v>
      </c>
      <c r="G31" s="21"/>
      <c r="H31" s="31" t="n">
        <f aca="false">IFERROR(ROUND($G31*0.552561,0),"")</f>
        <v>0</v>
      </c>
      <c r="I31" s="31" t="n">
        <f aca="false">IFERROR(ROUND($G31*0,0),"")</f>
        <v>0</v>
      </c>
      <c r="J31" s="31" t="n">
        <f aca="false">IFERROR(ROUND($G31*0,0),"")</f>
        <v>0</v>
      </c>
      <c r="K31" s="31" t="n">
        <f aca="false">IFERROR(ROUND($G31*0.325247,0),"")</f>
        <v>0</v>
      </c>
      <c r="L31" s="31" t="n">
        <f aca="false">IFERROR(ROUND($G31*0,0),"")</f>
        <v>0</v>
      </c>
      <c r="M31" s="31" t="n">
        <f aca="false">IFERROR(ROUND($G31*0.032345,0),"")</f>
        <v>0</v>
      </c>
      <c r="N31" s="31" t="n">
        <f aca="false">IFERROR(ROUND($G31*0,0),"")</f>
        <v>0</v>
      </c>
      <c r="O31" s="31" t="n">
        <f aca="false">IFERROR(ROUND($G31*0,0),"")</f>
        <v>0</v>
      </c>
      <c r="P31" s="31" t="n">
        <f aca="false">IFERROR(ROUND($G31*0,0),"")</f>
        <v>0</v>
      </c>
      <c r="Q31" s="31" t="n">
        <f aca="false">IFERROR(ROUND($G31*0,0),"")</f>
        <v>0</v>
      </c>
      <c r="R31" s="31" t="n">
        <f aca="false">IFERROR(ROUND($G31*0.089847,0),"")</f>
        <v>0</v>
      </c>
      <c r="S31" s="31" t="n">
        <f aca="false">IFERROR(ROUND($G31*0,0),"")</f>
        <v>0</v>
      </c>
      <c r="T31" s="49" t="n">
        <f aca="false">IFERROR(SUM(H31:S31),"")</f>
        <v>0</v>
      </c>
    </row>
    <row r="32" customFormat="false" ht="16.5" hidden="false" customHeight="true" outlineLevel="0" collapsed="false">
      <c r="A32" s="16" t="n">
        <v>29</v>
      </c>
      <c r="B32" s="42" t="s">
        <v>186</v>
      </c>
      <c r="C32" s="16" t="s">
        <v>117</v>
      </c>
      <c r="D32" s="17" t="s">
        <v>94</v>
      </c>
      <c r="E32" s="17"/>
      <c r="F32" s="17" t="s">
        <v>187</v>
      </c>
      <c r="G32" s="21"/>
      <c r="H32" s="18" t="n">
        <f aca="false">IFERROR(ROUND($G32*0.079288,0),"")</f>
        <v>0</v>
      </c>
      <c r="I32" s="18" t="n">
        <f aca="false">IFERROR(ROUND($G32*0.081285,0),"")</f>
        <v>0</v>
      </c>
      <c r="J32" s="18" t="n">
        <f aca="false">IFERROR(ROUND($G32*0.092873,0),"")</f>
        <v>0</v>
      </c>
      <c r="K32" s="18" t="n">
        <f aca="false">IFERROR(ROUND($G32*0.081186,0),"")</f>
        <v>0</v>
      </c>
      <c r="L32" s="18" t="n">
        <f aca="false">IFERROR(ROUND($G32*0.061152,0),"")</f>
        <v>0</v>
      </c>
      <c r="M32" s="18" t="n">
        <f aca="false">IFERROR(ROUND($G32*0.074966,0),"")</f>
        <v>0</v>
      </c>
      <c r="N32" s="18" t="n">
        <f aca="false">IFERROR(ROUND($G32*0.125151,0),"")</f>
        <v>0</v>
      </c>
      <c r="O32" s="18" t="n">
        <f aca="false">IFERROR(ROUND($G32*0.112482,0),"")</f>
        <v>0</v>
      </c>
      <c r="P32" s="18" t="n">
        <f aca="false">IFERROR(ROUND($G32*0.072184,0),"")</f>
        <v>0</v>
      </c>
      <c r="Q32" s="18" t="n">
        <f aca="false">IFERROR(ROUND($G32*0.080663,0),"")</f>
        <v>0</v>
      </c>
      <c r="R32" s="18" t="n">
        <f aca="false">IFERROR(ROUND($G32*0.064556,0),"")</f>
        <v>0</v>
      </c>
      <c r="S32" s="18" t="n">
        <f aca="false">IFERROR(ROUND($G32*0.074214,0),"")</f>
        <v>0</v>
      </c>
      <c r="T32" s="48" t="n">
        <f aca="false">IFERROR(SUM(H32:S32),"")</f>
        <v>0</v>
      </c>
    </row>
    <row r="33" customFormat="false" ht="16.5" hidden="false" customHeight="true" outlineLevel="0" collapsed="false">
      <c r="A33" s="29" t="n">
        <v>30</v>
      </c>
      <c r="B33" s="43" t="s">
        <v>186</v>
      </c>
      <c r="C33" s="29" t="s">
        <v>117</v>
      </c>
      <c r="D33" s="30" t="s">
        <v>98</v>
      </c>
      <c r="E33" s="30"/>
      <c r="F33" s="30" t="s">
        <v>187</v>
      </c>
      <c r="G33" s="21"/>
      <c r="H33" s="31" t="n">
        <f aca="false">IFERROR(ROUND($G33*0.063741,0),"")</f>
        <v>0</v>
      </c>
      <c r="I33" s="31" t="n">
        <f aca="false">IFERROR(ROUND($G33*0.161767,0),"")</f>
        <v>0</v>
      </c>
      <c r="J33" s="31" t="n">
        <f aca="false">IFERROR(ROUND($G33*0.084678,0),"")</f>
        <v>0</v>
      </c>
      <c r="K33" s="31" t="n">
        <f aca="false">IFERROR(ROUND($G33*0.114284,0),"")</f>
        <v>0</v>
      </c>
      <c r="L33" s="31" t="n">
        <f aca="false">IFERROR(ROUND($G33*0.124933,0),"")</f>
        <v>0</v>
      </c>
      <c r="M33" s="31" t="n">
        <f aca="false">IFERROR(ROUND($G33*0.028106,0),"")</f>
        <v>0</v>
      </c>
      <c r="N33" s="31" t="n">
        <f aca="false">IFERROR(ROUND($G33*0.066861,0),"")</f>
        <v>0</v>
      </c>
      <c r="O33" s="31" t="n">
        <f aca="false">IFERROR(ROUND($G33*0.014308,0),"")</f>
        <v>0</v>
      </c>
      <c r="P33" s="31" t="n">
        <f aca="false">IFERROR(ROUND($G33*0.184954,0),"")</f>
        <v>0</v>
      </c>
      <c r="Q33" s="31" t="n">
        <f aca="false">IFERROR(ROUND($G33*0.061641,0),"")</f>
        <v>0</v>
      </c>
      <c r="R33" s="31" t="n">
        <f aca="false">IFERROR(ROUND($G33*0.056362,0),"")</f>
        <v>0</v>
      </c>
      <c r="S33" s="31" t="n">
        <f aca="false">IFERROR(ROUND($G33*0.038365,0),"")</f>
        <v>0</v>
      </c>
      <c r="T33" s="49" t="n">
        <f aca="false">IFERROR(SUM(H33:S33),"")</f>
        <v>0</v>
      </c>
    </row>
    <row r="34" customFormat="false" ht="16.5" hidden="false" customHeight="true" outlineLevel="0" collapsed="false">
      <c r="A34" s="16" t="n">
        <v>31</v>
      </c>
      <c r="B34" s="42" t="s">
        <v>186</v>
      </c>
      <c r="C34" s="16" t="s">
        <v>117</v>
      </c>
      <c r="D34" s="17" t="s">
        <v>122</v>
      </c>
      <c r="E34" s="17"/>
      <c r="F34" s="17" t="s">
        <v>187</v>
      </c>
      <c r="G34" s="21"/>
      <c r="H34" s="18" t="n">
        <f aca="false">IFERROR(ROUND($G34*0.07426,0),"")</f>
        <v>0</v>
      </c>
      <c r="I34" s="18" t="n">
        <f aca="false">IFERROR(ROUND($G34*0.105066,0),"")</f>
        <v>0</v>
      </c>
      <c r="J34" s="18" t="n">
        <f aca="false">IFERROR(ROUND($G34*0.083235,0),"")</f>
        <v>0</v>
      </c>
      <c r="K34" s="18" t="n">
        <f aca="false">IFERROR(ROUND($G34*0.088605,0),"")</f>
        <v>0</v>
      </c>
      <c r="L34" s="18" t="n">
        <f aca="false">IFERROR(ROUND($G34*0.088576,0),"")</f>
        <v>0</v>
      </c>
      <c r="M34" s="18" t="n">
        <f aca="false">IFERROR(ROUND($G34*0.066542,0),"")</f>
        <v>0</v>
      </c>
      <c r="N34" s="18" t="n">
        <f aca="false">IFERROR(ROUND($G34*0.107099,0),"")</f>
        <v>0</v>
      </c>
      <c r="O34" s="18" t="n">
        <f aca="false">IFERROR(ROUND($G34*0.155612,0),"")</f>
        <v>0</v>
      </c>
      <c r="P34" s="18" t="n">
        <f aca="false">IFERROR(ROUND($G34*0.04455,0),"")</f>
        <v>0</v>
      </c>
      <c r="Q34" s="18" t="n">
        <f aca="false">IFERROR(ROUND($G34*0.045235,0),"")</f>
        <v>0</v>
      </c>
      <c r="R34" s="18" t="n">
        <f aca="false">IFERROR(ROUND($G34*0.081144,0),"")</f>
        <v>0</v>
      </c>
      <c r="S34" s="18" t="n">
        <f aca="false">IFERROR(ROUND($G34*0.060075,0),"")</f>
        <v>0</v>
      </c>
      <c r="T34" s="48" t="n">
        <f aca="false">IFERROR(SUM(H34:S34),"")</f>
        <v>0</v>
      </c>
    </row>
    <row r="35" customFormat="false" ht="16.5" hidden="false" customHeight="true" outlineLevel="0" collapsed="false">
      <c r="A35" s="29" t="n">
        <v>32</v>
      </c>
      <c r="B35" s="43" t="s">
        <v>188</v>
      </c>
      <c r="C35" s="29" t="s">
        <v>34</v>
      </c>
      <c r="D35" s="30" t="s">
        <v>134</v>
      </c>
      <c r="E35" s="30"/>
      <c r="F35" s="30" t="s">
        <v>189</v>
      </c>
      <c r="G35" s="21"/>
      <c r="H35" s="31" t="n">
        <f aca="false">IFERROR(ROUND($G35*0.062719,0),"")</f>
        <v>0</v>
      </c>
      <c r="I35" s="31" t="n">
        <f aca="false">IFERROR(ROUND($G35*0.047476,0),"")</f>
        <v>0</v>
      </c>
      <c r="J35" s="31" t="n">
        <f aca="false">IFERROR(ROUND($G35*0.168166,0),"")</f>
        <v>0</v>
      </c>
      <c r="K35" s="31" t="n">
        <f aca="false">IFERROR(ROUND($G35*0.090205,0),"")</f>
        <v>0</v>
      </c>
      <c r="L35" s="31" t="n">
        <f aca="false">IFERROR(ROUND($G35*0.094453,0),"")</f>
        <v>0</v>
      </c>
      <c r="M35" s="31" t="n">
        <f aca="false">IFERROR(ROUND($G35*0.175162,0),"")</f>
        <v>0</v>
      </c>
      <c r="N35" s="31" t="n">
        <f aca="false">IFERROR(ROUND($G35*0.049725,0),"")</f>
        <v>0</v>
      </c>
      <c r="O35" s="31" t="n">
        <f aca="false">IFERROR(ROUND($G35*0.052224,0),"")</f>
        <v>0</v>
      </c>
      <c r="P35" s="31" t="n">
        <f aca="false">IFERROR(ROUND($G35*0.041979,0),"")</f>
        <v>0</v>
      </c>
      <c r="Q35" s="31" t="n">
        <f aca="false">IFERROR(ROUND($G35*0.107196,0),"")</f>
        <v>0</v>
      </c>
      <c r="R35" s="31" t="n">
        <f aca="false">IFERROR(ROUND($G35*0.053473,0),"")</f>
        <v>0</v>
      </c>
      <c r="S35" s="31" t="n">
        <f aca="false">IFERROR(ROUND($G35*0.057221,0),"")</f>
        <v>0</v>
      </c>
      <c r="T35" s="49" t="n">
        <f aca="false">IFERROR(SUM(H35:S35),"")</f>
        <v>0</v>
      </c>
    </row>
    <row r="36" customFormat="false" ht="16.5" hidden="false" customHeight="true" outlineLevel="0" collapsed="false">
      <c r="A36" s="16" t="n">
        <v>33</v>
      </c>
      <c r="B36" s="42" t="s">
        <v>188</v>
      </c>
      <c r="C36" s="16" t="s">
        <v>34</v>
      </c>
      <c r="D36" s="17" t="s">
        <v>138</v>
      </c>
      <c r="E36" s="17"/>
      <c r="F36" s="17" t="s">
        <v>189</v>
      </c>
      <c r="G36" s="21"/>
      <c r="H36" s="18" t="n">
        <f aca="false">IFERROR(ROUND($G36*0.041339,0),"")</f>
        <v>0</v>
      </c>
      <c r="I36" s="18" t="n">
        <f aca="false">IFERROR(ROUND($G36*0.165354,0),"")</f>
        <v>0</v>
      </c>
      <c r="J36" s="18" t="n">
        <f aca="false">IFERROR(ROUND($G36*0.139764,0),"")</f>
        <v>0</v>
      </c>
      <c r="K36" s="18" t="n">
        <f aca="false">IFERROR(ROUND($G36*0.113189,0),"")</f>
        <v>0</v>
      </c>
      <c r="L36" s="18" t="n">
        <f aca="false">IFERROR(ROUND($G36*0.069488,0),"")</f>
        <v>0</v>
      </c>
      <c r="M36" s="18" t="n">
        <f aca="false">IFERROR(ROUND($G36*0.103346,0),"")</f>
        <v>0</v>
      </c>
      <c r="N36" s="18" t="n">
        <f aca="false">IFERROR(ROUND($G36*0.070669,0),"")</f>
        <v>0</v>
      </c>
      <c r="O36" s="18" t="n">
        <f aca="false">IFERROR(ROUND($G36*0.054724,0),"")</f>
        <v>0</v>
      </c>
      <c r="P36" s="18" t="n">
        <f aca="false">IFERROR(ROUND($G36*0.035039,0),"")</f>
        <v>0</v>
      </c>
      <c r="Q36" s="18" t="n">
        <f aca="false">IFERROR(ROUND($G36*0.074803,0),"")</f>
        <v>0</v>
      </c>
      <c r="R36" s="18" t="n">
        <f aca="false">IFERROR(ROUND($G36*0.099213,0),"")</f>
        <v>0</v>
      </c>
      <c r="S36" s="18" t="n">
        <f aca="false">IFERROR(ROUND($G36*0.033071,0),"")</f>
        <v>0</v>
      </c>
      <c r="T36" s="48" t="n">
        <f aca="false">IFERROR(SUM(H36:S36),"")</f>
        <v>0</v>
      </c>
    </row>
    <row r="37" customFormat="false" ht="16.5" hidden="false" customHeight="true" outlineLevel="0" collapsed="false">
      <c r="A37" s="29" t="n">
        <v>34</v>
      </c>
      <c r="B37" s="43" t="s">
        <v>188</v>
      </c>
      <c r="C37" s="29" t="s">
        <v>34</v>
      </c>
      <c r="D37" s="30" t="s">
        <v>141</v>
      </c>
      <c r="E37" s="30"/>
      <c r="F37" s="30" t="s">
        <v>189</v>
      </c>
      <c r="G37" s="21"/>
      <c r="H37" s="31" t="n">
        <f aca="false">IFERROR(ROUND($G37*0.020899,0),"")</f>
        <v>0</v>
      </c>
      <c r="I37" s="31" t="n">
        <f aca="false">IFERROR(ROUND($G37*0.171772,0),"")</f>
        <v>0</v>
      </c>
      <c r="J37" s="31" t="n">
        <f aca="false">IFERROR(ROUND($G37*0.158317,0),"")</f>
        <v>0</v>
      </c>
      <c r="K37" s="31" t="n">
        <f aca="false">IFERROR(ROUND($G37*0.054395,0),"")</f>
        <v>0</v>
      </c>
      <c r="L37" s="31" t="n">
        <f aca="false">IFERROR(ROUND($G37*0.043229,0),"")</f>
        <v>0</v>
      </c>
      <c r="M37" s="31" t="n">
        <f aca="false">IFERROR(ROUND($G37*0.088749,0),"")</f>
        <v>0</v>
      </c>
      <c r="N37" s="31" t="n">
        <f aca="false">IFERROR(ROUND($G37*0.103636,0),"")</f>
        <v>0</v>
      </c>
      <c r="O37" s="31" t="n">
        <f aca="false">IFERROR(ROUND($G37*0.068995,0),"")</f>
        <v>0</v>
      </c>
      <c r="P37" s="31" t="n">
        <f aca="false">IFERROR(ROUND($G37*0.081019,0),"")</f>
        <v>0</v>
      </c>
      <c r="Q37" s="31" t="n">
        <f aca="false">IFERROR(ROUND($G37*0.062411,0),"")</f>
        <v>0</v>
      </c>
      <c r="R37" s="31" t="n">
        <f aca="false">IFERROR(ROUND($G37*0.128257,0),"")</f>
        <v>0</v>
      </c>
      <c r="S37" s="31" t="n">
        <f aca="false">IFERROR(ROUND($G37*0.018322,0),"")</f>
        <v>0</v>
      </c>
      <c r="T37" s="49" t="n">
        <f aca="false">IFERROR(SUM(H37:S37),"")</f>
        <v>0</v>
      </c>
    </row>
    <row r="38" customFormat="false" ht="16.5" hidden="false" customHeight="true" outlineLevel="0" collapsed="false">
      <c r="A38" s="16" t="n">
        <v>35</v>
      </c>
      <c r="B38" s="42" t="s">
        <v>188</v>
      </c>
      <c r="C38" s="16" t="s">
        <v>34</v>
      </c>
      <c r="D38" s="17" t="s">
        <v>142</v>
      </c>
      <c r="E38" s="17"/>
      <c r="F38" s="17" t="s">
        <v>189</v>
      </c>
      <c r="G38" s="21"/>
      <c r="H38" s="18" t="n">
        <f aca="false">IFERROR(ROUND($G38*0.050806,0),"")</f>
        <v>0</v>
      </c>
      <c r="I38" s="18" t="n">
        <f aca="false">IFERROR(ROUND($G38*0.031944,0),"")</f>
        <v>0</v>
      </c>
      <c r="J38" s="18" t="n">
        <f aca="false">IFERROR(ROUND($G38*0.064497,0),"")</f>
        <v>0</v>
      </c>
      <c r="K38" s="18" t="n">
        <f aca="false">IFERROR(ROUND($G38*0.052023,0),"")</f>
        <v>0</v>
      </c>
      <c r="L38" s="18" t="n">
        <f aca="false">IFERROR(ROUND($G38*0.117432,0),"")</f>
        <v>0</v>
      </c>
      <c r="M38" s="18" t="n">
        <f aca="false">IFERROR(ROUND($G38*0.050198,0),"")</f>
        <v>0</v>
      </c>
      <c r="N38" s="18" t="n">
        <f aca="false">IFERROR(ROUND($G38*0.185275,0),"")</f>
        <v>0</v>
      </c>
      <c r="O38" s="18" t="n">
        <f aca="false">IFERROR(ROUND($G38*0.117128,0),"")</f>
        <v>0</v>
      </c>
      <c r="P38" s="18" t="n">
        <f aca="false">IFERROR(ROUND($G38*0.076361,0),"")</f>
        <v>0</v>
      </c>
      <c r="Q38" s="18" t="n">
        <f aca="false">IFERROR(ROUND($G38*0.068451,0),"")</f>
        <v>0</v>
      </c>
      <c r="R38" s="18" t="n">
        <f aca="false">IFERROR(ROUND($G38*0.097049,0),"")</f>
        <v>0</v>
      </c>
      <c r="S38" s="18" t="n">
        <f aca="false">IFERROR(ROUND($G38*0.088835,0),"")</f>
        <v>0</v>
      </c>
      <c r="T38" s="48" t="n">
        <f aca="false">IFERROR(SUM(H38:S38),"")</f>
        <v>0</v>
      </c>
    </row>
    <row r="39" customFormat="false" ht="16.5" hidden="false" customHeight="true" outlineLevel="0" collapsed="false">
      <c r="A39" s="29" t="n">
        <v>36</v>
      </c>
      <c r="B39" s="43" t="s">
        <v>188</v>
      </c>
      <c r="C39" s="29" t="s">
        <v>34</v>
      </c>
      <c r="D39" s="30" t="s">
        <v>145</v>
      </c>
      <c r="E39" s="30"/>
      <c r="F39" s="30" t="s">
        <v>189</v>
      </c>
      <c r="G39" s="21"/>
      <c r="H39" s="31" t="n">
        <f aca="false">IFERROR(ROUND($G39*0.072837,0),"")</f>
        <v>0</v>
      </c>
      <c r="I39" s="31" t="n">
        <f aca="false">IFERROR(ROUND($G39*0.030308,0),"")</f>
        <v>0</v>
      </c>
      <c r="J39" s="31" t="n">
        <f aca="false">IFERROR(ROUND($G39*0.161968,0),"")</f>
        <v>0</v>
      </c>
      <c r="K39" s="31" t="n">
        <f aca="false">IFERROR(ROUND($G39*0.129705,0),"")</f>
        <v>0</v>
      </c>
      <c r="L39" s="31" t="n">
        <f aca="false">IFERROR(ROUND($G39*0.186247,0),"")</f>
        <v>0</v>
      </c>
      <c r="M39" s="31" t="n">
        <f aca="false">IFERROR(ROUND($G39*0.117158,0),"")</f>
        <v>0</v>
      </c>
      <c r="N39" s="31" t="n">
        <f aca="false">IFERROR(ROUND($G39*0.152029,0),"")</f>
        <v>0</v>
      </c>
      <c r="O39" s="31" t="n">
        <f aca="false">IFERROR(ROUND($G39*0.052306,0),"")</f>
        <v>0</v>
      </c>
      <c r="P39" s="31" t="n">
        <f aca="false">IFERROR(ROUND($G39*0.044647,0),"")</f>
        <v>0</v>
      </c>
      <c r="Q39" s="31" t="n">
        <f aca="false">IFERROR(ROUND($G39*0.018902,0),"")</f>
        <v>0</v>
      </c>
      <c r="R39" s="31" t="n">
        <f aca="false">IFERROR(ROUND($G39*0,0),"")</f>
        <v>0</v>
      </c>
      <c r="S39" s="31" t="n">
        <f aca="false">IFERROR(ROUND($G39*0.033893,0),"")</f>
        <v>0</v>
      </c>
      <c r="T39" s="49" t="n">
        <f aca="false">IFERROR(SUM(H39:S39),"")</f>
        <v>0</v>
      </c>
    </row>
    <row r="40" customFormat="false" ht="16.5" hidden="false" customHeight="true" outlineLevel="0" collapsed="false">
      <c r="A40" s="16" t="n">
        <v>37</v>
      </c>
      <c r="B40" s="42" t="s">
        <v>188</v>
      </c>
      <c r="C40" s="16" t="s">
        <v>34</v>
      </c>
      <c r="D40" s="17" t="s">
        <v>148</v>
      </c>
      <c r="E40" s="17"/>
      <c r="F40" s="17" t="s">
        <v>189</v>
      </c>
      <c r="G40" s="21"/>
      <c r="H40" s="18" t="n">
        <f aca="false">IFERROR(ROUND($G40*0.030502,0),"")</f>
        <v>0</v>
      </c>
      <c r="I40" s="18" t="n">
        <f aca="false">IFERROR(ROUND($G40*0.033318,0),"")</f>
        <v>0</v>
      </c>
      <c r="J40" s="18" t="n">
        <f aca="false">IFERROR(ROUND($G40*0.240263,0),"")</f>
        <v>0</v>
      </c>
      <c r="K40" s="18" t="n">
        <f aca="false">IFERROR(ROUND($G40*0.03801,0),"")</f>
        <v>0</v>
      </c>
      <c r="L40" s="18" t="n">
        <f aca="false">IFERROR(ROUND($G40*0.198968,0),"")</f>
        <v>0</v>
      </c>
      <c r="M40" s="18" t="n">
        <f aca="false">IFERROR(ROUND($G40*0.106523,0),"")</f>
        <v>0</v>
      </c>
      <c r="N40" s="18" t="n">
        <f aca="false">IFERROR(ROUND($G40*0.163773,0),"")</f>
        <v>0</v>
      </c>
      <c r="O40" s="18" t="n">
        <f aca="false">IFERROR(ROUND($G40*0.061004,0),"")</f>
        <v>0</v>
      </c>
      <c r="P40" s="18" t="n">
        <f aca="false">IFERROR(ROUND($G40*0.115908,0),"")</f>
        <v>0</v>
      </c>
      <c r="Q40" s="18" t="n">
        <f aca="false">IFERROR(ROUND($G40*0.011732,0),"")</f>
        <v>0</v>
      </c>
      <c r="R40" s="18" t="n">
        <f aca="false">IFERROR(ROUND($G40*0,0),"")</f>
        <v>0</v>
      </c>
      <c r="S40" s="18" t="n">
        <f aca="false">IFERROR(ROUND($G40*0,0),"")</f>
        <v>0</v>
      </c>
      <c r="T40" s="48" t="n">
        <f aca="false">IFERROR(SUM(H40:S40),"")</f>
        <v>0</v>
      </c>
    </row>
    <row r="41" customFormat="false" ht="16.5" hidden="false" customHeight="true" outlineLevel="0" collapsed="false">
      <c r="A41" s="29" t="n">
        <v>38</v>
      </c>
      <c r="B41" s="43" t="s">
        <v>188</v>
      </c>
      <c r="C41" s="29" t="s">
        <v>34</v>
      </c>
      <c r="D41" s="30" t="s">
        <v>149</v>
      </c>
      <c r="E41" s="30"/>
      <c r="F41" s="30" t="s">
        <v>189</v>
      </c>
      <c r="G41" s="21"/>
      <c r="H41" s="31" t="n">
        <f aca="false">IFERROR(ROUND($G41*0.117149,0),"")</f>
        <v>0</v>
      </c>
      <c r="I41" s="31" t="n">
        <f aca="false">IFERROR(ROUND($G41*0.05042,0),"")</f>
        <v>0</v>
      </c>
      <c r="J41" s="31" t="n">
        <f aca="false">IFERROR(ROUND($G41*0.053945,0),"")</f>
        <v>0</v>
      </c>
      <c r="K41" s="31" t="n">
        <f aca="false">IFERROR(ROUND($G41*0.040379,0),"")</f>
        <v>0</v>
      </c>
      <c r="L41" s="31" t="n">
        <f aca="false">IFERROR(ROUND($G41*0.052521,0),"")</f>
        <v>0</v>
      </c>
      <c r="M41" s="31" t="n">
        <f aca="false">IFERROR(ROUND($G41*0.094573,0),"")</f>
        <v>0</v>
      </c>
      <c r="N41" s="31" t="n">
        <f aca="false">IFERROR(ROUND($G41*0.085315,0),"")</f>
        <v>0</v>
      </c>
      <c r="O41" s="31" t="n">
        <f aca="false">IFERROR(ROUND($G41*0.1143,0),"")</f>
        <v>0</v>
      </c>
      <c r="P41" s="31" t="n">
        <f aca="false">IFERROR(ROUND($G41*0.069078,0),"")</f>
        <v>0</v>
      </c>
      <c r="Q41" s="31" t="n">
        <f aca="false">IFERROR(ROUND($G41*0.18345,0),"")</f>
        <v>0</v>
      </c>
      <c r="R41" s="31" t="n">
        <f aca="false">IFERROR(ROUND($G41*0.090372,0),"")</f>
        <v>0</v>
      </c>
      <c r="S41" s="31" t="n">
        <f aca="false">IFERROR(ROUND($G41*0.048497,0),"")</f>
        <v>0</v>
      </c>
      <c r="T41" s="49" t="n">
        <f aca="false">IFERROR(SUM(H41:S41),"")</f>
        <v>0</v>
      </c>
    </row>
    <row r="42" customFormat="false" ht="16.5" hidden="false" customHeight="true" outlineLevel="0" collapsed="false">
      <c r="A42" s="16" t="n">
        <v>39</v>
      </c>
      <c r="B42" s="42" t="s">
        <v>188</v>
      </c>
      <c r="C42" s="16" t="s">
        <v>34</v>
      </c>
      <c r="D42" s="17" t="s">
        <v>152</v>
      </c>
      <c r="E42" s="17"/>
      <c r="F42" s="17" t="s">
        <v>189</v>
      </c>
      <c r="G42" s="21"/>
      <c r="H42" s="18" t="n">
        <f aca="false">IFERROR(ROUND($G42*0.112245,0),"")</f>
        <v>0</v>
      </c>
      <c r="I42" s="18" t="n">
        <f aca="false">IFERROR(ROUND($G42*0.062922,0),"")</f>
        <v>0</v>
      </c>
      <c r="J42" s="18" t="n">
        <f aca="false">IFERROR(ROUND($G42*0.102073,0),"")</f>
        <v>0</v>
      </c>
      <c r="K42" s="18" t="n">
        <f aca="false">IFERROR(ROUND($G42*0.080498,0),"")</f>
        <v>0</v>
      </c>
      <c r="L42" s="18" t="n">
        <f aca="false">IFERROR(ROUND($G42*0.0959,0),"")</f>
        <v>0</v>
      </c>
      <c r="M42" s="18" t="n">
        <f aca="false">IFERROR(ROUND($G42*0.080137,0),"")</f>
        <v>0</v>
      </c>
      <c r="N42" s="18" t="n">
        <f aca="false">IFERROR(ROUND($G42*0.080288,0),"")</f>
        <v>0</v>
      </c>
      <c r="O42" s="18" t="n">
        <f aca="false">IFERROR(ROUND($G42*0.056749,0),"")</f>
        <v>0</v>
      </c>
      <c r="P42" s="18" t="n">
        <f aca="false">IFERROR(ROUND($G42*0.069666,0),"")</f>
        <v>0</v>
      </c>
      <c r="Q42" s="18" t="n">
        <f aca="false">IFERROR(ROUND($G42*0.082953,0),"")</f>
        <v>0</v>
      </c>
      <c r="R42" s="18" t="n">
        <f aca="false">IFERROR(ROUND($G42*0.09109,0),"")</f>
        <v>0</v>
      </c>
      <c r="S42" s="18" t="n">
        <f aca="false">IFERROR(ROUND($G42*0.085479,0),"")</f>
        <v>0</v>
      </c>
      <c r="T42" s="48" t="n">
        <f aca="false">IFERROR(SUM(H42:S42),"")</f>
        <v>0</v>
      </c>
    </row>
    <row r="43" customFormat="false" ht="16.5" hidden="false" customHeight="true" outlineLevel="0" collapsed="false">
      <c r="A43" s="29" t="n">
        <v>40</v>
      </c>
      <c r="B43" s="43" t="s">
        <v>188</v>
      </c>
      <c r="C43" s="29" t="s">
        <v>34</v>
      </c>
      <c r="D43" s="30" t="s">
        <v>155</v>
      </c>
      <c r="E43" s="30"/>
      <c r="F43" s="30" t="s">
        <v>189</v>
      </c>
      <c r="G43" s="21"/>
      <c r="H43" s="31" t="n">
        <f aca="false">IFERROR(ROUND($G43*0.106059,0),"")</f>
        <v>0</v>
      </c>
      <c r="I43" s="31" t="n">
        <f aca="false">IFERROR(ROUND($G43*0.057789,0),"")</f>
        <v>0</v>
      </c>
      <c r="J43" s="31" t="n">
        <f aca="false">IFERROR(ROUND($G43*0.094149,0),"")</f>
        <v>0</v>
      </c>
      <c r="K43" s="31" t="n">
        <f aca="false">IFERROR(ROUND($G43*0.096648,0),"")</f>
        <v>0</v>
      </c>
      <c r="L43" s="31" t="n">
        <f aca="false">IFERROR(ROUND($G43*0.081619,0),"")</f>
        <v>0</v>
      </c>
      <c r="M43" s="31" t="n">
        <f aca="false">IFERROR(ROUND($G43*0.080726,0),"")</f>
        <v>0</v>
      </c>
      <c r="N43" s="31" t="n">
        <f aca="false">IFERROR(ROUND($G43*0.082741,0),"")</f>
        <v>0</v>
      </c>
      <c r="O43" s="31" t="n">
        <f aca="false">IFERROR(ROUND($G43*0.061708,0),"")</f>
        <v>0</v>
      </c>
      <c r="P43" s="31" t="n">
        <f aca="false">IFERROR(ROUND($G43*0.074883,0),"")</f>
        <v>0</v>
      </c>
      <c r="Q43" s="31" t="n">
        <f aca="false">IFERROR(ROUND($G43*0.082771,0),"")</f>
        <v>0</v>
      </c>
      <c r="R43" s="31" t="n">
        <f aca="false">IFERROR(ROUND($G43*0.105337,0),"")</f>
        <v>0</v>
      </c>
      <c r="S43" s="31" t="n">
        <f aca="false">IFERROR(ROUND($G43*0.075571,0),"")</f>
        <v>0</v>
      </c>
      <c r="T43" s="49" t="n">
        <f aca="false">IFERROR(SUM(H43:S43),"")</f>
        <v>0</v>
      </c>
    </row>
    <row r="44" customFormat="false" ht="16.5" hidden="false" customHeight="true" outlineLevel="0" collapsed="false">
      <c r="A44" s="16" t="n">
        <v>41</v>
      </c>
      <c r="B44" s="42" t="s">
        <v>188</v>
      </c>
      <c r="C44" s="16" t="s">
        <v>34</v>
      </c>
      <c r="D44" s="17" t="s">
        <v>158</v>
      </c>
      <c r="E44" s="17"/>
      <c r="F44" s="17" t="s">
        <v>189</v>
      </c>
      <c r="G44" s="21"/>
      <c r="H44" s="18" t="n">
        <f aca="false">IFERROR(ROUND($G44*0.05053,0),"")</f>
        <v>0</v>
      </c>
      <c r="I44" s="18" t="n">
        <f aca="false">IFERROR(ROUND($G44*0.059764,0),"")</f>
        <v>0</v>
      </c>
      <c r="J44" s="18" t="n">
        <f aca="false">IFERROR(ROUND($G44*0.07806,0),"")</f>
        <v>0</v>
      </c>
      <c r="K44" s="18" t="n">
        <f aca="false">IFERROR(ROUND($G44*0.054685,0),"")</f>
        <v>0</v>
      </c>
      <c r="L44" s="18" t="n">
        <f aca="false">IFERROR(ROUND($G44*0.098895,0),"")</f>
        <v>0</v>
      </c>
      <c r="M44" s="18" t="n">
        <f aca="false">IFERROR(ROUND($G44*0.164863,0),"")</f>
        <v>0</v>
      </c>
      <c r="N44" s="18" t="n">
        <f aca="false">IFERROR(ROUND($G44*0.063631,0),"")</f>
        <v>0</v>
      </c>
      <c r="O44" s="18" t="n">
        <f aca="false">IFERROR(ROUND($G44*0.041786,0),"")</f>
        <v>0</v>
      </c>
      <c r="P44" s="18" t="n">
        <f aca="false">IFERROR(ROUND($G44*0.126829,0),"")</f>
        <v>0</v>
      </c>
      <c r="Q44" s="18" t="n">
        <f aca="false">IFERROR(ROUND($G44*0.122154,0),"")</f>
        <v>0</v>
      </c>
      <c r="R44" s="18" t="n">
        <f aca="false">IFERROR(ROUND($G44*0.033302,0),"")</f>
        <v>0</v>
      </c>
      <c r="S44" s="18" t="n">
        <f aca="false">IFERROR(ROUND($G44*0.105503,0),"")</f>
        <v>0</v>
      </c>
      <c r="T44" s="48" t="n">
        <f aca="false">IFERROR(SUM(H44:S44),"")</f>
        <v>0</v>
      </c>
    </row>
    <row r="45" customFormat="false" ht="16.5" hidden="false" customHeight="true" outlineLevel="0" collapsed="false">
      <c r="A45" s="29" t="n">
        <v>42</v>
      </c>
      <c r="B45" s="43" t="s">
        <v>188</v>
      </c>
      <c r="C45" s="29" t="s">
        <v>34</v>
      </c>
      <c r="D45" s="30" t="s">
        <v>162</v>
      </c>
      <c r="E45" s="30"/>
      <c r="F45" s="30" t="s">
        <v>189</v>
      </c>
      <c r="G45" s="21"/>
      <c r="H45" s="31" t="n">
        <f aca="false">IFERROR(ROUND($G45*0.057628,0),"")</f>
        <v>0</v>
      </c>
      <c r="I45" s="31" t="n">
        <f aca="false">IFERROR(ROUND($G45*0.049814,0),"")</f>
        <v>0</v>
      </c>
      <c r="J45" s="31" t="n">
        <f aca="false">IFERROR(ROUND($G45*0.173764,0),"")</f>
        <v>0</v>
      </c>
      <c r="K45" s="31" t="n">
        <f aca="false">IFERROR(ROUND($G45*0.104317,0),"")</f>
        <v>0</v>
      </c>
      <c r="L45" s="31" t="n">
        <f aca="false">IFERROR(ROUND($G45*0.058312,0),"")</f>
        <v>0</v>
      </c>
      <c r="M45" s="31" t="n">
        <f aca="false">IFERROR(ROUND($G45*0.046396,0),"")</f>
        <v>0</v>
      </c>
      <c r="N45" s="31" t="n">
        <f aca="false">IFERROR(ROUND($G45*0.17562,0),"")</f>
        <v>0</v>
      </c>
      <c r="O45" s="31" t="n">
        <f aca="false">IFERROR(ROUND($G45*0.047275,0),"")</f>
        <v>0</v>
      </c>
      <c r="P45" s="31" t="n">
        <f aca="false">IFERROR(ROUND($G45*0.112229,0),"")</f>
        <v>0</v>
      </c>
      <c r="Q45" s="31" t="n">
        <f aca="false">IFERROR(ROUND($G45*0.048349,0),"")</f>
        <v>0</v>
      </c>
      <c r="R45" s="31" t="n">
        <f aca="false">IFERROR(ROUND($G45*0.090447,0),"")</f>
        <v>0</v>
      </c>
      <c r="S45" s="31" t="n">
        <f aca="false">IFERROR(ROUND($G45*0.035847,0),"")</f>
        <v>0</v>
      </c>
      <c r="T45" s="49" t="n">
        <f aca="false">IFERROR(SUM(H45:S45),"")</f>
        <v>0</v>
      </c>
    </row>
    <row r="46" customFormat="false" ht="16.5" hidden="false" customHeight="true" outlineLevel="0" collapsed="false">
      <c r="A46" s="16" t="n">
        <v>43</v>
      </c>
      <c r="B46" s="42" t="s">
        <v>188</v>
      </c>
      <c r="C46" s="16" t="s">
        <v>34</v>
      </c>
      <c r="D46" s="17" t="s">
        <v>163</v>
      </c>
      <c r="E46" s="17"/>
      <c r="F46" s="17" t="s">
        <v>189</v>
      </c>
      <c r="G46" s="21"/>
      <c r="H46" s="18" t="n">
        <f aca="false">IFERROR(ROUND($G46*0.097921,0),"")</f>
        <v>0</v>
      </c>
      <c r="I46" s="18" t="n">
        <f aca="false">IFERROR(ROUND($G46*0.073737,0),"")</f>
        <v>0</v>
      </c>
      <c r="J46" s="18" t="n">
        <f aca="false">IFERROR(ROUND($G46*0.075077,0),"")</f>
        <v>0</v>
      </c>
      <c r="K46" s="18" t="n">
        <f aca="false">IFERROR(ROUND($G46*0.089102,0),"")</f>
        <v>0</v>
      </c>
      <c r="L46" s="18" t="n">
        <f aca="false">IFERROR(ROUND($G46*0.135818,0),"")</f>
        <v>0</v>
      </c>
      <c r="M46" s="18" t="n">
        <f aca="false">IFERROR(ROUND($G46*0.120797,0),"")</f>
        <v>0</v>
      </c>
      <c r="N46" s="18" t="n">
        <f aca="false">IFERROR(ROUND($G46*0.055973,0),"")</f>
        <v>0</v>
      </c>
      <c r="O46" s="18" t="n">
        <f aca="false">IFERROR(ROUND($G46*0.074547,0),"")</f>
        <v>0</v>
      </c>
      <c r="P46" s="18" t="n">
        <f aca="false">IFERROR(ROUND($G46*0.066195,0),"")</f>
        <v>0</v>
      </c>
      <c r="Q46" s="18" t="n">
        <f aca="false">IFERROR(ROUND($G46*0.047371,0),"")</f>
        <v>0</v>
      </c>
      <c r="R46" s="18" t="n">
        <f aca="false">IFERROR(ROUND($G46*0.098825,0),"")</f>
        <v>0</v>
      </c>
      <c r="S46" s="18" t="n">
        <f aca="false">IFERROR(ROUND($G46*0.064637,0),"")</f>
        <v>0</v>
      </c>
      <c r="T46" s="48" t="n">
        <f aca="false">IFERROR(SUM(H46:S46),"")</f>
        <v>0</v>
      </c>
    </row>
    <row r="47" customFormat="false" ht="16.5" hidden="false" customHeight="true" outlineLevel="0" collapsed="false">
      <c r="A47" s="29" t="n">
        <v>44</v>
      </c>
      <c r="B47" s="43" t="s">
        <v>188</v>
      </c>
      <c r="C47" s="29" t="s">
        <v>34</v>
      </c>
      <c r="D47" s="30" t="s">
        <v>164</v>
      </c>
      <c r="E47" s="30"/>
      <c r="F47" s="30" t="s">
        <v>189</v>
      </c>
      <c r="G47" s="21"/>
      <c r="H47" s="31" t="n">
        <f aca="false">IFERROR(ROUND($G47*0.066573,0),"")</f>
        <v>0</v>
      </c>
      <c r="I47" s="31" t="n">
        <f aca="false">IFERROR(ROUND($G47*0.101786,0),"")</f>
        <v>0</v>
      </c>
      <c r="J47" s="31" t="n">
        <f aca="false">IFERROR(ROUND($G47*0.065958,0),"")</f>
        <v>0</v>
      </c>
      <c r="K47" s="31" t="n">
        <f aca="false">IFERROR(ROUND($G47*0.097032,0),"")</f>
        <v>0</v>
      </c>
      <c r="L47" s="31" t="n">
        <f aca="false">IFERROR(ROUND($G47*0.080934,0),"")</f>
        <v>0</v>
      </c>
      <c r="M47" s="31" t="n">
        <f aca="false">IFERROR(ROUND($G47*0.082968,0),"")</f>
        <v>0</v>
      </c>
      <c r="N47" s="31" t="n">
        <f aca="false">IFERROR(ROUND($G47*0.078754,0),"")</f>
        <v>0</v>
      </c>
      <c r="O47" s="31" t="n">
        <f aca="false">IFERROR(ROUND($G47*0.085913,0),"")</f>
        <v>0</v>
      </c>
      <c r="P47" s="31" t="n">
        <f aca="false">IFERROR(ROUND($G47*0.082578,0),"")</f>
        <v>0</v>
      </c>
      <c r="Q47" s="31" t="n">
        <f aca="false">IFERROR(ROUND($G47*0.081293,0),"")</f>
        <v>0</v>
      </c>
      <c r="R47" s="31" t="n">
        <f aca="false">IFERROR(ROUND($G47*0.088813,0),"")</f>
        <v>0</v>
      </c>
      <c r="S47" s="31" t="n">
        <f aca="false">IFERROR(ROUND($G47*0.087397,0),"")</f>
        <v>0</v>
      </c>
      <c r="T47" s="49" t="n">
        <f aca="false">IFERROR(SUM(H47:S47),"")</f>
        <v>0</v>
      </c>
    </row>
    <row r="48" customFormat="false" ht="16.5" hidden="false" customHeight="true" outlineLevel="0" collapsed="false">
      <c r="A48" s="16" t="n">
        <v>45</v>
      </c>
      <c r="B48" s="42" t="s">
        <v>188</v>
      </c>
      <c r="C48" s="16" t="s">
        <v>117</v>
      </c>
      <c r="D48" s="17" t="s">
        <v>134</v>
      </c>
      <c r="E48" s="17"/>
      <c r="F48" s="17" t="s">
        <v>189</v>
      </c>
      <c r="G48" s="21"/>
      <c r="H48" s="18" t="n">
        <f aca="false">IFERROR(ROUND($G48*0.318066,0),"")</f>
        <v>0</v>
      </c>
      <c r="I48" s="18" t="n">
        <f aca="false">IFERROR(ROUND($G48*0,0),"")</f>
        <v>0</v>
      </c>
      <c r="J48" s="18" t="n">
        <f aca="false">IFERROR(ROUND($G48*0.058524,0),"")</f>
        <v>0</v>
      </c>
      <c r="K48" s="18" t="n">
        <f aca="false">IFERROR(ROUND($G48*0.076336,0),"")</f>
        <v>0</v>
      </c>
      <c r="L48" s="18" t="n">
        <f aca="false">IFERROR(ROUND($G48*0.050891,0),"")</f>
        <v>0</v>
      </c>
      <c r="M48" s="18" t="n">
        <f aca="false">IFERROR(ROUND($G48*0.012723,0),"")</f>
        <v>0</v>
      </c>
      <c r="N48" s="18" t="n">
        <f aca="false">IFERROR(ROUND($G48*0.012723,0),"")</f>
        <v>0</v>
      </c>
      <c r="O48" s="18" t="n">
        <f aca="false">IFERROR(ROUND($G48*0,0),"")</f>
        <v>0</v>
      </c>
      <c r="P48" s="18" t="n">
        <f aca="false">IFERROR(ROUND($G48*0.050891,0),"")</f>
        <v>0</v>
      </c>
      <c r="Q48" s="18" t="n">
        <f aca="false">IFERROR(ROUND($G48*0.254453,0),"")</f>
        <v>0</v>
      </c>
      <c r="R48" s="18" t="n">
        <f aca="false">IFERROR(ROUND($G48*0.139949,0),"")</f>
        <v>0</v>
      </c>
      <c r="S48" s="18" t="n">
        <f aca="false">IFERROR(ROUND($G48*0.025445,0),"")</f>
        <v>0</v>
      </c>
      <c r="T48" s="48" t="n">
        <f aca="false">IFERROR(SUM(H48:S48),"")</f>
        <v>0</v>
      </c>
    </row>
    <row r="49" customFormat="false" ht="16.5" hidden="false" customHeight="true" outlineLevel="0" collapsed="false">
      <c r="A49" s="29" t="n">
        <v>46</v>
      </c>
      <c r="B49" s="43" t="s">
        <v>188</v>
      </c>
      <c r="C49" s="29" t="s">
        <v>117</v>
      </c>
      <c r="D49" s="30" t="s">
        <v>138</v>
      </c>
      <c r="E49" s="30"/>
      <c r="F49" s="30" t="s">
        <v>189</v>
      </c>
      <c r="G49" s="21"/>
      <c r="H49" s="31" t="n">
        <f aca="false">IFERROR(ROUND($G49*0,0),"")</f>
        <v>0</v>
      </c>
      <c r="I49" s="31" t="n">
        <f aca="false">IFERROR(ROUND($G49*0.047368,0),"")</f>
        <v>0</v>
      </c>
      <c r="J49" s="31" t="n">
        <f aca="false">IFERROR(ROUND($G49*0.052632,0),"")</f>
        <v>0</v>
      </c>
      <c r="K49" s="31" t="n">
        <f aca="false">IFERROR(ROUND($G49*0.078947,0),"")</f>
        <v>0</v>
      </c>
      <c r="L49" s="31" t="n">
        <f aca="false">IFERROR(ROUND($G49*0.157895,0),"")</f>
        <v>0</v>
      </c>
      <c r="M49" s="31" t="n">
        <f aca="false">IFERROR(ROUND($G49*0.157895,0),"")</f>
        <v>0</v>
      </c>
      <c r="N49" s="31" t="n">
        <f aca="false">IFERROR(ROUND($G49*0.026316,0),"")</f>
        <v>0</v>
      </c>
      <c r="O49" s="31" t="n">
        <f aca="false">IFERROR(ROUND($G49*0.094737,0),"")</f>
        <v>0</v>
      </c>
      <c r="P49" s="31" t="n">
        <f aca="false">IFERROR(ROUND($G49*0.184211,0),"")</f>
        <v>0</v>
      </c>
      <c r="Q49" s="31" t="n">
        <f aca="false">IFERROR(ROUND($G49*0.052632,0),"")</f>
        <v>0</v>
      </c>
      <c r="R49" s="31" t="n">
        <f aca="false">IFERROR(ROUND($G49*0.121053,0),"")</f>
        <v>0</v>
      </c>
      <c r="S49" s="31" t="n">
        <f aca="false">IFERROR(ROUND($G49*0.026316,0),"")</f>
        <v>0</v>
      </c>
      <c r="T49" s="49" t="n">
        <f aca="false">IFERROR(SUM(H49:S49),"")</f>
        <v>0</v>
      </c>
    </row>
    <row r="50" customFormat="false" ht="16.5" hidden="false" customHeight="true" outlineLevel="0" collapsed="false">
      <c r="A50" s="16" t="n">
        <v>47</v>
      </c>
      <c r="B50" s="42" t="s">
        <v>188</v>
      </c>
      <c r="C50" s="16" t="s">
        <v>117</v>
      </c>
      <c r="D50" s="17" t="s">
        <v>141</v>
      </c>
      <c r="E50" s="17"/>
      <c r="F50" s="17" t="s">
        <v>189</v>
      </c>
      <c r="G50" s="21"/>
      <c r="H50" s="18" t="n">
        <f aca="false">IFERROR(ROUND($G50*0.3,0),"")</f>
        <v>0</v>
      </c>
      <c r="I50" s="18" t="n">
        <f aca="false">IFERROR(ROUND($G50*0.333333,0),"")</f>
        <v>0</v>
      </c>
      <c r="J50" s="18" t="n">
        <f aca="false">IFERROR(ROUND($G50*0,0),"")</f>
        <v>0</v>
      </c>
      <c r="K50" s="18" t="n">
        <f aca="false">IFERROR(ROUND($G50*0,0),"")</f>
        <v>0</v>
      </c>
      <c r="L50" s="18" t="n">
        <f aca="false">IFERROR(ROUND($G50*0,0),"")</f>
        <v>0</v>
      </c>
      <c r="M50" s="18" t="n">
        <f aca="false">IFERROR(ROUND($G50*0.166667,0),"")</f>
        <v>0</v>
      </c>
      <c r="N50" s="18" t="n">
        <f aca="false">IFERROR(ROUND($G50*0,0),"")</f>
        <v>0</v>
      </c>
      <c r="O50" s="18" t="n">
        <f aca="false">IFERROR(ROUND($G50*0.166667,0),"")</f>
        <v>0</v>
      </c>
      <c r="P50" s="18" t="n">
        <f aca="false">IFERROR(ROUND($G50*0,0),"")</f>
        <v>0</v>
      </c>
      <c r="Q50" s="18" t="n">
        <f aca="false">IFERROR(ROUND($G50*0,0),"")</f>
        <v>0</v>
      </c>
      <c r="R50" s="18" t="n">
        <f aca="false">IFERROR(ROUND($G50*0,0),"")</f>
        <v>0</v>
      </c>
      <c r="S50" s="18" t="n">
        <f aca="false">IFERROR(ROUND($G50*0.033333,0),"")</f>
        <v>0</v>
      </c>
      <c r="T50" s="48" t="n">
        <f aca="false">IFERROR(SUM(H50:S50),"")</f>
        <v>0</v>
      </c>
    </row>
    <row r="51" customFormat="false" ht="16.5" hidden="false" customHeight="true" outlineLevel="0" collapsed="false">
      <c r="A51" s="29" t="n">
        <v>48</v>
      </c>
      <c r="B51" s="43" t="s">
        <v>188</v>
      </c>
      <c r="C51" s="29" t="s">
        <v>117</v>
      </c>
      <c r="D51" s="30" t="s">
        <v>142</v>
      </c>
      <c r="E51" s="30"/>
      <c r="F51" s="30" t="s">
        <v>189</v>
      </c>
      <c r="G51" s="21"/>
      <c r="H51" s="31" t="n">
        <f aca="false">IFERROR(ROUND($G51*0.420168,0),"")</f>
        <v>0</v>
      </c>
      <c r="I51" s="31" t="n">
        <f aca="false">IFERROR(ROUND($G51*0,0),"")</f>
        <v>0</v>
      </c>
      <c r="J51" s="31" t="n">
        <f aca="false">IFERROR(ROUND($G51*0.012605,0),"")</f>
        <v>0</v>
      </c>
      <c r="K51" s="31" t="n">
        <f aca="false">IFERROR(ROUND($G51*0,0),"")</f>
        <v>0</v>
      </c>
      <c r="L51" s="31" t="n">
        <f aca="false">IFERROR(ROUND($G51*0.063025,0),"")</f>
        <v>0</v>
      </c>
      <c r="M51" s="31" t="n">
        <f aca="false">IFERROR(ROUND($G51*0.084034,0),"")</f>
        <v>0</v>
      </c>
      <c r="N51" s="31" t="n">
        <f aca="false">IFERROR(ROUND($G51*0,0),"")</f>
        <v>0</v>
      </c>
      <c r="O51" s="31" t="n">
        <f aca="false">IFERROR(ROUND($G51*0.163866,0),"")</f>
        <v>0</v>
      </c>
      <c r="P51" s="31" t="n">
        <f aca="false">IFERROR(ROUND($G51*0.042017,0),"")</f>
        <v>0</v>
      </c>
      <c r="Q51" s="31" t="n">
        <f aca="false">IFERROR(ROUND($G51*0,0),"")</f>
        <v>0</v>
      </c>
      <c r="R51" s="31" t="n">
        <f aca="false">IFERROR(ROUND($G51*0.084034,0),"")</f>
        <v>0</v>
      </c>
      <c r="S51" s="31" t="n">
        <f aca="false">IFERROR(ROUND($G51*0.130252,0),"")</f>
        <v>0</v>
      </c>
      <c r="T51" s="49" t="n">
        <f aca="false">IFERROR(SUM(H51:S51),"")</f>
        <v>0</v>
      </c>
    </row>
    <row r="52" customFormat="false" ht="16.5" hidden="false" customHeight="true" outlineLevel="0" collapsed="false">
      <c r="A52" s="16" t="n">
        <v>49</v>
      </c>
      <c r="B52" s="42" t="s">
        <v>188</v>
      </c>
      <c r="C52" s="16" t="s">
        <v>117</v>
      </c>
      <c r="D52" s="17" t="s">
        <v>145</v>
      </c>
      <c r="E52" s="17"/>
      <c r="F52" s="17" t="s">
        <v>189</v>
      </c>
      <c r="G52" s="21"/>
      <c r="H52" s="18" t="n">
        <f aca="false">IFERROR(ROUND($G52*0.106963,0),"")</f>
        <v>0</v>
      </c>
      <c r="I52" s="18" t="n">
        <f aca="false">IFERROR(ROUND($G52*0.091023,0),"")</f>
        <v>0</v>
      </c>
      <c r="J52" s="18" t="n">
        <f aca="false">IFERROR(ROUND($G52*0.041946,0),"")</f>
        <v>0</v>
      </c>
      <c r="K52" s="18" t="n">
        <f aca="false">IFERROR(ROUND($G52*0.075503,0),"")</f>
        <v>0</v>
      </c>
      <c r="L52" s="18" t="n">
        <f aca="false">IFERROR(ROUND($G52*0.075503,0),"")</f>
        <v>0</v>
      </c>
      <c r="M52" s="18" t="n">
        <f aca="false">IFERROR(ROUND($G52*0.004195,0),"")</f>
        <v>0</v>
      </c>
      <c r="N52" s="18" t="n">
        <f aca="false">IFERROR(ROUND($G52*0.052852,0),"")</f>
        <v>0</v>
      </c>
      <c r="O52" s="18" t="n">
        <f aca="false">IFERROR(ROUND($G52*0.009228,0),"")</f>
        <v>0</v>
      </c>
      <c r="P52" s="18" t="n">
        <f aca="false">IFERROR(ROUND($G52*0,0),"")</f>
        <v>0</v>
      </c>
      <c r="Q52" s="18" t="n">
        <f aca="false">IFERROR(ROUND($G52*0.155201,0),"")</f>
        <v>0</v>
      </c>
      <c r="R52" s="18" t="n">
        <f aca="false">IFERROR(ROUND($G52*0.058725,0),"")</f>
        <v>0</v>
      </c>
      <c r="S52" s="18" t="n">
        <f aca="false">IFERROR(ROUND($G52*0.328859,0),"")</f>
        <v>0</v>
      </c>
      <c r="T52" s="48" t="n">
        <f aca="false">IFERROR(SUM(H52:S52),"")</f>
        <v>0</v>
      </c>
    </row>
    <row r="53" customFormat="false" ht="16.5" hidden="false" customHeight="true" outlineLevel="0" collapsed="false">
      <c r="A53" s="29" t="n">
        <v>50</v>
      </c>
      <c r="B53" s="43" t="s">
        <v>188</v>
      </c>
      <c r="C53" s="29" t="s">
        <v>117</v>
      </c>
      <c r="D53" s="30" t="s">
        <v>148</v>
      </c>
      <c r="E53" s="30"/>
      <c r="F53" s="30" t="s">
        <v>189</v>
      </c>
      <c r="G53" s="21"/>
      <c r="H53" s="31" t="n">
        <f aca="false">IFERROR(ROUND($G53*0.116845,0),"")</f>
        <v>0</v>
      </c>
      <c r="I53" s="31" t="n">
        <f aca="false">IFERROR(ROUND($G53*0.090555,0),"")</f>
        <v>0</v>
      </c>
      <c r="J53" s="31" t="n">
        <f aca="false">IFERROR(ROUND($G53*0.019474,0),"")</f>
        <v>0</v>
      </c>
      <c r="K53" s="31" t="n">
        <f aca="false">IFERROR(ROUND($G53*0.092502,0),"")</f>
        <v>0</v>
      </c>
      <c r="L53" s="31" t="n">
        <f aca="false">IFERROR(ROUND($G53*0.087634,0),"")</f>
        <v>0</v>
      </c>
      <c r="M53" s="31" t="n">
        <f aca="false">IFERROR(ROUND($G53*0.004869,0),"")</f>
        <v>0</v>
      </c>
      <c r="N53" s="31" t="n">
        <f aca="false">IFERROR(ROUND($G53*0.061344,0),"")</f>
        <v>0</v>
      </c>
      <c r="O53" s="31" t="n">
        <f aca="false">IFERROR(ROUND($G53*0.005842,0),"")</f>
        <v>0</v>
      </c>
      <c r="P53" s="31" t="n">
        <f aca="false">IFERROR(ROUND($G53*0,0),"")</f>
        <v>0</v>
      </c>
      <c r="Q53" s="31" t="n">
        <f aca="false">IFERROR(ROUND($G53*0.180136,0),"")</f>
        <v>0</v>
      </c>
      <c r="R53" s="31" t="n">
        <f aca="false">IFERROR(ROUND($G53*0.06816,0),"")</f>
        <v>0</v>
      </c>
      <c r="S53" s="31" t="n">
        <f aca="false">IFERROR(ROUND($G53*0.272639,0),"")</f>
        <v>0</v>
      </c>
      <c r="T53" s="49" t="n">
        <f aca="false">IFERROR(SUM(H53:S53),"")</f>
        <v>0</v>
      </c>
    </row>
    <row r="54" customFormat="false" ht="16.5" hidden="false" customHeight="true" outlineLevel="0" collapsed="false">
      <c r="A54" s="16" t="n">
        <v>51</v>
      </c>
      <c r="B54" s="42" t="s">
        <v>188</v>
      </c>
      <c r="C54" s="16" t="s">
        <v>117</v>
      </c>
      <c r="D54" s="17" t="s">
        <v>152</v>
      </c>
      <c r="E54" s="17"/>
      <c r="F54" s="17" t="s">
        <v>189</v>
      </c>
      <c r="G54" s="21"/>
      <c r="H54" s="18" t="n">
        <f aca="false">IFERROR(ROUND($G54*0.048763,0),"")</f>
        <v>0</v>
      </c>
      <c r="I54" s="18" t="n">
        <f aca="false">IFERROR(ROUND($G54*0.063955,0),"")</f>
        <v>0</v>
      </c>
      <c r="J54" s="18" t="n">
        <f aca="false">IFERROR(ROUND($G54*0.074737,0),"")</f>
        <v>0</v>
      </c>
      <c r="K54" s="18" t="n">
        <f aca="false">IFERROR(ROUND($G54*0.15903,0),"")</f>
        <v>0</v>
      </c>
      <c r="L54" s="18" t="n">
        <f aca="false">IFERROR(ROUND($G54*0.040186,0),"")</f>
        <v>0</v>
      </c>
      <c r="M54" s="18" t="n">
        <f aca="false">IFERROR(ROUND($G54*0.06518,0),"")</f>
        <v>0</v>
      </c>
      <c r="N54" s="18" t="n">
        <f aca="false">IFERROR(ROUND($G54*0.168831,0),"")</f>
        <v>0</v>
      </c>
      <c r="O54" s="18" t="n">
        <f aca="false">IFERROR(ROUND($G54*0.144572,0),"")</f>
        <v>0</v>
      </c>
      <c r="P54" s="18" t="n">
        <f aca="false">IFERROR(ROUND($G54*0.057584,0),"")</f>
        <v>0</v>
      </c>
      <c r="Q54" s="18" t="n">
        <f aca="false">IFERROR(ROUND($G54*0.06273,0),"")</f>
        <v>0</v>
      </c>
      <c r="R54" s="18" t="n">
        <f aca="false">IFERROR(ROUND($G54*0.077922,0),"")</f>
        <v>0</v>
      </c>
      <c r="S54" s="18" t="n">
        <f aca="false">IFERROR(ROUND($G54*0.036511,0),"")</f>
        <v>0</v>
      </c>
      <c r="T54" s="48" t="n">
        <f aca="false">IFERROR(SUM(H54:S54),"")</f>
        <v>0</v>
      </c>
    </row>
    <row r="55" customFormat="false" ht="16.5" hidden="false" customHeight="true" outlineLevel="0" collapsed="false">
      <c r="A55" s="29" t="n">
        <v>52</v>
      </c>
      <c r="B55" s="43" t="s">
        <v>188</v>
      </c>
      <c r="C55" s="29" t="s">
        <v>117</v>
      </c>
      <c r="D55" s="30" t="s">
        <v>155</v>
      </c>
      <c r="E55" s="30"/>
      <c r="F55" s="30" t="s">
        <v>189</v>
      </c>
      <c r="G55" s="21"/>
      <c r="H55" s="31" t="n">
        <f aca="false">IFERROR(ROUND($G55*0.093801,0),"")</f>
        <v>0</v>
      </c>
      <c r="I55" s="31" t="n">
        <f aca="false">IFERROR(ROUND($G55*0.107878,0),"")</f>
        <v>0</v>
      </c>
      <c r="J55" s="31" t="n">
        <f aca="false">IFERROR(ROUND($G55*0.100713,0),"")</f>
        <v>0</v>
      </c>
      <c r="K55" s="31" t="n">
        <f aca="false">IFERROR(ROUND($G55*0.086542,0),"")</f>
        <v>0</v>
      </c>
      <c r="L55" s="31" t="n">
        <f aca="false">IFERROR(ROUND($G55*0.088688,0),"")</f>
        <v>0</v>
      </c>
      <c r="M55" s="31" t="n">
        <f aca="false">IFERROR(ROUND($G55*0.073381,0),"")</f>
        <v>0</v>
      </c>
      <c r="N55" s="31" t="n">
        <f aca="false">IFERROR(ROUND($G55*0.127004,0),"")</f>
        <v>0</v>
      </c>
      <c r="O55" s="31" t="n">
        <f aca="false">IFERROR(ROUND($G55*0.095632,0),"")</f>
        <v>0</v>
      </c>
      <c r="P55" s="31" t="n">
        <f aca="false">IFERROR(ROUND($G55*0.057979,0),"")</f>
        <v>0</v>
      </c>
      <c r="Q55" s="31" t="n">
        <f aca="false">IFERROR(ROUND($G55*0.063313,0),"")</f>
        <v>0</v>
      </c>
      <c r="R55" s="31" t="n">
        <f aca="false">IFERROR(ROUND($G55*0.067005,0),"")</f>
        <v>0</v>
      </c>
      <c r="S55" s="31" t="n">
        <f aca="false">IFERROR(ROUND($G55*0.038063,0),"")</f>
        <v>0</v>
      </c>
      <c r="T55" s="49" t="n">
        <f aca="false">IFERROR(SUM(H55:S55),"")</f>
        <v>0</v>
      </c>
    </row>
    <row r="56" customFormat="false" ht="16.5" hidden="false" customHeight="true" outlineLevel="0" collapsed="false">
      <c r="A56" s="16" t="n">
        <v>53</v>
      </c>
      <c r="B56" s="42" t="s">
        <v>188</v>
      </c>
      <c r="C56" s="16" t="s">
        <v>117</v>
      </c>
      <c r="D56" s="17" t="s">
        <v>158</v>
      </c>
      <c r="E56" s="17"/>
      <c r="F56" s="17" t="s">
        <v>189</v>
      </c>
      <c r="G56" s="21"/>
      <c r="H56" s="18" t="n">
        <f aca="false">IFERROR(ROUND($G56*0.06015,0),"")</f>
        <v>0</v>
      </c>
      <c r="I56" s="18" t="n">
        <f aca="false">IFERROR(ROUND($G56*0.245445,0),"")</f>
        <v>0</v>
      </c>
      <c r="J56" s="18" t="n">
        <f aca="false">IFERROR(ROUND($G56*0.090451,0),"")</f>
        <v>0</v>
      </c>
      <c r="K56" s="18" t="n">
        <f aca="false">IFERROR(ROUND($G56*0.132123,0),"")</f>
        <v>0</v>
      </c>
      <c r="L56" s="18" t="n">
        <f aca="false">IFERROR(ROUND($G56*0.086122,0),"")</f>
        <v>0</v>
      </c>
      <c r="M56" s="18" t="n">
        <f aca="false">IFERROR(ROUND($G56*0.012728,0),"")</f>
        <v>0</v>
      </c>
      <c r="N56" s="18" t="n">
        <f aca="false">IFERROR(ROUND($G56*0.062734,0),"")</f>
        <v>0</v>
      </c>
      <c r="O56" s="18" t="n">
        <f aca="false">IFERROR(ROUND($G56*0.02875,0),"")</f>
        <v>0</v>
      </c>
      <c r="P56" s="18" t="n">
        <f aca="false">IFERROR(ROUND($G56*0.052268,0),"")</f>
        <v>0</v>
      </c>
      <c r="Q56" s="18" t="n">
        <f aca="false">IFERROR(ROUND($G56*0.041995,0),"")</f>
        <v>0</v>
      </c>
      <c r="R56" s="18" t="n">
        <f aca="false">IFERROR(ROUND($G56*0.059568,0),"")</f>
        <v>0</v>
      </c>
      <c r="S56" s="18" t="n">
        <f aca="false">IFERROR(ROUND($G56*0.127665,0),"")</f>
        <v>0</v>
      </c>
      <c r="T56" s="48" t="n">
        <f aca="false">IFERROR(SUM(H56:S56),"")</f>
        <v>0</v>
      </c>
    </row>
    <row r="57" customFormat="false" ht="16.5" hidden="false" customHeight="true" outlineLevel="0" collapsed="false">
      <c r="A57" s="29" t="n">
        <v>54</v>
      </c>
      <c r="B57" s="43" t="s">
        <v>188</v>
      </c>
      <c r="C57" s="29" t="s">
        <v>117</v>
      </c>
      <c r="D57" s="30" t="s">
        <v>162</v>
      </c>
      <c r="E57" s="30"/>
      <c r="F57" s="30" t="s">
        <v>189</v>
      </c>
      <c r="G57" s="21"/>
      <c r="H57" s="31" t="n">
        <f aca="false">IFERROR(ROUND($G57*0.107442,0),"")</f>
        <v>0</v>
      </c>
      <c r="I57" s="31" t="n">
        <f aca="false">IFERROR(ROUND($G57*0.125476,0),"")</f>
        <v>0</v>
      </c>
      <c r="J57" s="31" t="n">
        <f aca="false">IFERROR(ROUND($G57*0.04826,0),"")</f>
        <v>0</v>
      </c>
      <c r="K57" s="31" t="n">
        <f aca="false">IFERROR(ROUND($G57*0.02794,0),"")</f>
        <v>0</v>
      </c>
      <c r="L57" s="31" t="n">
        <f aca="false">IFERROR(ROUND($G57*0.03048,0),"")</f>
        <v>0</v>
      </c>
      <c r="M57" s="31" t="n">
        <f aca="false">IFERROR(ROUND($G57*0.041148,0),"")</f>
        <v>0</v>
      </c>
      <c r="N57" s="31" t="n">
        <f aca="false">IFERROR(ROUND($G57*0.127508,0),"")</f>
        <v>0</v>
      </c>
      <c r="O57" s="31" t="n">
        <f aca="false">IFERROR(ROUND($G57*0.14732,0),"")</f>
        <v>0</v>
      </c>
      <c r="P57" s="31" t="n">
        <f aca="false">IFERROR(ROUND($G57*0.04699,0),"")</f>
        <v>0</v>
      </c>
      <c r="Q57" s="31" t="n">
        <f aca="false">IFERROR(ROUND($G57*0.108712,0),"")</f>
        <v>0</v>
      </c>
      <c r="R57" s="31" t="n">
        <f aca="false">IFERROR(ROUND($G57*0.119888,0),"")</f>
        <v>0</v>
      </c>
      <c r="S57" s="31" t="n">
        <f aca="false">IFERROR(ROUND($G57*0.068834,0),"")</f>
        <v>0</v>
      </c>
      <c r="T57" s="49" t="n">
        <f aca="false">IFERROR(SUM(H57:S57),"")</f>
        <v>0</v>
      </c>
    </row>
    <row r="58" customFormat="false" ht="16.5" hidden="false" customHeight="true" outlineLevel="0" collapsed="false">
      <c r="A58" s="16" t="n">
        <v>55</v>
      </c>
      <c r="B58" s="42" t="s">
        <v>188</v>
      </c>
      <c r="C58" s="16" t="s">
        <v>117</v>
      </c>
      <c r="D58" s="17" t="s">
        <v>163</v>
      </c>
      <c r="E58" s="17"/>
      <c r="F58" s="17" t="s">
        <v>189</v>
      </c>
      <c r="G58" s="21"/>
      <c r="H58" s="18" t="n">
        <f aca="false">IFERROR(ROUND($G58*0.093353,0),"")</f>
        <v>0</v>
      </c>
      <c r="I58" s="18" t="n">
        <f aca="false">IFERROR(ROUND($G58*0.047797,0),"")</f>
        <v>0</v>
      </c>
      <c r="J58" s="18" t="n">
        <f aca="false">IFERROR(ROUND($G58*0.143888,0),"")</f>
        <v>0</v>
      </c>
      <c r="K58" s="18" t="n">
        <f aca="false">IFERROR(ROUND($G58*0.064725,0),"")</f>
        <v>0</v>
      </c>
      <c r="L58" s="18" t="n">
        <f aca="false">IFERROR(ROUND($G58*0.097336,0),"")</f>
        <v>0</v>
      </c>
      <c r="M58" s="18" t="n">
        <f aca="false">IFERROR(ROUND($G58*0.109037,0),"")</f>
        <v>0</v>
      </c>
      <c r="N58" s="18" t="n">
        <f aca="false">IFERROR(ROUND($G58*0.128205,0),"")</f>
        <v>0</v>
      </c>
      <c r="O58" s="18" t="n">
        <f aca="false">IFERROR(ROUND($G58*0.074185,0),"")</f>
        <v>0</v>
      </c>
      <c r="P58" s="18" t="n">
        <f aca="false">IFERROR(ROUND($G58*0.066219,0),"")</f>
        <v>0</v>
      </c>
      <c r="Q58" s="18" t="n">
        <f aca="false">IFERROR(ROUND($G58*0.064974,0),"")</f>
        <v>0</v>
      </c>
      <c r="R58" s="18" t="n">
        <f aca="false">IFERROR(ROUND($G58*0.046054,0),"")</f>
        <v>0</v>
      </c>
      <c r="S58" s="18" t="n">
        <f aca="false">IFERROR(ROUND($G58*0.064227,0),"")</f>
        <v>0</v>
      </c>
      <c r="T58" s="48" t="n">
        <f aca="false">IFERROR(SUM(H58:S58),"")</f>
        <v>0</v>
      </c>
    </row>
    <row r="59" customFormat="false" ht="16.5" hidden="false" customHeight="true" outlineLevel="0" collapsed="false">
      <c r="A59" s="29" t="n">
        <v>56</v>
      </c>
      <c r="B59" s="43" t="s">
        <v>188</v>
      </c>
      <c r="C59" s="29" t="s">
        <v>117</v>
      </c>
      <c r="D59" s="30" t="s">
        <v>164</v>
      </c>
      <c r="E59" s="30"/>
      <c r="F59" s="30" t="s">
        <v>189</v>
      </c>
      <c r="G59" s="21"/>
      <c r="H59" s="31" t="n">
        <f aca="false">IFERROR(ROUND($G59*0.069493,0),"")</f>
        <v>0</v>
      </c>
      <c r="I59" s="31" t="n">
        <f aca="false">IFERROR(ROUND($G59*0.050756,0),"")</f>
        <v>0</v>
      </c>
      <c r="J59" s="31" t="n">
        <f aca="false">IFERROR(ROUND($G59*0.081839,0),"")</f>
        <v>0</v>
      </c>
      <c r="K59" s="31" t="n">
        <f aca="false">IFERROR(ROUND($G59*0.089883,0),"")</f>
        <v>0</v>
      </c>
      <c r="L59" s="31" t="n">
        <f aca="false">IFERROR(ROUND($G59*0.124645,0),"")</f>
        <v>0</v>
      </c>
      <c r="M59" s="31" t="n">
        <f aca="false">IFERROR(ROUND($G59*0.036134,0),"")</f>
        <v>0</v>
      </c>
      <c r="N59" s="31" t="n">
        <f aca="false">IFERROR(ROUND($G59*0.086485,0),"")</f>
        <v>0</v>
      </c>
      <c r="O59" s="31" t="n">
        <f aca="false">IFERROR(ROUND($G59*0.111738,0),"")</f>
        <v>0</v>
      </c>
      <c r="P59" s="31" t="n">
        <f aca="false">IFERROR(ROUND($G59*0.158504,0),"")</f>
        <v>0</v>
      </c>
      <c r="Q59" s="31" t="n">
        <f aca="false">IFERROR(ROUND($G59*0.064162,0),"")</f>
        <v>0</v>
      </c>
      <c r="R59" s="31" t="n">
        <f aca="false">IFERROR(ROUND($G59*0.054934,0),"")</f>
        <v>0</v>
      </c>
      <c r="S59" s="31" t="n">
        <f aca="false">IFERROR(ROUND($G59*0.071426,0),"")</f>
        <v>0</v>
      </c>
      <c r="T59" s="49" t="n">
        <f aca="false">IFERROR(SUM(H59:S59),"")</f>
        <v>0</v>
      </c>
    </row>
    <row r="60" customFormat="false" ht="16.5" hidden="false" customHeight="true" outlineLevel="0" collapsed="false">
      <c r="A60" s="16" t="n">
        <v>57</v>
      </c>
      <c r="B60" s="42" t="s">
        <v>188</v>
      </c>
      <c r="C60" s="16" t="s">
        <v>165</v>
      </c>
      <c r="D60" s="17" t="s">
        <v>142</v>
      </c>
      <c r="E60" s="17"/>
      <c r="F60" s="17" t="s">
        <v>189</v>
      </c>
      <c r="G60" s="21"/>
      <c r="H60" s="18" t="n">
        <f aca="false">IFERROR(ROUND($G60*1,0),"")</f>
        <v>0</v>
      </c>
      <c r="I60" s="18" t="n">
        <f aca="false">IFERROR(ROUND($G60*0,0),"")</f>
        <v>0</v>
      </c>
      <c r="J60" s="18" t="n">
        <f aca="false">IFERROR(ROUND($G60*0,0),"")</f>
        <v>0</v>
      </c>
      <c r="K60" s="18" t="n">
        <f aca="false">IFERROR(ROUND($G60*0,0),"")</f>
        <v>0</v>
      </c>
      <c r="L60" s="18" t="n">
        <f aca="false">IFERROR(ROUND($G60*0,0),"")</f>
        <v>0</v>
      </c>
      <c r="M60" s="18" t="n">
        <f aca="false">IFERROR(ROUND($G60*0,0),"")</f>
        <v>0</v>
      </c>
      <c r="N60" s="18" t="n">
        <f aca="false">IFERROR(ROUND($G60*0,0),"")</f>
        <v>0</v>
      </c>
      <c r="O60" s="18" t="n">
        <f aca="false">IFERROR(ROUND($G60*0,0),"")</f>
        <v>0</v>
      </c>
      <c r="P60" s="18" t="n">
        <f aca="false">IFERROR(ROUND($G60*0,0),"")</f>
        <v>0</v>
      </c>
      <c r="Q60" s="18" t="n">
        <f aca="false">IFERROR(ROUND($G60*0,0),"")</f>
        <v>0</v>
      </c>
      <c r="R60" s="18" t="n">
        <f aca="false">IFERROR(ROUND($G60*0,0),"")</f>
        <v>0</v>
      </c>
      <c r="S60" s="18" t="n">
        <f aca="false">IFERROR(ROUND($G60*0,0),"")</f>
        <v>0</v>
      </c>
      <c r="T60" s="48" t="n">
        <f aca="false">IFERROR(SUM(H60:S60),"")</f>
        <v>0</v>
      </c>
    </row>
    <row r="61" customFormat="false" ht="16.5" hidden="false" customHeight="true" outlineLevel="0" collapsed="false">
      <c r="A61" s="29" t="n">
        <v>58</v>
      </c>
      <c r="B61" s="43" t="s">
        <v>188</v>
      </c>
      <c r="C61" s="29" t="s">
        <v>165</v>
      </c>
      <c r="D61" s="30" t="s">
        <v>145</v>
      </c>
      <c r="E61" s="30"/>
      <c r="F61" s="30" t="s">
        <v>189</v>
      </c>
      <c r="G61" s="21"/>
      <c r="H61" s="31" t="n">
        <f aca="false">IFERROR(ROUND($G61*0,0),"")</f>
        <v>0</v>
      </c>
      <c r="I61" s="31" t="n">
        <f aca="false">IFERROR(ROUND($G61*0.011173,0),"")</f>
        <v>0</v>
      </c>
      <c r="J61" s="31" t="n">
        <f aca="false">IFERROR(ROUND($G61*0,0),"")</f>
        <v>0</v>
      </c>
      <c r="K61" s="31" t="n">
        <f aca="false">IFERROR(ROUND($G61*0.13594,0),"")</f>
        <v>0</v>
      </c>
      <c r="L61" s="31" t="n">
        <f aca="false">IFERROR(ROUND($G61*0.111732,0),"")</f>
        <v>0</v>
      </c>
      <c r="M61" s="31" t="n">
        <f aca="false">IFERROR(ROUND($G61*0.011173,0),"")</f>
        <v>0</v>
      </c>
      <c r="N61" s="31" t="n">
        <f aca="false">IFERROR(ROUND($G61*0,0),"")</f>
        <v>0</v>
      </c>
      <c r="O61" s="31" t="n">
        <f aca="false">IFERROR(ROUND($G61*0,0),"")</f>
        <v>0</v>
      </c>
      <c r="P61" s="31" t="n">
        <f aca="false">IFERROR(ROUND($G61*0.178771,0),"")</f>
        <v>0</v>
      </c>
      <c r="Q61" s="31" t="n">
        <f aca="false">IFERROR(ROUND($G61*0.484171,0),"")</f>
        <v>0</v>
      </c>
      <c r="R61" s="31" t="n">
        <f aca="false">IFERROR(ROUND($G61*0.022346,0),"")</f>
        <v>0</v>
      </c>
      <c r="S61" s="31" t="n">
        <f aca="false">IFERROR(ROUND($G61*0.044693,0),"")</f>
        <v>0</v>
      </c>
      <c r="T61" s="49" t="n">
        <f aca="false">IFERROR(SUM(H61:S61),"")</f>
        <v>0</v>
      </c>
    </row>
    <row r="62" customFormat="false" ht="16.5" hidden="false" customHeight="true" outlineLevel="0" collapsed="false">
      <c r="A62" s="16" t="n">
        <v>59</v>
      </c>
      <c r="B62" s="42" t="s">
        <v>188</v>
      </c>
      <c r="C62" s="16" t="s">
        <v>165</v>
      </c>
      <c r="D62" s="17" t="s">
        <v>155</v>
      </c>
      <c r="E62" s="17"/>
      <c r="F62" s="17" t="s">
        <v>189</v>
      </c>
      <c r="G62" s="21"/>
      <c r="H62" s="18" t="n">
        <f aca="false">IFERROR(ROUND($G62*0.020063,0),"")</f>
        <v>0</v>
      </c>
      <c r="I62" s="18" t="n">
        <f aca="false">IFERROR(ROUND($G62*0.039157,0),"")</f>
        <v>0</v>
      </c>
      <c r="J62" s="18" t="n">
        <f aca="false">IFERROR(ROUND($G62*0.212697,0),"")</f>
        <v>0</v>
      </c>
      <c r="K62" s="18" t="n">
        <f aca="false">IFERROR(ROUND($G62*0.015701,0),"")</f>
        <v>0</v>
      </c>
      <c r="L62" s="18" t="n">
        <f aca="false">IFERROR(ROUND($G62*0.155076,0),"")</f>
        <v>0</v>
      </c>
      <c r="M62" s="18" t="n">
        <f aca="false">IFERROR(ROUND($G62*0.304725,0),"")</f>
        <v>0</v>
      </c>
      <c r="N62" s="18" t="n">
        <f aca="false">IFERROR(ROUND($G62*0.005815,0),"")</f>
        <v>0</v>
      </c>
      <c r="O62" s="18" t="n">
        <f aca="false">IFERROR(ROUND($G62*0.044972,0),"")</f>
        <v>0</v>
      </c>
      <c r="P62" s="18" t="n">
        <f aca="false">IFERROR(ROUND($G62*0.055827,0),"")</f>
        <v>0</v>
      </c>
      <c r="Q62" s="18" t="n">
        <f aca="false">IFERROR(ROUND($G62*0.019772,0),"")</f>
        <v>0</v>
      </c>
      <c r="R62" s="18" t="n">
        <f aca="false">IFERROR(ROUND($G62*0.093627,0),"")</f>
        <v>0</v>
      </c>
      <c r="S62" s="18" t="n">
        <f aca="false">IFERROR(ROUND($G62*0.032566,0),"")</f>
        <v>0</v>
      </c>
      <c r="T62" s="48" t="n">
        <f aca="false">IFERROR(SUM(H62:S62),"")</f>
        <v>0</v>
      </c>
    </row>
    <row r="63" customFormat="false" ht="16.5" hidden="false" customHeight="true" outlineLevel="0" collapsed="false">
      <c r="A63" s="29" t="n">
        <v>60</v>
      </c>
      <c r="B63" s="43" t="s">
        <v>188</v>
      </c>
      <c r="C63" s="29" t="s">
        <v>165</v>
      </c>
      <c r="D63" s="30" t="s">
        <v>158</v>
      </c>
      <c r="E63" s="30"/>
      <c r="F63" s="30" t="s">
        <v>189</v>
      </c>
      <c r="G63" s="21"/>
      <c r="H63" s="31" t="n">
        <f aca="false">IFERROR(ROUND($G63*0.0714,0),"")</f>
        <v>0</v>
      </c>
      <c r="I63" s="31" t="n">
        <f aca="false">IFERROR(ROUND($G63*0.073669,0),"")</f>
        <v>0</v>
      </c>
      <c r="J63" s="31" t="n">
        <f aca="false">IFERROR(ROUND($G63*0.173762,0),"")</f>
        <v>0</v>
      </c>
      <c r="K63" s="31" t="n">
        <f aca="false">IFERROR(ROUND($G63*0.027359,0),"")</f>
        <v>0</v>
      </c>
      <c r="L63" s="31" t="n">
        <f aca="false">IFERROR(ROUND($G63*0.033498,0),"")</f>
        <v>0</v>
      </c>
      <c r="M63" s="31" t="n">
        <f aca="false">IFERROR(ROUND($G63*0.046043,0),"")</f>
        <v>0</v>
      </c>
      <c r="N63" s="31" t="n">
        <f aca="false">IFERROR(ROUND($G63*0.022021,0),"")</f>
        <v>0</v>
      </c>
      <c r="O63" s="31" t="n">
        <f aca="false">IFERROR(ROUND($G63*0.030028,0),"")</f>
        <v>0</v>
      </c>
      <c r="P63" s="31" t="n">
        <f aca="false">IFERROR(ROUND($G63*0.053383,0),"")</f>
        <v>0</v>
      </c>
      <c r="Q63" s="31" t="n">
        <f aca="false">IFERROR(ROUND($G63*0.281863,0),"")</f>
        <v>0</v>
      </c>
      <c r="R63" s="31" t="n">
        <f aca="false">IFERROR(ROUND($G63*0.020686,0),"")</f>
        <v>0</v>
      </c>
      <c r="S63" s="31" t="n">
        <f aca="false">IFERROR(ROUND($G63*0.166289,0),"")</f>
        <v>0</v>
      </c>
      <c r="T63" s="49" t="n">
        <f aca="false">IFERROR(SUM(H63:S63),"")</f>
        <v>0</v>
      </c>
    </row>
    <row r="64" customFormat="false" ht="16.5" hidden="false" customHeight="true" outlineLevel="0" collapsed="false">
      <c r="A64" s="16" t="n">
        <v>61</v>
      </c>
      <c r="B64" s="42" t="s">
        <v>188</v>
      </c>
      <c r="C64" s="16" t="s">
        <v>165</v>
      </c>
      <c r="D64" s="17" t="s">
        <v>164</v>
      </c>
      <c r="E64" s="17"/>
      <c r="F64" s="17" t="s">
        <v>189</v>
      </c>
      <c r="G64" s="21"/>
      <c r="H64" s="18" t="n">
        <f aca="false">IFERROR(ROUND($G64*0.132097,0),"")</f>
        <v>0</v>
      </c>
      <c r="I64" s="18" t="n">
        <f aca="false">IFERROR(ROUND($G64*0.058565,0),"")</f>
        <v>0</v>
      </c>
      <c r="J64" s="18" t="n">
        <f aca="false">IFERROR(ROUND($G64*0.07659,0),"")</f>
        <v>0</v>
      </c>
      <c r="K64" s="18" t="n">
        <f aca="false">IFERROR(ROUND($G64*0.043273,0),"")</f>
        <v>0</v>
      </c>
      <c r="L64" s="18" t="n">
        <f aca="false">IFERROR(ROUND($G64*0.068782,0),"")</f>
        <v>0</v>
      </c>
      <c r="M64" s="18" t="n">
        <f aca="false">IFERROR(ROUND($G64*0.20641,0),"")</f>
        <v>0</v>
      </c>
      <c r="N64" s="18" t="n">
        <f aca="false">IFERROR(ROUND($G64*0.048804,0),"")</f>
        <v>0</v>
      </c>
      <c r="O64" s="18" t="n">
        <f aca="false">IFERROR(ROUND($G64*0.025378,0),"")</f>
        <v>0</v>
      </c>
      <c r="P64" s="18" t="n">
        <f aca="false">IFERROR(ROUND($G64*0.13932,0),"")</f>
        <v>0</v>
      </c>
      <c r="Q64" s="18" t="n">
        <f aca="false">IFERROR(ROUND($G64*0.047958,0),"")</f>
        <v>0</v>
      </c>
      <c r="R64" s="18" t="n">
        <f aca="false">IFERROR(ROUND($G64*0.023068,0),"")</f>
        <v>0</v>
      </c>
      <c r="S64" s="18" t="n">
        <f aca="false">IFERROR(ROUND($G64*0.129754,0),"")</f>
        <v>0</v>
      </c>
      <c r="T64" s="48" t="n">
        <f aca="false">IFERROR(SUM(H64:S64),"")</f>
        <v>0</v>
      </c>
    </row>
  </sheetData>
  <mergeCells count="3">
    <mergeCell ref="A1:T1"/>
    <mergeCell ref="A2:F2"/>
    <mergeCell ref="H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65"/>
  </cols>
  <sheetData>
    <row r="1" customFormat="false" ht="25.5" hidden="false" customHeight="true" outlineLevel="0" collapsed="false">
      <c r="A1" s="50" t="s">
        <v>190</v>
      </c>
      <c r="B1" s="50"/>
      <c r="C1" s="50"/>
      <c r="D1" s="50"/>
    </row>
    <row r="3" customFormat="false" ht="30" hidden="false" customHeight="true" outlineLevel="0" collapsed="false">
      <c r="A3" s="13" t="s">
        <v>191</v>
      </c>
      <c r="B3" s="13" t="s">
        <v>192</v>
      </c>
      <c r="C3" s="13" t="s">
        <v>14</v>
      </c>
      <c r="D3" s="13" t="s">
        <v>193</v>
      </c>
    </row>
    <row r="4" customFormat="false" ht="36" hidden="false" customHeight="true" outlineLevel="0" collapsed="false">
      <c r="A4" s="51" t="s">
        <v>194</v>
      </c>
      <c r="B4" s="52" t="s">
        <v>195</v>
      </c>
      <c r="C4" s="52" t="s">
        <v>196</v>
      </c>
      <c r="D4" s="53" t="s">
        <v>197</v>
      </c>
    </row>
    <row r="5" customFormat="false" ht="36" hidden="false" customHeight="true" outlineLevel="0" collapsed="false">
      <c r="A5" s="54" t="s">
        <v>198</v>
      </c>
      <c r="B5" s="55" t="s">
        <v>199</v>
      </c>
      <c r="C5" s="55" t="s">
        <v>200</v>
      </c>
      <c r="D5" s="56" t="s">
        <v>201</v>
      </c>
    </row>
    <row r="6" customFormat="false" ht="36" hidden="false" customHeight="true" outlineLevel="0" collapsed="false">
      <c r="A6" s="51" t="s">
        <v>198</v>
      </c>
      <c r="B6" s="52" t="s">
        <v>202</v>
      </c>
      <c r="C6" s="52" t="s">
        <v>203</v>
      </c>
      <c r="D6" s="57" t="s">
        <v>204</v>
      </c>
    </row>
    <row r="7" customFormat="false" ht="36" hidden="false" customHeight="true" outlineLevel="0" collapsed="false">
      <c r="A7" s="58" t="s">
        <v>198</v>
      </c>
      <c r="B7" s="59" t="s">
        <v>205</v>
      </c>
      <c r="C7" s="60" t="s">
        <v>206</v>
      </c>
      <c r="D7" s="61" t="s">
        <v>207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2026-04-27T10:04:37Z</dcterms:created>
  <dc:creator>openpyxl</dc:creator>
  <dc:description/>
  <dc:language>en-US</dc:language>
  <cp:lastModifiedBy/>
  <dcterms:modified xsi:type="dcterms:W3CDTF">2026-04-28T01:11:03Z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
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JWorld\Desktop\AI\연간 발주 계획 새우기\"/>
    </mc:Choice>
  </mc:AlternateContent>
  <xr:revisionPtr revIDLastSave="0" documentId="13_ncr:1_{7E0B7892-B0AF-466A-B92D-656536FA2406}" xr6:coauthVersionLast="47" xr6:coauthVersionMax="47" xr10:uidLastSave="{00000000-0000-0000-0000-000000000000}"/>
  <bookViews>
    <workbookView xWindow="28680" yWindow="-120" windowWidth="29040" windowHeight="15720" tabRatio="500" activeTab="5" xr2:uid="{00000000-000D-0000-FFFF-FFFF00000000}"/>
  </bookViews>
  <sheets>
    <sheet name="23년_완제품" sheetId="1" r:id="rId1"/>
    <sheet name="24년_완제품" sheetId="2" r:id="rId2"/>
    <sheet name="25년_완제품" sheetId="3" r:id="rId3"/>
    <sheet name="26년_완제품" sheetId="4" r:id="rId4"/>
    <sheet name="전체_완제품" sheetId="5" r:id="rId5"/>
    <sheet name="Sheet1" sheetId="15" r:id="rId6"/>
    <sheet name="원자재_부품" sheetId="6" r:id="rId7"/>
    <sheet name="광분배함" sheetId="7" r:id="rId8"/>
    <sheet name="전체_완제품_연간요약" sheetId="8" r:id="rId9"/>
    <sheet name="완제품_Top10" sheetId="9" r:id="rId10"/>
    <sheet name="변동성_유형요약" sheetId="10" r:id="rId11"/>
    <sheet name="변동성_전체상세" sheetId="11" r:id="rId12"/>
    <sheet name="⚡급등_전체" sheetId="12" r:id="rId13"/>
    <sheet name="📉급락_전체" sheetId="13" r:id="rId14"/>
    <sheet name="규격명_복수품목" sheetId="14" r:id="rId15"/>
  </sheets>
  <externalReferences>
    <externalReference r:id="rId16"/>
  </externalReferences>
  <definedNames>
    <definedName name="_xlnm._FilterDatabase" localSheetId="12" hidden="1">'⚡급등_전체'!$A$3:$M$3</definedName>
    <definedName name="_xlnm._FilterDatabase" localSheetId="5" hidden="1">Sheet1!$A$1:$S$167</definedName>
    <definedName name="_xlnm._FilterDatabase" localSheetId="13" hidden="1">📉급락_전체!$A$3:$M$3</definedName>
    <definedName name="_xlnm._FilterDatabase" localSheetId="11" hidden="1">변동성_전체상세!$A$2:$M$2</definedName>
    <definedName name="_xlnm._FilterDatabase" localSheetId="4" hidden="1">전체_완제품!$A$3:$J$1926</definedName>
    <definedName name="_xlnm.Print_Titles" localSheetId="5">Sheet1!$1:$1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13" i="15" l="1"/>
  <c r="R113" i="15" s="1"/>
  <c r="P167" i="15"/>
  <c r="P117" i="15"/>
  <c r="P68" i="15"/>
  <c r="P90" i="15"/>
  <c r="P6" i="15"/>
  <c r="P17" i="15"/>
  <c r="P33" i="15"/>
  <c r="P4" i="15"/>
  <c r="P60" i="15"/>
  <c r="P10" i="15"/>
  <c r="P41" i="15"/>
  <c r="P36" i="15"/>
  <c r="P19" i="15"/>
  <c r="P31" i="15"/>
  <c r="P24" i="15"/>
  <c r="P29" i="15"/>
  <c r="P44" i="15"/>
  <c r="P42" i="15"/>
  <c r="P7" i="15"/>
  <c r="P39" i="15"/>
  <c r="P52" i="15"/>
  <c r="P54" i="15"/>
  <c r="P12" i="15"/>
  <c r="P14" i="15"/>
  <c r="P77" i="15"/>
  <c r="P18" i="15"/>
  <c r="P13" i="15"/>
  <c r="P37" i="15"/>
  <c r="P140" i="15"/>
  <c r="P38" i="15"/>
  <c r="P11" i="15"/>
  <c r="P28" i="15"/>
  <c r="P25" i="15"/>
  <c r="P125" i="15"/>
  <c r="P15" i="15"/>
  <c r="P69" i="15"/>
  <c r="P20" i="15"/>
  <c r="P51" i="15"/>
  <c r="P84" i="15"/>
  <c r="P147" i="15"/>
  <c r="P87" i="15"/>
  <c r="P108" i="15"/>
  <c r="P30" i="15"/>
  <c r="P79" i="15"/>
  <c r="P55" i="15"/>
  <c r="P22" i="15"/>
  <c r="P70" i="15"/>
  <c r="P81" i="15"/>
  <c r="P83" i="15"/>
  <c r="P2" i="15"/>
  <c r="P34" i="15"/>
  <c r="P23" i="15"/>
  <c r="P63" i="15"/>
  <c r="P5" i="15"/>
  <c r="P67" i="15"/>
  <c r="P26" i="15"/>
  <c r="P134" i="15"/>
  <c r="P86" i="15"/>
  <c r="P92" i="15"/>
  <c r="P164" i="15"/>
  <c r="P136" i="15"/>
  <c r="P64" i="15"/>
  <c r="P162" i="15"/>
  <c r="P137" i="15"/>
  <c r="P123" i="15"/>
  <c r="P159" i="15"/>
  <c r="P114" i="15"/>
  <c r="P110" i="15"/>
  <c r="P130" i="15"/>
  <c r="P32" i="15"/>
  <c r="P93" i="15"/>
  <c r="P115" i="15"/>
  <c r="P151" i="15"/>
  <c r="P74" i="15"/>
  <c r="P138" i="15"/>
  <c r="P21" i="15"/>
  <c r="P3" i="15"/>
  <c r="P45" i="15"/>
  <c r="P40" i="15"/>
  <c r="P56" i="15"/>
  <c r="P72" i="15"/>
  <c r="P61" i="15"/>
  <c r="P124" i="15"/>
  <c r="P66" i="15"/>
  <c r="P47" i="15"/>
  <c r="P132" i="15"/>
  <c r="P122" i="15"/>
  <c r="P152" i="15"/>
  <c r="P120" i="15"/>
  <c r="P76" i="15"/>
  <c r="P49" i="15"/>
  <c r="P88" i="15"/>
  <c r="P57" i="15"/>
  <c r="P50" i="15"/>
  <c r="P85" i="15"/>
  <c r="P94" i="15"/>
  <c r="P80" i="15"/>
  <c r="P16" i="15"/>
  <c r="P98" i="15"/>
  <c r="P43" i="15"/>
  <c r="P111" i="15"/>
  <c r="P101" i="15"/>
  <c r="P109" i="15"/>
  <c r="P65" i="15"/>
  <c r="P91" i="15"/>
  <c r="P141" i="15"/>
  <c r="P146" i="15"/>
  <c r="P106" i="15"/>
  <c r="P58" i="15"/>
  <c r="P142" i="15"/>
  <c r="P8" i="15"/>
  <c r="P75" i="15"/>
  <c r="P9" i="15"/>
  <c r="P143" i="15"/>
  <c r="P99" i="15"/>
  <c r="P97" i="15"/>
  <c r="P71" i="15"/>
  <c r="P27" i="15"/>
  <c r="P126" i="15"/>
  <c r="P150" i="15"/>
  <c r="P153" i="15"/>
  <c r="P148" i="15"/>
  <c r="P166" i="15"/>
  <c r="P35" i="15"/>
  <c r="P104" i="15"/>
  <c r="P154" i="15"/>
  <c r="P155" i="15"/>
  <c r="P129" i="15"/>
  <c r="P144" i="15"/>
  <c r="P53" i="15"/>
  <c r="P59" i="15"/>
  <c r="P73" i="15"/>
  <c r="P160" i="15"/>
  <c r="P102" i="15"/>
  <c r="P165" i="15"/>
  <c r="P145" i="15"/>
  <c r="P107" i="15"/>
  <c r="P118" i="15"/>
  <c r="P48" i="15"/>
  <c r="P156" i="15"/>
  <c r="P78" i="15"/>
  <c r="P133" i="15"/>
  <c r="P103" i="15"/>
  <c r="P82" i="15"/>
  <c r="P163" i="15"/>
  <c r="P135" i="15"/>
  <c r="P62" i="15"/>
  <c r="P95" i="15"/>
  <c r="P105" i="15"/>
  <c r="P96" i="15"/>
  <c r="P116" i="15"/>
  <c r="P131" i="15"/>
  <c r="P119" i="15"/>
  <c r="P89" i="15"/>
  <c r="P112" i="15"/>
  <c r="P127" i="15"/>
  <c r="P149" i="15"/>
  <c r="P157" i="15"/>
  <c r="P46" i="15"/>
  <c r="P128" i="15"/>
  <c r="P121" i="15"/>
  <c r="P100" i="15"/>
  <c r="P139" i="15"/>
  <c r="P158" i="15"/>
  <c r="P161" i="15"/>
  <c r="P113" i="15"/>
  <c r="O117" i="15"/>
  <c r="O68" i="15"/>
  <c r="O90" i="15"/>
  <c r="O6" i="15"/>
  <c r="O17" i="15"/>
  <c r="O33" i="15"/>
  <c r="O4" i="15"/>
  <c r="O60" i="15"/>
  <c r="O10" i="15"/>
  <c r="O41" i="15"/>
  <c r="O36" i="15"/>
  <c r="O19" i="15"/>
  <c r="O31" i="15"/>
  <c r="O24" i="15"/>
  <c r="O29" i="15"/>
  <c r="O44" i="15"/>
  <c r="O42" i="15"/>
  <c r="O7" i="15"/>
  <c r="O39" i="15"/>
  <c r="O52" i="15"/>
  <c r="O54" i="15"/>
  <c r="O12" i="15"/>
  <c r="O14" i="15"/>
  <c r="O77" i="15"/>
  <c r="O18" i="15"/>
  <c r="O13" i="15"/>
  <c r="O37" i="15"/>
  <c r="O140" i="15"/>
  <c r="O38" i="15"/>
  <c r="O11" i="15"/>
  <c r="O28" i="15"/>
  <c r="O25" i="15"/>
  <c r="O125" i="15"/>
  <c r="O15" i="15"/>
  <c r="O69" i="15"/>
  <c r="O20" i="15"/>
  <c r="O51" i="15"/>
  <c r="O84" i="15"/>
  <c r="O147" i="15"/>
  <c r="O87" i="15"/>
  <c r="O108" i="15"/>
  <c r="O30" i="15"/>
  <c r="O79" i="15"/>
  <c r="O55" i="15"/>
  <c r="O22" i="15"/>
  <c r="O70" i="15"/>
  <c r="O81" i="15"/>
  <c r="O83" i="15"/>
  <c r="O2" i="15"/>
  <c r="O34" i="15"/>
  <c r="O23" i="15"/>
  <c r="O63" i="15"/>
  <c r="O167" i="15"/>
  <c r="O5" i="15"/>
  <c r="O67" i="15"/>
  <c r="O26" i="15"/>
  <c r="O134" i="15"/>
  <c r="O86" i="15"/>
  <c r="O92" i="15"/>
  <c r="O164" i="15"/>
  <c r="O136" i="15"/>
  <c r="O64" i="15"/>
  <c r="O162" i="15"/>
  <c r="O137" i="15"/>
  <c r="O123" i="15"/>
  <c r="O159" i="15"/>
  <c r="O114" i="15"/>
  <c r="O110" i="15"/>
  <c r="O130" i="15"/>
  <c r="O32" i="15"/>
  <c r="O93" i="15"/>
  <c r="O115" i="15"/>
  <c r="O151" i="15"/>
  <c r="O74" i="15"/>
  <c r="O138" i="15"/>
  <c r="O21" i="15"/>
  <c r="O3" i="15"/>
  <c r="O45" i="15"/>
  <c r="O40" i="15"/>
  <c r="O56" i="15"/>
  <c r="O72" i="15"/>
  <c r="O61" i="15"/>
  <c r="O124" i="15"/>
  <c r="O66" i="15"/>
  <c r="O47" i="15"/>
  <c r="O132" i="15"/>
  <c r="O122" i="15"/>
  <c r="O152" i="15"/>
  <c r="O120" i="15"/>
  <c r="O76" i="15"/>
  <c r="O49" i="15"/>
  <c r="O88" i="15"/>
  <c r="O57" i="15"/>
  <c r="O50" i="15"/>
  <c r="O85" i="15"/>
  <c r="O94" i="15"/>
  <c r="O80" i="15"/>
  <c r="O16" i="15"/>
  <c r="O98" i="15"/>
  <c r="O43" i="15"/>
  <c r="O111" i="15"/>
  <c r="O101" i="15"/>
  <c r="O109" i="15"/>
  <c r="O65" i="15"/>
  <c r="O91" i="15"/>
  <c r="O141" i="15"/>
  <c r="O146" i="15"/>
  <c r="O106" i="15"/>
  <c r="O58" i="15"/>
  <c r="O142" i="15"/>
  <c r="O8" i="15"/>
  <c r="O75" i="15"/>
  <c r="O9" i="15"/>
  <c r="O143" i="15"/>
  <c r="O99" i="15"/>
  <c r="O97" i="15"/>
  <c r="O71" i="15"/>
  <c r="O27" i="15"/>
  <c r="O126" i="15"/>
  <c r="O150" i="15"/>
  <c r="O153" i="15"/>
  <c r="O148" i="15"/>
  <c r="O166" i="15"/>
  <c r="O35" i="15"/>
  <c r="O104" i="15"/>
  <c r="O154" i="15"/>
  <c r="O155" i="15"/>
  <c r="O129" i="15"/>
  <c r="O144" i="15"/>
  <c r="O53" i="15"/>
  <c r="O59" i="15"/>
  <c r="O73" i="15"/>
  <c r="O160" i="15"/>
  <c r="O102" i="15"/>
  <c r="O165" i="15"/>
  <c r="O145" i="15"/>
  <c r="O107" i="15"/>
  <c r="O118" i="15"/>
  <c r="O48" i="15"/>
  <c r="O156" i="15"/>
  <c r="O78" i="15"/>
  <c r="O133" i="15"/>
  <c r="O103" i="15"/>
  <c r="O82" i="15"/>
  <c r="O163" i="15"/>
  <c r="O135" i="15"/>
  <c r="O62" i="15"/>
  <c r="O95" i="15"/>
  <c r="O105" i="15"/>
  <c r="O96" i="15"/>
  <c r="O116" i="15"/>
  <c r="O131" i="15"/>
  <c r="O119" i="15"/>
  <c r="O89" i="15"/>
  <c r="O112" i="15"/>
  <c r="O127" i="15"/>
  <c r="O149" i="15"/>
  <c r="O157" i="15"/>
  <c r="O46" i="15"/>
  <c r="O128" i="15"/>
  <c r="O121" i="15"/>
  <c r="O100" i="15"/>
  <c r="O139" i="15"/>
  <c r="O158" i="15"/>
  <c r="O161" i="15"/>
  <c r="O113" i="15"/>
  <c r="N10" i="15"/>
  <c r="Q117" i="15"/>
  <c r="R117" i="15" s="1"/>
  <c r="S117" i="15" s="1"/>
  <c r="Q68" i="15"/>
  <c r="R68" i="15" s="1"/>
  <c r="Q90" i="15"/>
  <c r="R90" i="15" s="1"/>
  <c r="Q6" i="15"/>
  <c r="R6" i="15" s="1"/>
  <c r="Q17" i="15"/>
  <c r="R17" i="15" s="1"/>
  <c r="Q33" i="15"/>
  <c r="R33" i="15" s="1"/>
  <c r="Q4" i="15"/>
  <c r="R4" i="15" s="1"/>
  <c r="Q60" i="15"/>
  <c r="R60" i="15" s="1"/>
  <c r="Q10" i="15"/>
  <c r="Q41" i="15"/>
  <c r="Q36" i="15"/>
  <c r="R36" i="15" s="1"/>
  <c r="Q19" i="15"/>
  <c r="R19" i="15" s="1"/>
  <c r="Q31" i="15"/>
  <c r="R31" i="15" s="1"/>
  <c r="Q24" i="15"/>
  <c r="R24" i="15" s="1"/>
  <c r="Q29" i="15"/>
  <c r="Q44" i="15"/>
  <c r="Q42" i="15"/>
  <c r="R42" i="15" s="1"/>
  <c r="Q7" i="15"/>
  <c r="R7" i="15" s="1"/>
  <c r="Q39" i="15"/>
  <c r="Q52" i="15"/>
  <c r="R52" i="15" s="1"/>
  <c r="Q54" i="15"/>
  <c r="R54" i="15" s="1"/>
  <c r="Q12" i="15"/>
  <c r="R12" i="15" s="1"/>
  <c r="Q14" i="15"/>
  <c r="R14" i="15" s="1"/>
  <c r="S14" i="15" s="1"/>
  <c r="Q77" i="15"/>
  <c r="R77" i="15" s="1"/>
  <c r="Q18" i="15"/>
  <c r="R18" i="15" s="1"/>
  <c r="S18" i="15" s="1"/>
  <c r="Q13" i="15"/>
  <c r="R13" i="15" s="1"/>
  <c r="S13" i="15" s="1"/>
  <c r="Q37" i="15"/>
  <c r="Q140" i="15"/>
  <c r="Q38" i="15"/>
  <c r="R38" i="15" s="1"/>
  <c r="Q11" i="15"/>
  <c r="Q28" i="15"/>
  <c r="R28" i="15" s="1"/>
  <c r="Q25" i="15"/>
  <c r="R25" i="15" s="1"/>
  <c r="Q125" i="15"/>
  <c r="Q15" i="15"/>
  <c r="R15" i="15" s="1"/>
  <c r="Q69" i="15"/>
  <c r="R69" i="15" s="1"/>
  <c r="Q20" i="15"/>
  <c r="R20" i="15" s="1"/>
  <c r="Q51" i="15"/>
  <c r="Q84" i="15"/>
  <c r="Q147" i="15"/>
  <c r="Q87" i="15"/>
  <c r="R87" i="15" s="1"/>
  <c r="S87" i="15" s="1"/>
  <c r="Q108" i="15"/>
  <c r="Q30" i="15"/>
  <c r="R30" i="15" s="1"/>
  <c r="S30" i="15" s="1"/>
  <c r="Q79" i="15"/>
  <c r="R79" i="15" s="1"/>
  <c r="S79" i="15" s="1"/>
  <c r="Q55" i="15"/>
  <c r="R55" i="15" s="1"/>
  <c r="S55" i="15" s="1"/>
  <c r="Q22" i="15"/>
  <c r="R22" i="15" s="1"/>
  <c r="Q70" i="15"/>
  <c r="R70" i="15" s="1"/>
  <c r="Q81" i="15"/>
  <c r="Q83" i="15"/>
  <c r="R83" i="15" s="1"/>
  <c r="Q2" i="15"/>
  <c r="R2" i="15" s="1"/>
  <c r="Q34" i="15"/>
  <c r="R34" i="15" s="1"/>
  <c r="Q23" i="15"/>
  <c r="R23" i="15" s="1"/>
  <c r="Q63" i="15"/>
  <c r="Q167" i="15"/>
  <c r="Q5" i="15"/>
  <c r="R5" i="15" s="1"/>
  <c r="Q67" i="15"/>
  <c r="Q26" i="15"/>
  <c r="R26" i="15" s="1"/>
  <c r="Q134" i="15"/>
  <c r="Q86" i="15"/>
  <c r="Q92" i="15"/>
  <c r="R92" i="15" s="1"/>
  <c r="Q164" i="15"/>
  <c r="R164" i="15" s="1"/>
  <c r="Q136" i="15"/>
  <c r="Q64" i="15"/>
  <c r="R64" i="15" s="1"/>
  <c r="Q162" i="15"/>
  <c r="R162" i="15" s="1"/>
  <c r="Q137" i="15"/>
  <c r="R137" i="15" s="1"/>
  <c r="Q123" i="15"/>
  <c r="Q159" i="15"/>
  <c r="Q114" i="15"/>
  <c r="R114" i="15" s="1"/>
  <c r="S114" i="15" s="1"/>
  <c r="Q110" i="15"/>
  <c r="R110" i="15" s="1"/>
  <c r="Q130" i="15"/>
  <c r="R130" i="15" s="1"/>
  <c r="S130" i="15" s="1"/>
  <c r="Q32" i="15"/>
  <c r="Q93" i="15"/>
  <c r="R93" i="15" s="1"/>
  <c r="Q115" i="15"/>
  <c r="R115" i="15" s="1"/>
  <c r="Q151" i="15"/>
  <c r="R151" i="15" s="1"/>
  <c r="Q74" i="15"/>
  <c r="R74" i="15" s="1"/>
  <c r="Q138" i="15"/>
  <c r="Q21" i="15"/>
  <c r="R21" i="15" s="1"/>
  <c r="Q3" i="15"/>
  <c r="R3" i="15" s="1"/>
  <c r="Q45" i="15"/>
  <c r="R45" i="15" s="1"/>
  <c r="Q40" i="15"/>
  <c r="Q56" i="15"/>
  <c r="R56" i="15" s="1"/>
  <c r="S56" i="15" s="1"/>
  <c r="Q72" i="15"/>
  <c r="R72" i="15" s="1"/>
  <c r="S72" i="15" s="1"/>
  <c r="Q61" i="15"/>
  <c r="R61" i="15" s="1"/>
  <c r="Q124" i="15"/>
  <c r="R124" i="15" s="1"/>
  <c r="S124" i="15" s="1"/>
  <c r="Q66" i="15"/>
  <c r="R66" i="15" s="1"/>
  <c r="S66" i="15" s="1"/>
  <c r="Q47" i="15"/>
  <c r="R47" i="15" s="1"/>
  <c r="S47" i="15" s="1"/>
  <c r="Q132" i="15"/>
  <c r="R132" i="15" s="1"/>
  <c r="S132" i="15" s="1"/>
  <c r="Q122" i="15"/>
  <c r="R122" i="15" s="1"/>
  <c r="Q152" i="15"/>
  <c r="R152" i="15" s="1"/>
  <c r="Q120" i="15"/>
  <c r="Q76" i="15"/>
  <c r="R76" i="15" s="1"/>
  <c r="Q49" i="15"/>
  <c r="R49" i="15" s="1"/>
  <c r="Q88" i="15"/>
  <c r="R88" i="15" s="1"/>
  <c r="Q57" i="15"/>
  <c r="R57" i="15" s="1"/>
  <c r="Q50" i="15"/>
  <c r="R50" i="15" s="1"/>
  <c r="S50" i="15" s="1"/>
  <c r="Q85" i="15"/>
  <c r="R85" i="15" s="1"/>
  <c r="S85" i="15" s="1"/>
  <c r="Q94" i="15"/>
  <c r="Q80" i="15"/>
  <c r="R80" i="15" s="1"/>
  <c r="Q16" i="15"/>
  <c r="R16" i="15" s="1"/>
  <c r="Q98" i="15"/>
  <c r="Q43" i="15"/>
  <c r="Q111" i="15"/>
  <c r="R111" i="15" s="1"/>
  <c r="Q101" i="15"/>
  <c r="R101" i="15" s="1"/>
  <c r="Q109" i="15"/>
  <c r="Q65" i="15"/>
  <c r="R65" i="15" s="1"/>
  <c r="Q91" i="15"/>
  <c r="R91" i="15" s="1"/>
  <c r="Q141" i="15"/>
  <c r="R141" i="15" s="1"/>
  <c r="Q146" i="15"/>
  <c r="Q106" i="15"/>
  <c r="R106" i="15" s="1"/>
  <c r="S106" i="15" s="1"/>
  <c r="Q58" i="15"/>
  <c r="R58" i="15" s="1"/>
  <c r="S58" i="15" s="1"/>
  <c r="Q142" i="15"/>
  <c r="R142" i="15" s="1"/>
  <c r="Q8" i="15"/>
  <c r="R8" i="15" s="1"/>
  <c r="Q75" i="15"/>
  <c r="Q9" i="15"/>
  <c r="R9" i="15" s="1"/>
  <c r="Q143" i="15"/>
  <c r="Q99" i="15"/>
  <c r="R99" i="15" s="1"/>
  <c r="Q97" i="15"/>
  <c r="R97" i="15" s="1"/>
  <c r="Q71" i="15"/>
  <c r="Q27" i="15"/>
  <c r="R27" i="15" s="1"/>
  <c r="Q126" i="15"/>
  <c r="R126" i="15" s="1"/>
  <c r="Q150" i="15"/>
  <c r="R150" i="15" s="1"/>
  <c r="Q153" i="15"/>
  <c r="R153" i="15" s="1"/>
  <c r="Q148" i="15"/>
  <c r="R148" i="15" s="1"/>
  <c r="S148" i="15" s="1"/>
  <c r="Q166" i="15"/>
  <c r="Q35" i="15"/>
  <c r="R35" i="15" s="1"/>
  <c r="S35" i="15" s="1"/>
  <c r="Q104" i="15"/>
  <c r="R104" i="15" s="1"/>
  <c r="S104" i="15" s="1"/>
  <c r="Q154" i="15"/>
  <c r="R154" i="15" s="1"/>
  <c r="Q155" i="15"/>
  <c r="Q129" i="15"/>
  <c r="Q144" i="15"/>
  <c r="R144" i="15" s="1"/>
  <c r="Q53" i="15"/>
  <c r="R53" i="15" s="1"/>
  <c r="Q59" i="15"/>
  <c r="Q73" i="15"/>
  <c r="R73" i="15" s="1"/>
  <c r="Q160" i="15"/>
  <c r="R160" i="15" s="1"/>
  <c r="Q102" i="15"/>
  <c r="R102" i="15" s="1"/>
  <c r="Q165" i="15"/>
  <c r="Q145" i="15"/>
  <c r="Q107" i="15"/>
  <c r="Q118" i="15"/>
  <c r="R118" i="15" s="1"/>
  <c r="S118" i="15" s="1"/>
  <c r="Q48" i="15"/>
  <c r="R48" i="15" s="1"/>
  <c r="S48" i="15" s="1"/>
  <c r="Q156" i="15"/>
  <c r="R156" i="15" s="1"/>
  <c r="Q78" i="15"/>
  <c r="R78" i="15" s="1"/>
  <c r="Q133" i="15"/>
  <c r="Q103" i="15"/>
  <c r="R103" i="15" s="1"/>
  <c r="Q82" i="15"/>
  <c r="R82" i="15" s="1"/>
  <c r="Q163" i="15"/>
  <c r="Q135" i="15"/>
  <c r="R135" i="15" s="1"/>
  <c r="Q62" i="15"/>
  <c r="R62" i="15" s="1"/>
  <c r="Q95" i="15"/>
  <c r="R95" i="15" s="1"/>
  <c r="Q105" i="15"/>
  <c r="R105" i="15" s="1"/>
  <c r="Q96" i="15"/>
  <c r="Q116" i="15"/>
  <c r="Q131" i="15"/>
  <c r="R131" i="15" s="1"/>
  <c r="S131" i="15" s="1"/>
  <c r="Q119" i="15"/>
  <c r="R119" i="15" s="1"/>
  <c r="S119" i="15" s="1"/>
  <c r="Q89" i="15"/>
  <c r="R89" i="15" s="1"/>
  <c r="S89" i="15" s="1"/>
  <c r="Q112" i="15"/>
  <c r="R112" i="15" s="1"/>
  <c r="S112" i="15" s="1"/>
  <c r="Q127" i="15"/>
  <c r="Q149" i="15"/>
  <c r="R149" i="15" s="1"/>
  <c r="Q157" i="15"/>
  <c r="R157" i="15" s="1"/>
  <c r="Q46" i="15"/>
  <c r="Q128" i="15"/>
  <c r="R128" i="15" s="1"/>
  <c r="Q121" i="15"/>
  <c r="R121" i="15" s="1"/>
  <c r="Q100" i="15"/>
  <c r="R100" i="15" s="1"/>
  <c r="Q139" i="15"/>
  <c r="R139" i="15" s="1"/>
  <c r="S139" i="15" s="1"/>
  <c r="Q158" i="15"/>
  <c r="R158" i="15" s="1"/>
  <c r="Q161" i="15"/>
  <c r="R161" i="15" s="1"/>
  <c r="N3" i="15"/>
  <c r="N4" i="15"/>
  <c r="N5" i="15"/>
  <c r="N6" i="15"/>
  <c r="N7" i="15"/>
  <c r="N8" i="15"/>
  <c r="N9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8" i="15"/>
  <c r="N57" i="15"/>
  <c r="N59" i="15"/>
  <c r="N60" i="15"/>
  <c r="N61" i="15"/>
  <c r="N62" i="15"/>
  <c r="N63" i="15"/>
  <c r="N64" i="15"/>
  <c r="N65" i="15"/>
  <c r="N66" i="15"/>
  <c r="N67" i="15"/>
  <c r="N69" i="15"/>
  <c r="N68" i="15"/>
  <c r="N70" i="15"/>
  <c r="N71" i="15"/>
  <c r="N72" i="15"/>
  <c r="N73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7" i="15"/>
  <c r="N88" i="15"/>
  <c r="N89" i="15"/>
  <c r="N90" i="15"/>
  <c r="N91" i="15"/>
  <c r="N92" i="15"/>
  <c r="N94" i="15"/>
  <c r="N93" i="15"/>
  <c r="N95" i="15"/>
  <c r="N96" i="15"/>
  <c r="N97" i="15"/>
  <c r="N98" i="15"/>
  <c r="N99" i="15"/>
  <c r="N100" i="15"/>
  <c r="N101" i="15"/>
  <c r="N102" i="15"/>
  <c r="N103" i="15"/>
  <c r="N104" i="15"/>
  <c r="N106" i="15"/>
  <c r="N105" i="15"/>
  <c r="N107" i="15"/>
  <c r="N108" i="15"/>
  <c r="N109" i="15"/>
  <c r="N110" i="15"/>
  <c r="N111" i="15"/>
  <c r="N112" i="15"/>
  <c r="N113" i="15"/>
  <c r="N114" i="15"/>
  <c r="N115" i="15"/>
  <c r="N116" i="15"/>
  <c r="N117" i="15"/>
  <c r="N119" i="15"/>
  <c r="N118" i="15"/>
  <c r="N120" i="15"/>
  <c r="N121" i="15"/>
  <c r="N122" i="15"/>
  <c r="N127" i="15"/>
  <c r="N123" i="15"/>
  <c r="N126" i="15"/>
  <c r="N124" i="15"/>
  <c r="N125" i="15"/>
  <c r="N128" i="15"/>
  <c r="N129" i="15"/>
  <c r="N131" i="15"/>
  <c r="N130" i="15"/>
  <c r="N132" i="15"/>
  <c r="N133" i="15"/>
  <c r="N134" i="15"/>
  <c r="N135" i="15"/>
  <c r="N136" i="15"/>
  <c r="N137" i="15"/>
  <c r="N138" i="15"/>
  <c r="N139" i="15"/>
  <c r="N140" i="15"/>
  <c r="N145" i="15"/>
  <c r="N142" i="15"/>
  <c r="N143" i="15"/>
  <c r="N144" i="15"/>
  <c r="N141" i="15"/>
  <c r="N146" i="15"/>
  <c r="N147" i="15"/>
  <c r="N148" i="15"/>
  <c r="N149" i="15"/>
  <c r="N156" i="15"/>
  <c r="N155" i="15"/>
  <c r="N150" i="15"/>
  <c r="N151" i="15"/>
  <c r="N152" i="15"/>
  <c r="N157" i="15"/>
  <c r="N153" i="15"/>
  <c r="N154" i="15"/>
  <c r="N158" i="15"/>
  <c r="N159" i="15"/>
  <c r="N160" i="15"/>
  <c r="N161" i="15"/>
  <c r="N163" i="15"/>
  <c r="N162" i="15"/>
  <c r="N164" i="15"/>
  <c r="N165" i="15"/>
  <c r="N166" i="15"/>
  <c r="N167" i="15"/>
  <c r="N2" i="15"/>
  <c r="M132" i="15"/>
  <c r="M139" i="15"/>
  <c r="M160" i="15"/>
  <c r="M93" i="15"/>
  <c r="M63" i="15"/>
  <c r="M134" i="15"/>
  <c r="M165" i="15"/>
  <c r="M141" i="15"/>
  <c r="M128" i="15"/>
  <c r="M154" i="15"/>
  <c r="M153" i="15"/>
  <c r="M94" i="15"/>
  <c r="M111" i="15"/>
  <c r="M162" i="15"/>
  <c r="M109" i="15"/>
  <c r="M117" i="15"/>
  <c r="M167" i="15"/>
  <c r="M62" i="15"/>
  <c r="M100" i="15"/>
  <c r="M46" i="15"/>
  <c r="M157" i="15"/>
  <c r="M152" i="15"/>
  <c r="M144" i="15"/>
  <c r="M76" i="15"/>
  <c r="M86" i="15"/>
  <c r="M57" i="15"/>
  <c r="M64" i="15"/>
  <c r="M80" i="15"/>
  <c r="M22" i="15"/>
  <c r="M28" i="15"/>
  <c r="M88" i="15"/>
  <c r="M151" i="15"/>
  <c r="M95" i="15"/>
  <c r="M102" i="15"/>
  <c r="M61" i="15"/>
  <c r="M125" i="15"/>
  <c r="M105" i="15"/>
  <c r="M122" i="15"/>
  <c r="M82" i="15"/>
  <c r="M66" i="15"/>
  <c r="M2" i="15"/>
  <c r="M32" i="15"/>
  <c r="M43" i="15"/>
  <c r="M120" i="15"/>
  <c r="M3" i="15"/>
  <c r="M53" i="15"/>
  <c r="M56" i="15"/>
  <c r="M35" i="15"/>
  <c r="M40" i="15"/>
  <c r="M104" i="15"/>
  <c r="M159" i="15"/>
  <c r="M34" i="15"/>
  <c r="M45" i="15"/>
  <c r="M150" i="15"/>
  <c r="M124" i="15"/>
  <c r="M155" i="15"/>
  <c r="M27" i="15"/>
  <c r="M30" i="15"/>
  <c r="M148" i="15"/>
  <c r="M138" i="15"/>
  <c r="M126" i="15"/>
  <c r="M115" i="15"/>
  <c r="M9" i="15"/>
  <c r="M20" i="15"/>
  <c r="M97" i="15"/>
  <c r="M164" i="15"/>
  <c r="M16" i="15"/>
  <c r="M47" i="15"/>
  <c r="M75" i="15"/>
  <c r="M73" i="15"/>
  <c r="M143" i="15"/>
  <c r="M114" i="15"/>
  <c r="M142" i="15"/>
  <c r="M137" i="15"/>
  <c r="M8" i="15"/>
  <c r="M15" i="15"/>
  <c r="M71" i="15"/>
  <c r="M110" i="15"/>
  <c r="M123" i="15"/>
  <c r="M91" i="15"/>
  <c r="M92" i="15"/>
  <c r="M106" i="15"/>
  <c r="M136" i="15"/>
  <c r="M5" i="15"/>
  <c r="M11" i="15"/>
  <c r="M58" i="15"/>
  <c r="M130" i="15"/>
  <c r="M156" i="15"/>
  <c r="M129" i="15"/>
  <c r="M161" i="15"/>
  <c r="M133" i="15"/>
  <c r="M54" i="15"/>
  <c r="M17" i="15"/>
  <c r="M118" i="15"/>
  <c r="M65" i="15"/>
  <c r="M44" i="15"/>
  <c r="M107" i="15"/>
  <c r="M83" i="15"/>
  <c r="M101" i="15"/>
  <c r="M55" i="15"/>
  <c r="M33" i="15"/>
  <c r="M145" i="15"/>
  <c r="M85" i="15"/>
  <c r="M51" i="15"/>
  <c r="M49" i="15"/>
  <c r="M42" i="15"/>
  <c r="M39" i="15"/>
  <c r="M6" i="15"/>
  <c r="M21" i="15"/>
  <c r="M24" i="15"/>
  <c r="M26" i="15"/>
  <c r="M13" i="15"/>
  <c r="M127" i="15"/>
  <c r="M7" i="15"/>
  <c r="M19" i="15"/>
  <c r="M23" i="15"/>
  <c r="M10" i="15"/>
  <c r="M119" i="15"/>
  <c r="M25" i="15"/>
  <c r="M4" i="15"/>
  <c r="M135" i="15"/>
  <c r="M146" i="15"/>
  <c r="M158" i="15"/>
  <c r="M81" i="15"/>
  <c r="M121" i="15"/>
  <c r="M149" i="15"/>
  <c r="M84" i="15"/>
  <c r="M112" i="15"/>
  <c r="M116" i="15"/>
  <c r="M103" i="15"/>
  <c r="M99" i="15"/>
  <c r="M90" i="15"/>
  <c r="M29" i="15"/>
  <c r="M166" i="15"/>
  <c r="M79" i="15"/>
  <c r="M147" i="15"/>
  <c r="M108" i="15"/>
  <c r="M72" i="15"/>
  <c r="M68" i="15"/>
  <c r="M31" i="15"/>
  <c r="M74" i="15"/>
  <c r="M98" i="15"/>
  <c r="M38" i="15"/>
  <c r="M36" i="15"/>
  <c r="M87" i="15"/>
  <c r="M37" i="15"/>
  <c r="M77" i="15"/>
  <c r="M18" i="15"/>
  <c r="M113" i="15"/>
  <c r="M41" i="15"/>
  <c r="M52" i="15"/>
  <c r="M14" i="15"/>
  <c r="M60" i="15"/>
  <c r="M12" i="15"/>
  <c r="M69" i="15"/>
  <c r="M89" i="15"/>
  <c r="M67" i="15"/>
  <c r="M131" i="15"/>
  <c r="M96" i="15"/>
  <c r="M70" i="15"/>
  <c r="M78" i="15"/>
  <c r="M163" i="15"/>
  <c r="M48" i="15"/>
  <c r="M140" i="15"/>
  <c r="M59" i="15"/>
  <c r="M50" i="1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4" i="5"/>
  <c r="I221" i="9"/>
  <c r="H221" i="9"/>
  <c r="G221" i="9"/>
  <c r="F221" i="9"/>
  <c r="E221" i="9"/>
  <c r="I212" i="9"/>
  <c r="H212" i="9"/>
  <c r="G212" i="9"/>
  <c r="F212" i="9"/>
  <c r="E212" i="9"/>
  <c r="I197" i="9"/>
  <c r="H197" i="9"/>
  <c r="G197" i="9"/>
  <c r="F197" i="9"/>
  <c r="E197" i="9"/>
  <c r="I183" i="9"/>
  <c r="H183" i="9"/>
  <c r="G183" i="9"/>
  <c r="F183" i="9"/>
  <c r="E183" i="9"/>
  <c r="I168" i="9"/>
  <c r="H168" i="9"/>
  <c r="G168" i="9"/>
  <c r="F168" i="9"/>
  <c r="E168" i="9"/>
  <c r="I154" i="9"/>
  <c r="H154" i="9"/>
  <c r="G154" i="9"/>
  <c r="F154" i="9"/>
  <c r="E154" i="9"/>
  <c r="I139" i="9"/>
  <c r="H139" i="9"/>
  <c r="G139" i="9"/>
  <c r="F139" i="9"/>
  <c r="E139" i="9"/>
  <c r="I131" i="9"/>
  <c r="H131" i="9"/>
  <c r="G131" i="9"/>
  <c r="F131" i="9"/>
  <c r="E131" i="9"/>
  <c r="I116" i="9"/>
  <c r="H116" i="9"/>
  <c r="G116" i="9"/>
  <c r="F116" i="9"/>
  <c r="E116" i="9"/>
  <c r="I102" i="9"/>
  <c r="H102" i="9"/>
  <c r="G102" i="9"/>
  <c r="F102" i="9"/>
  <c r="E102" i="9"/>
  <c r="I87" i="9"/>
  <c r="H87" i="9"/>
  <c r="G87" i="9"/>
  <c r="F87" i="9"/>
  <c r="E87" i="9"/>
  <c r="I73" i="9"/>
  <c r="H73" i="9"/>
  <c r="G73" i="9"/>
  <c r="F73" i="9"/>
  <c r="E73" i="9"/>
  <c r="I58" i="9"/>
  <c r="H58" i="9"/>
  <c r="G58" i="9"/>
  <c r="F58" i="9"/>
  <c r="E58" i="9"/>
  <c r="I44" i="9"/>
  <c r="H44" i="9"/>
  <c r="G44" i="9"/>
  <c r="F44" i="9"/>
  <c r="E44" i="9"/>
  <c r="I29" i="9"/>
  <c r="H29" i="9"/>
  <c r="G29" i="9"/>
  <c r="F29" i="9"/>
  <c r="E29" i="9"/>
  <c r="I15" i="9"/>
  <c r="H15" i="9"/>
  <c r="G15" i="9"/>
  <c r="F15" i="9"/>
  <c r="E15" i="9"/>
  <c r="H1926" i="8"/>
  <c r="H1925" i="8"/>
  <c r="H1924" i="8"/>
  <c r="H1923" i="8"/>
  <c r="H1922" i="8"/>
  <c r="H1921" i="8"/>
  <c r="H1920" i="8"/>
  <c r="H1919" i="8"/>
  <c r="H1918" i="8"/>
  <c r="H1917" i="8"/>
  <c r="H1916" i="8"/>
  <c r="H1915" i="8"/>
  <c r="H1914" i="8"/>
  <c r="H1913" i="8"/>
  <c r="H1912" i="8"/>
  <c r="H1911" i="8"/>
  <c r="H1910" i="8"/>
  <c r="H1909" i="8"/>
  <c r="H1908" i="8"/>
  <c r="H1907" i="8"/>
  <c r="H1906" i="8"/>
  <c r="H1905" i="8"/>
  <c r="H1904" i="8"/>
  <c r="H1903" i="8"/>
  <c r="H1902" i="8"/>
  <c r="H1901" i="8"/>
  <c r="H1900" i="8"/>
  <c r="H1899" i="8"/>
  <c r="H1898" i="8"/>
  <c r="H1897" i="8"/>
  <c r="H1896" i="8"/>
  <c r="H1895" i="8"/>
  <c r="H1894" i="8"/>
  <c r="H1893" i="8"/>
  <c r="H1892" i="8"/>
  <c r="H1891" i="8"/>
  <c r="H1890" i="8"/>
  <c r="H1889" i="8"/>
  <c r="H1888" i="8"/>
  <c r="H1887" i="8"/>
  <c r="H1886" i="8"/>
  <c r="H1885" i="8"/>
  <c r="H1884" i="8"/>
  <c r="H1883" i="8"/>
  <c r="H1882" i="8"/>
  <c r="H1881" i="8"/>
  <c r="H1880" i="8"/>
  <c r="H1879" i="8"/>
  <c r="H1878" i="8"/>
  <c r="H1877" i="8"/>
  <c r="H1876" i="8"/>
  <c r="H1875" i="8"/>
  <c r="H1874" i="8"/>
  <c r="H1873" i="8"/>
  <c r="H1872" i="8"/>
  <c r="H1871" i="8"/>
  <c r="H1870" i="8"/>
  <c r="H1869" i="8"/>
  <c r="H1868" i="8"/>
  <c r="H1867" i="8"/>
  <c r="H1866" i="8"/>
  <c r="H1865" i="8"/>
  <c r="H1864" i="8"/>
  <c r="H1863" i="8"/>
  <c r="H1862" i="8"/>
  <c r="H1861" i="8"/>
  <c r="H1860" i="8"/>
  <c r="H1859" i="8"/>
  <c r="H1858" i="8"/>
  <c r="H1857" i="8"/>
  <c r="H1856" i="8"/>
  <c r="H1855" i="8"/>
  <c r="H1854" i="8"/>
  <c r="H1853" i="8"/>
  <c r="H1852" i="8"/>
  <c r="H1851" i="8"/>
  <c r="H1850" i="8"/>
  <c r="H1849" i="8"/>
  <c r="H1848" i="8"/>
  <c r="H1847" i="8"/>
  <c r="H1846" i="8"/>
  <c r="H1845" i="8"/>
  <c r="H1844" i="8"/>
  <c r="H1843" i="8"/>
  <c r="H1842" i="8"/>
  <c r="H1841" i="8"/>
  <c r="H1840" i="8"/>
  <c r="H1839" i="8"/>
  <c r="H1838" i="8"/>
  <c r="H1837" i="8"/>
  <c r="H1836" i="8"/>
  <c r="H1835" i="8"/>
  <c r="H1834" i="8"/>
  <c r="H1833" i="8"/>
  <c r="H1832" i="8"/>
  <c r="H1831" i="8"/>
  <c r="H1830" i="8"/>
  <c r="H1829" i="8"/>
  <c r="H1828" i="8"/>
  <c r="H1827" i="8"/>
  <c r="H1826" i="8"/>
  <c r="H1825" i="8"/>
  <c r="H1824" i="8"/>
  <c r="H1823" i="8"/>
  <c r="H1822" i="8"/>
  <c r="H1821" i="8"/>
  <c r="H1820" i="8"/>
  <c r="H1819" i="8"/>
  <c r="H1818" i="8"/>
  <c r="H1817" i="8"/>
  <c r="H1816" i="8"/>
  <c r="H1815" i="8"/>
  <c r="H1814" i="8"/>
  <c r="H1813" i="8"/>
  <c r="H1812" i="8"/>
  <c r="H1811" i="8"/>
  <c r="H1810" i="8"/>
  <c r="H1809" i="8"/>
  <c r="H1808" i="8"/>
  <c r="H1807" i="8"/>
  <c r="H1806" i="8"/>
  <c r="H1805" i="8"/>
  <c r="H1804" i="8"/>
  <c r="H1803" i="8"/>
  <c r="H1802" i="8"/>
  <c r="H1801" i="8"/>
  <c r="H1800" i="8"/>
  <c r="H1799" i="8"/>
  <c r="H1798" i="8"/>
  <c r="H1797" i="8"/>
  <c r="H1796" i="8"/>
  <c r="H1795" i="8"/>
  <c r="H1794" i="8"/>
  <c r="H1793" i="8"/>
  <c r="H1792" i="8"/>
  <c r="H1791" i="8"/>
  <c r="H1790" i="8"/>
  <c r="H1789" i="8"/>
  <c r="H1788" i="8"/>
  <c r="H1787" i="8"/>
  <c r="H1786" i="8"/>
  <c r="H1785" i="8"/>
  <c r="H1784" i="8"/>
  <c r="H1783" i="8"/>
  <c r="H1782" i="8"/>
  <c r="H1781" i="8"/>
  <c r="H1780" i="8"/>
  <c r="H1779" i="8"/>
  <c r="H1778" i="8"/>
  <c r="H1777" i="8"/>
  <c r="H1776" i="8"/>
  <c r="H1775" i="8"/>
  <c r="H1774" i="8"/>
  <c r="H1773" i="8"/>
  <c r="H1772" i="8"/>
  <c r="H1771" i="8"/>
  <c r="H1770" i="8"/>
  <c r="H1769" i="8"/>
  <c r="H1768" i="8"/>
  <c r="H1767" i="8"/>
  <c r="H1766" i="8"/>
  <c r="H1765" i="8"/>
  <c r="H1764" i="8"/>
  <c r="H1763" i="8"/>
  <c r="H1762" i="8"/>
  <c r="H1761" i="8"/>
  <c r="H1760" i="8"/>
  <c r="H1759" i="8"/>
  <c r="H1758" i="8"/>
  <c r="H1757" i="8"/>
  <c r="H1756" i="8"/>
  <c r="H1755" i="8"/>
  <c r="H1754" i="8"/>
  <c r="H1753" i="8"/>
  <c r="H1752" i="8"/>
  <c r="H1751" i="8"/>
  <c r="H1750" i="8"/>
  <c r="H1749" i="8"/>
  <c r="H1748" i="8"/>
  <c r="H1747" i="8"/>
  <c r="H1746" i="8"/>
  <c r="H1745" i="8"/>
  <c r="H1744" i="8"/>
  <c r="H1743" i="8"/>
  <c r="H1742" i="8"/>
  <c r="H1741" i="8"/>
  <c r="H1740" i="8"/>
  <c r="H1739" i="8"/>
  <c r="H1738" i="8"/>
  <c r="H1737" i="8"/>
  <c r="H1736" i="8"/>
  <c r="H1735" i="8"/>
  <c r="H1734" i="8"/>
  <c r="H1733" i="8"/>
  <c r="H1732" i="8"/>
  <c r="H1731" i="8"/>
  <c r="H1730" i="8"/>
  <c r="H1729" i="8"/>
  <c r="H1728" i="8"/>
  <c r="H1727" i="8"/>
  <c r="H1726" i="8"/>
  <c r="H1725" i="8"/>
  <c r="H1724" i="8"/>
  <c r="H1723" i="8"/>
  <c r="H1722" i="8"/>
  <c r="H1721" i="8"/>
  <c r="H1720" i="8"/>
  <c r="H1719" i="8"/>
  <c r="H1718" i="8"/>
  <c r="H1717" i="8"/>
  <c r="H1716" i="8"/>
  <c r="H1715" i="8"/>
  <c r="H1714" i="8"/>
  <c r="H1713" i="8"/>
  <c r="H1712" i="8"/>
  <c r="H1711" i="8"/>
  <c r="H1710" i="8"/>
  <c r="H1709" i="8"/>
  <c r="H1708" i="8"/>
  <c r="H1707" i="8"/>
  <c r="H1706" i="8"/>
  <c r="H1705" i="8"/>
  <c r="H1704" i="8"/>
  <c r="H1703" i="8"/>
  <c r="H1702" i="8"/>
  <c r="H1701" i="8"/>
  <c r="H1700" i="8"/>
  <c r="H1699" i="8"/>
  <c r="H1698" i="8"/>
  <c r="H1697" i="8"/>
  <c r="H1696" i="8"/>
  <c r="H1695" i="8"/>
  <c r="H1694" i="8"/>
  <c r="H1693" i="8"/>
  <c r="H1692" i="8"/>
  <c r="H1691" i="8"/>
  <c r="H1690" i="8"/>
  <c r="H1689" i="8"/>
  <c r="H1688" i="8"/>
  <c r="H1687" i="8"/>
  <c r="H1686" i="8"/>
  <c r="H1685" i="8"/>
  <c r="H1684" i="8"/>
  <c r="H1683" i="8"/>
  <c r="H1682" i="8"/>
  <c r="H1681" i="8"/>
  <c r="H1680" i="8"/>
  <c r="H1679" i="8"/>
  <c r="H1678" i="8"/>
  <c r="H1677" i="8"/>
  <c r="H1676" i="8"/>
  <c r="H1675" i="8"/>
  <c r="H1674" i="8"/>
  <c r="H1673" i="8"/>
  <c r="H1672" i="8"/>
  <c r="H1671" i="8"/>
  <c r="H1670" i="8"/>
  <c r="H1669" i="8"/>
  <c r="H1668" i="8"/>
  <c r="H1667" i="8"/>
  <c r="H1666" i="8"/>
  <c r="H1665" i="8"/>
  <c r="H1664" i="8"/>
  <c r="H1663" i="8"/>
  <c r="H1662" i="8"/>
  <c r="H1661" i="8"/>
  <c r="H1660" i="8"/>
  <c r="H1659" i="8"/>
  <c r="H1658" i="8"/>
  <c r="H1657" i="8"/>
  <c r="H1656" i="8"/>
  <c r="H1655" i="8"/>
  <c r="H1654" i="8"/>
  <c r="H1653" i="8"/>
  <c r="H1652" i="8"/>
  <c r="H1651" i="8"/>
  <c r="H1650" i="8"/>
  <c r="H1649" i="8"/>
  <c r="H1648" i="8"/>
  <c r="H1647" i="8"/>
  <c r="H1646" i="8"/>
  <c r="H1645" i="8"/>
  <c r="H1644" i="8"/>
  <c r="H1643" i="8"/>
  <c r="H1642" i="8"/>
  <c r="H1641" i="8"/>
  <c r="H1640" i="8"/>
  <c r="H1639" i="8"/>
  <c r="H1638" i="8"/>
  <c r="H1637" i="8"/>
  <c r="H1636" i="8"/>
  <c r="H1635" i="8"/>
  <c r="H1634" i="8"/>
  <c r="H1633" i="8"/>
  <c r="H1632" i="8"/>
  <c r="H1631" i="8"/>
  <c r="H1630" i="8"/>
  <c r="H1629" i="8"/>
  <c r="H1628" i="8"/>
  <c r="H1627" i="8"/>
  <c r="H1626" i="8"/>
  <c r="H1625" i="8"/>
  <c r="H1624" i="8"/>
  <c r="H1623" i="8"/>
  <c r="H1622" i="8"/>
  <c r="H1621" i="8"/>
  <c r="H1620" i="8"/>
  <c r="H1619" i="8"/>
  <c r="H1618" i="8"/>
  <c r="H1617" i="8"/>
  <c r="H1616" i="8"/>
  <c r="H1615" i="8"/>
  <c r="H1614" i="8"/>
  <c r="H1613" i="8"/>
  <c r="H1612" i="8"/>
  <c r="H1611" i="8"/>
  <c r="H1610" i="8"/>
  <c r="H1609" i="8"/>
  <c r="H1608" i="8"/>
  <c r="H1607" i="8"/>
  <c r="H1606" i="8"/>
  <c r="H1605" i="8"/>
  <c r="H1604" i="8"/>
  <c r="H1603" i="8"/>
  <c r="H1602" i="8"/>
  <c r="H1601" i="8"/>
  <c r="H1600" i="8"/>
  <c r="H1599" i="8"/>
  <c r="H1598" i="8"/>
  <c r="H1597" i="8"/>
  <c r="H1596" i="8"/>
  <c r="H1595" i="8"/>
  <c r="H1594" i="8"/>
  <c r="H1593" i="8"/>
  <c r="H1592" i="8"/>
  <c r="H1591" i="8"/>
  <c r="H1590" i="8"/>
  <c r="H1589" i="8"/>
  <c r="H1588" i="8"/>
  <c r="H1587" i="8"/>
  <c r="H1586" i="8"/>
  <c r="H1585" i="8"/>
  <c r="H1584" i="8"/>
  <c r="H1583" i="8"/>
  <c r="H1582" i="8"/>
  <c r="H1581" i="8"/>
  <c r="H1580" i="8"/>
  <c r="H1579" i="8"/>
  <c r="H1578" i="8"/>
  <c r="H1577" i="8"/>
  <c r="H1576" i="8"/>
  <c r="H1575" i="8"/>
  <c r="H1574" i="8"/>
  <c r="H1573" i="8"/>
  <c r="H1572" i="8"/>
  <c r="H1571" i="8"/>
  <c r="H1570" i="8"/>
  <c r="H1569" i="8"/>
  <c r="H1568" i="8"/>
  <c r="H1567" i="8"/>
  <c r="H1566" i="8"/>
  <c r="H1565" i="8"/>
  <c r="H1564" i="8"/>
  <c r="H1563" i="8"/>
  <c r="H1562" i="8"/>
  <c r="H1561" i="8"/>
  <c r="H1560" i="8"/>
  <c r="H1559" i="8"/>
  <c r="H1558" i="8"/>
  <c r="H1557" i="8"/>
  <c r="H1556" i="8"/>
  <c r="H1555" i="8"/>
  <c r="H1554" i="8"/>
  <c r="H1553" i="8"/>
  <c r="H1552" i="8"/>
  <c r="H1551" i="8"/>
  <c r="H1550" i="8"/>
  <c r="H1549" i="8"/>
  <c r="H1548" i="8"/>
  <c r="H1547" i="8"/>
  <c r="H1546" i="8"/>
  <c r="H1545" i="8"/>
  <c r="H1544" i="8"/>
  <c r="H1543" i="8"/>
  <c r="H1542" i="8"/>
  <c r="H1541" i="8"/>
  <c r="H1540" i="8"/>
  <c r="H1539" i="8"/>
  <c r="H1538" i="8"/>
  <c r="H1537" i="8"/>
  <c r="H1536" i="8"/>
  <c r="H1535" i="8"/>
  <c r="H1534" i="8"/>
  <c r="H1533" i="8"/>
  <c r="H1532" i="8"/>
  <c r="H1531" i="8"/>
  <c r="H1530" i="8"/>
  <c r="H1529" i="8"/>
  <c r="H1528" i="8"/>
  <c r="H1527" i="8"/>
  <c r="H1526" i="8"/>
  <c r="H1525" i="8"/>
  <c r="H1524" i="8"/>
  <c r="H1523" i="8"/>
  <c r="H1522" i="8"/>
  <c r="H1521" i="8"/>
  <c r="H1520" i="8"/>
  <c r="H1519" i="8"/>
  <c r="H1518" i="8"/>
  <c r="H1517" i="8"/>
  <c r="H1516" i="8"/>
  <c r="H1515" i="8"/>
  <c r="H1514" i="8"/>
  <c r="H1513" i="8"/>
  <c r="H1512" i="8"/>
  <c r="H1511" i="8"/>
  <c r="H1510" i="8"/>
  <c r="H1509" i="8"/>
  <c r="H1508" i="8"/>
  <c r="H1507" i="8"/>
  <c r="H1506" i="8"/>
  <c r="H1505" i="8"/>
  <c r="H1504" i="8"/>
  <c r="H1503" i="8"/>
  <c r="H1502" i="8"/>
  <c r="H1501" i="8"/>
  <c r="H1500" i="8"/>
  <c r="H1499" i="8"/>
  <c r="H1498" i="8"/>
  <c r="H1497" i="8"/>
  <c r="H1496" i="8"/>
  <c r="H1495" i="8"/>
  <c r="H1494" i="8"/>
  <c r="H1493" i="8"/>
  <c r="H1492" i="8"/>
  <c r="H1491" i="8"/>
  <c r="H1490" i="8"/>
  <c r="H1489" i="8"/>
  <c r="H1488" i="8"/>
  <c r="H1487" i="8"/>
  <c r="H1486" i="8"/>
  <c r="H1485" i="8"/>
  <c r="H1484" i="8"/>
  <c r="H1483" i="8"/>
  <c r="H1482" i="8"/>
  <c r="H1481" i="8"/>
  <c r="H1480" i="8"/>
  <c r="H1479" i="8"/>
  <c r="H1478" i="8"/>
  <c r="H1477" i="8"/>
  <c r="H1476" i="8"/>
  <c r="H1475" i="8"/>
  <c r="H1474" i="8"/>
  <c r="H1473" i="8"/>
  <c r="H1472" i="8"/>
  <c r="H1471" i="8"/>
  <c r="H1470" i="8"/>
  <c r="H1469" i="8"/>
  <c r="H1468" i="8"/>
  <c r="H1467" i="8"/>
  <c r="H1466" i="8"/>
  <c r="H1465" i="8"/>
  <c r="H1464" i="8"/>
  <c r="H1463" i="8"/>
  <c r="H1462" i="8"/>
  <c r="H1461" i="8"/>
  <c r="H1460" i="8"/>
  <c r="H1459" i="8"/>
  <c r="H1458" i="8"/>
  <c r="H1457" i="8"/>
  <c r="H1456" i="8"/>
  <c r="H1455" i="8"/>
  <c r="H1454" i="8"/>
  <c r="H1453" i="8"/>
  <c r="H1452" i="8"/>
  <c r="H1451" i="8"/>
  <c r="H1450" i="8"/>
  <c r="H1449" i="8"/>
  <c r="H1448" i="8"/>
  <c r="H1447" i="8"/>
  <c r="H1446" i="8"/>
  <c r="H1445" i="8"/>
  <c r="H1444" i="8"/>
  <c r="H1443" i="8"/>
  <c r="H1442" i="8"/>
  <c r="H1441" i="8"/>
  <c r="H1440" i="8"/>
  <c r="H1439" i="8"/>
  <c r="H1438" i="8"/>
  <c r="H1437" i="8"/>
  <c r="H1436" i="8"/>
  <c r="H1435" i="8"/>
  <c r="H1434" i="8"/>
  <c r="H1433" i="8"/>
  <c r="H1432" i="8"/>
  <c r="H1431" i="8"/>
  <c r="H1430" i="8"/>
  <c r="H1429" i="8"/>
  <c r="H1428" i="8"/>
  <c r="H1427" i="8"/>
  <c r="H1426" i="8"/>
  <c r="H1425" i="8"/>
  <c r="H1424" i="8"/>
  <c r="H1423" i="8"/>
  <c r="H1422" i="8"/>
  <c r="H1421" i="8"/>
  <c r="H1420" i="8"/>
  <c r="H1419" i="8"/>
  <c r="H1418" i="8"/>
  <c r="H1417" i="8"/>
  <c r="H1416" i="8"/>
  <c r="H1415" i="8"/>
  <c r="H1414" i="8"/>
  <c r="H1413" i="8"/>
  <c r="H1412" i="8"/>
  <c r="H1411" i="8"/>
  <c r="H1410" i="8"/>
  <c r="H1409" i="8"/>
  <c r="H1408" i="8"/>
  <c r="H1407" i="8"/>
  <c r="H1406" i="8"/>
  <c r="H1405" i="8"/>
  <c r="H1404" i="8"/>
  <c r="H1403" i="8"/>
  <c r="H1402" i="8"/>
  <c r="H1401" i="8"/>
  <c r="H1400" i="8"/>
  <c r="H1399" i="8"/>
  <c r="H1398" i="8"/>
  <c r="H1397" i="8"/>
  <c r="H1396" i="8"/>
  <c r="H1395" i="8"/>
  <c r="H1394" i="8"/>
  <c r="H1393" i="8"/>
  <c r="H1392" i="8"/>
  <c r="H1391" i="8"/>
  <c r="H1390" i="8"/>
  <c r="H1389" i="8"/>
  <c r="H1388" i="8"/>
  <c r="H1387" i="8"/>
  <c r="H1386" i="8"/>
  <c r="H1385" i="8"/>
  <c r="H1384" i="8"/>
  <c r="H1383" i="8"/>
  <c r="H1382" i="8"/>
  <c r="H1381" i="8"/>
  <c r="H1380" i="8"/>
  <c r="H1379" i="8"/>
  <c r="H1378" i="8"/>
  <c r="H1377" i="8"/>
  <c r="H1376" i="8"/>
  <c r="H1375" i="8"/>
  <c r="H1374" i="8"/>
  <c r="H1373" i="8"/>
  <c r="H1372" i="8"/>
  <c r="H1371" i="8"/>
  <c r="H1370" i="8"/>
  <c r="H1369" i="8"/>
  <c r="H1368" i="8"/>
  <c r="H1367" i="8"/>
  <c r="H1366" i="8"/>
  <c r="H1365" i="8"/>
  <c r="H1364" i="8"/>
  <c r="H1363" i="8"/>
  <c r="H1362" i="8"/>
  <c r="H1361" i="8"/>
  <c r="H1360" i="8"/>
  <c r="H1359" i="8"/>
  <c r="H1358" i="8"/>
  <c r="H1357" i="8"/>
  <c r="H1356" i="8"/>
  <c r="H1355" i="8"/>
  <c r="H1354" i="8"/>
  <c r="H1353" i="8"/>
  <c r="H1352" i="8"/>
  <c r="H1351" i="8"/>
  <c r="H1350" i="8"/>
  <c r="H1349" i="8"/>
  <c r="H1348" i="8"/>
  <c r="H1347" i="8"/>
  <c r="H1346" i="8"/>
  <c r="H1345" i="8"/>
  <c r="H1344" i="8"/>
  <c r="H1343" i="8"/>
  <c r="H1342" i="8"/>
  <c r="H1341" i="8"/>
  <c r="H1340" i="8"/>
  <c r="H1339" i="8"/>
  <c r="H1338" i="8"/>
  <c r="H1337" i="8"/>
  <c r="H1336" i="8"/>
  <c r="H1335" i="8"/>
  <c r="H1334" i="8"/>
  <c r="H1333" i="8"/>
  <c r="H1332" i="8"/>
  <c r="H1331" i="8"/>
  <c r="H1330" i="8"/>
  <c r="H1329" i="8"/>
  <c r="H1328" i="8"/>
  <c r="H1327" i="8"/>
  <c r="H1326" i="8"/>
  <c r="H1325" i="8"/>
  <c r="H1324" i="8"/>
  <c r="H1323" i="8"/>
  <c r="H1322" i="8"/>
  <c r="H1321" i="8"/>
  <c r="H1320" i="8"/>
  <c r="H1319" i="8"/>
  <c r="H1318" i="8"/>
  <c r="H1317" i="8"/>
  <c r="H1316" i="8"/>
  <c r="H1315" i="8"/>
  <c r="H1314" i="8"/>
  <c r="H1313" i="8"/>
  <c r="H1312" i="8"/>
  <c r="H1311" i="8"/>
  <c r="H1310" i="8"/>
  <c r="H1309" i="8"/>
  <c r="H1308" i="8"/>
  <c r="H1307" i="8"/>
  <c r="H1306" i="8"/>
  <c r="H1305" i="8"/>
  <c r="H1304" i="8"/>
  <c r="H1303" i="8"/>
  <c r="H1302" i="8"/>
  <c r="H1301" i="8"/>
  <c r="H1300" i="8"/>
  <c r="H1299" i="8"/>
  <c r="H1298" i="8"/>
  <c r="H1297" i="8"/>
  <c r="H1296" i="8"/>
  <c r="H1295" i="8"/>
  <c r="H1294" i="8"/>
  <c r="H1293" i="8"/>
  <c r="H1292" i="8"/>
  <c r="H1291" i="8"/>
  <c r="H1290" i="8"/>
  <c r="H1289" i="8"/>
  <c r="H1288" i="8"/>
  <c r="H1287" i="8"/>
  <c r="H1286" i="8"/>
  <c r="H1285" i="8"/>
  <c r="H1284" i="8"/>
  <c r="H1283" i="8"/>
  <c r="H1282" i="8"/>
  <c r="H1281" i="8"/>
  <c r="H1280" i="8"/>
  <c r="H1279" i="8"/>
  <c r="H1278" i="8"/>
  <c r="H1277" i="8"/>
  <c r="H1276" i="8"/>
  <c r="H1275" i="8"/>
  <c r="H1274" i="8"/>
  <c r="H1273" i="8"/>
  <c r="H1272" i="8"/>
  <c r="H1271" i="8"/>
  <c r="H1270" i="8"/>
  <c r="H1269" i="8"/>
  <c r="H1268" i="8"/>
  <c r="H1267" i="8"/>
  <c r="H1266" i="8"/>
  <c r="H1265" i="8"/>
  <c r="H1264" i="8"/>
  <c r="H1263" i="8"/>
  <c r="H1262" i="8"/>
  <c r="H1261" i="8"/>
  <c r="H1260" i="8"/>
  <c r="H1259" i="8"/>
  <c r="H1258" i="8"/>
  <c r="H1257" i="8"/>
  <c r="H1256" i="8"/>
  <c r="H1255" i="8"/>
  <c r="H1254" i="8"/>
  <c r="H1253" i="8"/>
  <c r="H1252" i="8"/>
  <c r="H1251" i="8"/>
  <c r="H1250" i="8"/>
  <c r="H1249" i="8"/>
  <c r="H1248" i="8"/>
  <c r="H1247" i="8"/>
  <c r="H1246" i="8"/>
  <c r="H1245" i="8"/>
  <c r="H1244" i="8"/>
  <c r="H1243" i="8"/>
  <c r="H1242" i="8"/>
  <c r="H1241" i="8"/>
  <c r="H1240" i="8"/>
  <c r="H1239" i="8"/>
  <c r="H1238" i="8"/>
  <c r="H1237" i="8"/>
  <c r="H1236" i="8"/>
  <c r="H1235" i="8"/>
  <c r="H1234" i="8"/>
  <c r="H1233" i="8"/>
  <c r="H1232" i="8"/>
  <c r="H1231" i="8"/>
  <c r="H1230" i="8"/>
  <c r="H1229" i="8"/>
  <c r="H1228" i="8"/>
  <c r="H1227" i="8"/>
  <c r="H1226" i="8"/>
  <c r="H1225" i="8"/>
  <c r="H1224" i="8"/>
  <c r="H1223" i="8"/>
  <c r="H1222" i="8"/>
  <c r="H1221" i="8"/>
  <c r="H1220" i="8"/>
  <c r="H1219" i="8"/>
  <c r="H1218" i="8"/>
  <c r="H1217" i="8"/>
  <c r="H1216" i="8"/>
  <c r="H1215" i="8"/>
  <c r="H1214" i="8"/>
  <c r="H1213" i="8"/>
  <c r="H1212" i="8"/>
  <c r="H1211" i="8"/>
  <c r="H1210" i="8"/>
  <c r="H1209" i="8"/>
  <c r="H1208" i="8"/>
  <c r="H1207" i="8"/>
  <c r="H1206" i="8"/>
  <c r="H1205" i="8"/>
  <c r="H1204" i="8"/>
  <c r="H1203" i="8"/>
  <c r="H1202" i="8"/>
  <c r="H1201" i="8"/>
  <c r="H1200" i="8"/>
  <c r="H1199" i="8"/>
  <c r="H1198" i="8"/>
  <c r="H1197" i="8"/>
  <c r="H1196" i="8"/>
  <c r="H1195" i="8"/>
  <c r="H1194" i="8"/>
  <c r="H1193" i="8"/>
  <c r="H1192" i="8"/>
  <c r="H1191" i="8"/>
  <c r="H1190" i="8"/>
  <c r="H1189" i="8"/>
  <c r="H1188" i="8"/>
  <c r="H1187" i="8"/>
  <c r="H1186" i="8"/>
  <c r="H1185" i="8"/>
  <c r="H1184" i="8"/>
  <c r="H1183" i="8"/>
  <c r="H1182" i="8"/>
  <c r="H1181" i="8"/>
  <c r="H1180" i="8"/>
  <c r="H1179" i="8"/>
  <c r="H1178" i="8"/>
  <c r="H1177" i="8"/>
  <c r="H1176" i="8"/>
  <c r="H1175" i="8"/>
  <c r="H1174" i="8"/>
  <c r="H1173" i="8"/>
  <c r="H1172" i="8"/>
  <c r="H1171" i="8"/>
  <c r="H1170" i="8"/>
  <c r="H1169" i="8"/>
  <c r="H1168" i="8"/>
  <c r="H1167" i="8"/>
  <c r="H1166" i="8"/>
  <c r="H1165" i="8"/>
  <c r="H1164" i="8"/>
  <c r="H1163" i="8"/>
  <c r="H1162" i="8"/>
  <c r="H1161" i="8"/>
  <c r="H1160" i="8"/>
  <c r="H1159" i="8"/>
  <c r="H1158" i="8"/>
  <c r="H1157" i="8"/>
  <c r="H1156" i="8"/>
  <c r="H1155" i="8"/>
  <c r="H1154" i="8"/>
  <c r="H1153" i="8"/>
  <c r="H1152" i="8"/>
  <c r="H1151" i="8"/>
  <c r="H1150" i="8"/>
  <c r="H1149" i="8"/>
  <c r="H1148" i="8"/>
  <c r="H1147" i="8"/>
  <c r="H1146" i="8"/>
  <c r="H1145" i="8"/>
  <c r="H1144" i="8"/>
  <c r="H1143" i="8"/>
  <c r="H1142" i="8"/>
  <c r="H1141" i="8"/>
  <c r="H1140" i="8"/>
  <c r="H1139" i="8"/>
  <c r="H1138" i="8"/>
  <c r="H1137" i="8"/>
  <c r="H1136" i="8"/>
  <c r="H1135" i="8"/>
  <c r="H1134" i="8"/>
  <c r="H1133" i="8"/>
  <c r="H1132" i="8"/>
  <c r="H1131" i="8"/>
  <c r="H1130" i="8"/>
  <c r="H1129" i="8"/>
  <c r="H1128" i="8"/>
  <c r="H1127" i="8"/>
  <c r="H1126" i="8"/>
  <c r="H1125" i="8"/>
  <c r="H1124" i="8"/>
  <c r="H1123" i="8"/>
  <c r="H1122" i="8"/>
  <c r="H1121" i="8"/>
  <c r="H1120" i="8"/>
  <c r="H1119" i="8"/>
  <c r="H1118" i="8"/>
  <c r="H1117" i="8"/>
  <c r="H1116" i="8"/>
  <c r="H1115" i="8"/>
  <c r="H1114" i="8"/>
  <c r="H1113" i="8"/>
  <c r="H1112" i="8"/>
  <c r="H1111" i="8"/>
  <c r="H1110" i="8"/>
  <c r="H1109" i="8"/>
  <c r="H1108" i="8"/>
  <c r="H1107" i="8"/>
  <c r="H1106" i="8"/>
  <c r="H1105" i="8"/>
  <c r="H1104" i="8"/>
  <c r="H1103" i="8"/>
  <c r="H1102" i="8"/>
  <c r="H1101" i="8"/>
  <c r="H1100" i="8"/>
  <c r="H1099" i="8"/>
  <c r="H1098" i="8"/>
  <c r="H1097" i="8"/>
  <c r="H1096" i="8"/>
  <c r="H1095" i="8"/>
  <c r="H1094" i="8"/>
  <c r="H1093" i="8"/>
  <c r="H1092" i="8"/>
  <c r="H1091" i="8"/>
  <c r="H1090" i="8"/>
  <c r="H1089" i="8"/>
  <c r="H1088" i="8"/>
  <c r="H1087" i="8"/>
  <c r="H1086" i="8"/>
  <c r="H1085" i="8"/>
  <c r="H1084" i="8"/>
  <c r="H1083" i="8"/>
  <c r="H1082" i="8"/>
  <c r="H1081" i="8"/>
  <c r="H1080" i="8"/>
  <c r="H1079" i="8"/>
  <c r="H1078" i="8"/>
  <c r="H1077" i="8"/>
  <c r="H1076" i="8"/>
  <c r="H1075" i="8"/>
  <c r="H1074" i="8"/>
  <c r="H1073" i="8"/>
  <c r="H1072" i="8"/>
  <c r="H1071" i="8"/>
  <c r="H1070" i="8"/>
  <c r="H1069" i="8"/>
  <c r="H1068" i="8"/>
  <c r="H1067" i="8"/>
  <c r="H1066" i="8"/>
  <c r="H1065" i="8"/>
  <c r="H1064" i="8"/>
  <c r="H1063" i="8"/>
  <c r="H1062" i="8"/>
  <c r="H1061" i="8"/>
  <c r="H1060" i="8"/>
  <c r="H1059" i="8"/>
  <c r="H1058" i="8"/>
  <c r="H1057" i="8"/>
  <c r="H1056" i="8"/>
  <c r="H1055" i="8"/>
  <c r="H1054" i="8"/>
  <c r="H1053" i="8"/>
  <c r="H1052" i="8"/>
  <c r="H1051" i="8"/>
  <c r="H1050" i="8"/>
  <c r="H1049" i="8"/>
  <c r="H1048" i="8"/>
  <c r="H1047" i="8"/>
  <c r="H1046" i="8"/>
  <c r="H1045" i="8"/>
  <c r="H1044" i="8"/>
  <c r="H1043" i="8"/>
  <c r="H1042" i="8"/>
  <c r="H1041" i="8"/>
  <c r="H1040" i="8"/>
  <c r="H1039" i="8"/>
  <c r="H1038" i="8"/>
  <c r="H1037" i="8"/>
  <c r="H1036" i="8"/>
  <c r="H1035" i="8"/>
  <c r="H1034" i="8"/>
  <c r="H1033" i="8"/>
  <c r="H1032" i="8"/>
  <c r="H1031" i="8"/>
  <c r="H1030" i="8"/>
  <c r="H1029" i="8"/>
  <c r="H1028" i="8"/>
  <c r="H1027" i="8"/>
  <c r="H1026" i="8"/>
  <c r="H1025" i="8"/>
  <c r="H1024" i="8"/>
  <c r="H1023" i="8"/>
  <c r="H1022" i="8"/>
  <c r="H1021" i="8"/>
  <c r="H1020" i="8"/>
  <c r="H1019" i="8"/>
  <c r="H1018" i="8"/>
  <c r="H1017" i="8"/>
  <c r="H1016" i="8"/>
  <c r="H1015" i="8"/>
  <c r="H1014" i="8"/>
  <c r="H1013" i="8"/>
  <c r="H1012" i="8"/>
  <c r="H1011" i="8"/>
  <c r="H1010" i="8"/>
  <c r="H1009" i="8"/>
  <c r="H1008" i="8"/>
  <c r="H1007" i="8"/>
  <c r="H1006" i="8"/>
  <c r="H1005" i="8"/>
  <c r="H1004" i="8"/>
  <c r="H1003" i="8"/>
  <c r="H1002" i="8"/>
  <c r="H1001" i="8"/>
  <c r="H1000" i="8"/>
  <c r="H999" i="8"/>
  <c r="H998" i="8"/>
  <c r="H997" i="8"/>
  <c r="H996" i="8"/>
  <c r="H995" i="8"/>
  <c r="H994" i="8"/>
  <c r="H993" i="8"/>
  <c r="H992" i="8"/>
  <c r="H991" i="8"/>
  <c r="H990" i="8"/>
  <c r="H989" i="8"/>
  <c r="H988" i="8"/>
  <c r="H987" i="8"/>
  <c r="H986" i="8"/>
  <c r="H985" i="8"/>
  <c r="H984" i="8"/>
  <c r="H983" i="8"/>
  <c r="H982" i="8"/>
  <c r="H981" i="8"/>
  <c r="H980" i="8"/>
  <c r="H979" i="8"/>
  <c r="H978" i="8"/>
  <c r="H977" i="8"/>
  <c r="H976" i="8"/>
  <c r="H975" i="8"/>
  <c r="H974" i="8"/>
  <c r="H973" i="8"/>
  <c r="H972" i="8"/>
  <c r="H971" i="8"/>
  <c r="H970" i="8"/>
  <c r="H969" i="8"/>
  <c r="H968" i="8"/>
  <c r="H967" i="8"/>
  <c r="H966" i="8"/>
  <c r="H965" i="8"/>
  <c r="H964" i="8"/>
  <c r="H963" i="8"/>
  <c r="H962" i="8"/>
  <c r="H961" i="8"/>
  <c r="H960" i="8"/>
  <c r="H959" i="8"/>
  <c r="H958" i="8"/>
  <c r="H957" i="8"/>
  <c r="H956" i="8"/>
  <c r="H955" i="8"/>
  <c r="H954" i="8"/>
  <c r="H953" i="8"/>
  <c r="H952" i="8"/>
  <c r="H951" i="8"/>
  <c r="H950" i="8"/>
  <c r="H949" i="8"/>
  <c r="H948" i="8"/>
  <c r="H947" i="8"/>
  <c r="H946" i="8"/>
  <c r="H945" i="8"/>
  <c r="H944" i="8"/>
  <c r="H943" i="8"/>
  <c r="H942" i="8"/>
  <c r="H941" i="8"/>
  <c r="H940" i="8"/>
  <c r="H939" i="8"/>
  <c r="H938" i="8"/>
  <c r="H937" i="8"/>
  <c r="H936" i="8"/>
  <c r="H935" i="8"/>
  <c r="H934" i="8"/>
  <c r="H933" i="8"/>
  <c r="H932" i="8"/>
  <c r="H931" i="8"/>
  <c r="H930" i="8"/>
  <c r="H929" i="8"/>
  <c r="H928" i="8"/>
  <c r="H927" i="8"/>
  <c r="H926" i="8"/>
  <c r="H925" i="8"/>
  <c r="H924" i="8"/>
  <c r="H923" i="8"/>
  <c r="H922" i="8"/>
  <c r="H921" i="8"/>
  <c r="H920" i="8"/>
  <c r="H919" i="8"/>
  <c r="H918" i="8"/>
  <c r="H917" i="8"/>
  <c r="H916" i="8"/>
  <c r="H915" i="8"/>
  <c r="H914" i="8"/>
  <c r="H913" i="8"/>
  <c r="H912" i="8"/>
  <c r="H911" i="8"/>
  <c r="H910" i="8"/>
  <c r="H909" i="8"/>
  <c r="H908" i="8"/>
  <c r="H907" i="8"/>
  <c r="H906" i="8"/>
  <c r="H905" i="8"/>
  <c r="H904" i="8"/>
  <c r="H903" i="8"/>
  <c r="H902" i="8"/>
  <c r="H901" i="8"/>
  <c r="H900" i="8"/>
  <c r="H899" i="8"/>
  <c r="H898" i="8"/>
  <c r="H897" i="8"/>
  <c r="H896" i="8"/>
  <c r="H895" i="8"/>
  <c r="H894" i="8"/>
  <c r="H893" i="8"/>
  <c r="H892" i="8"/>
  <c r="H891" i="8"/>
  <c r="H890" i="8"/>
  <c r="H889" i="8"/>
  <c r="H888" i="8"/>
  <c r="H887" i="8"/>
  <c r="H886" i="8"/>
  <c r="H885" i="8"/>
  <c r="H884" i="8"/>
  <c r="H883" i="8"/>
  <c r="H882" i="8"/>
  <c r="H881" i="8"/>
  <c r="H880" i="8"/>
  <c r="H879" i="8"/>
  <c r="H878" i="8"/>
  <c r="H877" i="8"/>
  <c r="H876" i="8"/>
  <c r="H875" i="8"/>
  <c r="H874" i="8"/>
  <c r="H873" i="8"/>
  <c r="H872" i="8"/>
  <c r="H871" i="8"/>
  <c r="H870" i="8"/>
  <c r="H869" i="8"/>
  <c r="H868" i="8"/>
  <c r="H867" i="8"/>
  <c r="H866" i="8"/>
  <c r="H865" i="8"/>
  <c r="H864" i="8"/>
  <c r="H863" i="8"/>
  <c r="H862" i="8"/>
  <c r="H861" i="8"/>
  <c r="H860" i="8"/>
  <c r="H859" i="8"/>
  <c r="H858" i="8"/>
  <c r="H857" i="8"/>
  <c r="H856" i="8"/>
  <c r="H855" i="8"/>
  <c r="H854" i="8"/>
  <c r="H853" i="8"/>
  <c r="H852" i="8"/>
  <c r="H851" i="8"/>
  <c r="H850" i="8"/>
  <c r="H849" i="8"/>
  <c r="H848" i="8"/>
  <c r="H847" i="8"/>
  <c r="H846" i="8"/>
  <c r="H845" i="8"/>
  <c r="H844" i="8"/>
  <c r="H843" i="8"/>
  <c r="H842" i="8"/>
  <c r="H841" i="8"/>
  <c r="H840" i="8"/>
  <c r="H839" i="8"/>
  <c r="H838" i="8"/>
  <c r="H837" i="8"/>
  <c r="H836" i="8"/>
  <c r="H835" i="8"/>
  <c r="H834" i="8"/>
  <c r="H833" i="8"/>
  <c r="H832" i="8"/>
  <c r="H831" i="8"/>
  <c r="H830" i="8"/>
  <c r="H829" i="8"/>
  <c r="H828" i="8"/>
  <c r="H827" i="8"/>
  <c r="H826" i="8"/>
  <c r="H825" i="8"/>
  <c r="H824" i="8"/>
  <c r="H823" i="8"/>
  <c r="H822" i="8"/>
  <c r="H821" i="8"/>
  <c r="H820" i="8"/>
  <c r="H819" i="8"/>
  <c r="H818" i="8"/>
  <c r="H817" i="8"/>
  <c r="H816" i="8"/>
  <c r="H815" i="8"/>
  <c r="H814" i="8"/>
  <c r="H813" i="8"/>
  <c r="H812" i="8"/>
  <c r="H811" i="8"/>
  <c r="H810" i="8"/>
  <c r="H809" i="8"/>
  <c r="H808" i="8"/>
  <c r="H807" i="8"/>
  <c r="H806" i="8"/>
  <c r="H805" i="8"/>
  <c r="H804" i="8"/>
  <c r="H803" i="8"/>
  <c r="H802" i="8"/>
  <c r="H801" i="8"/>
  <c r="H800" i="8"/>
  <c r="H799" i="8"/>
  <c r="H798" i="8"/>
  <c r="H797" i="8"/>
  <c r="H796" i="8"/>
  <c r="H795" i="8"/>
  <c r="H794" i="8"/>
  <c r="H793" i="8"/>
  <c r="H792" i="8"/>
  <c r="H791" i="8"/>
  <c r="H790" i="8"/>
  <c r="H789" i="8"/>
  <c r="H788" i="8"/>
  <c r="H787" i="8"/>
  <c r="H786" i="8"/>
  <c r="H785" i="8"/>
  <c r="H784" i="8"/>
  <c r="H783" i="8"/>
  <c r="H782" i="8"/>
  <c r="H781" i="8"/>
  <c r="H780" i="8"/>
  <c r="H779" i="8"/>
  <c r="H778" i="8"/>
  <c r="H777" i="8"/>
  <c r="H776" i="8"/>
  <c r="H775" i="8"/>
  <c r="H774" i="8"/>
  <c r="H773" i="8"/>
  <c r="H772" i="8"/>
  <c r="H771" i="8"/>
  <c r="H770" i="8"/>
  <c r="H769" i="8"/>
  <c r="H768" i="8"/>
  <c r="H767" i="8"/>
  <c r="H766" i="8"/>
  <c r="H765" i="8"/>
  <c r="H764" i="8"/>
  <c r="H763" i="8"/>
  <c r="H762" i="8"/>
  <c r="H761" i="8"/>
  <c r="H760" i="8"/>
  <c r="H759" i="8"/>
  <c r="H758" i="8"/>
  <c r="H757" i="8"/>
  <c r="H756" i="8"/>
  <c r="H755" i="8"/>
  <c r="H754" i="8"/>
  <c r="H753" i="8"/>
  <c r="H752" i="8"/>
  <c r="H751" i="8"/>
  <c r="H750" i="8"/>
  <c r="H749" i="8"/>
  <c r="H748" i="8"/>
  <c r="H747" i="8"/>
  <c r="H746" i="8"/>
  <c r="H745" i="8"/>
  <c r="H744" i="8"/>
  <c r="H743" i="8"/>
  <c r="H742" i="8"/>
  <c r="H741" i="8"/>
  <c r="H740" i="8"/>
  <c r="H739" i="8"/>
  <c r="H738" i="8"/>
  <c r="H737" i="8"/>
  <c r="H736" i="8"/>
  <c r="H735" i="8"/>
  <c r="H734" i="8"/>
  <c r="H733" i="8"/>
  <c r="H732" i="8"/>
  <c r="H731" i="8"/>
  <c r="H730" i="8"/>
  <c r="H729" i="8"/>
  <c r="H728" i="8"/>
  <c r="H727" i="8"/>
  <c r="H726" i="8"/>
  <c r="H725" i="8"/>
  <c r="H724" i="8"/>
  <c r="H723" i="8"/>
  <c r="H722" i="8"/>
  <c r="H721" i="8"/>
  <c r="H720" i="8"/>
  <c r="H719" i="8"/>
  <c r="H718" i="8"/>
  <c r="H717" i="8"/>
  <c r="H716" i="8"/>
  <c r="H715" i="8"/>
  <c r="H714" i="8"/>
  <c r="H713" i="8"/>
  <c r="H712" i="8"/>
  <c r="H711" i="8"/>
  <c r="H710" i="8"/>
  <c r="H709" i="8"/>
  <c r="H708" i="8"/>
  <c r="H707" i="8"/>
  <c r="H706" i="8"/>
  <c r="H705" i="8"/>
  <c r="H704" i="8"/>
  <c r="H703" i="8"/>
  <c r="H702" i="8"/>
  <c r="H701" i="8"/>
  <c r="H700" i="8"/>
  <c r="H699" i="8"/>
  <c r="H698" i="8"/>
  <c r="H697" i="8"/>
  <c r="H696" i="8"/>
  <c r="H695" i="8"/>
  <c r="H694" i="8"/>
  <c r="H693" i="8"/>
  <c r="H692" i="8"/>
  <c r="H691" i="8"/>
  <c r="H690" i="8"/>
  <c r="H689" i="8"/>
  <c r="H688" i="8"/>
  <c r="H687" i="8"/>
  <c r="H686" i="8"/>
  <c r="H685" i="8"/>
  <c r="H684" i="8"/>
  <c r="H683" i="8"/>
  <c r="H682" i="8"/>
  <c r="H681" i="8"/>
  <c r="H680" i="8"/>
  <c r="H679" i="8"/>
  <c r="H678" i="8"/>
  <c r="H677" i="8"/>
  <c r="H676" i="8"/>
  <c r="H675" i="8"/>
  <c r="H674" i="8"/>
  <c r="H673" i="8"/>
  <c r="H672" i="8"/>
  <c r="H671" i="8"/>
  <c r="H670" i="8"/>
  <c r="H669" i="8"/>
  <c r="H668" i="8"/>
  <c r="H667" i="8"/>
  <c r="H666" i="8"/>
  <c r="H665" i="8"/>
  <c r="H664" i="8"/>
  <c r="H663" i="8"/>
  <c r="H662" i="8"/>
  <c r="H661" i="8"/>
  <c r="H660" i="8"/>
  <c r="H659" i="8"/>
  <c r="H658" i="8"/>
  <c r="H657" i="8"/>
  <c r="H656" i="8"/>
  <c r="H655" i="8"/>
  <c r="H654" i="8"/>
  <c r="H653" i="8"/>
  <c r="H652" i="8"/>
  <c r="H651" i="8"/>
  <c r="H650" i="8"/>
  <c r="H649" i="8"/>
  <c r="H648" i="8"/>
  <c r="H647" i="8"/>
  <c r="H646" i="8"/>
  <c r="H645" i="8"/>
  <c r="H644" i="8"/>
  <c r="H643" i="8"/>
  <c r="H642" i="8"/>
  <c r="H641" i="8"/>
  <c r="H640" i="8"/>
  <c r="H639" i="8"/>
  <c r="H638" i="8"/>
  <c r="H637" i="8"/>
  <c r="H636" i="8"/>
  <c r="H635" i="8"/>
  <c r="H634" i="8"/>
  <c r="H633" i="8"/>
  <c r="H632" i="8"/>
  <c r="H631" i="8"/>
  <c r="H630" i="8"/>
  <c r="H629" i="8"/>
  <c r="H628" i="8"/>
  <c r="H627" i="8"/>
  <c r="H626" i="8"/>
  <c r="H625" i="8"/>
  <c r="H624" i="8"/>
  <c r="H623" i="8"/>
  <c r="H622" i="8"/>
  <c r="H621" i="8"/>
  <c r="H620" i="8"/>
  <c r="H619" i="8"/>
  <c r="H618" i="8"/>
  <c r="H617" i="8"/>
  <c r="H616" i="8"/>
  <c r="H615" i="8"/>
  <c r="H614" i="8"/>
  <c r="H613" i="8"/>
  <c r="H612" i="8"/>
  <c r="H611" i="8"/>
  <c r="H610" i="8"/>
  <c r="H609" i="8"/>
  <c r="H608" i="8"/>
  <c r="H607" i="8"/>
  <c r="H606" i="8"/>
  <c r="H605" i="8"/>
  <c r="H604" i="8"/>
  <c r="H603" i="8"/>
  <c r="H602" i="8"/>
  <c r="H601" i="8"/>
  <c r="H600" i="8"/>
  <c r="H599" i="8"/>
  <c r="H598" i="8"/>
  <c r="H597" i="8"/>
  <c r="H596" i="8"/>
  <c r="H595" i="8"/>
  <c r="H594" i="8"/>
  <c r="H593" i="8"/>
  <c r="H592" i="8"/>
  <c r="H591" i="8"/>
  <c r="H590" i="8"/>
  <c r="H589" i="8"/>
  <c r="H588" i="8"/>
  <c r="H587" i="8"/>
  <c r="H586" i="8"/>
  <c r="H585" i="8"/>
  <c r="H584" i="8"/>
  <c r="H583" i="8"/>
  <c r="H582" i="8"/>
  <c r="H581" i="8"/>
  <c r="H580" i="8"/>
  <c r="H579" i="8"/>
  <c r="H578" i="8"/>
  <c r="H577" i="8"/>
  <c r="H576" i="8"/>
  <c r="H575" i="8"/>
  <c r="H574" i="8"/>
  <c r="H573" i="8"/>
  <c r="H572" i="8"/>
  <c r="H571" i="8"/>
  <c r="H570" i="8"/>
  <c r="H569" i="8"/>
  <c r="H568" i="8"/>
  <c r="H567" i="8"/>
  <c r="H566" i="8"/>
  <c r="H565" i="8"/>
  <c r="H564" i="8"/>
  <c r="H563" i="8"/>
  <c r="H562" i="8"/>
  <c r="H561" i="8"/>
  <c r="H560" i="8"/>
  <c r="H559" i="8"/>
  <c r="H558" i="8"/>
  <c r="H557" i="8"/>
  <c r="H556" i="8"/>
  <c r="H555" i="8"/>
  <c r="H554" i="8"/>
  <c r="H553" i="8"/>
  <c r="H552" i="8"/>
  <c r="H551" i="8"/>
  <c r="H550" i="8"/>
  <c r="H549" i="8"/>
  <c r="H548" i="8"/>
  <c r="H547" i="8"/>
  <c r="H546" i="8"/>
  <c r="H545" i="8"/>
  <c r="H544" i="8"/>
  <c r="H543" i="8"/>
  <c r="H542" i="8"/>
  <c r="H541" i="8"/>
  <c r="H540" i="8"/>
  <c r="H539" i="8"/>
  <c r="H538" i="8"/>
  <c r="H537" i="8"/>
  <c r="H536" i="8"/>
  <c r="H535" i="8"/>
  <c r="H534" i="8"/>
  <c r="H533" i="8"/>
  <c r="H532" i="8"/>
  <c r="H531" i="8"/>
  <c r="H530" i="8"/>
  <c r="H529" i="8"/>
  <c r="H528" i="8"/>
  <c r="H527" i="8"/>
  <c r="H526" i="8"/>
  <c r="H525" i="8"/>
  <c r="H524" i="8"/>
  <c r="H523" i="8"/>
  <c r="H522" i="8"/>
  <c r="H521" i="8"/>
  <c r="H520" i="8"/>
  <c r="H519" i="8"/>
  <c r="H518" i="8"/>
  <c r="H517" i="8"/>
  <c r="H516" i="8"/>
  <c r="H515" i="8"/>
  <c r="H514" i="8"/>
  <c r="H513" i="8"/>
  <c r="H512" i="8"/>
  <c r="H511" i="8"/>
  <c r="H510" i="8"/>
  <c r="H509" i="8"/>
  <c r="H508" i="8"/>
  <c r="H507" i="8"/>
  <c r="H506" i="8"/>
  <c r="H505" i="8"/>
  <c r="H504" i="8"/>
  <c r="H503" i="8"/>
  <c r="H502" i="8"/>
  <c r="H501" i="8"/>
  <c r="H500" i="8"/>
  <c r="H499" i="8"/>
  <c r="H498" i="8"/>
  <c r="H497" i="8"/>
  <c r="H496" i="8"/>
  <c r="H495" i="8"/>
  <c r="H494" i="8"/>
  <c r="H493" i="8"/>
  <c r="H492" i="8"/>
  <c r="H491" i="8"/>
  <c r="H490" i="8"/>
  <c r="H489" i="8"/>
  <c r="H488" i="8"/>
  <c r="H487" i="8"/>
  <c r="H486" i="8"/>
  <c r="H485" i="8"/>
  <c r="H484" i="8"/>
  <c r="H483" i="8"/>
  <c r="H482" i="8"/>
  <c r="H481" i="8"/>
  <c r="H480" i="8"/>
  <c r="H479" i="8"/>
  <c r="H478" i="8"/>
  <c r="H477" i="8"/>
  <c r="H476" i="8"/>
  <c r="H475" i="8"/>
  <c r="H474" i="8"/>
  <c r="H473" i="8"/>
  <c r="H472" i="8"/>
  <c r="H471" i="8"/>
  <c r="H470" i="8"/>
  <c r="H469" i="8"/>
  <c r="H468" i="8"/>
  <c r="H467" i="8"/>
  <c r="H466" i="8"/>
  <c r="H465" i="8"/>
  <c r="H464" i="8"/>
  <c r="H463" i="8"/>
  <c r="H462" i="8"/>
  <c r="H461" i="8"/>
  <c r="H460" i="8"/>
  <c r="H459" i="8"/>
  <c r="H458" i="8"/>
  <c r="H457" i="8"/>
  <c r="H456" i="8"/>
  <c r="H455" i="8"/>
  <c r="H454" i="8"/>
  <c r="H453" i="8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I15" i="6"/>
  <c r="I14" i="6"/>
  <c r="I13" i="6"/>
  <c r="I12" i="6"/>
  <c r="I11" i="6"/>
  <c r="I10" i="6"/>
  <c r="I9" i="6"/>
  <c r="I8" i="6"/>
  <c r="I7" i="6"/>
  <c r="I6" i="6"/>
  <c r="I5" i="6"/>
  <c r="I4" i="6"/>
  <c r="I3" i="6"/>
  <c r="I1926" i="5"/>
  <c r="I1925" i="5"/>
  <c r="I1924" i="5"/>
  <c r="I1923" i="5"/>
  <c r="I1922" i="5"/>
  <c r="I1921" i="5"/>
  <c r="I1920" i="5"/>
  <c r="I1919" i="5"/>
  <c r="I1918" i="5"/>
  <c r="I1917" i="5"/>
  <c r="I1916" i="5"/>
  <c r="I1915" i="5"/>
  <c r="I1914" i="5"/>
  <c r="I1913" i="5"/>
  <c r="I1912" i="5"/>
  <c r="I1911" i="5"/>
  <c r="I1910" i="5"/>
  <c r="I1909" i="5"/>
  <c r="I1908" i="5"/>
  <c r="I1907" i="5"/>
  <c r="I1906" i="5"/>
  <c r="I1905" i="5"/>
  <c r="I1904" i="5"/>
  <c r="I1903" i="5"/>
  <c r="I1902" i="5"/>
  <c r="I1901" i="5"/>
  <c r="I1900" i="5"/>
  <c r="I1899" i="5"/>
  <c r="I1898" i="5"/>
  <c r="I1897" i="5"/>
  <c r="I1896" i="5"/>
  <c r="I1895" i="5"/>
  <c r="I1894" i="5"/>
  <c r="I1893" i="5"/>
  <c r="I1892" i="5"/>
  <c r="I1891" i="5"/>
  <c r="I1890" i="5"/>
  <c r="I1889" i="5"/>
  <c r="I1888" i="5"/>
  <c r="I1887" i="5"/>
  <c r="I1886" i="5"/>
  <c r="I1885" i="5"/>
  <c r="I1884" i="5"/>
  <c r="I1883" i="5"/>
  <c r="I1882" i="5"/>
  <c r="I1881" i="5"/>
  <c r="I1880" i="5"/>
  <c r="I1879" i="5"/>
  <c r="I1878" i="5"/>
  <c r="I1877" i="5"/>
  <c r="I1876" i="5"/>
  <c r="I1875" i="5"/>
  <c r="I1874" i="5"/>
  <c r="I1873" i="5"/>
  <c r="I1872" i="5"/>
  <c r="I1871" i="5"/>
  <c r="I1870" i="5"/>
  <c r="I1869" i="5"/>
  <c r="I1868" i="5"/>
  <c r="I1867" i="5"/>
  <c r="I1866" i="5"/>
  <c r="I1865" i="5"/>
  <c r="I1864" i="5"/>
  <c r="I1863" i="5"/>
  <c r="I1862" i="5"/>
  <c r="I1861" i="5"/>
  <c r="I1860" i="5"/>
  <c r="I1859" i="5"/>
  <c r="I1858" i="5"/>
  <c r="I1857" i="5"/>
  <c r="I1856" i="5"/>
  <c r="I1855" i="5"/>
  <c r="I1854" i="5"/>
  <c r="I1853" i="5"/>
  <c r="I1852" i="5"/>
  <c r="I1851" i="5"/>
  <c r="I1850" i="5"/>
  <c r="I1849" i="5"/>
  <c r="I1848" i="5"/>
  <c r="I1847" i="5"/>
  <c r="I1846" i="5"/>
  <c r="I1845" i="5"/>
  <c r="I1844" i="5"/>
  <c r="I1843" i="5"/>
  <c r="I1842" i="5"/>
  <c r="I1841" i="5"/>
  <c r="I1840" i="5"/>
  <c r="I1839" i="5"/>
  <c r="I1838" i="5"/>
  <c r="I1837" i="5"/>
  <c r="I1836" i="5"/>
  <c r="I1835" i="5"/>
  <c r="I1834" i="5"/>
  <c r="I1833" i="5"/>
  <c r="I1832" i="5"/>
  <c r="I1831" i="5"/>
  <c r="I1830" i="5"/>
  <c r="I1829" i="5"/>
  <c r="I1828" i="5"/>
  <c r="I1827" i="5"/>
  <c r="I1826" i="5"/>
  <c r="I1825" i="5"/>
  <c r="I1824" i="5"/>
  <c r="I1823" i="5"/>
  <c r="I1822" i="5"/>
  <c r="I1821" i="5"/>
  <c r="I1820" i="5"/>
  <c r="I1819" i="5"/>
  <c r="I1818" i="5"/>
  <c r="I1817" i="5"/>
  <c r="I1816" i="5"/>
  <c r="I1815" i="5"/>
  <c r="I1814" i="5"/>
  <c r="I1813" i="5"/>
  <c r="I1812" i="5"/>
  <c r="I1811" i="5"/>
  <c r="I1810" i="5"/>
  <c r="I1809" i="5"/>
  <c r="I1808" i="5"/>
  <c r="I1807" i="5"/>
  <c r="I1806" i="5"/>
  <c r="I1805" i="5"/>
  <c r="I1804" i="5"/>
  <c r="I1803" i="5"/>
  <c r="I1802" i="5"/>
  <c r="I1801" i="5"/>
  <c r="I1800" i="5"/>
  <c r="I1799" i="5"/>
  <c r="I1798" i="5"/>
  <c r="I1797" i="5"/>
  <c r="I1796" i="5"/>
  <c r="I1795" i="5"/>
  <c r="I1794" i="5"/>
  <c r="I1793" i="5"/>
  <c r="I1792" i="5"/>
  <c r="I1791" i="5"/>
  <c r="I1790" i="5"/>
  <c r="I1789" i="5"/>
  <c r="I1788" i="5"/>
  <c r="I1787" i="5"/>
  <c r="I1786" i="5"/>
  <c r="I1785" i="5"/>
  <c r="I1784" i="5"/>
  <c r="I1783" i="5"/>
  <c r="I1782" i="5"/>
  <c r="I1781" i="5"/>
  <c r="I1780" i="5"/>
  <c r="I1779" i="5"/>
  <c r="I1778" i="5"/>
  <c r="I1777" i="5"/>
  <c r="I1776" i="5"/>
  <c r="I1775" i="5"/>
  <c r="I1774" i="5"/>
  <c r="I1773" i="5"/>
  <c r="I1772" i="5"/>
  <c r="I1771" i="5"/>
  <c r="I1770" i="5"/>
  <c r="I1769" i="5"/>
  <c r="I1768" i="5"/>
  <c r="I1767" i="5"/>
  <c r="I1766" i="5"/>
  <c r="I1765" i="5"/>
  <c r="I1764" i="5"/>
  <c r="I1763" i="5"/>
  <c r="I1762" i="5"/>
  <c r="I1761" i="5"/>
  <c r="I1760" i="5"/>
  <c r="I1759" i="5"/>
  <c r="I1758" i="5"/>
  <c r="I1757" i="5"/>
  <c r="I1756" i="5"/>
  <c r="I1755" i="5"/>
  <c r="I1754" i="5"/>
  <c r="I1753" i="5"/>
  <c r="I1752" i="5"/>
  <c r="I1751" i="5"/>
  <c r="I1750" i="5"/>
  <c r="I1749" i="5"/>
  <c r="I1748" i="5"/>
  <c r="I1747" i="5"/>
  <c r="I1746" i="5"/>
  <c r="I1745" i="5"/>
  <c r="I1744" i="5"/>
  <c r="I1743" i="5"/>
  <c r="I1742" i="5"/>
  <c r="I1741" i="5"/>
  <c r="I1740" i="5"/>
  <c r="I1739" i="5"/>
  <c r="I1738" i="5"/>
  <c r="I1737" i="5"/>
  <c r="I1736" i="5"/>
  <c r="I1735" i="5"/>
  <c r="I1734" i="5"/>
  <c r="I1733" i="5"/>
  <c r="I1732" i="5"/>
  <c r="I1731" i="5"/>
  <c r="I1730" i="5"/>
  <c r="I1729" i="5"/>
  <c r="I1728" i="5"/>
  <c r="I1727" i="5"/>
  <c r="I1726" i="5"/>
  <c r="I1725" i="5"/>
  <c r="I1724" i="5"/>
  <c r="I1723" i="5"/>
  <c r="I1722" i="5"/>
  <c r="I1721" i="5"/>
  <c r="I1720" i="5"/>
  <c r="I1719" i="5"/>
  <c r="I1718" i="5"/>
  <c r="I1717" i="5"/>
  <c r="I1716" i="5"/>
  <c r="I1715" i="5"/>
  <c r="I1714" i="5"/>
  <c r="I1713" i="5"/>
  <c r="I1712" i="5"/>
  <c r="I1711" i="5"/>
  <c r="I1710" i="5"/>
  <c r="I1709" i="5"/>
  <c r="I1708" i="5"/>
  <c r="I1707" i="5"/>
  <c r="I1706" i="5"/>
  <c r="I1705" i="5"/>
  <c r="I1704" i="5"/>
  <c r="I1703" i="5"/>
  <c r="I1702" i="5"/>
  <c r="I1701" i="5"/>
  <c r="I1700" i="5"/>
  <c r="I1699" i="5"/>
  <c r="I1698" i="5"/>
  <c r="I1697" i="5"/>
  <c r="I1696" i="5"/>
  <c r="I1695" i="5"/>
  <c r="I1694" i="5"/>
  <c r="I1693" i="5"/>
  <c r="I1692" i="5"/>
  <c r="I1691" i="5"/>
  <c r="I1690" i="5"/>
  <c r="I1689" i="5"/>
  <c r="I1688" i="5"/>
  <c r="I1687" i="5"/>
  <c r="I1686" i="5"/>
  <c r="I1685" i="5"/>
  <c r="I1684" i="5"/>
  <c r="I1683" i="5"/>
  <c r="I1682" i="5"/>
  <c r="I1681" i="5"/>
  <c r="I1680" i="5"/>
  <c r="I1679" i="5"/>
  <c r="I1678" i="5"/>
  <c r="I1677" i="5"/>
  <c r="I1676" i="5"/>
  <c r="I1675" i="5"/>
  <c r="I1674" i="5"/>
  <c r="I1673" i="5"/>
  <c r="I1672" i="5"/>
  <c r="I1671" i="5"/>
  <c r="I1670" i="5"/>
  <c r="I1669" i="5"/>
  <c r="I1668" i="5"/>
  <c r="I1667" i="5"/>
  <c r="I1666" i="5"/>
  <c r="I1665" i="5"/>
  <c r="I1664" i="5"/>
  <c r="I1663" i="5"/>
  <c r="I1662" i="5"/>
  <c r="I1661" i="5"/>
  <c r="I1660" i="5"/>
  <c r="I1659" i="5"/>
  <c r="I1658" i="5"/>
  <c r="I1657" i="5"/>
  <c r="I1656" i="5"/>
  <c r="I1655" i="5"/>
  <c r="I1654" i="5"/>
  <c r="I1653" i="5"/>
  <c r="I1652" i="5"/>
  <c r="I1651" i="5"/>
  <c r="I1650" i="5"/>
  <c r="I1649" i="5"/>
  <c r="I1648" i="5"/>
  <c r="I1647" i="5"/>
  <c r="I1646" i="5"/>
  <c r="I1645" i="5"/>
  <c r="I1644" i="5"/>
  <c r="I1643" i="5"/>
  <c r="I1642" i="5"/>
  <c r="I1641" i="5"/>
  <c r="I1640" i="5"/>
  <c r="I1639" i="5"/>
  <c r="I1638" i="5"/>
  <c r="I1637" i="5"/>
  <c r="I1636" i="5"/>
  <c r="I1635" i="5"/>
  <c r="I1634" i="5"/>
  <c r="I1633" i="5"/>
  <c r="I1632" i="5"/>
  <c r="I1631" i="5"/>
  <c r="I1630" i="5"/>
  <c r="I1629" i="5"/>
  <c r="I1628" i="5"/>
  <c r="I1627" i="5"/>
  <c r="I1626" i="5"/>
  <c r="I1625" i="5"/>
  <c r="I1624" i="5"/>
  <c r="I1623" i="5"/>
  <c r="I1622" i="5"/>
  <c r="I1621" i="5"/>
  <c r="I1620" i="5"/>
  <c r="I1619" i="5"/>
  <c r="I1618" i="5"/>
  <c r="I1617" i="5"/>
  <c r="I1616" i="5"/>
  <c r="I1615" i="5"/>
  <c r="I1614" i="5"/>
  <c r="I1613" i="5"/>
  <c r="I1612" i="5"/>
  <c r="I1611" i="5"/>
  <c r="I1610" i="5"/>
  <c r="I1609" i="5"/>
  <c r="I1608" i="5"/>
  <c r="I1607" i="5"/>
  <c r="I1606" i="5"/>
  <c r="I1605" i="5"/>
  <c r="I1604" i="5"/>
  <c r="I1603" i="5"/>
  <c r="I1602" i="5"/>
  <c r="I1601" i="5"/>
  <c r="I1600" i="5"/>
  <c r="I1599" i="5"/>
  <c r="I1598" i="5"/>
  <c r="I1597" i="5"/>
  <c r="I1596" i="5"/>
  <c r="I1595" i="5"/>
  <c r="I1594" i="5"/>
  <c r="I1593" i="5"/>
  <c r="I1592" i="5"/>
  <c r="I1591" i="5"/>
  <c r="I1590" i="5"/>
  <c r="I1589" i="5"/>
  <c r="I1588" i="5"/>
  <c r="I1587" i="5"/>
  <c r="I1586" i="5"/>
  <c r="I1585" i="5"/>
  <c r="I1584" i="5"/>
  <c r="I1583" i="5"/>
  <c r="I1582" i="5"/>
  <c r="I1581" i="5"/>
  <c r="I1580" i="5"/>
  <c r="I1579" i="5"/>
  <c r="I1578" i="5"/>
  <c r="I1577" i="5"/>
  <c r="I1576" i="5"/>
  <c r="I1575" i="5"/>
  <c r="I1574" i="5"/>
  <c r="I1573" i="5"/>
  <c r="I1572" i="5"/>
  <c r="I1571" i="5"/>
  <c r="I1570" i="5"/>
  <c r="I1569" i="5"/>
  <c r="I1568" i="5"/>
  <c r="I1567" i="5"/>
  <c r="I1566" i="5"/>
  <c r="I1565" i="5"/>
  <c r="I1564" i="5"/>
  <c r="I1563" i="5"/>
  <c r="I1562" i="5"/>
  <c r="I1561" i="5"/>
  <c r="I1560" i="5"/>
  <c r="I1559" i="5"/>
  <c r="I1558" i="5"/>
  <c r="I1557" i="5"/>
  <c r="I1556" i="5"/>
  <c r="I1555" i="5"/>
  <c r="I1554" i="5"/>
  <c r="I1553" i="5"/>
  <c r="I1552" i="5"/>
  <c r="I1551" i="5"/>
  <c r="I1550" i="5"/>
  <c r="I1549" i="5"/>
  <c r="I1548" i="5"/>
  <c r="I1547" i="5"/>
  <c r="I1546" i="5"/>
  <c r="I1545" i="5"/>
  <c r="I1544" i="5"/>
  <c r="I1543" i="5"/>
  <c r="I1542" i="5"/>
  <c r="I1541" i="5"/>
  <c r="I1540" i="5"/>
  <c r="I1539" i="5"/>
  <c r="I1538" i="5"/>
  <c r="I1537" i="5"/>
  <c r="I1536" i="5"/>
  <c r="I1535" i="5"/>
  <c r="I1534" i="5"/>
  <c r="I1533" i="5"/>
  <c r="I1532" i="5"/>
  <c r="I1531" i="5"/>
  <c r="I1530" i="5"/>
  <c r="I1529" i="5"/>
  <c r="I1528" i="5"/>
  <c r="I1527" i="5"/>
  <c r="I1526" i="5"/>
  <c r="I1525" i="5"/>
  <c r="I1524" i="5"/>
  <c r="I1523" i="5"/>
  <c r="I1522" i="5"/>
  <c r="I1521" i="5"/>
  <c r="I1520" i="5"/>
  <c r="I1519" i="5"/>
  <c r="I1518" i="5"/>
  <c r="I1517" i="5"/>
  <c r="I1516" i="5"/>
  <c r="I1515" i="5"/>
  <c r="I1514" i="5"/>
  <c r="I1513" i="5"/>
  <c r="I1512" i="5"/>
  <c r="I1511" i="5"/>
  <c r="I1510" i="5"/>
  <c r="I1509" i="5"/>
  <c r="I1508" i="5"/>
  <c r="I1507" i="5"/>
  <c r="I1506" i="5"/>
  <c r="I1505" i="5"/>
  <c r="I1504" i="5"/>
  <c r="I1503" i="5"/>
  <c r="I1502" i="5"/>
  <c r="I1501" i="5"/>
  <c r="I1500" i="5"/>
  <c r="I1499" i="5"/>
  <c r="I1498" i="5"/>
  <c r="I1497" i="5"/>
  <c r="I1496" i="5"/>
  <c r="I1495" i="5"/>
  <c r="I1494" i="5"/>
  <c r="I1493" i="5"/>
  <c r="I1492" i="5"/>
  <c r="I1491" i="5"/>
  <c r="I1490" i="5"/>
  <c r="I1489" i="5"/>
  <c r="I1488" i="5"/>
  <c r="I1487" i="5"/>
  <c r="I1486" i="5"/>
  <c r="I1485" i="5"/>
  <c r="I1484" i="5"/>
  <c r="I1483" i="5"/>
  <c r="I1482" i="5"/>
  <c r="I1481" i="5"/>
  <c r="I1480" i="5"/>
  <c r="I1479" i="5"/>
  <c r="I1478" i="5"/>
  <c r="I1477" i="5"/>
  <c r="I1476" i="5"/>
  <c r="I1475" i="5"/>
  <c r="I1474" i="5"/>
  <c r="I1473" i="5"/>
  <c r="I1472" i="5"/>
  <c r="I1471" i="5"/>
  <c r="I1470" i="5"/>
  <c r="I1469" i="5"/>
  <c r="I1468" i="5"/>
  <c r="I1467" i="5"/>
  <c r="I1466" i="5"/>
  <c r="I1465" i="5"/>
  <c r="I1464" i="5"/>
  <c r="I1463" i="5"/>
  <c r="I1462" i="5"/>
  <c r="I1461" i="5"/>
  <c r="I1460" i="5"/>
  <c r="I1459" i="5"/>
  <c r="I1458" i="5"/>
  <c r="I1457" i="5"/>
  <c r="I1456" i="5"/>
  <c r="I1455" i="5"/>
  <c r="I1454" i="5"/>
  <c r="I1453" i="5"/>
  <c r="I1452" i="5"/>
  <c r="I1451" i="5"/>
  <c r="I1450" i="5"/>
  <c r="I1449" i="5"/>
  <c r="I1448" i="5"/>
  <c r="I1447" i="5"/>
  <c r="I1446" i="5"/>
  <c r="I1445" i="5"/>
  <c r="I1444" i="5"/>
  <c r="I1443" i="5"/>
  <c r="I1442" i="5"/>
  <c r="I1441" i="5"/>
  <c r="I1440" i="5"/>
  <c r="I1439" i="5"/>
  <c r="I1438" i="5"/>
  <c r="I1437" i="5"/>
  <c r="I1436" i="5"/>
  <c r="I1435" i="5"/>
  <c r="I1434" i="5"/>
  <c r="I1433" i="5"/>
  <c r="I1432" i="5"/>
  <c r="I1431" i="5"/>
  <c r="I1430" i="5"/>
  <c r="I1429" i="5"/>
  <c r="I1428" i="5"/>
  <c r="I1427" i="5"/>
  <c r="I1426" i="5"/>
  <c r="I1425" i="5"/>
  <c r="I1424" i="5"/>
  <c r="I1423" i="5"/>
  <c r="I1422" i="5"/>
  <c r="I1421" i="5"/>
  <c r="I1420" i="5"/>
  <c r="I1419" i="5"/>
  <c r="I1418" i="5"/>
  <c r="I1417" i="5"/>
  <c r="I1416" i="5"/>
  <c r="I1415" i="5"/>
  <c r="I1414" i="5"/>
  <c r="I1413" i="5"/>
  <c r="I1412" i="5"/>
  <c r="I1411" i="5"/>
  <c r="I1410" i="5"/>
  <c r="I1409" i="5"/>
  <c r="I1408" i="5"/>
  <c r="I1407" i="5"/>
  <c r="I1406" i="5"/>
  <c r="I1405" i="5"/>
  <c r="I1404" i="5"/>
  <c r="I1403" i="5"/>
  <c r="I1402" i="5"/>
  <c r="I1401" i="5"/>
  <c r="I1400" i="5"/>
  <c r="I1399" i="5"/>
  <c r="I1398" i="5"/>
  <c r="I1397" i="5"/>
  <c r="I1396" i="5"/>
  <c r="I1395" i="5"/>
  <c r="I1394" i="5"/>
  <c r="I1393" i="5"/>
  <c r="I1392" i="5"/>
  <c r="I1391" i="5"/>
  <c r="I1390" i="5"/>
  <c r="I1389" i="5"/>
  <c r="I1388" i="5"/>
  <c r="I1387" i="5"/>
  <c r="I1386" i="5"/>
  <c r="I1385" i="5"/>
  <c r="I1384" i="5"/>
  <c r="I1383" i="5"/>
  <c r="I1382" i="5"/>
  <c r="I1381" i="5"/>
  <c r="I1380" i="5"/>
  <c r="I1379" i="5"/>
  <c r="I1378" i="5"/>
  <c r="I1377" i="5"/>
  <c r="I1376" i="5"/>
  <c r="I1375" i="5"/>
  <c r="I1374" i="5"/>
  <c r="I1373" i="5"/>
  <c r="I1372" i="5"/>
  <c r="I1371" i="5"/>
  <c r="I1370" i="5"/>
  <c r="I1369" i="5"/>
  <c r="I1368" i="5"/>
  <c r="I1367" i="5"/>
  <c r="I1366" i="5"/>
  <c r="I1365" i="5"/>
  <c r="I1364" i="5"/>
  <c r="I1363" i="5"/>
  <c r="I1362" i="5"/>
  <c r="I1361" i="5"/>
  <c r="I1360" i="5"/>
  <c r="I1359" i="5"/>
  <c r="I1358" i="5"/>
  <c r="I1357" i="5"/>
  <c r="I1356" i="5"/>
  <c r="I1355" i="5"/>
  <c r="I1354" i="5"/>
  <c r="I1353" i="5"/>
  <c r="I1352" i="5"/>
  <c r="I1351" i="5"/>
  <c r="I1350" i="5"/>
  <c r="I1349" i="5"/>
  <c r="I1348" i="5"/>
  <c r="I1347" i="5"/>
  <c r="I1346" i="5"/>
  <c r="I1345" i="5"/>
  <c r="I1344" i="5"/>
  <c r="I1343" i="5"/>
  <c r="I1342" i="5"/>
  <c r="I1341" i="5"/>
  <c r="I1340" i="5"/>
  <c r="I1339" i="5"/>
  <c r="I1338" i="5"/>
  <c r="I1337" i="5"/>
  <c r="I1336" i="5"/>
  <c r="I1335" i="5"/>
  <c r="I1334" i="5"/>
  <c r="I1333" i="5"/>
  <c r="I1332" i="5"/>
  <c r="I1331" i="5"/>
  <c r="I1330" i="5"/>
  <c r="I1329" i="5"/>
  <c r="I1328" i="5"/>
  <c r="I1327" i="5"/>
  <c r="I1326" i="5"/>
  <c r="I1325" i="5"/>
  <c r="I1324" i="5"/>
  <c r="I1323" i="5"/>
  <c r="I1322" i="5"/>
  <c r="I1321" i="5"/>
  <c r="I1320" i="5"/>
  <c r="I1319" i="5"/>
  <c r="I1318" i="5"/>
  <c r="I1317" i="5"/>
  <c r="I1316" i="5"/>
  <c r="I1315" i="5"/>
  <c r="I1314" i="5"/>
  <c r="I1313" i="5"/>
  <c r="I1312" i="5"/>
  <c r="I1311" i="5"/>
  <c r="I1310" i="5"/>
  <c r="I1309" i="5"/>
  <c r="I1308" i="5"/>
  <c r="I1307" i="5"/>
  <c r="I1306" i="5"/>
  <c r="I1305" i="5"/>
  <c r="I1304" i="5"/>
  <c r="I1303" i="5"/>
  <c r="I1302" i="5"/>
  <c r="I1301" i="5"/>
  <c r="I1300" i="5"/>
  <c r="I1299" i="5"/>
  <c r="I1298" i="5"/>
  <c r="I1297" i="5"/>
  <c r="I1296" i="5"/>
  <c r="I1295" i="5"/>
  <c r="I1294" i="5"/>
  <c r="I1293" i="5"/>
  <c r="I1292" i="5"/>
  <c r="I1291" i="5"/>
  <c r="I1290" i="5"/>
  <c r="I1289" i="5"/>
  <c r="I1288" i="5"/>
  <c r="I1287" i="5"/>
  <c r="I1286" i="5"/>
  <c r="I1285" i="5"/>
  <c r="I1284" i="5"/>
  <c r="I1283" i="5"/>
  <c r="I1282" i="5"/>
  <c r="I1281" i="5"/>
  <c r="I1280" i="5"/>
  <c r="I1279" i="5"/>
  <c r="I1278" i="5"/>
  <c r="I1277" i="5"/>
  <c r="I1276" i="5"/>
  <c r="I1275" i="5"/>
  <c r="I1274" i="5"/>
  <c r="I1273" i="5"/>
  <c r="I1272" i="5"/>
  <c r="I1271" i="5"/>
  <c r="I1270" i="5"/>
  <c r="I1269" i="5"/>
  <c r="I1268" i="5"/>
  <c r="I1267" i="5"/>
  <c r="I1266" i="5"/>
  <c r="I1265" i="5"/>
  <c r="I1264" i="5"/>
  <c r="I1263" i="5"/>
  <c r="I1262" i="5"/>
  <c r="I1261" i="5"/>
  <c r="I1260" i="5"/>
  <c r="I1259" i="5"/>
  <c r="I1258" i="5"/>
  <c r="I1257" i="5"/>
  <c r="I1256" i="5"/>
  <c r="I1255" i="5"/>
  <c r="I1254" i="5"/>
  <c r="I1253" i="5"/>
  <c r="I1252" i="5"/>
  <c r="I1251" i="5"/>
  <c r="I1250" i="5"/>
  <c r="I1249" i="5"/>
  <c r="I1248" i="5"/>
  <c r="I1247" i="5"/>
  <c r="I1246" i="5"/>
  <c r="I1245" i="5"/>
  <c r="I1244" i="5"/>
  <c r="I1243" i="5"/>
  <c r="I1242" i="5"/>
  <c r="I1241" i="5"/>
  <c r="I1240" i="5"/>
  <c r="I1239" i="5"/>
  <c r="I1238" i="5"/>
  <c r="I1237" i="5"/>
  <c r="I1236" i="5"/>
  <c r="I1235" i="5"/>
  <c r="I1234" i="5"/>
  <c r="I1233" i="5"/>
  <c r="I1232" i="5"/>
  <c r="I1231" i="5"/>
  <c r="I1230" i="5"/>
  <c r="I1229" i="5"/>
  <c r="I1228" i="5"/>
  <c r="I1227" i="5"/>
  <c r="I1226" i="5"/>
  <c r="I1225" i="5"/>
  <c r="I1224" i="5"/>
  <c r="I1223" i="5"/>
  <c r="I1222" i="5"/>
  <c r="I1221" i="5"/>
  <c r="I1220" i="5"/>
  <c r="I1219" i="5"/>
  <c r="I1218" i="5"/>
  <c r="I1217" i="5"/>
  <c r="I1216" i="5"/>
  <c r="I1215" i="5"/>
  <c r="I1214" i="5"/>
  <c r="I1213" i="5"/>
  <c r="I1212" i="5"/>
  <c r="I1211" i="5"/>
  <c r="I1210" i="5"/>
  <c r="I1209" i="5"/>
  <c r="I1208" i="5"/>
  <c r="I1207" i="5"/>
  <c r="I1206" i="5"/>
  <c r="I1205" i="5"/>
  <c r="I1204" i="5"/>
  <c r="I1203" i="5"/>
  <c r="I1202" i="5"/>
  <c r="I1201" i="5"/>
  <c r="I1200" i="5"/>
  <c r="I1199" i="5"/>
  <c r="I1198" i="5"/>
  <c r="I1197" i="5"/>
  <c r="I1196" i="5"/>
  <c r="I1195" i="5"/>
  <c r="I1194" i="5"/>
  <c r="I1193" i="5"/>
  <c r="I1192" i="5"/>
  <c r="I1191" i="5"/>
  <c r="I1190" i="5"/>
  <c r="I1189" i="5"/>
  <c r="I1188" i="5"/>
  <c r="I1187" i="5"/>
  <c r="I1186" i="5"/>
  <c r="I1185" i="5"/>
  <c r="I1184" i="5"/>
  <c r="I1183" i="5"/>
  <c r="I1182" i="5"/>
  <c r="I1181" i="5"/>
  <c r="I1180" i="5"/>
  <c r="I1179" i="5"/>
  <c r="I1178" i="5"/>
  <c r="I1177" i="5"/>
  <c r="I1176" i="5"/>
  <c r="I1175" i="5"/>
  <c r="I1174" i="5"/>
  <c r="I1173" i="5"/>
  <c r="I1172" i="5"/>
  <c r="I1171" i="5"/>
  <c r="I1170" i="5"/>
  <c r="I1169" i="5"/>
  <c r="I1168" i="5"/>
  <c r="I1167" i="5"/>
  <c r="I1166" i="5"/>
  <c r="I1165" i="5"/>
  <c r="I1164" i="5"/>
  <c r="I1163" i="5"/>
  <c r="I1162" i="5"/>
  <c r="I1161" i="5"/>
  <c r="I1160" i="5"/>
  <c r="I1159" i="5"/>
  <c r="I1158" i="5"/>
  <c r="I1157" i="5"/>
  <c r="I1156" i="5"/>
  <c r="I1155" i="5"/>
  <c r="I1154" i="5"/>
  <c r="I1153" i="5"/>
  <c r="I1152" i="5"/>
  <c r="I1151" i="5"/>
  <c r="I1150" i="5"/>
  <c r="I1149" i="5"/>
  <c r="I1148" i="5"/>
  <c r="I1147" i="5"/>
  <c r="I1146" i="5"/>
  <c r="I1145" i="5"/>
  <c r="I1144" i="5"/>
  <c r="I1143" i="5"/>
  <c r="I1142" i="5"/>
  <c r="I1141" i="5"/>
  <c r="I1140" i="5"/>
  <c r="I1139" i="5"/>
  <c r="I1138" i="5"/>
  <c r="I1137" i="5"/>
  <c r="I1136" i="5"/>
  <c r="I1135" i="5"/>
  <c r="I1134" i="5"/>
  <c r="I1133" i="5"/>
  <c r="I1132" i="5"/>
  <c r="I1131" i="5"/>
  <c r="I1130" i="5"/>
  <c r="I1129" i="5"/>
  <c r="I1128" i="5"/>
  <c r="I1127" i="5"/>
  <c r="I1126" i="5"/>
  <c r="I1125" i="5"/>
  <c r="I1124" i="5"/>
  <c r="I1123" i="5"/>
  <c r="I1122" i="5"/>
  <c r="I1121" i="5"/>
  <c r="I1120" i="5"/>
  <c r="I1119" i="5"/>
  <c r="I1118" i="5"/>
  <c r="I1117" i="5"/>
  <c r="I1116" i="5"/>
  <c r="I1115" i="5"/>
  <c r="I1114" i="5"/>
  <c r="I1113" i="5"/>
  <c r="I1112" i="5"/>
  <c r="I1111" i="5"/>
  <c r="I1110" i="5"/>
  <c r="I1109" i="5"/>
  <c r="I1108" i="5"/>
  <c r="I1107" i="5"/>
  <c r="I1106" i="5"/>
  <c r="I1105" i="5"/>
  <c r="I1104" i="5"/>
  <c r="I1103" i="5"/>
  <c r="I1102" i="5"/>
  <c r="I1101" i="5"/>
  <c r="I1100" i="5"/>
  <c r="I1099" i="5"/>
  <c r="I1098" i="5"/>
  <c r="I1097" i="5"/>
  <c r="I1096" i="5"/>
  <c r="I1095" i="5"/>
  <c r="I1094" i="5"/>
  <c r="I1093" i="5"/>
  <c r="I1092" i="5"/>
  <c r="I1091" i="5"/>
  <c r="I1090" i="5"/>
  <c r="I1089" i="5"/>
  <c r="I1088" i="5"/>
  <c r="I1087" i="5"/>
  <c r="I1086" i="5"/>
  <c r="I1085" i="5"/>
  <c r="I1084" i="5"/>
  <c r="I1083" i="5"/>
  <c r="I1082" i="5"/>
  <c r="I1081" i="5"/>
  <c r="I1080" i="5"/>
  <c r="I1079" i="5"/>
  <c r="I1078" i="5"/>
  <c r="I1077" i="5"/>
  <c r="I1076" i="5"/>
  <c r="I1075" i="5"/>
  <c r="I1074" i="5"/>
  <c r="I1073" i="5"/>
  <c r="I1072" i="5"/>
  <c r="I1071" i="5"/>
  <c r="I1070" i="5"/>
  <c r="I1069" i="5"/>
  <c r="I1068" i="5"/>
  <c r="I1067" i="5"/>
  <c r="I1066" i="5"/>
  <c r="I1065" i="5"/>
  <c r="I1064" i="5"/>
  <c r="I1063" i="5"/>
  <c r="I1062" i="5"/>
  <c r="I1061" i="5"/>
  <c r="I1060" i="5"/>
  <c r="I1059" i="5"/>
  <c r="I1058" i="5"/>
  <c r="I1057" i="5"/>
  <c r="I1056" i="5"/>
  <c r="I1055" i="5"/>
  <c r="I1054" i="5"/>
  <c r="I1053" i="5"/>
  <c r="I1052" i="5"/>
  <c r="I1051" i="5"/>
  <c r="I1050" i="5"/>
  <c r="I1049" i="5"/>
  <c r="I1048" i="5"/>
  <c r="I1047" i="5"/>
  <c r="I1046" i="5"/>
  <c r="I1045" i="5"/>
  <c r="I1044" i="5"/>
  <c r="I1043" i="5"/>
  <c r="I1042" i="5"/>
  <c r="I1041" i="5"/>
  <c r="I1040" i="5"/>
  <c r="I1039" i="5"/>
  <c r="I1038" i="5"/>
  <c r="I1037" i="5"/>
  <c r="I1036" i="5"/>
  <c r="I1035" i="5"/>
  <c r="I1034" i="5"/>
  <c r="I1033" i="5"/>
  <c r="I1032" i="5"/>
  <c r="I1031" i="5"/>
  <c r="I1030" i="5"/>
  <c r="I1029" i="5"/>
  <c r="I1028" i="5"/>
  <c r="I1027" i="5"/>
  <c r="I1026" i="5"/>
  <c r="I1025" i="5"/>
  <c r="I1024" i="5"/>
  <c r="I1023" i="5"/>
  <c r="I1022" i="5"/>
  <c r="I1021" i="5"/>
  <c r="I1020" i="5"/>
  <c r="I1019" i="5"/>
  <c r="I1018" i="5"/>
  <c r="I1017" i="5"/>
  <c r="I1016" i="5"/>
  <c r="I1015" i="5"/>
  <c r="I1014" i="5"/>
  <c r="I1013" i="5"/>
  <c r="I1012" i="5"/>
  <c r="I1011" i="5"/>
  <c r="I1010" i="5"/>
  <c r="I1009" i="5"/>
  <c r="I1008" i="5"/>
  <c r="I1007" i="5"/>
  <c r="I1006" i="5"/>
  <c r="I1005" i="5"/>
  <c r="I1004" i="5"/>
  <c r="I1003" i="5"/>
  <c r="I1002" i="5"/>
  <c r="I1001" i="5"/>
  <c r="I1000" i="5"/>
  <c r="I999" i="5"/>
  <c r="I998" i="5"/>
  <c r="I997" i="5"/>
  <c r="I996" i="5"/>
  <c r="I995" i="5"/>
  <c r="I994" i="5"/>
  <c r="I993" i="5"/>
  <c r="I992" i="5"/>
  <c r="I991" i="5"/>
  <c r="I990" i="5"/>
  <c r="I989" i="5"/>
  <c r="I988" i="5"/>
  <c r="I987" i="5"/>
  <c r="I986" i="5"/>
  <c r="I985" i="5"/>
  <c r="I984" i="5"/>
  <c r="I983" i="5"/>
  <c r="I982" i="5"/>
  <c r="I981" i="5"/>
  <c r="I980" i="5"/>
  <c r="I979" i="5"/>
  <c r="I978" i="5"/>
  <c r="I977" i="5"/>
  <c r="I976" i="5"/>
  <c r="I975" i="5"/>
  <c r="I974" i="5"/>
  <c r="I973" i="5"/>
  <c r="I972" i="5"/>
  <c r="I971" i="5"/>
  <c r="I970" i="5"/>
  <c r="I969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49" i="5"/>
  <c r="I948" i="5"/>
  <c r="I947" i="5"/>
  <c r="I946" i="5"/>
  <c r="I945" i="5"/>
  <c r="I944" i="5"/>
  <c r="I943" i="5"/>
  <c r="I942" i="5"/>
  <c r="I941" i="5"/>
  <c r="I940" i="5"/>
  <c r="I939" i="5"/>
  <c r="I938" i="5"/>
  <c r="I937" i="5"/>
  <c r="I936" i="5"/>
  <c r="I935" i="5"/>
  <c r="I934" i="5"/>
  <c r="I933" i="5"/>
  <c r="I932" i="5"/>
  <c r="I931" i="5"/>
  <c r="I930" i="5"/>
  <c r="I929" i="5"/>
  <c r="I928" i="5"/>
  <c r="I927" i="5"/>
  <c r="I926" i="5"/>
  <c r="I925" i="5"/>
  <c r="I924" i="5"/>
  <c r="I923" i="5"/>
  <c r="I922" i="5"/>
  <c r="I921" i="5"/>
  <c r="I920" i="5"/>
  <c r="I919" i="5"/>
  <c r="I918" i="5"/>
  <c r="I917" i="5"/>
  <c r="I916" i="5"/>
  <c r="I915" i="5"/>
  <c r="I914" i="5"/>
  <c r="I913" i="5"/>
  <c r="I912" i="5"/>
  <c r="I911" i="5"/>
  <c r="I910" i="5"/>
  <c r="I909" i="5"/>
  <c r="I908" i="5"/>
  <c r="I907" i="5"/>
  <c r="I906" i="5"/>
  <c r="I905" i="5"/>
  <c r="I904" i="5"/>
  <c r="I903" i="5"/>
  <c r="I902" i="5"/>
  <c r="I901" i="5"/>
  <c r="I900" i="5"/>
  <c r="I899" i="5"/>
  <c r="I898" i="5"/>
  <c r="I897" i="5"/>
  <c r="I896" i="5"/>
  <c r="I895" i="5"/>
  <c r="I894" i="5"/>
  <c r="I893" i="5"/>
  <c r="I892" i="5"/>
  <c r="I891" i="5"/>
  <c r="I890" i="5"/>
  <c r="I889" i="5"/>
  <c r="I888" i="5"/>
  <c r="I887" i="5"/>
  <c r="I886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54" i="5"/>
  <c r="I853" i="5"/>
  <c r="I852" i="5"/>
  <c r="I851" i="5"/>
  <c r="I850" i="5"/>
  <c r="I849" i="5"/>
  <c r="I848" i="5"/>
  <c r="I847" i="5"/>
  <c r="I846" i="5"/>
  <c r="I845" i="5"/>
  <c r="I844" i="5"/>
  <c r="I843" i="5"/>
  <c r="I842" i="5"/>
  <c r="I841" i="5"/>
  <c r="I840" i="5"/>
  <c r="I839" i="5"/>
  <c r="I838" i="5"/>
  <c r="I837" i="5"/>
  <c r="I836" i="5"/>
  <c r="I835" i="5"/>
  <c r="I834" i="5"/>
  <c r="I833" i="5"/>
  <c r="I832" i="5"/>
  <c r="I831" i="5"/>
  <c r="I830" i="5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804" i="5"/>
  <c r="I803" i="5"/>
  <c r="I802" i="5"/>
  <c r="I801" i="5"/>
  <c r="I800" i="5"/>
  <c r="I799" i="5"/>
  <c r="I798" i="5"/>
  <c r="I797" i="5"/>
  <c r="I796" i="5"/>
  <c r="I795" i="5"/>
  <c r="I794" i="5"/>
  <c r="I793" i="5"/>
  <c r="I792" i="5"/>
  <c r="I791" i="5"/>
  <c r="I790" i="5"/>
  <c r="I789" i="5"/>
  <c r="I788" i="5"/>
  <c r="I787" i="5"/>
  <c r="I786" i="5"/>
  <c r="I785" i="5"/>
  <c r="I784" i="5"/>
  <c r="I783" i="5"/>
  <c r="I782" i="5"/>
  <c r="I781" i="5"/>
  <c r="I780" i="5"/>
  <c r="I779" i="5"/>
  <c r="I778" i="5"/>
  <c r="I777" i="5"/>
  <c r="I776" i="5"/>
  <c r="I775" i="5"/>
  <c r="I774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58" i="5"/>
  <c r="I757" i="5"/>
  <c r="I756" i="5"/>
  <c r="I755" i="5"/>
  <c r="I754" i="5"/>
  <c r="I753" i="5"/>
  <c r="I752" i="5"/>
  <c r="I751" i="5"/>
  <c r="I750" i="5"/>
  <c r="I749" i="5"/>
  <c r="I748" i="5"/>
  <c r="I747" i="5"/>
  <c r="I746" i="5"/>
  <c r="I745" i="5"/>
  <c r="I744" i="5"/>
  <c r="I743" i="5"/>
  <c r="I742" i="5"/>
  <c r="I741" i="5"/>
  <c r="I740" i="5"/>
  <c r="I739" i="5"/>
  <c r="I738" i="5"/>
  <c r="I737" i="5"/>
  <c r="I736" i="5"/>
  <c r="I735" i="5"/>
  <c r="I734" i="5"/>
  <c r="I733" i="5"/>
  <c r="I732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5" i="5"/>
  <c r="I714" i="5"/>
  <c r="I713" i="5"/>
  <c r="I712" i="5"/>
  <c r="I711" i="5"/>
  <c r="I710" i="5"/>
  <c r="I709" i="5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P466" i="4"/>
  <c r="O466" i="4"/>
  <c r="N466" i="4"/>
  <c r="M466" i="4"/>
  <c r="L466" i="4"/>
  <c r="K466" i="4"/>
  <c r="J466" i="4"/>
  <c r="I466" i="4"/>
  <c r="H466" i="4"/>
  <c r="G466" i="4"/>
  <c r="F466" i="4"/>
  <c r="E466" i="4"/>
  <c r="Q464" i="4"/>
  <c r="Q463" i="4"/>
  <c r="Q462" i="4"/>
  <c r="Q461" i="4"/>
  <c r="Q460" i="4"/>
  <c r="Q459" i="4"/>
  <c r="Q458" i="4"/>
  <c r="Q457" i="4"/>
  <c r="Q456" i="4"/>
  <c r="Q455" i="4"/>
  <c r="Q454" i="4"/>
  <c r="Q453" i="4"/>
  <c r="Q452" i="4"/>
  <c r="Q451" i="4"/>
  <c r="Q450" i="4"/>
  <c r="Q449" i="4"/>
  <c r="Q448" i="4"/>
  <c r="Q447" i="4"/>
  <c r="Q446" i="4"/>
  <c r="Q445" i="4"/>
  <c r="Q444" i="4"/>
  <c r="Q443" i="4"/>
  <c r="Q442" i="4"/>
  <c r="Q441" i="4"/>
  <c r="Q440" i="4"/>
  <c r="Q439" i="4"/>
  <c r="Q438" i="4"/>
  <c r="Q437" i="4"/>
  <c r="Q436" i="4"/>
  <c r="Q435" i="4"/>
  <c r="Q434" i="4"/>
  <c r="Q433" i="4"/>
  <c r="Q432" i="4"/>
  <c r="Q431" i="4"/>
  <c r="Q430" i="4"/>
  <c r="Q429" i="4"/>
  <c r="Q428" i="4"/>
  <c r="Q427" i="4"/>
  <c r="Q426" i="4"/>
  <c r="Q425" i="4"/>
  <c r="Q424" i="4"/>
  <c r="Q423" i="4"/>
  <c r="Q422" i="4"/>
  <c r="Q421" i="4"/>
  <c r="Q420" i="4"/>
  <c r="Q419" i="4"/>
  <c r="Q418" i="4"/>
  <c r="Q417" i="4"/>
  <c r="Q416" i="4"/>
  <c r="Q415" i="4"/>
  <c r="Q414" i="4"/>
  <c r="Q413" i="4"/>
  <c r="Q412" i="4"/>
  <c r="Q411" i="4"/>
  <c r="Q410" i="4"/>
  <c r="Q409" i="4"/>
  <c r="Q408" i="4"/>
  <c r="Q407" i="4"/>
  <c r="Q406" i="4"/>
  <c r="Q405" i="4"/>
  <c r="Q404" i="4"/>
  <c r="Q403" i="4"/>
  <c r="Q402" i="4"/>
  <c r="Q401" i="4"/>
  <c r="Q400" i="4"/>
  <c r="Q399" i="4"/>
  <c r="Q398" i="4"/>
  <c r="Q397" i="4"/>
  <c r="Q396" i="4"/>
  <c r="Q395" i="4"/>
  <c r="Q394" i="4"/>
  <c r="Q393" i="4"/>
  <c r="Q392" i="4"/>
  <c r="Q391" i="4"/>
  <c r="Q390" i="4"/>
  <c r="Q389" i="4"/>
  <c r="Q388" i="4"/>
  <c r="Q387" i="4"/>
  <c r="Q386" i="4"/>
  <c r="Q385" i="4"/>
  <c r="Q384" i="4"/>
  <c r="Q383" i="4"/>
  <c r="Q382" i="4"/>
  <c r="Q381" i="4"/>
  <c r="Q380" i="4"/>
  <c r="Q379" i="4"/>
  <c r="Q378" i="4"/>
  <c r="Q377" i="4"/>
  <c r="Q376" i="4"/>
  <c r="Q375" i="4"/>
  <c r="Q374" i="4"/>
  <c r="Q373" i="4"/>
  <c r="Q372" i="4"/>
  <c r="Q371" i="4"/>
  <c r="Q370" i="4"/>
  <c r="Q369" i="4"/>
  <c r="Q368" i="4"/>
  <c r="Q367" i="4"/>
  <c r="Q366" i="4"/>
  <c r="Q365" i="4"/>
  <c r="Q364" i="4"/>
  <c r="Q363" i="4"/>
  <c r="Q362" i="4"/>
  <c r="Q361" i="4"/>
  <c r="Q360" i="4"/>
  <c r="Q359" i="4"/>
  <c r="Q358" i="4"/>
  <c r="Q357" i="4"/>
  <c r="Q356" i="4"/>
  <c r="Q355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1" i="4"/>
  <c r="Q320" i="4"/>
  <c r="Q319" i="4"/>
  <c r="Q318" i="4"/>
  <c r="Q317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466" i="4" s="1"/>
  <c r="P954" i="3"/>
  <c r="O954" i="3"/>
  <c r="N954" i="3"/>
  <c r="M954" i="3"/>
  <c r="L954" i="3"/>
  <c r="K954" i="3"/>
  <c r="J954" i="3"/>
  <c r="I954" i="3"/>
  <c r="H954" i="3"/>
  <c r="G954" i="3"/>
  <c r="F954" i="3"/>
  <c r="E954" i="3"/>
  <c r="Q952" i="3"/>
  <c r="Q951" i="3"/>
  <c r="Q950" i="3"/>
  <c r="Q949" i="3"/>
  <c r="Q948" i="3"/>
  <c r="Q947" i="3"/>
  <c r="Q946" i="3"/>
  <c r="Q945" i="3"/>
  <c r="Q944" i="3"/>
  <c r="Q943" i="3"/>
  <c r="Q942" i="3"/>
  <c r="Q941" i="3"/>
  <c r="Q940" i="3"/>
  <c r="Q939" i="3"/>
  <c r="Q938" i="3"/>
  <c r="Q937" i="3"/>
  <c r="Q936" i="3"/>
  <c r="Q935" i="3"/>
  <c r="Q934" i="3"/>
  <c r="Q933" i="3"/>
  <c r="Q932" i="3"/>
  <c r="Q931" i="3"/>
  <c r="Q930" i="3"/>
  <c r="Q929" i="3"/>
  <c r="Q928" i="3"/>
  <c r="Q927" i="3"/>
  <c r="Q926" i="3"/>
  <c r="Q925" i="3"/>
  <c r="Q924" i="3"/>
  <c r="Q923" i="3"/>
  <c r="Q922" i="3"/>
  <c r="Q921" i="3"/>
  <c r="Q920" i="3"/>
  <c r="Q919" i="3"/>
  <c r="Q918" i="3"/>
  <c r="Q917" i="3"/>
  <c r="Q916" i="3"/>
  <c r="Q915" i="3"/>
  <c r="Q914" i="3"/>
  <c r="Q913" i="3"/>
  <c r="Q912" i="3"/>
  <c r="Q911" i="3"/>
  <c r="Q910" i="3"/>
  <c r="Q909" i="3"/>
  <c r="Q908" i="3"/>
  <c r="Q907" i="3"/>
  <c r="Q906" i="3"/>
  <c r="Q905" i="3"/>
  <c r="Q904" i="3"/>
  <c r="Q903" i="3"/>
  <c r="Q902" i="3"/>
  <c r="Q901" i="3"/>
  <c r="Q900" i="3"/>
  <c r="Q899" i="3"/>
  <c r="Q898" i="3"/>
  <c r="Q897" i="3"/>
  <c r="Q896" i="3"/>
  <c r="Q895" i="3"/>
  <c r="Q894" i="3"/>
  <c r="Q893" i="3"/>
  <c r="Q892" i="3"/>
  <c r="Q891" i="3"/>
  <c r="Q890" i="3"/>
  <c r="Q889" i="3"/>
  <c r="Q888" i="3"/>
  <c r="Q887" i="3"/>
  <c r="Q886" i="3"/>
  <c r="Q885" i="3"/>
  <c r="Q884" i="3"/>
  <c r="Q883" i="3"/>
  <c r="Q882" i="3"/>
  <c r="Q881" i="3"/>
  <c r="Q880" i="3"/>
  <c r="Q879" i="3"/>
  <c r="Q878" i="3"/>
  <c r="Q877" i="3"/>
  <c r="Q876" i="3"/>
  <c r="Q875" i="3"/>
  <c r="Q874" i="3"/>
  <c r="Q873" i="3"/>
  <c r="Q872" i="3"/>
  <c r="Q871" i="3"/>
  <c r="Q870" i="3"/>
  <c r="Q869" i="3"/>
  <c r="Q868" i="3"/>
  <c r="Q867" i="3"/>
  <c r="Q866" i="3"/>
  <c r="Q865" i="3"/>
  <c r="Q864" i="3"/>
  <c r="Q863" i="3"/>
  <c r="Q862" i="3"/>
  <c r="Q861" i="3"/>
  <c r="Q860" i="3"/>
  <c r="Q859" i="3"/>
  <c r="Q858" i="3"/>
  <c r="Q857" i="3"/>
  <c r="Q856" i="3"/>
  <c r="Q855" i="3"/>
  <c r="Q854" i="3"/>
  <c r="Q853" i="3"/>
  <c r="Q852" i="3"/>
  <c r="Q851" i="3"/>
  <c r="Q850" i="3"/>
  <c r="Q849" i="3"/>
  <c r="Q848" i="3"/>
  <c r="Q847" i="3"/>
  <c r="Q846" i="3"/>
  <c r="Q845" i="3"/>
  <c r="Q844" i="3"/>
  <c r="Q843" i="3"/>
  <c r="Q842" i="3"/>
  <c r="Q841" i="3"/>
  <c r="Q840" i="3"/>
  <c r="Q839" i="3"/>
  <c r="Q838" i="3"/>
  <c r="Q837" i="3"/>
  <c r="Q836" i="3"/>
  <c r="Q835" i="3"/>
  <c r="Q834" i="3"/>
  <c r="Q833" i="3"/>
  <c r="Q832" i="3"/>
  <c r="Q831" i="3"/>
  <c r="Q830" i="3"/>
  <c r="Q829" i="3"/>
  <c r="Q828" i="3"/>
  <c r="Q827" i="3"/>
  <c r="Q826" i="3"/>
  <c r="Q825" i="3"/>
  <c r="Q824" i="3"/>
  <c r="Q823" i="3"/>
  <c r="Q822" i="3"/>
  <c r="Q821" i="3"/>
  <c r="Q820" i="3"/>
  <c r="Q819" i="3"/>
  <c r="Q818" i="3"/>
  <c r="Q817" i="3"/>
  <c r="Q816" i="3"/>
  <c r="Q815" i="3"/>
  <c r="Q814" i="3"/>
  <c r="Q813" i="3"/>
  <c r="Q812" i="3"/>
  <c r="Q811" i="3"/>
  <c r="Q810" i="3"/>
  <c r="Q809" i="3"/>
  <c r="Q808" i="3"/>
  <c r="Q807" i="3"/>
  <c r="Q806" i="3"/>
  <c r="Q805" i="3"/>
  <c r="Q804" i="3"/>
  <c r="Q803" i="3"/>
  <c r="Q802" i="3"/>
  <c r="Q801" i="3"/>
  <c r="Q800" i="3"/>
  <c r="Q799" i="3"/>
  <c r="Q798" i="3"/>
  <c r="Q797" i="3"/>
  <c r="Q796" i="3"/>
  <c r="Q795" i="3"/>
  <c r="Q794" i="3"/>
  <c r="Q793" i="3"/>
  <c r="Q792" i="3"/>
  <c r="Q791" i="3"/>
  <c r="Q790" i="3"/>
  <c r="Q789" i="3"/>
  <c r="Q788" i="3"/>
  <c r="Q787" i="3"/>
  <c r="Q786" i="3"/>
  <c r="Q785" i="3"/>
  <c r="Q784" i="3"/>
  <c r="Q783" i="3"/>
  <c r="Q782" i="3"/>
  <c r="Q781" i="3"/>
  <c r="Q780" i="3"/>
  <c r="Q779" i="3"/>
  <c r="Q778" i="3"/>
  <c r="Q777" i="3"/>
  <c r="Q776" i="3"/>
  <c r="Q775" i="3"/>
  <c r="Q774" i="3"/>
  <c r="Q773" i="3"/>
  <c r="Q772" i="3"/>
  <c r="Q771" i="3"/>
  <c r="Q770" i="3"/>
  <c r="Q769" i="3"/>
  <c r="Q768" i="3"/>
  <c r="Q767" i="3"/>
  <c r="Q766" i="3"/>
  <c r="Q765" i="3"/>
  <c r="Q764" i="3"/>
  <c r="Q763" i="3"/>
  <c r="Q762" i="3"/>
  <c r="Q761" i="3"/>
  <c r="Q760" i="3"/>
  <c r="Q759" i="3"/>
  <c r="Q758" i="3"/>
  <c r="Q757" i="3"/>
  <c r="Q756" i="3"/>
  <c r="Q755" i="3"/>
  <c r="Q754" i="3"/>
  <c r="Q753" i="3"/>
  <c r="Q752" i="3"/>
  <c r="Q751" i="3"/>
  <c r="Q750" i="3"/>
  <c r="Q749" i="3"/>
  <c r="Q748" i="3"/>
  <c r="Q747" i="3"/>
  <c r="Q746" i="3"/>
  <c r="Q745" i="3"/>
  <c r="Q744" i="3"/>
  <c r="Q743" i="3"/>
  <c r="Q742" i="3"/>
  <c r="Q741" i="3"/>
  <c r="Q740" i="3"/>
  <c r="Q739" i="3"/>
  <c r="Q738" i="3"/>
  <c r="Q737" i="3"/>
  <c r="Q736" i="3"/>
  <c r="Q735" i="3"/>
  <c r="Q734" i="3"/>
  <c r="Q733" i="3"/>
  <c r="Q732" i="3"/>
  <c r="Q731" i="3"/>
  <c r="Q730" i="3"/>
  <c r="Q729" i="3"/>
  <c r="Q728" i="3"/>
  <c r="Q727" i="3"/>
  <c r="Q726" i="3"/>
  <c r="Q725" i="3"/>
  <c r="Q724" i="3"/>
  <c r="Q723" i="3"/>
  <c r="Q722" i="3"/>
  <c r="Q721" i="3"/>
  <c r="Q720" i="3"/>
  <c r="Q719" i="3"/>
  <c r="Q718" i="3"/>
  <c r="Q717" i="3"/>
  <c r="Q716" i="3"/>
  <c r="Q715" i="3"/>
  <c r="Q714" i="3"/>
  <c r="Q713" i="3"/>
  <c r="Q712" i="3"/>
  <c r="Q711" i="3"/>
  <c r="Q710" i="3"/>
  <c r="Q709" i="3"/>
  <c r="Q708" i="3"/>
  <c r="Q707" i="3"/>
  <c r="Q706" i="3"/>
  <c r="Q705" i="3"/>
  <c r="Q704" i="3"/>
  <c r="Q703" i="3"/>
  <c r="Q702" i="3"/>
  <c r="Q701" i="3"/>
  <c r="Q700" i="3"/>
  <c r="Q699" i="3"/>
  <c r="Q698" i="3"/>
  <c r="Q697" i="3"/>
  <c r="Q696" i="3"/>
  <c r="Q695" i="3"/>
  <c r="Q694" i="3"/>
  <c r="Q693" i="3"/>
  <c r="Q692" i="3"/>
  <c r="Q691" i="3"/>
  <c r="Q690" i="3"/>
  <c r="Q689" i="3"/>
  <c r="Q688" i="3"/>
  <c r="Q687" i="3"/>
  <c r="Q686" i="3"/>
  <c r="Q685" i="3"/>
  <c r="Q684" i="3"/>
  <c r="Q683" i="3"/>
  <c r="Q682" i="3"/>
  <c r="Q681" i="3"/>
  <c r="Q680" i="3"/>
  <c r="Q679" i="3"/>
  <c r="Q678" i="3"/>
  <c r="Q677" i="3"/>
  <c r="Q676" i="3"/>
  <c r="Q675" i="3"/>
  <c r="Q674" i="3"/>
  <c r="Q673" i="3"/>
  <c r="Q672" i="3"/>
  <c r="Q671" i="3"/>
  <c r="Q670" i="3"/>
  <c r="Q669" i="3"/>
  <c r="Q668" i="3"/>
  <c r="Q667" i="3"/>
  <c r="Q666" i="3"/>
  <c r="Q665" i="3"/>
  <c r="Q664" i="3"/>
  <c r="Q663" i="3"/>
  <c r="Q662" i="3"/>
  <c r="Q661" i="3"/>
  <c r="Q660" i="3"/>
  <c r="Q659" i="3"/>
  <c r="Q658" i="3"/>
  <c r="Q657" i="3"/>
  <c r="Q656" i="3"/>
  <c r="Q655" i="3"/>
  <c r="Q654" i="3"/>
  <c r="Q653" i="3"/>
  <c r="Q652" i="3"/>
  <c r="Q651" i="3"/>
  <c r="Q650" i="3"/>
  <c r="Q649" i="3"/>
  <c r="Q648" i="3"/>
  <c r="Q647" i="3"/>
  <c r="Q646" i="3"/>
  <c r="Q645" i="3"/>
  <c r="Q644" i="3"/>
  <c r="Q643" i="3"/>
  <c r="Q642" i="3"/>
  <c r="Q641" i="3"/>
  <c r="Q640" i="3"/>
  <c r="Q639" i="3"/>
  <c r="Q638" i="3"/>
  <c r="Q637" i="3"/>
  <c r="Q636" i="3"/>
  <c r="Q635" i="3"/>
  <c r="Q634" i="3"/>
  <c r="Q633" i="3"/>
  <c r="Q632" i="3"/>
  <c r="Q631" i="3"/>
  <c r="Q630" i="3"/>
  <c r="Q629" i="3"/>
  <c r="Q628" i="3"/>
  <c r="Q627" i="3"/>
  <c r="Q626" i="3"/>
  <c r="Q625" i="3"/>
  <c r="Q624" i="3"/>
  <c r="Q623" i="3"/>
  <c r="Q622" i="3"/>
  <c r="Q621" i="3"/>
  <c r="Q620" i="3"/>
  <c r="Q619" i="3"/>
  <c r="Q618" i="3"/>
  <c r="Q617" i="3"/>
  <c r="Q616" i="3"/>
  <c r="Q615" i="3"/>
  <c r="Q614" i="3"/>
  <c r="Q613" i="3"/>
  <c r="Q612" i="3"/>
  <c r="Q611" i="3"/>
  <c r="Q610" i="3"/>
  <c r="Q609" i="3"/>
  <c r="Q608" i="3"/>
  <c r="Q607" i="3"/>
  <c r="Q606" i="3"/>
  <c r="Q605" i="3"/>
  <c r="Q604" i="3"/>
  <c r="Q603" i="3"/>
  <c r="Q602" i="3"/>
  <c r="Q601" i="3"/>
  <c r="Q600" i="3"/>
  <c r="Q599" i="3"/>
  <c r="Q598" i="3"/>
  <c r="Q597" i="3"/>
  <c r="Q596" i="3"/>
  <c r="Q595" i="3"/>
  <c r="Q594" i="3"/>
  <c r="Q593" i="3"/>
  <c r="Q592" i="3"/>
  <c r="Q591" i="3"/>
  <c r="Q590" i="3"/>
  <c r="Q589" i="3"/>
  <c r="Q588" i="3"/>
  <c r="Q587" i="3"/>
  <c r="Q586" i="3"/>
  <c r="Q585" i="3"/>
  <c r="Q584" i="3"/>
  <c r="Q583" i="3"/>
  <c r="Q582" i="3"/>
  <c r="Q581" i="3"/>
  <c r="Q580" i="3"/>
  <c r="Q579" i="3"/>
  <c r="Q578" i="3"/>
  <c r="Q577" i="3"/>
  <c r="Q576" i="3"/>
  <c r="Q575" i="3"/>
  <c r="Q574" i="3"/>
  <c r="Q573" i="3"/>
  <c r="Q572" i="3"/>
  <c r="Q571" i="3"/>
  <c r="Q570" i="3"/>
  <c r="Q569" i="3"/>
  <c r="Q568" i="3"/>
  <c r="Q567" i="3"/>
  <c r="Q566" i="3"/>
  <c r="Q565" i="3"/>
  <c r="Q564" i="3"/>
  <c r="Q563" i="3"/>
  <c r="Q562" i="3"/>
  <c r="Q561" i="3"/>
  <c r="Q560" i="3"/>
  <c r="Q559" i="3"/>
  <c r="Q558" i="3"/>
  <c r="Q557" i="3"/>
  <c r="Q556" i="3"/>
  <c r="Q555" i="3"/>
  <c r="Q554" i="3"/>
  <c r="Q553" i="3"/>
  <c r="Q552" i="3"/>
  <c r="Q551" i="3"/>
  <c r="Q550" i="3"/>
  <c r="Q549" i="3"/>
  <c r="Q548" i="3"/>
  <c r="Q547" i="3"/>
  <c r="Q546" i="3"/>
  <c r="Q545" i="3"/>
  <c r="Q544" i="3"/>
  <c r="Q543" i="3"/>
  <c r="Q542" i="3"/>
  <c r="Q541" i="3"/>
  <c r="Q540" i="3"/>
  <c r="Q539" i="3"/>
  <c r="Q538" i="3"/>
  <c r="Q537" i="3"/>
  <c r="Q536" i="3"/>
  <c r="Q535" i="3"/>
  <c r="Q534" i="3"/>
  <c r="Q533" i="3"/>
  <c r="Q532" i="3"/>
  <c r="Q531" i="3"/>
  <c r="Q530" i="3"/>
  <c r="Q529" i="3"/>
  <c r="Q528" i="3"/>
  <c r="Q527" i="3"/>
  <c r="Q526" i="3"/>
  <c r="Q525" i="3"/>
  <c r="Q524" i="3"/>
  <c r="Q523" i="3"/>
  <c r="Q522" i="3"/>
  <c r="Q521" i="3"/>
  <c r="Q520" i="3"/>
  <c r="Q519" i="3"/>
  <c r="Q518" i="3"/>
  <c r="Q517" i="3"/>
  <c r="Q516" i="3"/>
  <c r="Q515" i="3"/>
  <c r="Q514" i="3"/>
  <c r="Q513" i="3"/>
  <c r="Q512" i="3"/>
  <c r="Q511" i="3"/>
  <c r="Q510" i="3"/>
  <c r="Q509" i="3"/>
  <c r="Q50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954" i="3" s="1"/>
  <c r="P1070" i="2"/>
  <c r="O1070" i="2"/>
  <c r="N1070" i="2"/>
  <c r="M1070" i="2"/>
  <c r="L1070" i="2"/>
  <c r="K1070" i="2"/>
  <c r="J1070" i="2"/>
  <c r="I1070" i="2"/>
  <c r="H1070" i="2"/>
  <c r="G1070" i="2"/>
  <c r="F1070" i="2"/>
  <c r="E1070" i="2"/>
  <c r="Q1068" i="2"/>
  <c r="Q1067" i="2"/>
  <c r="Q1066" i="2"/>
  <c r="Q1065" i="2"/>
  <c r="Q1064" i="2"/>
  <c r="Q1063" i="2"/>
  <c r="Q1062" i="2"/>
  <c r="Q1061" i="2"/>
  <c r="Q1060" i="2"/>
  <c r="Q1059" i="2"/>
  <c r="Q1058" i="2"/>
  <c r="Q1057" i="2"/>
  <c r="Q1056" i="2"/>
  <c r="Q1055" i="2"/>
  <c r="Q1054" i="2"/>
  <c r="Q1053" i="2"/>
  <c r="Q1052" i="2"/>
  <c r="Q1051" i="2"/>
  <c r="Q1050" i="2"/>
  <c r="Q1049" i="2"/>
  <c r="Q1048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Q1031" i="2"/>
  <c r="Q1030" i="2"/>
  <c r="Q1029" i="2"/>
  <c r="Q1028" i="2"/>
  <c r="Q1027" i="2"/>
  <c r="Q1026" i="2"/>
  <c r="Q1025" i="2"/>
  <c r="Q1024" i="2"/>
  <c r="Q1023" i="2"/>
  <c r="Q1022" i="2"/>
  <c r="Q1021" i="2"/>
  <c r="Q1020" i="2"/>
  <c r="Q1019" i="2"/>
  <c r="Q1018" i="2"/>
  <c r="Q1017" i="2"/>
  <c r="Q1016" i="2"/>
  <c r="Q1015" i="2"/>
  <c r="Q1014" i="2"/>
  <c r="Q1013" i="2"/>
  <c r="Q1012" i="2"/>
  <c r="Q1011" i="2"/>
  <c r="Q1010" i="2"/>
  <c r="Q1009" i="2"/>
  <c r="Q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1070" i="2" s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1195" i="1" s="1"/>
  <c r="S82" i="15" l="1"/>
  <c r="S150" i="15"/>
  <c r="S95" i="15"/>
  <c r="S105" i="15"/>
  <c r="S12" i="15"/>
  <c r="S88" i="15"/>
  <c r="S57" i="15"/>
  <c r="S152" i="15"/>
  <c r="S111" i="15"/>
  <c r="S101" i="15"/>
  <c r="S141" i="15"/>
  <c r="S99" i="15"/>
  <c r="S97" i="15"/>
  <c r="S113" i="15"/>
  <c r="R147" i="15"/>
  <c r="S147" i="15" s="1"/>
  <c r="S36" i="15"/>
  <c r="R84" i="15"/>
  <c r="S84" i="15" s="1"/>
  <c r="S19" i="15"/>
  <c r="S8" i="15"/>
  <c r="S142" i="15"/>
  <c r="S61" i="15"/>
  <c r="S110" i="15"/>
  <c r="S166" i="15"/>
  <c r="R116" i="15"/>
  <c r="S116" i="15" s="1"/>
  <c r="R94" i="15"/>
  <c r="S94" i="15" s="1"/>
  <c r="R108" i="15"/>
  <c r="S108" i="15" s="1"/>
  <c r="R96" i="15"/>
  <c r="S96" i="15" s="1"/>
  <c r="R107" i="15"/>
  <c r="S107" i="15" s="1"/>
  <c r="S31" i="15"/>
  <c r="R145" i="15"/>
  <c r="S145" i="15" s="1"/>
  <c r="S153" i="15"/>
  <c r="R165" i="15"/>
  <c r="S165" i="15" s="1"/>
  <c r="S24" i="15"/>
  <c r="S73" i="15"/>
  <c r="R166" i="15"/>
  <c r="R32" i="15"/>
  <c r="S32" i="15" s="1"/>
  <c r="S137" i="15"/>
  <c r="S34" i="15"/>
  <c r="S9" i="15"/>
  <c r="S93" i="15"/>
  <c r="S115" i="15"/>
  <c r="S68" i="15"/>
  <c r="R75" i="15"/>
  <c r="S75" i="15" s="1"/>
  <c r="S74" i="15"/>
  <c r="S26" i="15"/>
  <c r="S156" i="15"/>
  <c r="S103" i="15"/>
  <c r="R120" i="15"/>
  <c r="S120" i="15" s="1"/>
  <c r="R159" i="15"/>
  <c r="S159" i="15" s="1"/>
  <c r="S38" i="15"/>
  <c r="S17" i="15"/>
  <c r="S151" i="15"/>
  <c r="S154" i="15"/>
  <c r="S121" i="15"/>
  <c r="S27" i="15"/>
  <c r="S42" i="15"/>
  <c r="S83" i="15"/>
  <c r="S64" i="15"/>
  <c r="S76" i="15"/>
  <c r="S91" i="15"/>
  <c r="S126" i="15"/>
  <c r="S92" i="15"/>
  <c r="S7" i="15"/>
  <c r="S22" i="15"/>
  <c r="S162" i="15"/>
  <c r="S49" i="15"/>
  <c r="S149" i="15"/>
  <c r="S164" i="15"/>
  <c r="S70" i="15"/>
  <c r="S78" i="15"/>
  <c r="S157" i="15"/>
  <c r="R155" i="15"/>
  <c r="S155" i="15" s="1"/>
  <c r="R140" i="15"/>
  <c r="S140" i="15" s="1"/>
  <c r="S122" i="15"/>
  <c r="S90" i="15"/>
  <c r="S52" i="15"/>
  <c r="R37" i="15"/>
  <c r="S37" i="15" s="1"/>
  <c r="S65" i="15"/>
  <c r="S6" i="15"/>
  <c r="S54" i="15"/>
  <c r="S2" i="15"/>
  <c r="S128" i="15"/>
  <c r="R167" i="15"/>
  <c r="S167" i="15" s="1"/>
  <c r="S33" i="15"/>
  <c r="S77" i="15"/>
  <c r="S23" i="15"/>
  <c r="S21" i="15"/>
  <c r="S135" i="15"/>
  <c r="S100" i="15"/>
  <c r="S69" i="15"/>
  <c r="S160" i="15"/>
  <c r="R63" i="15"/>
  <c r="S63" i="15" s="1"/>
  <c r="S15" i="15"/>
  <c r="S53" i="15"/>
  <c r="S4" i="15"/>
  <c r="S3" i="15"/>
  <c r="S80" i="15"/>
  <c r="S62" i="15"/>
  <c r="S20" i="15"/>
  <c r="S102" i="15"/>
  <c r="S60" i="15"/>
  <c r="S28" i="15"/>
  <c r="S45" i="15"/>
  <c r="S16" i="15"/>
  <c r="S144" i="15"/>
  <c r="S158" i="15"/>
  <c r="R143" i="15"/>
  <c r="S143" i="15" s="1"/>
  <c r="R41" i="15"/>
  <c r="S41" i="15" s="1"/>
  <c r="S25" i="15"/>
  <c r="S5" i="15"/>
  <c r="S161" i="15"/>
  <c r="R163" i="15"/>
  <c r="S163" i="15" s="1"/>
  <c r="R109" i="15"/>
  <c r="S109" i="15" s="1"/>
  <c r="R138" i="15"/>
  <c r="S138" i="15" s="1"/>
  <c r="R136" i="15"/>
  <c r="S136" i="15" s="1"/>
  <c r="R125" i="15"/>
  <c r="S125" i="15" s="1"/>
  <c r="R39" i="15"/>
  <c r="S39" i="15" s="1"/>
  <c r="R71" i="15"/>
  <c r="S71" i="15" s="1"/>
  <c r="R133" i="15"/>
  <c r="S133" i="15" s="1"/>
  <c r="R81" i="15"/>
  <c r="S81" i="15" s="1"/>
  <c r="R59" i="15"/>
  <c r="S59" i="15" s="1"/>
  <c r="R46" i="15"/>
  <c r="S46" i="15" s="1"/>
  <c r="R129" i="15"/>
  <c r="S129" i="15" s="1"/>
  <c r="R127" i="15"/>
  <c r="S127" i="15" s="1"/>
  <c r="R146" i="15"/>
  <c r="S146" i="15" s="1"/>
  <c r="R40" i="15"/>
  <c r="S40" i="15" s="1"/>
  <c r="R123" i="15"/>
  <c r="S123" i="15" s="1"/>
  <c r="R51" i="15"/>
  <c r="S51" i="15" s="1"/>
  <c r="R10" i="15"/>
  <c r="S10" i="15" s="1"/>
  <c r="R67" i="15"/>
  <c r="S67" i="15" s="1"/>
  <c r="R44" i="15"/>
  <c r="S44" i="15" s="1"/>
  <c r="R86" i="15"/>
  <c r="S86" i="15" s="1"/>
  <c r="R29" i="15"/>
  <c r="S29" i="15" s="1"/>
  <c r="R43" i="15"/>
  <c r="S43" i="15" s="1"/>
  <c r="R134" i="15"/>
  <c r="S134" i="15" s="1"/>
  <c r="R98" i="15"/>
  <c r="S98" i="15" s="1"/>
  <c r="R11" i="15"/>
  <c r="S11" i="15" s="1"/>
</calcChain>
</file>

<file path=xl/sharedStrings.xml><?xml version="1.0" encoding="utf-8"?>
<sst xmlns="http://schemas.openxmlformats.org/spreadsheetml/2006/main" count="32878" uniqueCount="3967">
  <si>
    <r>
      <rPr>
        <b/>
        <sz val="12"/>
        <color rgb="FFFFFFFF"/>
        <rFont val="Arial"/>
        <family val="2"/>
      </rPr>
      <t>2023</t>
    </r>
    <r>
      <rPr>
        <b/>
        <sz val="12"/>
        <color rgb="FFFFFFFF"/>
        <rFont val="DejaVu Sans"/>
        <family val="2"/>
      </rPr>
      <t xml:space="preserve">년 </t>
    </r>
    <r>
      <rPr>
        <b/>
        <sz val="12"/>
        <color rgb="FFFFFFFF"/>
        <rFont val="Arial"/>
        <family val="2"/>
      </rPr>
      <t xml:space="preserve">OJC </t>
    </r>
    <r>
      <rPr>
        <b/>
        <sz val="12"/>
        <color rgb="FFFFFFFF"/>
        <rFont val="DejaVu Sans"/>
        <family val="2"/>
      </rPr>
      <t xml:space="preserve">완제품 판매량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DejaVu Sans"/>
        <family val="2"/>
      </rPr>
      <t xml:space="preserve">월별 </t>
    </r>
    <r>
      <rPr>
        <b/>
        <sz val="12"/>
        <color rgb="FFFFFFFF"/>
        <rFont val="Arial"/>
        <family val="2"/>
      </rPr>
      <t xml:space="preserve">| </t>
    </r>
    <r>
      <rPr>
        <b/>
        <sz val="12"/>
        <color rgb="FFFFFFFF"/>
        <rFont val="DejaVu Sans"/>
        <family val="2"/>
      </rPr>
      <t>규격명 포함</t>
    </r>
    <r>
      <rPr>
        <b/>
        <sz val="12"/>
        <color rgb="FFFFFFFF"/>
        <rFont val="Arial"/>
        <family val="2"/>
      </rPr>
      <t>)</t>
    </r>
  </si>
  <si>
    <t>NO</t>
  </si>
  <si>
    <t>품목코드</t>
  </si>
  <si>
    <t>품목명</t>
  </si>
  <si>
    <t>규격명</t>
  </si>
  <si>
    <r>
      <rPr>
        <b/>
        <sz val="9"/>
        <color rgb="FFFFFFFF"/>
        <rFont val="Arial"/>
        <family val="2"/>
      </rPr>
      <t>1</t>
    </r>
    <r>
      <rPr>
        <b/>
        <sz val="9"/>
        <color rgb="FFFFFFFF"/>
        <rFont val="DejaVu Sans"/>
        <family val="2"/>
      </rPr>
      <t>월</t>
    </r>
  </si>
  <si>
    <r>
      <rPr>
        <b/>
        <sz val="9"/>
        <color rgb="FFFFFFFF"/>
        <rFont val="Arial"/>
        <family val="2"/>
      </rPr>
      <t>2</t>
    </r>
    <r>
      <rPr>
        <b/>
        <sz val="9"/>
        <color rgb="FFFFFFFF"/>
        <rFont val="DejaVu Sans"/>
        <family val="2"/>
      </rPr>
      <t>월</t>
    </r>
  </si>
  <si>
    <r>
      <rPr>
        <b/>
        <sz val="9"/>
        <color rgb="FFFFFFFF"/>
        <rFont val="Arial"/>
        <family val="2"/>
      </rPr>
      <t>3</t>
    </r>
    <r>
      <rPr>
        <b/>
        <sz val="9"/>
        <color rgb="FFFFFFFF"/>
        <rFont val="DejaVu Sans"/>
        <family val="2"/>
      </rPr>
      <t>월</t>
    </r>
  </si>
  <si>
    <r>
      <rPr>
        <b/>
        <sz val="9"/>
        <color rgb="FFFFFFFF"/>
        <rFont val="Arial"/>
        <family val="2"/>
      </rPr>
      <t>4</t>
    </r>
    <r>
      <rPr>
        <b/>
        <sz val="9"/>
        <color rgb="FFFFFFFF"/>
        <rFont val="DejaVu Sans"/>
        <family val="2"/>
      </rPr>
      <t>월</t>
    </r>
  </si>
  <si>
    <r>
      <rPr>
        <b/>
        <sz val="9"/>
        <color rgb="FFFFFFFF"/>
        <rFont val="Arial"/>
        <family val="2"/>
      </rPr>
      <t>5</t>
    </r>
    <r>
      <rPr>
        <b/>
        <sz val="9"/>
        <color rgb="FFFFFFFF"/>
        <rFont val="DejaVu Sans"/>
        <family val="2"/>
      </rPr>
      <t>월</t>
    </r>
  </si>
  <si>
    <r>
      <rPr>
        <b/>
        <sz val="9"/>
        <color rgb="FFFFFFFF"/>
        <rFont val="Arial"/>
        <family val="2"/>
      </rPr>
      <t>6</t>
    </r>
    <r>
      <rPr>
        <b/>
        <sz val="9"/>
        <color rgb="FFFFFFFF"/>
        <rFont val="DejaVu Sans"/>
        <family val="2"/>
      </rPr>
      <t>월</t>
    </r>
  </si>
  <si>
    <r>
      <rPr>
        <b/>
        <sz val="9"/>
        <color rgb="FFFFFFFF"/>
        <rFont val="Arial"/>
        <family val="2"/>
      </rPr>
      <t>7</t>
    </r>
    <r>
      <rPr>
        <b/>
        <sz val="9"/>
        <color rgb="FFFFFFFF"/>
        <rFont val="DejaVu Sans"/>
        <family val="2"/>
      </rPr>
      <t>월</t>
    </r>
  </si>
  <si>
    <r>
      <rPr>
        <b/>
        <sz val="9"/>
        <color rgb="FFFFFFFF"/>
        <rFont val="Arial"/>
        <family val="2"/>
      </rPr>
      <t>8</t>
    </r>
    <r>
      <rPr>
        <b/>
        <sz val="9"/>
        <color rgb="FFFFFFFF"/>
        <rFont val="DejaVu Sans"/>
        <family val="2"/>
      </rPr>
      <t>월</t>
    </r>
  </si>
  <si>
    <r>
      <rPr>
        <b/>
        <sz val="9"/>
        <color rgb="FFFFFFFF"/>
        <rFont val="Arial"/>
        <family val="2"/>
      </rPr>
      <t>9</t>
    </r>
    <r>
      <rPr>
        <b/>
        <sz val="9"/>
        <color rgb="FFFFFFFF"/>
        <rFont val="DejaVu Sans"/>
        <family val="2"/>
      </rPr>
      <t>월</t>
    </r>
  </si>
  <si>
    <r>
      <rPr>
        <b/>
        <sz val="9"/>
        <color rgb="FFFFFFFF"/>
        <rFont val="Arial"/>
        <family val="2"/>
      </rPr>
      <t>10</t>
    </r>
    <r>
      <rPr>
        <b/>
        <sz val="9"/>
        <color rgb="FFFFFFFF"/>
        <rFont val="DejaVu Sans"/>
        <family val="2"/>
      </rPr>
      <t>월</t>
    </r>
  </si>
  <si>
    <r>
      <rPr>
        <b/>
        <sz val="9"/>
        <color rgb="FFFFFFFF"/>
        <rFont val="Arial"/>
        <family val="2"/>
      </rPr>
      <t>11</t>
    </r>
    <r>
      <rPr>
        <b/>
        <sz val="9"/>
        <color rgb="FFFFFFFF"/>
        <rFont val="DejaVu Sans"/>
        <family val="2"/>
      </rPr>
      <t>월</t>
    </r>
  </si>
  <si>
    <r>
      <rPr>
        <b/>
        <sz val="9"/>
        <color rgb="FFFFFFFF"/>
        <rFont val="Arial"/>
        <family val="2"/>
      </rPr>
      <t>12</t>
    </r>
    <r>
      <rPr>
        <b/>
        <sz val="9"/>
        <color rgb="FFFFFFFF"/>
        <rFont val="DejaVu Sans"/>
        <family val="2"/>
      </rPr>
      <t>월</t>
    </r>
  </si>
  <si>
    <t>합계</t>
  </si>
  <si>
    <t>14-C-001</t>
  </si>
  <si>
    <t>DROP-CABLE(LC/PC)</t>
  </si>
  <si>
    <t>10M</t>
  </si>
  <si>
    <t>14-C-003</t>
  </si>
  <si>
    <t>20M</t>
  </si>
  <si>
    <t>14-C-005</t>
  </si>
  <si>
    <t>3M</t>
  </si>
  <si>
    <t>14-C-006</t>
  </si>
  <si>
    <t>5M</t>
  </si>
  <si>
    <t>14-C-009</t>
  </si>
  <si>
    <t>DROP-CABLE(LC/PC-SC/APC)</t>
  </si>
  <si>
    <t>14-C-013</t>
  </si>
  <si>
    <t>DROP-CABLE(SC/APC)</t>
  </si>
  <si>
    <t>14-C-015</t>
  </si>
  <si>
    <t>15M</t>
  </si>
  <si>
    <t>14-C-017</t>
  </si>
  <si>
    <t>14-C-023</t>
  </si>
  <si>
    <t>45M</t>
  </si>
  <si>
    <t>14-C-026</t>
  </si>
  <si>
    <t>14-C-040</t>
  </si>
  <si>
    <t>DROP-CABLE(SC/PC)</t>
  </si>
  <si>
    <t>120M</t>
  </si>
  <si>
    <t>14-C-047</t>
  </si>
  <si>
    <t>14-C-048</t>
  </si>
  <si>
    <t>1M</t>
  </si>
  <si>
    <t>14-C-050</t>
  </si>
  <si>
    <t>14-C-052</t>
  </si>
  <si>
    <t>2M</t>
  </si>
  <si>
    <t>14-C-053</t>
  </si>
  <si>
    <t>30M</t>
  </si>
  <si>
    <t>14-C-055</t>
  </si>
  <si>
    <t>14-C-059</t>
  </si>
  <si>
    <t>50M</t>
  </si>
  <si>
    <t>14-C-061</t>
  </si>
  <si>
    <t>14-C-062</t>
  </si>
  <si>
    <t>60M</t>
  </si>
  <si>
    <t>14-C-065</t>
  </si>
  <si>
    <t>70M</t>
  </si>
  <si>
    <t>14-C-067</t>
  </si>
  <si>
    <t>7M</t>
  </si>
  <si>
    <t>14-C-068</t>
  </si>
  <si>
    <t>80M</t>
  </si>
  <si>
    <t>14-C-072</t>
  </si>
  <si>
    <t>90M</t>
  </si>
  <si>
    <t>14-C-080</t>
  </si>
  <si>
    <t>DROP-CABLE(SC/PC-SC/APC)</t>
  </si>
  <si>
    <t>14-C-081</t>
  </si>
  <si>
    <t>14-C-082</t>
  </si>
  <si>
    <t>14-C-087</t>
  </si>
  <si>
    <t>14-C-089</t>
  </si>
  <si>
    <t>14-C-107</t>
  </si>
  <si>
    <t>DROP-CABLE(LC/PC-SC/PC)</t>
  </si>
  <si>
    <t>14-C-130</t>
  </si>
  <si>
    <t>14-C-134</t>
  </si>
  <si>
    <t>14-C-363</t>
  </si>
  <si>
    <t>14-C-389</t>
  </si>
  <si>
    <t>14-C-402</t>
  </si>
  <si>
    <t>DROP-CABLE(LC/PC)-2C</t>
  </si>
  <si>
    <t>14-C-404</t>
  </si>
  <si>
    <t>Optical Cable Parts,LC/PC-LC/PC-Single mode-10m-2Core</t>
  </si>
  <si>
    <t>657A2 , LSZH</t>
  </si>
  <si>
    <t>14-C-408</t>
  </si>
  <si>
    <t>Optical Cable Parts,LC/PC-LC/PC-Single mode-50m-2Core</t>
  </si>
  <si>
    <t>14-C-419</t>
  </si>
  <si>
    <t>Optical Cable Parts,LC/PC-LC/PC-Single mode-4m-2Core</t>
  </si>
  <si>
    <t>14-C-420</t>
  </si>
  <si>
    <t>Optical Cable Parts,LC/PC-LC/PC-Single mode-5m-2Core</t>
  </si>
  <si>
    <t>14-C-425</t>
  </si>
  <si>
    <t>14-C-426</t>
  </si>
  <si>
    <t>40M</t>
  </si>
  <si>
    <t>14-C-439</t>
  </si>
  <si>
    <t>Optical Cable Parts,LC/PC-LC/PC-Single mode-3m-2Core</t>
  </si>
  <si>
    <t>657A2 , LSZH , LC DUPLEX KIT(CLIP), 95MM/ 500MM</t>
  </si>
  <si>
    <t>14-C-440</t>
  </si>
  <si>
    <t>14-C-441</t>
  </si>
  <si>
    <t>Optical Cable Parts,LC/PC-LC/PC-Single mode-15m-2Core</t>
  </si>
  <si>
    <t>14-C-442</t>
  </si>
  <si>
    <t>Optical Cable Parts,LC/PC-LC/PC-Single mode-20m-2Core</t>
  </si>
  <si>
    <t>14-C-443</t>
  </si>
  <si>
    <t>Optical Cable Parts,LC/PC-LC/PC-Single mode-25m-2Core</t>
  </si>
  <si>
    <t>14-C-458</t>
  </si>
  <si>
    <t>Optical Cable Parts,LC/PC-LC/PC-Single mode-70m-2Core</t>
  </si>
  <si>
    <t>657A2 , LSZH , LC DUPLEX KIT(CLIP),95MM/ 500MM</t>
  </si>
  <si>
    <t>14-C-466</t>
  </si>
  <si>
    <t>14-C-486</t>
  </si>
  <si>
    <t>DROP-CABLE(LC/APC)-2C</t>
  </si>
  <si>
    <r>
      <rPr>
        <sz val="9"/>
        <color rgb="FF000000"/>
        <rFont val="Arial"/>
        <family val="2"/>
      </rPr>
      <t xml:space="preserve">5M / </t>
    </r>
    <r>
      <rPr>
        <sz val="9"/>
        <color rgb="FF000000"/>
        <rFont val="DejaVu Sans"/>
        <family val="2"/>
      </rPr>
      <t>분기부</t>
    </r>
    <r>
      <rPr>
        <sz val="9"/>
        <color rgb="FF000000"/>
        <rFont val="Arial"/>
        <family val="2"/>
      </rPr>
      <t>:30cm</t>
    </r>
  </si>
  <si>
    <t>14-C-489</t>
  </si>
  <si>
    <r>
      <rPr>
        <sz val="9"/>
        <color rgb="FF000000"/>
        <rFont val="Arial"/>
        <family val="2"/>
      </rPr>
      <t xml:space="preserve">10M / </t>
    </r>
    <r>
      <rPr>
        <sz val="9"/>
        <color rgb="FF000000"/>
        <rFont val="DejaVu Sans"/>
        <family val="2"/>
      </rPr>
      <t>분기부</t>
    </r>
    <r>
      <rPr>
        <sz val="9"/>
        <color rgb="FF000000"/>
        <rFont val="Arial"/>
        <family val="2"/>
      </rPr>
      <t>:30cm</t>
    </r>
  </si>
  <si>
    <t>14-C-490</t>
  </si>
  <si>
    <t>Optical Cable Parts,LC/PC-LC/PC-Single mode-30m-2Core</t>
  </si>
  <si>
    <t>14-C-491</t>
  </si>
  <si>
    <t>Optical Cable Parts,LC/PC-LC/PC-Single mode-40m-2Core</t>
  </si>
  <si>
    <t>14-C-492</t>
  </si>
  <si>
    <t>14-C-493</t>
  </si>
  <si>
    <t>Optical Cable Parts,LC/PC-LC/PC-Single mode-60m-2Core</t>
  </si>
  <si>
    <t>14-C-495</t>
  </si>
  <si>
    <t>Optical Cable Parts,LC/PC-LC/PC-Single mode-80m-2Core</t>
  </si>
  <si>
    <t>14-C-496</t>
  </si>
  <si>
    <t>14-C-497</t>
  </si>
  <si>
    <t>4M</t>
  </si>
  <si>
    <t>14-C-529</t>
  </si>
  <si>
    <t>14-C-534</t>
  </si>
  <si>
    <t>25M</t>
  </si>
  <si>
    <t>14-C-542</t>
  </si>
  <si>
    <t>DROP-CABLE(LC/UPC)-2C</t>
  </si>
  <si>
    <r>
      <rPr>
        <sz val="9"/>
        <color rgb="FF000000"/>
        <rFont val="Arial"/>
        <family val="2"/>
      </rPr>
      <t xml:space="preserve">0.72M, CLIP Type, </t>
    </r>
    <r>
      <rPr>
        <sz val="9"/>
        <color rgb="FF000000"/>
        <rFont val="DejaVu Sans"/>
        <family val="2"/>
      </rPr>
      <t xml:space="preserve">청색 </t>
    </r>
    <r>
      <rPr>
        <sz val="9"/>
        <color rgb="FF000000"/>
        <rFont val="Arial"/>
        <family val="2"/>
      </rPr>
      <t xml:space="preserve">Housing, </t>
    </r>
    <r>
      <rPr>
        <sz val="9"/>
        <color rgb="FF000000"/>
        <rFont val="DejaVu Sans"/>
        <family val="2"/>
      </rPr>
      <t>분기부 스프링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크로스 타입</t>
    </r>
    <r>
      <rPr>
        <sz val="9"/>
        <color rgb="FF000000"/>
        <rFont val="Arial"/>
        <family val="2"/>
      </rPr>
      <t>(TX-RX, RX-TX)</t>
    </r>
  </si>
  <si>
    <t>14-C-543</t>
  </si>
  <si>
    <r>
      <rPr>
        <sz val="9"/>
        <color rgb="FF000000"/>
        <rFont val="Arial"/>
        <family val="2"/>
      </rPr>
      <t xml:space="preserve">2M, CLIP Type, </t>
    </r>
    <r>
      <rPr>
        <sz val="9"/>
        <color rgb="FF000000"/>
        <rFont val="DejaVu Sans"/>
        <family val="2"/>
      </rPr>
      <t xml:space="preserve">청색 </t>
    </r>
    <r>
      <rPr>
        <sz val="9"/>
        <color rgb="FF000000"/>
        <rFont val="Arial"/>
        <family val="2"/>
      </rPr>
      <t xml:space="preserve">Housing, </t>
    </r>
    <r>
      <rPr>
        <sz val="9"/>
        <color rgb="FF000000"/>
        <rFont val="DejaVu Sans"/>
        <family val="2"/>
      </rPr>
      <t>분기부 스프링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크로스 타입</t>
    </r>
    <r>
      <rPr>
        <sz val="9"/>
        <color rgb="FF000000"/>
        <rFont val="Arial"/>
        <family val="2"/>
      </rPr>
      <t>(TX-RX, RX-TX)</t>
    </r>
  </si>
  <si>
    <t>14-C-552</t>
  </si>
  <si>
    <t>657A2 , LSZH , LC DUPLEX KIT(CLIP), 0MM/ 300MM</t>
  </si>
  <si>
    <t>14-C-553</t>
  </si>
  <si>
    <t>14-C-554</t>
  </si>
  <si>
    <t>14-C-555</t>
  </si>
  <si>
    <t>14-C-556</t>
  </si>
  <si>
    <t>14-C-557</t>
  </si>
  <si>
    <t>Optical Cable Parts,LC/PC-LC/PC-Single mode-35m-2Core</t>
  </si>
  <si>
    <t>14-C-558</t>
  </si>
  <si>
    <t>14-C-577</t>
  </si>
  <si>
    <t>40m</t>
  </si>
  <si>
    <t>14-C-582</t>
  </si>
  <si>
    <t>35m</t>
  </si>
  <si>
    <t>14-C-583</t>
  </si>
  <si>
    <t>15m</t>
  </si>
  <si>
    <t>14-C-588</t>
  </si>
  <si>
    <t>Optical Cable Parts,LC/APC-LC/APC-Single mode-5m-2Core</t>
  </si>
  <si>
    <t>14-C-591</t>
  </si>
  <si>
    <t>14-C-597</t>
  </si>
  <si>
    <t>DROP-CABLE(LC/PC-FC/PC)</t>
  </si>
  <si>
    <t>14-C-598</t>
  </si>
  <si>
    <t>657A2 , LSZH , LC DUPLEX KIT(CLIP), 500MM/ 500MM</t>
  </si>
  <si>
    <t>14-C-599</t>
  </si>
  <si>
    <t>14-C-600</t>
  </si>
  <si>
    <t>14-C-602</t>
  </si>
  <si>
    <t>14-C-609</t>
  </si>
  <si>
    <t>200M</t>
  </si>
  <si>
    <t>14-C-610</t>
  </si>
  <si>
    <t>300M</t>
  </si>
  <si>
    <t>14-C-611</t>
  </si>
  <si>
    <t>DROP-CABLE(LC/PC-SC/PC)-2C</t>
  </si>
  <si>
    <t>14-C-612</t>
  </si>
  <si>
    <t>Optical Cable Parts,LC/PC-SC/PC-Single mode-40m-2Core</t>
  </si>
  <si>
    <t>14-C-613</t>
  </si>
  <si>
    <t>657A2 , LSZH , LC DUPLEX KIT(CLIP), 1,000MM/1,000MM</t>
  </si>
  <si>
    <t>14-C-614</t>
  </si>
  <si>
    <t>14-C-615</t>
  </si>
  <si>
    <t>14-C-616</t>
  </si>
  <si>
    <t>1C, 1.5M</t>
  </si>
  <si>
    <t>14-C-620</t>
  </si>
  <si>
    <t>100m</t>
  </si>
  <si>
    <t>14-D-009</t>
  </si>
  <si>
    <t>DOJC-MM(OM3)-LC/PC-LC/PC</t>
  </si>
  <si>
    <t>12M</t>
  </si>
  <si>
    <t>14-D-019</t>
  </si>
  <si>
    <t>14-D-020</t>
  </si>
  <si>
    <t>35M</t>
  </si>
  <si>
    <t>14-D-021</t>
  </si>
  <si>
    <t>14-D-022</t>
  </si>
  <si>
    <t>14-D-023</t>
  </si>
  <si>
    <t>14-D-024</t>
  </si>
  <si>
    <t>14-D-027</t>
  </si>
  <si>
    <t>14-D-037</t>
  </si>
  <si>
    <t>DOJC-MM-LC/PC-LC/PC</t>
  </si>
  <si>
    <t>14-D-038</t>
  </si>
  <si>
    <t>13M</t>
  </si>
  <si>
    <t>14-D-041</t>
  </si>
  <si>
    <t>17M</t>
  </si>
  <si>
    <t>14-D-042</t>
  </si>
  <si>
    <t>18M</t>
  </si>
  <si>
    <t>14-D-051</t>
  </si>
  <si>
    <t>14-D-053</t>
  </si>
  <si>
    <t>14-D-056</t>
  </si>
  <si>
    <t>55M</t>
  </si>
  <si>
    <t>14-D-058</t>
  </si>
  <si>
    <t>14-D-060</t>
  </si>
  <si>
    <t>14-D-085</t>
  </si>
  <si>
    <t>DOJC-MM-LC/PC-SC/PC</t>
  </si>
  <si>
    <t>14-D-090</t>
  </si>
  <si>
    <t>DOJC-MM-SC/PC-SC/APC</t>
  </si>
  <si>
    <t>14-D-094</t>
  </si>
  <si>
    <t>DOJC-MM-SC/PC-SC/PC</t>
  </si>
  <si>
    <t>14-D-095</t>
  </si>
  <si>
    <t>14-D-097</t>
  </si>
  <si>
    <t>14-D-101</t>
  </si>
  <si>
    <t>14-D-1022</t>
  </si>
  <si>
    <t>DOJC-SM-LC/PC-LC/PC</t>
  </si>
  <si>
    <t>2.5M</t>
  </si>
  <si>
    <t>14-D-161</t>
  </si>
  <si>
    <t>DOJC-SM-LC/PC-FC/APC</t>
  </si>
  <si>
    <t>14-D-166</t>
  </si>
  <si>
    <t>14-D-179</t>
  </si>
  <si>
    <t>14-D-180</t>
  </si>
  <si>
    <t>14-D-192</t>
  </si>
  <si>
    <t>DOJC-SM-LC/PC-FC/PC</t>
  </si>
  <si>
    <t>14-D-196</t>
  </si>
  <si>
    <t>14-D-202</t>
  </si>
  <si>
    <t>14-D-204</t>
  </si>
  <si>
    <t>14-D-206</t>
  </si>
  <si>
    <t>14-D-208</t>
  </si>
  <si>
    <t>14-D-209</t>
  </si>
  <si>
    <t>14-D-210</t>
  </si>
  <si>
    <t>14-D-223</t>
  </si>
  <si>
    <t>14-D-228</t>
  </si>
  <si>
    <t>14-D-228R</t>
  </si>
  <si>
    <r>
      <rPr>
        <sz val="9"/>
        <color rgb="FF000000"/>
        <rFont val="Arial"/>
        <family val="2"/>
      </rPr>
      <t>15M_</t>
    </r>
    <r>
      <rPr>
        <sz val="9"/>
        <color rgb="FF000000"/>
        <rFont val="DejaVu Sans"/>
        <family val="2"/>
      </rPr>
      <t>적색케이블</t>
    </r>
  </si>
  <si>
    <t>14-D-234</t>
  </si>
  <si>
    <t>14-D-234R</t>
  </si>
  <si>
    <r>
      <rPr>
        <sz val="9"/>
        <color rgb="FF000000"/>
        <rFont val="Arial"/>
        <family val="2"/>
      </rPr>
      <t>20M_</t>
    </r>
    <r>
      <rPr>
        <sz val="9"/>
        <color rgb="FF000000"/>
        <rFont val="DejaVu Sans"/>
        <family val="2"/>
      </rPr>
      <t>적색케이블</t>
    </r>
  </si>
  <si>
    <t>14-D-237</t>
  </si>
  <si>
    <t>14-D-240</t>
  </si>
  <si>
    <t>14-D-241</t>
  </si>
  <si>
    <t>14-D-243</t>
  </si>
  <si>
    <t>14-D-244</t>
  </si>
  <si>
    <t>14-D-246</t>
  </si>
  <si>
    <t>14-D-247</t>
  </si>
  <si>
    <t>14-D-249</t>
  </si>
  <si>
    <t>14-D-252</t>
  </si>
  <si>
    <t>14-D-253</t>
  </si>
  <si>
    <t>14-D-254</t>
  </si>
  <si>
    <t>14-D-255</t>
  </si>
  <si>
    <t>65M</t>
  </si>
  <si>
    <t>14-D-256</t>
  </si>
  <si>
    <t>6M</t>
  </si>
  <si>
    <t>14-D-257</t>
  </si>
  <si>
    <t>14-D-258</t>
  </si>
  <si>
    <t>14-D-263</t>
  </si>
  <si>
    <t>DOJC-SM-LC/PC-SC/APC</t>
  </si>
  <si>
    <t>14-D-266</t>
  </si>
  <si>
    <t>14-D-268</t>
  </si>
  <si>
    <t>14-D-271</t>
  </si>
  <si>
    <t>14-D-273</t>
  </si>
  <si>
    <t>14-D-274</t>
  </si>
  <si>
    <t>14-D-275</t>
  </si>
  <si>
    <t>14-D-277</t>
  </si>
  <si>
    <t>14-D-284</t>
  </si>
  <si>
    <t>DOJC-SM-LC/PC-SC/PC</t>
  </si>
  <si>
    <t>14-D-295</t>
  </si>
  <si>
    <t>14-D-303</t>
  </si>
  <si>
    <t>14-D-307</t>
  </si>
  <si>
    <t>14-D-311</t>
  </si>
  <si>
    <t>14-D-320</t>
  </si>
  <si>
    <t>8M</t>
  </si>
  <si>
    <t>14-D-344</t>
  </si>
  <si>
    <t>DOJC-SM-MTRJ-LC/PC</t>
  </si>
  <si>
    <t>14-D-379</t>
  </si>
  <si>
    <t>DOJC-SM-SC/APC-SC/APC</t>
  </si>
  <si>
    <t>14-D-382</t>
  </si>
  <si>
    <t>14-D-383</t>
  </si>
  <si>
    <t>14-D-385</t>
  </si>
  <si>
    <t>14-D-386</t>
  </si>
  <si>
    <t>14-D-388</t>
  </si>
  <si>
    <t>14-D-394</t>
  </si>
  <si>
    <t>14-D-396</t>
  </si>
  <si>
    <t>DOJC-SM-SC/PC-FC/APC</t>
  </si>
  <si>
    <t>14-D-400</t>
  </si>
  <si>
    <t>14-D-404</t>
  </si>
  <si>
    <t>14-D-407</t>
  </si>
  <si>
    <t>14-D-411</t>
  </si>
  <si>
    <t>14-D-412</t>
  </si>
  <si>
    <t>14-D-427</t>
  </si>
  <si>
    <t>DOJC-SM-SC/PC-FC/PC</t>
  </si>
  <si>
    <t>14-D-428</t>
  </si>
  <si>
    <t>14-D-429</t>
  </si>
  <si>
    <t>14-D-436</t>
  </si>
  <si>
    <t>14-D-443</t>
  </si>
  <si>
    <t>DOJC-SM-SC/PC-SC/APC</t>
  </si>
  <si>
    <t>1.5M</t>
  </si>
  <si>
    <t>14-D-444</t>
  </si>
  <si>
    <t>14-D-447</t>
  </si>
  <si>
    <t>14-D-448</t>
  </si>
  <si>
    <t>14-D-449</t>
  </si>
  <si>
    <t>14-D-451</t>
  </si>
  <si>
    <t>14-D-452</t>
  </si>
  <si>
    <t>14-D-455</t>
  </si>
  <si>
    <t>14-D-459</t>
  </si>
  <si>
    <t>14-D-464</t>
  </si>
  <si>
    <t>DOJC-SM-SC/PC-SC/PC</t>
  </si>
  <si>
    <t>14-D-467</t>
  </si>
  <si>
    <t>14-D-470</t>
  </si>
  <si>
    <t>14-D-472</t>
  </si>
  <si>
    <t>14-D-474</t>
  </si>
  <si>
    <t>14-D-478</t>
  </si>
  <si>
    <t>14-D-481</t>
  </si>
  <si>
    <t>14-D-491</t>
  </si>
  <si>
    <t>DOJC-SM-ST/PC-LC/PC</t>
  </si>
  <si>
    <t>14-D-499</t>
  </si>
  <si>
    <t>DOJC-SM-ST/PC-SC/PC</t>
  </si>
  <si>
    <t>14-D-500</t>
  </si>
  <si>
    <t>14-D-501</t>
  </si>
  <si>
    <t>14-D-530</t>
  </si>
  <si>
    <t>14-D-531</t>
  </si>
  <si>
    <t>14-D-569</t>
  </si>
  <si>
    <t>16M</t>
  </si>
  <si>
    <t>14-D-589</t>
  </si>
  <si>
    <t>75M</t>
  </si>
  <si>
    <t>14-D-603</t>
  </si>
  <si>
    <t>14-D-661</t>
  </si>
  <si>
    <r>
      <rPr>
        <sz val="9"/>
        <color rgb="FF000000"/>
        <rFont val="Arial"/>
        <family val="2"/>
      </rPr>
      <t>30M_</t>
    </r>
    <r>
      <rPr>
        <sz val="9"/>
        <color rgb="FF000000"/>
        <rFont val="DejaVu Sans"/>
        <family val="2"/>
      </rPr>
      <t>적색케이블</t>
    </r>
  </si>
  <si>
    <t>14-D-662</t>
  </si>
  <si>
    <t>14-D-663</t>
  </si>
  <si>
    <t>14-D-664</t>
  </si>
  <si>
    <r>
      <rPr>
        <sz val="9"/>
        <color rgb="FF000000"/>
        <rFont val="Arial"/>
        <family val="2"/>
      </rPr>
      <t>35M_</t>
    </r>
    <r>
      <rPr>
        <sz val="9"/>
        <color rgb="FF000000"/>
        <rFont val="DejaVu Sans"/>
        <family val="2"/>
      </rPr>
      <t>적색케이블</t>
    </r>
  </si>
  <si>
    <t>14-D-676</t>
  </si>
  <si>
    <r>
      <rPr>
        <sz val="9"/>
        <color rgb="FF000000"/>
        <rFont val="Arial"/>
        <family val="2"/>
      </rPr>
      <t>25M_</t>
    </r>
    <r>
      <rPr>
        <sz val="9"/>
        <color rgb="FF000000"/>
        <rFont val="DejaVu Sans"/>
        <family val="2"/>
      </rPr>
      <t>적색케이블</t>
    </r>
  </si>
  <si>
    <t>14-D-696</t>
  </si>
  <si>
    <t>14-D-726</t>
  </si>
  <si>
    <t>0.5M</t>
  </si>
  <si>
    <t>14-D-728</t>
  </si>
  <si>
    <t>14-D-733</t>
  </si>
  <si>
    <r>
      <rPr>
        <sz val="9"/>
        <color rgb="FF000000"/>
        <rFont val="Arial"/>
        <family val="2"/>
      </rPr>
      <t>20M_</t>
    </r>
    <r>
      <rPr>
        <sz val="9"/>
        <color rgb="FF000000"/>
        <rFont val="DejaVu Sans"/>
        <family val="2"/>
      </rPr>
      <t>청색케이블</t>
    </r>
  </si>
  <si>
    <t>14-D-734</t>
  </si>
  <si>
    <r>
      <rPr>
        <sz val="9"/>
        <color rgb="FF000000"/>
        <rFont val="Arial"/>
        <family val="2"/>
      </rPr>
      <t>25M_</t>
    </r>
    <r>
      <rPr>
        <sz val="9"/>
        <color rgb="FF000000"/>
        <rFont val="DejaVu Sans"/>
        <family val="2"/>
      </rPr>
      <t>청색케이블</t>
    </r>
  </si>
  <si>
    <t>14-D-735</t>
  </si>
  <si>
    <r>
      <rPr>
        <sz val="9"/>
        <color rgb="FF000000"/>
        <rFont val="Arial"/>
        <family val="2"/>
      </rPr>
      <t>35M_</t>
    </r>
    <r>
      <rPr>
        <sz val="9"/>
        <color rgb="FF000000"/>
        <rFont val="DejaVu Sans"/>
        <family val="2"/>
      </rPr>
      <t>청색케이블</t>
    </r>
  </si>
  <si>
    <t>14-D-745</t>
  </si>
  <si>
    <r>
      <rPr>
        <sz val="9"/>
        <color rgb="FF000000"/>
        <rFont val="Arial"/>
        <family val="2"/>
      </rPr>
      <t>45M_</t>
    </r>
    <r>
      <rPr>
        <sz val="9"/>
        <color rgb="FF000000"/>
        <rFont val="DejaVu Sans"/>
        <family val="2"/>
      </rPr>
      <t>청색케이블</t>
    </r>
  </si>
  <si>
    <t>14-D-746</t>
  </si>
  <si>
    <r>
      <rPr>
        <sz val="9"/>
        <color rgb="FF000000"/>
        <rFont val="Arial"/>
        <family val="2"/>
      </rPr>
      <t>50M_</t>
    </r>
    <r>
      <rPr>
        <sz val="9"/>
        <color rgb="FF000000"/>
        <rFont val="DejaVu Sans"/>
        <family val="2"/>
      </rPr>
      <t>청색케이블</t>
    </r>
  </si>
  <si>
    <t>14-D-747</t>
  </si>
  <si>
    <r>
      <rPr>
        <sz val="9"/>
        <color rgb="FF000000"/>
        <rFont val="Arial"/>
        <family val="2"/>
      </rPr>
      <t>55M_</t>
    </r>
    <r>
      <rPr>
        <sz val="9"/>
        <color rgb="FF000000"/>
        <rFont val="DejaVu Sans"/>
        <family val="2"/>
      </rPr>
      <t>청색케이블</t>
    </r>
  </si>
  <si>
    <t>14-D-764</t>
  </si>
  <si>
    <t>14-D-768</t>
  </si>
  <si>
    <r>
      <rPr>
        <sz val="9"/>
        <color rgb="FF000000"/>
        <rFont val="Arial"/>
        <family val="2"/>
      </rPr>
      <t>30M_</t>
    </r>
    <r>
      <rPr>
        <sz val="9"/>
        <color rgb="FF000000"/>
        <rFont val="DejaVu Sans"/>
        <family val="2"/>
      </rPr>
      <t>청색케이블</t>
    </r>
  </si>
  <si>
    <t>14-D-771</t>
  </si>
  <si>
    <t>19M</t>
  </si>
  <si>
    <t>14-D-980</t>
  </si>
  <si>
    <t>14-D-984</t>
  </si>
  <si>
    <t>24M</t>
  </si>
  <si>
    <t>14-D-A08</t>
  </si>
  <si>
    <r>
      <rPr>
        <sz val="9"/>
        <color rgb="FF000000"/>
        <rFont val="Arial"/>
        <family val="2"/>
      </rPr>
      <t>40M_</t>
    </r>
    <r>
      <rPr>
        <sz val="9"/>
        <color rgb="FF000000"/>
        <rFont val="DejaVu Sans"/>
        <family val="2"/>
      </rPr>
      <t>적색케이블</t>
    </r>
  </si>
  <si>
    <t>14-D-A10</t>
  </si>
  <si>
    <r>
      <rPr>
        <sz val="9"/>
        <color rgb="FF000000"/>
        <rFont val="Arial"/>
        <family val="2"/>
      </rPr>
      <t>10M_</t>
    </r>
    <r>
      <rPr>
        <sz val="9"/>
        <color rgb="FF000000"/>
        <rFont val="DejaVu Sans"/>
        <family val="2"/>
      </rPr>
      <t>청색케이블</t>
    </r>
  </si>
  <si>
    <t>14-D-A100</t>
  </si>
  <si>
    <t>OJC-A1-SC/LC-SM-20-PC/PC-DP</t>
  </si>
  <si>
    <r>
      <rPr>
        <sz val="9"/>
        <color rgb="FF000000"/>
        <rFont val="Arial"/>
        <family val="2"/>
      </rPr>
      <t>K9089164_</t>
    </r>
    <r>
      <rPr>
        <sz val="9"/>
        <color rgb="FF000000"/>
        <rFont val="DejaVu Sans"/>
        <family val="2"/>
      </rPr>
      <t>녹색</t>
    </r>
  </si>
  <si>
    <t>14-D-A102</t>
  </si>
  <si>
    <t>OJC-A1-LC/LC-SM-20-PC/PC-DP</t>
  </si>
  <si>
    <r>
      <rPr>
        <sz val="9"/>
        <color rgb="FF000000"/>
        <rFont val="Arial"/>
        <family val="2"/>
      </rPr>
      <t>K9089178_</t>
    </r>
    <r>
      <rPr>
        <sz val="9"/>
        <color rgb="FF000000"/>
        <rFont val="DejaVu Sans"/>
        <family val="2"/>
      </rPr>
      <t>녹색</t>
    </r>
  </si>
  <si>
    <t>14-D-A104</t>
  </si>
  <si>
    <t>OJC-A1-SC/LC-SM-25-PC/PC-DP</t>
  </si>
  <si>
    <r>
      <rPr>
        <sz val="9"/>
        <color rgb="FF000000"/>
        <rFont val="Arial"/>
        <family val="2"/>
      </rPr>
      <t>K9089165_</t>
    </r>
    <r>
      <rPr>
        <sz val="9"/>
        <color rgb="FF000000"/>
        <rFont val="DejaVu Sans"/>
        <family val="2"/>
      </rPr>
      <t>녹색</t>
    </r>
  </si>
  <si>
    <t>14-D-A108</t>
  </si>
  <si>
    <r>
      <rPr>
        <sz val="9"/>
        <color rgb="FF000000"/>
        <rFont val="Arial"/>
        <family val="2"/>
      </rPr>
      <t>6M_</t>
    </r>
    <r>
      <rPr>
        <sz val="9"/>
        <color rgb="FF000000"/>
        <rFont val="DejaVu Sans"/>
        <family val="2"/>
      </rPr>
      <t>청색케이블</t>
    </r>
  </si>
  <si>
    <t>14-D-A109</t>
  </si>
  <si>
    <t>DOJC-SM-LC/APC-LC/APC</t>
  </si>
  <si>
    <t>14-D-A118</t>
  </si>
  <si>
    <t>14-D-A12</t>
  </si>
  <si>
    <r>
      <rPr>
        <sz val="9"/>
        <color rgb="FF000000"/>
        <rFont val="Arial"/>
        <family val="2"/>
      </rPr>
      <t>40M_</t>
    </r>
    <r>
      <rPr>
        <sz val="9"/>
        <color rgb="FF000000"/>
        <rFont val="DejaVu Sans"/>
        <family val="2"/>
      </rPr>
      <t>청색케이블</t>
    </r>
  </si>
  <si>
    <t>14-D-A126</t>
  </si>
  <si>
    <t>OJC-A1-SC/LC-SM-10-PC/PC-DP</t>
  </si>
  <si>
    <r>
      <rPr>
        <sz val="9"/>
        <color rgb="FF000000"/>
        <rFont val="Arial"/>
        <family val="2"/>
      </rPr>
      <t>K9089162_</t>
    </r>
    <r>
      <rPr>
        <sz val="9"/>
        <color rgb="FF000000"/>
        <rFont val="DejaVu Sans"/>
        <family val="2"/>
      </rPr>
      <t>녹색</t>
    </r>
  </si>
  <si>
    <t>14-D-A127</t>
  </si>
  <si>
    <t>OJC-A1-SC/LC-SM-15-PC/PC-DP</t>
  </si>
  <si>
    <r>
      <rPr>
        <sz val="9"/>
        <color rgb="FF000000"/>
        <rFont val="Arial"/>
        <family val="2"/>
      </rPr>
      <t>K9089163_</t>
    </r>
    <r>
      <rPr>
        <sz val="9"/>
        <color rgb="FF000000"/>
        <rFont val="DejaVu Sans"/>
        <family val="2"/>
      </rPr>
      <t>녹색</t>
    </r>
  </si>
  <si>
    <t>14-D-A185</t>
  </si>
  <si>
    <t>14-D-A196</t>
  </si>
  <si>
    <r>
      <rPr>
        <sz val="9"/>
        <color rgb="FF000000"/>
        <rFont val="Arial"/>
        <family val="2"/>
      </rPr>
      <t>10M_</t>
    </r>
    <r>
      <rPr>
        <sz val="9"/>
        <color rgb="FF000000"/>
        <rFont val="DejaVu Sans"/>
        <family val="2"/>
      </rPr>
      <t>적색케이블</t>
    </r>
  </si>
  <si>
    <t>14-D-A197</t>
  </si>
  <si>
    <r>
      <rPr>
        <sz val="9"/>
        <color rgb="FF000000"/>
        <rFont val="Arial"/>
        <family val="2"/>
      </rPr>
      <t>7M_</t>
    </r>
    <r>
      <rPr>
        <sz val="9"/>
        <color rgb="FF000000"/>
        <rFont val="DejaVu Sans"/>
        <family val="2"/>
      </rPr>
      <t>적색케이블</t>
    </r>
  </si>
  <si>
    <t>14-D-A198</t>
  </si>
  <si>
    <r>
      <rPr>
        <sz val="9"/>
        <color rgb="FF000000"/>
        <rFont val="Arial"/>
        <family val="2"/>
      </rPr>
      <t>1.5M_</t>
    </r>
    <r>
      <rPr>
        <sz val="9"/>
        <color rgb="FF000000"/>
        <rFont val="DejaVu Sans"/>
        <family val="2"/>
      </rPr>
      <t>청색케이블</t>
    </r>
  </si>
  <si>
    <t>14-D-A199</t>
  </si>
  <si>
    <r>
      <rPr>
        <sz val="9"/>
        <color rgb="FF000000"/>
        <rFont val="Arial"/>
        <family val="2"/>
      </rPr>
      <t>3M_</t>
    </r>
    <r>
      <rPr>
        <sz val="9"/>
        <color rgb="FF000000"/>
        <rFont val="DejaVu Sans"/>
        <family val="2"/>
      </rPr>
      <t>청색케이블</t>
    </r>
  </si>
  <si>
    <t>14-D-A215</t>
  </si>
  <si>
    <r>
      <rPr>
        <sz val="9"/>
        <color rgb="FF000000"/>
        <rFont val="Arial"/>
        <family val="2"/>
      </rPr>
      <t>45M_</t>
    </r>
    <r>
      <rPr>
        <sz val="9"/>
        <color rgb="FF000000"/>
        <rFont val="DejaVu Sans"/>
        <family val="2"/>
      </rPr>
      <t>적색케이블</t>
    </r>
  </si>
  <si>
    <t>14-D-A216</t>
  </si>
  <si>
    <r>
      <rPr>
        <sz val="9"/>
        <color rgb="FF000000"/>
        <rFont val="Arial"/>
        <family val="2"/>
      </rPr>
      <t>50M_</t>
    </r>
    <r>
      <rPr>
        <sz val="9"/>
        <color rgb="FF000000"/>
        <rFont val="DejaVu Sans"/>
        <family val="2"/>
      </rPr>
      <t>적색케이블</t>
    </r>
  </si>
  <si>
    <t>14-D-A217</t>
  </si>
  <si>
    <r>
      <rPr>
        <sz val="9"/>
        <color rgb="FF000000"/>
        <rFont val="Arial"/>
        <family val="2"/>
      </rPr>
      <t>55M_</t>
    </r>
    <r>
      <rPr>
        <sz val="9"/>
        <color rgb="FF000000"/>
        <rFont val="DejaVu Sans"/>
        <family val="2"/>
      </rPr>
      <t>적색케이블</t>
    </r>
  </si>
  <si>
    <t>14-D-A232</t>
  </si>
  <si>
    <t>14-D-A235</t>
  </si>
  <si>
    <t>OJC-A1-LC/LC-SM-1-PC/APC-DP</t>
  </si>
  <si>
    <t>14-D-A341</t>
  </si>
  <si>
    <r>
      <rPr>
        <sz val="9"/>
        <color rgb="FF000000"/>
        <rFont val="Arial"/>
        <family val="2"/>
      </rPr>
      <t>60M_</t>
    </r>
    <r>
      <rPr>
        <sz val="9"/>
        <color rgb="FF000000"/>
        <rFont val="DejaVu Sans"/>
        <family val="2"/>
      </rPr>
      <t>적색케이블</t>
    </r>
  </si>
  <si>
    <t>14-D-A347</t>
  </si>
  <si>
    <r>
      <rPr>
        <sz val="9"/>
        <color rgb="FF000000"/>
        <rFont val="Arial"/>
        <family val="2"/>
      </rPr>
      <t>13M_</t>
    </r>
    <r>
      <rPr>
        <sz val="9"/>
        <color rgb="FF000000"/>
        <rFont val="DejaVu Sans"/>
        <family val="2"/>
      </rPr>
      <t>적색케이블</t>
    </r>
  </si>
  <si>
    <t>14-D-A370</t>
  </si>
  <si>
    <r>
      <rPr>
        <sz val="9"/>
        <color rgb="FF000000"/>
        <rFont val="Arial"/>
        <family val="2"/>
      </rPr>
      <t>60M_</t>
    </r>
    <r>
      <rPr>
        <sz val="9"/>
        <color rgb="FF000000"/>
        <rFont val="DejaVu Sans"/>
        <family val="2"/>
      </rPr>
      <t>청색</t>
    </r>
  </si>
  <si>
    <t>14-D-A371</t>
  </si>
  <si>
    <r>
      <rPr>
        <sz val="9"/>
        <color rgb="FF000000"/>
        <rFont val="Arial"/>
        <family val="2"/>
      </rPr>
      <t>60M_</t>
    </r>
    <r>
      <rPr>
        <sz val="9"/>
        <color rgb="FF000000"/>
        <rFont val="DejaVu Sans"/>
        <family val="2"/>
      </rPr>
      <t>적색</t>
    </r>
  </si>
  <si>
    <t>14-D-A376</t>
  </si>
  <si>
    <t>14-D-A381</t>
  </si>
  <si>
    <t>14-D-A382</t>
  </si>
  <si>
    <r>
      <rPr>
        <sz val="9"/>
        <color rgb="FF000000"/>
        <rFont val="Arial"/>
        <family val="2"/>
      </rPr>
      <t>25M_</t>
    </r>
    <r>
      <rPr>
        <sz val="9"/>
        <color rgb="FF000000"/>
        <rFont val="DejaVu Sans"/>
        <family val="2"/>
      </rPr>
      <t>적색</t>
    </r>
  </si>
  <si>
    <t>14-D-A383</t>
  </si>
  <si>
    <r>
      <rPr>
        <sz val="9"/>
        <color rgb="FF000000"/>
        <rFont val="Arial"/>
        <family val="2"/>
      </rPr>
      <t>15M_</t>
    </r>
    <r>
      <rPr>
        <sz val="9"/>
        <color rgb="FF000000"/>
        <rFont val="DejaVu Sans"/>
        <family val="2"/>
      </rPr>
      <t>적색</t>
    </r>
  </si>
  <si>
    <t>14-D-A385</t>
  </si>
  <si>
    <r>
      <rPr>
        <sz val="9"/>
        <color rgb="FF000000"/>
        <rFont val="Arial"/>
        <family val="2"/>
      </rPr>
      <t>3M_</t>
    </r>
    <r>
      <rPr>
        <sz val="9"/>
        <color rgb="FF000000"/>
        <rFont val="DejaVu Sans"/>
        <family val="2"/>
      </rPr>
      <t>적색</t>
    </r>
  </si>
  <si>
    <t>14-D-A386</t>
  </si>
  <si>
    <r>
      <rPr>
        <sz val="9"/>
        <color rgb="FF000000"/>
        <rFont val="Arial"/>
        <family val="2"/>
      </rPr>
      <t>5M_</t>
    </r>
    <r>
      <rPr>
        <sz val="9"/>
        <color rgb="FF000000"/>
        <rFont val="DejaVu Sans"/>
        <family val="2"/>
      </rPr>
      <t>적색</t>
    </r>
  </si>
  <si>
    <t>14-D-A387</t>
  </si>
  <si>
    <r>
      <rPr>
        <sz val="9"/>
        <color rgb="FF000000"/>
        <rFont val="Arial"/>
        <family val="2"/>
      </rPr>
      <t>10M_</t>
    </r>
    <r>
      <rPr>
        <sz val="9"/>
        <color rgb="FF000000"/>
        <rFont val="DejaVu Sans"/>
        <family val="2"/>
      </rPr>
      <t>적색</t>
    </r>
  </si>
  <si>
    <t>14-D-A388</t>
  </si>
  <si>
    <r>
      <rPr>
        <sz val="9"/>
        <color rgb="FF000000"/>
        <rFont val="Arial"/>
        <family val="2"/>
      </rPr>
      <t>20M_</t>
    </r>
    <r>
      <rPr>
        <sz val="9"/>
        <color rgb="FF000000"/>
        <rFont val="DejaVu Sans"/>
        <family val="2"/>
      </rPr>
      <t>적색</t>
    </r>
  </si>
  <si>
    <t>14-D-A389</t>
  </si>
  <si>
    <t>14-D-A390</t>
  </si>
  <si>
    <r>
      <rPr>
        <sz val="9"/>
        <color rgb="FF000000"/>
        <rFont val="Arial"/>
        <family val="2"/>
      </rPr>
      <t>65M_</t>
    </r>
    <r>
      <rPr>
        <sz val="9"/>
        <color rgb="FF000000"/>
        <rFont val="DejaVu Sans"/>
        <family val="2"/>
      </rPr>
      <t>청색</t>
    </r>
  </si>
  <si>
    <t>14-D-A391</t>
  </si>
  <si>
    <r>
      <rPr>
        <sz val="9"/>
        <color rgb="FF000000"/>
        <rFont val="Arial"/>
        <family val="2"/>
      </rPr>
      <t>65M_</t>
    </r>
    <r>
      <rPr>
        <sz val="9"/>
        <color rgb="FF000000"/>
        <rFont val="DejaVu Sans"/>
        <family val="2"/>
      </rPr>
      <t>적색</t>
    </r>
  </si>
  <si>
    <t>14-D-A392</t>
  </si>
  <si>
    <r>
      <rPr>
        <sz val="9"/>
        <color rgb="FF000000"/>
        <rFont val="Arial"/>
        <family val="2"/>
      </rPr>
      <t>70M_</t>
    </r>
    <r>
      <rPr>
        <sz val="9"/>
        <color rgb="FF000000"/>
        <rFont val="DejaVu Sans"/>
        <family val="2"/>
      </rPr>
      <t>청색</t>
    </r>
  </si>
  <si>
    <t>14-D-A393</t>
  </si>
  <si>
    <r>
      <rPr>
        <sz val="9"/>
        <color rgb="FF000000"/>
        <rFont val="Arial"/>
        <family val="2"/>
      </rPr>
      <t>75M_</t>
    </r>
    <r>
      <rPr>
        <sz val="9"/>
        <color rgb="FF000000"/>
        <rFont val="DejaVu Sans"/>
        <family val="2"/>
      </rPr>
      <t>청색</t>
    </r>
  </si>
  <si>
    <t>14-D-A394</t>
  </si>
  <si>
    <r>
      <rPr>
        <sz val="9"/>
        <color rgb="FF000000"/>
        <rFont val="Arial"/>
        <family val="2"/>
      </rPr>
      <t>70M_</t>
    </r>
    <r>
      <rPr>
        <sz val="9"/>
        <color rgb="FF000000"/>
        <rFont val="DejaVu Sans"/>
        <family val="2"/>
      </rPr>
      <t>적색</t>
    </r>
  </si>
  <si>
    <t>14-D-A395</t>
  </si>
  <si>
    <r>
      <rPr>
        <sz val="9"/>
        <color rgb="FF000000"/>
        <rFont val="Arial"/>
        <family val="2"/>
      </rPr>
      <t>75M_</t>
    </r>
    <r>
      <rPr>
        <sz val="9"/>
        <color rgb="FF000000"/>
        <rFont val="DejaVu Sans"/>
        <family val="2"/>
      </rPr>
      <t>적색</t>
    </r>
  </si>
  <si>
    <t>14-D-A397</t>
  </si>
  <si>
    <r>
      <rPr>
        <sz val="9"/>
        <color rgb="FF000000"/>
        <rFont val="Arial"/>
        <family val="2"/>
      </rPr>
      <t>9M_</t>
    </r>
    <r>
      <rPr>
        <sz val="9"/>
        <color rgb="FF000000"/>
        <rFont val="DejaVu Sans"/>
        <family val="2"/>
      </rPr>
      <t>청색</t>
    </r>
  </si>
  <si>
    <t>14-D-A403</t>
  </si>
  <si>
    <t>DOJC-MM-LC/PC-SC/APC</t>
  </si>
  <si>
    <t>14-D-A405</t>
  </si>
  <si>
    <t>OJC-A1-SC/LC-SM-60-PC/PC-DP</t>
  </si>
  <si>
    <t>자색</t>
  </si>
  <si>
    <t>14-D-A406</t>
  </si>
  <si>
    <t>9M</t>
  </si>
  <si>
    <t>14-D-A407</t>
  </si>
  <si>
    <r>
      <rPr>
        <sz val="9"/>
        <color rgb="FF000000"/>
        <rFont val="Arial"/>
        <family val="2"/>
      </rPr>
      <t>20M_</t>
    </r>
    <r>
      <rPr>
        <sz val="9"/>
        <color rgb="FF000000"/>
        <rFont val="DejaVu Sans"/>
        <family val="2"/>
      </rPr>
      <t>청색</t>
    </r>
  </si>
  <si>
    <t>14-D-A408</t>
  </si>
  <si>
    <r>
      <rPr>
        <sz val="9"/>
        <color rgb="FF000000"/>
        <rFont val="Arial"/>
        <family val="2"/>
      </rPr>
      <t>25M_</t>
    </r>
    <r>
      <rPr>
        <sz val="9"/>
        <color rgb="FF000000"/>
        <rFont val="DejaVu Sans"/>
        <family val="2"/>
      </rPr>
      <t>청색</t>
    </r>
  </si>
  <si>
    <t>14-D-A409</t>
  </si>
  <si>
    <r>
      <rPr>
        <sz val="9"/>
        <color rgb="FF000000"/>
        <rFont val="Arial"/>
        <family val="2"/>
      </rPr>
      <t>2M_</t>
    </r>
    <r>
      <rPr>
        <sz val="9"/>
        <color rgb="FF000000"/>
        <rFont val="DejaVu Sans"/>
        <family val="2"/>
      </rPr>
      <t>청색</t>
    </r>
  </si>
  <si>
    <t>14-D-A411</t>
  </si>
  <si>
    <r>
      <rPr>
        <sz val="9"/>
        <color rgb="FF000000"/>
        <rFont val="Arial"/>
        <family val="2"/>
      </rPr>
      <t>4M_</t>
    </r>
    <r>
      <rPr>
        <sz val="9"/>
        <color rgb="FF000000"/>
        <rFont val="DejaVu Sans"/>
        <family val="2"/>
      </rPr>
      <t>청색</t>
    </r>
  </si>
  <si>
    <t>14-D-A415</t>
  </si>
  <si>
    <r>
      <rPr>
        <sz val="9"/>
        <color rgb="FF000000"/>
        <rFont val="Arial"/>
        <family val="2"/>
      </rPr>
      <t>0.4M_</t>
    </r>
    <r>
      <rPr>
        <sz val="9"/>
        <color rgb="FF000000"/>
        <rFont val="DejaVu Sans"/>
        <family val="2"/>
      </rPr>
      <t>청색</t>
    </r>
  </si>
  <si>
    <t>14-D-A416</t>
  </si>
  <si>
    <t>DOJC-MM(OM4)-LC/PC-LC/PC</t>
  </si>
  <si>
    <r>
      <rPr>
        <sz val="9"/>
        <color rgb="FF000000"/>
        <rFont val="Arial"/>
        <family val="2"/>
      </rPr>
      <t xml:space="preserve">3M_AQUA, </t>
    </r>
    <r>
      <rPr>
        <sz val="9"/>
        <color rgb="FF000000"/>
        <rFont val="DejaVu Sans"/>
        <family val="2"/>
      </rPr>
      <t>일체형 클립</t>
    </r>
  </si>
  <si>
    <t>14-D-A417</t>
  </si>
  <si>
    <t>DOJC-SM-FC/PC-FC/PC</t>
  </si>
  <si>
    <t>14-D-A418</t>
  </si>
  <si>
    <r>
      <rPr>
        <sz val="9"/>
        <color rgb="FF000000"/>
        <rFont val="Arial"/>
        <family val="2"/>
      </rPr>
      <t>12M_</t>
    </r>
    <r>
      <rPr>
        <sz val="9"/>
        <color rgb="FF000000"/>
        <rFont val="DejaVu Sans"/>
        <family val="2"/>
      </rPr>
      <t>자색케이블</t>
    </r>
  </si>
  <si>
    <t>14-D-A419</t>
  </si>
  <si>
    <r>
      <rPr>
        <sz val="9"/>
        <color rgb="FF000000"/>
        <rFont val="Arial"/>
        <family val="2"/>
      </rPr>
      <t>22M_</t>
    </r>
    <r>
      <rPr>
        <sz val="9"/>
        <color rgb="FF000000"/>
        <rFont val="DejaVu Sans"/>
        <family val="2"/>
      </rPr>
      <t>자색케이블</t>
    </r>
  </si>
  <si>
    <t>14-D-A420</t>
  </si>
  <si>
    <r>
      <rPr>
        <sz val="9"/>
        <color rgb="FF000000"/>
        <rFont val="Arial"/>
        <family val="2"/>
      </rPr>
      <t>23M_</t>
    </r>
    <r>
      <rPr>
        <sz val="9"/>
        <color rgb="FF000000"/>
        <rFont val="DejaVu Sans"/>
        <family val="2"/>
      </rPr>
      <t>자색케이블</t>
    </r>
  </si>
  <si>
    <t>14-D-A421</t>
  </si>
  <si>
    <r>
      <rPr>
        <sz val="9"/>
        <color rgb="FF000000"/>
        <rFont val="Arial"/>
        <family val="2"/>
      </rPr>
      <t>26M_</t>
    </r>
    <r>
      <rPr>
        <sz val="9"/>
        <color rgb="FF000000"/>
        <rFont val="DejaVu Sans"/>
        <family val="2"/>
      </rPr>
      <t>자색케이블</t>
    </r>
  </si>
  <si>
    <t>14-D-A422</t>
  </si>
  <si>
    <r>
      <rPr>
        <sz val="9"/>
        <color rgb="FF000000"/>
        <rFont val="Arial"/>
        <family val="2"/>
      </rPr>
      <t>27M_</t>
    </r>
    <r>
      <rPr>
        <sz val="9"/>
        <color rgb="FF000000"/>
        <rFont val="DejaVu Sans"/>
        <family val="2"/>
      </rPr>
      <t>자색케이블</t>
    </r>
  </si>
  <si>
    <t>14-D-A423</t>
  </si>
  <si>
    <r>
      <rPr>
        <sz val="9"/>
        <color rgb="FF000000"/>
        <rFont val="DejaVu Sans"/>
        <family val="2"/>
      </rPr>
      <t>청색</t>
    </r>
    <r>
      <rPr>
        <sz val="9"/>
        <color rgb="FF000000"/>
        <rFont val="Arial"/>
        <family val="2"/>
      </rPr>
      <t>_0.5M</t>
    </r>
  </si>
  <si>
    <t>14-D-A424</t>
  </si>
  <si>
    <r>
      <rPr>
        <sz val="9"/>
        <color rgb="FF000000"/>
        <rFont val="Arial"/>
        <family val="2"/>
      </rPr>
      <t>30M_</t>
    </r>
    <r>
      <rPr>
        <sz val="9"/>
        <color rgb="FF000000"/>
        <rFont val="DejaVu Sans"/>
        <family val="2"/>
      </rPr>
      <t>적색</t>
    </r>
  </si>
  <si>
    <t>14-D-A425</t>
  </si>
  <si>
    <r>
      <rPr>
        <sz val="9"/>
        <color rgb="FF000000"/>
        <rFont val="Arial"/>
        <family val="2"/>
      </rPr>
      <t>40M_</t>
    </r>
    <r>
      <rPr>
        <sz val="9"/>
        <color rgb="FF000000"/>
        <rFont val="DejaVu Sans"/>
        <family val="2"/>
      </rPr>
      <t>적색</t>
    </r>
  </si>
  <si>
    <t>14-D-A426</t>
  </si>
  <si>
    <t>14-D-A427</t>
  </si>
  <si>
    <t>14-D-A428</t>
  </si>
  <si>
    <t>14-D-A429</t>
  </si>
  <si>
    <t>14-D-A72</t>
  </si>
  <si>
    <t>14-D-A73</t>
  </si>
  <si>
    <t>14-D-A87</t>
  </si>
  <si>
    <r>
      <rPr>
        <sz val="9"/>
        <color rgb="FF000000"/>
        <rFont val="Arial"/>
        <family val="2"/>
      </rPr>
      <t>8M_</t>
    </r>
    <r>
      <rPr>
        <sz val="9"/>
        <color rgb="FF000000"/>
        <rFont val="DejaVu Sans"/>
        <family val="2"/>
      </rPr>
      <t>청색</t>
    </r>
  </si>
  <si>
    <t>14-D-A89</t>
  </si>
  <si>
    <t>1M_AQUA</t>
  </si>
  <si>
    <t>14-D-A90</t>
  </si>
  <si>
    <t>3M_AQUA</t>
  </si>
  <si>
    <t>14-D-A93</t>
  </si>
  <si>
    <t>10M_AQUA</t>
  </si>
  <si>
    <t>14-D-A99</t>
  </si>
  <si>
    <t>OJC-A1-SC/LC-SM-30-PC/PC-DP</t>
  </si>
  <si>
    <r>
      <rPr>
        <sz val="9"/>
        <color rgb="FF000000"/>
        <rFont val="Arial"/>
        <family val="2"/>
      </rPr>
      <t>K9089166_</t>
    </r>
    <r>
      <rPr>
        <sz val="9"/>
        <color rgb="FF000000"/>
        <rFont val="DejaVu Sans"/>
        <family val="2"/>
      </rPr>
      <t>녹색</t>
    </r>
  </si>
  <si>
    <t>14-K-021</t>
  </si>
  <si>
    <t>OJC-A1-LC/LC-MM(OM3)-10-PC/PC-DP</t>
  </si>
  <si>
    <t>14-K-022</t>
  </si>
  <si>
    <t>OJC-A1-LC/LC-MM(OM3)-15-PC/PC-DP</t>
  </si>
  <si>
    <t>14-K-024</t>
  </si>
  <si>
    <t>OJC-A1-LC/LC-MM(OM3)-20-PC/PC-DP</t>
  </si>
  <si>
    <t>14-K-025</t>
  </si>
  <si>
    <t>OJC-A1-LC/LC-MM(OM3)-25-PC/PC-DP</t>
  </si>
  <si>
    <t>14-K-026</t>
  </si>
  <si>
    <t>OJC-A1-LC/LC-MM(OM3)-30-PC/PC-DP</t>
  </si>
  <si>
    <t>14-K-027</t>
  </si>
  <si>
    <t>OJC-A1-LC/LC-MM(OM3)-35-PC/PC-DP</t>
  </si>
  <si>
    <t>14-K-028</t>
  </si>
  <si>
    <t>OJC-A1-LC/LC-MM(OM3)-3-PC/PC-DP</t>
  </si>
  <si>
    <t>14-K-031</t>
  </si>
  <si>
    <t>OJC-A1-LC/LC-MM(OM3)-5-PC/PC-DP</t>
  </si>
  <si>
    <t>14-K-034</t>
  </si>
  <si>
    <t>OJC-A1-LC/LC-MM-100-PC/PC-DP</t>
  </si>
  <si>
    <t>14-K-035</t>
  </si>
  <si>
    <t>OJC-A1-LC/LC-MM-10-PC/PC-DP</t>
  </si>
  <si>
    <t>K9089334</t>
  </si>
  <si>
    <t>14-K-036</t>
  </si>
  <si>
    <t>OJC-A1-LC/LC-MM-10-PC/PC-SP</t>
  </si>
  <si>
    <t>K9089286</t>
  </si>
  <si>
    <t>14-K-039</t>
  </si>
  <si>
    <t>OJC-A1-LC/LC-MM-15-PC/PC-DP</t>
  </si>
  <si>
    <t>K9089335</t>
  </si>
  <si>
    <t>14-K-040</t>
  </si>
  <si>
    <t>OJC-A1-LC/LC-MM-15-PC/PC-SP</t>
  </si>
  <si>
    <t>K9089287</t>
  </si>
  <si>
    <t>14-K-042</t>
  </si>
  <si>
    <t>OJC-A1-LC/LC-MM-1-PC/PC-DP</t>
  </si>
  <si>
    <t>K9089329</t>
  </si>
  <si>
    <t>14-K-044</t>
  </si>
  <si>
    <t>OJC-A1-LC/LC-MM-20-PC/PC-DP</t>
  </si>
  <si>
    <t>K9089336</t>
  </si>
  <si>
    <t>14-K-047</t>
  </si>
  <si>
    <t>OJC-A1-LC/LC-MM-25-PC/PC-DP</t>
  </si>
  <si>
    <t>K9089337</t>
  </si>
  <si>
    <t>14-K-051</t>
  </si>
  <si>
    <t>OJC-A1-LC/LC-MM-28-PC/PC-DP</t>
  </si>
  <si>
    <t>14-K-052</t>
  </si>
  <si>
    <t>OJC-A1-LC/LC-MM-2-PC/PC-DP</t>
  </si>
  <si>
    <t>K9089330</t>
  </si>
  <si>
    <t>14-K-054</t>
  </si>
  <si>
    <t>OJC-A1-LC/LC-MM-30-PC/PC-DP</t>
  </si>
  <si>
    <t>K9089338</t>
  </si>
  <si>
    <t>14-K-057</t>
  </si>
  <si>
    <t>OJC-A1-LC/LC-MM-35-PC/PC-DP</t>
  </si>
  <si>
    <t>K9089339</t>
  </si>
  <si>
    <t>14-K-058</t>
  </si>
  <si>
    <t>OJC-A1-LC/LC-MM-3-PC/PC-DP</t>
  </si>
  <si>
    <t>K9089331</t>
  </si>
  <si>
    <t>14-K-059</t>
  </si>
  <si>
    <t>OJC-A1-LC/LC-MM-3-PC/PC-SP</t>
  </si>
  <si>
    <t>K9089283</t>
  </si>
  <si>
    <t>14-K-060</t>
  </si>
  <si>
    <t>OJC-A1-LC/LC-MM-40-PC/PC-DP</t>
  </si>
  <si>
    <t>K9089340</t>
  </si>
  <si>
    <t>14-K-061</t>
  </si>
  <si>
    <t>OJC-A1-LC/LC-MM-45-PC/PC-DP</t>
  </si>
  <si>
    <t>14-K-062</t>
  </si>
  <si>
    <t>OJC-A1-LC/LC-MM-50-PC/PC-DP</t>
  </si>
  <si>
    <t>14-K-064</t>
  </si>
  <si>
    <t>OJC-A1-LC/LC-MM-55-PC/PC-DP</t>
  </si>
  <si>
    <t>14-K-065</t>
  </si>
  <si>
    <t>OJC-A1-LC/LC-MM-5-PC/PC-DP</t>
  </si>
  <si>
    <t>K9089333</t>
  </si>
  <si>
    <t>14-K-066</t>
  </si>
  <si>
    <t>OJC-A1-LC/LC-MM-5-PC/PC-SP</t>
  </si>
  <si>
    <t>K9089285</t>
  </si>
  <si>
    <t>14-K-067</t>
  </si>
  <si>
    <t>OJC-A1-LC/LC-MM-60-PC/PC-DP</t>
  </si>
  <si>
    <t>14-K-071</t>
  </si>
  <si>
    <t>OJC-A1-LC/LC-MM-80-PC/PC-DP</t>
  </si>
  <si>
    <t>14-K-078</t>
  </si>
  <si>
    <t>OJC-A1-LC/LC-SM-10-PC/PC-DP</t>
  </si>
  <si>
    <t>K9089176</t>
  </si>
  <si>
    <t>14-K-079</t>
  </si>
  <si>
    <t>OJC-A1-LC/LC-SM-10-PC/PC-SP</t>
  </si>
  <si>
    <t>K9089047</t>
  </si>
  <si>
    <t>14-K-080</t>
  </si>
  <si>
    <t>OJC-A1-LC/LC-SM-12-PC/PC-DP</t>
  </si>
  <si>
    <t>14-K-081</t>
  </si>
  <si>
    <t>OJC-A1-LC/LC-SM-13-PC/PC-DP</t>
  </si>
  <si>
    <t>14-K-083</t>
  </si>
  <si>
    <t>OJC-A1-LC/LC-SM-15-PC/PC-DP</t>
  </si>
  <si>
    <t>K9089177</t>
  </si>
  <si>
    <t>14-K-084</t>
  </si>
  <si>
    <t>OJC-A1-LC/LC-SM-15-PC/PC-SP</t>
  </si>
  <si>
    <t>K9089048</t>
  </si>
  <si>
    <t>14-K-085</t>
  </si>
  <si>
    <t>OJC-A1-LC/LC-SM-1-PC/PC-DP</t>
  </si>
  <si>
    <t>K9089171</t>
  </si>
  <si>
    <t>14-K-087</t>
  </si>
  <si>
    <t>K9089178</t>
  </si>
  <si>
    <t>14-K-088</t>
  </si>
  <si>
    <t>OJC-A1-LC/LC-SM-20-PC/PC-SP</t>
  </si>
  <si>
    <t>K9089049</t>
  </si>
  <si>
    <t>14-K-091</t>
  </si>
  <si>
    <t>OJC-A1-LC/LC-SM-25-PC/PC-DP</t>
  </si>
  <si>
    <t>K9089179</t>
  </si>
  <si>
    <t>14-K-092</t>
  </si>
  <si>
    <t>OJC-A1-LC/LC-SM-25-PC/PC-SP</t>
  </si>
  <si>
    <t>K9089050</t>
  </si>
  <si>
    <t>14-K-093</t>
  </si>
  <si>
    <t>OJC-A1-LC/LC-SM-2-PC/PC-DP</t>
  </si>
  <si>
    <t>K9089172</t>
  </si>
  <si>
    <t>14-K-094</t>
  </si>
  <si>
    <t>OJC-A1-LC/LC-SM-30-PC/PC-DP</t>
  </si>
  <si>
    <t>K9089180</t>
  </si>
  <si>
    <t>14-K-095</t>
  </si>
  <si>
    <t>OJC-A1-LC/LC-SM-30-PC/PC-SP</t>
  </si>
  <si>
    <t>K9089051</t>
  </si>
  <si>
    <t>14-K-096</t>
  </si>
  <si>
    <t>OJC-A1-LC/LC-SM-35-PC/PC-DP</t>
  </si>
  <si>
    <t>K9089181</t>
  </si>
  <si>
    <t>14-K-097</t>
  </si>
  <si>
    <t>OJC-A1-LC/LC-SM-3-PC/PC-DP</t>
  </si>
  <si>
    <t>K9089173</t>
  </si>
  <si>
    <t>14-K-098</t>
  </si>
  <si>
    <t>OJC-A1-LC/LC-SM-3-PC/PC-SP</t>
  </si>
  <si>
    <t>K9089044</t>
  </si>
  <si>
    <t>14-K-099</t>
  </si>
  <si>
    <t>OJC-A1-LC/LC-SM-40-PC/PC-DP</t>
  </si>
  <si>
    <t>K9089182</t>
  </si>
  <si>
    <t>14-K-100</t>
  </si>
  <si>
    <t>OJC-A1-LC/LC-SM-45-PC/PC-DP</t>
  </si>
  <si>
    <t>K9089183</t>
  </si>
  <si>
    <t>14-K-103</t>
  </si>
  <si>
    <t>OJC-A1-LC/LC-SM-50-PC/PC-DP</t>
  </si>
  <si>
    <t>K9089184</t>
  </si>
  <si>
    <t>14-K-104</t>
  </si>
  <si>
    <t>OJC-A1-LC/LC-SM-50-PC/PC-SP</t>
  </si>
  <si>
    <t>K9089055</t>
  </si>
  <si>
    <t>14-K-106</t>
  </si>
  <si>
    <t>OJC-A1-LC/LC-SM-55-PC/PC-DP</t>
  </si>
  <si>
    <t>14-K-107</t>
  </si>
  <si>
    <t>OJC-A1-LC/LC-SM-5-PC/PC-DP</t>
  </si>
  <si>
    <t>K9089175</t>
  </si>
  <si>
    <t>14-K-108</t>
  </si>
  <si>
    <t>OJC-A1-LC/LC-SM-5-PC/PC-SP</t>
  </si>
  <si>
    <t>K9089046</t>
  </si>
  <si>
    <t>14-K-110</t>
  </si>
  <si>
    <t>OJC-A1-LC/LC-SM-7-PC/PC-DP</t>
  </si>
  <si>
    <t>14-K-111</t>
  </si>
  <si>
    <t>OJC-A1-LC/LC-SM-8-PC/PC-DP</t>
  </si>
  <si>
    <t>14-K-144</t>
  </si>
  <si>
    <t>OJC-A1-SC/LC-MM(OM3)-15-PC/PC-DP</t>
  </si>
  <si>
    <t>14-K-148</t>
  </si>
  <si>
    <t>OJC-A1-SC/LC-MM-10-PC/PC-DP</t>
  </si>
  <si>
    <t>K9089322</t>
  </si>
  <si>
    <t>14-K-150</t>
  </si>
  <si>
    <t>OJC-A1-SC/LC-MM-15-PC/PC-DP</t>
  </si>
  <si>
    <t>K9089323</t>
  </si>
  <si>
    <t>14-K-154</t>
  </si>
  <si>
    <t>OJC-A1-SC/LC-MM-20-PC/PC-DP</t>
  </si>
  <si>
    <t>K9089324</t>
  </si>
  <si>
    <t>14-K-156</t>
  </si>
  <si>
    <t>OJC-A1-SC/LC-MM-25-PC/PC-DP</t>
  </si>
  <si>
    <t>K9089325</t>
  </si>
  <si>
    <t>14-K-157</t>
  </si>
  <si>
    <t>OJC-A1-SC/LC-MM-2-PC/PC-DP</t>
  </si>
  <si>
    <t>K9089318</t>
  </si>
  <si>
    <t>14-K-158</t>
  </si>
  <si>
    <t>OJC-A1-SC/LC-MM-30-PC/PC-DP</t>
  </si>
  <si>
    <t>K9089326</t>
  </si>
  <si>
    <t>14-K-160</t>
  </si>
  <si>
    <t>OJC-A1-SC/LC-MM-35-PC/PC-DP</t>
  </si>
  <si>
    <t>K9089327</t>
  </si>
  <si>
    <t>14-K-161</t>
  </si>
  <si>
    <t>OJC-A1-SC/LC-MM-3-PC/PC-DP</t>
  </si>
  <si>
    <t>K9089319</t>
  </si>
  <si>
    <t>14-K-163</t>
  </si>
  <si>
    <t>OJC-A1-SC/LC-MM-40-PC/PC-DP</t>
  </si>
  <si>
    <t>K9089328</t>
  </si>
  <si>
    <t>14-K-169</t>
  </si>
  <si>
    <t>OJC-A1-SC/LC-SM-0.5-PC/PC-DP</t>
  </si>
  <si>
    <t>14-K-175</t>
  </si>
  <si>
    <t>OJC-A1-SC/LC-SM-10-PC/APC-SP</t>
  </si>
  <si>
    <t>K9089067</t>
  </si>
  <si>
    <t>14-K-176</t>
  </si>
  <si>
    <t>K9089162</t>
  </si>
  <si>
    <t>14-K-177</t>
  </si>
  <si>
    <t>OJC-A1-SC/LC-SM-10-PC/PC-SP</t>
  </si>
  <si>
    <t>K9089033</t>
  </si>
  <si>
    <t>14-K-179</t>
  </si>
  <si>
    <t>OJC-A1-SC/LC-SM-12-PC/PC-DP</t>
  </si>
  <si>
    <t>14-K-181</t>
  </si>
  <si>
    <t>OJC-A1-SC/LC-SM-13-PC/PC-DP</t>
  </si>
  <si>
    <t>14-K-187</t>
  </si>
  <si>
    <t>OJC-A1-SC/LC-SM-15-PC/APC-SP</t>
  </si>
  <si>
    <t>K9089068</t>
  </si>
  <si>
    <t>14-K-188</t>
  </si>
  <si>
    <t>K9089163</t>
  </si>
  <si>
    <t>14-K-189</t>
  </si>
  <si>
    <t>OJC-A1-SC/LC-SM-15-PC/PC-SP</t>
  </si>
  <si>
    <t>K9089034</t>
  </si>
  <si>
    <t>14-K-198</t>
  </si>
  <si>
    <t>OJC-A1-SC/LC-SM-1-PC/PC-DP</t>
  </si>
  <si>
    <t>K9089157</t>
  </si>
  <si>
    <t>14-K-199</t>
  </si>
  <si>
    <t>OJC-A1-SC/LC-SM-1-PC/PC-SP</t>
  </si>
  <si>
    <t>K9089028</t>
  </si>
  <si>
    <t>14-K-203</t>
  </si>
  <si>
    <t>OJC-A1-SC/LC-SM-20-PC/APC-SP</t>
  </si>
  <si>
    <t>K9089069</t>
  </si>
  <si>
    <t>14-K-204</t>
  </si>
  <si>
    <t>K9089164</t>
  </si>
  <si>
    <t>14-K-205</t>
  </si>
  <si>
    <t>OJC-A1-SC/LC-SM-20-PC/PC-SP</t>
  </si>
  <si>
    <t>K9089035</t>
  </si>
  <si>
    <t>14-K-209</t>
  </si>
  <si>
    <t>K9089165</t>
  </si>
  <si>
    <t>14-K-210</t>
  </si>
  <si>
    <t>OJC-A1-SC/LC-SM-25-PC/PC-SP</t>
  </si>
  <si>
    <t>K9089036</t>
  </si>
  <si>
    <t>14-K-214</t>
  </si>
  <si>
    <t>OJC-A1-SC/LC-SM-2-PC/PC-DP</t>
  </si>
  <si>
    <t>K9089158</t>
  </si>
  <si>
    <t>14-K-215</t>
  </si>
  <si>
    <t>OJC-A1-SC/LC-SM-2-PC/PC-SP</t>
  </si>
  <si>
    <t>K9089029</t>
  </si>
  <si>
    <t>14-K-217</t>
  </si>
  <si>
    <t>K9089166</t>
  </si>
  <si>
    <t>14-K-218</t>
  </si>
  <si>
    <t>OJC-A1-SC/LC-SM-30-PC/PC-SP</t>
  </si>
  <si>
    <t>K9089037</t>
  </si>
  <si>
    <t>14-K-220</t>
  </si>
  <si>
    <t>OJC-A1-SC/LC-SM-35-PC/PC-DP</t>
  </si>
  <si>
    <t>K9089167</t>
  </si>
  <si>
    <t>14-K-221</t>
  </si>
  <si>
    <t>OJC-A1-SC/LC-SM-35-PC/PC-SP</t>
  </si>
  <si>
    <t>K9089038</t>
  </si>
  <si>
    <t>14-K-223</t>
  </si>
  <si>
    <t>OJC-A1-SC/LC-SM-3-PC/APC-SP</t>
  </si>
  <si>
    <t>K9089065</t>
  </si>
  <si>
    <t>14-K-225</t>
  </si>
  <si>
    <t>OJC-A1-SC/LC-SM-3-PC/PC-DP</t>
  </si>
  <si>
    <t>K9089159</t>
  </si>
  <si>
    <t>14-K-226</t>
  </si>
  <si>
    <t>OJC-A1-SC/LC-SM-3-PC/PC-SP</t>
  </si>
  <si>
    <t>K9089030</t>
  </si>
  <si>
    <t>14-K-227</t>
  </si>
  <si>
    <t>OJC-A1-SC/LC-SM-40-PC/PC-DP</t>
  </si>
  <si>
    <t>K9089168</t>
  </si>
  <si>
    <t>14-K-228</t>
  </si>
  <si>
    <t>OJC-A1-SC/LC-SM-40-PC/PC-SP</t>
  </si>
  <si>
    <t>K9089039</t>
  </si>
  <si>
    <t>14-K-229</t>
  </si>
  <si>
    <t>OJC-A1-SC/LC-SM-45-PC/PC-DP</t>
  </si>
  <si>
    <t>K9089169</t>
  </si>
  <si>
    <t>14-K-230</t>
  </si>
  <si>
    <t>OJC-A1-SC/LC-SM-45-PC/PC-SP</t>
  </si>
  <si>
    <t>K9089040</t>
  </si>
  <si>
    <t>14-K-231</t>
  </si>
  <si>
    <t>OJC-A1-SC/LC-SM-4-PC/PC-DP</t>
  </si>
  <si>
    <t>K9089160</t>
  </si>
  <si>
    <t>14-K-232</t>
  </si>
  <si>
    <t>OJC-A1-SC/LC-SM-50-PC/PC-DP</t>
  </si>
  <si>
    <t>K9089170</t>
  </si>
  <si>
    <t>14-K-236</t>
  </si>
  <si>
    <t>OJC-A1-SC/LC-SM-5-PC/PC-DP</t>
  </si>
  <si>
    <t>K9089161</t>
  </si>
  <si>
    <t>14-K-237</t>
  </si>
  <si>
    <t>OJC-A1-SC/LC-SM-5-PC/PC-SP</t>
  </si>
  <si>
    <t>K9089032</t>
  </si>
  <si>
    <t>14-K-239</t>
  </si>
  <si>
    <t>14-K-243</t>
  </si>
  <si>
    <t>OJC-A1-SC/LC-SM-6-PC/PC-DP</t>
  </si>
  <si>
    <t>14-K-245</t>
  </si>
  <si>
    <t>OJC-A1-SC/LC-SM-70-PC/PC-DP</t>
  </si>
  <si>
    <t>14-K-247</t>
  </si>
  <si>
    <t>OJC-A1-SC/LC-SM-7-PC/PC-DP</t>
  </si>
  <si>
    <t>14-K-261</t>
  </si>
  <si>
    <t>OJC-A1-SC/SC-MM-10-PC/PC-DP</t>
  </si>
  <si>
    <t>K9089310</t>
  </si>
  <si>
    <t>14-K-270</t>
  </si>
  <si>
    <t>OJC-A1-SC/SC-MM-2-PC/PC-DP</t>
  </si>
  <si>
    <t>K9089306</t>
  </si>
  <si>
    <t>14-K-274</t>
  </si>
  <si>
    <t>OJC-A1-SC/SC-MM-3-PC/PC-DP</t>
  </si>
  <si>
    <t>K9089307</t>
  </si>
  <si>
    <t>14-K-281</t>
  </si>
  <si>
    <t>OJC-A1-SC/SC-SM-0.5-PC/PC-DP</t>
  </si>
  <si>
    <t>14-K-287</t>
  </si>
  <si>
    <t>OJC-A1-SC/SC-SM-10-APC/APC-SP</t>
  </si>
  <si>
    <t>14-K-288</t>
  </si>
  <si>
    <t>OJC-A1-SC/SC-SM-10-PC/APC-DP</t>
  </si>
  <si>
    <t>K9089188</t>
  </si>
  <si>
    <t>14-K-289</t>
  </si>
  <si>
    <t>OJC-A1-SC/SC-SM-10-PC/APC-SP</t>
  </si>
  <si>
    <t>K9089059</t>
  </si>
  <si>
    <t>14-K-290</t>
  </si>
  <si>
    <t>OJC-A1-SC/SC-SM-10-PC/PC-DP</t>
  </si>
  <si>
    <t>K9089132</t>
  </si>
  <si>
    <t>14-K-291</t>
  </si>
  <si>
    <t>OJC-A1-SC/SC-SM-10-PC/PC-SP</t>
  </si>
  <si>
    <t>K9089003</t>
  </si>
  <si>
    <t>14-K-294</t>
  </si>
  <si>
    <t>OJC-A1-SC/SC-SM-12-PC/PC-SP</t>
  </si>
  <si>
    <t>K9089005</t>
  </si>
  <si>
    <t>14-K-295</t>
  </si>
  <si>
    <t>OJC-A1-SC/SC-SM-13-PC/PC-DP</t>
  </si>
  <si>
    <t>K9089135</t>
  </si>
  <si>
    <t>14-K-296</t>
  </si>
  <si>
    <t>OJC-A1-SC/SC-SM-13-PC/PC-SP</t>
  </si>
  <si>
    <t>K9089006</t>
  </si>
  <si>
    <t>14-K-299</t>
  </si>
  <si>
    <t>OJC-A1-SC/SC-SM-15-APC/APC-SP</t>
  </si>
  <si>
    <t>14-K-300</t>
  </si>
  <si>
    <t>OJC-A1-SC/SC-SM-15-PC/APC-DP</t>
  </si>
  <si>
    <t>K9089189</t>
  </si>
  <si>
    <t>14-K-301</t>
  </si>
  <si>
    <t>OJC-A1-SC/SC-SM-15-PC/APC-SP</t>
  </si>
  <si>
    <t>K9089060</t>
  </si>
  <si>
    <t>14-K-302</t>
  </si>
  <si>
    <t>OJC-A1-SC/SC-SM-15-PC/PC-DP</t>
  </si>
  <si>
    <t>K9089137</t>
  </si>
  <si>
    <t>14-K-303</t>
  </si>
  <si>
    <t>OJC-A1-SC/SC-SM-15-PC/PC-SP</t>
  </si>
  <si>
    <t>K9089008</t>
  </si>
  <si>
    <t>14-K-312</t>
  </si>
  <si>
    <t>OJC-A1-SC/SC-SM-1-APC/APC-SP</t>
  </si>
  <si>
    <t>K9089110</t>
  </si>
  <si>
    <t>14-K-314</t>
  </si>
  <si>
    <t>OJC-A1-SC/SC-SM-1-PC/APC-SP</t>
  </si>
  <si>
    <t>K9089056</t>
  </si>
  <si>
    <t>14-K-315</t>
  </si>
  <si>
    <t>OJC-A1-SC/SC-SM-1-PC/PC-DP</t>
  </si>
  <si>
    <t>K9089123</t>
  </si>
  <si>
    <t>14-K-316</t>
  </si>
  <si>
    <t>OJC-A1-SC/SC-SM-1-PC/PC-SP</t>
  </si>
  <si>
    <t>K9088994</t>
  </si>
  <si>
    <t>14-K-320</t>
  </si>
  <si>
    <t>OJC-A1-SC/SC-SM-20-PC/APC-SP</t>
  </si>
  <si>
    <t>K9089061</t>
  </si>
  <si>
    <t>14-K-321</t>
  </si>
  <si>
    <t>OJC-A1-SC/SC-SM-20-PC/PC-DP</t>
  </si>
  <si>
    <t>K9089142</t>
  </si>
  <si>
    <t>14-K-322</t>
  </si>
  <si>
    <t>OJC-A1-SC/SC-SM-20-PC/PC-SP</t>
  </si>
  <si>
    <t>K9089013</t>
  </si>
  <si>
    <t>14-K-328</t>
  </si>
  <si>
    <t>OJC-A1-SC/SC-SM-23-PC/PC-SP</t>
  </si>
  <si>
    <t>K9089016</t>
  </si>
  <si>
    <t>14-K-335</t>
  </si>
  <si>
    <t>OJC-A1-SC/SC-SM-25-PC/APC-SP</t>
  </si>
  <si>
    <t>K9089062</t>
  </si>
  <si>
    <t>14-K-336</t>
  </si>
  <si>
    <t>OJC-A1-SC/SC-SM-25-PC/PC-DP</t>
  </si>
  <si>
    <t>K9089147</t>
  </si>
  <si>
    <t>14-K-337</t>
  </si>
  <si>
    <t>OJC-A1-SC/SC-SM-25-PC/PC-SP</t>
  </si>
  <si>
    <t>K9089018</t>
  </si>
  <si>
    <t>14-K-346</t>
  </si>
  <si>
    <t>OJC-A1-SC/SC-SM-2-PC/PC-DP</t>
  </si>
  <si>
    <t>K9089124</t>
  </si>
  <si>
    <t>14-K-347</t>
  </si>
  <si>
    <t>OJC-A1-SC/SC-SM-2-PC/PC-SP</t>
  </si>
  <si>
    <t>K9088995</t>
  </si>
  <si>
    <t>14-K-350</t>
  </si>
  <si>
    <t>OJC-A1-SC/SC-SM-30-PC/APC-DP</t>
  </si>
  <si>
    <t>14-K-352</t>
  </si>
  <si>
    <t>OJC-A1-SC/SC-SM-30-PC/PC-DP</t>
  </si>
  <si>
    <t>K9089152</t>
  </si>
  <si>
    <t>14-K-353</t>
  </si>
  <si>
    <t>OJC-A1-SC/SC-SM-30-PC/PC-SP</t>
  </si>
  <si>
    <t>K9089023</t>
  </si>
  <si>
    <t>14-K-354</t>
  </si>
  <si>
    <t>OJC-A1-SC/SC-SM-35-PC/PC-DP</t>
  </si>
  <si>
    <t>K9089153</t>
  </si>
  <si>
    <t>14-K-355</t>
  </si>
  <si>
    <t>OJC-A1-SC/SC-SM-35-PC/PC-SP</t>
  </si>
  <si>
    <t>K9089024</t>
  </si>
  <si>
    <t>14-K-356</t>
  </si>
  <si>
    <t>OJC-A1-SC/SC-SM-3-APC/APC-DP</t>
  </si>
  <si>
    <t>14-K-357</t>
  </si>
  <si>
    <t>OJC-A1-SC/SC-SM-3-APC/APC-SP</t>
  </si>
  <si>
    <t>K9089111</t>
  </si>
  <si>
    <t>14-K-360</t>
  </si>
  <si>
    <t>OJC-A1-SC/SC-SM-3-PC/APC-SP</t>
  </si>
  <si>
    <t>K9089057</t>
  </si>
  <si>
    <t>14-K-361</t>
  </si>
  <si>
    <t>OJC-A1-SC/SC-SM-3-PC/PC-DP</t>
  </si>
  <si>
    <t>K9089125</t>
  </si>
  <si>
    <t>14-K-362</t>
  </si>
  <si>
    <t>OJC-A1-SC/SC-SM-3-PC/PC-SP</t>
  </si>
  <si>
    <t>K9088996</t>
  </si>
  <si>
    <t>14-K-364</t>
  </si>
  <si>
    <t>OJC-A1-SC/SC-SM-40-PC/PC-DP</t>
  </si>
  <si>
    <t>K9089154</t>
  </si>
  <si>
    <t>14-K-365</t>
  </si>
  <si>
    <t>OJC-A1-SC/SC-SM-40-PC/PC-SP</t>
  </si>
  <si>
    <t>K9089025</t>
  </si>
  <si>
    <t>14-K-366</t>
  </si>
  <si>
    <t>OJC-A1-SC/SC-SM-45-PC/PC-DP</t>
  </si>
  <si>
    <t>K9089155</t>
  </si>
  <si>
    <t>14-K-367</t>
  </si>
  <si>
    <t>OJC-A1-SC/SC-SM-45-PC/PC-SP</t>
  </si>
  <si>
    <r>
      <rPr>
        <sz val="9"/>
        <color rgb="FF000000"/>
        <rFont val="Arial"/>
        <family val="2"/>
      </rPr>
      <t xml:space="preserve">K9089026, </t>
    </r>
    <r>
      <rPr>
        <sz val="9"/>
        <color rgb="FF000000"/>
        <rFont val="DejaVu Sans"/>
        <family val="2"/>
      </rPr>
      <t>녹색</t>
    </r>
  </si>
  <si>
    <t>14-K-369</t>
  </si>
  <si>
    <t>OJC-A1-SC/SC-SM-4-PC/PC-SP</t>
  </si>
  <si>
    <t>K9088997</t>
  </si>
  <si>
    <t>14-K-371</t>
  </si>
  <si>
    <t>OJC-A1-SC/SC-SM-50-PC/PC-DP</t>
  </si>
  <si>
    <t>K9089156</t>
  </si>
  <si>
    <t>14-K-372</t>
  </si>
  <si>
    <t>OJC-A1-SC/SC-SM-50-PC/PC-SP</t>
  </si>
  <si>
    <t>K9089027</t>
  </si>
  <si>
    <t>14-K-377</t>
  </si>
  <si>
    <t>OJC-A1-SC/SC-SM-5-PC/APC-SP</t>
  </si>
  <si>
    <t>K9089058</t>
  </si>
  <si>
    <t>14-K-378</t>
  </si>
  <si>
    <t>OJC-A1-SC/SC-SM-5-PC/PC-DP</t>
  </si>
  <si>
    <t>K9089127</t>
  </si>
  <si>
    <t>14-K-379</t>
  </si>
  <si>
    <t>OJC-A1-SC/SC-SM-5-PC/PC-SP</t>
  </si>
  <si>
    <t>K9088998</t>
  </si>
  <si>
    <t>14-K-380</t>
  </si>
  <si>
    <t>OJC-A1-SC/SC-SM-60-PC/PC-DP</t>
  </si>
  <si>
    <t>14-K-385</t>
  </si>
  <si>
    <t>OJC-A1-SC/SC-SM-6-PC/PC-SP</t>
  </si>
  <si>
    <t>K9088999</t>
  </si>
  <si>
    <t>14-K-388</t>
  </si>
  <si>
    <t>OJC-A1-SC/SC-SM-7-PC/PC-DP</t>
  </si>
  <si>
    <t>K9089129</t>
  </si>
  <si>
    <t>14-K-389</t>
  </si>
  <si>
    <t>OJC-A1-SC/SC-SM-7-PC/PC-SP</t>
  </si>
  <si>
    <t>K9089000</t>
  </si>
  <si>
    <t>14-K-392</t>
  </si>
  <si>
    <t>OJC-A1-SC/SC-SM-8-PC/PC-DP</t>
  </si>
  <si>
    <t>K9089130</t>
  </si>
  <si>
    <t>14-K-414</t>
  </si>
  <si>
    <t>OJC-A1-SC/LC-SM-3-APC/PC-SP</t>
  </si>
  <si>
    <t>14-K-425</t>
  </si>
  <si>
    <t>OJC-C2-SC/LC-SM-10-PC/PC-12C</t>
  </si>
  <si>
    <t>K9089468</t>
  </si>
  <si>
    <t>14-K-429</t>
  </si>
  <si>
    <t>OJC-C2-SC/LC-SM-15-PC/PC-20C</t>
  </si>
  <si>
    <t>K9094344</t>
  </si>
  <si>
    <t>14-K-443</t>
  </si>
  <si>
    <t>OJC-C2-SC/LC-SM-25-PC/PC-12C</t>
  </si>
  <si>
    <t>14-K-450</t>
  </si>
  <si>
    <t>OJC-C2-SC/LC-SM-30-PC/PC-12C</t>
  </si>
  <si>
    <t>14-K-456</t>
  </si>
  <si>
    <t>OJC-C2-SC/SC-SM-10-PC/PC-12C</t>
  </si>
  <si>
    <t>K9089453</t>
  </si>
  <si>
    <t>14-K-457</t>
  </si>
  <si>
    <t>OJC-C2-SC/SC-SM-10-PC/PC-16C</t>
  </si>
  <si>
    <t>K9094339</t>
  </si>
  <si>
    <t>14-K-459</t>
  </si>
  <si>
    <t>OJC-C2-SC/SC-SM-10-PC/PC-8C</t>
  </si>
  <si>
    <t>K9089452</t>
  </si>
  <si>
    <t>14-K-474</t>
  </si>
  <si>
    <t>OJC-C2-SC/SC-SM-15-PC/PC-12C</t>
  </si>
  <si>
    <t>14-K-479</t>
  </si>
  <si>
    <t>OJC-C2-SC/SC-SM-15-PC/PC-8C</t>
  </si>
  <si>
    <t>14-K-496</t>
  </si>
  <si>
    <t>OJC-C2-SC/SC-SM-1-PC/PC-12C</t>
  </si>
  <si>
    <t>14-K-497</t>
  </si>
  <si>
    <t>OJC-C2-SC/SC-SM-1-PC/PC-16C</t>
  </si>
  <si>
    <t>14-K-498</t>
  </si>
  <si>
    <t>OJC-C2-SC/SC-SM-1-PC/PC-20C</t>
  </si>
  <si>
    <t>K9094342</t>
  </si>
  <si>
    <t>14-K-499</t>
  </si>
  <si>
    <t>OJC-C2-SC/SC-SM-1-PC/PC-8C</t>
  </si>
  <si>
    <t>14-K-504</t>
  </si>
  <si>
    <t>OJC-C2-SC/SC-SM-20-PC/PC-20C</t>
  </si>
  <si>
    <t>K9118073</t>
  </si>
  <si>
    <t>14-K-526</t>
  </si>
  <si>
    <t>OJC-C2-SC/SC-SM-30-PC/PC-20C</t>
  </si>
  <si>
    <t>14-K-533</t>
  </si>
  <si>
    <t>OJC-C2-SC/SC-SM-3-PC/PC-16C</t>
  </si>
  <si>
    <t>14-K-546</t>
  </si>
  <si>
    <t>OJC-C2-SC/SC-SM-50-PC/PC-20C</t>
  </si>
  <si>
    <t>14-K-550</t>
  </si>
  <si>
    <t>OJC-C2-SC/SC-SM-5-PC/PC-16C</t>
  </si>
  <si>
    <t>14-K-560</t>
  </si>
  <si>
    <t>OJC-C2-SC/SC-SM-7-PC/PC-12C</t>
  </si>
  <si>
    <t>14-K-594</t>
  </si>
  <si>
    <t>OJC-A1-SC/LC-SM-18-PC/PC-DP</t>
  </si>
  <si>
    <t>14-K-604</t>
  </si>
  <si>
    <t>OJC-A1-SC/SC-SM-1.5-PC/PC-DP</t>
  </si>
  <si>
    <t>14-K-616</t>
  </si>
  <si>
    <t>OJC-A1-LC/LC-SM-6-PC/PC-DP</t>
  </si>
  <si>
    <t>14-K-628</t>
  </si>
  <si>
    <t>OJC-A1-LC/LC-MM(OM3)-28-PC/PC-DP</t>
  </si>
  <si>
    <t>14-K-629</t>
  </si>
  <si>
    <t>OJC-A1-SC/LC-MM(OM3)-35-PC/PC-DP</t>
  </si>
  <si>
    <t>14-K-638</t>
  </si>
  <si>
    <t>OJC-A1-SC/SC-SM-9-PC/PC-SP</t>
  </si>
  <si>
    <t>K9089002</t>
  </si>
  <si>
    <t>14-K-639</t>
  </si>
  <si>
    <t>OJC-A1-SC/SC-SM-11-PC/PC-SP</t>
  </si>
  <si>
    <t>K9089004</t>
  </si>
  <si>
    <t>14-K-640</t>
  </si>
  <si>
    <t>OJC-A1-LC/LC-MM-7-PC/PC-DP</t>
  </si>
  <si>
    <t>14-K-641</t>
  </si>
  <si>
    <t>OJC-A1-LC/LC-MM-8-PC/PC-DP</t>
  </si>
  <si>
    <t>14-K-648</t>
  </si>
  <si>
    <t>OJC-A1-LC/LC-MM(OM3)-45-PC/PC-DP</t>
  </si>
  <si>
    <t>14-K-651</t>
  </si>
  <si>
    <r>
      <rPr>
        <sz val="9"/>
        <color rgb="FF000000"/>
        <rFont val="Arial"/>
        <family val="2"/>
      </rPr>
      <t>K9089162_</t>
    </r>
    <r>
      <rPr>
        <sz val="9"/>
        <color rgb="FF000000"/>
        <rFont val="DejaVu Sans"/>
        <family val="2"/>
      </rPr>
      <t>청색</t>
    </r>
  </si>
  <si>
    <t>14-K-652</t>
  </si>
  <si>
    <r>
      <rPr>
        <sz val="9"/>
        <color rgb="FF000000"/>
        <rFont val="Arial"/>
        <family val="2"/>
      </rPr>
      <t>K9089163_</t>
    </r>
    <r>
      <rPr>
        <sz val="9"/>
        <color rgb="FF000000"/>
        <rFont val="DejaVu Sans"/>
        <family val="2"/>
      </rPr>
      <t>청색</t>
    </r>
  </si>
  <si>
    <t>14-K-653</t>
  </si>
  <si>
    <r>
      <rPr>
        <sz val="9"/>
        <color rgb="FF000000"/>
        <rFont val="Arial"/>
        <family val="2"/>
      </rPr>
      <t>K9089164_</t>
    </r>
    <r>
      <rPr>
        <sz val="9"/>
        <color rgb="FF000000"/>
        <rFont val="DejaVu Sans"/>
        <family val="2"/>
      </rPr>
      <t>청색</t>
    </r>
  </si>
  <si>
    <t>14-K-663</t>
  </si>
  <si>
    <t>OJC-A1-LC/LC-MM(OM3)-40-PC/PC-DP</t>
  </si>
  <si>
    <t>14-K-668</t>
  </si>
  <si>
    <r>
      <rPr>
        <sz val="9"/>
        <color rgb="FF000000"/>
        <rFont val="Arial"/>
        <family val="2"/>
      </rPr>
      <t>K9089147_</t>
    </r>
    <r>
      <rPr>
        <sz val="9"/>
        <color rgb="FF000000"/>
        <rFont val="DejaVu Sans"/>
        <family val="2"/>
      </rPr>
      <t>녹색</t>
    </r>
  </si>
  <si>
    <t>14-K-670</t>
  </si>
  <si>
    <r>
      <rPr>
        <sz val="9"/>
        <color rgb="FF000000"/>
        <rFont val="Arial"/>
        <family val="2"/>
      </rPr>
      <t>K9089137_</t>
    </r>
    <r>
      <rPr>
        <sz val="9"/>
        <color rgb="FF000000"/>
        <rFont val="DejaVu Sans"/>
        <family val="2"/>
      </rPr>
      <t>녹색</t>
    </r>
  </si>
  <si>
    <t>14-K-671</t>
  </si>
  <si>
    <r>
      <rPr>
        <sz val="9"/>
        <color rgb="FF000000"/>
        <rFont val="Arial"/>
        <family val="2"/>
      </rPr>
      <t>K9089013_</t>
    </r>
    <r>
      <rPr>
        <sz val="9"/>
        <color rgb="FF000000"/>
        <rFont val="DejaVu Sans"/>
        <family val="2"/>
      </rPr>
      <t>녹색</t>
    </r>
  </si>
  <si>
    <t>14-K-678</t>
  </si>
  <si>
    <r>
      <rPr>
        <sz val="9"/>
        <color rgb="FF000000"/>
        <rFont val="Arial"/>
        <family val="2"/>
      </rPr>
      <t>K9089153_</t>
    </r>
    <r>
      <rPr>
        <sz val="9"/>
        <color rgb="FF000000"/>
        <rFont val="DejaVu Sans"/>
        <family val="2"/>
      </rPr>
      <t>녹색</t>
    </r>
  </si>
  <si>
    <t>14-K-682</t>
  </si>
  <si>
    <r>
      <rPr>
        <sz val="9"/>
        <color rgb="FF000000"/>
        <rFont val="Arial"/>
        <family val="2"/>
      </rPr>
      <t>K9089147_</t>
    </r>
    <r>
      <rPr>
        <sz val="9"/>
        <color rgb="FF000000"/>
        <rFont val="DejaVu Sans"/>
        <family val="2"/>
      </rPr>
      <t>적색</t>
    </r>
  </si>
  <si>
    <t>14-K-683</t>
  </si>
  <si>
    <r>
      <rPr>
        <sz val="9"/>
        <color rgb="FF000000"/>
        <rFont val="Arial"/>
        <family val="2"/>
      </rPr>
      <t>K9089137_</t>
    </r>
    <r>
      <rPr>
        <sz val="9"/>
        <color rgb="FF000000"/>
        <rFont val="DejaVu Sans"/>
        <family val="2"/>
      </rPr>
      <t>적색</t>
    </r>
  </si>
  <si>
    <t>14-K-684</t>
  </si>
  <si>
    <r>
      <rPr>
        <sz val="9"/>
        <color rgb="FF000000"/>
        <rFont val="Arial"/>
        <family val="2"/>
      </rPr>
      <t>K9089132_</t>
    </r>
    <r>
      <rPr>
        <sz val="9"/>
        <color rgb="FF000000"/>
        <rFont val="DejaVu Sans"/>
        <family val="2"/>
      </rPr>
      <t>적색</t>
    </r>
  </si>
  <si>
    <t>14-K-696</t>
  </si>
  <si>
    <r>
      <rPr>
        <sz val="9"/>
        <color rgb="FF000000"/>
        <rFont val="Arial"/>
        <family val="2"/>
      </rPr>
      <t>K9088996_</t>
    </r>
    <r>
      <rPr>
        <sz val="9"/>
        <color rgb="FF000000"/>
        <rFont val="DejaVu Sans"/>
        <family val="2"/>
      </rPr>
      <t>적색</t>
    </r>
  </si>
  <si>
    <t>14-K-704</t>
  </si>
  <si>
    <r>
      <rPr>
        <sz val="9"/>
        <color rgb="FF000000"/>
        <rFont val="Arial"/>
        <family val="2"/>
      </rPr>
      <t>K9089003_</t>
    </r>
    <r>
      <rPr>
        <sz val="9"/>
        <color rgb="FF000000"/>
        <rFont val="DejaVu Sans"/>
        <family val="2"/>
      </rPr>
      <t>녹색</t>
    </r>
  </si>
  <si>
    <t>14-K-705</t>
  </si>
  <si>
    <r>
      <rPr>
        <sz val="9"/>
        <color rgb="FF000000"/>
        <rFont val="Arial"/>
        <family val="2"/>
      </rPr>
      <t>K9089008_</t>
    </r>
    <r>
      <rPr>
        <sz val="9"/>
        <color rgb="FF000000"/>
        <rFont val="DejaVu Sans"/>
        <family val="2"/>
      </rPr>
      <t>녹색</t>
    </r>
  </si>
  <si>
    <t>14-K-706</t>
  </si>
  <si>
    <r>
      <rPr>
        <sz val="9"/>
        <color rgb="FF000000"/>
        <rFont val="Arial"/>
        <family val="2"/>
      </rPr>
      <t>K9089111_</t>
    </r>
    <r>
      <rPr>
        <sz val="9"/>
        <color rgb="FF000000"/>
        <rFont val="DejaVu Sans"/>
        <family val="2"/>
      </rPr>
      <t>녹색</t>
    </r>
  </si>
  <si>
    <t>14-K-708</t>
  </si>
  <si>
    <r>
      <rPr>
        <sz val="9"/>
        <color rgb="FF000000"/>
        <rFont val="Arial"/>
        <family val="2"/>
      </rPr>
      <t>K9089132_</t>
    </r>
    <r>
      <rPr>
        <sz val="9"/>
        <color rgb="FF000000"/>
        <rFont val="DejaVu Sans"/>
        <family val="2"/>
      </rPr>
      <t>청색</t>
    </r>
  </si>
  <si>
    <t>14-K-709</t>
  </si>
  <si>
    <r>
      <rPr>
        <sz val="9"/>
        <color rgb="FF000000"/>
        <rFont val="Arial"/>
        <family val="2"/>
      </rPr>
      <t>K9089137_</t>
    </r>
    <r>
      <rPr>
        <sz val="9"/>
        <color rgb="FF000000"/>
        <rFont val="DejaVu Sans"/>
        <family val="2"/>
      </rPr>
      <t>청색</t>
    </r>
  </si>
  <si>
    <t>14-K-710</t>
  </si>
  <si>
    <r>
      <rPr>
        <sz val="9"/>
        <color rgb="FF000000"/>
        <rFont val="Arial"/>
        <family val="2"/>
      </rPr>
      <t>K9089142_</t>
    </r>
    <r>
      <rPr>
        <sz val="9"/>
        <color rgb="FF000000"/>
        <rFont val="DejaVu Sans"/>
        <family val="2"/>
      </rPr>
      <t>청색</t>
    </r>
  </si>
  <si>
    <t>14-K-711</t>
  </si>
  <si>
    <r>
      <rPr>
        <sz val="9"/>
        <color rgb="FF000000"/>
        <rFont val="Arial"/>
        <family val="2"/>
      </rPr>
      <t>K9089147_</t>
    </r>
    <r>
      <rPr>
        <sz val="9"/>
        <color rgb="FF000000"/>
        <rFont val="DejaVu Sans"/>
        <family val="2"/>
      </rPr>
      <t>청색</t>
    </r>
  </si>
  <si>
    <t>14-K-713</t>
  </si>
  <si>
    <r>
      <rPr>
        <sz val="9"/>
        <color rgb="FF000000"/>
        <rFont val="Arial"/>
        <family val="2"/>
      </rPr>
      <t>K9089152_</t>
    </r>
    <r>
      <rPr>
        <sz val="9"/>
        <color rgb="FF000000"/>
        <rFont val="DejaVu Sans"/>
        <family val="2"/>
      </rPr>
      <t>적색</t>
    </r>
  </si>
  <si>
    <t>14-K-719</t>
  </si>
  <si>
    <r>
      <rPr>
        <sz val="9"/>
        <color rgb="FF000000"/>
        <rFont val="Arial"/>
        <family val="2"/>
      </rPr>
      <t>K9089178_</t>
    </r>
    <r>
      <rPr>
        <sz val="9"/>
        <color rgb="FF000000"/>
        <rFont val="DejaVu Sans"/>
        <family val="2"/>
      </rPr>
      <t>청색</t>
    </r>
  </si>
  <si>
    <t>14-K-720</t>
  </si>
  <si>
    <r>
      <rPr>
        <sz val="9"/>
        <color rgb="FF000000"/>
        <rFont val="Arial"/>
        <family val="2"/>
      </rPr>
      <t>K9089177_</t>
    </r>
    <r>
      <rPr>
        <sz val="9"/>
        <color rgb="FF000000"/>
        <rFont val="DejaVu Sans"/>
        <family val="2"/>
      </rPr>
      <t>청색</t>
    </r>
  </si>
  <si>
    <t>14-K-721</t>
  </si>
  <si>
    <r>
      <rPr>
        <sz val="9"/>
        <color rgb="FF000000"/>
        <rFont val="Arial"/>
        <family val="2"/>
      </rPr>
      <t>K9089176_</t>
    </r>
    <r>
      <rPr>
        <sz val="9"/>
        <color rgb="FF000000"/>
        <rFont val="DejaVu Sans"/>
        <family val="2"/>
      </rPr>
      <t>청색</t>
    </r>
  </si>
  <si>
    <t>14-K-724</t>
  </si>
  <si>
    <r>
      <rPr>
        <sz val="9"/>
        <color rgb="FF000000"/>
        <rFont val="Arial"/>
        <family val="2"/>
      </rPr>
      <t>K9089018_</t>
    </r>
    <r>
      <rPr>
        <sz val="9"/>
        <color rgb="FF000000"/>
        <rFont val="DejaVu Sans"/>
        <family val="2"/>
      </rPr>
      <t>녹색</t>
    </r>
  </si>
  <si>
    <t>14-K-732</t>
  </si>
  <si>
    <t>OJC-C2-SC/SC-SM-20-PC/PC-16C</t>
  </si>
  <si>
    <t>14-K-744</t>
  </si>
  <si>
    <t>OJC-A1-LC/LC-MM(OM3)-2-PC/PC-DP</t>
  </si>
  <si>
    <t>14-K-771</t>
  </si>
  <si>
    <t>OJC-A1-LC/LC-SM-0.3-PC/PC-DP</t>
  </si>
  <si>
    <t>14-K-775</t>
  </si>
  <si>
    <r>
      <rPr>
        <sz val="9"/>
        <color rgb="FF000000"/>
        <rFont val="Arial"/>
        <family val="2"/>
      </rPr>
      <t>K9089142_</t>
    </r>
    <r>
      <rPr>
        <sz val="9"/>
        <color rgb="FF000000"/>
        <rFont val="DejaVu Sans"/>
        <family val="2"/>
      </rPr>
      <t>적색</t>
    </r>
  </si>
  <si>
    <t>14-K-780</t>
  </si>
  <si>
    <r>
      <rPr>
        <sz val="9"/>
        <color rgb="FF000000"/>
        <rFont val="Arial"/>
        <family val="2"/>
      </rPr>
      <t>K9089163_</t>
    </r>
    <r>
      <rPr>
        <sz val="9"/>
        <color rgb="FF000000"/>
        <rFont val="DejaVu Sans"/>
        <family val="2"/>
      </rPr>
      <t>적색</t>
    </r>
  </si>
  <si>
    <t>14-K-781</t>
  </si>
  <si>
    <r>
      <rPr>
        <sz val="9"/>
        <color rgb="FF000000"/>
        <rFont val="Arial"/>
        <family val="2"/>
      </rPr>
      <t>K9089164_</t>
    </r>
    <r>
      <rPr>
        <sz val="9"/>
        <color rgb="FF000000"/>
        <rFont val="DejaVu Sans"/>
        <family val="2"/>
      </rPr>
      <t>적색</t>
    </r>
  </si>
  <si>
    <t>14-K-782</t>
  </si>
  <si>
    <r>
      <rPr>
        <sz val="9"/>
        <color rgb="FF000000"/>
        <rFont val="Arial"/>
        <family val="2"/>
      </rPr>
      <t>K9089165_</t>
    </r>
    <r>
      <rPr>
        <sz val="9"/>
        <color rgb="FF000000"/>
        <rFont val="DejaVu Sans"/>
        <family val="2"/>
      </rPr>
      <t>적색</t>
    </r>
  </si>
  <si>
    <t>14-K-783</t>
  </si>
  <si>
    <r>
      <rPr>
        <sz val="9"/>
        <color rgb="FF000000"/>
        <rFont val="Arial"/>
        <family val="2"/>
      </rPr>
      <t>K9089178_</t>
    </r>
    <r>
      <rPr>
        <sz val="9"/>
        <color rgb="FF000000"/>
        <rFont val="DejaVu Sans"/>
        <family val="2"/>
      </rPr>
      <t>적색</t>
    </r>
  </si>
  <si>
    <t>14-K-784</t>
  </si>
  <si>
    <r>
      <rPr>
        <sz val="9"/>
        <color rgb="FF000000"/>
        <rFont val="Arial"/>
        <family val="2"/>
      </rPr>
      <t>K9089179_</t>
    </r>
    <r>
      <rPr>
        <sz val="9"/>
        <color rgb="FF000000"/>
        <rFont val="DejaVu Sans"/>
        <family val="2"/>
      </rPr>
      <t>적색</t>
    </r>
  </si>
  <si>
    <t>14-K-786</t>
  </si>
  <si>
    <r>
      <rPr>
        <sz val="9"/>
        <color rgb="FF000000"/>
        <rFont val="Arial"/>
        <family val="2"/>
      </rPr>
      <t>K9089180_</t>
    </r>
    <r>
      <rPr>
        <sz val="9"/>
        <color rgb="FF000000"/>
        <rFont val="DejaVu Sans"/>
        <family val="2"/>
      </rPr>
      <t>적색</t>
    </r>
  </si>
  <si>
    <t>14-K-787</t>
  </si>
  <si>
    <r>
      <rPr>
        <sz val="9"/>
        <color rgb="FF000000"/>
        <rFont val="Arial"/>
        <family val="2"/>
      </rPr>
      <t>K9089166_</t>
    </r>
    <r>
      <rPr>
        <sz val="9"/>
        <color rgb="FF000000"/>
        <rFont val="DejaVu Sans"/>
        <family val="2"/>
      </rPr>
      <t>적색</t>
    </r>
  </si>
  <si>
    <t>14-K-789</t>
  </si>
  <si>
    <t>OJC-A1-LC/LC-MM(OM3)-7-PC/PC-DP</t>
  </si>
  <si>
    <t>14-K-790</t>
  </si>
  <si>
    <t>OJC-A1-LC/LC-SM-9-PC/PC-DP</t>
  </si>
  <si>
    <t>14-K-808</t>
  </si>
  <si>
    <t>OJC-A1-LC/LC-SM-70-PC/PC-DP</t>
  </si>
  <si>
    <t>14-K-810</t>
  </si>
  <si>
    <r>
      <rPr>
        <sz val="9"/>
        <color rgb="FF000000"/>
        <rFont val="Arial"/>
        <family val="2"/>
      </rPr>
      <t>K9089161_</t>
    </r>
    <r>
      <rPr>
        <sz val="9"/>
        <color rgb="FF000000"/>
        <rFont val="DejaVu Sans"/>
        <family val="2"/>
      </rPr>
      <t>청색</t>
    </r>
  </si>
  <si>
    <t>14-K-814</t>
  </si>
  <si>
    <t>OJC-A1-LC/LC-SM-0.3-PC/PC-SP</t>
  </si>
  <si>
    <t>14-K-822</t>
  </si>
  <si>
    <r>
      <rPr>
        <sz val="9"/>
        <color rgb="FF000000"/>
        <rFont val="Arial"/>
        <family val="2"/>
      </rPr>
      <t>K9088998_</t>
    </r>
    <r>
      <rPr>
        <sz val="9"/>
        <color rgb="FF000000"/>
        <rFont val="DejaVu Sans"/>
        <family val="2"/>
      </rPr>
      <t>청색</t>
    </r>
  </si>
  <si>
    <t>14-K-824</t>
  </si>
  <si>
    <r>
      <rPr>
        <sz val="9"/>
        <color rgb="FF000000"/>
        <rFont val="Arial"/>
        <family val="2"/>
      </rPr>
      <t>K9088998_</t>
    </r>
    <r>
      <rPr>
        <sz val="9"/>
        <color rgb="FF000000"/>
        <rFont val="DejaVu Sans"/>
        <family val="2"/>
      </rPr>
      <t>녹색</t>
    </r>
  </si>
  <si>
    <t>14-K-829</t>
  </si>
  <si>
    <t>OJC-A1-SC/SC-SM-55-PC/PC-DP</t>
  </si>
  <si>
    <t>14-K-832</t>
  </si>
  <si>
    <r>
      <rPr>
        <sz val="9"/>
        <color rgb="FF000000"/>
        <rFont val="Arial"/>
        <family val="2"/>
      </rPr>
      <t>K9089175_</t>
    </r>
    <r>
      <rPr>
        <sz val="9"/>
        <color rgb="FF000000"/>
        <rFont val="DejaVu Sans"/>
        <family val="2"/>
      </rPr>
      <t>청색</t>
    </r>
  </si>
  <si>
    <t>14-K-837</t>
  </si>
  <si>
    <t>OJC-A1-LC/LC-MM(OM3)-70-PC/PC-DP</t>
  </si>
  <si>
    <t>14-K-838</t>
  </si>
  <si>
    <t>OJC-A1-LC/LC-MM(OM3)-90-PC/PC-DP</t>
  </si>
  <si>
    <t>14-K-842</t>
  </si>
  <si>
    <r>
      <rPr>
        <sz val="9"/>
        <color rgb="FF000000"/>
        <rFont val="Arial"/>
        <family val="2"/>
      </rPr>
      <t>K9089003_</t>
    </r>
    <r>
      <rPr>
        <sz val="9"/>
        <color rgb="FF000000"/>
        <rFont val="DejaVu Sans"/>
        <family val="2"/>
      </rPr>
      <t>청색</t>
    </r>
  </si>
  <si>
    <t>14-K-845</t>
  </si>
  <si>
    <t>OJC-A1-SC/LC-SM-25-PC/APC-SP</t>
  </si>
  <si>
    <t>K9089070</t>
  </si>
  <si>
    <t>14-K-846</t>
  </si>
  <si>
    <r>
      <rPr>
        <sz val="9"/>
        <color rgb="FF000000"/>
        <rFont val="Arial"/>
        <family val="2"/>
      </rPr>
      <t>K9088994_</t>
    </r>
    <r>
      <rPr>
        <sz val="9"/>
        <color rgb="FF000000"/>
        <rFont val="DejaVu Sans"/>
        <family val="2"/>
      </rPr>
      <t>고려오트론</t>
    </r>
  </si>
  <si>
    <t>14-K-847</t>
  </si>
  <si>
    <r>
      <rPr>
        <sz val="9"/>
        <color rgb="FF000000"/>
        <rFont val="Arial"/>
        <family val="2"/>
      </rPr>
      <t>K9088995_</t>
    </r>
    <r>
      <rPr>
        <sz val="9"/>
        <color rgb="FF000000"/>
        <rFont val="DejaVu Sans"/>
        <family val="2"/>
      </rPr>
      <t>고려오트론</t>
    </r>
  </si>
  <si>
    <t>14-K-848</t>
  </si>
  <si>
    <r>
      <rPr>
        <sz val="9"/>
        <color rgb="FF000000"/>
        <rFont val="Arial"/>
        <family val="2"/>
      </rPr>
      <t>K9088996_</t>
    </r>
    <r>
      <rPr>
        <sz val="9"/>
        <color rgb="FF000000"/>
        <rFont val="DejaVu Sans"/>
        <family val="2"/>
      </rPr>
      <t>고려오트론</t>
    </r>
  </si>
  <si>
    <t>14-K-849</t>
  </si>
  <si>
    <r>
      <rPr>
        <sz val="9"/>
        <color rgb="FF000000"/>
        <rFont val="Arial"/>
        <family val="2"/>
      </rPr>
      <t>K9088994_</t>
    </r>
    <r>
      <rPr>
        <sz val="9"/>
        <color rgb="FF000000"/>
        <rFont val="DejaVu Sans"/>
        <family val="2"/>
      </rPr>
      <t>포앤티</t>
    </r>
  </si>
  <si>
    <t>14-K-850</t>
  </si>
  <si>
    <r>
      <rPr>
        <sz val="9"/>
        <color rgb="FF000000"/>
        <rFont val="Arial"/>
        <family val="2"/>
      </rPr>
      <t>K9088995_</t>
    </r>
    <r>
      <rPr>
        <sz val="9"/>
        <color rgb="FF000000"/>
        <rFont val="DejaVu Sans"/>
        <family val="2"/>
      </rPr>
      <t>포앤티</t>
    </r>
  </si>
  <si>
    <t>14-K-851</t>
  </si>
  <si>
    <r>
      <rPr>
        <sz val="9"/>
        <color rgb="FF000000"/>
        <rFont val="Arial"/>
        <family val="2"/>
      </rPr>
      <t>K9088996_</t>
    </r>
    <r>
      <rPr>
        <sz val="9"/>
        <color rgb="FF000000"/>
        <rFont val="DejaVu Sans"/>
        <family val="2"/>
      </rPr>
      <t>포앤티</t>
    </r>
  </si>
  <si>
    <t>14-K-855</t>
  </si>
  <si>
    <r>
      <rPr>
        <sz val="9"/>
        <color rgb="FF000000"/>
        <rFont val="Arial"/>
        <family val="2"/>
      </rPr>
      <t>K9088995_</t>
    </r>
    <r>
      <rPr>
        <sz val="9"/>
        <color rgb="FF000000"/>
        <rFont val="DejaVu Sans"/>
        <family val="2"/>
      </rPr>
      <t>청색</t>
    </r>
  </si>
  <si>
    <t>14-K-856</t>
  </si>
  <si>
    <r>
      <rPr>
        <sz val="9"/>
        <color rgb="FF000000"/>
        <rFont val="Arial"/>
        <family val="2"/>
      </rPr>
      <t>K9088994_</t>
    </r>
    <r>
      <rPr>
        <sz val="9"/>
        <color rgb="FF000000"/>
        <rFont val="DejaVu Sans"/>
        <family val="2"/>
      </rPr>
      <t>청색</t>
    </r>
  </si>
  <si>
    <t>14-K-857</t>
  </si>
  <si>
    <r>
      <rPr>
        <sz val="9"/>
        <color rgb="FF000000"/>
        <rFont val="Arial"/>
        <family val="2"/>
      </rPr>
      <t>K9088996_</t>
    </r>
    <r>
      <rPr>
        <sz val="9"/>
        <color rgb="FF000000"/>
        <rFont val="DejaVu Sans"/>
        <family val="2"/>
      </rPr>
      <t>청색</t>
    </r>
  </si>
  <si>
    <t>14-K-883</t>
  </si>
  <si>
    <r>
      <rPr>
        <sz val="9"/>
        <color rgb="FF000000"/>
        <rFont val="Arial"/>
        <family val="2"/>
      </rPr>
      <t>K9089163_</t>
    </r>
    <r>
      <rPr>
        <sz val="9"/>
        <color rgb="FF000000"/>
        <rFont val="DejaVu Sans"/>
        <family val="2"/>
      </rPr>
      <t>포앤티</t>
    </r>
  </si>
  <si>
    <t>14-K-928</t>
  </si>
  <si>
    <r>
      <rPr>
        <sz val="9"/>
        <color rgb="FF000000"/>
        <rFont val="Arial"/>
        <family val="2"/>
      </rPr>
      <t>K9089173_</t>
    </r>
    <r>
      <rPr>
        <sz val="9"/>
        <color rgb="FF000000"/>
        <rFont val="DejaVu Sans"/>
        <family val="2"/>
      </rPr>
      <t>청색</t>
    </r>
  </si>
  <si>
    <t>14-K-940</t>
  </si>
  <si>
    <t>청색</t>
  </si>
  <si>
    <t>14-K-958</t>
  </si>
  <si>
    <r>
      <rPr>
        <sz val="9"/>
        <color rgb="FF000000"/>
        <rFont val="Arial"/>
        <family val="2"/>
      </rPr>
      <t>K9089155_</t>
    </r>
    <r>
      <rPr>
        <sz val="9"/>
        <color rgb="FF000000"/>
        <rFont val="DejaVu Sans"/>
        <family val="2"/>
      </rPr>
      <t>녹색</t>
    </r>
  </si>
  <si>
    <t>14-K-972</t>
  </si>
  <si>
    <t>OJC-C2-SC/SC-SM-10-PC/PC-24C</t>
  </si>
  <si>
    <t>K9186717</t>
  </si>
  <si>
    <t>14-K-989</t>
  </si>
  <si>
    <r>
      <rPr>
        <sz val="9"/>
        <color rgb="FF000000"/>
        <rFont val="Arial"/>
        <family val="2"/>
      </rPr>
      <t>K9089018_</t>
    </r>
    <r>
      <rPr>
        <sz val="9"/>
        <color rgb="FF000000"/>
        <rFont val="DejaVu Sans"/>
        <family val="2"/>
      </rPr>
      <t>청색</t>
    </r>
  </si>
  <si>
    <t>14-K-A101</t>
  </si>
  <si>
    <r>
      <rPr>
        <sz val="9"/>
        <color rgb="FF000000"/>
        <rFont val="Arial"/>
        <family val="2"/>
      </rPr>
      <t>K9089171_</t>
    </r>
    <r>
      <rPr>
        <sz val="9"/>
        <color rgb="FF000000"/>
        <rFont val="DejaVu Sans"/>
        <family val="2"/>
      </rPr>
      <t>청색</t>
    </r>
  </si>
  <si>
    <t>14-K-A113</t>
  </si>
  <si>
    <t>LC/DP CLIP Type</t>
  </si>
  <si>
    <t>14-K-A115</t>
  </si>
  <si>
    <t>OJC-A1-LC/LC-SM-3-APC/APC-DP</t>
  </si>
  <si>
    <t>14-K-A117</t>
  </si>
  <si>
    <t>14-K-A118</t>
  </si>
  <si>
    <t>14-K-A119</t>
  </si>
  <si>
    <t>14-K-A143</t>
  </si>
  <si>
    <r>
      <rPr>
        <sz val="9"/>
        <color rgb="FF000000"/>
        <rFont val="Arial"/>
        <family val="2"/>
      </rPr>
      <t>K9089177_</t>
    </r>
    <r>
      <rPr>
        <sz val="9"/>
        <color rgb="FF000000"/>
        <rFont val="DejaVu Sans"/>
        <family val="2"/>
      </rPr>
      <t>녹색</t>
    </r>
  </si>
  <si>
    <t>14-K-A144</t>
  </si>
  <si>
    <r>
      <rPr>
        <sz val="9"/>
        <color rgb="FF000000"/>
        <rFont val="Arial"/>
        <family val="2"/>
      </rPr>
      <t>K9089033_</t>
    </r>
    <r>
      <rPr>
        <sz val="9"/>
        <color rgb="FF000000"/>
        <rFont val="DejaVu Sans"/>
        <family val="2"/>
      </rPr>
      <t>녹색</t>
    </r>
  </si>
  <si>
    <t>14-K-A145</t>
  </si>
  <si>
    <r>
      <rPr>
        <sz val="9"/>
        <color rgb="FF000000"/>
        <rFont val="Arial"/>
        <family val="2"/>
      </rPr>
      <t>K9089034_</t>
    </r>
    <r>
      <rPr>
        <sz val="9"/>
        <color rgb="FF000000"/>
        <rFont val="DejaVu Sans"/>
        <family val="2"/>
      </rPr>
      <t>녹색</t>
    </r>
  </si>
  <si>
    <t>14-K-A146</t>
  </si>
  <si>
    <r>
      <rPr>
        <sz val="9"/>
        <color rgb="FF000000"/>
        <rFont val="Arial"/>
        <family val="2"/>
      </rPr>
      <t>K9089035_</t>
    </r>
    <r>
      <rPr>
        <sz val="9"/>
        <color rgb="FF000000"/>
        <rFont val="DejaVu Sans"/>
        <family val="2"/>
      </rPr>
      <t>녹색</t>
    </r>
  </si>
  <si>
    <t>14-K-A147</t>
  </si>
  <si>
    <r>
      <rPr>
        <sz val="9"/>
        <color rgb="FF000000"/>
        <rFont val="Arial"/>
        <family val="2"/>
      </rPr>
      <t>K9089030_</t>
    </r>
    <r>
      <rPr>
        <sz val="9"/>
        <color rgb="FF000000"/>
        <rFont val="DejaVu Sans"/>
        <family val="2"/>
      </rPr>
      <t>녹색</t>
    </r>
  </si>
  <si>
    <t>14-K-A156</t>
  </si>
  <si>
    <t>OJC-A1-LC/LC-MM(OM4)-1-PC/PC-DP</t>
  </si>
  <si>
    <t>14-K-A163</t>
  </si>
  <si>
    <r>
      <rPr>
        <sz val="9"/>
        <color rgb="FF000000"/>
        <rFont val="Arial"/>
        <family val="2"/>
      </rPr>
      <t>K9089037_</t>
    </r>
    <r>
      <rPr>
        <sz val="9"/>
        <color rgb="FF000000"/>
        <rFont val="DejaVu Sans"/>
        <family val="2"/>
      </rPr>
      <t>녹색</t>
    </r>
  </si>
  <si>
    <t>14-K-A19</t>
  </si>
  <si>
    <r>
      <rPr>
        <sz val="9"/>
        <color rgb="FF000000"/>
        <rFont val="Arial"/>
        <family val="2"/>
      </rPr>
      <t>K9089013_</t>
    </r>
    <r>
      <rPr>
        <sz val="9"/>
        <color rgb="FF000000"/>
        <rFont val="DejaVu Sans"/>
        <family val="2"/>
      </rPr>
      <t>청색</t>
    </r>
  </si>
  <si>
    <t>14-K-A194</t>
  </si>
  <si>
    <t>OJC-A1-SC/LC-SM-1-APC/PC-DP</t>
  </si>
  <si>
    <t>K9089240</t>
  </si>
  <si>
    <t>14-K-A200</t>
  </si>
  <si>
    <t>OJC-C2-SC/SC-SM-1-PC/PC-4C</t>
  </si>
  <si>
    <t>K9089451</t>
  </si>
  <si>
    <t>14-K-A22</t>
  </si>
  <si>
    <r>
      <rPr>
        <sz val="9"/>
        <color rgb="FF000000"/>
        <rFont val="Arial"/>
        <family val="2"/>
      </rPr>
      <t>K9089008_</t>
    </r>
    <r>
      <rPr>
        <sz val="9"/>
        <color rgb="FF000000"/>
        <rFont val="DejaVu Sans"/>
        <family val="2"/>
      </rPr>
      <t>청색</t>
    </r>
  </si>
  <si>
    <t>14-K-A252</t>
  </si>
  <si>
    <t>OJC-A1-LC/LC-MM(OM3)-12-PC/PC-DP</t>
  </si>
  <si>
    <t>14-K-A261</t>
  </si>
  <si>
    <r>
      <rPr>
        <sz val="9"/>
        <color rgb="FF000000"/>
        <rFont val="Arial"/>
        <family val="2"/>
      </rPr>
      <t>K9089036_</t>
    </r>
    <r>
      <rPr>
        <sz val="9"/>
        <color rgb="FF000000"/>
        <rFont val="DejaVu Sans"/>
        <family val="2"/>
      </rPr>
      <t>녹색</t>
    </r>
  </si>
  <si>
    <t>14-K-A263</t>
  </si>
  <si>
    <t>OJC-C2-SC/SC-SM-15-PC/PC-16C</t>
  </si>
  <si>
    <r>
      <rPr>
        <sz val="9"/>
        <color rgb="FF000000"/>
        <rFont val="Arial"/>
        <family val="2"/>
      </rPr>
      <t xml:space="preserve">K9094339, </t>
    </r>
    <r>
      <rPr>
        <sz val="9"/>
        <color rgb="FF000000"/>
        <rFont val="DejaVu Sans"/>
        <family val="2"/>
      </rPr>
      <t xml:space="preserve">양단 분기부 </t>
    </r>
    <r>
      <rPr>
        <sz val="9"/>
        <color rgb="FF000000"/>
        <rFont val="Arial"/>
        <family val="2"/>
      </rPr>
      <t>1.5M</t>
    </r>
  </si>
  <si>
    <t>14-K-A264</t>
  </si>
  <si>
    <t>OJC-A1-LC/LC-SM-17-PC/PC-DP</t>
  </si>
  <si>
    <t>적색</t>
  </si>
  <si>
    <t>14-K-A27</t>
  </si>
  <si>
    <t>OJC-C2-SC/SC-SM-50-PC/PC-16C</t>
  </si>
  <si>
    <t>14-K-A280</t>
  </si>
  <si>
    <r>
      <rPr>
        <sz val="9"/>
        <color rgb="FF000000"/>
        <rFont val="Arial"/>
        <family val="2"/>
      </rPr>
      <t>K9089179_</t>
    </r>
    <r>
      <rPr>
        <sz val="9"/>
        <color rgb="FF000000"/>
        <rFont val="DejaVu Sans"/>
        <family val="2"/>
      </rPr>
      <t>녹색</t>
    </r>
  </si>
  <si>
    <t>14-K-A302</t>
  </si>
  <si>
    <t>OJC-A1-LC/LC-MM(OM3)-11-PC/PC-DP</t>
  </si>
  <si>
    <t>14-K-A309</t>
  </si>
  <si>
    <t>LC/DP Clip Type</t>
  </si>
  <si>
    <t>14-K-A62</t>
  </si>
  <si>
    <t>OJC-A1-LC/LC-SM-3-APC/APC-SP</t>
  </si>
  <si>
    <t>14-K-A67</t>
  </si>
  <si>
    <t>OJC-A1-SC/LC-SM-30-PC/APC-SP</t>
  </si>
  <si>
    <t>K9089071</t>
  </si>
  <si>
    <t>14-K-A73</t>
  </si>
  <si>
    <t>OJC-C2-SC/SC-SM-20-PC/PC-24C</t>
  </si>
  <si>
    <t>14-K-A736</t>
  </si>
  <si>
    <t>LC/DP CLIP Type, 25M</t>
  </si>
  <si>
    <t>14-K-A737</t>
  </si>
  <si>
    <t>OJC-A1-LC/LC-MM(OM3)-26-PC/PC-DP</t>
  </si>
  <si>
    <t>LC/DP CLIP Type, 26M</t>
  </si>
  <si>
    <t>14-K-A738</t>
  </si>
  <si>
    <t>OJC-A1-LC/LC-MM(OM3)-27-PC/PC-DP</t>
  </si>
  <si>
    <t>LC/DP CLIP Type, 27M</t>
  </si>
  <si>
    <t>14-K-A739</t>
  </si>
  <si>
    <t>LC/DP CLIP Type, 28M</t>
  </si>
  <si>
    <t>14-K-A740</t>
  </si>
  <si>
    <t>OJC-A1-LC/LC-MM(OM3)-29-PC/PC-DP</t>
  </si>
  <si>
    <t>LC/DP CLIP Type, 29M</t>
  </si>
  <si>
    <t>14-K-A741</t>
  </si>
  <si>
    <t>LC/DP CLIP Type, 30M</t>
  </si>
  <si>
    <t>14-K-A742</t>
  </si>
  <si>
    <t>OJC-A1-LC/LC-MM(OM3)-31-PC/PC-DP</t>
  </si>
  <si>
    <t>LC/DP CLIP Type, 31M</t>
  </si>
  <si>
    <t>14-K-A747</t>
  </si>
  <si>
    <t>OJC-A1-LC/LC-MM(OM3)-36-PC/PC-DP</t>
  </si>
  <si>
    <t>LC/DP CLIP Type, 36M</t>
  </si>
  <si>
    <t>14-K-A748</t>
  </si>
  <si>
    <t>OJC-A1-LC/LC-MM(OM3)-37-PC/PC-DP</t>
  </si>
  <si>
    <t>LC/DP CLIP Type, 37M</t>
  </si>
  <si>
    <t>14-K-A749</t>
  </si>
  <si>
    <t>OJC-A1-LC/LC-MM(OM3)-38-PC/PC-DP</t>
  </si>
  <si>
    <t>LC/DP CLIP Type, 38M</t>
  </si>
  <si>
    <t>14-K-A750</t>
  </si>
  <si>
    <t>OJC-A1-LC/LC-MM(OM3)-39-PC/PC-DP</t>
  </si>
  <si>
    <t>LC/DP CLIP Type, 39M</t>
  </si>
  <si>
    <t>14-K-A751</t>
  </si>
  <si>
    <t>LC/DP CLIP Type, 40M</t>
  </si>
  <si>
    <t>14-K-A752</t>
  </si>
  <si>
    <t>OJC-A1-LC/LC-MM(OM3)-41-PC/PC-DP</t>
  </si>
  <si>
    <t>LC/DP CLIP Type, 41M</t>
  </si>
  <si>
    <t>14-K-A753</t>
  </si>
  <si>
    <t>OJC-A1-LC/LC-MM(OM3)-42-PC/PC-DP</t>
  </si>
  <si>
    <t>LC/DP CLIP Type, 42M</t>
  </si>
  <si>
    <t>14-K-A87</t>
  </si>
  <si>
    <t>14-K-A914</t>
  </si>
  <si>
    <t>OJC-A1-LC/LC-MM(OM4)-3-PC/PC-DP</t>
  </si>
  <si>
    <t>LC/DP CLIP Type, 3M</t>
  </si>
  <si>
    <t>14-K-A92</t>
  </si>
  <si>
    <t>14-K-A926</t>
  </si>
  <si>
    <t>OJC-A1-LC/LC-MM(OM4)-15-PC/PC-DP</t>
  </si>
  <si>
    <t>LC/DP CLIP Type, 15M</t>
  </si>
  <si>
    <t>14-K-A95</t>
  </si>
  <si>
    <t>14-K-B113</t>
  </si>
  <si>
    <t>OJC-C2-SC/LC-SM-20-PC/PC-20C</t>
  </si>
  <si>
    <r>
      <rPr>
        <sz val="9"/>
        <color rgb="FF000000"/>
        <rFont val="Arial"/>
        <family val="2"/>
      </rPr>
      <t xml:space="preserve">K9094344, </t>
    </r>
    <r>
      <rPr>
        <sz val="9"/>
        <color rgb="FF000000"/>
        <rFont val="DejaVu Sans"/>
        <family val="2"/>
      </rPr>
      <t xml:space="preserve">양단 분기부 </t>
    </r>
    <r>
      <rPr>
        <sz val="9"/>
        <color rgb="FF000000"/>
        <rFont val="Arial"/>
        <family val="2"/>
      </rPr>
      <t>1.5M</t>
    </r>
  </si>
  <si>
    <t>14-K-B134</t>
  </si>
  <si>
    <t>OJC-A1-SC/SC-SM-40-PC/APC-SP</t>
  </si>
  <si>
    <t>14-K-B154</t>
  </si>
  <si>
    <t>14-K-B175</t>
  </si>
  <si>
    <t>OJC-A1-SC/LC-SM-22-PC/PC-DP</t>
  </si>
  <si>
    <t>14-K-B177</t>
  </si>
  <si>
    <t>녹색</t>
  </si>
  <si>
    <t>14-K-B204</t>
  </si>
  <si>
    <t>OJC-C2-SC/LC-SM-10-PC/PC-20C</t>
  </si>
  <si>
    <t>14-K-B220</t>
  </si>
  <si>
    <t>OJC-A1-SC/LC-MM(OM3)-25-PC/PC-DP</t>
  </si>
  <si>
    <t>14-K-B237</t>
  </si>
  <si>
    <t>14-K-B238</t>
  </si>
  <si>
    <t>OJC-A1-LC/LC-SM-14-PC/PC-DP</t>
  </si>
  <si>
    <t>14-K-B239</t>
  </si>
  <si>
    <t>OJC-A1-LC/LC-SM-27-PC/PC-DP</t>
  </si>
  <si>
    <t>14-K-B240</t>
  </si>
  <si>
    <t>OJC-A1-LC/LC-SM-28-PC/PC-DP</t>
  </si>
  <si>
    <t>14-K-B241</t>
  </si>
  <si>
    <t>OJC-A1-SC/LC-SM-17-PC/PC-DP</t>
  </si>
  <si>
    <t>14-K-B242</t>
  </si>
  <si>
    <t>OJC-A1-LC/LC-MM-19-PC/PC-DP</t>
  </si>
  <si>
    <t>14-K-B243</t>
  </si>
  <si>
    <t>OJC-A1-LC/LC-MM-23-PC/PC-DP</t>
  </si>
  <si>
    <t>14-K-B245</t>
  </si>
  <si>
    <t>OJC-C2-SC/SC-SM-10-PC/PC-20C</t>
  </si>
  <si>
    <r>
      <rPr>
        <sz val="9"/>
        <color rgb="FF000000"/>
        <rFont val="Arial"/>
        <family val="2"/>
      </rPr>
      <t xml:space="preserve">K9094342, </t>
    </r>
    <r>
      <rPr>
        <sz val="9"/>
        <color rgb="FF000000"/>
        <rFont val="DejaVu Sans"/>
        <family val="2"/>
      </rPr>
      <t xml:space="preserve">양단 분기부 </t>
    </r>
    <r>
      <rPr>
        <sz val="9"/>
        <color rgb="FF000000"/>
        <rFont val="Arial"/>
        <family val="2"/>
      </rPr>
      <t>1.7M</t>
    </r>
  </si>
  <si>
    <t>14-K-B246</t>
  </si>
  <si>
    <r>
      <rPr>
        <sz val="9"/>
        <color rgb="FF000000"/>
        <rFont val="Arial"/>
        <family val="2"/>
      </rPr>
      <t>K9089180_</t>
    </r>
    <r>
      <rPr>
        <sz val="9"/>
        <color rgb="FF000000"/>
        <rFont val="DejaVu Sans"/>
        <family val="2"/>
      </rPr>
      <t>자색</t>
    </r>
  </si>
  <si>
    <t>14-K-B247</t>
  </si>
  <si>
    <r>
      <rPr>
        <sz val="9"/>
        <color rgb="FF000000"/>
        <rFont val="Arial"/>
        <family val="2"/>
      </rPr>
      <t>K9089181_</t>
    </r>
    <r>
      <rPr>
        <sz val="9"/>
        <color rgb="FF000000"/>
        <rFont val="DejaVu Sans"/>
        <family val="2"/>
      </rPr>
      <t>자색</t>
    </r>
  </si>
  <si>
    <t>14-K-B248</t>
  </si>
  <si>
    <t>OJC-A1-SC/SC-SM-4-APC/APC-SP</t>
  </si>
  <si>
    <t>14-K-B249</t>
  </si>
  <si>
    <t>14-K-B250</t>
  </si>
  <si>
    <t>OJC-C2-SC/SC-SM-1.5-PC/PC-24C</t>
  </si>
  <si>
    <r>
      <rPr>
        <sz val="9"/>
        <color rgb="FF000000"/>
        <rFont val="Arial"/>
        <family val="2"/>
      </rPr>
      <t xml:space="preserve">K9186717, </t>
    </r>
    <r>
      <rPr>
        <sz val="9"/>
        <color rgb="FF000000"/>
        <rFont val="DejaVu Sans"/>
        <family val="2"/>
      </rPr>
      <t xml:space="preserve">양단분기부 </t>
    </r>
    <r>
      <rPr>
        <sz val="9"/>
        <color rgb="FF000000"/>
        <rFont val="Arial"/>
        <family val="2"/>
      </rPr>
      <t>30cm</t>
    </r>
  </si>
  <si>
    <t>14-K-B251</t>
  </si>
  <si>
    <t>OJC-A1-SC/LC-MM(OM3)-50-PC/PC-DP</t>
  </si>
  <si>
    <t>14-K-B252</t>
  </si>
  <si>
    <t>OJC-A1-LC/LC-SM-80-PC/PC-DP</t>
  </si>
  <si>
    <t>14-K-B253</t>
  </si>
  <si>
    <r>
      <rPr>
        <sz val="9"/>
        <color rgb="FF000000"/>
        <rFont val="Arial"/>
        <family val="2"/>
      </rPr>
      <t>K9089176_</t>
    </r>
    <r>
      <rPr>
        <sz val="9"/>
        <color rgb="FF000000"/>
        <rFont val="DejaVu Sans"/>
        <family val="2"/>
      </rPr>
      <t>녹색</t>
    </r>
  </si>
  <si>
    <t>14-K-B258</t>
  </si>
  <si>
    <r>
      <rPr>
        <sz val="9"/>
        <color rgb="FF000000"/>
        <rFont val="DejaVu Sans"/>
        <family val="2"/>
      </rPr>
      <t xml:space="preserve">양단분기부 </t>
    </r>
    <r>
      <rPr>
        <sz val="9"/>
        <color rgb="FF000000"/>
        <rFont val="Arial"/>
        <family val="2"/>
      </rPr>
      <t>2M</t>
    </r>
  </si>
  <si>
    <t>14-K-B259</t>
  </si>
  <si>
    <t>14-K-B260</t>
  </si>
  <si>
    <t>OJC-A1-LC/LC-MM(OM3)-6-PC/PC-DP</t>
  </si>
  <si>
    <t>14-K-B261</t>
  </si>
  <si>
    <t>14-K-B262</t>
  </si>
  <si>
    <r>
      <rPr>
        <sz val="9"/>
        <color rgb="FF000000"/>
        <rFont val="Arial"/>
        <family val="2"/>
      </rPr>
      <t xml:space="preserve">K9094339, </t>
    </r>
    <r>
      <rPr>
        <sz val="9"/>
        <color rgb="FF000000"/>
        <rFont val="DejaVu Sans"/>
        <family val="2"/>
      </rPr>
      <t xml:space="preserve">편단 분기부 </t>
    </r>
    <r>
      <rPr>
        <sz val="9"/>
        <color rgb="FF000000"/>
        <rFont val="Arial"/>
        <family val="2"/>
      </rPr>
      <t>2.0M</t>
    </r>
  </si>
  <si>
    <t>14-K-B263</t>
  </si>
  <si>
    <t>14-K-B264</t>
  </si>
  <si>
    <t>OJC-C2-SC/SC-SM-25-PC/PC-16C</t>
  </si>
  <si>
    <t>14-K-B265</t>
  </si>
  <si>
    <r>
      <rPr>
        <sz val="9"/>
        <color rgb="FF000000"/>
        <rFont val="Arial"/>
        <family val="2"/>
      </rPr>
      <t xml:space="preserve">K9094342, </t>
    </r>
    <r>
      <rPr>
        <sz val="9"/>
        <color rgb="FF000000"/>
        <rFont val="DejaVu Sans"/>
        <family val="2"/>
      </rPr>
      <t xml:space="preserve">편단 분기부 </t>
    </r>
    <r>
      <rPr>
        <sz val="9"/>
        <color rgb="FF000000"/>
        <rFont val="Arial"/>
        <family val="2"/>
      </rPr>
      <t>2.0M</t>
    </r>
  </si>
  <si>
    <t>14-K-B271</t>
  </si>
  <si>
    <t>OJC-C2-SC/SC-SM-26-PC/PC-20C</t>
  </si>
  <si>
    <t>14-K-B272</t>
  </si>
  <si>
    <t>14-K-B273</t>
  </si>
  <si>
    <t>14-K-B274</t>
  </si>
  <si>
    <t>14-K-B275</t>
  </si>
  <si>
    <t>OJC-C2-SC/SC-SM-30-PC/PC-16C</t>
  </si>
  <si>
    <t>14-K-B276</t>
  </si>
  <si>
    <t>OJC-A1-LC/LC-MM-6-PC/PC-DP</t>
  </si>
  <si>
    <t>14-K-B277</t>
  </si>
  <si>
    <t>14-K-B278</t>
  </si>
  <si>
    <t>OJC-A1-SC/SC-SM-30-PC/APC-SP</t>
  </si>
  <si>
    <t>14-K-B279</t>
  </si>
  <si>
    <t>OJC-A1-LC/LC-SM-5-PC/APC-DP</t>
  </si>
  <si>
    <t>14-K-B280</t>
  </si>
  <si>
    <t>OJC-C2-SC/SC-SM-13-PC/PC-16C</t>
  </si>
  <si>
    <r>
      <rPr>
        <sz val="9"/>
        <color rgb="FF000000"/>
        <rFont val="Arial"/>
        <family val="2"/>
      </rPr>
      <t>K9094339, </t>
    </r>
    <r>
      <rPr>
        <sz val="9"/>
        <color rgb="FF000000"/>
        <rFont val="DejaVu Sans"/>
        <family val="2"/>
      </rPr>
      <t>편단 분기부 </t>
    </r>
    <r>
      <rPr>
        <sz val="9"/>
        <color rgb="FF000000"/>
        <rFont val="Arial"/>
        <family val="2"/>
      </rPr>
      <t>2.0M</t>
    </r>
  </si>
  <si>
    <t>14-K-B281</t>
  </si>
  <si>
    <t>OJC-C2-SC/SC-SM-17-PC/PC-16C</t>
  </si>
  <si>
    <t>14-K-B282</t>
  </si>
  <si>
    <t>OJC-C2-SC/SC-SM-18-PC/PC-16C</t>
  </si>
  <si>
    <t>14-K-B283</t>
  </si>
  <si>
    <t>OJC-C2-SC/SC-SM-22-PC/PC-16C</t>
  </si>
  <si>
    <t>14-K-B284</t>
  </si>
  <si>
    <t>14-K-B285</t>
  </si>
  <si>
    <t>OJC-C2-SC/SC-SM-13-PC/PC-20C</t>
  </si>
  <si>
    <r>
      <rPr>
        <sz val="9"/>
        <color rgb="FF000000"/>
        <rFont val="Arial"/>
        <family val="2"/>
      </rPr>
      <t>K9094342, </t>
    </r>
    <r>
      <rPr>
        <sz val="9"/>
        <color rgb="FF000000"/>
        <rFont val="DejaVu Sans"/>
        <family val="2"/>
      </rPr>
      <t>편단 분기부 </t>
    </r>
    <r>
      <rPr>
        <sz val="9"/>
        <color rgb="FF000000"/>
        <rFont val="Arial"/>
        <family val="2"/>
      </rPr>
      <t>2.0M</t>
    </r>
  </si>
  <si>
    <t>14-K-B286</t>
  </si>
  <si>
    <t>OJC-C2-SC/SC-SM-15-PC/PC-20C</t>
  </si>
  <si>
    <t>14-K-B287</t>
  </si>
  <si>
    <t>OJC-C2-SC/SC-SM-18-PC/PC-20C</t>
  </si>
  <si>
    <t>14-K-B288</t>
  </si>
  <si>
    <t>OJC-C2-SC/SC-SM-22-PC/PC-20C</t>
  </si>
  <si>
    <t>14-K-B289</t>
  </si>
  <si>
    <t>OJC-A1-SC/LC-MM-1-PC/PC-DP</t>
  </si>
  <si>
    <t>LC/DP CLIP Type, 1M</t>
  </si>
  <si>
    <t>14-K-B291</t>
  </si>
  <si>
    <r>
      <rPr>
        <sz val="9"/>
        <color rgb="FF000000"/>
        <rFont val="Arial"/>
        <family val="2"/>
      </rPr>
      <t xml:space="preserve">K9094342, </t>
    </r>
    <r>
      <rPr>
        <sz val="9"/>
        <color rgb="FF000000"/>
        <rFont val="DejaVu Sans"/>
        <family val="2"/>
      </rPr>
      <t xml:space="preserve">분기부 </t>
    </r>
    <r>
      <rPr>
        <sz val="9"/>
        <color rgb="FF000000"/>
        <rFont val="Arial"/>
        <family val="2"/>
      </rPr>
      <t>2.0M / 2.5M</t>
    </r>
  </si>
  <si>
    <t>14-K-B292</t>
  </si>
  <si>
    <t>14-K-B293</t>
  </si>
  <si>
    <t>14-K-B294</t>
  </si>
  <si>
    <t>14-K-B295</t>
  </si>
  <si>
    <r>
      <rPr>
        <sz val="9"/>
        <color rgb="FF000000"/>
        <rFont val="Arial"/>
        <family val="2"/>
      </rPr>
      <t xml:space="preserve">K9094339, </t>
    </r>
    <r>
      <rPr>
        <sz val="9"/>
        <color rgb="FF000000"/>
        <rFont val="DejaVu Sans"/>
        <family val="2"/>
      </rPr>
      <t xml:space="preserve">분기부 </t>
    </r>
    <r>
      <rPr>
        <sz val="9"/>
        <color rgb="FF000000"/>
        <rFont val="Arial"/>
        <family val="2"/>
      </rPr>
      <t>2.0M / 2.5M</t>
    </r>
  </si>
  <si>
    <t>14-K-B296</t>
  </si>
  <si>
    <t>14-K-B297</t>
  </si>
  <si>
    <t>14-K-B298</t>
  </si>
  <si>
    <t>OJC-C2-SC/SC-SM-17-PC/PC-8C</t>
  </si>
  <si>
    <r>
      <rPr>
        <sz val="9"/>
        <color rgb="FF000000"/>
        <rFont val="Arial"/>
        <family val="2"/>
      </rPr>
      <t xml:space="preserve">K9089452, </t>
    </r>
    <r>
      <rPr>
        <sz val="9"/>
        <color rgb="FF000000"/>
        <rFont val="DejaVu Sans"/>
        <family val="2"/>
      </rPr>
      <t xml:space="preserve">편단 분기부 </t>
    </r>
    <r>
      <rPr>
        <sz val="9"/>
        <color rgb="FF000000"/>
        <rFont val="Arial"/>
        <family val="2"/>
      </rPr>
      <t>2.0M</t>
    </r>
  </si>
  <si>
    <t>14-K-B299</t>
  </si>
  <si>
    <t>OJC-C2-SC/SC-SM-18-PC/PC-8C</t>
  </si>
  <si>
    <t>14-K-B300</t>
  </si>
  <si>
    <t>OJC-C2-SC/SC-SM-22-PC/PC-8C</t>
  </si>
  <si>
    <t>14-K-B301</t>
  </si>
  <si>
    <t>OJC-C2-SC/SC-SM-25-PC/PC-8C</t>
  </si>
  <si>
    <t>14-K-B305</t>
  </si>
  <si>
    <t>14-K-B306</t>
  </si>
  <si>
    <t>OJC-C2-SC/SC-SM-20-PC/PC-12C</t>
  </si>
  <si>
    <r>
      <rPr>
        <sz val="9"/>
        <color rgb="FF000000"/>
        <rFont val="Arial"/>
        <family val="2"/>
      </rPr>
      <t>K9089453,</t>
    </r>
    <r>
      <rPr>
        <sz val="9"/>
        <color rgb="FF000000"/>
        <rFont val="DejaVu Sans"/>
        <family val="2"/>
      </rPr>
      <t xml:space="preserve">편단 분기부 </t>
    </r>
    <r>
      <rPr>
        <sz val="9"/>
        <color rgb="FF000000"/>
        <rFont val="Arial"/>
        <family val="2"/>
      </rPr>
      <t>2M</t>
    </r>
  </si>
  <si>
    <t>14-K-B307</t>
  </si>
  <si>
    <t>OJC-A1-LC/LC-SM-11-PC/PC-DP</t>
  </si>
  <si>
    <t>14-K-B308</t>
  </si>
  <si>
    <t>OJC-A1-LC/LC-MM-120-PC/PC-DP</t>
  </si>
  <si>
    <t>14-K-B309</t>
  </si>
  <si>
    <r>
      <rPr>
        <sz val="9"/>
        <color rgb="FF000000"/>
        <rFont val="Arial"/>
        <family val="2"/>
      </rPr>
      <t>K9089123_</t>
    </r>
    <r>
      <rPr>
        <sz val="9"/>
        <color rgb="FF000000"/>
        <rFont val="DejaVu Sans"/>
        <family val="2"/>
      </rPr>
      <t>청색</t>
    </r>
  </si>
  <si>
    <t>14-K-B310</t>
  </si>
  <si>
    <r>
      <rPr>
        <sz val="9"/>
        <color rgb="FF000000"/>
        <rFont val="Arial"/>
        <family val="2"/>
      </rPr>
      <t>K9089130_</t>
    </r>
    <r>
      <rPr>
        <sz val="9"/>
        <color rgb="FF000000"/>
        <rFont val="DejaVu Sans"/>
        <family val="2"/>
      </rPr>
      <t>청색</t>
    </r>
  </si>
  <si>
    <t>14-K-B311</t>
  </si>
  <si>
    <t>OJC-A1-LC/LC-SM-23-PC/PC-DP</t>
  </si>
  <si>
    <r>
      <rPr>
        <sz val="9"/>
        <color rgb="FF000000"/>
        <rFont val="Arial"/>
        <family val="2"/>
      </rPr>
      <t>23M_</t>
    </r>
    <r>
      <rPr>
        <sz val="9"/>
        <color rgb="FF000000"/>
        <rFont val="DejaVu Sans"/>
        <family val="2"/>
      </rPr>
      <t>적색</t>
    </r>
  </si>
  <si>
    <t>14-K-B312</t>
  </si>
  <si>
    <r>
      <rPr>
        <sz val="9"/>
        <color rgb="FF000000"/>
        <rFont val="Arial"/>
        <family val="2"/>
      </rPr>
      <t>20M_</t>
    </r>
    <r>
      <rPr>
        <sz val="9"/>
        <color rgb="FF000000"/>
        <rFont val="DejaVu Sans"/>
        <family val="2"/>
      </rPr>
      <t>자색</t>
    </r>
  </si>
  <si>
    <t>14-K-B313</t>
  </si>
  <si>
    <r>
      <rPr>
        <sz val="9"/>
        <color rgb="FF000000"/>
        <rFont val="Arial"/>
        <family val="2"/>
      </rPr>
      <t>25M_</t>
    </r>
    <r>
      <rPr>
        <sz val="9"/>
        <color rgb="FF000000"/>
        <rFont val="DejaVu Sans"/>
        <family val="2"/>
      </rPr>
      <t>자색</t>
    </r>
  </si>
  <si>
    <t>14-M-011</t>
  </si>
  <si>
    <t>MOJC-SM-12C-LC/PC-LC/PC</t>
  </si>
  <si>
    <t>14-M-012</t>
  </si>
  <si>
    <t>14-M-013</t>
  </si>
  <si>
    <t>14-M-018</t>
  </si>
  <si>
    <t>14-M-038</t>
  </si>
  <si>
    <t>MOJC-SM-12C-SC/PC-SC/APC</t>
  </si>
  <si>
    <t>14-M-043</t>
  </si>
  <si>
    <t>MOJC-SM-12C-SC/PC-SC/PC</t>
  </si>
  <si>
    <t>14-M-044</t>
  </si>
  <si>
    <t>14-M-045</t>
  </si>
  <si>
    <t>14-M-052</t>
  </si>
  <si>
    <t>14-M-053</t>
  </si>
  <si>
    <t>14-M-077</t>
  </si>
  <si>
    <t>MOJC-SM-6C-SC/PC-SC/PC</t>
  </si>
  <si>
    <t>14-M-079</t>
  </si>
  <si>
    <t>14-M-082</t>
  </si>
  <si>
    <t>14-M-084</t>
  </si>
  <si>
    <t>14-M-085</t>
  </si>
  <si>
    <t>14-M-096</t>
  </si>
  <si>
    <t>14-M-1030</t>
  </si>
  <si>
    <t>MOJC-SM-6C-SC/APC-SC/APC</t>
  </si>
  <si>
    <t>14-M-1035</t>
  </si>
  <si>
    <t>14-M-1113</t>
  </si>
  <si>
    <t>MOJC-SM-6C-SC/PC-SC/APC</t>
  </si>
  <si>
    <t>14-M-118</t>
  </si>
  <si>
    <t>14-M-119</t>
  </si>
  <si>
    <t>14-M-234</t>
  </si>
  <si>
    <t>14-M-675</t>
  </si>
  <si>
    <t>14-M-844</t>
  </si>
  <si>
    <t>MOJC-SM-6C-LC/APC-SC/APC</t>
  </si>
  <si>
    <t>14-M-845</t>
  </si>
  <si>
    <t>14-M-A014</t>
  </si>
  <si>
    <t>MOJC-SM-24C-LC/PC-LC/PC</t>
  </si>
  <si>
    <t>14-M-A031</t>
  </si>
  <si>
    <r>
      <rPr>
        <sz val="9"/>
        <color rgb="FF000000"/>
        <rFont val="Arial"/>
        <family val="2"/>
      </rPr>
      <t xml:space="preserve">10M, </t>
    </r>
    <r>
      <rPr>
        <sz val="9"/>
        <color rgb="FF000000"/>
        <rFont val="DejaVu Sans"/>
        <family val="2"/>
      </rPr>
      <t xml:space="preserve">분기부길이 </t>
    </r>
    <r>
      <rPr>
        <sz val="9"/>
        <color rgb="FF000000"/>
        <rFont val="Arial"/>
        <family val="2"/>
      </rPr>
      <t>1.5M</t>
    </r>
  </si>
  <si>
    <t>14-M-A065</t>
  </si>
  <si>
    <r>
      <rPr>
        <sz val="9"/>
        <color rgb="FF000000"/>
        <rFont val="Arial"/>
        <family val="2"/>
      </rPr>
      <t xml:space="preserve">12M, </t>
    </r>
    <r>
      <rPr>
        <sz val="9"/>
        <color rgb="FF000000"/>
        <rFont val="DejaVu Sans"/>
        <family val="2"/>
      </rPr>
      <t xml:space="preserve">분기부길이 </t>
    </r>
    <r>
      <rPr>
        <sz val="9"/>
        <color rgb="FF000000"/>
        <rFont val="Arial"/>
        <family val="2"/>
      </rPr>
      <t>1.5M</t>
    </r>
  </si>
  <si>
    <t>14-M-A066</t>
  </si>
  <si>
    <t>MOJC-SM-16C-SC/PC-SC/PC</t>
  </si>
  <si>
    <t>14-M-A070</t>
  </si>
  <si>
    <t>MOJC-SM-24C-SC/PC-SC/PC</t>
  </si>
  <si>
    <t>14-M-A071</t>
  </si>
  <si>
    <t>MOJC-SM-8C-LC/PC-LC/PC</t>
  </si>
  <si>
    <t>3.5M</t>
  </si>
  <si>
    <t>14-P-001</t>
  </si>
  <si>
    <t>PIGTAIL-FC/APC-SM-12C (0.9mm)</t>
  </si>
  <si>
    <r>
      <rPr>
        <sz val="9"/>
        <color rgb="FF000000"/>
        <rFont val="Arial"/>
        <family val="2"/>
      </rPr>
      <t>1.5M_12</t>
    </r>
    <r>
      <rPr>
        <sz val="9"/>
        <color rgb="FF000000"/>
        <rFont val="DejaVu Sans"/>
        <family val="2"/>
      </rPr>
      <t>색</t>
    </r>
  </si>
  <si>
    <t>14-P-002</t>
  </si>
  <si>
    <t>PIGTAIL-FC/PC-SM-12C (0.9mm)</t>
  </si>
  <si>
    <t>14-P-003</t>
  </si>
  <si>
    <t>PIGTAIL-LC/PC-MM-1C (0.9mm)</t>
  </si>
  <si>
    <t>14-P-004</t>
  </si>
  <si>
    <t>PIGTAIL-LC/PC-SM-12C (0.9mm)</t>
  </si>
  <si>
    <t>14-P-006</t>
  </si>
  <si>
    <t>PIGTAIL-LC/PC-SM-1C (0.9mm)</t>
  </si>
  <si>
    <t>14-P-010</t>
  </si>
  <si>
    <t>PIGTAIL-SC/APC-SM-12C (0.9mm)</t>
  </si>
  <si>
    <t>14-P-012</t>
  </si>
  <si>
    <t>PIGTAIL-SC/APC-SM-1C (0.9mm)</t>
  </si>
  <si>
    <t>14-P-014</t>
  </si>
  <si>
    <t>PIGTAIL-SC/APC-SM-6C (0.9mm)</t>
  </si>
  <si>
    <r>
      <rPr>
        <sz val="9"/>
        <color rgb="FF000000"/>
        <rFont val="Arial"/>
        <family val="2"/>
      </rPr>
      <t>1.5M_6</t>
    </r>
    <r>
      <rPr>
        <sz val="9"/>
        <color rgb="FF000000"/>
        <rFont val="DejaVu Sans"/>
        <family val="2"/>
      </rPr>
      <t>색</t>
    </r>
  </si>
  <si>
    <t>14-P-016</t>
  </si>
  <si>
    <t>PIGTAIL-SC/PC-MM-1C (0.9mm)</t>
  </si>
  <si>
    <t>14-P-017</t>
  </si>
  <si>
    <t>PIGTAIL-SC/PC-SM-12C (0.9mm)</t>
  </si>
  <si>
    <t>14-P-018</t>
  </si>
  <si>
    <t>PIGTAIL-SC/PC-SM-1C (0.9mm)</t>
  </si>
  <si>
    <t>14-P-020</t>
  </si>
  <si>
    <t>PIGTAIL-SC/PC-SM-1C (2.0mm)</t>
  </si>
  <si>
    <t>14-P-025</t>
  </si>
  <si>
    <r>
      <rPr>
        <sz val="9"/>
        <color rgb="FF000000"/>
        <rFont val="Arial"/>
        <family val="2"/>
      </rPr>
      <t>PIGTAIL-SC/APC-SM-12C (SK</t>
    </r>
    <r>
      <rPr>
        <sz val="9"/>
        <color rgb="FF000000"/>
        <rFont val="DejaVu Sans"/>
        <family val="2"/>
      </rPr>
      <t>성단용</t>
    </r>
    <r>
      <rPr>
        <sz val="9"/>
        <color rgb="FF000000"/>
        <rFont val="Arial"/>
        <family val="2"/>
      </rPr>
      <t>)</t>
    </r>
  </si>
  <si>
    <t>14-P-029</t>
  </si>
  <si>
    <r>
      <rPr>
        <sz val="9"/>
        <color rgb="FF000000"/>
        <rFont val="Arial"/>
        <family val="2"/>
      </rPr>
      <t>PIGTAIL-SC/PC-SM-12C (SK</t>
    </r>
    <r>
      <rPr>
        <sz val="9"/>
        <color rgb="FF000000"/>
        <rFont val="DejaVu Sans"/>
        <family val="2"/>
      </rPr>
      <t>성단용</t>
    </r>
    <r>
      <rPr>
        <sz val="9"/>
        <color rgb="FF000000"/>
        <rFont val="Arial"/>
        <family val="2"/>
      </rPr>
      <t>)</t>
    </r>
  </si>
  <si>
    <t>14-P-030</t>
  </si>
  <si>
    <r>
      <rPr>
        <sz val="9"/>
        <color rgb="FF000000"/>
        <rFont val="Arial"/>
        <family val="2"/>
      </rPr>
      <t>1.5M_(</t>
    </r>
    <r>
      <rPr>
        <sz val="9"/>
        <color rgb="FF000000"/>
        <rFont val="DejaVu Sans"/>
        <family val="2"/>
      </rPr>
      <t>노란색</t>
    </r>
    <r>
      <rPr>
        <sz val="9"/>
        <color rgb="FF000000"/>
        <rFont val="Arial"/>
        <family val="2"/>
      </rPr>
      <t>)</t>
    </r>
  </si>
  <si>
    <t>14-P-031</t>
  </si>
  <si>
    <t>14-P-032</t>
  </si>
  <si>
    <r>
      <rPr>
        <sz val="9"/>
        <color rgb="FF000000"/>
        <rFont val="Arial"/>
        <family val="2"/>
      </rPr>
      <t>PIGTAIL-SC/APC-SM-6C (SK</t>
    </r>
    <r>
      <rPr>
        <sz val="9"/>
        <color rgb="FF000000"/>
        <rFont val="DejaVu Sans"/>
        <family val="2"/>
      </rPr>
      <t>성단용</t>
    </r>
    <r>
      <rPr>
        <sz val="9"/>
        <color rgb="FF000000"/>
        <rFont val="Arial"/>
        <family val="2"/>
      </rPr>
      <t>)</t>
    </r>
  </si>
  <si>
    <t>1,5M</t>
  </si>
  <si>
    <t>14-P-033</t>
  </si>
  <si>
    <r>
      <rPr>
        <sz val="9"/>
        <color rgb="FF000000"/>
        <rFont val="Arial"/>
        <family val="2"/>
      </rPr>
      <t>PIGTAIL-LC/PC-MM-12C (SK</t>
    </r>
    <r>
      <rPr>
        <sz val="9"/>
        <color rgb="FF000000"/>
        <rFont val="DejaVu Sans"/>
        <family val="2"/>
      </rPr>
      <t>성단용</t>
    </r>
    <r>
      <rPr>
        <sz val="9"/>
        <color rgb="FF000000"/>
        <rFont val="Arial"/>
        <family val="2"/>
      </rPr>
      <t>)</t>
    </r>
  </si>
  <si>
    <t>14-P-034</t>
  </si>
  <si>
    <t>PIGTAIL-LC/PC-MM(OM3)-1C (0.9mm)</t>
  </si>
  <si>
    <t>14-P-036</t>
  </si>
  <si>
    <t>14-P-040</t>
  </si>
  <si>
    <t>PIGTAIL-SC/PC-SM-4C (0.9mm)</t>
  </si>
  <si>
    <t>14-P-044</t>
  </si>
  <si>
    <r>
      <rPr>
        <sz val="9"/>
        <color rgb="FF000000"/>
        <rFont val="Arial"/>
        <family val="2"/>
      </rPr>
      <t>PIGTAIL-SC/APC-MM-12C (SK</t>
    </r>
    <r>
      <rPr>
        <sz val="9"/>
        <color rgb="FF000000"/>
        <rFont val="DejaVu Sans"/>
        <family val="2"/>
      </rPr>
      <t>성단용</t>
    </r>
    <r>
      <rPr>
        <sz val="9"/>
        <color rgb="FF000000"/>
        <rFont val="Arial"/>
        <family val="2"/>
      </rPr>
      <t>)</t>
    </r>
  </si>
  <si>
    <t>14-P-045</t>
  </si>
  <si>
    <t>PIGTAIL-LC/APC-SM-12C (O.9mm)</t>
  </si>
  <si>
    <t>14-P-048</t>
  </si>
  <si>
    <t>PIGTAIL-SC/PC-SM-8C</t>
  </si>
  <si>
    <t>14-P-049</t>
  </si>
  <si>
    <r>
      <rPr>
        <sz val="9"/>
        <color rgb="FF000000"/>
        <rFont val="Arial"/>
        <family val="2"/>
      </rPr>
      <t>PIGTAIL-LC/PC-SM-12C (SK</t>
    </r>
    <r>
      <rPr>
        <sz val="9"/>
        <color rgb="FF000000"/>
        <rFont val="DejaVu Sans"/>
        <family val="2"/>
      </rPr>
      <t>성단용</t>
    </r>
    <r>
      <rPr>
        <sz val="9"/>
        <color rgb="FF000000"/>
        <rFont val="Arial"/>
        <family val="2"/>
      </rPr>
      <t>)</t>
    </r>
  </si>
  <si>
    <t>14-P-060</t>
  </si>
  <si>
    <t>PIGTAIL-SC/APC-SM-4C (0.9mm)</t>
  </si>
  <si>
    <r>
      <rPr>
        <sz val="9"/>
        <color rgb="FF000000"/>
        <rFont val="Arial"/>
        <family val="2"/>
      </rPr>
      <t>1.5M_</t>
    </r>
    <r>
      <rPr>
        <sz val="9"/>
        <color rgb="FF000000"/>
        <rFont val="DejaVu Sans"/>
        <family val="2"/>
      </rPr>
      <t>노란색</t>
    </r>
  </si>
  <si>
    <t>14-P-073</t>
  </si>
  <si>
    <t>PIGTAIL-SC/APC-SM-2C (0.9mm)</t>
  </si>
  <si>
    <t>14-P-076</t>
  </si>
  <si>
    <t>PIGTAIL-LC/APC-SM-1C (0.9mm)</t>
  </si>
  <si>
    <t>14-P-099</t>
  </si>
  <si>
    <t>14-P-102</t>
  </si>
  <si>
    <t>PIGTAIL-FC/PC-SM-1C (0.9mm)</t>
  </si>
  <si>
    <t>14-P-103</t>
  </si>
  <si>
    <r>
      <rPr>
        <sz val="9"/>
        <color rgb="FF000000"/>
        <rFont val="Arial"/>
        <family val="2"/>
      </rPr>
      <t>1.5M_</t>
    </r>
    <r>
      <rPr>
        <sz val="9"/>
        <color rgb="FF000000"/>
        <rFont val="DejaVu Sans"/>
        <family val="2"/>
      </rPr>
      <t>백색</t>
    </r>
  </si>
  <si>
    <t>14-P-106</t>
  </si>
  <si>
    <r>
      <rPr>
        <sz val="9"/>
        <color rgb="FF000000"/>
        <rFont val="Arial"/>
        <family val="2"/>
      </rPr>
      <t>3M_12</t>
    </r>
    <r>
      <rPr>
        <sz val="9"/>
        <color rgb="FF000000"/>
        <rFont val="DejaVu Sans"/>
        <family val="2"/>
      </rPr>
      <t>색</t>
    </r>
  </si>
  <si>
    <t>14-S-052</t>
  </si>
  <si>
    <t>SOJC-SM-LC/PC-FC/APC</t>
  </si>
  <si>
    <t>14-S-060</t>
  </si>
  <si>
    <t>14-S-069</t>
  </si>
  <si>
    <t>SOJC-SM-LC/PC-FC/PC</t>
  </si>
  <si>
    <t>14-S-071</t>
  </si>
  <si>
    <t>14-S-089</t>
  </si>
  <si>
    <t>SOJC-SM-LC/PC-LC/PC</t>
  </si>
  <si>
    <t>14-S-099</t>
  </si>
  <si>
    <t>14-S-100</t>
  </si>
  <si>
    <t>14-S-104</t>
  </si>
  <si>
    <t>14-S-118</t>
  </si>
  <si>
    <t>SOJC-SM-LC/PC-SC/APC</t>
  </si>
  <si>
    <t>14-S-120</t>
  </si>
  <si>
    <t>14-S-121</t>
  </si>
  <si>
    <t>14-S-129</t>
  </si>
  <si>
    <t>SOJC-SM-LC/PC-SC/PC</t>
  </si>
  <si>
    <t>14-S-133</t>
  </si>
  <si>
    <t>14-S-134</t>
  </si>
  <si>
    <t>14-S-135</t>
  </si>
  <si>
    <t>14-S-151</t>
  </si>
  <si>
    <t>14-S-176</t>
  </si>
  <si>
    <t>SOJC-SM-SC/APC-SC/APC</t>
  </si>
  <si>
    <t>14-S-179</t>
  </si>
  <si>
    <t>14-S-180</t>
  </si>
  <si>
    <t>14-S-181</t>
  </si>
  <si>
    <t>14-S-183</t>
  </si>
  <si>
    <t>14-S-185</t>
  </si>
  <si>
    <t>14-S-188</t>
  </si>
  <si>
    <t>14-S-214</t>
  </si>
  <si>
    <t>SOJC-SM-SC/PC-FC/APC</t>
  </si>
  <si>
    <t>14-S-224</t>
  </si>
  <si>
    <t>SOJC-SM-SC/PC-FC/PC</t>
  </si>
  <si>
    <t>14-S-232</t>
  </si>
  <si>
    <t>SOJC-SM-SC/PC-SC/APC</t>
  </si>
  <si>
    <t>14-S-233</t>
  </si>
  <si>
    <t>14-S-234</t>
  </si>
  <si>
    <t>14-S-239</t>
  </si>
  <si>
    <t>14-S-241</t>
  </si>
  <si>
    <t>14-S-245</t>
  </si>
  <si>
    <t>14-S-247</t>
  </si>
  <si>
    <t>14-S-249</t>
  </si>
  <si>
    <t>14-S-251</t>
  </si>
  <si>
    <t>14-S-253</t>
  </si>
  <si>
    <t>14-S-258</t>
  </si>
  <si>
    <t>SOJC-SM-SC/PC-SC/PC</t>
  </si>
  <si>
    <t>14-S-265</t>
  </si>
  <si>
    <t>14-S-266</t>
  </si>
  <si>
    <t>14-S-268</t>
  </si>
  <si>
    <t>14-S-271</t>
  </si>
  <si>
    <t>14-S-302</t>
  </si>
  <si>
    <t>SOJC-SM-LC/APC-SC/APC</t>
  </si>
  <si>
    <t>14-S-376</t>
  </si>
  <si>
    <t>14-S-378</t>
  </si>
  <si>
    <t>14-S-382</t>
  </si>
  <si>
    <t>14-S-500</t>
  </si>
  <si>
    <t>0.3M</t>
  </si>
  <si>
    <t>14-S-665</t>
  </si>
  <si>
    <t>14-S-777</t>
  </si>
  <si>
    <t>14-S-792</t>
  </si>
  <si>
    <t>16M_AQUA</t>
  </si>
  <si>
    <t>14-S-866</t>
  </si>
  <si>
    <t>청색케이블</t>
  </si>
  <si>
    <t>14-S-A346</t>
  </si>
  <si>
    <t>SOJC-SM-LC/APC-LC/APC</t>
  </si>
  <si>
    <t>16m</t>
  </si>
  <si>
    <t>14-S-A347</t>
  </si>
  <si>
    <t>14-S-A348</t>
  </si>
  <si>
    <t>SOJC-SM-ST/PC-SC/PC</t>
  </si>
  <si>
    <t>14-S-A352</t>
  </si>
  <si>
    <t>SOJC-MM-LC/PC-LC/PC</t>
  </si>
  <si>
    <t>14-S-A353</t>
  </si>
  <si>
    <t>SOJC-SM-SC/APC-FC/PC</t>
  </si>
  <si>
    <t>1.5m</t>
  </si>
  <si>
    <t>14-S-A354</t>
  </si>
  <si>
    <r>
      <rPr>
        <sz val="9"/>
        <color rgb="FF000000"/>
        <rFont val="Arial"/>
        <family val="2"/>
      </rPr>
      <t>2M_</t>
    </r>
    <r>
      <rPr>
        <sz val="9"/>
        <color rgb="FF000000"/>
        <rFont val="DejaVu Sans"/>
        <family val="2"/>
      </rPr>
      <t>적색</t>
    </r>
  </si>
  <si>
    <t>14-S-A355</t>
  </si>
  <si>
    <r>
      <rPr>
        <sz val="9"/>
        <color rgb="FF000000"/>
        <rFont val="Arial"/>
        <family val="2"/>
      </rPr>
      <t>0.2M_</t>
    </r>
    <r>
      <rPr>
        <sz val="9"/>
        <color rgb="FF000000"/>
        <rFont val="DejaVu Sans"/>
        <family val="2"/>
      </rPr>
      <t>청색</t>
    </r>
  </si>
  <si>
    <t>14-S-A356</t>
  </si>
  <si>
    <r>
      <rPr>
        <sz val="9"/>
        <color rgb="FF000000"/>
        <rFont val="Arial"/>
        <family val="2"/>
      </rPr>
      <t>0.5M_</t>
    </r>
    <r>
      <rPr>
        <sz val="9"/>
        <color rgb="FF000000"/>
        <rFont val="DejaVu Sans"/>
        <family val="2"/>
      </rPr>
      <t>청색케이블</t>
    </r>
  </si>
  <si>
    <t>14-S-A357</t>
  </si>
  <si>
    <r>
      <rPr>
        <sz val="9"/>
        <color rgb="FF000000"/>
        <rFont val="Arial"/>
        <family val="2"/>
      </rPr>
      <t>0.2M_</t>
    </r>
    <r>
      <rPr>
        <sz val="9"/>
        <color rgb="FF000000"/>
        <rFont val="DejaVu Sans"/>
        <family val="2"/>
      </rPr>
      <t>청색케이블</t>
    </r>
  </si>
  <si>
    <t>14-k-725</t>
  </si>
  <si>
    <r>
      <rPr>
        <sz val="9"/>
        <color rgb="FF000000"/>
        <rFont val="Arial"/>
        <family val="2"/>
      </rPr>
      <t>K9089127_</t>
    </r>
    <r>
      <rPr>
        <sz val="9"/>
        <color rgb="FF000000"/>
        <rFont val="DejaVu Sans"/>
        <family val="2"/>
      </rPr>
      <t>청색</t>
    </r>
  </si>
  <si>
    <t>A14-D-FP/FA-B-N-001</t>
  </si>
  <si>
    <t>DOJC-SM-FC/PC-FC/APC</t>
  </si>
  <si>
    <t>908040627, 10M, B3, 2.0mm</t>
  </si>
  <si>
    <t>A14-D-FP/FA-B-N-002</t>
  </si>
  <si>
    <t>908040632, 15M, B3, 2.0mm</t>
  </si>
  <si>
    <t>A14-D-FP/FP-B-N-004</t>
  </si>
  <si>
    <t>908040607, 20M, B3, 2.0mm</t>
  </si>
  <si>
    <t>A14-D-FP/FP-B-N-005</t>
  </si>
  <si>
    <t>908040612, 25M, B3, 2.0mm</t>
  </si>
  <si>
    <t>A14-D-FP/FP-B-N-007</t>
  </si>
  <si>
    <t>908040617, 30M, B3, 2.0mm</t>
  </si>
  <si>
    <t>A14-D-FP/FP-B-N-008</t>
  </si>
  <si>
    <t>908040588, 3M, B3, 3.0mm</t>
  </si>
  <si>
    <t>A14-D-LP/FA-B-N-015</t>
  </si>
  <si>
    <t>908040531, 9M, B3, 2.0mm</t>
  </si>
  <si>
    <t>A14-D-LP/FP-B-N-009</t>
  </si>
  <si>
    <t>908040713, 3M, B3, 3.0mm</t>
  </si>
  <si>
    <t>A14-D-LP/FP-B-N-012</t>
  </si>
  <si>
    <t>908040719, 7M, B3, 2.0mm</t>
  </si>
  <si>
    <t>A14-D-LP/LP-1-N-012</t>
  </si>
  <si>
    <t>920000783, 1M</t>
  </si>
  <si>
    <t>A14-D-LP/LP-1-N-027</t>
  </si>
  <si>
    <t>A14-D-LP/SA-B-N-010</t>
  </si>
  <si>
    <t>908040910, 4M, B3, 3.0mm</t>
  </si>
  <si>
    <t>A14-D-LP/SA-B-N-014</t>
  </si>
  <si>
    <t>908040914, 8M, B3, 2.0mm</t>
  </si>
  <si>
    <t>A14-D-LP/SP-1-N-013</t>
  </si>
  <si>
    <t>908040792, 30M</t>
  </si>
  <si>
    <t>A14-D-LP/SP-1-N-014</t>
  </si>
  <si>
    <t>920000723, 35M</t>
  </si>
  <si>
    <t>A14-D-LP/SP-B-N-004</t>
  </si>
  <si>
    <t>908040860, 1M, B3, 3.0mm</t>
  </si>
  <si>
    <t>A14-D-LP/SP-B-N-006</t>
  </si>
  <si>
    <t>908040880, 22M, B3, 2.0mm</t>
  </si>
  <si>
    <t>A14-D-LP/SP-B-N-019</t>
  </si>
  <si>
    <t>45M, B3, 2.0mm</t>
  </si>
  <si>
    <t>A14-D-SA/FA-B-N-001</t>
  </si>
  <si>
    <t>DOJC-SM-SC/APC-FC/APC</t>
  </si>
  <si>
    <t>908040502, 10M, B3, 2.0mm</t>
  </si>
  <si>
    <t>A14-D-SA/FA-B-N-002</t>
  </si>
  <si>
    <t>908040507, 15M, B3, 2.0mm</t>
  </si>
  <si>
    <t>A14-D-SA/FA-B-N-004</t>
  </si>
  <si>
    <t>908040512, 20M, B3, 2.0mm</t>
  </si>
  <si>
    <t>A14-D-SA/FA-B-N-005</t>
  </si>
  <si>
    <t>908040517, 25M, B3, 2.0mm</t>
  </si>
  <si>
    <t>A14-D-SA/FA-B-N-008</t>
  </si>
  <si>
    <t>908040493, 3M, B3, 3.0mm</t>
  </si>
  <si>
    <t>A14-D-SA/SA-B-N-005</t>
  </si>
  <si>
    <t>908040582, 25M, B3, 2.0mm</t>
  </si>
  <si>
    <t>A14-D-SA/SA-B-N-006</t>
  </si>
  <si>
    <t>908040560, 2M, B3, 3.0mm</t>
  </si>
  <si>
    <t>A14-D-SP/FP-B-N-007</t>
  </si>
  <si>
    <t>908040432, 30M, B3, 2.0mm</t>
  </si>
  <si>
    <t>A14-D-SP/SA-B-N-005</t>
  </si>
  <si>
    <t>908040552, 25M, B3, 2.0mm</t>
  </si>
  <si>
    <t>A14-D-SP/SA-B-N-008</t>
  </si>
  <si>
    <t>908040557, 30M, B3, 2.0mm</t>
  </si>
  <si>
    <t>A14-D-SP/SA-B-N-015</t>
  </si>
  <si>
    <t>908040536, 9M, B3, 2.0mm</t>
  </si>
  <si>
    <t>A14-D-SP/SP-B-N-002</t>
  </si>
  <si>
    <t>908040232, 12M, B3, 2.0mm</t>
  </si>
  <si>
    <t>A14-D-SP/SP-B-N-015</t>
  </si>
  <si>
    <t>908040227, 7M, B3, 2.0mm</t>
  </si>
  <si>
    <t>A14-D1-N001</t>
  </si>
  <si>
    <t>920000784, 2M</t>
  </si>
  <si>
    <t>A14-D1-N002</t>
  </si>
  <si>
    <t>920000812, 30M</t>
  </si>
  <si>
    <t>A14-D1-N003</t>
  </si>
  <si>
    <t>920000788, 6M</t>
  </si>
  <si>
    <t>A14-D1-N004</t>
  </si>
  <si>
    <t>920000789, 7M</t>
  </si>
  <si>
    <t>A14-D1-N005</t>
  </si>
  <si>
    <t>908040772, 10M</t>
  </si>
  <si>
    <t>A14-D1-N006</t>
  </si>
  <si>
    <t>908040777, 15M</t>
  </si>
  <si>
    <t>A14-D1-N007</t>
  </si>
  <si>
    <t>908040782, 20M</t>
  </si>
  <si>
    <t>A14-D1-N008</t>
  </si>
  <si>
    <t>908040787, 25M</t>
  </si>
  <si>
    <t>A14-D1-N009</t>
  </si>
  <si>
    <t>908040765, 2M</t>
  </si>
  <si>
    <t>A14-D1-N010</t>
  </si>
  <si>
    <t>908040763, 3M</t>
  </si>
  <si>
    <t>A14-D1-N012</t>
  </si>
  <si>
    <t>920000790, 8M</t>
  </si>
  <si>
    <t>A14-D1-N035</t>
  </si>
  <si>
    <t>920000792, 10M</t>
  </si>
  <si>
    <t>A14-D1-N035R</t>
  </si>
  <si>
    <t>A14-D1-N040</t>
  </si>
  <si>
    <t>920000797, 15M</t>
  </si>
  <si>
    <t>A14-D1-N044</t>
  </si>
  <si>
    <t>920000802, 20M</t>
  </si>
  <si>
    <t>A14-D1-N048</t>
  </si>
  <si>
    <t>920000807, 25M</t>
  </si>
  <si>
    <t>A14-D1-N052</t>
  </si>
  <si>
    <t>920000785, 3M</t>
  </si>
  <si>
    <t>A14-D1-N057</t>
  </si>
  <si>
    <t>920000787, 5M</t>
  </si>
  <si>
    <t>A14-D3-N008</t>
  </si>
  <si>
    <t>A14-D3-N010</t>
  </si>
  <si>
    <t>A14-D3-N011</t>
  </si>
  <si>
    <t>A14-D3-N016</t>
  </si>
  <si>
    <t>A14-D3-N025</t>
  </si>
  <si>
    <t>A14-D3-N036</t>
  </si>
  <si>
    <t>11M</t>
  </si>
  <si>
    <t>A14-DB-N105</t>
  </si>
  <si>
    <t>DOJC-SM-FC/APC-FC/APC</t>
  </si>
  <si>
    <t>908040657, 10M, B3, 2.0mm</t>
  </si>
  <si>
    <t>A14-DB-N107</t>
  </si>
  <si>
    <t>908040662, 15M, B3, 2.0mm</t>
  </si>
  <si>
    <t>A14-DB-N110</t>
  </si>
  <si>
    <t>908040667, 20M, B3, 2.0mm</t>
  </si>
  <si>
    <t>A14-DB-N113</t>
  </si>
  <si>
    <t>908040672, 25M, B3, 2.0mm</t>
  </si>
  <si>
    <t>A14-DB-N115</t>
  </si>
  <si>
    <t>908040677, 30M, B3, 2.0mm</t>
  </si>
  <si>
    <t>A14-DB-N121</t>
  </si>
  <si>
    <t>908040652, 5M, B3, 3.0mm</t>
  </si>
  <si>
    <t>A14-DB-N140</t>
  </si>
  <si>
    <t>908040597, 10M, B3, 2.0mm</t>
  </si>
  <si>
    <t>A14-DB-N143</t>
  </si>
  <si>
    <t>908040602, 15M, B3, 2.0mm</t>
  </si>
  <si>
    <t>A14-DB-N157</t>
  </si>
  <si>
    <t>908040532, 10M, B3, 2.0mm</t>
  </si>
  <si>
    <t>A14-DB-N158</t>
  </si>
  <si>
    <t>12M, B3, 2.0mm</t>
  </si>
  <si>
    <t>A14-DB-N161</t>
  </si>
  <si>
    <t>908040891, 15M, B3, 2.0mm</t>
  </si>
  <si>
    <t>A14-DB-N166</t>
  </si>
  <si>
    <t>908040896, 20M, B3, 2.0mm</t>
  </si>
  <si>
    <t>A14-DB-N170</t>
  </si>
  <si>
    <t>908040901, 25M, B3, 2.0mm</t>
  </si>
  <si>
    <t>A14-DB-N173</t>
  </si>
  <si>
    <t>908040906, 30M, B3, 2.0mm</t>
  </si>
  <si>
    <t>A14-DB-N174</t>
  </si>
  <si>
    <t>35M, B3, 2.0mm</t>
  </si>
  <si>
    <t>A14-DB-N175</t>
  </si>
  <si>
    <t>908040523, 3M, B3, 3.0mm</t>
  </si>
  <si>
    <t>A14-DB-N176</t>
  </si>
  <si>
    <t>40M, B3, 2.0mm</t>
  </si>
  <si>
    <t>A14-DB-N177</t>
  </si>
  <si>
    <t>A14-DB-N179</t>
  </si>
  <si>
    <t>50M, B3, 2.0mm</t>
  </si>
  <si>
    <t>A14-DB-N181</t>
  </si>
  <si>
    <t>908040527, 5M, B3, 3.0mm</t>
  </si>
  <si>
    <t>A14-DB-N182</t>
  </si>
  <si>
    <t>60M, B3, 2.0mm</t>
  </si>
  <si>
    <t>A14-DB-N185</t>
  </si>
  <si>
    <t>70M, B3, 2.0mm</t>
  </si>
  <si>
    <t>A14-DB-N187</t>
  </si>
  <si>
    <t>908040529, 7M, B3, 2.0mm</t>
  </si>
  <si>
    <t>A14-DB-N189</t>
  </si>
  <si>
    <t>908040530, 8M, B3, 2.0mm</t>
  </si>
  <si>
    <t>A14-DB-N192</t>
  </si>
  <si>
    <t>908040722, 10M, B3, 2.0mm</t>
  </si>
  <si>
    <t>A14-DB-N194</t>
  </si>
  <si>
    <t>A14-DB-N195</t>
  </si>
  <si>
    <t>13M, B3, 2.0mm</t>
  </si>
  <si>
    <t>A14-DB-N196</t>
  </si>
  <si>
    <t>908040727, 15M, B3, 2.0mm</t>
  </si>
  <si>
    <t>A14-DB-N199</t>
  </si>
  <si>
    <t>908040732, 20M, B3, 2.0mm</t>
  </si>
  <si>
    <t>A14-DB-N202</t>
  </si>
  <si>
    <t>908040853, 25M, B3, 2.0mm</t>
  </si>
  <si>
    <t>A14-DB-N205</t>
  </si>
  <si>
    <t>908040858, 30M, B3, 2.0mm</t>
  </si>
  <si>
    <t>A14-DB-N206</t>
  </si>
  <si>
    <t>A14-DB-N208</t>
  </si>
  <si>
    <t>A14-DB-N212</t>
  </si>
  <si>
    <t>908040717, 5M, B3, 3.0mm</t>
  </si>
  <si>
    <t>A14-DB-N223</t>
  </si>
  <si>
    <t>908041006, 10M, B3, 2.0mm</t>
  </si>
  <si>
    <t>A14-DB-N225</t>
  </si>
  <si>
    <t>908040694, 12M, B3, 2.0mm</t>
  </si>
  <si>
    <t>A14-DB-N226</t>
  </si>
  <si>
    <t>908040695, 13M, B3, 2.0mm</t>
  </si>
  <si>
    <t>A14-DB-N228</t>
  </si>
  <si>
    <t>908040697, 15M, B3, 2.0mm</t>
  </si>
  <si>
    <t>A14-DB-N231</t>
  </si>
  <si>
    <t>18M, B3, 2.0mm</t>
  </si>
  <si>
    <t>A14-DB-N233</t>
  </si>
  <si>
    <t>908040998, 1M, B3, 3.0mm</t>
  </si>
  <si>
    <t>A14-DB-N234</t>
  </si>
  <si>
    <t>908040702, 20M, B3, 2.0mm</t>
  </si>
  <si>
    <t>A14-DB-N237</t>
  </si>
  <si>
    <t>908040707, 25M, B3, 2.0mm</t>
  </si>
  <si>
    <t>A14-DB-N240</t>
  </si>
  <si>
    <t>908040999, 2M, B3, 3.0mm</t>
  </si>
  <si>
    <t>A14-DB-N241</t>
  </si>
  <si>
    <t>908040712, 30M, B3, 2.0mm</t>
  </si>
  <si>
    <t>A14-DB-N243</t>
  </si>
  <si>
    <t>920000726, 35M, B3, 2.0mm</t>
  </si>
  <si>
    <t>A14-DB-N244</t>
  </si>
  <si>
    <t>908040997, 3M, B3, 3.0mm</t>
  </si>
  <si>
    <t>A14-DB-N246</t>
  </si>
  <si>
    <t>920000727, 40M, B3, 2.0mm</t>
  </si>
  <si>
    <t>A14-DB-N247</t>
  </si>
  <si>
    <t>A14-DB-N248</t>
  </si>
  <si>
    <t>908041000, 4M, B3, 3.0mm</t>
  </si>
  <si>
    <t>A14-DB-N249</t>
  </si>
  <si>
    <t>A14-DB-N252</t>
  </si>
  <si>
    <t>55M, B3, 2.0mm</t>
  </si>
  <si>
    <t>A14-DB-N253</t>
  </si>
  <si>
    <t>908041001, 5M, B3, 3.0mm</t>
  </si>
  <si>
    <t>A14-DB-N254</t>
  </si>
  <si>
    <t>A14-DB-N256</t>
  </si>
  <si>
    <t>908041002, 6M, B3, 2.0mm</t>
  </si>
  <si>
    <t>A14-DB-N258</t>
  </si>
  <si>
    <t>908041003, 7M, B3, 2.0mm</t>
  </si>
  <si>
    <t>A14-DB-N260</t>
  </si>
  <si>
    <t>908041004, 8M, B3, 2.0mm</t>
  </si>
  <si>
    <t>A14-DB-N263</t>
  </si>
  <si>
    <t>908040916, 10M, B3, 2.0mm</t>
  </si>
  <si>
    <t>A14-DB-N266</t>
  </si>
  <si>
    <t>908040921, 15M, B3, 2.0mm</t>
  </si>
  <si>
    <t>A14-DB-N267</t>
  </si>
  <si>
    <t>908040908, 1M, B3, 3.0mm</t>
  </si>
  <si>
    <t>A14-DB-N268</t>
  </si>
  <si>
    <t>908040926, 20M, B3, 2.0mm</t>
  </si>
  <si>
    <t>A14-DB-N270</t>
  </si>
  <si>
    <t>908040931, 25M, B3, 2.0mm</t>
  </si>
  <si>
    <t>A14-DB-N271</t>
  </si>
  <si>
    <t>908040909, 2M, B3, 3.0mm</t>
  </si>
  <si>
    <t>A14-DB-N272</t>
  </si>
  <si>
    <t>908040936, 30M, B3, 2.0mm</t>
  </si>
  <si>
    <t>A14-DB-N273</t>
  </si>
  <si>
    <t>A14-DB-N274</t>
  </si>
  <si>
    <t>908040907, 3M, B3, 3.0mm</t>
  </si>
  <si>
    <t>A14-DB-N277</t>
  </si>
  <si>
    <t>908040911, 5M, B3, 3.0mm</t>
  </si>
  <si>
    <t>A14-DB-N279</t>
  </si>
  <si>
    <t>908040913, 7M, B3, 2.0mm</t>
  </si>
  <si>
    <t>A14-DB-N284</t>
  </si>
  <si>
    <t>908040868, 10M, B3, 2.0mm</t>
  </si>
  <si>
    <t>A14-DB-N286</t>
  </si>
  <si>
    <t>908040870, 12M, B3, 2.0mm</t>
  </si>
  <si>
    <t>A14-DB-N287</t>
  </si>
  <si>
    <t>A14-DB-N289</t>
  </si>
  <si>
    <t>908040873, 15M, B3, 2.0mm</t>
  </si>
  <si>
    <t>A14-DB-N291</t>
  </si>
  <si>
    <t>17M, B3, 2.0mm</t>
  </si>
  <si>
    <t>A14-DB-N292</t>
  </si>
  <si>
    <t>A14-DB-N295</t>
  </si>
  <si>
    <t>908040878, 20M, B3, 2.0mm</t>
  </si>
  <si>
    <t>A14-DB-N300</t>
  </si>
  <si>
    <t>908040883, 25M, B3, 2.0mm</t>
  </si>
  <si>
    <t>A14-DB-N303</t>
  </si>
  <si>
    <t>908040861, 2M, B3, 3.0mm</t>
  </si>
  <si>
    <t>A14-DB-N304</t>
  </si>
  <si>
    <t>908040888, 30M, B3, 2.0mm</t>
  </si>
  <si>
    <t>A14-DB-N307</t>
  </si>
  <si>
    <t>908040859, 3M, B3, 3.0mm</t>
  </si>
  <si>
    <t>A14-DB-N308</t>
  </si>
  <si>
    <t>920000729, 40M, B3, 2.0mm</t>
  </si>
  <si>
    <t>A14-DB-N310</t>
  </si>
  <si>
    <t>908040862, 4M, B3, 3.0mm</t>
  </si>
  <si>
    <t>A14-DB-N313</t>
  </si>
  <si>
    <t>908040863, 5M, B3, 3.0mm</t>
  </si>
  <si>
    <t>A14-DB-N314</t>
  </si>
  <si>
    <t>A14-DB-N316</t>
  </si>
  <si>
    <t>908040864, 6M, B3, 2.0mm</t>
  </si>
  <si>
    <t>A14-DB-N318</t>
  </si>
  <si>
    <t>908040865, 7M, B3, 2.0mm</t>
  </si>
  <si>
    <t>A14-DB-N320</t>
  </si>
  <si>
    <t>908040866, 8M, B3, 2.0mm</t>
  </si>
  <si>
    <t>A14-DB-N379</t>
  </si>
  <si>
    <t>908040567, 10M, B3, 2.0mm</t>
  </si>
  <si>
    <t>A14-DB-N380</t>
  </si>
  <si>
    <t>A14-DB-N381</t>
  </si>
  <si>
    <t>908040572, 15M, B3, 2.0mm</t>
  </si>
  <si>
    <t>A14-DB-N383</t>
  </si>
  <si>
    <t>908040577, 20M, B3, 2.0mm</t>
  </si>
  <si>
    <t>A14-DB-N386</t>
  </si>
  <si>
    <t>908040587, 30M, B3, 2.0mm</t>
  </si>
  <si>
    <t>A14-DB-N388</t>
  </si>
  <si>
    <t>908040558, 3M, B3, 3.0mm</t>
  </si>
  <si>
    <t>A14-DB-N389</t>
  </si>
  <si>
    <t>A14-DB-N391</t>
  </si>
  <si>
    <t>A14-DB-N392</t>
  </si>
  <si>
    <t>908040562, 5M, B3, 3.0mm</t>
  </si>
  <si>
    <t>A14-DB-N396</t>
  </si>
  <si>
    <t>908040442, 10M, B3, 2.0mm</t>
  </si>
  <si>
    <t>A14-DB-N398</t>
  </si>
  <si>
    <t>A14-DB-N400</t>
  </si>
  <si>
    <t>908040447, 15M, B3, 2.0mm</t>
  </si>
  <si>
    <t>A14-DB-N403</t>
  </si>
  <si>
    <t>A14-DB-N404</t>
  </si>
  <si>
    <t>908040452, 20M, B3, 2.0mm</t>
  </si>
  <si>
    <t>A14-DB-N407</t>
  </si>
  <si>
    <t>908040457, 25M, B3, 2.0mm</t>
  </si>
  <si>
    <t>A14-DB-N409</t>
  </si>
  <si>
    <t>908040462, 30M, B3, 2.0mm</t>
  </si>
  <si>
    <t>A14-DB-N411</t>
  </si>
  <si>
    <t>A14-DB-N412</t>
  </si>
  <si>
    <t>908040433, 3M, B3, 3.0mm</t>
  </si>
  <si>
    <t>A14-DB-N413</t>
  </si>
  <si>
    <t>A14-DB-N416</t>
  </si>
  <si>
    <t>A14-DB-N418</t>
  </si>
  <si>
    <t>908040437, 5M, B3, 3.0mm</t>
  </si>
  <si>
    <t>A14-DB-N422</t>
  </si>
  <si>
    <t>A14-DB-N424</t>
  </si>
  <si>
    <t>908040440, 8M, B3, 2.0mm</t>
  </si>
  <si>
    <t>A14-DB-N426</t>
  </si>
  <si>
    <t>908040687, 10M, B3, 2.0mm</t>
  </si>
  <si>
    <t>A14-DB-N428</t>
  </si>
  <si>
    <t>A14-DB-N429</t>
  </si>
  <si>
    <t>908040692, 15M, B3, 2.0mm</t>
  </si>
  <si>
    <t>A14-DB-N430</t>
  </si>
  <si>
    <t>908040422, 20M, B3, 2.0mm</t>
  </si>
  <si>
    <t>A14-DB-N432</t>
  </si>
  <si>
    <t>908040427, 25M, B3, 2.0mm</t>
  </si>
  <si>
    <t>A14-DB-N444</t>
  </si>
  <si>
    <t>908040537, 10M, B3, 2.0mm</t>
  </si>
  <si>
    <t>A14-DB-N445</t>
  </si>
  <si>
    <t>A14-DB-N447</t>
  </si>
  <si>
    <t>908040542, 15M, B3, 2.0mm</t>
  </si>
  <si>
    <t>A14-DB-N448</t>
  </si>
  <si>
    <t>908040252, 1M, B3, 3.0mm</t>
  </si>
  <si>
    <t>A14-DB-N449</t>
  </si>
  <si>
    <t>908040547, 20M, B3, 2.0mm</t>
  </si>
  <si>
    <t>A14-DB-N451</t>
  </si>
  <si>
    <t>908040253, 2M, B3, 3.0mm</t>
  </si>
  <si>
    <t>A14-DB-N455</t>
  </si>
  <si>
    <t>908040251, 3M, B3, 3.0mm</t>
  </si>
  <si>
    <t>A14-DB-N458</t>
  </si>
  <si>
    <t>908040254, 4M, B3, 3.0mm</t>
  </si>
  <si>
    <t>A14-DB-N459</t>
  </si>
  <si>
    <t>908040255, 5M, B3, 3.0mm</t>
  </si>
  <si>
    <t>A14-DB-N461</t>
  </si>
  <si>
    <t>908040257, 7M, B3, 2.0mm</t>
  </si>
  <si>
    <t>A14-DB-N464</t>
  </si>
  <si>
    <t>908040230, 10M, B3, 2.0mm</t>
  </si>
  <si>
    <t>A14-DB-N466</t>
  </si>
  <si>
    <t>908040235, 15M, B3, 2.0mm</t>
  </si>
  <si>
    <t>A14-DB-N467</t>
  </si>
  <si>
    <t>908040222, 1M, B3, 3.0mm</t>
  </si>
  <si>
    <t>A14-DB-N468</t>
  </si>
  <si>
    <t>908040240, 20M, B3, 2.0mm</t>
  </si>
  <si>
    <t>A14-DB-N470</t>
  </si>
  <si>
    <t>908040245, 25M, B3, 2.0mm</t>
  </si>
  <si>
    <t>A14-DB-N471</t>
  </si>
  <si>
    <t>908040223, 2M, B3, 3.0mm</t>
  </si>
  <si>
    <t>A14-DB-N472</t>
  </si>
  <si>
    <t>908040250, 30M, B3, 2.0mm</t>
  </si>
  <si>
    <t>A14-DB-N474</t>
  </si>
  <si>
    <t>908040221, 3M, B3, 3.0mm</t>
  </si>
  <si>
    <t>A14-DB-N476</t>
  </si>
  <si>
    <t>920000731, 40M, B3, 2.0mm</t>
  </si>
  <si>
    <t>A14-DB-N478</t>
  </si>
  <si>
    <t>908040224, 4M, B3, 3.0mm</t>
  </si>
  <si>
    <t>A14-DB-N481</t>
  </si>
  <si>
    <t>908040225, 5M, B3, 3.0mm</t>
  </si>
  <si>
    <t>A14-DB-N483</t>
  </si>
  <si>
    <t>908040226, 6M, B3, 2.0mm</t>
  </si>
  <si>
    <t>A14-DB-N487</t>
  </si>
  <si>
    <t>908040228, 8M, B3, 2.0mm</t>
  </si>
  <si>
    <t>A14-DB-N540</t>
  </si>
  <si>
    <t>930003860, 15M, B3, 2.0mm</t>
  </si>
  <si>
    <t>A14-DB-N541</t>
  </si>
  <si>
    <t>930003861, 20M, B3, 2.0mm</t>
  </si>
  <si>
    <t>A14-DB-N542</t>
  </si>
  <si>
    <t>25M, B3, 2.0mm</t>
  </si>
  <si>
    <t>A14-DB-N585</t>
  </si>
  <si>
    <t>23M, B3, 2.0mm</t>
  </si>
  <si>
    <t>A14-DB-N609</t>
  </si>
  <si>
    <t>DOJC-SM-LC/PC-LC/APC</t>
  </si>
  <si>
    <t>10M, B3, 2.0mm</t>
  </si>
  <si>
    <t>A14-DB-N610</t>
  </si>
  <si>
    <t>15M, B3, 2.0mm</t>
  </si>
  <si>
    <t>A14-DB-N611</t>
  </si>
  <si>
    <t>20M, B3, 2.0mm</t>
  </si>
  <si>
    <t>A14-DB-N675</t>
  </si>
  <si>
    <t>A14-DB-N726</t>
  </si>
  <si>
    <t>0.5M, B3, 2.0mm</t>
  </si>
  <si>
    <t>A14-DB-N744</t>
  </si>
  <si>
    <t>80M, B3, 2.0mm</t>
  </si>
  <si>
    <t>A14-DB-N891</t>
  </si>
  <si>
    <t>930003857, 3M, B3, 3.0mm</t>
  </si>
  <si>
    <t>A14-DB-N901</t>
  </si>
  <si>
    <t>3M, B3, 3.0mm</t>
  </si>
  <si>
    <t>A14-DB-N904</t>
  </si>
  <si>
    <t>A14-DB-NA124</t>
  </si>
  <si>
    <t>DOJC-SM-LC/APC-FC/APC</t>
  </si>
  <si>
    <t>A14-DB-NA142</t>
  </si>
  <si>
    <t>7M, B3, 2.0mm</t>
  </si>
  <si>
    <t>A14-DB-NA55</t>
  </si>
  <si>
    <t>DOJC-SM-LC/APC-FC/PC</t>
  </si>
  <si>
    <t>A14-DB-NA56</t>
  </si>
  <si>
    <t>A14-DB-NA68</t>
  </si>
  <si>
    <t>930003859, 10M, B3, 2.0mm</t>
  </si>
  <si>
    <t>A14-DB-NAN8</t>
  </si>
  <si>
    <t>A14-DB-NC14</t>
  </si>
  <si>
    <t>930003855, 1M, B3, 3.0mm</t>
  </si>
  <si>
    <t>A14-DB-NC34</t>
  </si>
  <si>
    <t>DOJC-SM-LC/APC-SC/APC</t>
  </si>
  <si>
    <t>A14-DB-NC60</t>
  </si>
  <si>
    <t>A14-DB-NC79</t>
  </si>
  <si>
    <t>930003856, 2M, B3, 3.0mm</t>
  </si>
  <si>
    <t>A14-DB-ND33</t>
  </si>
  <si>
    <t>A14-DB-ND34</t>
  </si>
  <si>
    <t>DOJC-SM-LC/APC-SC/PC</t>
  </si>
  <si>
    <t>A14-DB-ND42</t>
  </si>
  <si>
    <t>A14-DB-ND43</t>
  </si>
  <si>
    <t>1.5M, B3, 3.0mm</t>
  </si>
  <si>
    <t>A14-DB-ND51</t>
  </si>
  <si>
    <t>A14-DB-ND84</t>
  </si>
  <si>
    <t>5M, B3, 3.0mm</t>
  </si>
  <si>
    <t>A14-DB-ND96</t>
  </si>
  <si>
    <t>A14-DB-ND98</t>
  </si>
  <si>
    <t>A14-DB-NF28</t>
  </si>
  <si>
    <t>10M, B3, 2.0m</t>
  </si>
  <si>
    <t>A14-M-SA/LA-B-N-010</t>
  </si>
  <si>
    <t>MOJC-SM-6C-SC/APC-LC/APC</t>
  </si>
  <si>
    <t>920000455, 3M, B3</t>
  </si>
  <si>
    <t>A14-M-SA/LA-B-N-011</t>
  </si>
  <si>
    <t>920000456, 4M, B3</t>
  </si>
  <si>
    <t>A14-M-SA/SA-B-N-020</t>
  </si>
  <si>
    <t>920000126, 4M, B3</t>
  </si>
  <si>
    <t>A14-M-SA/SA-B-N-022</t>
  </si>
  <si>
    <t>920000128, 6M, B3</t>
  </si>
  <si>
    <t>A14-M-SA/SA-B-N-026</t>
  </si>
  <si>
    <t>920000132, 10M, B3</t>
  </si>
  <si>
    <t>A14-M-SA/SA-B-N-027</t>
  </si>
  <si>
    <t>920000137, 15M, B3</t>
  </si>
  <si>
    <t>A14-M-SP/SA-B-N-011</t>
  </si>
  <si>
    <t>908040837, 15M, B3</t>
  </si>
  <si>
    <t>A14-M-SP/SP-B-N-003</t>
  </si>
  <si>
    <t>908040793, 3M, B3</t>
  </si>
  <si>
    <t>A14-M-SP/SP-B-N-004</t>
  </si>
  <si>
    <t>908040796, 4M, B3</t>
  </si>
  <si>
    <t>A14-M-SP/SP-B-N-005</t>
  </si>
  <si>
    <t>908040797, 5M, B3</t>
  </si>
  <si>
    <t>A14-M-SP/SP-B-N-006</t>
  </si>
  <si>
    <t>908040798, 6M, B3</t>
  </si>
  <si>
    <t>A14-M-SP/SP-B-N-007</t>
  </si>
  <si>
    <t>908040799, 7M, B3</t>
  </si>
  <si>
    <t>A14-M-SP/SP-B-N-008</t>
  </si>
  <si>
    <t>908040800, 8M, B3</t>
  </si>
  <si>
    <t>A14-M-SP/SP-B-N-011</t>
  </si>
  <si>
    <t>908040804, 12M, B3</t>
  </si>
  <si>
    <t>A14-M-SP/SP-B-N-012</t>
  </si>
  <si>
    <t>908040807, 15M, B3</t>
  </si>
  <si>
    <t>A14-M-SP/SP-B-N-013</t>
  </si>
  <si>
    <t>908040812, 20M, B3</t>
  </si>
  <si>
    <t>A14-M-SP/SP-B-N-016</t>
  </si>
  <si>
    <t>920001114, 3M, B3</t>
  </si>
  <si>
    <t>A14-M-SP/SP-B-N-022</t>
  </si>
  <si>
    <t>920000156, 4M, B3</t>
  </si>
  <si>
    <t>A14-M-SP/SP-B-N-025</t>
  </si>
  <si>
    <t>920000160, 8M, B3</t>
  </si>
  <si>
    <t>A14-M-SP/SP-B-N-026</t>
  </si>
  <si>
    <t>920000162, 10M, B3</t>
  </si>
  <si>
    <t>A14-M-SP/SP-B-N-027</t>
  </si>
  <si>
    <t>920000167, 15M, B3</t>
  </si>
  <si>
    <t>A14-M-SP/SP-B-N-028</t>
  </si>
  <si>
    <t>920000172, 20M, B3</t>
  </si>
  <si>
    <t>A14-M-SP/SP-B-N-029</t>
  </si>
  <si>
    <t>920000177, 25M, B3</t>
  </si>
  <si>
    <t>A14-M-SP/SP-B-N-031</t>
  </si>
  <si>
    <t>920000158, 6M, B3</t>
  </si>
  <si>
    <t>A14-MB-N043</t>
  </si>
  <si>
    <t>908040802, 10M, B3</t>
  </si>
  <si>
    <t>A14-MB-N078</t>
  </si>
  <si>
    <t>12M, B3</t>
  </si>
  <si>
    <t>A14-S-FA/FA-B-N-009</t>
  </si>
  <si>
    <t>SOJC-SM-FC/APC-FC/APC</t>
  </si>
  <si>
    <t>908041335, 3M, B3, 3.0mm</t>
  </si>
  <si>
    <t>A14-S-FA/FA-B-N-014</t>
  </si>
  <si>
    <t>908041343, 8M, B3, 2.0mm</t>
  </si>
  <si>
    <t>A14-S-FP/FP-B-N-001</t>
  </si>
  <si>
    <t>SOJC-SM-FC/PC-FC/PC</t>
  </si>
  <si>
    <t>908041489, 10M, B3, 2.0mm</t>
  </si>
  <si>
    <t>A14-S-FP/FP-B-N-002</t>
  </si>
  <si>
    <t>908041494, 15M, B3, 2.0mm</t>
  </si>
  <si>
    <t>A14-S-LP/FA-B-N-006</t>
  </si>
  <si>
    <t>930001517, 30M, B3, 2.0mm</t>
  </si>
  <si>
    <t>A14-S-LP/FA-B-N-009</t>
  </si>
  <si>
    <t>930001519, 40M, B3, 2.0mm</t>
  </si>
  <si>
    <t>A14-S-LP/FA-B-N-011</t>
  </si>
  <si>
    <t>930001501, 6M, B3, 2.0mm</t>
  </si>
  <si>
    <t>A14-S-LP/FA-B-N-013</t>
  </si>
  <si>
    <t>930001503, 8M, B3, 2.0mm</t>
  </si>
  <si>
    <t>A14-S-LP/FA-B-N-014</t>
  </si>
  <si>
    <t>930001504, 9M, B3, 2.0mm</t>
  </si>
  <si>
    <t>A14-S-LP/FP-B-N-007</t>
  </si>
  <si>
    <t>908040160, 30M, B3, 2.0mm</t>
  </si>
  <si>
    <t>A14-S-LP/FP-B-N-008</t>
  </si>
  <si>
    <t>908040290, 3M, B3, 3.0mm</t>
  </si>
  <si>
    <t>A14-S-LP/FP-B-N-010</t>
  </si>
  <si>
    <t>908040294, 5M, B3, 3.0mm</t>
  </si>
  <si>
    <t>A14-S-LP/FP-B-N-012</t>
  </si>
  <si>
    <t>908040296, 7M, B3, 2.0mm</t>
  </si>
  <si>
    <t>A14-S-LP/LP-B-N-005</t>
  </si>
  <si>
    <t>908040282, 23M, B3, 2.0mm</t>
  </si>
  <si>
    <t>A14-S-LP/SP-1-N-005</t>
  </si>
  <si>
    <t>SOJC-MM-LC/PC-SC/PC</t>
  </si>
  <si>
    <t>908040191, 3M</t>
  </si>
  <si>
    <t>A14-S-SA/FA-B-N-002</t>
  </si>
  <si>
    <t>SOJC-SM-SC/APC-FC/APC</t>
  </si>
  <si>
    <t>908040381, 12M, B3, 2.0mm</t>
  </si>
  <si>
    <t>A14-S-SA/FA-B-N-003</t>
  </si>
  <si>
    <t>908040384, 15M, B3, 2.0mm</t>
  </si>
  <si>
    <t>A14-S-SA/FA-B-N-010</t>
  </si>
  <si>
    <t>908040370, 3M, B3, 3.0mm</t>
  </si>
  <si>
    <t>A14-S-SA/FA-B-N-015</t>
  </si>
  <si>
    <t>908040377, 8M, B3, 2.0mm</t>
  </si>
  <si>
    <t>A14-S-SA/SA-B-N-007</t>
  </si>
  <si>
    <t>908041479, 30M, B3, 2.0mm</t>
  </si>
  <si>
    <t>A14-S-SA/SA-B-N-009</t>
  </si>
  <si>
    <t>908041453, 4M, B3, 3.0mm</t>
  </si>
  <si>
    <t>A14-S-SA/SA-B-N-011</t>
  </si>
  <si>
    <t>908041455, 6M, B3, 2.0mm</t>
  </si>
  <si>
    <t>A14-S-SA/SA-B-N-013</t>
  </si>
  <si>
    <t>908041457, 8M, B3, 2.0mm</t>
  </si>
  <si>
    <t>A14-S-SP/FA-B-N-008</t>
  </si>
  <si>
    <t>908040339, 30M, B3, 2.0mm</t>
  </si>
  <si>
    <t>A14-S-SP/FP-B-N-007</t>
  </si>
  <si>
    <t>908040309, 30M, B3, 2.0mm</t>
  </si>
  <si>
    <t>A14-S-SP/SA-B-N-006</t>
  </si>
  <si>
    <t>908041444, 25M, B3, 2.0mm</t>
  </si>
  <si>
    <t>A14-S-SP/SA-B-N-008</t>
  </si>
  <si>
    <t>908041449, 30M, B3, 2.0mm</t>
  </si>
  <si>
    <t>A14-S-SP/SA-B-N-010</t>
  </si>
  <si>
    <t>908041423, 4M, B3, 3.0mm</t>
  </si>
  <si>
    <t>A14-S-SP/SP-1-N-002</t>
  </si>
  <si>
    <t>SOJC-MM-SC/PC-SC/PC</t>
  </si>
  <si>
    <t>908040112, 1M</t>
  </si>
  <si>
    <t>A14-S-SP/SP-B-N-007</t>
  </si>
  <si>
    <t>908041419, 30M, B3, 2.0mm</t>
  </si>
  <si>
    <t>A14-S1-N017</t>
  </si>
  <si>
    <t>908040113, 2M</t>
  </si>
  <si>
    <t>A14-SA-NF10</t>
  </si>
  <si>
    <t>A14-SB-N018</t>
  </si>
  <si>
    <t>908040111, 3M</t>
  </si>
  <si>
    <t>A14-SB-N022</t>
  </si>
  <si>
    <t>908041355, 15M, B3, 2.0mm</t>
  </si>
  <si>
    <t>A14-SB-N031</t>
  </si>
  <si>
    <t>908041340, 5M, B3, 3.0mm</t>
  </si>
  <si>
    <t>A14-SB-N046</t>
  </si>
  <si>
    <t>A14-SB-N048</t>
  </si>
  <si>
    <t>930001505, 10M, B3, 2.0mm</t>
  </si>
  <si>
    <t>A14-SB-N049</t>
  </si>
  <si>
    <t>A14-SB-N050</t>
  </si>
  <si>
    <t>A14-SB-N052</t>
  </si>
  <si>
    <t>930001510, 15M, B3, 2.0mm</t>
  </si>
  <si>
    <t>A14-SB-N056</t>
  </si>
  <si>
    <t>930001515, 20M, B3, 2.0mm</t>
  </si>
  <si>
    <t>A14-SB-N057</t>
  </si>
  <si>
    <t>930001516, 25M, B3, 2.0mm</t>
  </si>
  <si>
    <t>A14-SB-N064</t>
  </si>
  <si>
    <t>930001500, 5M, B3, 3.0mm</t>
  </si>
  <si>
    <t>A14-SB-N066</t>
  </si>
  <si>
    <t>930001502, 7M, B3, 2.0mm</t>
  </si>
  <si>
    <t>A14-SB-N068</t>
  </si>
  <si>
    <t>908040140, 10M, B3, 2.0mm</t>
  </si>
  <si>
    <t>A14-SB-N069</t>
  </si>
  <si>
    <t>908040145, 15M, B3, 2.0mm</t>
  </si>
  <si>
    <t>A14-SB-N071</t>
  </si>
  <si>
    <t>908040150, 20M, B3, 2.0mm</t>
  </si>
  <si>
    <t>A14-SB-N072</t>
  </si>
  <si>
    <t>908040155, 25M, B3, 2.0mm</t>
  </si>
  <si>
    <t>A14-SB-N086</t>
  </si>
  <si>
    <t>908040269, 10M, B3, 2.0mm</t>
  </si>
  <si>
    <t>A14-SB-N087</t>
  </si>
  <si>
    <t>A14-SB-N089</t>
  </si>
  <si>
    <t>908040274, 15M, B3, 2.0mm</t>
  </si>
  <si>
    <t>A14-SB-N090</t>
  </si>
  <si>
    <t>16M, B3, 2.0mm</t>
  </si>
  <si>
    <t>A14-SB-N091</t>
  </si>
  <si>
    <t>A14-SB-N092</t>
  </si>
  <si>
    <t>A14-SB-N093</t>
  </si>
  <si>
    <t>908040261, 1M, B3, 3.0mm</t>
  </si>
  <si>
    <t>A14-SB-N094</t>
  </si>
  <si>
    <t>908040279, 20M, B3, 2.0mm</t>
  </si>
  <si>
    <t>A14-SB-N095</t>
  </si>
  <si>
    <t>21M, B3, 2.0mm</t>
  </si>
  <si>
    <t>A14-SB-N096</t>
  </si>
  <si>
    <t>908040284, 25M, B3, 2.0mm</t>
  </si>
  <si>
    <t>A14-SB-N097</t>
  </si>
  <si>
    <t>908040262, 2M, B3, 3.0mm</t>
  </si>
  <si>
    <t>A14-SB-N098</t>
  </si>
  <si>
    <t>908040289, 30M, B3, 2.0mm</t>
  </si>
  <si>
    <t>A14-SB-N099</t>
  </si>
  <si>
    <t>908040260, 3M, B3, 3.0mm</t>
  </si>
  <si>
    <t>A14-SB-N104</t>
  </si>
  <si>
    <t>908040264, 5M, B3, 3.0mm</t>
  </si>
  <si>
    <t>A14-SB-N105</t>
  </si>
  <si>
    <t>908040265, 6M, B3, 2.0mm</t>
  </si>
  <si>
    <t>A14-SB-N106</t>
  </si>
  <si>
    <t>908040266, 7M, B3, 2.0mm</t>
  </si>
  <si>
    <t>A14-SB-N107</t>
  </si>
  <si>
    <t>908040267, 8M, B3, 2.0mm</t>
  </si>
  <si>
    <t>A14-SB-N111</t>
  </si>
  <si>
    <t>920000744, 10M, B3, 2.0mm</t>
  </si>
  <si>
    <t>A14-SB-N114</t>
  </si>
  <si>
    <t>920000749, 15M, B3, 2.0mm</t>
  </si>
  <si>
    <t>A14-SB-N116</t>
  </si>
  <si>
    <t>920000735, 1M, B3, 3.0mm</t>
  </si>
  <si>
    <t>A14-SB-N117</t>
  </si>
  <si>
    <t>920000754, 20M, B3, 2.0mm</t>
  </si>
  <si>
    <t>A14-SB-N118</t>
  </si>
  <si>
    <t>920000759, 25M, B3, 2.0mm</t>
  </si>
  <si>
    <t>A14-SB-N119</t>
  </si>
  <si>
    <t>920000736, 2M, B3, 3.0mm</t>
  </si>
  <si>
    <t>A14-SB-N120</t>
  </si>
  <si>
    <t>920000764, 30M, B3, 2.0mm</t>
  </si>
  <si>
    <t>A14-SB-N121</t>
  </si>
  <si>
    <t>920000737, 3M, B3, 3.0mm</t>
  </si>
  <si>
    <t>A14-SB-N123</t>
  </si>
  <si>
    <t>920000739, 5M, B3, 3.0mm</t>
  </si>
  <si>
    <t>A14-SB-N130</t>
  </si>
  <si>
    <t>908040170, 10M, B3, 2.0mm</t>
  </si>
  <si>
    <t>A14-SB-N132</t>
  </si>
  <si>
    <t>A14-SB-N134</t>
  </si>
  <si>
    <t>A14-SB-N136</t>
  </si>
  <si>
    <t>A14-SB-N138</t>
  </si>
  <si>
    <t>908040162, 1M, B3, 3.0mm</t>
  </si>
  <si>
    <t>A14-SB-N139</t>
  </si>
  <si>
    <t>908040180, 20M, B3, 2.0mm</t>
  </si>
  <si>
    <t>A14-SB-N141</t>
  </si>
  <si>
    <t>908040185, 25M, B3, 2.0mm</t>
  </si>
  <si>
    <t>A14-SB-N143</t>
  </si>
  <si>
    <t>908040163, 2M, B3, 3.0mm</t>
  </si>
  <si>
    <t>A14-SB-N144</t>
  </si>
  <si>
    <t>908040190, 30M, B3, 2.0mm</t>
  </si>
  <si>
    <t>A14-SB-N146</t>
  </si>
  <si>
    <t>908040161, 3M, B3, 3.0mm</t>
  </si>
  <si>
    <t>A14-SB-N148</t>
  </si>
  <si>
    <t>908040165, 5M, B3, 3.0mm</t>
  </si>
  <si>
    <t>A14-SB-N149</t>
  </si>
  <si>
    <t>908040166, 6M, B3, 2.0mm</t>
  </si>
  <si>
    <t>A14-SB-N151</t>
  </si>
  <si>
    <t>908040167, 7M, B3, 2.0mm</t>
  </si>
  <si>
    <t>A14-SB-N152</t>
  </si>
  <si>
    <t>908040168, 8M, B3, 2.0mm</t>
  </si>
  <si>
    <t>A14-SB-N153</t>
  </si>
  <si>
    <t>908040169, 9M, B3, 2.0mm</t>
  </si>
  <si>
    <t>A14-SB-N175</t>
  </si>
  <si>
    <t>A14-SB-N176</t>
  </si>
  <si>
    <t>908041459, 10M, B3, 2.0mm</t>
  </si>
  <si>
    <t>A14-SB-N177</t>
  </si>
  <si>
    <t>A14-SB-N179</t>
  </si>
  <si>
    <t>908041464, 15M, B3, 2.0mm</t>
  </si>
  <si>
    <t>A14-SB-N180</t>
  </si>
  <si>
    <t>908041451, 1M, B3, 3.0mm</t>
  </si>
  <si>
    <t>A14-SB-N181</t>
  </si>
  <si>
    <t>908041469, 20M, B3, 2.0mm</t>
  </si>
  <si>
    <t>A14-SB-N183</t>
  </si>
  <si>
    <t>908041452, 2M, B3, 3.0mm</t>
  </si>
  <si>
    <t>A14-SB-N185</t>
  </si>
  <si>
    <t>908041450, 3M, B3, 3.0mm</t>
  </si>
  <si>
    <t>A14-SB-N189</t>
  </si>
  <si>
    <t>908041454, 5M, B3, 3.0mm</t>
  </si>
  <si>
    <t>A14-SB-N193</t>
  </si>
  <si>
    <t>908040319, 10M, B3, 2.0mm</t>
  </si>
  <si>
    <t>A14-SB-N198</t>
  </si>
  <si>
    <t>908040324, 15M, B3, 2.0mm</t>
  </si>
  <si>
    <t>A14-SB-N200</t>
  </si>
  <si>
    <t>908040329, 20M, B3, 2.0mm</t>
  </si>
  <si>
    <t>A14-SB-N203</t>
  </si>
  <si>
    <t>908040334, 25M, B3, 2.0mm</t>
  </si>
  <si>
    <t>A14-SB-N207</t>
  </si>
  <si>
    <t>908040310, 3M, B3, 3.0mm</t>
  </si>
  <si>
    <t>A14-SB-N210</t>
  </si>
  <si>
    <t>908040314, 5M, B3, 3.0mm</t>
  </si>
  <si>
    <t>A14-SB-N213</t>
  </si>
  <si>
    <t>908040316, 7M, B3, 2.0mm</t>
  </si>
  <si>
    <t>A14-SB-N215</t>
  </si>
  <si>
    <t>908041380, 10M, B3, 2.0mm</t>
  </si>
  <si>
    <t>A14-SB-N217</t>
  </si>
  <si>
    <t>A14-SB-N218</t>
  </si>
  <si>
    <t>908041385, 15M, B3, 2.0mm</t>
  </si>
  <si>
    <t>A14-SB-N220</t>
  </si>
  <si>
    <t>908040299, 20M, B3, 2.0mm</t>
  </si>
  <si>
    <t>A14-SB-N221</t>
  </si>
  <si>
    <t>908040304, 25M, B3, 2.0mm</t>
  </si>
  <si>
    <t>A14-SB-N232</t>
  </si>
  <si>
    <t>B3, 0.5M, 3.0mm</t>
  </si>
  <si>
    <t>A14-SB-N233</t>
  </si>
  <si>
    <t>B3, 1.5M, 3.0mm</t>
  </si>
  <si>
    <t>A14-SB-N234</t>
  </si>
  <si>
    <t>908041429, 10M, B3, 2.0mm</t>
  </si>
  <si>
    <t>A14-SB-N237</t>
  </si>
  <si>
    <t>908041434, 15M, B3, 2.0mm</t>
  </si>
  <si>
    <t>A14-SB-N239</t>
  </si>
  <si>
    <t>908041421, 1M, B3, 3.0mm</t>
  </si>
  <si>
    <t>A14-SB-N241</t>
  </si>
  <si>
    <t>908041439, 20M, B3, 2.0mm</t>
  </si>
  <si>
    <t>A14-SB-N245</t>
  </si>
  <si>
    <t>908041422, 2M, B3, 3.0mm</t>
  </si>
  <si>
    <t>A14-SB-N249</t>
  </si>
  <si>
    <t>908041420, 3M, B3, 3.0mm</t>
  </si>
  <si>
    <t>A14-SB-N251</t>
  </si>
  <si>
    <t>908041424, 5M, B3, 3.0mm</t>
  </si>
  <si>
    <t>A14-SB-N253</t>
  </si>
  <si>
    <t>908041427, 8M, B3, 2.0mm</t>
  </si>
  <si>
    <t>A14-SB-N258</t>
  </si>
  <si>
    <t>908041399, 10M, B3, 2.0mm</t>
  </si>
  <si>
    <t>A14-SB-N259</t>
  </si>
  <si>
    <t>A14-SB-N260</t>
  </si>
  <si>
    <t>908041404, 15M, B3, 2.0mm</t>
  </si>
  <si>
    <t>A14-SB-N261</t>
  </si>
  <si>
    <t>908041391, 1M, B3, 3.0mm</t>
  </si>
  <si>
    <t>A14-SB-N263</t>
  </si>
  <si>
    <t>908041409, 20M, B3, 2.0mm</t>
  </si>
  <si>
    <t>A14-SB-N264</t>
  </si>
  <si>
    <t>908041414, 25M, B3, 2.0mm</t>
  </si>
  <si>
    <t>A14-SB-N265</t>
  </si>
  <si>
    <t>908041392, 2M, B3, 3.0mm</t>
  </si>
  <si>
    <t>A14-SB-N268</t>
  </si>
  <si>
    <t>908041390, 3M, B3, 3.0mm</t>
  </si>
  <si>
    <t>A14-SB-N271</t>
  </si>
  <si>
    <t>908041393, 4M, B3, 3.0mm</t>
  </si>
  <si>
    <t>A14-SB-N272</t>
  </si>
  <si>
    <t>908041394, 5M, B3, 3.0mm</t>
  </si>
  <si>
    <t>A14-SB-N273</t>
  </si>
  <si>
    <t>908041396, 7M, B3, 2.0mm</t>
  </si>
  <si>
    <t>A14-SB-N274</t>
  </si>
  <si>
    <t>908041397, 8M, B3, 2.0mm</t>
  </si>
  <si>
    <t>A14-SB-N275</t>
  </si>
  <si>
    <t>908041398, 9M, B3, 2.0mm</t>
  </si>
  <si>
    <t>A14-SB-N285</t>
  </si>
  <si>
    <t>908041395, 6M, B3, 2.0mm</t>
  </si>
  <si>
    <t>A14-SB-N302</t>
  </si>
  <si>
    <t>2M, B3, 3.0mm</t>
  </si>
  <si>
    <t>A14-SB-N343</t>
  </si>
  <si>
    <t>A14-SB-N354</t>
  </si>
  <si>
    <t>A14-SB-N359</t>
  </si>
  <si>
    <t>A14-SB-N360</t>
  </si>
  <si>
    <t>A14-SB-N361</t>
  </si>
  <si>
    <t>SOJC-SM-LC/APC-FC/APC</t>
  </si>
  <si>
    <t>A14-SB-N378</t>
  </si>
  <si>
    <t>A14-SB-N415</t>
  </si>
  <si>
    <t>19M, B3, 2.0mm</t>
  </si>
  <si>
    <t>A14-SB-N450</t>
  </si>
  <si>
    <t>B3, 3M, 3mm</t>
  </si>
  <si>
    <t>A14-SB-N486</t>
  </si>
  <si>
    <t>11M, B3, 2.0mm</t>
  </si>
  <si>
    <t>A14-SB-N487</t>
  </si>
  <si>
    <t>14M, B3, 2.0mm</t>
  </si>
  <si>
    <t>A14-SB-N488</t>
  </si>
  <si>
    <t>22M, B3, 2.0mm</t>
  </si>
  <si>
    <t>A14-SB-N645</t>
  </si>
  <si>
    <t>A14-SB-N647</t>
  </si>
  <si>
    <t>A14-SB-N658</t>
  </si>
  <si>
    <t>A14-SB-N659</t>
  </si>
  <si>
    <t>24M, B3, 2.0mm</t>
  </si>
  <si>
    <t>A14-SB-N761</t>
  </si>
  <si>
    <t>A14-SB-N814</t>
  </si>
  <si>
    <t>A14-SB-N834</t>
  </si>
  <si>
    <t>A14-SB-N835</t>
  </si>
  <si>
    <t>SOJC-SM-LC/APC-FC/PC</t>
  </si>
  <si>
    <t>A14-SB-N836</t>
  </si>
  <si>
    <t>A14-SB-N843</t>
  </si>
  <si>
    <t>A14-SB-N873</t>
  </si>
  <si>
    <t>A14-SB-ND49</t>
  </si>
  <si>
    <t>A14-SB-ND50</t>
  </si>
  <si>
    <t>A14-SB-ND51</t>
  </si>
  <si>
    <t>SOJC-SM-LC/APC-SC/PC</t>
  </si>
  <si>
    <t>6M, B3, 2.0mm</t>
  </si>
  <si>
    <t>A14-SL-N001</t>
  </si>
  <si>
    <r>
      <rPr>
        <sz val="9"/>
        <color rgb="FF000000"/>
        <rFont val="Arial"/>
        <family val="2"/>
      </rPr>
      <t xml:space="preserve">10M, </t>
    </r>
    <r>
      <rPr>
        <sz val="9"/>
        <color rgb="FF000000"/>
        <rFont val="DejaVu Sans"/>
        <family val="2"/>
      </rPr>
      <t>저마찰케이블</t>
    </r>
  </si>
  <si>
    <t>A14-SL-N002</t>
  </si>
  <si>
    <t>A14-SL-N003</t>
  </si>
  <si>
    <t>합  계</t>
  </si>
  <si>
    <r>
      <rPr>
        <b/>
        <sz val="12"/>
        <color rgb="FFFFFFFF"/>
        <rFont val="Arial"/>
        <family val="2"/>
      </rPr>
      <t>2024</t>
    </r>
    <r>
      <rPr>
        <b/>
        <sz val="12"/>
        <color rgb="FFFFFFFF"/>
        <rFont val="DejaVu Sans"/>
        <family val="2"/>
      </rPr>
      <t xml:space="preserve">년 </t>
    </r>
    <r>
      <rPr>
        <b/>
        <sz val="12"/>
        <color rgb="FFFFFFFF"/>
        <rFont val="Arial"/>
        <family val="2"/>
      </rPr>
      <t xml:space="preserve">OJC </t>
    </r>
    <r>
      <rPr>
        <b/>
        <sz val="12"/>
        <color rgb="FFFFFFFF"/>
        <rFont val="DejaVu Sans"/>
        <family val="2"/>
      </rPr>
      <t xml:space="preserve">완제품 판매량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DejaVu Sans"/>
        <family val="2"/>
      </rPr>
      <t xml:space="preserve">월별 </t>
    </r>
    <r>
      <rPr>
        <b/>
        <sz val="12"/>
        <color rgb="FFFFFFFF"/>
        <rFont val="Arial"/>
        <family val="2"/>
      </rPr>
      <t xml:space="preserve">| </t>
    </r>
    <r>
      <rPr>
        <b/>
        <sz val="12"/>
        <color rgb="FFFFFFFF"/>
        <rFont val="DejaVu Sans"/>
        <family val="2"/>
      </rPr>
      <t>규격명 포함</t>
    </r>
    <r>
      <rPr>
        <b/>
        <sz val="12"/>
        <color rgb="FFFFFFFF"/>
        <rFont val="Arial"/>
        <family val="2"/>
      </rPr>
      <t>)</t>
    </r>
  </si>
  <si>
    <t>14-C-010</t>
  </si>
  <si>
    <t>14-C-018</t>
  </si>
  <si>
    <t>14-C-029</t>
  </si>
  <si>
    <t>14-C-079</t>
  </si>
  <si>
    <t>14-C-087R</t>
  </si>
  <si>
    <t>14-C-091</t>
  </si>
  <si>
    <t>14-C-121</t>
  </si>
  <si>
    <t>14-C-126</t>
  </si>
  <si>
    <t>14-C-127</t>
  </si>
  <si>
    <t>14-C-128</t>
  </si>
  <si>
    <t>14-C-135</t>
  </si>
  <si>
    <t>14-C-138</t>
  </si>
  <si>
    <t>14-C-361</t>
  </si>
  <si>
    <t>14-C-403</t>
  </si>
  <si>
    <t>14-C-427</t>
  </si>
  <si>
    <t>14-C-462</t>
  </si>
  <si>
    <t>657A2 , LSZH , LC DUPLEX KIT(CLIP)</t>
  </si>
  <si>
    <t>14-C-488</t>
  </si>
  <si>
    <r>
      <rPr>
        <sz val="9"/>
        <color rgb="FF000000"/>
        <rFont val="Arial"/>
        <family val="2"/>
      </rPr>
      <t xml:space="preserve">7M / </t>
    </r>
    <r>
      <rPr>
        <sz val="9"/>
        <color rgb="FF000000"/>
        <rFont val="DejaVu Sans"/>
        <family val="2"/>
      </rPr>
      <t>분기부</t>
    </r>
    <r>
      <rPr>
        <sz val="9"/>
        <color rgb="FF000000"/>
        <rFont val="Arial"/>
        <family val="2"/>
      </rPr>
      <t>:30cm</t>
    </r>
  </si>
  <si>
    <t>14-C-494</t>
  </si>
  <si>
    <t>14-C-506</t>
  </si>
  <si>
    <t>Optical Cable Parts,SC/PC-LC/PC-Single mode-5m-2Core</t>
  </si>
  <si>
    <t>14-C-535</t>
  </si>
  <si>
    <t>657A2 , LSZH , LC DUPLEX KIT(CLIP), 300MM/ 300MM</t>
  </si>
  <si>
    <t>14-C-560</t>
  </si>
  <si>
    <t>14-C-562</t>
  </si>
  <si>
    <t>14-C-565</t>
  </si>
  <si>
    <t>14-C-567</t>
  </si>
  <si>
    <r>
      <rPr>
        <sz val="9"/>
        <color rgb="FF000000"/>
        <rFont val="Arial"/>
        <family val="2"/>
      </rPr>
      <t xml:space="preserve">1M, CLIP Type, </t>
    </r>
    <r>
      <rPr>
        <sz val="9"/>
        <color rgb="FF000000"/>
        <rFont val="DejaVu Sans"/>
        <family val="2"/>
      </rPr>
      <t xml:space="preserve">청색 </t>
    </r>
    <r>
      <rPr>
        <sz val="9"/>
        <color rgb="FF000000"/>
        <rFont val="Arial"/>
        <family val="2"/>
      </rPr>
      <t xml:space="preserve">Housing, </t>
    </r>
    <r>
      <rPr>
        <sz val="9"/>
        <color rgb="FF000000"/>
        <rFont val="DejaVu Sans"/>
        <family val="2"/>
      </rPr>
      <t>분기부 스프링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DejaVu Sans"/>
        <family val="2"/>
      </rPr>
      <t>크로스 타입</t>
    </r>
    <r>
      <rPr>
        <sz val="9"/>
        <color rgb="FF000000"/>
        <rFont val="Arial"/>
        <family val="2"/>
      </rPr>
      <t>(TX-RX, RX-TX)</t>
    </r>
  </si>
  <si>
    <t>14-C-568</t>
  </si>
  <si>
    <t>DROP-CABLE(SC/PC)-2C</t>
  </si>
  <si>
    <t>14-C-626</t>
  </si>
  <si>
    <t>14-C-628</t>
  </si>
  <si>
    <t>14-C-630</t>
  </si>
  <si>
    <t>DROP-CABLE(LC/PC-LC/APC)-2C</t>
  </si>
  <si>
    <t>14-C-631</t>
  </si>
  <si>
    <t>14-C-642</t>
  </si>
  <si>
    <t>14-C-643</t>
  </si>
  <si>
    <t>14-C-644</t>
  </si>
  <si>
    <t>100M</t>
  </si>
  <si>
    <t>14-C-655</t>
  </si>
  <si>
    <t>14-C-656</t>
  </si>
  <si>
    <t>14-C-657</t>
  </si>
  <si>
    <t>14-C-658</t>
  </si>
  <si>
    <t>14-C-659</t>
  </si>
  <si>
    <t>14-C-660</t>
  </si>
  <si>
    <t>14-C-661</t>
  </si>
  <si>
    <t>14-C-662</t>
  </si>
  <si>
    <t>110M</t>
  </si>
  <si>
    <t>14-C-663</t>
  </si>
  <si>
    <t>14-C-672</t>
  </si>
  <si>
    <t>14-C-673</t>
  </si>
  <si>
    <t>14-C-674</t>
  </si>
  <si>
    <t>220M</t>
  </si>
  <si>
    <t>14-C-676</t>
  </si>
  <si>
    <t>14-C-677</t>
  </si>
  <si>
    <t>14-D-029</t>
  </si>
  <si>
    <t>DOJC-MM(OM3)-LC/PC-SC/PC</t>
  </si>
  <si>
    <t>14-D-054</t>
  </si>
  <si>
    <t>14-D-055</t>
  </si>
  <si>
    <t>14-D-067</t>
  </si>
  <si>
    <t>14-D-068</t>
  </si>
  <si>
    <t>14-D-092</t>
  </si>
  <si>
    <t>14-D-157</t>
  </si>
  <si>
    <t>14-D-182</t>
  </si>
  <si>
    <t>14-D-207</t>
  </si>
  <si>
    <t>14-D-233</t>
  </si>
  <si>
    <t>14-D-270</t>
  </si>
  <si>
    <t>14-D-272</t>
  </si>
  <si>
    <t>14-D-304</t>
  </si>
  <si>
    <t>14-D-313</t>
  </si>
  <si>
    <t>14-D-314</t>
  </si>
  <si>
    <t>14-D-458</t>
  </si>
  <si>
    <t>14-D-466</t>
  </si>
  <si>
    <t>14-D-471</t>
  </si>
  <si>
    <t>14-D-484</t>
  </si>
  <si>
    <t>14-D-575</t>
  </si>
  <si>
    <t>14-D-579</t>
  </si>
  <si>
    <t>14-D-601</t>
  </si>
  <si>
    <t>14-D-644</t>
  </si>
  <si>
    <t>22M</t>
  </si>
  <si>
    <t>14-D-651</t>
  </si>
  <si>
    <t>14-D-678</t>
  </si>
  <si>
    <t>14-D-707</t>
  </si>
  <si>
    <t>14-D-710</t>
  </si>
  <si>
    <t>14-D-725</t>
  </si>
  <si>
    <r>
      <rPr>
        <sz val="9"/>
        <color rgb="FF000000"/>
        <rFont val="Arial"/>
        <family val="2"/>
      </rPr>
      <t>10M_</t>
    </r>
    <r>
      <rPr>
        <sz val="9"/>
        <color rgb="FF000000"/>
        <rFont val="DejaVu Sans"/>
        <family val="2"/>
      </rPr>
      <t>녹색케이블</t>
    </r>
  </si>
  <si>
    <t>14-D-732</t>
  </si>
  <si>
    <r>
      <rPr>
        <sz val="9"/>
        <color rgb="FF000000"/>
        <rFont val="Arial"/>
        <family val="2"/>
      </rPr>
      <t>15M_</t>
    </r>
    <r>
      <rPr>
        <sz val="9"/>
        <color rgb="FF000000"/>
        <rFont val="DejaVu Sans"/>
        <family val="2"/>
      </rPr>
      <t>청색케이블</t>
    </r>
  </si>
  <si>
    <t>14-D-A105</t>
  </si>
  <si>
    <r>
      <rPr>
        <sz val="9"/>
        <color rgb="FF000000"/>
        <rFont val="Arial"/>
        <family val="2"/>
      </rPr>
      <t>7M_</t>
    </r>
    <r>
      <rPr>
        <sz val="9"/>
        <color rgb="FF000000"/>
        <rFont val="DejaVu Sans"/>
        <family val="2"/>
      </rPr>
      <t>청색</t>
    </r>
  </si>
  <si>
    <t>14-D-A138</t>
  </si>
  <si>
    <t>OJC-A1-LC/LC-SM-16.5-PC/PC-DP</t>
  </si>
  <si>
    <t>16.5M</t>
  </si>
  <si>
    <t>14-D-A139</t>
  </si>
  <si>
    <t>OJC-A1-LC/LC-SM-20.5-PC/PC-DP</t>
  </si>
  <si>
    <t>20.5M</t>
  </si>
  <si>
    <t>14-D-A140</t>
  </si>
  <si>
    <t>OJC-A1-LC/LC-SM-11.5-PC/PC-DP</t>
  </si>
  <si>
    <t>11.5M</t>
  </si>
  <si>
    <t>14-D-A195</t>
  </si>
  <si>
    <t>14-D-A207</t>
  </si>
  <si>
    <r>
      <rPr>
        <sz val="9"/>
        <color rgb="FF000000"/>
        <rFont val="Arial"/>
        <family val="2"/>
      </rPr>
      <t>3M_</t>
    </r>
    <r>
      <rPr>
        <sz val="9"/>
        <color rgb="FF000000"/>
        <rFont val="DejaVu Sans"/>
        <family val="2"/>
      </rPr>
      <t>녹색케이블</t>
    </r>
  </si>
  <si>
    <t>14-D-A208</t>
  </si>
  <si>
    <r>
      <rPr>
        <sz val="9"/>
        <color rgb="FF000000"/>
        <rFont val="Arial"/>
        <family val="2"/>
      </rPr>
      <t>5M_</t>
    </r>
    <r>
      <rPr>
        <sz val="9"/>
        <color rgb="FF000000"/>
        <rFont val="DejaVu Sans"/>
        <family val="2"/>
      </rPr>
      <t>녹색케이블</t>
    </r>
  </si>
  <si>
    <t>14-D-A24</t>
  </si>
  <si>
    <t>130M</t>
  </si>
  <si>
    <t>14-D-A25</t>
  </si>
  <si>
    <t>150M</t>
  </si>
  <si>
    <t>14-D-A27</t>
  </si>
  <si>
    <t>14-D-A303</t>
  </si>
  <si>
    <r>
      <rPr>
        <sz val="9"/>
        <color rgb="FF000000"/>
        <rFont val="Arial"/>
        <family val="2"/>
      </rPr>
      <t>5M_</t>
    </r>
    <r>
      <rPr>
        <sz val="9"/>
        <color rgb="FF000000"/>
        <rFont val="DejaVu Sans"/>
        <family val="2"/>
      </rPr>
      <t>적색케이블</t>
    </r>
  </si>
  <si>
    <t>14-D-A311</t>
  </si>
  <si>
    <t>14-D-A312</t>
  </si>
  <si>
    <t>14-D-A354</t>
  </si>
  <si>
    <t>14-D-A404</t>
  </si>
  <si>
    <t>14-D-A430</t>
  </si>
  <si>
    <t>14-D-A431</t>
  </si>
  <si>
    <t>14-D-A432</t>
  </si>
  <si>
    <t>14-D-A433</t>
  </si>
  <si>
    <t>14-D-A434</t>
  </si>
  <si>
    <t>14-D-A436</t>
  </si>
  <si>
    <t>OJC-A1-LC/LC-SM-29-PC/PC-DP</t>
  </si>
  <si>
    <t>14-D-A437</t>
  </si>
  <si>
    <t>OJC-A1-LC/LC-SM-32-PC/PC-DP</t>
  </si>
  <si>
    <t>14-D-A438</t>
  </si>
  <si>
    <t>OJC-A1-LC/LC-SM-38-PC/PC-DP</t>
  </si>
  <si>
    <t>14-D-A439</t>
  </si>
  <si>
    <t>14-D-A440</t>
  </si>
  <si>
    <t>14-D-A442</t>
  </si>
  <si>
    <t>67M</t>
  </si>
  <si>
    <t>14-D-A443</t>
  </si>
  <si>
    <t>77M</t>
  </si>
  <si>
    <t>14-D-A444</t>
  </si>
  <si>
    <t>112M</t>
  </si>
  <si>
    <t>14-K-029</t>
  </si>
  <si>
    <t>OJC-A1-LC/LC-MM(OM3)-50-PC/PC-DP</t>
  </si>
  <si>
    <t>14-K-032</t>
  </si>
  <si>
    <t>OJC-A1-LC/LC-MM(OM3)-8-PC/PC-DP</t>
  </si>
  <si>
    <t>14-K-041</t>
  </si>
  <si>
    <t>OJC-A1-LC/LC-MM-16-PC/PC-DP</t>
  </si>
  <si>
    <t>14-K-045</t>
  </si>
  <si>
    <t>OJC-A1-LC/LC-MM-20-PC/PC-SP</t>
  </si>
  <si>
    <t>K9089288</t>
  </si>
  <si>
    <t>14-K-049</t>
  </si>
  <si>
    <t>OJC-A1-LC/LC-MM-26-PC/PC-DP</t>
  </si>
  <si>
    <t>14-K-068</t>
  </si>
  <si>
    <t>OJC-A1-LC/LC-MM-65-PC/PC-DP</t>
  </si>
  <si>
    <t>14-K-072</t>
  </si>
  <si>
    <t>OJC-A1-LC/LC-MM-90-PC/PC-DP</t>
  </si>
  <si>
    <t>14-K-076</t>
  </si>
  <si>
    <t>OJC-A1-LC/LC-SM-100-PC/PC-DP</t>
  </si>
  <si>
    <t>14-K-086</t>
  </si>
  <si>
    <t>OJC-A1-LC/LC-SM-1-PC/PC-SP</t>
  </si>
  <si>
    <t>K9089042</t>
  </si>
  <si>
    <t>14-K-089</t>
  </si>
  <si>
    <t>OJC-A1-LC/LC-SM-22-PC/PC-DP</t>
  </si>
  <si>
    <t>14-K-090</t>
  </si>
  <si>
    <t>14-K-145</t>
  </si>
  <si>
    <t>OJC-A1-SC/LC-MM(OM3)-30-PC/PC-DP</t>
  </si>
  <si>
    <t>14-K-146</t>
  </si>
  <si>
    <t>OJC-A1-SC/LC-MM(OM3)-3-PC/PC-DP</t>
  </si>
  <si>
    <t>14-K-166</t>
  </si>
  <si>
    <t>OJC-A1-SC/LC-MM-5-PC/PC-DP</t>
  </si>
  <si>
    <t>K9089321</t>
  </si>
  <si>
    <t>14-K-173</t>
  </si>
  <si>
    <t>OJC-A1-SC/LC-SM-10-APC/PC-SP</t>
  </si>
  <si>
    <t>14-K-180</t>
  </si>
  <si>
    <t>OJC-A1-SC/LC-SM-12-PC/PC-SP</t>
  </si>
  <si>
    <t>14-K-190</t>
  </si>
  <si>
    <t>OJC-A1-SC/LC-SM-16-PC/PC-DP</t>
  </si>
  <si>
    <t>14-K-195</t>
  </si>
  <si>
    <t>OJC-A1-SC/LC-SM-19-PC/PC-DP</t>
  </si>
  <si>
    <t>14-K-197</t>
  </si>
  <si>
    <t>OJC-A1-SC/LC-SM-1-APC/PC-SP</t>
  </si>
  <si>
    <t>14-K-202</t>
  </si>
  <si>
    <t>OJC-A1-SC/LC-SM-20-APC/PC-SP</t>
  </si>
  <si>
    <t>14-K-207</t>
  </si>
  <si>
    <t>OJC-A1-SC/LC-SM-23-PC/PC-DP</t>
  </si>
  <si>
    <t>14-K-212</t>
  </si>
  <si>
    <t>OJC-A1-SC/LC-SM-29-PC/PC-DP</t>
  </si>
  <si>
    <t>14-K-213</t>
  </si>
  <si>
    <t>OJC-A1-SC/LC-SM-2-APC/PC-DP</t>
  </si>
  <si>
    <t>14-K-222</t>
  </si>
  <si>
    <t>OJC-A1-SC/LC-SM-3-APC/PC-DP</t>
  </si>
  <si>
    <t>14-K-233</t>
  </si>
  <si>
    <t>OJC-A1-SC/LC-SM-50-PC/PC-SP</t>
  </si>
  <si>
    <t>K9089041</t>
  </si>
  <si>
    <t>14-K-234</t>
  </si>
  <si>
    <t>OJC-A1-SC/LC-SM-5-APC/PC-DP</t>
  </si>
  <si>
    <t>14-K-241</t>
  </si>
  <si>
    <t>OJC-A1-SC/LC-SM-65-PC/PC-DP</t>
  </si>
  <si>
    <t>14-K-260</t>
  </si>
  <si>
    <t>OJC-A1-SC/SC-MM(OM3)-3-PC/PC-DP</t>
  </si>
  <si>
    <t>14-K-279</t>
  </si>
  <si>
    <t>OJC-A1-SC/SC-SM-0.5-APC/APC-SP</t>
  </si>
  <si>
    <t>14-K-282</t>
  </si>
  <si>
    <t>OJC-A1-SC/SC-SM-0.5-PC/PC-SP</t>
  </si>
  <si>
    <t>14-K-285</t>
  </si>
  <si>
    <t>OJC-A1-SC/SC-SM-1.5-PC/PC-SP</t>
  </si>
  <si>
    <t>14-K-286</t>
  </si>
  <si>
    <t>OJC-A1-SC/SC-SM-10-APC/APC-DP</t>
  </si>
  <si>
    <t>14-K-318</t>
  </si>
  <si>
    <t>OJC-A1-SC/SC-SM-20-APC/APC-SP</t>
  </si>
  <si>
    <t>14-K-319</t>
  </si>
  <si>
    <t>OJC-A1-SC/SC-SM-20-PC/APC-DP</t>
  </si>
  <si>
    <t>K9089190</t>
  </si>
  <si>
    <t>14-K-333</t>
  </si>
  <si>
    <t>OJC-A1-SC/SC-SM-25-APC/APC-SP</t>
  </si>
  <si>
    <t>14-K-343</t>
  </si>
  <si>
    <t>OJC-A1-SC/SC-SM-2-APC/APC-SP</t>
  </si>
  <si>
    <t>14-K-349</t>
  </si>
  <si>
    <t>OJC-A1-SC/SC-SM-30-APC/APC-SP</t>
  </si>
  <si>
    <t>14-K-351</t>
  </si>
  <si>
    <t>K9089063</t>
  </si>
  <si>
    <t>14-K-375</t>
  </si>
  <si>
    <t>OJC-A1-SC/SC-SM-5-APC/APC-SP</t>
  </si>
  <si>
    <t>14-K-376</t>
  </si>
  <si>
    <t>OJC-A1-SC/SC-SM-5-PC/APC-DP</t>
  </si>
  <si>
    <t>K9089187</t>
  </si>
  <si>
    <t>14-K-383</t>
  </si>
  <si>
    <t>OJC-A1-SC/SC-SM-6-APC/APC-SP</t>
  </si>
  <si>
    <t>14-K-386</t>
  </si>
  <si>
    <t>OJC-A1-SC/SC-SM-7-APC/APC-SP</t>
  </si>
  <si>
    <t>14-K-390</t>
  </si>
  <si>
    <t>OJC-A1-SC/SC-SM-8-APC/APC-SP</t>
  </si>
  <si>
    <t>14-K-393</t>
  </si>
  <si>
    <t>OJC-A1-SC/SC-SM-8-PC/PC-SP</t>
  </si>
  <si>
    <t>K9089001</t>
  </si>
  <si>
    <t>14-K-458</t>
  </si>
  <si>
    <t>K9118071</t>
  </si>
  <si>
    <t>14-K-463</t>
  </si>
  <si>
    <t>14-K-465</t>
  </si>
  <si>
    <t>OJC-C2-SC/SC-SM-12-PC/PC-8C</t>
  </si>
  <si>
    <t>14-K-469</t>
  </si>
  <si>
    <t>OJC-C2-SC/SC-SM-14-PC/PC-12C</t>
  </si>
  <si>
    <t>14-K-477</t>
  </si>
  <si>
    <t>K9118072</t>
  </si>
  <si>
    <t>14-K-484</t>
  </si>
  <si>
    <t>OJC-C2-SC/SC-SM-17-PC/PC-12C</t>
  </si>
  <si>
    <t>14-K-503</t>
  </si>
  <si>
    <t>14-K-505</t>
  </si>
  <si>
    <t>OJC-C2-SC/SC-SM-20-PC/PC-4C</t>
  </si>
  <si>
    <t>14-K-512</t>
  </si>
  <si>
    <t>OJC-C2-SC/SC-SM-25-PC/PC-12C</t>
  </si>
  <si>
    <t>14-K-514</t>
  </si>
  <si>
    <t>OJC-C2-SC/SC-SM-25-PC/PC-20C</t>
  </si>
  <si>
    <t>14-K-535</t>
  </si>
  <si>
    <t>OJC-C2-SC/SC-SM-3-PC/PC-8C</t>
  </si>
  <si>
    <t>14-K-552</t>
  </si>
  <si>
    <t>OJC-C2-SC/SC-SM-5-PC/PC-4C</t>
  </si>
  <si>
    <t>14-K-553</t>
  </si>
  <si>
    <t>OJC-C2-SC/SC-SM-5-PC/PC-8C</t>
  </si>
  <si>
    <t>14-K-561</t>
  </si>
  <si>
    <t>OJC-C2-SC/SC-SM-7-PC/PC-20C</t>
  </si>
  <si>
    <t>14-K-562</t>
  </si>
  <si>
    <t>OJC-C2-SC/SC-SM-7-PC/PC-8C</t>
  </si>
  <si>
    <t>14-K-585</t>
  </si>
  <si>
    <t>OJC-A1-LC/LC-SM-2-PC/PC-SP</t>
  </si>
  <si>
    <t>K9089043</t>
  </si>
  <si>
    <t>14-K-587</t>
  </si>
  <si>
    <t>OJC-A1-LC/LC-SM-60-PC/PC-DP</t>
  </si>
  <si>
    <t>14-K-603</t>
  </si>
  <si>
    <t>OJC-C2-SC/SC-SM-4-PC/PC-8C-1.0</t>
  </si>
  <si>
    <t>14-K-614</t>
  </si>
  <si>
    <t>OJC-A1-LC/LC-MM-4-PC/PC-DP</t>
  </si>
  <si>
    <t>K9089332</t>
  </si>
  <si>
    <t>14-K-615</t>
  </si>
  <si>
    <t>OJC-A1-LC/LC-MM(OM3)-4-PC/PC-DP</t>
  </si>
  <si>
    <t>14-K-617</t>
  </si>
  <si>
    <t>14-K-618</t>
  </si>
  <si>
    <t>OJC-A1-LC/LC-SM-16-PC/PC-DP</t>
  </si>
  <si>
    <t>14-K-619</t>
  </si>
  <si>
    <t>14-K-620</t>
  </si>
  <si>
    <t>OJC-A1-LC/LC-SM-18-PC/PC-DP</t>
  </si>
  <si>
    <t>14-K-624</t>
  </si>
  <si>
    <t>OJC-A1-LC/LC-MM(OM3)-22-PC/PC-DP</t>
  </si>
  <si>
    <t>14-K-625</t>
  </si>
  <si>
    <t>OJC-A1-LC/LC-MM(OM3)-23-PC/PC-DP</t>
  </si>
  <si>
    <t>14-K-626</t>
  </si>
  <si>
    <t>OJC-A1-LC/LC-MM(OM3)-24-PC/PC-DP</t>
  </si>
  <si>
    <t>14-K-634</t>
  </si>
  <si>
    <t>OJC-C2-SC/LC-SM-30-PC/PC-16C</t>
  </si>
  <si>
    <t>K9094341</t>
  </si>
  <si>
    <t>14-K-654</t>
  </si>
  <si>
    <r>
      <rPr>
        <sz val="9"/>
        <color rgb="FF000000"/>
        <rFont val="Arial"/>
        <family val="2"/>
      </rPr>
      <t>K9089165_</t>
    </r>
    <r>
      <rPr>
        <sz val="9"/>
        <color rgb="FF000000"/>
        <rFont val="DejaVu Sans"/>
        <family val="2"/>
      </rPr>
      <t>청색</t>
    </r>
  </si>
  <si>
    <t>14-K-655</t>
  </si>
  <si>
    <r>
      <rPr>
        <sz val="9"/>
        <color rgb="FF000000"/>
        <rFont val="Arial"/>
        <family val="2"/>
      </rPr>
      <t>K9089166_</t>
    </r>
    <r>
      <rPr>
        <sz val="9"/>
        <color rgb="FF000000"/>
        <rFont val="DejaVu Sans"/>
        <family val="2"/>
      </rPr>
      <t>청색</t>
    </r>
  </si>
  <si>
    <t>14-K-667</t>
  </si>
  <si>
    <r>
      <rPr>
        <sz val="9"/>
        <color rgb="FF000000"/>
        <rFont val="Arial"/>
        <family val="2"/>
      </rPr>
      <t>K9089142_</t>
    </r>
    <r>
      <rPr>
        <sz val="9"/>
        <color rgb="FF000000"/>
        <rFont val="DejaVu Sans"/>
        <family val="2"/>
      </rPr>
      <t>녹색</t>
    </r>
  </si>
  <si>
    <t>14-K-669</t>
  </si>
  <si>
    <r>
      <rPr>
        <sz val="9"/>
        <color rgb="FF000000"/>
        <rFont val="Arial"/>
        <family val="2"/>
      </rPr>
      <t>K9089132_</t>
    </r>
    <r>
      <rPr>
        <sz val="9"/>
        <color rgb="FF000000"/>
        <rFont val="DejaVu Sans"/>
        <family val="2"/>
      </rPr>
      <t>녹색</t>
    </r>
  </si>
  <si>
    <t>14-K-672</t>
  </si>
  <si>
    <r>
      <rPr>
        <sz val="9"/>
        <color rgb="FF000000"/>
        <rFont val="Arial"/>
        <family val="2"/>
      </rPr>
      <t>K9089111_</t>
    </r>
    <r>
      <rPr>
        <sz val="9"/>
        <color rgb="FF000000"/>
        <rFont val="DejaVu Sans"/>
        <family val="2"/>
      </rPr>
      <t>적색</t>
    </r>
  </si>
  <si>
    <t>14-K-673</t>
  </si>
  <si>
    <r>
      <rPr>
        <sz val="9"/>
        <color rgb="FF000000"/>
        <rFont val="Arial"/>
        <family val="2"/>
      </rPr>
      <t>K9089152_</t>
    </r>
    <r>
      <rPr>
        <sz val="9"/>
        <color rgb="FF000000"/>
        <rFont val="DejaVu Sans"/>
        <family val="2"/>
      </rPr>
      <t>녹색</t>
    </r>
  </si>
  <si>
    <t>14-K-685</t>
  </si>
  <si>
    <r>
      <rPr>
        <sz val="9"/>
        <color rgb="FF000000"/>
        <rFont val="Arial"/>
        <family val="2"/>
      </rPr>
      <t>K9089127_</t>
    </r>
    <r>
      <rPr>
        <sz val="9"/>
        <color rgb="FF000000"/>
        <rFont val="DejaVu Sans"/>
        <family val="2"/>
      </rPr>
      <t>녹색</t>
    </r>
  </si>
  <si>
    <t>14-K-707</t>
  </si>
  <si>
    <r>
      <rPr>
        <sz val="9"/>
        <color rgb="FF000000"/>
        <rFont val="Arial"/>
        <family val="2"/>
      </rPr>
      <t>K9089169_</t>
    </r>
    <r>
      <rPr>
        <sz val="9"/>
        <color rgb="FF000000"/>
        <rFont val="DejaVu Sans"/>
        <family val="2"/>
      </rPr>
      <t>청색</t>
    </r>
  </si>
  <si>
    <t>14-K-716</t>
  </si>
  <si>
    <r>
      <rPr>
        <sz val="9"/>
        <color rgb="FF000000"/>
        <rFont val="Arial"/>
        <family val="2"/>
      </rPr>
      <t>K9089181_</t>
    </r>
    <r>
      <rPr>
        <sz val="9"/>
        <color rgb="FF000000"/>
        <rFont val="DejaVu Sans"/>
        <family val="2"/>
      </rPr>
      <t>청색</t>
    </r>
  </si>
  <si>
    <t>14-K-717</t>
  </si>
  <si>
    <r>
      <rPr>
        <sz val="9"/>
        <color rgb="FF000000"/>
        <rFont val="Arial"/>
        <family val="2"/>
      </rPr>
      <t>K9089180_</t>
    </r>
    <r>
      <rPr>
        <sz val="9"/>
        <color rgb="FF000000"/>
        <rFont val="DejaVu Sans"/>
        <family val="2"/>
      </rPr>
      <t>청색</t>
    </r>
  </si>
  <si>
    <t>14-K-718</t>
  </si>
  <si>
    <r>
      <rPr>
        <sz val="9"/>
        <color rgb="FF000000"/>
        <rFont val="Arial"/>
        <family val="2"/>
      </rPr>
      <t>K9089179_</t>
    </r>
    <r>
      <rPr>
        <sz val="9"/>
        <color rgb="FF000000"/>
        <rFont val="DejaVu Sans"/>
        <family val="2"/>
      </rPr>
      <t>청색</t>
    </r>
  </si>
  <si>
    <t>14-K-754</t>
  </si>
  <si>
    <r>
      <rPr>
        <sz val="9"/>
        <color rgb="FF000000"/>
        <rFont val="Arial"/>
        <family val="2"/>
      </rPr>
      <t>K9089182_</t>
    </r>
    <r>
      <rPr>
        <sz val="9"/>
        <color rgb="FF000000"/>
        <rFont val="DejaVu Sans"/>
        <family val="2"/>
      </rPr>
      <t>청색</t>
    </r>
  </si>
  <si>
    <t>14-K-769</t>
  </si>
  <si>
    <t>OJC-A1-LC/LC-SM-0.5-PC/PC-DP</t>
  </si>
  <si>
    <t>14-K-772</t>
  </si>
  <si>
    <r>
      <rPr>
        <sz val="9"/>
        <color rgb="FF000000"/>
        <rFont val="Arial"/>
        <family val="2"/>
      </rPr>
      <t>K9089125_</t>
    </r>
    <r>
      <rPr>
        <sz val="9"/>
        <color rgb="FF000000"/>
        <rFont val="DejaVu Sans"/>
        <family val="2"/>
      </rPr>
      <t>청색</t>
    </r>
  </si>
  <si>
    <t>14-K-773</t>
  </si>
  <si>
    <t>OJC-A1-SC/LC-SM-1.5-PC/PC-SP</t>
  </si>
  <si>
    <t>14-K-802</t>
  </si>
  <si>
    <t>OJC-A1-LC/LC-MM(OM3)-60-PC/PC-DP</t>
  </si>
  <si>
    <t>14-K-827</t>
  </si>
  <si>
    <t>OJC-A1-LC/LC-MM(OM3)-65-PC/PC-DP</t>
  </si>
  <si>
    <t>14-K-854</t>
  </si>
  <si>
    <t>OJC-A1-LC/LC-MM(OM3)-13-PC/PC-DP</t>
  </si>
  <si>
    <t>14-K-869</t>
  </si>
  <si>
    <t>OJC-A1-LC/LC-SM-35-PC/PC-SP</t>
  </si>
  <si>
    <t>K9089052</t>
  </si>
  <si>
    <t>14-K-877</t>
  </si>
  <si>
    <t>OJC-C2-SC/LC-SM-1-PC/PC-20C</t>
  </si>
  <si>
    <t>14-K-879</t>
  </si>
  <si>
    <r>
      <rPr>
        <sz val="9"/>
        <color rgb="FF000000"/>
        <rFont val="Arial"/>
        <family val="2"/>
      </rPr>
      <t>K9089125_</t>
    </r>
    <r>
      <rPr>
        <sz val="9"/>
        <color rgb="FF000000"/>
        <rFont val="DejaVu Sans"/>
        <family val="2"/>
      </rPr>
      <t>녹색</t>
    </r>
  </si>
  <si>
    <t>14-K-923</t>
  </si>
  <si>
    <t>OJC-A1-SC/LC-SM-21-PC/PC-DP</t>
  </si>
  <si>
    <t>14-K-925</t>
  </si>
  <si>
    <t>OJC-A1-LC/LC-SM-21-PC/PC-DP</t>
  </si>
  <si>
    <t>14-K-927</t>
  </si>
  <si>
    <t>OJC-A1-SC/LC-SM-24-PC/PC-DP</t>
  </si>
  <si>
    <t>14-K-933</t>
  </si>
  <si>
    <t>OJC-A1-SC/LC-SM-27-PC/PC-DP</t>
  </si>
  <si>
    <t>14-K-936</t>
  </si>
  <si>
    <t>OJC-A1-SC/LC-SM-80-PC/PC-DP</t>
  </si>
  <si>
    <t>14-K-939</t>
  </si>
  <si>
    <t>OJC-C2-SC/LC-SM-20-PC/PC-16C</t>
  </si>
  <si>
    <t>14-K-941</t>
  </si>
  <si>
    <t>OJC-C2-SC/LC-SM-40-PC/PC-20C</t>
  </si>
  <si>
    <t>14-K-A102</t>
  </si>
  <si>
    <t>14-K-A111</t>
  </si>
  <si>
    <t>OJC-C2-SC/LC-SM-25-PC/PC-16C</t>
  </si>
  <si>
    <t>14-K-A116</t>
  </si>
  <si>
    <t>OJC-A1-LC/LC-SM-5-APC/APC-DP</t>
  </si>
  <si>
    <t>14-K-A124</t>
  </si>
  <si>
    <t>OJC-A1-LC/LC-SM-15-APC/APC-DP</t>
  </si>
  <si>
    <t>14-K-A128</t>
  </si>
  <si>
    <t>14-K-A138</t>
  </si>
  <si>
    <r>
      <rPr>
        <sz val="9"/>
        <color rgb="FF000000"/>
        <rFont val="Arial"/>
        <family val="2"/>
      </rPr>
      <t>K9089154_</t>
    </r>
    <r>
      <rPr>
        <sz val="9"/>
        <color rgb="FF000000"/>
        <rFont val="DejaVu Sans"/>
        <family val="2"/>
      </rPr>
      <t>청색</t>
    </r>
  </si>
  <si>
    <t>14-K-A174</t>
  </si>
  <si>
    <t>청색 케이블</t>
  </si>
  <si>
    <t>14-K-A185</t>
  </si>
  <si>
    <t>14-K-A187</t>
  </si>
  <si>
    <r>
      <rPr>
        <sz val="9"/>
        <color rgb="FF000000"/>
        <rFont val="Arial"/>
        <family val="2"/>
      </rPr>
      <t>K9089032_</t>
    </r>
    <r>
      <rPr>
        <sz val="9"/>
        <color rgb="FF000000"/>
        <rFont val="DejaVu Sans"/>
        <family val="2"/>
      </rPr>
      <t>녹색</t>
    </r>
  </si>
  <si>
    <t>14-K-A188</t>
  </si>
  <si>
    <t>OJC-A1-SC/SC-SM-40-APC/APC-SP</t>
  </si>
  <si>
    <t>14-K-A267</t>
  </si>
  <si>
    <t>OJC-A1-LC/LC-SM-19-PC/PC-DP</t>
  </si>
  <si>
    <t>14-K-A282</t>
  </si>
  <si>
    <t>OJC-A1-SC/LC-SM-31-PC/PC-DP</t>
  </si>
  <si>
    <t>14-K-A283</t>
  </si>
  <si>
    <t>OJC-A1-LC/LC-MM(OM3)-21-PC/PC-DP</t>
  </si>
  <si>
    <t>14-K-A294</t>
  </si>
  <si>
    <t>14-K-A295</t>
  </si>
  <si>
    <t>14-K-A303</t>
  </si>
  <si>
    <t>14-K-A308</t>
  </si>
  <si>
    <t>14-K-A47</t>
  </si>
  <si>
    <t>OJC-A1-SC/SC-MM(OM3)-50-PC/PC-DP</t>
  </si>
  <si>
    <t>14-K-A76</t>
  </si>
  <si>
    <t>14-K-B126</t>
  </si>
  <si>
    <t>OJC-A1-SC/LC-SM-28-PC/PC-DP</t>
  </si>
  <si>
    <t>14-K-B152</t>
  </si>
  <si>
    <t>14-K-B155</t>
  </si>
  <si>
    <t>14-K-B158</t>
  </si>
  <si>
    <t>14-K-B159</t>
  </si>
  <si>
    <t>OJC-A1-LC/LC-SM-24-PC/PC-DP</t>
  </si>
  <si>
    <t>14-K-B205</t>
  </si>
  <si>
    <r>
      <rPr>
        <sz val="9"/>
        <color rgb="FF000000"/>
        <rFont val="DejaVu Sans"/>
        <family val="2"/>
      </rPr>
      <t xml:space="preserve">양단 분기부 </t>
    </r>
    <r>
      <rPr>
        <sz val="9"/>
        <color rgb="FF000000"/>
        <rFont val="Arial"/>
        <family val="2"/>
      </rPr>
      <t>1.5M</t>
    </r>
  </si>
  <si>
    <t>14-K-B230</t>
  </si>
  <si>
    <t>OJC-A1-LC/LC-SM-26-PC/PC-DP</t>
  </si>
  <si>
    <t>14-K-B254</t>
  </si>
  <si>
    <r>
      <rPr>
        <sz val="9"/>
        <color rgb="FF000000"/>
        <rFont val="Arial"/>
        <family val="2"/>
      </rPr>
      <t>K9089175_</t>
    </r>
    <r>
      <rPr>
        <sz val="9"/>
        <color rgb="FF000000"/>
        <rFont val="DejaVu Sans"/>
        <family val="2"/>
      </rPr>
      <t>녹색</t>
    </r>
  </si>
  <si>
    <t>14-K-B315</t>
  </si>
  <si>
    <t>OJC-A1-LC/LC-MM(OM3)-14-PC/PC-DP</t>
  </si>
  <si>
    <t>14-K-B316</t>
  </si>
  <si>
    <t>OJC-A1-LC/LC-MM(OM3)-16-PC/PC-DP</t>
  </si>
  <si>
    <t>14-K-B317</t>
  </si>
  <si>
    <t>OJC-A1-LC/LC-MM(OM3)-17-PC/PC-DP</t>
  </si>
  <si>
    <t>14-K-B318</t>
  </si>
  <si>
    <t>OJC-A1-LC/LC-MM(OM3)-19-PC/PC-DP</t>
  </si>
  <si>
    <t>14-K-B319</t>
  </si>
  <si>
    <t>OJC-A1-LC/LC-MM-11-PC/PC-DP</t>
  </si>
  <si>
    <t>14-K-B320</t>
  </si>
  <si>
    <t>OJC-A1-LC/LC-MM-31-PC/PC-DP</t>
  </si>
  <si>
    <t>14-K-B321</t>
  </si>
  <si>
    <t>OJC-A1-SC/SC-SM-0.8-PC/PC-SP</t>
  </si>
  <si>
    <t>14-K-B322</t>
  </si>
  <si>
    <t>14-K-B323</t>
  </si>
  <si>
    <t>OJC-A1-SC/SC-SM-6-PC/PC-DP</t>
  </si>
  <si>
    <t>14-K-B326</t>
  </si>
  <si>
    <t>OJC-A1-SC/LC-SM-5-APC/PC-SP</t>
  </si>
  <si>
    <t>14-K-B327</t>
  </si>
  <si>
    <t>OJC-A1-LC/LC-MM(OM3)-1.5-PC/PC-DP</t>
  </si>
  <si>
    <t>14-K-B328</t>
  </si>
  <si>
    <t>14-K-B329</t>
  </si>
  <si>
    <r>
      <rPr>
        <sz val="9"/>
        <color rgb="FF000000"/>
        <rFont val="DejaVu Sans"/>
        <family val="2"/>
      </rPr>
      <t xml:space="preserve">분기부 양단 </t>
    </r>
    <r>
      <rPr>
        <sz val="9"/>
        <color rgb="FF000000"/>
        <rFont val="Arial"/>
        <family val="2"/>
      </rPr>
      <t>1.5m</t>
    </r>
  </si>
  <si>
    <t>14-K-B330</t>
  </si>
  <si>
    <t>14-K-B331</t>
  </si>
  <si>
    <t>14-K-B332</t>
  </si>
  <si>
    <r>
      <rPr>
        <sz val="9"/>
        <color rgb="FF000000"/>
        <rFont val="DejaVu Sans"/>
        <family val="2"/>
      </rPr>
      <t xml:space="preserve">분기부 </t>
    </r>
    <r>
      <rPr>
        <sz val="9"/>
        <color rgb="FF000000"/>
        <rFont val="Arial"/>
        <family val="2"/>
      </rPr>
      <t>1.5m/ 2m</t>
    </r>
  </si>
  <si>
    <t>14-K-B333</t>
  </si>
  <si>
    <t>14-K-B334</t>
  </si>
  <si>
    <t>14-K-B335</t>
  </si>
  <si>
    <r>
      <rPr>
        <sz val="9"/>
        <color rgb="FF000000"/>
        <rFont val="DejaVu Sans"/>
        <family val="2"/>
      </rPr>
      <t xml:space="preserve">분기부 </t>
    </r>
    <r>
      <rPr>
        <sz val="9"/>
        <color rgb="FF000000"/>
        <rFont val="Arial"/>
        <family val="2"/>
      </rPr>
      <t>2.5m</t>
    </r>
  </si>
  <si>
    <t>14-K-B336</t>
  </si>
  <si>
    <t>14-K-B337</t>
  </si>
  <si>
    <t>14-K-B338</t>
  </si>
  <si>
    <r>
      <rPr>
        <sz val="9"/>
        <color rgb="FF000000"/>
        <rFont val="DejaVu Sans"/>
        <family val="2"/>
      </rPr>
      <t xml:space="preserve">분기부 </t>
    </r>
    <r>
      <rPr>
        <sz val="9"/>
        <color rgb="FF000000"/>
        <rFont val="Arial"/>
        <family val="2"/>
      </rPr>
      <t>2m/ 1m</t>
    </r>
  </si>
  <si>
    <t>14-K-B339</t>
  </si>
  <si>
    <t>14-K-B340</t>
  </si>
  <si>
    <t>14-K-B341</t>
  </si>
  <si>
    <t>OJC-A1-SC/LC-SM-15-APC/PC-SP</t>
  </si>
  <si>
    <t>14-K-B343</t>
  </si>
  <si>
    <t>OJC-C2-LC/LC-SM-35-PC/PC-4C</t>
  </si>
  <si>
    <t>14-K-B344</t>
  </si>
  <si>
    <t>14-K-B345</t>
  </si>
  <si>
    <t>14-K-B346</t>
  </si>
  <si>
    <t>14-K-B347</t>
  </si>
  <si>
    <t>14-K-B348</t>
  </si>
  <si>
    <t>14-K-B350</t>
  </si>
  <si>
    <r>
      <rPr>
        <sz val="9"/>
        <color rgb="FF000000"/>
        <rFont val="Arial"/>
        <family val="2"/>
      </rPr>
      <t>K9089135_</t>
    </r>
    <r>
      <rPr>
        <sz val="9"/>
        <color rgb="FF000000"/>
        <rFont val="DejaVu Sans"/>
        <family val="2"/>
      </rPr>
      <t>녹색</t>
    </r>
  </si>
  <si>
    <t>14-K-B351</t>
  </si>
  <si>
    <t>OJC-A1-SC/LC-SM-0.5-APC/PC-SP</t>
  </si>
  <si>
    <t>14-K-B356</t>
  </si>
  <si>
    <t>OJC-A1-SC/SC-SM-12-APC/APC-SP</t>
  </si>
  <si>
    <t>14-K-B357</t>
  </si>
  <si>
    <t>14-K-B358</t>
  </si>
  <si>
    <t>14-K-B359</t>
  </si>
  <si>
    <t>14-K-B361</t>
  </si>
  <si>
    <t>OJC-C2-SC/SC-SM-15-PC/APC-12C</t>
  </si>
  <si>
    <t>14-K-B362</t>
  </si>
  <si>
    <t>OJC-C2-SC/SC-SM-15-APC/APC-12C</t>
  </si>
  <si>
    <t>14-K-B364</t>
  </si>
  <si>
    <t>OJC-A1-FC/FC-SM-15-APC/APC-SP</t>
  </si>
  <si>
    <t>14-K-B365</t>
  </si>
  <si>
    <t>OJC-A1-SC-SM-1.5-APC-SP</t>
  </si>
  <si>
    <t>14-K-B367</t>
  </si>
  <si>
    <t>OJC-A1-SC-SM-3-APC-DP</t>
  </si>
  <si>
    <t>14-M-047</t>
  </si>
  <si>
    <t>14-M-048</t>
  </si>
  <si>
    <t>14-M-054</t>
  </si>
  <si>
    <t>14-M-715</t>
  </si>
  <si>
    <t>14-M-A067</t>
  </si>
  <si>
    <t>14-M-A073</t>
  </si>
  <si>
    <t>14-M-A074</t>
  </si>
  <si>
    <t>14-P-005</t>
  </si>
  <si>
    <t>PIGTAIL-LC/PC-SM-12C(Distribution cable)</t>
  </si>
  <si>
    <t>4.2M</t>
  </si>
  <si>
    <t>14-P-023</t>
  </si>
  <si>
    <t>PIGTAIL-SC/PC-SM-8C (0.9mm)</t>
  </si>
  <si>
    <r>
      <rPr>
        <sz val="9"/>
        <color rgb="FF000000"/>
        <rFont val="Arial"/>
        <family val="2"/>
      </rPr>
      <t>1.5M_8</t>
    </r>
    <r>
      <rPr>
        <sz val="9"/>
        <color rgb="FF000000"/>
        <rFont val="DejaVu Sans"/>
        <family val="2"/>
      </rPr>
      <t>색</t>
    </r>
  </si>
  <si>
    <t>14-P-047</t>
  </si>
  <si>
    <t>14-P-052</t>
  </si>
  <si>
    <t>PIGTAIL-SC/APC-SM-1C(0.9mm)</t>
  </si>
  <si>
    <t>1.0M</t>
  </si>
  <si>
    <t>14-P-077</t>
  </si>
  <si>
    <r>
      <rPr>
        <sz val="9"/>
        <color rgb="FF000000"/>
        <rFont val="Arial"/>
        <family val="2"/>
      </rPr>
      <t>PIGTAIL-LC/APC-SM-12C (SK</t>
    </r>
    <r>
      <rPr>
        <sz val="9"/>
        <color rgb="FF000000"/>
        <rFont val="DejaVu Sans"/>
        <family val="2"/>
      </rPr>
      <t>성단용</t>
    </r>
    <r>
      <rPr>
        <sz val="9"/>
        <color rgb="FF000000"/>
        <rFont val="Arial"/>
        <family val="2"/>
      </rPr>
      <t>)</t>
    </r>
  </si>
  <si>
    <t>14-P-091</t>
  </si>
  <si>
    <t>PIGTAIL-LC/APC-SM-12C (0.9mm)</t>
  </si>
  <si>
    <t>14-P-093</t>
  </si>
  <si>
    <r>
      <rPr>
        <sz val="9"/>
        <color rgb="FF000000"/>
        <rFont val="Arial"/>
        <family val="2"/>
      </rPr>
      <t>PIGTAIL-LC/PC-SM-6C (SK</t>
    </r>
    <r>
      <rPr>
        <sz val="9"/>
        <color rgb="FF000000"/>
        <rFont val="DejaVu Sans"/>
        <family val="2"/>
      </rPr>
      <t>성단용</t>
    </r>
    <r>
      <rPr>
        <sz val="9"/>
        <color rgb="FF000000"/>
        <rFont val="Arial"/>
        <family val="2"/>
      </rPr>
      <t>)</t>
    </r>
  </si>
  <si>
    <t>14-P-107</t>
  </si>
  <si>
    <t>PIGTAIL-LC/PC-SM-8C (0.9mm)</t>
  </si>
  <si>
    <t>14-S-084</t>
  </si>
  <si>
    <t>14-S-093</t>
  </si>
  <si>
    <t>14-S-110</t>
  </si>
  <si>
    <t>14-S-111</t>
  </si>
  <si>
    <t>14-S-114</t>
  </si>
  <si>
    <t>14-S-117</t>
  </si>
  <si>
    <t>14-S-123</t>
  </si>
  <si>
    <t>14-S-161</t>
  </si>
  <si>
    <t>14-S-189</t>
  </si>
  <si>
    <t>14-S-237</t>
  </si>
  <si>
    <t>14-S-256</t>
  </si>
  <si>
    <t>14-S-260</t>
  </si>
  <si>
    <t>14-S-263</t>
  </si>
  <si>
    <t>14-S-264</t>
  </si>
  <si>
    <t>14-S-272</t>
  </si>
  <si>
    <t>14-S-344</t>
  </si>
  <si>
    <t>14-S-459</t>
  </si>
  <si>
    <t>14-S-472</t>
  </si>
  <si>
    <t>14-S-502</t>
  </si>
  <si>
    <t>14-S-775</t>
  </si>
  <si>
    <t>14-S-841</t>
  </si>
  <si>
    <t>14-S-852</t>
  </si>
  <si>
    <r>
      <rPr>
        <sz val="9"/>
        <color rgb="FF000000"/>
        <rFont val="Arial"/>
        <family val="2"/>
      </rPr>
      <t>K9088996_</t>
    </r>
    <r>
      <rPr>
        <sz val="9"/>
        <color rgb="FF000000"/>
        <rFont val="DejaVu Sans"/>
        <family val="2"/>
      </rPr>
      <t>녹색</t>
    </r>
  </si>
  <si>
    <t>14-S-862</t>
  </si>
  <si>
    <t>OJC-A1-SC/LC-SM-2-APC/PC-SP</t>
  </si>
  <si>
    <t>45-A-123</t>
  </si>
  <si>
    <t>MOJC-SM-6C</t>
  </si>
  <si>
    <t>SOJC-MM(OM3)-LC/PC-LC/PC [1M]</t>
  </si>
  <si>
    <t>A14-D-FA/FA-B-N-009</t>
  </si>
  <si>
    <t>908040648, 3M, B3, 3.0mm</t>
  </si>
  <si>
    <t>A14-D-FA/FA-B-N-011</t>
  </si>
  <si>
    <t>A14-D-FP/FA-B-N-004</t>
  </si>
  <si>
    <t>908040637, 20M, B3, 2.0mm</t>
  </si>
  <si>
    <t>A14-D-FP/FA-B-N-005</t>
  </si>
  <si>
    <t>908040642, 25M, B3, 2.0mm</t>
  </si>
  <si>
    <t>A14-D-FP/FA-B-N-007</t>
  </si>
  <si>
    <t>908040647, 30M, B3, 2.0mm</t>
  </si>
  <si>
    <t>A14-D-FP/FA-B-N-010</t>
  </si>
  <si>
    <t>908040622, 5M, B3, 3.0mm</t>
  </si>
  <si>
    <t>A14-D-FP/FP-B-N-006</t>
  </si>
  <si>
    <t>908040590, 2M, B3, 3.0mm</t>
  </si>
  <si>
    <t>A14-D-LA/LA-B-N-007</t>
  </si>
  <si>
    <t>930003858, 5M, B3, 3.0mm</t>
  </si>
  <si>
    <t>A14-D-LP/FA-B-N-004</t>
  </si>
  <si>
    <t>908040524, 1M, B3, 3.0mm</t>
  </si>
  <si>
    <t>A14-D-LP/FP-B-N-007</t>
  </si>
  <si>
    <t>908040715, 2M, B3, 3.0mm</t>
  </si>
  <si>
    <t>A14-D-LP/LP-B-N-002</t>
  </si>
  <si>
    <t>908040693, 11M, B3, 2.0mm</t>
  </si>
  <si>
    <t>A14-D-LP/LP-B-N-019</t>
  </si>
  <si>
    <t>908041005, 9M, B3, 2.0mm</t>
  </si>
  <si>
    <t>A14-D-LP/LP-B-N-020</t>
  </si>
  <si>
    <t>A14-D-LP/SP-1-N-007</t>
  </si>
  <si>
    <t>908040764, 1M</t>
  </si>
  <si>
    <t>A14-D-LP/SP-B-N-010</t>
  </si>
  <si>
    <t>920000728, 35M, B3, 2.0mm</t>
  </si>
  <si>
    <t>A14-D-SA/FP-B-N-005</t>
  </si>
  <si>
    <t>DOJC-SM-SC/APC-FC/PC</t>
  </si>
  <si>
    <t>908040482, 20M, B3, 2.0mm</t>
  </si>
  <si>
    <t>A14-D-SA/SA-B-N-011</t>
  </si>
  <si>
    <t>908040563, 6M, B3, 2.0mm</t>
  </si>
  <si>
    <t>A14-D-SP/FA-B-N-003</t>
  </si>
  <si>
    <t>908040451, 19M, B3, 2.0mm</t>
  </si>
  <si>
    <t>A14-D-SP/FA-B-N-004</t>
  </si>
  <si>
    <t>908040434, 1M, B3, 3.0mm</t>
  </si>
  <si>
    <t>A14-D-SP/FP-B-N-003</t>
  </si>
  <si>
    <t>908040679, 1M, B3, 3.0mm</t>
  </si>
  <si>
    <t>A14-D-SP/FP-B-N-012</t>
  </si>
  <si>
    <t>908040684, 7M, B3, 2.0mm</t>
  </si>
  <si>
    <t>A14-D-SP/SA-B-N-014</t>
  </si>
  <si>
    <t>908040258, 8M, B3, 2.0mm</t>
  </si>
  <si>
    <t>A14-D1-N013</t>
  </si>
  <si>
    <t>908040769, 7M</t>
  </si>
  <si>
    <t>A14-DA-N663</t>
  </si>
  <si>
    <t>A14-DB-N153</t>
  </si>
  <si>
    <t>908040592, 5M, B3, 3.0mm</t>
  </si>
  <si>
    <t>A14-DB-N164</t>
  </si>
  <si>
    <t>A14-DB-N180</t>
  </si>
  <si>
    <t>A14-DB-N315</t>
  </si>
  <si>
    <t>50m, B3, 2.0mm</t>
  </si>
  <si>
    <t>A14-DB-N612</t>
  </si>
  <si>
    <t>A14-DB-N653</t>
  </si>
  <si>
    <t>A14-DB-N676</t>
  </si>
  <si>
    <t>A14-DB-N677</t>
  </si>
  <si>
    <t>2.5M, B3, 3.0mm</t>
  </si>
  <si>
    <t>A14-DB-N902</t>
  </si>
  <si>
    <t>30M, B3, 2.0mm</t>
  </si>
  <si>
    <t>A14-DB-N903</t>
  </si>
  <si>
    <t>A14-DB-N905</t>
  </si>
  <si>
    <t>1M, B3, 3.0mm</t>
  </si>
  <si>
    <t>A14-DB-NA80</t>
  </si>
  <si>
    <t>B3, 12M</t>
  </si>
  <si>
    <t>A14-DB-NA95</t>
  </si>
  <si>
    <t>A14-DB-NAN9</t>
  </si>
  <si>
    <t>A14-DB-NAP2</t>
  </si>
  <si>
    <t>A14-DB-ND99</t>
  </si>
  <si>
    <t>A14-DB-NF46</t>
  </si>
  <si>
    <t>A14-M-LP/LP-B-N-001</t>
  </si>
  <si>
    <t>920001090, 3M, B3</t>
  </si>
  <si>
    <t>A14-M-LP/LP-B-N-003</t>
  </si>
  <si>
    <t>930003872, 20M, B3</t>
  </si>
  <si>
    <t>A14-M-SA/SA-B-N-008</t>
  </si>
  <si>
    <t>MOJC-SM-12C-SC/APC-SC/APC</t>
  </si>
  <si>
    <t>908041130, 8M, B3</t>
  </si>
  <si>
    <t>A14-M-SP/LP-B-N-010</t>
  </si>
  <si>
    <t>MOJC-SM-12C-SC/PC-LC/PC</t>
  </si>
  <si>
    <t>920000612, 10M, B3</t>
  </si>
  <si>
    <t>A14-M-SP/LP-B-N-026</t>
  </si>
  <si>
    <t>MOJC-SM-6C-SC/PC-LC/PC</t>
  </si>
  <si>
    <t>920000492, 10M, B3</t>
  </si>
  <si>
    <t>A14-M-SP/SP-B-N-009</t>
  </si>
  <si>
    <t>908040801, 9M, B3</t>
  </si>
  <si>
    <t>A14-M-SP/SP-B-N-021</t>
  </si>
  <si>
    <t>920000155, 3M, B3</t>
  </si>
  <si>
    <t>A14-M-SP/SP-B-N-023</t>
  </si>
  <si>
    <t>920000157, 5M, B3</t>
  </si>
  <si>
    <t>A14-M-SP/SP-B-N-024</t>
  </si>
  <si>
    <t>920000159, 7M, B3</t>
  </si>
  <si>
    <t>A14-S-FA/FA-B-N-004</t>
  </si>
  <si>
    <t>908041360, 20M, B3, 2.0mm</t>
  </si>
  <si>
    <t>A14-S-LP/FA-B-N-007</t>
  </si>
  <si>
    <t>930001518, 35M, B3, 2.0mm</t>
  </si>
  <si>
    <t>A14-S-LP/FA-B-N-008</t>
  </si>
  <si>
    <t>920001071, 3M, B3, 3.0mm</t>
  </si>
  <si>
    <t>A14-S-LP/FP-B-N-011</t>
  </si>
  <si>
    <t>908040295, 6M, B3, 2.0mm</t>
  </si>
  <si>
    <t>A14-S-SA/FA-B-N-006</t>
  </si>
  <si>
    <t>908040389, 20M, B3, 2.0mm</t>
  </si>
  <si>
    <t>A14-S-SA/FA-B-N-008</t>
  </si>
  <si>
    <t>908040372, 2M, B3, 3.0mm</t>
  </si>
  <si>
    <t>A14-S-SP/FA-B-N-007</t>
  </si>
  <si>
    <t>908040312, 2M, B3, 3.0mm</t>
  </si>
  <si>
    <t>A14-S-SP/FP-B-N-008</t>
  </si>
  <si>
    <t>908041371, 3M, B3, 3.0mm</t>
  </si>
  <si>
    <t>A14-S-SP/FP-B-N-012</t>
  </si>
  <si>
    <t>908041377, 7M, B3, 2.0mm</t>
  </si>
  <si>
    <t>A14-S-SP/SP-1-N-001</t>
  </si>
  <si>
    <t>908040120, 10M</t>
  </si>
  <si>
    <t>A14-S-SP/SP-1-N-003</t>
  </si>
  <si>
    <t>908040130, 20M</t>
  </si>
  <si>
    <t>A14-S-SP/SP-1-N-006</t>
  </si>
  <si>
    <t>908040115, 5M</t>
  </si>
  <si>
    <t>A14-S-SP/SP-1-N-011</t>
  </si>
  <si>
    <t>908040117, 7M</t>
  </si>
  <si>
    <t>A14-SB-N080</t>
  </si>
  <si>
    <t>SOJC-SM-LC/PC-LC/APC</t>
  </si>
  <si>
    <t>A14-SB-N081</t>
  </si>
  <si>
    <t>A14-SB-N082</t>
  </si>
  <si>
    <t>A14-SB-N088</t>
  </si>
  <si>
    <t>A14-SB-N109</t>
  </si>
  <si>
    <t>A14-SB-N110</t>
  </si>
  <si>
    <t>A14-SB-N125</t>
  </si>
  <si>
    <t>920000741, 7M, B3, 2.0mm</t>
  </si>
  <si>
    <t>A14-SB-N257</t>
  </si>
  <si>
    <t>A14-SB-N297</t>
  </si>
  <si>
    <t>A14-SB-N299</t>
  </si>
  <si>
    <t>A14-SB-N308</t>
  </si>
  <si>
    <t>0.5M, B3, 3.0mm</t>
  </si>
  <si>
    <t>A14-SB-N381</t>
  </si>
  <si>
    <t>A14-SB-N455</t>
  </si>
  <si>
    <t>A14-SB-N456</t>
  </si>
  <si>
    <t>A14-SB-N657</t>
  </si>
  <si>
    <t>920001072, 3M, B3, 3.0mm</t>
  </si>
  <si>
    <t>A14-SB-N816</t>
  </si>
  <si>
    <t>A14-SB-N822</t>
  </si>
  <si>
    <t>A14-SB-N860</t>
  </si>
  <si>
    <t>A14-SB-N971</t>
  </si>
  <si>
    <t>A14-SB-N972</t>
  </si>
  <si>
    <t>A14-SB-N973</t>
  </si>
  <si>
    <t>A14-SB-N974</t>
  </si>
  <si>
    <t>A14-SB-N976</t>
  </si>
  <si>
    <t>30M, B3, 2mm</t>
  </si>
  <si>
    <t>A14-SB-N979</t>
  </si>
  <si>
    <t>A14-SB-N980</t>
  </si>
  <si>
    <t>SOJC-SM-​LC/APC-FC/APC</t>
  </si>
  <si>
    <t>A14-SB-N981</t>
  </si>
  <si>
    <t>8M, B3, 2.0mm</t>
  </si>
  <si>
    <t>A14-SB-N982</t>
  </si>
  <si>
    <t>0.5M,B3,2.0mm</t>
  </si>
  <si>
    <t>A14-SB-N983</t>
  </si>
  <si>
    <t>A14-SB-N984</t>
  </si>
  <si>
    <t>A14-SB-N985</t>
  </si>
  <si>
    <t>A14-SB-N986</t>
  </si>
  <si>
    <t>0.15M, B3, 2.0mm</t>
  </si>
  <si>
    <t>A14-SB-NA06</t>
  </si>
  <si>
    <t>A14-SB-NA31</t>
  </si>
  <si>
    <r>
      <rPr>
        <b/>
        <sz val="12"/>
        <color rgb="FFFFFFFF"/>
        <rFont val="Arial"/>
        <family val="2"/>
      </rPr>
      <t>2025</t>
    </r>
    <r>
      <rPr>
        <b/>
        <sz val="12"/>
        <color rgb="FFFFFFFF"/>
        <rFont val="DejaVu Sans"/>
        <family val="2"/>
      </rPr>
      <t xml:space="preserve">년 </t>
    </r>
    <r>
      <rPr>
        <b/>
        <sz val="12"/>
        <color rgb="FFFFFFFF"/>
        <rFont val="Arial"/>
        <family val="2"/>
      </rPr>
      <t xml:space="preserve">OJC </t>
    </r>
    <r>
      <rPr>
        <b/>
        <sz val="12"/>
        <color rgb="FFFFFFFF"/>
        <rFont val="DejaVu Sans"/>
        <family val="2"/>
      </rPr>
      <t xml:space="preserve">완제품 판매량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DejaVu Sans"/>
        <family val="2"/>
      </rPr>
      <t xml:space="preserve">월별 </t>
    </r>
    <r>
      <rPr>
        <b/>
        <sz val="12"/>
        <color rgb="FFFFFFFF"/>
        <rFont val="Arial"/>
        <family val="2"/>
      </rPr>
      <t xml:space="preserve">| </t>
    </r>
    <r>
      <rPr>
        <b/>
        <sz val="12"/>
        <color rgb="FFFFFFFF"/>
        <rFont val="DejaVu Sans"/>
        <family val="2"/>
      </rPr>
      <t>규격명 포함</t>
    </r>
    <r>
      <rPr>
        <b/>
        <sz val="12"/>
        <color rgb="FFFFFFFF"/>
        <rFont val="Arial"/>
        <family val="2"/>
      </rPr>
      <t>)</t>
    </r>
  </si>
  <si>
    <t>14-C-024</t>
  </si>
  <si>
    <t>14-C-076</t>
  </si>
  <si>
    <t>14-C-077</t>
  </si>
  <si>
    <t>14-C-099</t>
  </si>
  <si>
    <t>14-C-105</t>
  </si>
  <si>
    <t>14-C-123</t>
  </si>
  <si>
    <t>14-C-125</t>
  </si>
  <si>
    <t>14-C-366</t>
  </si>
  <si>
    <t>DROP-CABLE(LC/PC-SC/APC)-2C</t>
  </si>
  <si>
    <t>14-C-410</t>
  </si>
  <si>
    <t>14-C-520</t>
  </si>
  <si>
    <t>Optical Cable Parts,LC/PC-LC/PC-Single mode-70m-1Core</t>
  </si>
  <si>
    <t>14-C-584</t>
  </si>
  <si>
    <t>Optical Cable Parts,LC/PC-LC/PC-Single mode-5m-1Core</t>
  </si>
  <si>
    <t>14-C-601</t>
  </si>
  <si>
    <t>Optical Cable Parts,LC/PC-LC/PC-Single mode-10m-1Core</t>
  </si>
  <si>
    <t>14-C-627</t>
  </si>
  <si>
    <t>14-C-675</t>
  </si>
  <si>
    <t>14-C-678</t>
  </si>
  <si>
    <t>Optical Cable Parts,SC/PC-LC/PC-Single mode-3m-1Core</t>
  </si>
  <si>
    <t>657A2 , LSZH, 95MM/ 500MM</t>
  </si>
  <si>
    <t>14-C-687</t>
  </si>
  <si>
    <t>14-C-688</t>
  </si>
  <si>
    <t>14-C-690</t>
  </si>
  <si>
    <t>DROP-CABLE(SC/APC-SC/APC)</t>
  </si>
  <si>
    <t>14-C-691</t>
  </si>
  <si>
    <t>14-C-693</t>
  </si>
  <si>
    <t>14-C-696</t>
  </si>
  <si>
    <t>Optical Cable Parts,LC/PC-LC/PC-Single mode-15m-1Core</t>
  </si>
  <si>
    <t>657A2 , LSZH , 300MM/ 300MM</t>
  </si>
  <si>
    <t>14-C-697</t>
  </si>
  <si>
    <t>14-D-026</t>
  </si>
  <si>
    <t>14-D-028</t>
  </si>
  <si>
    <t>14-D-437</t>
  </si>
  <si>
    <t>14-D-A002</t>
  </si>
  <si>
    <r>
      <rPr>
        <sz val="9"/>
        <color rgb="FF000000"/>
        <rFont val="Arial"/>
        <family val="2"/>
      </rPr>
      <t>1M_</t>
    </r>
    <r>
      <rPr>
        <sz val="9"/>
        <color rgb="FF000000"/>
        <rFont val="DejaVu Sans"/>
        <family val="2"/>
      </rPr>
      <t>청색</t>
    </r>
  </si>
  <si>
    <t>14-D-A09</t>
  </si>
  <si>
    <r>
      <rPr>
        <sz val="9"/>
        <color rgb="FF000000"/>
        <rFont val="Arial"/>
        <family val="2"/>
      </rPr>
      <t>5M_</t>
    </r>
    <r>
      <rPr>
        <sz val="9"/>
        <color rgb="FF000000"/>
        <rFont val="DejaVu Sans"/>
        <family val="2"/>
      </rPr>
      <t>청색케이블</t>
    </r>
  </si>
  <si>
    <t>14-D-A106</t>
  </si>
  <si>
    <t>14-D-A125</t>
  </si>
  <si>
    <r>
      <rPr>
        <sz val="9"/>
        <color rgb="FF000000"/>
        <rFont val="Arial"/>
        <family val="2"/>
      </rPr>
      <t>K9089161_</t>
    </r>
    <r>
      <rPr>
        <sz val="9"/>
        <color rgb="FF000000"/>
        <rFont val="DejaVu Sans"/>
        <family val="2"/>
      </rPr>
      <t>녹색</t>
    </r>
  </si>
  <si>
    <t>14-D-A448</t>
  </si>
  <si>
    <t>14-K-014</t>
  </si>
  <si>
    <t>OJC-A1-FC/LC-SM-25-PC/PC-DP</t>
  </si>
  <si>
    <t>14-K-015</t>
  </si>
  <si>
    <t>OJC-A1-FC/LC-SM-30-PC/PC-DP</t>
  </si>
  <si>
    <t>K9089221</t>
  </si>
  <si>
    <t>14-K-016</t>
  </si>
  <si>
    <t>OJC-A1-FC/LC-SM-35M-PC/PC-DP</t>
  </si>
  <si>
    <t>14-K-018</t>
  </si>
  <si>
    <t>OJC-A1-FC/LC-SM-40-APC/PC-DP</t>
  </si>
  <si>
    <t>K9089243</t>
  </si>
  <si>
    <t>14-K-069</t>
  </si>
  <si>
    <t>OJC-A1-LC/LC-MM-70-PC/PC-DP</t>
  </si>
  <si>
    <t>14-K-083R</t>
  </si>
  <si>
    <t>14-K-101</t>
  </si>
  <si>
    <t>OJC-A1-LC/LC-SM-4-PC/PC-DP</t>
  </si>
  <si>
    <t>K9089174</t>
  </si>
  <si>
    <t>14-K-168</t>
  </si>
  <si>
    <t>OJC-A1-SC/LC-MM-7-PC/PC-DP</t>
  </si>
  <si>
    <t>14-K-186</t>
  </si>
  <si>
    <t>OJC-A1-SC/LC-SM-15-APC/PC-DP</t>
  </si>
  <si>
    <t>14-K-211</t>
  </si>
  <si>
    <t>14-K-219</t>
  </si>
  <si>
    <t>OJC-A1-SC/LC-SM-32-PC/PC-SP</t>
  </si>
  <si>
    <t>14-K-244</t>
  </si>
  <si>
    <t>OJC-A1-SC/LC-SM-6-PC/PC-SP</t>
  </si>
  <si>
    <t>14-K-248</t>
  </si>
  <si>
    <t>OJC-A1-SC/LC-SM-8-PC/PC-SP</t>
  </si>
  <si>
    <t>14-K-250</t>
  </si>
  <si>
    <t>OJC-A1-SC/LC-SM-9-PC/PC-SP</t>
  </si>
  <si>
    <t>14-K-269</t>
  </si>
  <si>
    <t>OJC-A1-SC/SC-MM-25-PC/PC-DP</t>
  </si>
  <si>
    <t>14-K-280</t>
  </si>
  <si>
    <t>OJC-A1-SC/SC-SM-0.5-PC/APC-SP</t>
  </si>
  <si>
    <t>14-K-284</t>
  </si>
  <si>
    <t>OJC-A1-SC/SC-SM-1.5-APC/APC-SP</t>
  </si>
  <si>
    <t>14-K-293</t>
  </si>
  <si>
    <t>OJC-A1-SC/SC-SM-12-PC/PC-DP</t>
  </si>
  <si>
    <t>K9089134</t>
  </si>
  <si>
    <t>14-K-297</t>
  </si>
  <si>
    <t>OJC-A1-SC/SC-SM-14-PC/PC-DP</t>
  </si>
  <si>
    <t>K9089136</t>
  </si>
  <si>
    <t>14-K-304</t>
  </si>
  <si>
    <t>OJC-A1-SC/SC-SM-16-PC/PC-DP</t>
  </si>
  <si>
    <t>K9089138</t>
  </si>
  <si>
    <t>14-K-305</t>
  </si>
  <si>
    <t>OJC-A1-SC/SC-SM-16-PC/PC-SP</t>
  </si>
  <si>
    <t>K9089009</t>
  </si>
  <si>
    <t>14-K-308</t>
  </si>
  <si>
    <t>OJC-A1-SC/SC-SM-18-PC/PC-DP</t>
  </si>
  <si>
    <t>K9089140</t>
  </si>
  <si>
    <t>14-K-309</t>
  </si>
  <si>
    <t>OJC-A1-SC/SC-SM-18-PC/PC-SP</t>
  </si>
  <si>
    <t>K9089011</t>
  </si>
  <si>
    <t>14-K-317</t>
  </si>
  <si>
    <t>OJC-A1-SC/SC-SM-20-APC/APC-DP</t>
  </si>
  <si>
    <t>14-K-325</t>
  </si>
  <si>
    <t>OJC-A1-SC/SC-SM-22-PC/PC-DP</t>
  </si>
  <si>
    <t>K9089144</t>
  </si>
  <si>
    <t>14-K-329</t>
  </si>
  <si>
    <t>OJC-A1-SC/SC-SM-24-PC/PC-DP</t>
  </si>
  <si>
    <t>K9089146</t>
  </si>
  <si>
    <t>14-K-340</t>
  </si>
  <si>
    <t>OJC-A1-SC/SC-SM-27-PC/PC-SP</t>
  </si>
  <si>
    <t>K9089020</t>
  </si>
  <si>
    <t>14-K-341</t>
  </si>
  <si>
    <t>OJC-A1-SC/SC-SM-28-PC/PC-DP</t>
  </si>
  <si>
    <t>K9089150</t>
  </si>
  <si>
    <t>14-K-342</t>
  </si>
  <si>
    <t>OJC-A1-SC/SC-SM-29-PC/PC-SP</t>
  </si>
  <si>
    <t>K9089022</t>
  </si>
  <si>
    <t>14-K-359</t>
  </si>
  <si>
    <t>OJC-A1-SC/SC-SM-3-PC/APC-DP</t>
  </si>
  <si>
    <t>K9089186</t>
  </si>
  <si>
    <t>14-K-368</t>
  </si>
  <si>
    <t>OJC-A1-SC/SC-SM-4-PC/PC-DP</t>
  </si>
  <si>
    <t>K9089126</t>
  </si>
  <si>
    <t>14-K-453</t>
  </si>
  <si>
    <t>OJC-C2-SC/LC-SM-40-PC/PC-12C</t>
  </si>
  <si>
    <t>14-K-478</t>
  </si>
  <si>
    <t>OJC-C2-SC/SC-SM-15-PC/PC-4C</t>
  </si>
  <si>
    <t>14-K-506</t>
  </si>
  <si>
    <t>OJC-C2-SC/SC-SM-20-PC/PC-8C</t>
  </si>
  <si>
    <t>14-K-513</t>
  </si>
  <si>
    <t>14-K-515</t>
  </si>
  <si>
    <t>14-K-517</t>
  </si>
  <si>
    <t>14-K-525</t>
  </si>
  <si>
    <t>OJC-C2-SC/SC-SM-30-PC/PC-12C</t>
  </si>
  <si>
    <t>14-K-527</t>
  </si>
  <si>
    <t>OJC-C2-SC/SC-SM-30-PC/PC-4C</t>
  </si>
  <si>
    <t>14-K-529</t>
  </si>
  <si>
    <t>OJC-C2-SC/SC-SM-30-PC/PC-8C</t>
  </si>
  <si>
    <t>14-K-530</t>
  </si>
  <si>
    <t>OJC-C2-SC/SC-SM-35-PC/PC-20C</t>
  </si>
  <si>
    <t>14-K-544</t>
  </si>
  <si>
    <t>OJC-C2-SC/SC-SM-4-PC/PC-16C</t>
  </si>
  <si>
    <t>14-K-549</t>
  </si>
  <si>
    <t>OJC-C2-SC/SC-SM-5-PC/PC-12C</t>
  </si>
  <si>
    <t>14-K-551</t>
  </si>
  <si>
    <t>OJC-C2-SC/SC-SM-5-PC/PC-20C</t>
  </si>
  <si>
    <t>k9094342</t>
  </si>
  <si>
    <t>14-K-558</t>
  </si>
  <si>
    <t>OJC-C2-SC/SC-SM-6-PC/PC-8C</t>
  </si>
  <si>
    <t>14-K-590</t>
  </si>
  <si>
    <t>OJC-A1-SC/SC-SM-14-PC/PC-SP</t>
  </si>
  <si>
    <t>K9089007</t>
  </si>
  <si>
    <t>14-K-595</t>
  </si>
  <si>
    <t>OJC-C2-SC/SC-SM-30-PC/PC-16C-1.0</t>
  </si>
  <si>
    <t>14-K-602</t>
  </si>
  <si>
    <t>OJC-A1-SC/LC-SM-7-PC/PC-SP</t>
  </si>
  <si>
    <t>14-K-607</t>
  </si>
  <si>
    <t>OJC-C2-SC/SC-SM-25-PC/PC-4C</t>
  </si>
  <si>
    <t>14-K-650</t>
  </si>
  <si>
    <t>OJC-A1-SC/LC-MM-13-PC/PC-DP</t>
  </si>
  <si>
    <t>14-K-656</t>
  </si>
  <si>
    <r>
      <rPr>
        <sz val="9"/>
        <color rgb="FF000000"/>
        <rFont val="Arial"/>
        <family val="2"/>
      </rPr>
      <t>K9089168_</t>
    </r>
    <r>
      <rPr>
        <sz val="9"/>
        <color rgb="FF000000"/>
        <rFont val="DejaVu Sans"/>
        <family val="2"/>
      </rPr>
      <t>청색</t>
    </r>
  </si>
  <si>
    <t>14-K-657</t>
  </si>
  <si>
    <r>
      <rPr>
        <sz val="9"/>
        <color rgb="FF000000"/>
        <rFont val="Arial"/>
        <family val="2"/>
      </rPr>
      <t>K9089167_</t>
    </r>
    <r>
      <rPr>
        <sz val="9"/>
        <color rgb="FF000000"/>
        <rFont val="DejaVu Sans"/>
        <family val="2"/>
      </rPr>
      <t>청색</t>
    </r>
  </si>
  <si>
    <t>14-K-658</t>
  </si>
  <si>
    <t>OJC-A1-LC/LC-MM-12-PC/PC-DP</t>
  </si>
  <si>
    <t>14-K-676</t>
  </si>
  <si>
    <t>OJC-A1-SC/ST-SM-10-PC/PC-SP</t>
  </si>
  <si>
    <t>14-K-680</t>
  </si>
  <si>
    <t>OJC-A1-SC/SC-SM-26-PC/PC-SP</t>
  </si>
  <si>
    <t>K9089019</t>
  </si>
  <si>
    <t>14-K-688</t>
  </si>
  <si>
    <r>
      <rPr>
        <sz val="9"/>
        <color rgb="FF000000"/>
        <rFont val="Arial"/>
        <family val="2"/>
      </rPr>
      <t>K9089034_</t>
    </r>
    <r>
      <rPr>
        <sz val="9"/>
        <color rgb="FF000000"/>
        <rFont val="DejaVu Sans"/>
        <family val="2"/>
      </rPr>
      <t>적색</t>
    </r>
  </si>
  <si>
    <t>14-K-699</t>
  </si>
  <si>
    <t>OJC-A1-SC/LC-MM(OM3)-10-PC/PC-DP</t>
  </si>
  <si>
    <t>14-K-700</t>
  </si>
  <si>
    <t>14-K-712</t>
  </si>
  <si>
    <r>
      <rPr>
        <sz val="9"/>
        <color rgb="FF000000"/>
        <rFont val="Arial"/>
        <family val="2"/>
      </rPr>
      <t>K9089152_</t>
    </r>
    <r>
      <rPr>
        <sz val="9"/>
        <color rgb="FF000000"/>
        <rFont val="DejaVu Sans"/>
        <family val="2"/>
      </rPr>
      <t>청색</t>
    </r>
  </si>
  <si>
    <t>14-K-743</t>
  </si>
  <si>
    <r>
      <rPr>
        <sz val="9"/>
        <color rgb="FF000000"/>
        <rFont val="Arial"/>
        <family val="2"/>
      </rPr>
      <t>K9089033_</t>
    </r>
    <r>
      <rPr>
        <sz val="9"/>
        <color rgb="FF000000"/>
        <rFont val="DejaVu Sans"/>
        <family val="2"/>
      </rPr>
      <t>적색</t>
    </r>
  </si>
  <si>
    <t>14-K-755</t>
  </si>
  <si>
    <r>
      <rPr>
        <sz val="9"/>
        <color rgb="FF000000"/>
        <rFont val="Arial"/>
        <family val="2"/>
      </rPr>
      <t>K9089183_</t>
    </r>
    <r>
      <rPr>
        <sz val="9"/>
        <color rgb="FF000000"/>
        <rFont val="DejaVu Sans"/>
        <family val="2"/>
      </rPr>
      <t>청색</t>
    </r>
  </si>
  <si>
    <t>14-K-758</t>
  </si>
  <si>
    <r>
      <rPr>
        <sz val="9"/>
        <color rgb="FF000000"/>
        <rFont val="Arial"/>
        <family val="2"/>
      </rPr>
      <t>K9089135_</t>
    </r>
    <r>
      <rPr>
        <sz val="9"/>
        <color rgb="FF000000"/>
        <rFont val="DejaVu Sans"/>
        <family val="2"/>
      </rPr>
      <t>청색</t>
    </r>
  </si>
  <si>
    <t>14-K-762</t>
  </si>
  <si>
    <t>OJC-C2-SC/SC-SM-10-PC/PC-4C</t>
  </si>
  <si>
    <t>14-K-763</t>
  </si>
  <si>
    <t>OJC-A1-SC/SC-SM-0.3-PC/PC-DP</t>
  </si>
  <si>
    <t>14-K-779</t>
  </si>
  <si>
    <r>
      <rPr>
        <sz val="9"/>
        <color rgb="FF000000"/>
        <rFont val="Arial"/>
        <family val="2"/>
      </rPr>
      <t>K9089162_</t>
    </r>
    <r>
      <rPr>
        <sz val="9"/>
        <color rgb="FF000000"/>
        <rFont val="DejaVu Sans"/>
        <family val="2"/>
      </rPr>
      <t>적색</t>
    </r>
  </si>
  <si>
    <t>14-K-785</t>
  </si>
  <si>
    <t>OJC-A1-SC/SC-SM-28-PC/PC-SP</t>
  </si>
  <si>
    <t>K9089021</t>
  </si>
  <si>
    <t>14-K-794</t>
  </si>
  <si>
    <r>
      <rPr>
        <sz val="9"/>
        <color rgb="FF000000"/>
        <rFont val="Arial"/>
        <family val="2"/>
      </rPr>
      <t>K9089023_</t>
    </r>
    <r>
      <rPr>
        <sz val="9"/>
        <color rgb="FF000000"/>
        <rFont val="DejaVu Sans"/>
        <family val="2"/>
      </rPr>
      <t>녹색</t>
    </r>
  </si>
  <si>
    <t>14-K-801</t>
  </si>
  <si>
    <t>OJC-C2-SC/SC-SM-12-PC/PC-16C</t>
  </si>
  <si>
    <t>14-K-818</t>
  </si>
  <si>
    <r>
      <rPr>
        <sz val="9"/>
        <color rgb="FF000000"/>
        <rFont val="Arial"/>
        <family val="2"/>
      </rPr>
      <t>K9089003_</t>
    </r>
    <r>
      <rPr>
        <sz val="9"/>
        <color rgb="FF000000"/>
        <rFont val="DejaVu Sans"/>
        <family val="2"/>
      </rPr>
      <t>적색</t>
    </r>
  </si>
  <si>
    <t>14-K-819</t>
  </si>
  <si>
    <t>OJC-A1-LC/LC-MM(OM3)-1-PC/PC-DP</t>
  </si>
  <si>
    <t>14-K-830</t>
  </si>
  <si>
    <t>OJC-A1-SC/LC-SM-55-PC/PC-DP</t>
  </si>
  <si>
    <t>14-K-858</t>
  </si>
  <si>
    <t>OJC-A1-LC/LC-MM(OM3)-100-PC/PC-DP</t>
  </si>
  <si>
    <t>14-K-872</t>
  </si>
  <si>
    <t>OJC-A1-SC/LC-MM(OM3)-20-PC/PC-DP</t>
  </si>
  <si>
    <t>14-K-873</t>
  </si>
  <si>
    <r>
      <rPr>
        <sz val="9"/>
        <color rgb="FF000000"/>
        <rFont val="Arial"/>
        <family val="2"/>
      </rPr>
      <t>K9089184_</t>
    </r>
    <r>
      <rPr>
        <sz val="9"/>
        <color rgb="FF000000"/>
        <rFont val="DejaVu Sans"/>
        <family val="2"/>
      </rPr>
      <t>청색</t>
    </r>
  </si>
  <si>
    <t>14-K-937</t>
  </si>
  <si>
    <t>OJC-A1-LC/LC-SM-40-PC/PC-SP</t>
  </si>
  <si>
    <t>K9089053</t>
  </si>
  <si>
    <t>14-K-988</t>
  </si>
  <si>
    <t>14-K-A100</t>
  </si>
  <si>
    <t>14-K-A129</t>
  </si>
  <si>
    <t>14-K-A161</t>
  </si>
  <si>
    <r>
      <rPr>
        <sz val="9"/>
        <color rgb="FF000000"/>
        <rFont val="Arial"/>
        <family val="2"/>
      </rPr>
      <t xml:space="preserve">K9094339, </t>
    </r>
    <r>
      <rPr>
        <sz val="9"/>
        <color rgb="FF000000"/>
        <rFont val="DejaVu Sans"/>
        <family val="2"/>
      </rPr>
      <t xml:space="preserve">편단 분기부 </t>
    </r>
    <r>
      <rPr>
        <sz val="9"/>
        <color rgb="FF000000"/>
        <rFont val="Arial"/>
        <family val="2"/>
      </rPr>
      <t>0.5M</t>
    </r>
  </si>
  <si>
    <t>14-K-A164</t>
  </si>
  <si>
    <t>OJC-A1-SC/FC-SM-20-PC/APC-DP</t>
  </si>
  <si>
    <t>14-K-A241</t>
  </si>
  <si>
    <r>
      <rPr>
        <sz val="9"/>
        <color rgb="FF000000"/>
        <rFont val="Arial"/>
        <family val="2"/>
      </rPr>
      <t>K9088994_</t>
    </r>
    <r>
      <rPr>
        <sz val="9"/>
        <color rgb="FF000000"/>
        <rFont val="DejaVu Sans"/>
        <family val="2"/>
      </rPr>
      <t>녹색</t>
    </r>
  </si>
  <si>
    <t>14-K-A266</t>
  </si>
  <si>
    <t>OJC-A1-LC/LC-SM-17-PC/PC-SP</t>
  </si>
  <si>
    <t>14-K-A278</t>
  </si>
  <si>
    <t>OJC-A1-LC/LC-SM-65-PC/PC-DP</t>
  </si>
  <si>
    <t>14-K-A28</t>
  </si>
  <si>
    <t>OJC-C2-SC/SC-SM-35-PC/PC-8C</t>
  </si>
  <si>
    <t>14-K-A306</t>
  </si>
  <si>
    <t>14-K-A307</t>
  </si>
  <si>
    <t>14-K-A33</t>
  </si>
  <si>
    <t>OJC-A1-FC/LC-SM-30-APC/PC-DP</t>
  </si>
  <si>
    <t>14-K-A37</t>
  </si>
  <si>
    <t>OJC-A1-FC/LC-SM-50-APC/PC-DP</t>
  </si>
  <si>
    <t>14-K-A52</t>
  </si>
  <si>
    <t>OJC-A1-SC/SC-SM-1-APC/APC-DP</t>
  </si>
  <si>
    <t>K9089245</t>
  </si>
  <si>
    <t>14-K-A716</t>
  </si>
  <si>
    <t>LC/DP CLIP Type, 5M</t>
  </si>
  <si>
    <t>14-K-A718</t>
  </si>
  <si>
    <t>LC/DP CLIP Type, 7M</t>
  </si>
  <si>
    <t>14-K-A722</t>
  </si>
  <si>
    <t>LC/DP CLIP Type, 11M</t>
  </si>
  <si>
    <t>14-K-A731</t>
  </si>
  <si>
    <t>LC/DP CLIP Type, 20M</t>
  </si>
  <si>
    <t>14-K-A746</t>
  </si>
  <si>
    <t>LC/DP CLIP Type, 35M</t>
  </si>
  <si>
    <t>14-K-A761</t>
  </si>
  <si>
    <t>LC/DP CLIP Type, 50M</t>
  </si>
  <si>
    <t>14-K-A766</t>
  </si>
  <si>
    <t>OJC-A1-LC/LC-MM(OM3)-55-PC/PC-DP</t>
  </si>
  <si>
    <t>LC/DP CLIP Type, 55M</t>
  </si>
  <si>
    <t>14-K-A768</t>
  </si>
  <si>
    <t>OJC-A1-LC/LC-MM(OM3)-57-PC/PC-DP</t>
  </si>
  <si>
    <t>LC/DP CLIP Type, 57M</t>
  </si>
  <si>
    <t>14-K-A781</t>
  </si>
  <si>
    <t>LC/DP CLIP Type, 70M</t>
  </si>
  <si>
    <t>14-K-A791</t>
  </si>
  <si>
    <t>OJC-A1-LC/LC-MM(OM3)-80-PC/PC-DP</t>
  </si>
  <si>
    <t>LC/DP CLIP Type, 80M</t>
  </si>
  <si>
    <t>14-K-B131</t>
  </si>
  <si>
    <t>OJC-A1-SC/LC-SM-55-PC/PC-SP</t>
  </si>
  <si>
    <t>14-K-B208</t>
  </si>
  <si>
    <t>OJC-C2-SC/LC-SM-10-PC/PC-8C</t>
  </si>
  <si>
    <t>K9089467</t>
  </si>
  <si>
    <t>14-K-B368</t>
  </si>
  <si>
    <t>OJC-A1-SC/SC-SM-7-APC/APC-DP</t>
  </si>
  <si>
    <t>14-K-B372</t>
  </si>
  <si>
    <t>14-K-B377</t>
  </si>
  <si>
    <t>OJC-A1-LC/LC-SM-11-PC/PC-SP</t>
  </si>
  <si>
    <t>14-K-B378</t>
  </si>
  <si>
    <t>OJC-A1-LC/LC-SM-3-PC/APC-SP</t>
  </si>
  <si>
    <t>14-K-B379</t>
  </si>
  <si>
    <t>OJC-A1-LC/LC-SM-15-PC/APC-SP</t>
  </si>
  <si>
    <t>14-K-B381</t>
  </si>
  <si>
    <t>OJC-A1-LC/LC-SM-0.9-PC/PC-SP</t>
  </si>
  <si>
    <t>14-K-B382</t>
  </si>
  <si>
    <t>OJC-A1-LC/LC-SM-0.75-PC/PC-DP</t>
  </si>
  <si>
    <t>14-K-B383</t>
  </si>
  <si>
    <t>OJC-A1-LC/LC-SM-1.5-PC/PC-DP</t>
  </si>
  <si>
    <t>14-K-B384</t>
  </si>
  <si>
    <t>14-K-B385</t>
  </si>
  <si>
    <t>OJC-A1-LC/LC-SM-2.5-PC/PC-DP</t>
  </si>
  <si>
    <t>14-K-B386</t>
  </si>
  <si>
    <t>OJC-A1-SC/LC-MM(OM3)-18-PC/PC-DP</t>
  </si>
  <si>
    <t>14-K-B387</t>
  </si>
  <si>
    <t>OJC-A1-FC/LC-SM-5-PC/PC-DP</t>
  </si>
  <si>
    <t>14-K-B388</t>
  </si>
  <si>
    <t>14-K-B389</t>
  </si>
  <si>
    <t>14-K-B390</t>
  </si>
  <si>
    <t>OJC-A1-FC/LC-SM-55-PC/PC-DP</t>
  </si>
  <si>
    <t>14-K-B391</t>
  </si>
  <si>
    <t>OJC-A1-SC/LC-SM-60-APC/PC-DP</t>
  </si>
  <si>
    <t>14-K-B392</t>
  </si>
  <si>
    <t>OJC-A1-SC/LC-SM-30-APC/PC-DP</t>
  </si>
  <si>
    <t>14-K-B393</t>
  </si>
  <si>
    <t>OJC-C2-SC/LC-SM-13-PC/PC-8C</t>
  </si>
  <si>
    <t>14-K-B394</t>
  </si>
  <si>
    <t>K9089175, CLIP Type</t>
  </si>
  <si>
    <t>14-K-B395</t>
  </si>
  <si>
    <t>CLIP Type</t>
  </si>
  <si>
    <t>14-K-B396</t>
  </si>
  <si>
    <t>OJC-A1-LC/LC-MM(OM3)-9-PC/PC-DP</t>
  </si>
  <si>
    <t>14-K-B397</t>
  </si>
  <si>
    <t>14-K-B398</t>
  </si>
  <si>
    <t>14-K-B399</t>
  </si>
  <si>
    <t>14-K-B400</t>
  </si>
  <si>
    <t>14-K-B401</t>
  </si>
  <si>
    <t>14-K-B402</t>
  </si>
  <si>
    <t>14-K-B403</t>
  </si>
  <si>
    <t>14-K-B404</t>
  </si>
  <si>
    <t>14-K-B405</t>
  </si>
  <si>
    <t>14-K-B406</t>
  </si>
  <si>
    <t>14-K-B407</t>
  </si>
  <si>
    <t>14-K-B408</t>
  </si>
  <si>
    <t>14-K-B409</t>
  </si>
  <si>
    <t>OJC-A1-ST/LC-MM-15-PC/PC-DP</t>
  </si>
  <si>
    <t>14-K-B414</t>
  </si>
  <si>
    <t>OJC-A1-SC/LC-MM-12-PC/PC-DP</t>
  </si>
  <si>
    <t>14-K-B415</t>
  </si>
  <si>
    <t>14-K-B416</t>
  </si>
  <si>
    <t>14-K-B417</t>
  </si>
  <si>
    <t>OJC-A1-LC/LC-MM(OM3)-160-PC/PC-DP</t>
  </si>
  <si>
    <t>14-K-B418</t>
  </si>
  <si>
    <r>
      <rPr>
        <sz val="9"/>
        <color rgb="FF000000"/>
        <rFont val="Arial"/>
        <family val="2"/>
      </rPr>
      <t>K9089169_</t>
    </r>
    <r>
      <rPr>
        <sz val="9"/>
        <color rgb="FF000000"/>
        <rFont val="DejaVu Sans"/>
        <family val="2"/>
      </rPr>
      <t>적색</t>
    </r>
  </si>
  <si>
    <t>14-K-B419</t>
  </si>
  <si>
    <t>OJC-A1-SC/LC-SM-31-PC/PC-SP</t>
  </si>
  <si>
    <t>14-K-B420</t>
  </si>
  <si>
    <t>OJC-A1-SC/LC-SM-33-PC/PC-SP</t>
  </si>
  <si>
    <t>14-K-B421</t>
  </si>
  <si>
    <t>OJC-A1-SC/LC-SM-34-PC/PC-SP</t>
  </si>
  <si>
    <t>14-K-B422</t>
  </si>
  <si>
    <t>OJC-A1-LC/LC-SM-12-PC/PC-SP</t>
  </si>
  <si>
    <t>14-K-B423</t>
  </si>
  <si>
    <t>OJC-A1-LC/LC-SM-13-PC/PC-SP</t>
  </si>
  <si>
    <t>14-K-B424</t>
  </si>
  <si>
    <t>OJC-A1-LC/LC-SM-14-PC/PC-SP</t>
  </si>
  <si>
    <t>14-K-B425</t>
  </si>
  <si>
    <t>OJC-A1-LC/LC-SM-16-PC/PC-SP</t>
  </si>
  <si>
    <t>14-K-B426</t>
  </si>
  <si>
    <t>OJC-A1-LC/LC-SM-18-PC/PC-SP</t>
  </si>
  <si>
    <t>14-K-B427</t>
  </si>
  <si>
    <t>OJC-A1-LC/LC-SM-19-PC/PC-SP</t>
  </si>
  <si>
    <t>14-K-B428</t>
  </si>
  <si>
    <t>OJC-A1-LC/LC-SM-21-PC/PC-SP</t>
  </si>
  <si>
    <t>14-K-B429</t>
  </si>
  <si>
    <t>OJC-A1-LC/LC-SM-22-PC/PC-SP</t>
  </si>
  <si>
    <t>14-K-B430</t>
  </si>
  <si>
    <t>OJC-A1-LC/LC-SM-23-PC/PC-SP</t>
  </si>
  <si>
    <t>14-K-B431</t>
  </si>
  <si>
    <t>OJC-A1-LC/LC-SM-24-PC/PC-SP</t>
  </si>
  <si>
    <t>14-K-B432</t>
  </si>
  <si>
    <t>OJC-A1-LC/LC-SM-26-PC/PC-SP</t>
  </si>
  <si>
    <t>14-K-B433</t>
  </si>
  <si>
    <t>OJC-A1-LC/LC-SM-27-PC/PC-SP</t>
  </si>
  <si>
    <t>14-K-B434</t>
  </si>
  <si>
    <t>OJC-A1-LC/LC-SM-28-PC/PC-SP</t>
  </si>
  <si>
    <t>14-K-B435</t>
  </si>
  <si>
    <t>OJC-A1-LC/LC-SM-29-PC/PC-SP</t>
  </si>
  <si>
    <t>14-M-016</t>
  </si>
  <si>
    <t>14-M-A076</t>
  </si>
  <si>
    <t>MOJC-SM-12C-LC/PC</t>
  </si>
  <si>
    <r>
      <rPr>
        <sz val="9"/>
        <color rgb="FF000000"/>
        <rFont val="Arial"/>
        <family val="2"/>
      </rPr>
      <t xml:space="preserve">3M, </t>
    </r>
    <r>
      <rPr>
        <sz val="9"/>
        <color rgb="FF000000"/>
        <rFont val="DejaVu Sans"/>
        <family val="2"/>
      </rPr>
      <t>한쪽만 커넥팅</t>
    </r>
  </si>
  <si>
    <t>14-P-013</t>
  </si>
  <si>
    <t>PIGTAIL-SC/APC-SM-1C (2.0mm)</t>
  </si>
  <si>
    <t>14-P-028</t>
  </si>
  <si>
    <t>PIGTAIL-LC/APC-SM-1C (2.0mm)</t>
  </si>
  <si>
    <t>14-P-038</t>
  </si>
  <si>
    <t>PIGTAIL-SC/PC-MM-12C (0.9mm)</t>
  </si>
  <si>
    <t>14-P-089</t>
  </si>
  <si>
    <t>14-P-108</t>
  </si>
  <si>
    <r>
      <rPr>
        <sz val="9"/>
        <color rgb="FF000000"/>
        <rFont val="Arial"/>
        <family val="2"/>
      </rPr>
      <t>1.5M_12</t>
    </r>
    <r>
      <rPr>
        <sz val="9"/>
        <color rgb="FF000000"/>
        <rFont val="DejaVu Sans"/>
        <family val="2"/>
      </rPr>
      <t xml:space="preserve">색 </t>
    </r>
    <r>
      <rPr>
        <sz val="9"/>
        <color rgb="FF000000"/>
        <rFont val="Arial"/>
        <family val="2"/>
      </rPr>
      <t>/ USKOM</t>
    </r>
    <r>
      <rPr>
        <sz val="9"/>
        <color rgb="FF000000"/>
        <rFont val="DejaVu Sans"/>
        <family val="2"/>
      </rPr>
      <t>튀르키예향</t>
    </r>
  </si>
  <si>
    <t>14-P-109</t>
  </si>
  <si>
    <t>14-S-086</t>
  </si>
  <si>
    <t>14-S-094</t>
  </si>
  <si>
    <t>14-S-097</t>
  </si>
  <si>
    <t>14-S-261</t>
  </si>
  <si>
    <t>14-S-447</t>
  </si>
  <si>
    <t>14-S-867</t>
  </si>
  <si>
    <t>OJC-A1-SC/LC-SM-0.3-PC/PC-SP</t>
  </si>
  <si>
    <t>14-S-868</t>
  </si>
  <si>
    <t>OJC-A1-SC/SC-SM-0.3-PC/PC-SP</t>
  </si>
  <si>
    <t>14-S-897</t>
  </si>
  <si>
    <t>SOJC-SM-LC/PC-LC-PC</t>
  </si>
  <si>
    <r>
      <rPr>
        <sz val="9"/>
        <color rgb="FF000000"/>
        <rFont val="Arial"/>
        <family val="2"/>
      </rPr>
      <t>7M,</t>
    </r>
    <r>
      <rPr>
        <sz val="9"/>
        <color rgb="FF000000"/>
        <rFont val="DejaVu Sans"/>
        <family val="2"/>
      </rPr>
      <t>청색 케이블</t>
    </r>
  </si>
  <si>
    <t>14-S-A001</t>
  </si>
  <si>
    <r>
      <rPr>
        <sz val="9"/>
        <color rgb="FF000000"/>
        <rFont val="Arial"/>
        <family val="2"/>
      </rPr>
      <t>13M,</t>
    </r>
    <r>
      <rPr>
        <sz val="9"/>
        <color rgb="FF000000"/>
        <rFont val="DejaVu Sans"/>
        <family val="2"/>
      </rPr>
      <t>청색 케이블</t>
    </r>
  </si>
  <si>
    <t>14-S-A042</t>
  </si>
  <si>
    <t>0.2M</t>
  </si>
  <si>
    <t>14-S-A375</t>
  </si>
  <si>
    <r>
      <rPr>
        <sz val="9"/>
        <color rgb="FF000000"/>
        <rFont val="Arial"/>
        <family val="2"/>
      </rPr>
      <t xml:space="preserve">10M, </t>
    </r>
    <r>
      <rPr>
        <sz val="9"/>
        <color rgb="FF000000"/>
        <rFont val="DejaVu Sans"/>
        <family val="2"/>
      </rPr>
      <t>적색케이블</t>
    </r>
  </si>
  <si>
    <t>14-k-727</t>
  </si>
  <si>
    <t>OJC-C2-SC/SC-SM-6-PC/PC-16C</t>
  </si>
  <si>
    <t>A14-D-FA/FA-B-N-014</t>
  </si>
  <si>
    <t>908040655, 8M, B3, 2.0mm</t>
  </si>
  <si>
    <t>A14-D-LP/LP-1-N-050</t>
  </si>
  <si>
    <t>920000786, 4M</t>
  </si>
  <si>
    <t>A14-D-LP/SA-B-N-002</t>
  </si>
  <si>
    <t>908040919, 13M, B3, 2.0mm</t>
  </si>
  <si>
    <t>A14-D-LP/SA-B-N-012</t>
  </si>
  <si>
    <t>908040912, 6M, B3, 2.0mm</t>
  </si>
  <si>
    <t>A14-D-LP/SP-1-N-019</t>
  </si>
  <si>
    <t>908040767, 5M</t>
  </si>
  <si>
    <t>A14-D-SP/FA-B-N-010</t>
  </si>
  <si>
    <t>908040436, 4M, B3, 3.0mm</t>
  </si>
  <si>
    <t>A14-D-SP/FA-B-N-012</t>
  </si>
  <si>
    <t>908040438, 6M, B3, 2.0mm</t>
  </si>
  <si>
    <t>A14-DB-N190</t>
  </si>
  <si>
    <t>A14-DB-N488</t>
  </si>
  <si>
    <t>A14-DB-N489</t>
  </si>
  <si>
    <t>A14-DB-N490</t>
  </si>
  <si>
    <t>A14-DB-N491</t>
  </si>
  <si>
    <t>A14-DB-N492</t>
  </si>
  <si>
    <t>27M, B3, 2.0mm</t>
  </si>
  <si>
    <t>A14-DB-N613</t>
  </si>
  <si>
    <t>A14-DB-N679</t>
  </si>
  <si>
    <t>0.3M, B3, 3.0mm</t>
  </si>
  <si>
    <t>A14-DB-N906</t>
  </si>
  <si>
    <t>28M, B3, 2.0mm</t>
  </si>
  <si>
    <t>A14-DB-N907</t>
  </si>
  <si>
    <t>A14-DB-N908</t>
  </si>
  <si>
    <t>A14-DB-N909</t>
  </si>
  <si>
    <t>75M, B3, 2.0mm</t>
  </si>
  <si>
    <t>A14-M-LP/LP-B-N-002</t>
  </si>
  <si>
    <t>930003871, 10M, B3</t>
  </si>
  <si>
    <t>A14-M-SA/LP-B-N-001</t>
  </si>
  <si>
    <t>MOJC-SM-12C-SC/APC-LC/PC</t>
  </si>
  <si>
    <t>920000552, 10M, B3</t>
  </si>
  <si>
    <t>A14-S-LP/SP-1-N-001</t>
  </si>
  <si>
    <t>908040200, 10M</t>
  </si>
  <si>
    <t>A14-S-LP/SP-1-N-002</t>
  </si>
  <si>
    <t>908040205, 15M</t>
  </si>
  <si>
    <t>A14-S-LP/SP-1-N-010</t>
  </si>
  <si>
    <t>908040192, 1M</t>
  </si>
  <si>
    <t>A14-S-LP/SP-B-N-002</t>
  </si>
  <si>
    <t>908040174, 14M, B3, 2.0mm</t>
  </si>
  <si>
    <t>A14-S-LP/SP-B-N-010</t>
  </si>
  <si>
    <t>908040164, 4M, B3, 3.0mm</t>
  </si>
  <si>
    <t>A14-S-SA/FA-B-N-001</t>
  </si>
  <si>
    <t>908040379, 10M, B3, 2.0mm</t>
  </si>
  <si>
    <t>A14-S-SA/SA-B-N-012</t>
  </si>
  <si>
    <t>908041456, 7M, B3, 2.0mm</t>
  </si>
  <si>
    <t>A14-S-SP/FA-B-N-012</t>
  </si>
  <si>
    <t>908040315, 6M, B3, 2.0mm</t>
  </si>
  <si>
    <t>A14-S-SP/FP-1-N-001</t>
  </si>
  <si>
    <t>SOJC-MM-SC/PC-FC/PC</t>
  </si>
  <si>
    <t>908040401, 1M</t>
  </si>
  <si>
    <t>A14-S-SP/FP-B-N-003</t>
  </si>
  <si>
    <t>908041372, 1M, B3, 3.0mm</t>
  </si>
  <si>
    <t>A14-S-SP/SA-B-N-012</t>
  </si>
  <si>
    <t>908041425, 6M, B3, 2.0mm</t>
  </si>
  <si>
    <t>A14-S-SP/SA-B-N-013</t>
  </si>
  <si>
    <t>908041426, 7M, B3, 2.0mm</t>
  </si>
  <si>
    <t>A14-SB-N154</t>
  </si>
  <si>
    <t>A14-SB-N155</t>
  </si>
  <si>
    <t>A14-SB-N156</t>
  </si>
  <si>
    <t>A14-SB-N453</t>
  </si>
  <si>
    <t>A14-SB-N660</t>
  </si>
  <si>
    <t>35M, B3, 2mm</t>
  </si>
  <si>
    <t>A14-SB-N975</t>
  </si>
  <si>
    <t>A14-SB-N987</t>
  </si>
  <si>
    <t>15M, B3, 2mm</t>
  </si>
  <si>
    <t>A14-SB-NA32</t>
  </si>
  <si>
    <t>A14-SB-NA38</t>
  </si>
  <si>
    <t>A14-SB-NA39</t>
  </si>
  <si>
    <t>A14-SB-NA40</t>
  </si>
  <si>
    <t>SOJC-SM-SC/PC-ST/PC</t>
  </si>
  <si>
    <t>3M, B3, 2.0mm</t>
  </si>
  <si>
    <t>A14-SB-ND52</t>
  </si>
  <si>
    <r>
      <rPr>
        <b/>
        <sz val="12"/>
        <color rgb="FFFFFFFF"/>
        <rFont val="Arial"/>
        <family val="2"/>
      </rPr>
      <t>2026</t>
    </r>
    <r>
      <rPr>
        <b/>
        <sz val="12"/>
        <color rgb="FFFFFFFF"/>
        <rFont val="DejaVu Sans"/>
        <family val="2"/>
      </rPr>
      <t xml:space="preserve">년 </t>
    </r>
    <r>
      <rPr>
        <b/>
        <sz val="12"/>
        <color rgb="FFFFFFFF"/>
        <rFont val="Arial"/>
        <family val="2"/>
      </rPr>
      <t xml:space="preserve">OJC </t>
    </r>
    <r>
      <rPr>
        <b/>
        <sz val="12"/>
        <color rgb="FFFFFFFF"/>
        <rFont val="DejaVu Sans"/>
        <family val="2"/>
      </rPr>
      <t xml:space="preserve">완제품 판매량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DejaVu Sans"/>
        <family val="2"/>
      </rPr>
      <t xml:space="preserve">월별 </t>
    </r>
    <r>
      <rPr>
        <b/>
        <sz val="12"/>
        <color rgb="FFFFFFFF"/>
        <rFont val="Arial"/>
        <family val="2"/>
      </rPr>
      <t xml:space="preserve">| </t>
    </r>
    <r>
      <rPr>
        <b/>
        <sz val="12"/>
        <color rgb="FFFFFFFF"/>
        <rFont val="DejaVu Sans"/>
        <family val="2"/>
      </rPr>
      <t>규격명 포함</t>
    </r>
    <r>
      <rPr>
        <b/>
        <sz val="12"/>
        <color rgb="FFFFFFFF"/>
        <rFont val="Arial"/>
        <family val="2"/>
      </rPr>
      <t>)</t>
    </r>
  </si>
  <si>
    <t>14-C-094</t>
  </si>
  <si>
    <t>14-C-360</t>
  </si>
  <si>
    <t>14-C-407</t>
  </si>
  <si>
    <t>14-C-409</t>
  </si>
  <si>
    <t>14-C-484</t>
  </si>
  <si>
    <t>DROP-CABLE(LC/APC)</t>
  </si>
  <si>
    <t>14-C-515</t>
  </si>
  <si>
    <t>Optical Cable Parts,LC/PC-LC/PC-Single mode-20m-1Core</t>
  </si>
  <si>
    <t>14-C-701</t>
  </si>
  <si>
    <t>DROP-CABLE(LC/APC-SC/APC)</t>
  </si>
  <si>
    <t>14-C-703</t>
  </si>
  <si>
    <t>14-C-705</t>
  </si>
  <si>
    <t>14-C-707</t>
  </si>
  <si>
    <t>14-C-720</t>
  </si>
  <si>
    <t>657A2,LSZH,LC DUPLEX KIT(CLIP),200MM/500MM/boots:blue&amp;red,blue&amp;red/cable-Black(5mm),blue,red(2mm)</t>
  </si>
  <si>
    <t>14-D-218</t>
  </si>
  <si>
    <t>14-D-594</t>
  </si>
  <si>
    <t>14-K-078R</t>
  </si>
  <si>
    <r>
      <rPr>
        <sz val="9"/>
        <color rgb="FF000000"/>
        <rFont val="Arial"/>
        <family val="2"/>
      </rPr>
      <t>K9089176_</t>
    </r>
    <r>
      <rPr>
        <sz val="9"/>
        <color rgb="FF000000"/>
        <rFont val="DejaVu Sans"/>
        <family val="2"/>
      </rPr>
      <t>적색</t>
    </r>
  </si>
  <si>
    <t>14-K-177R</t>
  </si>
  <si>
    <t>14-K-690</t>
  </si>
  <si>
    <r>
      <rPr>
        <sz val="9"/>
        <color rgb="FF000000"/>
        <rFont val="Arial"/>
        <family val="2"/>
      </rPr>
      <t>K9089035_</t>
    </r>
    <r>
      <rPr>
        <sz val="9"/>
        <color rgb="FF000000"/>
        <rFont val="DejaVu Sans"/>
        <family val="2"/>
      </rPr>
      <t>적색</t>
    </r>
  </si>
  <si>
    <t>14-K-692</t>
  </si>
  <si>
    <r>
      <rPr>
        <sz val="9"/>
        <color rgb="FF000000"/>
        <rFont val="Arial"/>
        <family val="2"/>
      </rPr>
      <t>K9089036_</t>
    </r>
    <r>
      <rPr>
        <sz val="9"/>
        <color rgb="FF000000"/>
        <rFont val="DejaVu Sans"/>
        <family val="2"/>
      </rPr>
      <t>적색</t>
    </r>
  </si>
  <si>
    <t>14-K-694</t>
  </si>
  <si>
    <r>
      <rPr>
        <sz val="9"/>
        <color rgb="FF000000"/>
        <rFont val="Arial"/>
        <family val="2"/>
      </rPr>
      <t>K9089037_</t>
    </r>
    <r>
      <rPr>
        <sz val="9"/>
        <color rgb="FF000000"/>
        <rFont val="DejaVu Sans"/>
        <family val="2"/>
      </rPr>
      <t>적색</t>
    </r>
  </si>
  <si>
    <t>14-K-A178</t>
  </si>
  <si>
    <t>OJC-A1-SC/LC-SM-7-APC/PC-SP</t>
  </si>
  <si>
    <t>14-K-A26</t>
  </si>
  <si>
    <t>OJC-C2-SC/SC-SM-50-PC/PC-8C</t>
  </si>
  <si>
    <t>14-K-B438</t>
  </si>
  <si>
    <r>
      <rPr>
        <sz val="9"/>
        <color rgb="FF000000"/>
        <rFont val="Arial"/>
        <family val="2"/>
      </rPr>
      <t>K9089162_</t>
    </r>
    <r>
      <rPr>
        <sz val="9"/>
        <color rgb="FF000000"/>
        <rFont val="DejaVu Sans"/>
        <family val="2"/>
      </rPr>
      <t>포앤티</t>
    </r>
  </si>
  <si>
    <t>14-K-B439</t>
  </si>
  <si>
    <r>
      <rPr>
        <sz val="9"/>
        <color rgb="FF000000"/>
        <rFont val="Arial"/>
        <family val="2"/>
      </rPr>
      <t>K9089164_</t>
    </r>
    <r>
      <rPr>
        <sz val="9"/>
        <color rgb="FF000000"/>
        <rFont val="DejaVu Sans"/>
        <family val="2"/>
      </rPr>
      <t>포앤티</t>
    </r>
  </si>
  <si>
    <t>14-K-B440</t>
  </si>
  <si>
    <r>
      <rPr>
        <sz val="9"/>
        <color rgb="FF000000"/>
        <rFont val="Arial"/>
        <family val="2"/>
      </rPr>
      <t>K9089003_</t>
    </r>
    <r>
      <rPr>
        <sz val="9"/>
        <color rgb="FF000000"/>
        <rFont val="DejaVu Sans"/>
        <family val="2"/>
      </rPr>
      <t>포앤티</t>
    </r>
  </si>
  <si>
    <t>14-K-B441</t>
  </si>
  <si>
    <r>
      <rPr>
        <sz val="9"/>
        <color rgb="FF000000"/>
        <rFont val="Arial"/>
        <family val="2"/>
      </rPr>
      <t>K9089008_</t>
    </r>
    <r>
      <rPr>
        <sz val="9"/>
        <color rgb="FF000000"/>
        <rFont val="DejaVu Sans"/>
        <family val="2"/>
      </rPr>
      <t>포앤티</t>
    </r>
  </si>
  <si>
    <t>14-K-B442</t>
  </si>
  <si>
    <r>
      <rPr>
        <sz val="9"/>
        <color rgb="FF000000"/>
        <rFont val="Arial"/>
        <family val="2"/>
      </rPr>
      <t>K9089013_</t>
    </r>
    <r>
      <rPr>
        <sz val="9"/>
        <color rgb="FF000000"/>
        <rFont val="DejaVu Sans"/>
        <family val="2"/>
      </rPr>
      <t>포앤티</t>
    </r>
  </si>
  <si>
    <t>14-K-B443</t>
  </si>
  <si>
    <r>
      <rPr>
        <sz val="9"/>
        <color rgb="FF000000"/>
        <rFont val="Arial"/>
        <family val="2"/>
      </rPr>
      <t>K9089018_</t>
    </r>
    <r>
      <rPr>
        <sz val="9"/>
        <color rgb="FF000000"/>
        <rFont val="DejaVu Sans"/>
        <family val="2"/>
      </rPr>
      <t>포앤티</t>
    </r>
  </si>
  <si>
    <t>14-K-B481</t>
  </si>
  <si>
    <r>
      <rPr>
        <sz val="9"/>
        <color rgb="FF000000"/>
        <rFont val="Arial"/>
        <family val="2"/>
      </rPr>
      <t>K9089023_</t>
    </r>
    <r>
      <rPr>
        <sz val="9"/>
        <color rgb="FF000000"/>
        <rFont val="DejaVu Sans"/>
        <family val="2"/>
      </rPr>
      <t>포앤티</t>
    </r>
  </si>
  <si>
    <t>14-K-B482</t>
  </si>
  <si>
    <r>
      <rPr>
        <sz val="9"/>
        <color rgb="FF000000"/>
        <rFont val="Arial"/>
        <family val="2"/>
      </rPr>
      <t>K9089024_</t>
    </r>
    <r>
      <rPr>
        <sz val="9"/>
        <color rgb="FF000000"/>
        <rFont val="DejaVu Sans"/>
        <family val="2"/>
      </rPr>
      <t>포앤티</t>
    </r>
  </si>
  <si>
    <t>14-K-B483</t>
  </si>
  <si>
    <r>
      <rPr>
        <sz val="9"/>
        <color rgb="FF000000"/>
        <rFont val="Arial"/>
        <family val="2"/>
      </rPr>
      <t>K9089025_</t>
    </r>
    <r>
      <rPr>
        <sz val="9"/>
        <color rgb="FF000000"/>
        <rFont val="DejaVu Sans"/>
        <family val="2"/>
      </rPr>
      <t>포앤티</t>
    </r>
  </si>
  <si>
    <t>14-K-B546</t>
  </si>
  <si>
    <r>
      <rPr>
        <sz val="9"/>
        <color rgb="FF000000"/>
        <rFont val="Arial"/>
        <family val="2"/>
      </rPr>
      <t>K9089132_</t>
    </r>
    <r>
      <rPr>
        <sz val="9"/>
        <color rgb="FF000000"/>
        <rFont val="DejaVu Sans"/>
        <family val="2"/>
      </rPr>
      <t>포앤티</t>
    </r>
  </si>
  <si>
    <t>14-K-B556</t>
  </si>
  <si>
    <r>
      <rPr>
        <sz val="9"/>
        <color rgb="FF000000"/>
        <rFont val="Arial"/>
        <family val="2"/>
      </rPr>
      <t>K9089142_</t>
    </r>
    <r>
      <rPr>
        <sz val="9"/>
        <color rgb="FF000000"/>
        <rFont val="DejaVu Sans"/>
        <family val="2"/>
      </rPr>
      <t>포앤티</t>
    </r>
  </si>
  <si>
    <t>14-K-B566</t>
  </si>
  <si>
    <r>
      <rPr>
        <sz val="9"/>
        <color rgb="FF000000"/>
        <rFont val="Arial"/>
        <family val="2"/>
      </rPr>
      <t>K9089152_</t>
    </r>
    <r>
      <rPr>
        <sz val="9"/>
        <color rgb="FF000000"/>
        <rFont val="DejaVu Sans"/>
        <family val="2"/>
      </rPr>
      <t>포앤티</t>
    </r>
  </si>
  <si>
    <t>14-K-B568</t>
  </si>
  <si>
    <r>
      <rPr>
        <sz val="9"/>
        <color rgb="FF000000"/>
        <rFont val="Arial"/>
        <family val="2"/>
      </rPr>
      <t>K9089154_</t>
    </r>
    <r>
      <rPr>
        <sz val="9"/>
        <color rgb="FF000000"/>
        <rFont val="DejaVu Sans"/>
        <family val="2"/>
      </rPr>
      <t>포앤티</t>
    </r>
  </si>
  <si>
    <t>14-K-B571</t>
  </si>
  <si>
    <r>
      <rPr>
        <sz val="9"/>
        <color rgb="FF000000"/>
        <rFont val="Arial"/>
        <family val="2"/>
      </rPr>
      <t>K9089157_</t>
    </r>
    <r>
      <rPr>
        <sz val="9"/>
        <color rgb="FF000000"/>
        <rFont val="DejaVu Sans"/>
        <family val="2"/>
      </rPr>
      <t>포앤티</t>
    </r>
  </si>
  <si>
    <t>14-K-B572</t>
  </si>
  <si>
    <r>
      <rPr>
        <sz val="9"/>
        <color rgb="FF000000"/>
        <rFont val="Arial"/>
        <family val="2"/>
      </rPr>
      <t>K9089158_</t>
    </r>
    <r>
      <rPr>
        <sz val="9"/>
        <color rgb="FF000000"/>
        <rFont val="DejaVu Sans"/>
        <family val="2"/>
      </rPr>
      <t>포앤티</t>
    </r>
  </si>
  <si>
    <t>14-K-B574</t>
  </si>
  <si>
    <r>
      <rPr>
        <sz val="9"/>
        <color rgb="FF000000"/>
        <rFont val="Arial"/>
        <family val="2"/>
      </rPr>
      <t>K9089161_</t>
    </r>
    <r>
      <rPr>
        <sz val="9"/>
        <color rgb="FF000000"/>
        <rFont val="DejaVu Sans"/>
        <family val="2"/>
      </rPr>
      <t>포앤티</t>
    </r>
  </si>
  <si>
    <t>14-K-B576</t>
  </si>
  <si>
    <r>
      <rPr>
        <sz val="9"/>
        <color rgb="FF000000"/>
        <rFont val="Arial"/>
        <family val="2"/>
      </rPr>
      <t>K9089165_</t>
    </r>
    <r>
      <rPr>
        <sz val="9"/>
        <color rgb="FF000000"/>
        <rFont val="DejaVu Sans"/>
        <family val="2"/>
      </rPr>
      <t>포앤티</t>
    </r>
  </si>
  <si>
    <t>14-K-B645</t>
  </si>
  <si>
    <r>
      <rPr>
        <sz val="9"/>
        <color rgb="FF000000"/>
        <rFont val="Arial"/>
        <family val="2"/>
      </rPr>
      <t>K9089330_</t>
    </r>
    <r>
      <rPr>
        <sz val="9"/>
        <color rgb="FF000000"/>
        <rFont val="DejaVu Sans"/>
        <family val="2"/>
      </rPr>
      <t>포앤티</t>
    </r>
  </si>
  <si>
    <t>14-K-B651</t>
  </si>
  <si>
    <r>
      <rPr>
        <sz val="9"/>
        <color rgb="FF000000"/>
        <rFont val="Arial"/>
        <family val="2"/>
      </rPr>
      <t>K9089336_</t>
    </r>
    <r>
      <rPr>
        <sz val="9"/>
        <color rgb="FF000000"/>
        <rFont val="DejaVu Sans"/>
        <family val="2"/>
      </rPr>
      <t>포앤티</t>
    </r>
  </si>
  <si>
    <t>14-K-B690</t>
  </si>
  <si>
    <t>OJC-A1-SC/SC-SM-80-PC/PC-DP</t>
  </si>
  <si>
    <t>14-S-138</t>
  </si>
  <si>
    <t>14-S-146</t>
  </si>
  <si>
    <t>14-S-360</t>
  </si>
  <si>
    <t>14-S-400</t>
  </si>
  <si>
    <t>14-k-B437</t>
  </si>
  <si>
    <t>OJC-C2-SC/SC-SM-35-PC/PC-4C</t>
  </si>
  <si>
    <t>A14-D-LP/LP-1-N-060</t>
  </si>
  <si>
    <t>A14-D-LP/SP-B-N-020</t>
  </si>
  <si>
    <t>A14-DB-N119</t>
  </si>
  <si>
    <t>A14-DB-N183</t>
  </si>
  <si>
    <t>65M, B3, 2.0mm</t>
  </si>
  <si>
    <t>A14-DB-N213</t>
  </si>
  <si>
    <t>A14-DB-N311</t>
  </si>
  <si>
    <t>A14-DB-N312</t>
  </si>
  <si>
    <t>A14-DB-N321</t>
  </si>
  <si>
    <t>A14-DB-N414</t>
  </si>
  <si>
    <t>A14-DB-N417</t>
  </si>
  <si>
    <t>A14-DB-N482</t>
  </si>
  <si>
    <t>1.5m, B3, 3mm</t>
  </si>
  <si>
    <t>A14-DB-N512</t>
  </si>
  <si>
    <t>A14-M-SP/SA-B-N-010</t>
  </si>
  <si>
    <t>908040832, 10M, B3</t>
  </si>
  <si>
    <t>A14-S-LP/LP-B-N-015</t>
  </si>
  <si>
    <t>908040268, 9M, B3, 2.0mm</t>
  </si>
  <si>
    <t>A14-S-SA/FA-B-N-007</t>
  </si>
  <si>
    <t>908040394, 25M, B3, 2.0mm</t>
  </si>
  <si>
    <t>A14-S-SA/LA-B-N-001</t>
  </si>
  <si>
    <t>SOJC-SM-SC/APC-LC/APC</t>
  </si>
  <si>
    <t>3M, G657.B3, 3.0mm</t>
  </si>
  <si>
    <t>A14-S-SP/FA-B-N-014</t>
  </si>
  <si>
    <t>908040317, 8M, B3, 2.0mm</t>
  </si>
  <si>
    <t>A14-SB-N100</t>
  </si>
  <si>
    <t>80M, B3, 3.0mm</t>
  </si>
  <si>
    <t>A14-SB-N206</t>
  </si>
  <si>
    <t>A14-SB-NA29</t>
  </si>
  <si>
    <t>A14-SB-NA33</t>
  </si>
  <si>
    <t>A14-SB-NA41</t>
  </si>
  <si>
    <t>A14-SB-ND40</t>
  </si>
  <si>
    <t>A14-TT-N575</t>
  </si>
  <si>
    <t>657A2 , LSZH , LC DUPLEX KIT(CLIP),150MM/ 150MM</t>
  </si>
  <si>
    <t>A14-TT-N576</t>
  </si>
  <si>
    <r>
      <rPr>
        <b/>
        <sz val="12"/>
        <color rgb="FFFFFFFF"/>
        <rFont val="DejaVu Sans"/>
        <family val="2"/>
      </rPr>
      <t xml:space="preserve">전체 완제품 판매량 — 연간 합계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DejaVu Sans"/>
        <family val="2"/>
      </rPr>
      <t>규격명 포함</t>
    </r>
    <r>
      <rPr>
        <b/>
        <sz val="12"/>
        <color rgb="FFFFFFFF"/>
        <rFont val="Arial"/>
        <family val="2"/>
      </rPr>
      <t>)</t>
    </r>
  </si>
  <si>
    <r>
      <rPr>
        <b/>
        <sz val="9"/>
        <color rgb="FFFFFFFF"/>
        <rFont val="Arial"/>
        <family val="2"/>
      </rPr>
      <t>23</t>
    </r>
    <r>
      <rPr>
        <b/>
        <sz val="9"/>
        <color rgb="FFFFFFFF"/>
        <rFont val="DejaVu Sans"/>
        <family val="2"/>
      </rPr>
      <t>년</t>
    </r>
  </si>
  <si>
    <r>
      <rPr>
        <b/>
        <sz val="9"/>
        <color rgb="FFFFFFFF"/>
        <rFont val="Arial"/>
        <family val="2"/>
      </rPr>
      <t>24</t>
    </r>
    <r>
      <rPr>
        <b/>
        <sz val="9"/>
        <color rgb="FFFFFFFF"/>
        <rFont val="DejaVu Sans"/>
        <family val="2"/>
      </rPr>
      <t>년</t>
    </r>
  </si>
  <si>
    <r>
      <rPr>
        <b/>
        <sz val="9"/>
        <color rgb="FFFFFFFF"/>
        <rFont val="Arial"/>
        <family val="2"/>
      </rPr>
      <t>25</t>
    </r>
    <r>
      <rPr>
        <b/>
        <sz val="9"/>
        <color rgb="FFFFFFFF"/>
        <rFont val="DejaVu Sans"/>
        <family val="2"/>
      </rPr>
      <t>년</t>
    </r>
  </si>
  <si>
    <r>
      <rPr>
        <b/>
        <sz val="9"/>
        <color rgb="FFFFFFFF"/>
        <rFont val="Arial"/>
        <family val="2"/>
      </rPr>
      <t>26</t>
    </r>
    <r>
      <rPr>
        <b/>
        <sz val="9"/>
        <color rgb="FFFFFFFF"/>
        <rFont val="DejaVu Sans"/>
        <family val="2"/>
      </rPr>
      <t>년</t>
    </r>
  </si>
  <si>
    <r>
      <rPr>
        <b/>
        <sz val="12"/>
        <color rgb="FFFFFFFF"/>
        <rFont val="DejaVu Sans"/>
        <family val="2"/>
      </rPr>
      <t>원자재</t>
    </r>
    <r>
      <rPr>
        <b/>
        <sz val="12"/>
        <color rgb="FFFFFFFF"/>
        <rFont val="Arial"/>
        <family val="2"/>
      </rPr>
      <t>·</t>
    </r>
    <r>
      <rPr>
        <b/>
        <sz val="12"/>
        <color rgb="FFFFFFFF"/>
        <rFont val="DejaVu Sans"/>
        <family val="2"/>
      </rPr>
      <t xml:space="preserve">부품 단품 판매량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DejaVu Sans"/>
        <family val="2"/>
      </rPr>
      <t xml:space="preserve">연간 합계 </t>
    </r>
    <r>
      <rPr>
        <b/>
        <sz val="12"/>
        <color rgb="FFFFFFFF"/>
        <rFont val="Arial"/>
        <family val="2"/>
      </rPr>
      <t xml:space="preserve">| </t>
    </r>
    <r>
      <rPr>
        <b/>
        <sz val="12"/>
        <color rgb="FFFFFFFF"/>
        <rFont val="DejaVu Sans"/>
        <family val="2"/>
      </rPr>
      <t>규격명 포함</t>
    </r>
    <r>
      <rPr>
        <b/>
        <sz val="12"/>
        <color rgb="FFFFFFFF"/>
        <rFont val="Arial"/>
        <family val="2"/>
      </rPr>
      <t>)</t>
    </r>
  </si>
  <si>
    <t>P14-LS-401D</t>
  </si>
  <si>
    <t>OJC HOUSING (LC/PC 2.0)</t>
  </si>
  <si>
    <t>P14-LS-404D</t>
  </si>
  <si>
    <t>OJC LC BOOT (3.0 RED)</t>
  </si>
  <si>
    <t>SHORT BOOT</t>
  </si>
  <si>
    <t>P14-LS-404F</t>
  </si>
  <si>
    <t>OJC LC BOOT (3.0 BLUE)</t>
  </si>
  <si>
    <t>P14-LS-4241</t>
  </si>
  <si>
    <t>OJC FRAME (LC/PC 2.0)</t>
  </si>
  <si>
    <t>P14-LS-4401</t>
  </si>
  <si>
    <t>OJC CRIMP SLEEVE (OJC LC 3.0)</t>
  </si>
  <si>
    <t>9.5MM</t>
  </si>
  <si>
    <t>P14-LS-4421</t>
  </si>
  <si>
    <t>OJC WHITE TUBE (LC/PC 2.0)</t>
  </si>
  <si>
    <t>P14-RM-4043</t>
  </si>
  <si>
    <t>OJC SC BOOT (0.9 BLUE)</t>
  </si>
  <si>
    <t>P14-RM-4045</t>
  </si>
  <si>
    <t>OJC SC BOOT (0.9 GREEN)</t>
  </si>
  <si>
    <t>P14-RM-4046</t>
  </si>
  <si>
    <t>OJC SC BOOT (2.0 BLUE)</t>
  </si>
  <si>
    <t>P14-RM-4047</t>
  </si>
  <si>
    <t>OJC SC BOOT (2.0 GREEN)</t>
  </si>
  <si>
    <t>P14-RM-4048</t>
  </si>
  <si>
    <t>OJC SC BOOT (2.0 RED)</t>
  </si>
  <si>
    <t>P14-RM-4211</t>
  </si>
  <si>
    <t>OJC SC STOPPER (OJC, A-TYPE)</t>
  </si>
  <si>
    <t>P14-RM-4243</t>
  </si>
  <si>
    <t>SC PLUG FRAME(OJC,SOC)</t>
  </si>
  <si>
    <t>FOR SOC(54,56),OJC</t>
  </si>
  <si>
    <r>
      <rPr>
        <b/>
        <sz val="12"/>
        <color rgb="FFFFFFFF"/>
        <rFont val="DejaVu Sans"/>
        <family val="2"/>
      </rPr>
      <t xml:space="preserve">광분배함 판매량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DejaVu Sans"/>
        <family val="2"/>
      </rPr>
      <t xml:space="preserve">연간 합계 </t>
    </r>
    <r>
      <rPr>
        <b/>
        <sz val="12"/>
        <color rgb="FFFFFFFF"/>
        <rFont val="Arial"/>
        <family val="2"/>
      </rPr>
      <t xml:space="preserve">| </t>
    </r>
    <r>
      <rPr>
        <b/>
        <sz val="12"/>
        <color rgb="FFFFFFFF"/>
        <rFont val="DejaVu Sans"/>
        <family val="2"/>
      </rPr>
      <t>규격명 포함</t>
    </r>
    <r>
      <rPr>
        <b/>
        <sz val="12"/>
        <color rgb="FFFFFFFF"/>
        <rFont val="Arial"/>
        <family val="2"/>
      </rPr>
      <t>)</t>
    </r>
  </si>
  <si>
    <r>
      <rPr>
        <b/>
        <sz val="12"/>
        <color rgb="FFFFFFFF"/>
        <rFont val="DejaVu Sans"/>
        <family val="2"/>
      </rPr>
      <t xml:space="preserve">전체 완제품 판매량 — 연간 요약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DejaVu Sans"/>
        <family val="2"/>
      </rPr>
      <t>규격명 포함</t>
    </r>
    <r>
      <rPr>
        <b/>
        <sz val="12"/>
        <color rgb="FFFFFFFF"/>
        <rFont val="Arial"/>
        <family val="2"/>
      </rPr>
      <t>)</t>
    </r>
  </si>
  <si>
    <r>
      <rPr>
        <b/>
        <sz val="12"/>
        <color rgb="FFFFFFFF"/>
        <rFont val="DejaVu Sans"/>
        <family val="2"/>
      </rPr>
      <t xml:space="preserve">완제품 제품군별 </t>
    </r>
    <r>
      <rPr>
        <b/>
        <sz val="12"/>
        <color rgb="FFFFFFFF"/>
        <rFont val="Arial"/>
        <family val="2"/>
      </rPr>
      <t xml:space="preserve">Top 10  —  ① </t>
    </r>
    <r>
      <rPr>
        <b/>
        <sz val="12"/>
        <color rgb="FFFFFFFF"/>
        <rFont val="DejaVu Sans"/>
        <family val="2"/>
      </rPr>
      <t>전체</t>
    </r>
    <r>
      <rPr>
        <b/>
        <sz val="12"/>
        <color rgb="FFFFFFFF"/>
        <rFont val="Arial"/>
        <family val="2"/>
      </rPr>
      <t>(⚡📉</t>
    </r>
    <r>
      <rPr>
        <b/>
        <sz val="12"/>
        <color rgb="FFFFFFFF"/>
        <rFont val="DejaVu Sans"/>
        <family val="2"/>
      </rPr>
      <t>포함</t>
    </r>
    <r>
      <rPr>
        <b/>
        <sz val="12"/>
        <color rgb="FFFFFFFF"/>
        <rFont val="Arial"/>
        <family val="2"/>
      </rPr>
      <t xml:space="preserve">)  ②  </t>
    </r>
    <r>
      <rPr>
        <b/>
        <sz val="12"/>
        <color rgb="FFFFFFFF"/>
        <rFont val="DejaVu Sans"/>
        <family val="2"/>
      </rPr>
      <t>꾸준한 판매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DejaVu Sans"/>
        <family val="2"/>
      </rPr>
      <t>급등</t>
    </r>
    <r>
      <rPr>
        <b/>
        <sz val="12"/>
        <color rgb="FFFFFFFF"/>
        <rFont val="Arial"/>
        <family val="2"/>
      </rPr>
      <t>·</t>
    </r>
    <r>
      <rPr>
        <b/>
        <sz val="12"/>
        <color rgb="FFFFFFFF"/>
        <rFont val="DejaVu Sans"/>
        <family val="2"/>
      </rPr>
      <t>급락 제외</t>
    </r>
    <r>
      <rPr>
        <b/>
        <sz val="12"/>
        <color rgb="FFFFFFFF"/>
        <rFont val="Arial"/>
        <family val="2"/>
      </rPr>
      <t xml:space="preserve">) | </t>
    </r>
    <r>
      <rPr>
        <b/>
        <sz val="12"/>
        <color rgb="FFFFFFFF"/>
        <rFont val="DejaVu Sans"/>
        <family val="2"/>
      </rPr>
      <t>규격명 포함</t>
    </r>
  </si>
  <si>
    <r>
      <rPr>
        <sz val="9"/>
        <color rgb="FFFFFFFF"/>
        <rFont val="DejaVu Sans"/>
        <family val="2"/>
      </rPr>
      <t>연평균</t>
    </r>
    <r>
      <rPr>
        <sz val="9"/>
        <color rgb="FFFFFFFF"/>
        <rFont val="Arial"/>
        <family val="2"/>
      </rPr>
      <t>(23~25</t>
    </r>
    <r>
      <rPr>
        <sz val="9"/>
        <color rgb="FFFFFFFF"/>
        <rFont val="DejaVu Sans"/>
        <family val="2"/>
      </rPr>
      <t>년</t>
    </r>
    <r>
      <rPr>
        <sz val="9"/>
        <color rgb="FFFFFFFF"/>
        <rFont val="Arial"/>
        <family val="2"/>
      </rPr>
      <t xml:space="preserve">) </t>
    </r>
    <r>
      <rPr>
        <sz val="9"/>
        <color rgb="FFFFFFFF"/>
        <rFont val="DejaVu Sans"/>
        <family val="2"/>
      </rPr>
      <t xml:space="preserve">기준 정렬 </t>
    </r>
    <r>
      <rPr>
        <sz val="9"/>
        <color rgb="FFFFFFFF"/>
        <rFont val="Arial"/>
        <family val="2"/>
      </rPr>
      <t>| 2</t>
    </r>
    <r>
      <rPr>
        <sz val="9"/>
        <color rgb="FFFFFFFF"/>
        <rFont val="DejaVu Sans"/>
        <family val="2"/>
      </rPr>
      <t>개년</t>
    </r>
    <r>
      <rPr>
        <sz val="9"/>
        <color rgb="FFFFFFFF"/>
        <rFont val="Arial"/>
        <family val="2"/>
      </rPr>
      <t xml:space="preserve">+ </t>
    </r>
    <r>
      <rPr>
        <sz val="9"/>
        <color rgb="FFFFFFFF"/>
        <rFont val="DejaVu Sans"/>
        <family val="2"/>
      </rPr>
      <t xml:space="preserve">필수 </t>
    </r>
    <r>
      <rPr>
        <sz val="9"/>
        <color rgb="FFFFFFFF"/>
        <rFont val="Arial"/>
        <family val="2"/>
      </rPr>
      <t>| ⚡</t>
    </r>
    <r>
      <rPr>
        <sz val="9"/>
        <color rgb="FFFFFFFF"/>
        <rFont val="DejaVu Sans"/>
        <family val="2"/>
      </rPr>
      <t>급등</t>
    </r>
    <r>
      <rPr>
        <sz val="9"/>
        <color rgb="FFFFFFFF"/>
        <rFont val="Arial"/>
        <family val="2"/>
      </rPr>
      <t>=</t>
    </r>
    <r>
      <rPr>
        <sz val="9"/>
        <color rgb="FFFFFFFF"/>
        <rFont val="DejaVu Sans"/>
        <family val="2"/>
      </rPr>
      <t>주황 📉급락</t>
    </r>
    <r>
      <rPr>
        <sz val="9"/>
        <color rgb="FFFFFFFF"/>
        <rFont val="Arial"/>
        <family val="2"/>
      </rPr>
      <t>=</t>
    </r>
    <r>
      <rPr>
        <sz val="9"/>
        <color rgb="FFFFFFFF"/>
        <rFont val="DejaVu Sans"/>
        <family val="2"/>
      </rPr>
      <t>파랑 ✅꾸준</t>
    </r>
    <r>
      <rPr>
        <sz val="9"/>
        <color rgb="FFFFFFFF"/>
        <rFont val="Arial"/>
        <family val="2"/>
      </rPr>
      <t>=</t>
    </r>
    <r>
      <rPr>
        <sz val="9"/>
        <color rgb="FFFFFFFF"/>
        <rFont val="DejaVu Sans"/>
        <family val="2"/>
      </rPr>
      <t>초록</t>
    </r>
  </si>
  <si>
    <r>
      <rPr>
        <b/>
        <sz val="11"/>
        <color rgb="FFFFFFFF"/>
        <rFont val="Arial"/>
        <family val="2"/>
      </rPr>
      <t xml:space="preserve">▶  DOJC  ①  </t>
    </r>
    <r>
      <rPr>
        <b/>
        <sz val="11"/>
        <color rgb="FFFFFFFF"/>
        <rFont val="DejaVu Sans"/>
        <family val="2"/>
      </rPr>
      <t xml:space="preserve">전체 </t>
    </r>
    <r>
      <rPr>
        <b/>
        <sz val="11"/>
        <color rgb="FFFFFFFF"/>
        <rFont val="Arial"/>
        <family val="2"/>
      </rPr>
      <t>Top10  (</t>
    </r>
    <r>
      <rPr>
        <b/>
        <sz val="11"/>
        <color rgb="FFFFFFFF"/>
        <rFont val="DejaVu Sans"/>
        <family val="2"/>
      </rPr>
      <t>전체</t>
    </r>
    <r>
      <rPr>
        <b/>
        <sz val="11"/>
        <color rgb="FFFFFFFF"/>
        <rFont val="Arial"/>
        <family val="2"/>
      </rPr>
      <t>551</t>
    </r>
    <r>
      <rPr>
        <b/>
        <sz val="11"/>
        <color rgb="FFFFFFFF"/>
        <rFont val="DejaVu Sans"/>
        <family val="2"/>
      </rPr>
      <t xml:space="preserve">개 </t>
    </r>
    <r>
      <rPr>
        <b/>
        <sz val="11"/>
        <color rgb="FFFFFFFF"/>
        <rFont val="Arial"/>
        <family val="2"/>
      </rPr>
      <t>| 1</t>
    </r>
    <r>
      <rPr>
        <b/>
        <sz val="11"/>
        <color rgb="FFFFFFFF"/>
        <rFont val="DejaVu Sans"/>
        <family val="2"/>
      </rPr>
      <t>개년이하</t>
    </r>
    <r>
      <rPr>
        <b/>
        <sz val="11"/>
        <color rgb="FFFFFFFF"/>
        <rFont val="Arial"/>
        <family val="2"/>
      </rPr>
      <t>267</t>
    </r>
    <r>
      <rPr>
        <b/>
        <sz val="11"/>
        <color rgb="FFFFFFFF"/>
        <rFont val="DejaVu Sans"/>
        <family val="2"/>
      </rPr>
      <t>개 제외</t>
    </r>
    <r>
      <rPr>
        <b/>
        <sz val="11"/>
        <color rgb="FFFFFFFF"/>
        <rFont val="Arial"/>
        <family val="2"/>
      </rPr>
      <t>)</t>
    </r>
  </si>
  <si>
    <t>순위</t>
  </si>
  <si>
    <r>
      <rPr>
        <b/>
        <sz val="9"/>
        <color rgb="FFFFFFFF"/>
        <rFont val="Arial"/>
        <family val="2"/>
      </rPr>
      <t>3</t>
    </r>
    <r>
      <rPr>
        <b/>
        <sz val="9"/>
        <color rgb="FFFFFFFF"/>
        <rFont val="DejaVu Sans"/>
        <family val="2"/>
      </rPr>
      <t>개년합계</t>
    </r>
  </si>
  <si>
    <t>연평균</t>
  </si>
  <si>
    <t>활성연도</t>
  </si>
  <si>
    <t>비고</t>
  </si>
  <si>
    <r>
      <rPr>
        <sz val="9"/>
        <color rgb="FF000000"/>
        <rFont val="Arial"/>
        <family val="2"/>
      </rPr>
      <t>3</t>
    </r>
    <r>
      <rPr>
        <sz val="9"/>
        <color rgb="FF000000"/>
        <rFont val="DejaVu Sans"/>
        <family val="2"/>
      </rPr>
      <t>개년</t>
    </r>
  </si>
  <si>
    <t>✅</t>
  </si>
  <si>
    <t>소계</t>
  </si>
  <si>
    <r>
      <rPr>
        <b/>
        <sz val="11"/>
        <color rgb="FFFFFFFF"/>
        <rFont val="Arial"/>
        <family val="2"/>
      </rPr>
      <t xml:space="preserve">▶  DOJC  ②  </t>
    </r>
    <r>
      <rPr>
        <b/>
        <sz val="11"/>
        <color rgb="FFFFFFFF"/>
        <rFont val="DejaVu Sans"/>
        <family val="2"/>
      </rPr>
      <t xml:space="preserve">꾸준한 판매 </t>
    </r>
    <r>
      <rPr>
        <b/>
        <sz val="11"/>
        <color rgb="FFFFFFFF"/>
        <rFont val="Arial"/>
        <family val="2"/>
      </rPr>
      <t>Top10  (</t>
    </r>
    <r>
      <rPr>
        <b/>
        <sz val="11"/>
        <color rgb="FFFFFFFF"/>
        <rFont val="DejaVu Sans"/>
        <family val="2"/>
      </rPr>
      <t>급등</t>
    </r>
    <r>
      <rPr>
        <b/>
        <sz val="11"/>
        <color rgb="FFFFFFFF"/>
        <rFont val="Arial"/>
        <family val="2"/>
      </rPr>
      <t>·</t>
    </r>
    <r>
      <rPr>
        <b/>
        <sz val="11"/>
        <color rgb="FFFFFFFF"/>
        <rFont val="DejaVu Sans"/>
        <family val="2"/>
      </rPr>
      <t xml:space="preserve">급락 </t>
    </r>
    <r>
      <rPr>
        <b/>
        <sz val="11"/>
        <color rgb="FFFFFFFF"/>
        <rFont val="Arial"/>
        <family val="2"/>
      </rPr>
      <t>147</t>
    </r>
    <r>
      <rPr>
        <b/>
        <sz val="11"/>
        <color rgb="FFFFFFFF"/>
        <rFont val="DejaVu Sans"/>
        <family val="2"/>
      </rPr>
      <t>개 제외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</si>
  <si>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 xml:space="preserve">▶  SOJC  ①  </t>
    </r>
    <r>
      <rPr>
        <b/>
        <sz val="11"/>
        <color rgb="FFFFFFFF"/>
        <rFont val="DejaVu Sans"/>
        <family val="2"/>
      </rPr>
      <t xml:space="preserve">전체 </t>
    </r>
    <r>
      <rPr>
        <b/>
        <sz val="11"/>
        <color rgb="FFFFFFFF"/>
        <rFont val="Arial"/>
        <family val="2"/>
      </rPr>
      <t>Top10  (</t>
    </r>
    <r>
      <rPr>
        <b/>
        <sz val="11"/>
        <color rgb="FFFFFFFF"/>
        <rFont val="DejaVu Sans"/>
        <family val="2"/>
      </rPr>
      <t>전체</t>
    </r>
    <r>
      <rPr>
        <b/>
        <sz val="11"/>
        <color rgb="FFFFFFFF"/>
        <rFont val="Arial"/>
        <family val="2"/>
      </rPr>
      <t>331</t>
    </r>
    <r>
      <rPr>
        <b/>
        <sz val="11"/>
        <color rgb="FFFFFFFF"/>
        <rFont val="DejaVu Sans"/>
        <family val="2"/>
      </rPr>
      <t xml:space="preserve">개 </t>
    </r>
    <r>
      <rPr>
        <b/>
        <sz val="11"/>
        <color rgb="FFFFFFFF"/>
        <rFont val="Arial"/>
        <family val="2"/>
      </rPr>
      <t>| 1</t>
    </r>
    <r>
      <rPr>
        <b/>
        <sz val="11"/>
        <color rgb="FFFFFFFF"/>
        <rFont val="DejaVu Sans"/>
        <family val="2"/>
      </rPr>
      <t>개년이하</t>
    </r>
    <r>
      <rPr>
        <b/>
        <sz val="11"/>
        <color rgb="FFFFFFFF"/>
        <rFont val="Arial"/>
        <family val="2"/>
      </rPr>
      <t>183</t>
    </r>
    <r>
      <rPr>
        <b/>
        <sz val="11"/>
        <color rgb="FFFFFFFF"/>
        <rFont val="DejaVu Sans"/>
        <family val="2"/>
      </rPr>
      <t>개 제외</t>
    </r>
    <r>
      <rPr>
        <b/>
        <sz val="11"/>
        <color rgb="FFFFFFFF"/>
        <rFont val="Arial"/>
        <family val="2"/>
      </rPr>
      <t>)</t>
    </r>
  </si>
  <si>
    <t>⚡📉</t>
  </si>
  <si>
    <r>
      <rPr>
        <sz val="9"/>
        <color rgb="FF000000"/>
        <rFont val="Arial"/>
        <family val="2"/>
      </rPr>
      <t>2</t>
    </r>
    <r>
      <rPr>
        <sz val="9"/>
        <color rgb="FF000000"/>
        <rFont val="DejaVu Sans"/>
        <family val="2"/>
      </rPr>
      <t>개년</t>
    </r>
  </si>
  <si>
    <t>📉</t>
  </si>
  <si>
    <r>
      <rPr>
        <b/>
        <sz val="11"/>
        <color rgb="FFFFFFFF"/>
        <rFont val="Arial"/>
        <family val="2"/>
      </rPr>
      <t xml:space="preserve">▶  SOJC  ②  </t>
    </r>
    <r>
      <rPr>
        <b/>
        <sz val="11"/>
        <color rgb="FFFFFFFF"/>
        <rFont val="DejaVu Sans"/>
        <family val="2"/>
      </rPr>
      <t xml:space="preserve">꾸준한 판매 </t>
    </r>
    <r>
      <rPr>
        <b/>
        <sz val="11"/>
        <color rgb="FFFFFFFF"/>
        <rFont val="Arial"/>
        <family val="2"/>
      </rPr>
      <t>Top10  (</t>
    </r>
    <r>
      <rPr>
        <b/>
        <sz val="11"/>
        <color rgb="FFFFFFFF"/>
        <rFont val="DejaVu Sans"/>
        <family val="2"/>
      </rPr>
      <t>급등</t>
    </r>
    <r>
      <rPr>
        <b/>
        <sz val="11"/>
        <color rgb="FFFFFFFF"/>
        <rFont val="Arial"/>
        <family val="2"/>
      </rPr>
      <t>·</t>
    </r>
    <r>
      <rPr>
        <b/>
        <sz val="11"/>
        <color rgb="FFFFFFFF"/>
        <rFont val="DejaVu Sans"/>
        <family val="2"/>
      </rPr>
      <t xml:space="preserve">급락 </t>
    </r>
    <r>
      <rPr>
        <b/>
        <sz val="11"/>
        <color rgb="FFFFFFFF"/>
        <rFont val="Arial"/>
        <family val="2"/>
      </rPr>
      <t>86</t>
    </r>
    <r>
      <rPr>
        <b/>
        <sz val="11"/>
        <color rgb="FFFFFFFF"/>
        <rFont val="DejaVu Sans"/>
        <family val="2"/>
      </rPr>
      <t>개 제외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</si>
  <si>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 xml:space="preserve">▶  MOJC  ①  </t>
    </r>
    <r>
      <rPr>
        <b/>
        <sz val="11"/>
        <color rgb="FFFFFFFF"/>
        <rFont val="DejaVu Sans"/>
        <family val="2"/>
      </rPr>
      <t xml:space="preserve">전체 </t>
    </r>
    <r>
      <rPr>
        <b/>
        <sz val="11"/>
        <color rgb="FFFFFFFF"/>
        <rFont val="Arial"/>
        <family val="2"/>
      </rPr>
      <t>Top10  (</t>
    </r>
    <r>
      <rPr>
        <b/>
        <sz val="11"/>
        <color rgb="FFFFFFFF"/>
        <rFont val="DejaVu Sans"/>
        <family val="2"/>
      </rPr>
      <t>전체</t>
    </r>
    <r>
      <rPr>
        <b/>
        <sz val="11"/>
        <color rgb="FFFFFFFF"/>
        <rFont val="Arial"/>
        <family val="2"/>
      </rPr>
      <t>79</t>
    </r>
    <r>
      <rPr>
        <b/>
        <sz val="11"/>
        <color rgb="FFFFFFFF"/>
        <rFont val="DejaVu Sans"/>
        <family val="2"/>
      </rPr>
      <t xml:space="preserve">개 </t>
    </r>
    <r>
      <rPr>
        <b/>
        <sz val="11"/>
        <color rgb="FFFFFFFF"/>
        <rFont val="Arial"/>
        <family val="2"/>
      </rPr>
      <t>| 1</t>
    </r>
    <r>
      <rPr>
        <b/>
        <sz val="11"/>
        <color rgb="FFFFFFFF"/>
        <rFont val="DejaVu Sans"/>
        <family val="2"/>
      </rPr>
      <t>개년이하</t>
    </r>
    <r>
      <rPr>
        <b/>
        <sz val="11"/>
        <color rgb="FFFFFFFF"/>
        <rFont val="Arial"/>
        <family val="2"/>
      </rPr>
      <t>52</t>
    </r>
    <r>
      <rPr>
        <b/>
        <sz val="11"/>
        <color rgb="FFFFFFFF"/>
        <rFont val="DejaVu Sans"/>
        <family val="2"/>
      </rPr>
      <t>개 제외</t>
    </r>
    <r>
      <rPr>
        <b/>
        <sz val="11"/>
        <color rgb="FFFFFFFF"/>
        <rFont val="Arial"/>
        <family val="2"/>
      </rPr>
      <t>)</t>
    </r>
  </si>
  <si>
    <t>⚡</t>
  </si>
  <si>
    <r>
      <rPr>
        <b/>
        <sz val="11"/>
        <color rgb="FFFFFFFF"/>
        <rFont val="Arial"/>
        <family val="2"/>
      </rPr>
      <t xml:space="preserve">▶  MOJC  ②  </t>
    </r>
    <r>
      <rPr>
        <b/>
        <sz val="11"/>
        <color rgb="FFFFFFFF"/>
        <rFont val="DejaVu Sans"/>
        <family val="2"/>
      </rPr>
      <t xml:space="preserve">꾸준한 판매 </t>
    </r>
    <r>
      <rPr>
        <b/>
        <sz val="11"/>
        <color rgb="FFFFFFFF"/>
        <rFont val="Arial"/>
        <family val="2"/>
      </rPr>
      <t>Top10  (</t>
    </r>
    <r>
      <rPr>
        <b/>
        <sz val="11"/>
        <color rgb="FFFFFFFF"/>
        <rFont val="DejaVu Sans"/>
        <family val="2"/>
      </rPr>
      <t>급등</t>
    </r>
    <r>
      <rPr>
        <b/>
        <sz val="11"/>
        <color rgb="FFFFFFFF"/>
        <rFont val="Arial"/>
        <family val="2"/>
      </rPr>
      <t>·</t>
    </r>
    <r>
      <rPr>
        <b/>
        <sz val="11"/>
        <color rgb="FFFFFFFF"/>
        <rFont val="DejaVu Sans"/>
        <family val="2"/>
      </rPr>
      <t xml:space="preserve">급락 </t>
    </r>
    <r>
      <rPr>
        <b/>
        <sz val="11"/>
        <color rgb="FFFFFFFF"/>
        <rFont val="Arial"/>
        <family val="2"/>
      </rPr>
      <t>15</t>
    </r>
    <r>
      <rPr>
        <b/>
        <sz val="11"/>
        <color rgb="FFFFFFFF"/>
        <rFont val="DejaVu Sans"/>
        <family val="2"/>
      </rPr>
      <t>개 제외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</si>
  <si>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 xml:space="preserve">▶  OJC-A1  ①  </t>
    </r>
    <r>
      <rPr>
        <b/>
        <sz val="11"/>
        <color rgb="FFFFFFFF"/>
        <rFont val="DejaVu Sans"/>
        <family val="2"/>
      </rPr>
      <t xml:space="preserve">전체 </t>
    </r>
    <r>
      <rPr>
        <b/>
        <sz val="11"/>
        <color rgb="FFFFFFFF"/>
        <rFont val="Arial"/>
        <family val="2"/>
      </rPr>
      <t>Top10  (</t>
    </r>
    <r>
      <rPr>
        <b/>
        <sz val="11"/>
        <color rgb="FFFFFFFF"/>
        <rFont val="DejaVu Sans"/>
        <family val="2"/>
      </rPr>
      <t>전체</t>
    </r>
    <r>
      <rPr>
        <b/>
        <sz val="11"/>
        <color rgb="FFFFFFFF"/>
        <rFont val="Arial"/>
        <family val="2"/>
      </rPr>
      <t>619</t>
    </r>
    <r>
      <rPr>
        <b/>
        <sz val="11"/>
        <color rgb="FFFFFFFF"/>
        <rFont val="DejaVu Sans"/>
        <family val="2"/>
      </rPr>
      <t xml:space="preserve">개 </t>
    </r>
    <r>
      <rPr>
        <b/>
        <sz val="11"/>
        <color rgb="FFFFFFFF"/>
        <rFont val="Arial"/>
        <family val="2"/>
      </rPr>
      <t>| 1</t>
    </r>
    <r>
      <rPr>
        <b/>
        <sz val="11"/>
        <color rgb="FFFFFFFF"/>
        <rFont val="DejaVu Sans"/>
        <family val="2"/>
      </rPr>
      <t>개년이하</t>
    </r>
    <r>
      <rPr>
        <b/>
        <sz val="11"/>
        <color rgb="FFFFFFFF"/>
        <rFont val="Arial"/>
        <family val="2"/>
      </rPr>
      <t>342</t>
    </r>
    <r>
      <rPr>
        <b/>
        <sz val="11"/>
        <color rgb="FFFFFFFF"/>
        <rFont val="DejaVu Sans"/>
        <family val="2"/>
      </rPr>
      <t>개 제외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</si>
  <si>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 xml:space="preserve">▶  OJC-A1  ②  </t>
    </r>
    <r>
      <rPr>
        <b/>
        <sz val="11"/>
        <color rgb="FFFFFFFF"/>
        <rFont val="DejaVu Sans"/>
        <family val="2"/>
      </rPr>
      <t xml:space="preserve">꾸준한 판매 </t>
    </r>
    <r>
      <rPr>
        <b/>
        <sz val="11"/>
        <color rgb="FFFFFFFF"/>
        <rFont val="Arial"/>
        <family val="2"/>
      </rPr>
      <t>Top10  (</t>
    </r>
    <r>
      <rPr>
        <b/>
        <sz val="11"/>
        <color rgb="FFFFFFFF"/>
        <rFont val="DejaVu Sans"/>
        <family val="2"/>
      </rPr>
      <t>급등</t>
    </r>
    <r>
      <rPr>
        <b/>
        <sz val="11"/>
        <color rgb="FFFFFFFF"/>
        <rFont val="Arial"/>
        <family val="2"/>
      </rPr>
      <t>·</t>
    </r>
    <r>
      <rPr>
        <b/>
        <sz val="11"/>
        <color rgb="FFFFFFFF"/>
        <rFont val="DejaVu Sans"/>
        <family val="2"/>
      </rPr>
      <t xml:space="preserve">급락 </t>
    </r>
    <r>
      <rPr>
        <b/>
        <sz val="11"/>
        <color rgb="FFFFFFFF"/>
        <rFont val="Arial"/>
        <family val="2"/>
      </rPr>
      <t>178</t>
    </r>
    <r>
      <rPr>
        <b/>
        <sz val="11"/>
        <color rgb="FFFFFFFF"/>
        <rFont val="DejaVu Sans"/>
        <family val="2"/>
      </rPr>
      <t>개 제외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</si>
  <si>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 xml:space="preserve">▶  OJC-C2  ①  </t>
    </r>
    <r>
      <rPr>
        <b/>
        <sz val="11"/>
        <color rgb="FFFFFFFF"/>
        <rFont val="DejaVu Sans"/>
        <family val="2"/>
      </rPr>
      <t xml:space="preserve">전체 </t>
    </r>
    <r>
      <rPr>
        <b/>
        <sz val="11"/>
        <color rgb="FFFFFFFF"/>
        <rFont val="Arial"/>
        <family val="2"/>
      </rPr>
      <t>Top10  (</t>
    </r>
    <r>
      <rPr>
        <b/>
        <sz val="11"/>
        <color rgb="FFFFFFFF"/>
        <rFont val="DejaVu Sans"/>
        <family val="2"/>
      </rPr>
      <t>전체</t>
    </r>
    <r>
      <rPr>
        <b/>
        <sz val="11"/>
        <color rgb="FFFFFFFF"/>
        <rFont val="Arial"/>
        <family val="2"/>
      </rPr>
      <t>128</t>
    </r>
    <r>
      <rPr>
        <b/>
        <sz val="11"/>
        <color rgb="FFFFFFFF"/>
        <rFont val="DejaVu Sans"/>
        <family val="2"/>
      </rPr>
      <t xml:space="preserve">개 </t>
    </r>
    <r>
      <rPr>
        <b/>
        <sz val="11"/>
        <color rgb="FFFFFFFF"/>
        <rFont val="Arial"/>
        <family val="2"/>
      </rPr>
      <t>| 1</t>
    </r>
    <r>
      <rPr>
        <b/>
        <sz val="11"/>
        <color rgb="FFFFFFFF"/>
        <rFont val="DejaVu Sans"/>
        <family val="2"/>
      </rPr>
      <t>개년이하</t>
    </r>
    <r>
      <rPr>
        <b/>
        <sz val="11"/>
        <color rgb="FFFFFFFF"/>
        <rFont val="Arial"/>
        <family val="2"/>
      </rPr>
      <t>107</t>
    </r>
    <r>
      <rPr>
        <b/>
        <sz val="11"/>
        <color rgb="FFFFFFFF"/>
        <rFont val="DejaVu Sans"/>
        <family val="2"/>
      </rPr>
      <t>개 제외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</si>
  <si>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 xml:space="preserve">▶  OJC-C2  ②  </t>
    </r>
    <r>
      <rPr>
        <b/>
        <sz val="11"/>
        <color rgb="FFFFFFFF"/>
        <rFont val="DejaVu Sans"/>
        <family val="2"/>
      </rPr>
      <t xml:space="preserve">꾸준한 판매 </t>
    </r>
    <r>
      <rPr>
        <b/>
        <sz val="11"/>
        <color rgb="FFFFFFFF"/>
        <rFont val="Arial"/>
        <family val="2"/>
      </rPr>
      <t>Top10  (</t>
    </r>
    <r>
      <rPr>
        <b/>
        <sz val="11"/>
        <color rgb="FFFFFFFF"/>
        <rFont val="DejaVu Sans"/>
        <family val="2"/>
      </rPr>
      <t>급등</t>
    </r>
    <r>
      <rPr>
        <b/>
        <sz val="11"/>
        <color rgb="FFFFFFFF"/>
        <rFont val="Arial"/>
        <family val="2"/>
      </rPr>
      <t>·</t>
    </r>
    <r>
      <rPr>
        <b/>
        <sz val="11"/>
        <color rgb="FFFFFFFF"/>
        <rFont val="DejaVu Sans"/>
        <family val="2"/>
      </rPr>
      <t xml:space="preserve">급락 </t>
    </r>
    <r>
      <rPr>
        <b/>
        <sz val="11"/>
        <color rgb="FFFFFFFF"/>
        <rFont val="Arial"/>
        <family val="2"/>
      </rPr>
      <t>17</t>
    </r>
    <r>
      <rPr>
        <b/>
        <sz val="11"/>
        <color rgb="FFFFFFFF"/>
        <rFont val="DejaVu Sans"/>
        <family val="2"/>
      </rPr>
      <t>개 제외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</si>
  <si>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 xml:space="preserve">▶  DROP-CABLE  ①  </t>
    </r>
    <r>
      <rPr>
        <b/>
        <sz val="11"/>
        <color rgb="FFFFFFFF"/>
        <rFont val="DejaVu Sans"/>
        <family val="2"/>
      </rPr>
      <t xml:space="preserve">전체 </t>
    </r>
    <r>
      <rPr>
        <b/>
        <sz val="11"/>
        <color rgb="FFFFFFFF"/>
        <rFont val="Arial"/>
        <family val="2"/>
      </rPr>
      <t>Top10  (</t>
    </r>
    <r>
      <rPr>
        <b/>
        <sz val="11"/>
        <color rgb="FFFFFFFF"/>
        <rFont val="DejaVu Sans"/>
        <family val="2"/>
      </rPr>
      <t>전체</t>
    </r>
    <r>
      <rPr>
        <b/>
        <sz val="11"/>
        <color rgb="FFFFFFFF"/>
        <rFont val="Arial"/>
        <family val="2"/>
      </rPr>
      <t>117</t>
    </r>
    <r>
      <rPr>
        <b/>
        <sz val="11"/>
        <color rgb="FFFFFFFF"/>
        <rFont val="DejaVu Sans"/>
        <family val="2"/>
      </rPr>
      <t xml:space="preserve">개 </t>
    </r>
    <r>
      <rPr>
        <b/>
        <sz val="11"/>
        <color rgb="FFFFFFFF"/>
        <rFont val="Arial"/>
        <family val="2"/>
      </rPr>
      <t>| 1</t>
    </r>
    <r>
      <rPr>
        <b/>
        <sz val="11"/>
        <color rgb="FFFFFFFF"/>
        <rFont val="DejaVu Sans"/>
        <family val="2"/>
      </rPr>
      <t>개년이하</t>
    </r>
    <r>
      <rPr>
        <b/>
        <sz val="11"/>
        <color rgb="FFFFFFFF"/>
        <rFont val="Arial"/>
        <family val="2"/>
      </rPr>
      <t>71</t>
    </r>
    <r>
      <rPr>
        <b/>
        <sz val="11"/>
        <color rgb="FFFFFFFF"/>
        <rFont val="DejaVu Sans"/>
        <family val="2"/>
      </rPr>
      <t>개 제외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</si>
  <si>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 xml:space="preserve">▶  DROP-CABLE  ②  </t>
    </r>
    <r>
      <rPr>
        <b/>
        <sz val="11"/>
        <color rgb="FFFFFFFF"/>
        <rFont val="DejaVu Sans"/>
        <family val="2"/>
      </rPr>
      <t xml:space="preserve">꾸준한 판매 </t>
    </r>
    <r>
      <rPr>
        <b/>
        <sz val="11"/>
        <color rgb="FFFFFFFF"/>
        <rFont val="Arial"/>
        <family val="2"/>
      </rPr>
      <t>Top10  (</t>
    </r>
    <r>
      <rPr>
        <b/>
        <sz val="11"/>
        <color rgb="FFFFFFFF"/>
        <rFont val="DejaVu Sans"/>
        <family val="2"/>
      </rPr>
      <t>급등</t>
    </r>
    <r>
      <rPr>
        <b/>
        <sz val="11"/>
        <color rgb="FFFFFFFF"/>
        <rFont val="Arial"/>
        <family val="2"/>
      </rPr>
      <t>·</t>
    </r>
    <r>
      <rPr>
        <b/>
        <sz val="11"/>
        <color rgb="FFFFFFFF"/>
        <rFont val="DejaVu Sans"/>
        <family val="2"/>
      </rPr>
      <t xml:space="preserve">급락 </t>
    </r>
    <r>
      <rPr>
        <b/>
        <sz val="11"/>
        <color rgb="FFFFFFFF"/>
        <rFont val="Arial"/>
        <family val="2"/>
      </rPr>
      <t>30</t>
    </r>
    <r>
      <rPr>
        <b/>
        <sz val="11"/>
        <color rgb="FFFFFFFF"/>
        <rFont val="DejaVu Sans"/>
        <family val="2"/>
      </rPr>
      <t>개 제외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</si>
  <si>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 xml:space="preserve">▶  PIGTAIL  ①  </t>
    </r>
    <r>
      <rPr>
        <b/>
        <sz val="11"/>
        <color rgb="FFFFFFFF"/>
        <rFont val="DejaVu Sans"/>
        <family val="2"/>
      </rPr>
      <t xml:space="preserve">전체 </t>
    </r>
    <r>
      <rPr>
        <b/>
        <sz val="11"/>
        <color rgb="FFFFFFFF"/>
        <rFont val="Arial"/>
        <family val="2"/>
      </rPr>
      <t>Top10  (</t>
    </r>
    <r>
      <rPr>
        <b/>
        <sz val="11"/>
        <color rgb="FFFFFFFF"/>
        <rFont val="DejaVu Sans"/>
        <family val="2"/>
      </rPr>
      <t>전체</t>
    </r>
    <r>
      <rPr>
        <b/>
        <sz val="11"/>
        <color rgb="FFFFFFFF"/>
        <rFont val="Arial"/>
        <family val="2"/>
      </rPr>
      <t>46</t>
    </r>
    <r>
      <rPr>
        <b/>
        <sz val="11"/>
        <color rgb="FFFFFFFF"/>
        <rFont val="DejaVu Sans"/>
        <family val="2"/>
      </rPr>
      <t xml:space="preserve">개 </t>
    </r>
    <r>
      <rPr>
        <b/>
        <sz val="11"/>
        <color rgb="FFFFFFFF"/>
        <rFont val="Arial"/>
        <family val="2"/>
      </rPr>
      <t>| 1</t>
    </r>
    <r>
      <rPr>
        <b/>
        <sz val="11"/>
        <color rgb="FFFFFFFF"/>
        <rFont val="DejaVu Sans"/>
        <family val="2"/>
      </rPr>
      <t>개년이하</t>
    </r>
    <r>
      <rPr>
        <b/>
        <sz val="11"/>
        <color rgb="FFFFFFFF"/>
        <rFont val="Arial"/>
        <family val="2"/>
      </rPr>
      <t>22</t>
    </r>
    <r>
      <rPr>
        <b/>
        <sz val="11"/>
        <color rgb="FFFFFFFF"/>
        <rFont val="DejaVu Sans"/>
        <family val="2"/>
      </rPr>
      <t>개 제외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</si>
  <si>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 xml:space="preserve">▶  PIGTAIL  ②  </t>
    </r>
    <r>
      <rPr>
        <b/>
        <sz val="11"/>
        <color rgb="FFFFFFFF"/>
        <rFont val="DejaVu Sans"/>
        <family val="2"/>
      </rPr>
      <t xml:space="preserve">꾸준한 판매 </t>
    </r>
    <r>
      <rPr>
        <b/>
        <sz val="11"/>
        <color rgb="FFFFFFFF"/>
        <rFont val="Arial"/>
        <family val="2"/>
      </rPr>
      <t>Top10  (</t>
    </r>
    <r>
      <rPr>
        <b/>
        <sz val="11"/>
        <color rgb="FFFFFFFF"/>
        <rFont val="DejaVu Sans"/>
        <family val="2"/>
      </rPr>
      <t>급등</t>
    </r>
    <r>
      <rPr>
        <b/>
        <sz val="11"/>
        <color rgb="FFFFFFFF"/>
        <rFont val="Arial"/>
        <family val="2"/>
      </rPr>
      <t>·</t>
    </r>
    <r>
      <rPr>
        <b/>
        <sz val="11"/>
        <color rgb="FFFFFFFF"/>
        <rFont val="DejaVu Sans"/>
        <family val="2"/>
      </rPr>
      <t xml:space="preserve">급락 </t>
    </r>
    <r>
      <rPr>
        <b/>
        <sz val="11"/>
        <color rgb="FFFFFFFF"/>
        <rFont val="Arial"/>
        <family val="2"/>
      </rPr>
      <t>13</t>
    </r>
    <r>
      <rPr>
        <b/>
        <sz val="11"/>
        <color rgb="FFFFFFFF"/>
        <rFont val="DejaVu Sans"/>
        <family val="2"/>
      </rPr>
      <t>개 제외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</si>
  <si>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 xml:space="preserve">▶  Optical Cable Parts  ①  </t>
    </r>
    <r>
      <rPr>
        <b/>
        <sz val="11"/>
        <color rgb="FFFFFFFF"/>
        <rFont val="DejaVu Sans"/>
        <family val="2"/>
      </rPr>
      <t xml:space="preserve">전체 </t>
    </r>
    <r>
      <rPr>
        <b/>
        <sz val="11"/>
        <color rgb="FFFFFFFF"/>
        <rFont val="Arial"/>
        <family val="2"/>
      </rPr>
      <t>Top10  (</t>
    </r>
    <r>
      <rPr>
        <b/>
        <sz val="11"/>
        <color rgb="FFFFFFFF"/>
        <rFont val="DejaVu Sans"/>
        <family val="2"/>
      </rPr>
      <t>전체</t>
    </r>
    <r>
      <rPr>
        <b/>
        <sz val="11"/>
        <color rgb="FFFFFFFF"/>
        <rFont val="Arial"/>
        <family val="2"/>
      </rPr>
      <t>52</t>
    </r>
    <r>
      <rPr>
        <b/>
        <sz val="11"/>
        <color rgb="FFFFFFFF"/>
        <rFont val="DejaVu Sans"/>
        <family val="2"/>
      </rPr>
      <t xml:space="preserve">개 </t>
    </r>
    <r>
      <rPr>
        <b/>
        <sz val="11"/>
        <color rgb="FFFFFFFF"/>
        <rFont val="Arial"/>
        <family val="2"/>
      </rPr>
      <t>| 1</t>
    </r>
    <r>
      <rPr>
        <b/>
        <sz val="11"/>
        <color rgb="FFFFFFFF"/>
        <rFont val="DejaVu Sans"/>
        <family val="2"/>
      </rPr>
      <t>개년이하</t>
    </r>
    <r>
      <rPr>
        <b/>
        <sz val="11"/>
        <color rgb="FFFFFFFF"/>
        <rFont val="Arial"/>
        <family val="2"/>
      </rPr>
      <t>27</t>
    </r>
    <r>
      <rPr>
        <b/>
        <sz val="11"/>
        <color rgb="FFFFFFFF"/>
        <rFont val="DejaVu Sans"/>
        <family val="2"/>
      </rPr>
      <t>개 제외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</si>
  <si>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 xml:space="preserve">▶  Optical Cable Parts  ②  </t>
    </r>
    <r>
      <rPr>
        <b/>
        <sz val="11"/>
        <color rgb="FFFFFFFF"/>
        <rFont val="DejaVu Sans"/>
        <family val="2"/>
      </rPr>
      <t xml:space="preserve">꾸준한 판매 </t>
    </r>
    <r>
      <rPr>
        <b/>
        <sz val="11"/>
        <color rgb="FFFFFFFF"/>
        <rFont val="Arial"/>
        <family val="2"/>
      </rPr>
      <t>Top10  (</t>
    </r>
    <r>
      <rPr>
        <b/>
        <sz val="11"/>
        <color rgb="FFFFFFFF"/>
        <rFont val="DejaVu Sans"/>
        <family val="2"/>
      </rPr>
      <t>급등</t>
    </r>
    <r>
      <rPr>
        <b/>
        <sz val="11"/>
        <color rgb="FFFFFFFF"/>
        <rFont val="Arial"/>
        <family val="2"/>
      </rPr>
      <t>·</t>
    </r>
    <r>
      <rPr>
        <b/>
        <sz val="11"/>
        <color rgb="FFFFFFFF"/>
        <rFont val="DejaVu Sans"/>
        <family val="2"/>
      </rPr>
      <t xml:space="preserve">급락 </t>
    </r>
    <r>
      <rPr>
        <b/>
        <sz val="11"/>
        <color rgb="FFFFFFFF"/>
        <rFont val="Arial"/>
        <family val="2"/>
      </rPr>
      <t>20</t>
    </r>
    <r>
      <rPr>
        <b/>
        <sz val="11"/>
        <color rgb="FFFFFFFF"/>
        <rFont val="DejaVu Sans"/>
        <family val="2"/>
      </rPr>
      <t>개 제외</t>
    </r>
    <r>
      <rPr>
        <b/>
        <sz val="11"/>
        <color rgb="FFFFFFFF"/>
        <rFont val="Arial"/>
        <family val="2"/>
      </rPr>
      <t>)</t>
    </r>
  </si>
  <si>
    <r>
      <rPr>
        <b/>
        <sz val="12"/>
        <color rgb="FFFFFFFF"/>
        <rFont val="DejaVu Sans"/>
        <family val="2"/>
      </rPr>
      <t xml:space="preserve">판매 변동성 </t>
    </r>
    <r>
      <rPr>
        <b/>
        <sz val="12"/>
        <color rgb="FFFFFFFF"/>
        <rFont val="Arial"/>
        <family val="2"/>
      </rPr>
      <t>4</t>
    </r>
    <r>
      <rPr>
        <b/>
        <sz val="12"/>
        <color rgb="FFFFFFFF"/>
        <rFont val="DejaVu Sans"/>
        <family val="2"/>
      </rPr>
      <t xml:space="preserve">유형 분석 </t>
    </r>
    <r>
      <rPr>
        <b/>
        <sz val="12"/>
        <color rgb="FFFFFFFF"/>
        <rFont val="Arial"/>
        <family val="2"/>
      </rPr>
      <t>(CV</t>
    </r>
    <r>
      <rPr>
        <b/>
        <sz val="12"/>
        <color rgb="FFFFFFFF"/>
        <rFont val="DejaVu Sans"/>
        <family val="2"/>
      </rPr>
      <t>기준</t>
    </r>
    <r>
      <rPr>
        <b/>
        <sz val="12"/>
        <color rgb="FFFFFFFF"/>
        <rFont val="Arial"/>
        <family val="2"/>
      </rPr>
      <t>:0.5|</t>
    </r>
    <r>
      <rPr>
        <b/>
        <sz val="12"/>
        <color rgb="FFFFFFFF"/>
        <rFont val="DejaVu Sans"/>
        <family val="2"/>
      </rPr>
      <t>볼륨기준</t>
    </r>
    <r>
      <rPr>
        <b/>
        <sz val="12"/>
        <color rgb="FFFFFFFF"/>
        <rFont val="Arial"/>
        <family val="2"/>
      </rPr>
      <t>:59</t>
    </r>
    <r>
      <rPr>
        <b/>
        <sz val="12"/>
        <color rgb="FFFFFFFF"/>
        <rFont val="DejaVu Sans"/>
        <family val="2"/>
      </rPr>
      <t>개</t>
    </r>
    <r>
      <rPr>
        <b/>
        <sz val="12"/>
        <color rgb="FFFFFFFF"/>
        <rFont val="Arial"/>
        <family val="2"/>
      </rPr>
      <t>/</t>
    </r>
    <r>
      <rPr>
        <b/>
        <sz val="12"/>
        <color rgb="FFFFFFFF"/>
        <rFont val="DejaVu Sans"/>
        <family val="2"/>
      </rPr>
      <t>년</t>
    </r>
    <r>
      <rPr>
        <b/>
        <sz val="12"/>
        <color rgb="FFFFFFFF"/>
        <rFont val="Arial"/>
        <family val="2"/>
      </rPr>
      <t>)</t>
    </r>
  </si>
  <si>
    <r>
      <rPr>
        <sz val="9"/>
        <color rgb="FFFFFFFF"/>
        <rFont val="DejaVu Sans"/>
        <family val="2"/>
      </rPr>
      <t xml:space="preserve">⚠수요불안정 </t>
    </r>
    <r>
      <rPr>
        <sz val="9"/>
        <color rgb="FFFFFFFF"/>
        <rFont val="Arial"/>
        <family val="2"/>
      </rPr>
      <t>| 🚨</t>
    </r>
    <r>
      <rPr>
        <sz val="9"/>
        <color rgb="FFFFFFFF"/>
        <rFont val="DejaVu Sans"/>
        <family val="2"/>
      </rPr>
      <t>소량산발</t>
    </r>
    <r>
      <rPr>
        <sz val="9"/>
        <color rgb="FFFFFFFF"/>
        <rFont val="Arial"/>
        <family val="2"/>
      </rPr>
      <t>(</t>
    </r>
    <r>
      <rPr>
        <sz val="9"/>
        <color rgb="FFFFFFFF"/>
        <rFont val="DejaVu Sans"/>
        <family val="2"/>
      </rPr>
      <t>악성재고위험</t>
    </r>
    <r>
      <rPr>
        <sz val="9"/>
        <color rgb="FFFFFFFF"/>
        <rFont val="Arial"/>
        <family val="2"/>
      </rPr>
      <t>) | ✅</t>
    </r>
    <r>
      <rPr>
        <sz val="9"/>
        <color rgb="FFFFFFFF"/>
        <rFont val="DejaVu Sans"/>
        <family val="2"/>
      </rPr>
      <t xml:space="preserve">핵심품목 </t>
    </r>
    <r>
      <rPr>
        <sz val="9"/>
        <color rgb="FFFFFFFF"/>
        <rFont val="Arial"/>
        <family val="2"/>
      </rPr>
      <t>| 💤</t>
    </r>
    <r>
      <rPr>
        <sz val="9"/>
        <color rgb="FFFFFFFF"/>
        <rFont val="DejaVu Sans"/>
        <family val="2"/>
      </rPr>
      <t>소량안정</t>
    </r>
  </si>
  <si>
    <t>제품군</t>
  </si>
  <si>
    <t>전체</t>
  </si>
  <si>
    <r>
      <rPr>
        <b/>
        <sz val="9"/>
        <color rgb="FFFFFFFF"/>
        <rFont val="Arial"/>
        <family val="2"/>
      </rPr>
      <t>CV</t>
    </r>
    <r>
      <rPr>
        <b/>
        <sz val="9"/>
        <color rgb="FFFFFFFF"/>
        <rFont val="DejaVu Sans"/>
        <family val="2"/>
      </rPr>
      <t>가능</t>
    </r>
  </si>
  <si>
    <t>⚠수요불안정</t>
  </si>
  <si>
    <t>🚨소량산발</t>
  </si>
  <si>
    <t>✅핵심품목</t>
  </si>
  <si>
    <t>💤소량안정</t>
  </si>
  <si>
    <t>발주권고</t>
  </si>
  <si>
    <t>DOJC</t>
  </si>
  <si>
    <t>전반재검토</t>
  </si>
  <si>
    <t>SOJC</t>
  </si>
  <si>
    <t>MOJC</t>
  </si>
  <si>
    <t>OJC-A1</t>
  </si>
  <si>
    <t>OJC-C2</t>
  </si>
  <si>
    <t>DROP-CABLE</t>
  </si>
  <si>
    <t>PIGTAIL</t>
  </si>
  <si>
    <t>-</t>
  </si>
  <si>
    <t>현기준유지</t>
  </si>
  <si>
    <t>Optical Cable Parts</t>
  </si>
  <si>
    <r>
      <rPr>
        <b/>
        <sz val="12"/>
        <color rgb="FFFFFFFF"/>
        <rFont val="DejaVu Sans"/>
        <family val="2"/>
      </rPr>
      <t xml:space="preserve">판매 변동성 </t>
    </r>
    <r>
      <rPr>
        <b/>
        <sz val="12"/>
        <color rgb="FFFFFFFF"/>
        <rFont val="Arial"/>
        <family val="2"/>
      </rPr>
      <t>4</t>
    </r>
    <r>
      <rPr>
        <b/>
        <sz val="12"/>
        <color rgb="FFFFFFFF"/>
        <rFont val="DejaVu Sans"/>
        <family val="2"/>
      </rPr>
      <t xml:space="preserve">유형 전체 상세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DejaVu Sans"/>
        <family val="2"/>
      </rPr>
      <t xml:space="preserve">규격명 포함 </t>
    </r>
    <r>
      <rPr>
        <b/>
        <sz val="12"/>
        <color rgb="FFFFFFFF"/>
        <rFont val="Arial"/>
        <family val="2"/>
      </rPr>
      <t xml:space="preserve">| </t>
    </r>
    <r>
      <rPr>
        <b/>
        <sz val="12"/>
        <color rgb="FFFFFFFF"/>
        <rFont val="DejaVu Sans"/>
        <family val="2"/>
      </rPr>
      <t>자동필터</t>
    </r>
    <r>
      <rPr>
        <b/>
        <sz val="12"/>
        <color rgb="FFFFFFFF"/>
        <rFont val="Arial"/>
        <family val="2"/>
      </rPr>
      <t>)</t>
    </r>
  </si>
  <si>
    <t>CV</t>
  </si>
  <si>
    <t>유형</t>
  </si>
  <si>
    <t>발주전략</t>
  </si>
  <si>
    <t>안전재고확보</t>
  </si>
  <si>
    <t>주문생산권고</t>
  </si>
  <si>
    <t>표준발주</t>
  </si>
  <si>
    <t>최소재고</t>
  </si>
  <si>
    <r>
      <rPr>
        <b/>
        <sz val="12"/>
        <color rgb="FFFFFFFF"/>
        <rFont val="DejaVu Sans"/>
        <family val="2"/>
      </rPr>
      <t xml:space="preserve">⚡ 급등 품목 전체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DejaVu Sans"/>
        <family val="2"/>
      </rPr>
      <t>최대</t>
    </r>
    <r>
      <rPr>
        <b/>
        <sz val="12"/>
        <color rgb="FFFFFFFF"/>
        <rFont val="Arial"/>
        <family val="2"/>
      </rPr>
      <t>÷</t>
    </r>
    <r>
      <rPr>
        <b/>
        <sz val="12"/>
        <color rgb="FFFFFFFF"/>
        <rFont val="DejaVu Sans"/>
        <family val="2"/>
      </rPr>
      <t>나머지≥</t>
    </r>
    <r>
      <rPr>
        <b/>
        <sz val="12"/>
        <color rgb="FFFFFFFF"/>
        <rFont val="Arial"/>
        <family val="2"/>
      </rPr>
      <t>3.0</t>
    </r>
    <r>
      <rPr>
        <b/>
        <sz val="12"/>
        <color rgb="FFFFFFFF"/>
        <rFont val="DejaVu Sans"/>
        <family val="2"/>
      </rPr>
      <t xml:space="preserve">배 </t>
    </r>
    <r>
      <rPr>
        <b/>
        <sz val="12"/>
        <color rgb="FFFFFFFF"/>
        <rFont val="Arial"/>
        <family val="2"/>
      </rPr>
      <t xml:space="preserve">| </t>
    </r>
    <r>
      <rPr>
        <b/>
        <sz val="12"/>
        <color rgb="FFFFFFFF"/>
        <rFont val="DejaVu Sans"/>
        <family val="2"/>
      </rPr>
      <t>규격명포함</t>
    </r>
    <r>
      <rPr>
        <b/>
        <sz val="12"/>
        <color rgb="FFFFFFFF"/>
        <rFont val="Arial"/>
        <family val="2"/>
      </rPr>
      <t>)</t>
    </r>
  </si>
  <si>
    <r>
      <rPr>
        <sz val="9"/>
        <color rgb="FFFFFFFF"/>
        <rFont val="DejaVu Sans"/>
        <family val="2"/>
      </rPr>
      <t>빨간셀</t>
    </r>
    <r>
      <rPr>
        <sz val="9"/>
        <color rgb="FFFFFFFF"/>
        <rFont val="Arial"/>
        <family val="2"/>
      </rPr>
      <t>=</t>
    </r>
    <r>
      <rPr>
        <sz val="9"/>
        <color rgb="FFFFFFFF"/>
        <rFont val="DejaVu Sans"/>
        <family val="2"/>
      </rPr>
      <t xml:space="preserve">급등연도 </t>
    </r>
    <r>
      <rPr>
        <sz val="9"/>
        <color rgb="FFFFFFFF"/>
        <rFont val="Arial"/>
        <family val="2"/>
      </rPr>
      <t xml:space="preserve">| </t>
    </r>
    <r>
      <rPr>
        <sz val="9"/>
        <color rgb="FFFFFFFF"/>
        <rFont val="DejaVu Sans"/>
        <family val="2"/>
      </rPr>
      <t>자동필터</t>
    </r>
  </si>
  <si>
    <t>급등연도</t>
  </si>
  <si>
    <t>해당수량</t>
  </si>
  <si>
    <t>나머지평균</t>
  </si>
  <si>
    <t>급등배율</t>
  </si>
  <si>
    <r>
      <rPr>
        <b/>
        <sz val="10"/>
        <color rgb="FFFFFFFF"/>
        <rFont val="Arial"/>
        <family val="2"/>
      </rPr>
      <t>▶  DOJC  (119</t>
    </r>
    <r>
      <rPr>
        <b/>
        <sz val="10"/>
        <color rgb="FFFFFFFF"/>
        <rFont val="DejaVu Sans"/>
        <family val="2"/>
      </rPr>
      <t>개</t>
    </r>
    <r>
      <rPr>
        <b/>
        <sz val="10"/>
        <color rgb="FFFFFFFF"/>
        <rFont val="Arial"/>
        <family val="2"/>
      </rPr>
      <t>)</t>
    </r>
  </si>
  <si>
    <r>
      <rPr>
        <b/>
        <sz val="9"/>
        <color rgb="FFC00000"/>
        <rFont val="Arial"/>
        <family val="2"/>
      </rPr>
      <t>23</t>
    </r>
    <r>
      <rPr>
        <b/>
        <sz val="9"/>
        <color rgb="FFC00000"/>
        <rFont val="DejaVu Sans"/>
        <family val="2"/>
      </rPr>
      <t>년</t>
    </r>
  </si>
  <si>
    <r>
      <rPr>
        <b/>
        <sz val="9"/>
        <color rgb="FFC55A11"/>
        <rFont val="Arial"/>
        <family val="2"/>
      </rPr>
      <t>64.4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</si>
  <si>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00000"/>
        <rFont val="Arial"/>
        <family val="2"/>
      </rPr>
      <t>25</t>
    </r>
    <r>
      <rPr>
        <b/>
        <sz val="9"/>
        <color rgb="FFC00000"/>
        <rFont val="DejaVu Sans"/>
        <family val="2"/>
      </rPr>
      <t>년</t>
    </r>
  </si>
  <si>
    <r>
      <rPr>
        <b/>
        <sz val="9"/>
        <color rgb="FFC55A11"/>
        <rFont val="Arial"/>
        <family val="2"/>
      </rPr>
      <t>52.0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</si>
  <si>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50.0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</si>
  <si>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44.0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</si>
  <si>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00000"/>
        <rFont val="Arial"/>
        <family val="2"/>
      </rPr>
      <t>24</t>
    </r>
    <r>
      <rPr>
        <b/>
        <sz val="9"/>
        <color rgb="FFC00000"/>
        <rFont val="DejaVu Sans"/>
        <family val="2"/>
      </rPr>
      <t>년</t>
    </r>
  </si>
  <si>
    <r>
      <rPr>
        <b/>
        <sz val="9"/>
        <color rgb="FFC55A11"/>
        <rFont val="Arial"/>
        <family val="2"/>
      </rPr>
      <t>40.0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</si>
  <si>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33.3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</si>
  <si>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32.0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</si>
  <si>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30.0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</si>
  <si>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27.5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</si>
  <si>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25.3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</si>
  <si>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24.0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</si>
  <si>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20.0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</si>
  <si>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19.5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</si>
  <si>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18.0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</si>
  <si>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17.3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</si>
  <si>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17.0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</si>
  <si>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15.6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</si>
  <si>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13.8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</si>
  <si>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12.0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</si>
  <si>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11.9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</si>
  <si>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11.6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</si>
  <si>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11.2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</si>
  <si>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10.7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</si>
  <si>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10.5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</si>
  <si>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10.0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</si>
  <si>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9.9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</si>
  <si>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8.9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</si>
  <si>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8.2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</si>
  <si>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8.1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</si>
  <si>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8.0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</si>
  <si>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7.3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</si>
  <si>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7.1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</si>
  <si>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6.9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</si>
  <si>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6.7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</si>
  <si>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6.4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</si>
  <si>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6.2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</si>
  <si>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6.1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</si>
  <si>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6.0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</si>
  <si>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5.8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</si>
  <si>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5.6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</si>
  <si>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5.4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</si>
  <si>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5.3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</si>
  <si>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5.1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</si>
  <si>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5.0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</si>
  <si>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4.7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</si>
  <si>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4.5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</si>
  <si>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4.4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</si>
  <si>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4.3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</si>
  <si>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4.2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</si>
  <si>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4.1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</si>
  <si>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4.0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</si>
  <si>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3.9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</si>
  <si>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3.8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</si>
  <si>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3.6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</si>
  <si>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3.5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</si>
  <si>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3.4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</si>
  <si>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3.3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</si>
  <si>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3.2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</si>
  <si>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3.1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</si>
  <si>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3.0</t>
    </r>
    <r>
      <rPr>
        <b/>
        <sz val="9"/>
        <color rgb="FFC55A11"/>
        <rFont val="DejaVu Sans"/>
        <family val="2"/>
      </rPr>
      <t>배</t>
    </r>
  </si>
  <si>
    <r>
      <rPr>
        <b/>
        <sz val="10"/>
        <color rgb="FFFFFFFF"/>
        <rFont val="Arial"/>
        <family val="2"/>
      </rPr>
      <t>▶  SOJC  (79</t>
    </r>
    <r>
      <rPr>
        <b/>
        <sz val="10"/>
        <color rgb="FFFFFFFF"/>
        <rFont val="DejaVu Sans"/>
        <family val="2"/>
      </rPr>
      <t>개</t>
    </r>
    <r>
      <rPr>
        <b/>
        <sz val="10"/>
        <color rgb="FFFFFFFF"/>
        <rFont val="Arial"/>
        <family val="2"/>
      </rPr>
      <t>)</t>
    </r>
  </si>
  <si>
    <r>
      <rPr>
        <b/>
        <sz val="9"/>
        <color rgb="FFC55A11"/>
        <rFont val="Arial"/>
        <family val="2"/>
      </rPr>
      <t>1014.5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</si>
  <si>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200.0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</si>
  <si>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138.3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</si>
  <si>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100.0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</si>
  <si>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34.9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</si>
  <si>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21.2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</si>
  <si>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18.2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</si>
  <si>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16.0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</si>
  <si>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14.0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</si>
  <si>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11.0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</si>
  <si>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10.3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</si>
  <si>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9.6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</si>
  <si>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9.0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</si>
  <si>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8.8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</si>
  <si>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8.6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</si>
  <si>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8.5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</si>
  <si>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6.5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</si>
  <si>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5.2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</si>
  <si>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4.6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</si>
  <si>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3.7</t>
    </r>
    <r>
      <rPr>
        <b/>
        <sz val="9"/>
        <color rgb="FFC55A11"/>
        <rFont val="DejaVu Sans"/>
        <family val="2"/>
      </rPr>
      <t>배</t>
    </r>
  </si>
  <si>
    <r>
      <rPr>
        <b/>
        <sz val="10"/>
        <color rgb="FFFFFFFF"/>
        <rFont val="Arial"/>
        <family val="2"/>
      </rPr>
      <t>▶  MOJC  (11</t>
    </r>
    <r>
      <rPr>
        <b/>
        <sz val="10"/>
        <color rgb="FFFFFFFF"/>
        <rFont val="DejaVu Sans"/>
        <family val="2"/>
      </rPr>
      <t>개</t>
    </r>
    <r>
      <rPr>
        <b/>
        <sz val="10"/>
        <color rgb="FFFFFFFF"/>
        <rFont val="Arial"/>
        <family val="2"/>
      </rPr>
      <t>)</t>
    </r>
  </si>
  <si>
    <r>
      <rPr>
        <b/>
        <sz val="9"/>
        <color rgb="FFC55A11"/>
        <rFont val="Arial"/>
        <family val="2"/>
      </rPr>
      <t>34.0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</si>
  <si>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7.5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</si>
  <si>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5.7</t>
    </r>
    <r>
      <rPr>
        <b/>
        <sz val="9"/>
        <color rgb="FFC55A11"/>
        <rFont val="DejaVu Sans"/>
        <family val="2"/>
      </rPr>
      <t>배</t>
    </r>
  </si>
  <si>
    <r>
      <rPr>
        <b/>
        <sz val="10"/>
        <color rgb="FFFFFFFF"/>
        <rFont val="Arial"/>
        <family val="2"/>
      </rPr>
      <t>▶  OJC-A1  (147</t>
    </r>
    <r>
      <rPr>
        <b/>
        <sz val="10"/>
        <color rgb="FFFFFFFF"/>
        <rFont val="DejaVu Sans"/>
        <family val="2"/>
      </rPr>
      <t>개</t>
    </r>
    <r>
      <rPr>
        <b/>
        <sz val="10"/>
        <color rgb="FFFFFFFF"/>
        <rFont val="Arial"/>
        <family val="2"/>
      </rPr>
      <t>)</t>
    </r>
  </si>
  <si>
    <r>
      <rPr>
        <b/>
        <sz val="9"/>
        <color rgb="FFC55A11"/>
        <rFont val="Arial"/>
        <family val="2"/>
      </rPr>
      <t>350.0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</si>
  <si>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226.7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</si>
  <si>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133.3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</si>
  <si>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118.5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</si>
  <si>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104.7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</si>
  <si>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90.9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</si>
  <si>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88.4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</si>
  <si>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75.2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</si>
  <si>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70.0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</si>
  <si>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66.7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</si>
  <si>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54.0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</si>
  <si>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48.7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</si>
  <si>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27.0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</si>
  <si>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25.4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</si>
  <si>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22.0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</si>
  <si>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19.8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</si>
  <si>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18.8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</si>
  <si>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18.7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</si>
  <si>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17.9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</si>
  <si>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17.5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</si>
  <si>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16.7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</si>
  <si>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15.8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</si>
  <si>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15.7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</si>
  <si>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14.1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</si>
  <si>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13.3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</si>
  <si>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12.2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</si>
  <si>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9.3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</si>
  <si>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7.8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</si>
  <si>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7.7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</si>
  <si>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7.4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</si>
  <si>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7.2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</si>
  <si>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5.9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</si>
  <si>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4.9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</si>
  <si>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4.8</t>
    </r>
    <r>
      <rPr>
        <b/>
        <sz val="9"/>
        <color rgb="FFC55A11"/>
        <rFont val="DejaVu Sans"/>
        <family val="2"/>
      </rPr>
      <t>배</t>
    </r>
  </si>
  <si>
    <r>
      <rPr>
        <b/>
        <sz val="10"/>
        <color rgb="FFFFFFFF"/>
        <rFont val="Arial"/>
        <family val="2"/>
      </rPr>
      <t>▶  OJC-C2  (14</t>
    </r>
    <r>
      <rPr>
        <b/>
        <sz val="10"/>
        <color rgb="FFFFFFFF"/>
        <rFont val="DejaVu Sans"/>
        <family val="2"/>
      </rPr>
      <t>개</t>
    </r>
    <r>
      <rPr>
        <b/>
        <sz val="10"/>
        <color rgb="FFFFFFFF"/>
        <rFont val="Arial"/>
        <family val="2"/>
      </rPr>
      <t>)</t>
    </r>
  </si>
  <si>
    <r>
      <rPr>
        <b/>
        <sz val="9"/>
        <color rgb="FFC55A11"/>
        <rFont val="Arial"/>
        <family val="2"/>
      </rPr>
      <t>51.3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</si>
  <si>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27.6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</si>
  <si>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17.7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</si>
  <si>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14.5</t>
    </r>
    <r>
      <rPr>
        <b/>
        <sz val="9"/>
        <color rgb="FFC55A11"/>
        <rFont val="DejaVu Sans"/>
        <family val="2"/>
      </rPr>
      <t>배</t>
    </r>
  </si>
  <si>
    <r>
      <rPr>
        <b/>
        <sz val="10"/>
        <color rgb="FFFFFFFF"/>
        <rFont val="Arial"/>
        <family val="2"/>
      </rPr>
      <t>▶  DROP-CABLE  (27</t>
    </r>
    <r>
      <rPr>
        <b/>
        <sz val="10"/>
        <color rgb="FFFFFFFF"/>
        <rFont val="DejaVu Sans"/>
        <family val="2"/>
      </rPr>
      <t>개</t>
    </r>
    <r>
      <rPr>
        <b/>
        <sz val="10"/>
        <color rgb="FFFFFFFF"/>
        <rFont val="Arial"/>
        <family val="2"/>
      </rPr>
      <t>)</t>
    </r>
  </si>
  <si>
    <r>
      <rPr>
        <b/>
        <sz val="9"/>
        <color rgb="FFC55A11"/>
        <rFont val="Arial"/>
        <family val="2"/>
      </rPr>
      <t>90.0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</si>
  <si>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81.6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</si>
  <si>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28.0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</si>
  <si>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15.0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</si>
  <si>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12.8</t>
    </r>
    <r>
      <rPr>
        <b/>
        <sz val="9"/>
        <color rgb="FFC55A11"/>
        <rFont val="DejaVu Sans"/>
        <family val="2"/>
      </rPr>
      <t>배</t>
    </r>
  </si>
  <si>
    <r>
      <rPr>
        <b/>
        <sz val="10"/>
        <color rgb="FFFFFFFF"/>
        <rFont val="Arial"/>
        <family val="2"/>
      </rPr>
      <t>▶  PIGTAIL  (11</t>
    </r>
    <r>
      <rPr>
        <b/>
        <sz val="10"/>
        <color rgb="FFFFFFFF"/>
        <rFont val="DejaVu Sans"/>
        <family val="2"/>
      </rPr>
      <t>개</t>
    </r>
    <r>
      <rPr>
        <b/>
        <sz val="10"/>
        <color rgb="FFFFFFFF"/>
        <rFont val="Arial"/>
        <family val="2"/>
      </rPr>
      <t>)</t>
    </r>
  </si>
  <si>
    <r>
      <rPr>
        <b/>
        <sz val="9"/>
        <color rgb="FFC55A11"/>
        <rFont val="Arial"/>
        <family val="2"/>
      </rPr>
      <t>80.2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</si>
  <si>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78.0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</si>
  <si>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22.5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</si>
  <si>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20.6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</si>
  <si>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20.1</t>
    </r>
    <r>
      <rPr>
        <b/>
        <sz val="9"/>
        <color rgb="FFC55A11"/>
        <rFont val="DejaVu Sans"/>
        <family val="2"/>
      </rPr>
      <t>배</t>
    </r>
  </si>
  <si>
    <r>
      <rPr>
        <b/>
        <sz val="10"/>
        <color rgb="FFFFFFFF"/>
        <rFont val="Arial"/>
        <family val="2"/>
      </rPr>
      <t>▶  Optical Cable Parts  (17</t>
    </r>
    <r>
      <rPr>
        <b/>
        <sz val="10"/>
        <color rgb="FFFFFFFF"/>
        <rFont val="DejaVu Sans"/>
        <family val="2"/>
      </rPr>
      <t>개</t>
    </r>
    <r>
      <rPr>
        <b/>
        <sz val="10"/>
        <color rgb="FFFFFFFF"/>
        <rFont val="Arial"/>
        <family val="2"/>
      </rPr>
      <t>)</t>
    </r>
  </si>
  <si>
    <r>
      <rPr>
        <b/>
        <sz val="9"/>
        <color rgb="FFC55A11"/>
        <rFont val="Arial"/>
        <family val="2"/>
      </rPr>
      <t>14.3</t>
    </r>
    <r>
      <rPr>
        <b/>
        <sz val="9"/>
        <color rgb="FFC55A11"/>
        <rFont val="DejaVu Sans"/>
        <family val="2"/>
      </rPr>
      <t>배</t>
    </r>
  </si>
  <si>
    <r>
      <rPr>
        <b/>
        <sz val="9"/>
        <color rgb="FFC55A11"/>
        <rFont val="Arial"/>
        <family val="2"/>
      </rPr>
      <t>11.3</t>
    </r>
    <r>
      <rPr>
        <b/>
        <sz val="9"/>
        <color rgb="FFC55A11"/>
        <rFont val="DejaVu Sans"/>
        <family val="2"/>
      </rPr>
      <t>배</t>
    </r>
  </si>
  <si>
    <r>
      <rPr>
        <b/>
        <sz val="12"/>
        <color rgb="FFFFFFFF"/>
        <rFont val="DejaVu Sans"/>
        <family val="2"/>
      </rPr>
      <t xml:space="preserve">📉 급락 품목 전체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DejaVu Sans"/>
        <family val="2"/>
      </rPr>
      <t>나머지</t>
    </r>
    <r>
      <rPr>
        <b/>
        <sz val="12"/>
        <color rgb="FFFFFFFF"/>
        <rFont val="Arial"/>
        <family val="2"/>
      </rPr>
      <t>÷</t>
    </r>
    <r>
      <rPr>
        <b/>
        <sz val="12"/>
        <color rgb="FFFFFFFF"/>
        <rFont val="DejaVu Sans"/>
        <family val="2"/>
      </rPr>
      <t>최소≥</t>
    </r>
    <r>
      <rPr>
        <b/>
        <sz val="12"/>
        <color rgb="FFFFFFFF"/>
        <rFont val="Arial"/>
        <family val="2"/>
      </rPr>
      <t>3.0</t>
    </r>
    <r>
      <rPr>
        <b/>
        <sz val="12"/>
        <color rgb="FFFFFFFF"/>
        <rFont val="DejaVu Sans"/>
        <family val="2"/>
      </rPr>
      <t xml:space="preserve">배 </t>
    </r>
    <r>
      <rPr>
        <b/>
        <sz val="12"/>
        <color rgb="FFFFFFFF"/>
        <rFont val="Arial"/>
        <family val="2"/>
      </rPr>
      <t xml:space="preserve">| </t>
    </r>
    <r>
      <rPr>
        <b/>
        <sz val="12"/>
        <color rgb="FFFFFFFF"/>
        <rFont val="DejaVu Sans"/>
        <family val="2"/>
      </rPr>
      <t>규격명포함</t>
    </r>
    <r>
      <rPr>
        <b/>
        <sz val="12"/>
        <color rgb="FFFFFFFF"/>
        <rFont val="Arial"/>
        <family val="2"/>
      </rPr>
      <t>)</t>
    </r>
  </si>
  <si>
    <r>
      <rPr>
        <sz val="9"/>
        <color rgb="FFFFFFFF"/>
        <rFont val="DejaVu Sans"/>
        <family val="2"/>
      </rPr>
      <t>파란셀</t>
    </r>
    <r>
      <rPr>
        <sz val="9"/>
        <color rgb="FFFFFFFF"/>
        <rFont val="Arial"/>
        <family val="2"/>
      </rPr>
      <t>=</t>
    </r>
    <r>
      <rPr>
        <sz val="9"/>
        <color rgb="FFFFFFFF"/>
        <rFont val="DejaVu Sans"/>
        <family val="2"/>
      </rPr>
      <t xml:space="preserve">급락연도 </t>
    </r>
    <r>
      <rPr>
        <sz val="9"/>
        <color rgb="FFFFFFFF"/>
        <rFont val="Arial"/>
        <family val="2"/>
      </rPr>
      <t xml:space="preserve">| </t>
    </r>
    <r>
      <rPr>
        <sz val="9"/>
        <color rgb="FFFFFFFF"/>
        <rFont val="DejaVu Sans"/>
        <family val="2"/>
      </rPr>
      <t>자동필터</t>
    </r>
  </si>
  <si>
    <t>급락연도</t>
  </si>
  <si>
    <t>급락배율</t>
  </si>
  <si>
    <r>
      <rPr>
        <b/>
        <sz val="10"/>
        <color rgb="FFFFFFFF"/>
        <rFont val="Arial"/>
        <family val="2"/>
      </rPr>
      <t>▶  DOJC  (86</t>
    </r>
    <r>
      <rPr>
        <b/>
        <sz val="10"/>
        <color rgb="FFFFFFFF"/>
        <rFont val="DejaVu Sans"/>
        <family val="2"/>
      </rPr>
      <t>개</t>
    </r>
    <r>
      <rPr>
        <b/>
        <sz val="10"/>
        <color rgb="FFFFFFFF"/>
        <rFont val="Arial"/>
        <family val="2"/>
      </rPr>
      <t>)</t>
    </r>
  </si>
  <si>
    <r>
      <rPr>
        <b/>
        <sz val="9"/>
        <color rgb="FF1F4E79"/>
        <rFont val="Arial"/>
        <family val="2"/>
      </rPr>
      <t>25</t>
    </r>
    <r>
      <rPr>
        <b/>
        <sz val="9"/>
        <color rgb="FF1F4E79"/>
        <rFont val="DejaVu Sans"/>
        <family val="2"/>
      </rPr>
      <t>년</t>
    </r>
  </si>
  <si>
    <r>
      <rPr>
        <b/>
        <sz val="9"/>
        <color rgb="FF1F4E79"/>
        <rFont val="Arial"/>
        <family val="2"/>
      </rPr>
      <t>88.0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</si>
  <si>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24</t>
    </r>
    <r>
      <rPr>
        <b/>
        <sz val="9"/>
        <color rgb="FF1F4E79"/>
        <rFont val="DejaVu Sans"/>
        <family val="2"/>
      </rPr>
      <t>년</t>
    </r>
  </si>
  <si>
    <r>
      <rPr>
        <b/>
        <sz val="9"/>
        <color rgb="FF1F4E79"/>
        <rFont val="Arial"/>
        <family val="2"/>
      </rPr>
      <t>29.0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</si>
  <si>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23</t>
    </r>
    <r>
      <rPr>
        <b/>
        <sz val="9"/>
        <color rgb="FF1F4E79"/>
        <rFont val="DejaVu Sans"/>
        <family val="2"/>
      </rPr>
      <t>년</t>
    </r>
  </si>
  <si>
    <r>
      <rPr>
        <b/>
        <sz val="9"/>
        <color rgb="FF1F4E79"/>
        <rFont val="Arial"/>
        <family val="2"/>
      </rPr>
      <t>22.5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</si>
  <si>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22.0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</si>
  <si>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21.7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</si>
  <si>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16.1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</si>
  <si>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16.0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</si>
  <si>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13.2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</si>
  <si>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13.0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</si>
  <si>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12.5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</si>
  <si>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11.6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</si>
  <si>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11.0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</si>
  <si>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10.8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</si>
  <si>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10.0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</si>
  <si>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9.9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</si>
  <si>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9.8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</si>
  <si>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9.5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</si>
  <si>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9.0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</si>
  <si>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8.8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</si>
  <si>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8.6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</si>
  <si>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8.4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</si>
  <si>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8.3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</si>
  <si>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8.2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</si>
  <si>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8.0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</si>
  <si>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7.5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</si>
  <si>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7.3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</si>
  <si>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7.2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</si>
  <si>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6.9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</si>
  <si>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6.4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</si>
  <si>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6.3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</si>
  <si>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6.0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</si>
  <si>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5.6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</si>
  <si>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5.5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</si>
  <si>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5.3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</si>
  <si>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5.2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</si>
  <si>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5.0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</si>
  <si>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4.9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</si>
  <si>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4.8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</si>
  <si>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4.5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</si>
  <si>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4.4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</si>
  <si>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4.3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</si>
  <si>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4.2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</si>
  <si>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4.1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</si>
  <si>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3.9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</si>
  <si>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3.8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</si>
  <si>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3.7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</si>
  <si>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3.6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</si>
  <si>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3.5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</si>
  <si>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3.4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</si>
  <si>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3.2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</si>
  <si>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3.1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</si>
  <si>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3.0</t>
    </r>
    <r>
      <rPr>
        <b/>
        <sz val="9"/>
        <color rgb="FF1F4E79"/>
        <rFont val="DejaVu Sans"/>
        <family val="2"/>
      </rPr>
      <t>배</t>
    </r>
  </si>
  <si>
    <r>
      <rPr>
        <b/>
        <sz val="10"/>
        <color rgb="FFFFFFFF"/>
        <rFont val="Arial"/>
        <family val="2"/>
      </rPr>
      <t>▶  SOJC  (51</t>
    </r>
    <r>
      <rPr>
        <b/>
        <sz val="10"/>
        <color rgb="FFFFFFFF"/>
        <rFont val="DejaVu Sans"/>
        <family val="2"/>
      </rPr>
      <t>개</t>
    </r>
    <r>
      <rPr>
        <b/>
        <sz val="10"/>
        <color rgb="FFFFFFFF"/>
        <rFont val="Arial"/>
        <family val="2"/>
      </rPr>
      <t>)</t>
    </r>
  </si>
  <si>
    <r>
      <rPr>
        <b/>
        <sz val="9"/>
        <color rgb="FF1F4E79"/>
        <rFont val="Arial"/>
        <family val="2"/>
      </rPr>
      <t>253.6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</si>
  <si>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198.5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</si>
  <si>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50.0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</si>
  <si>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36.0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</si>
  <si>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34.6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</si>
  <si>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25.0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</si>
  <si>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21.3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</si>
  <si>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20.8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</si>
  <si>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17.8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</si>
  <si>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13.3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</si>
  <si>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7.1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</si>
  <si>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6.7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</si>
  <si>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6.5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</si>
  <si>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5.9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</si>
  <si>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5.1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</si>
  <si>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4.7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</si>
  <si>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4.6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</si>
  <si>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4.0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</si>
  <si>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3.3</t>
    </r>
    <r>
      <rPr>
        <b/>
        <sz val="9"/>
        <color rgb="FF1F4E79"/>
        <rFont val="DejaVu Sans"/>
        <family val="2"/>
      </rPr>
      <t>배</t>
    </r>
  </si>
  <si>
    <r>
      <rPr>
        <b/>
        <sz val="10"/>
        <color rgb="FFFFFFFF"/>
        <rFont val="Arial"/>
        <family val="2"/>
      </rPr>
      <t>▶  MOJC  (7</t>
    </r>
    <r>
      <rPr>
        <b/>
        <sz val="10"/>
        <color rgb="FFFFFFFF"/>
        <rFont val="DejaVu Sans"/>
        <family val="2"/>
      </rPr>
      <t>개</t>
    </r>
    <r>
      <rPr>
        <b/>
        <sz val="10"/>
        <color rgb="FFFFFFFF"/>
        <rFont val="Arial"/>
        <family val="2"/>
      </rPr>
      <t>)</t>
    </r>
  </si>
  <si>
    <r>
      <rPr>
        <b/>
        <sz val="9"/>
        <color rgb="FF1F4E79"/>
        <rFont val="Arial"/>
        <family val="2"/>
      </rPr>
      <t>10.5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</si>
  <si>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8.5</t>
    </r>
    <r>
      <rPr>
        <b/>
        <sz val="9"/>
        <color rgb="FF1F4E79"/>
        <rFont val="DejaVu Sans"/>
        <family val="2"/>
      </rPr>
      <t>배</t>
    </r>
  </si>
  <si>
    <r>
      <rPr>
        <b/>
        <sz val="10"/>
        <color rgb="FFFFFFFF"/>
        <rFont val="Arial"/>
        <family val="2"/>
      </rPr>
      <t>▶  OJC-A1  (115</t>
    </r>
    <r>
      <rPr>
        <b/>
        <sz val="10"/>
        <color rgb="FFFFFFFF"/>
        <rFont val="DejaVu Sans"/>
        <family val="2"/>
      </rPr>
      <t>개</t>
    </r>
    <r>
      <rPr>
        <b/>
        <sz val="10"/>
        <color rgb="FFFFFFFF"/>
        <rFont val="Arial"/>
        <family val="2"/>
      </rPr>
      <t>)</t>
    </r>
  </si>
  <si>
    <r>
      <rPr>
        <b/>
        <sz val="9"/>
        <color rgb="FF1F4E79"/>
        <rFont val="Arial"/>
        <family val="2"/>
      </rPr>
      <t>321.8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</si>
  <si>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290.0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</si>
  <si>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115.8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</si>
  <si>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103.2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</si>
  <si>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93.3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</si>
  <si>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87.5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</si>
  <si>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60.0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</si>
  <si>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56.7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</si>
  <si>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40.0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</si>
  <si>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39.9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</si>
  <si>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33.8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</si>
  <si>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33.3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</si>
  <si>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32.9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</si>
  <si>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30.5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</si>
  <si>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29.6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</si>
  <si>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27.0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</si>
  <si>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26.2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</si>
  <si>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23.6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</si>
  <si>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22.7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</si>
  <si>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22.1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</si>
  <si>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21.5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</si>
  <si>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20.4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</si>
  <si>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19.9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</si>
  <si>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18.8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</si>
  <si>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17.5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</si>
  <si>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16.9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</si>
  <si>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16.7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</si>
  <si>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14.8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</si>
  <si>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13.5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</si>
  <si>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12.2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</si>
  <si>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10.7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</si>
  <si>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10.3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</si>
  <si>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9.7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</si>
  <si>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6.8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</si>
  <si>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6.6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</si>
  <si>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6.2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</si>
  <si>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5.7</t>
    </r>
    <r>
      <rPr>
        <b/>
        <sz val="9"/>
        <color rgb="FF1F4E79"/>
        <rFont val="DejaVu Sans"/>
        <family val="2"/>
      </rPr>
      <t>배</t>
    </r>
  </si>
  <si>
    <r>
      <rPr>
        <b/>
        <sz val="10"/>
        <color rgb="FFFFFFFF"/>
        <rFont val="Arial"/>
        <family val="2"/>
      </rPr>
      <t>▶  OJC-C2  (9</t>
    </r>
    <r>
      <rPr>
        <b/>
        <sz val="10"/>
        <color rgb="FFFFFFFF"/>
        <rFont val="DejaVu Sans"/>
        <family val="2"/>
      </rPr>
      <t>개</t>
    </r>
    <r>
      <rPr>
        <b/>
        <sz val="10"/>
        <color rgb="FFFFFFFF"/>
        <rFont val="Arial"/>
        <family val="2"/>
      </rPr>
      <t>)</t>
    </r>
  </si>
  <si>
    <r>
      <rPr>
        <b/>
        <sz val="9"/>
        <color rgb="FF1F4E79"/>
        <rFont val="Arial"/>
        <family val="2"/>
      </rPr>
      <t>12.8</t>
    </r>
    <r>
      <rPr>
        <b/>
        <sz val="9"/>
        <color rgb="FF1F4E79"/>
        <rFont val="DejaVu Sans"/>
        <family val="2"/>
      </rPr>
      <t>배</t>
    </r>
  </si>
  <si>
    <r>
      <rPr>
        <b/>
        <sz val="10"/>
        <color rgb="FFFFFFFF"/>
        <rFont val="Arial"/>
        <family val="2"/>
      </rPr>
      <t>▶  DROP-CABLE  (13</t>
    </r>
    <r>
      <rPr>
        <b/>
        <sz val="10"/>
        <color rgb="FFFFFFFF"/>
        <rFont val="DejaVu Sans"/>
        <family val="2"/>
      </rPr>
      <t>개</t>
    </r>
    <r>
      <rPr>
        <b/>
        <sz val="10"/>
        <color rgb="FFFFFFFF"/>
        <rFont val="Arial"/>
        <family val="2"/>
      </rPr>
      <t>)</t>
    </r>
  </si>
  <si>
    <r>
      <rPr>
        <b/>
        <sz val="9"/>
        <color rgb="FF1F4E79"/>
        <rFont val="Arial"/>
        <family val="2"/>
      </rPr>
      <t>59.0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</si>
  <si>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14.0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</si>
  <si>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10.6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</si>
  <si>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7.0</t>
    </r>
    <r>
      <rPr>
        <b/>
        <sz val="9"/>
        <color rgb="FF1F4E79"/>
        <rFont val="DejaVu Sans"/>
        <family val="2"/>
      </rPr>
      <t>배</t>
    </r>
  </si>
  <si>
    <r>
      <rPr>
        <b/>
        <sz val="10"/>
        <color rgb="FFFFFFFF"/>
        <rFont val="Arial"/>
        <family val="2"/>
      </rPr>
      <t>▶  PIGTAIL  (10</t>
    </r>
    <r>
      <rPr>
        <b/>
        <sz val="10"/>
        <color rgb="FFFFFFFF"/>
        <rFont val="DejaVu Sans"/>
        <family val="2"/>
      </rPr>
      <t>개</t>
    </r>
    <r>
      <rPr>
        <b/>
        <sz val="10"/>
        <color rgb="FFFFFFFF"/>
        <rFont val="Arial"/>
        <family val="2"/>
      </rPr>
      <t>)</t>
    </r>
  </si>
  <si>
    <r>
      <rPr>
        <b/>
        <sz val="9"/>
        <color rgb="FF1F4E79"/>
        <rFont val="Arial"/>
        <family val="2"/>
      </rPr>
      <t>25.5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</si>
  <si>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20.0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</si>
  <si>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19.5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</si>
  <si>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5.8</t>
    </r>
    <r>
      <rPr>
        <b/>
        <sz val="9"/>
        <color rgb="FF1F4E79"/>
        <rFont val="DejaVu Sans"/>
        <family val="2"/>
      </rPr>
      <t>배</t>
    </r>
  </si>
  <si>
    <r>
      <rPr>
        <b/>
        <sz val="10"/>
        <color rgb="FFFFFFFF"/>
        <rFont val="Arial"/>
        <family val="2"/>
      </rPr>
      <t>▶  Optical Cable Parts  (8</t>
    </r>
    <r>
      <rPr>
        <b/>
        <sz val="10"/>
        <color rgb="FFFFFFFF"/>
        <rFont val="DejaVu Sans"/>
        <family val="2"/>
      </rPr>
      <t>개</t>
    </r>
    <r>
      <rPr>
        <b/>
        <sz val="10"/>
        <color rgb="FFFFFFFF"/>
        <rFont val="Arial"/>
        <family val="2"/>
      </rPr>
      <t>)</t>
    </r>
  </si>
  <si>
    <r>
      <rPr>
        <b/>
        <sz val="9"/>
        <color rgb="FF1F4E79"/>
        <rFont val="Arial"/>
        <family val="2"/>
      </rPr>
      <t>14.2</t>
    </r>
    <r>
      <rPr>
        <b/>
        <sz val="9"/>
        <color rgb="FF1F4E79"/>
        <rFont val="DejaVu Sans"/>
        <family val="2"/>
      </rPr>
      <t>배</t>
    </r>
  </si>
  <si>
    <r>
      <rPr>
        <b/>
        <sz val="9"/>
        <color rgb="FF1F4E79"/>
        <rFont val="Arial"/>
        <family val="2"/>
      </rPr>
      <t>7.4</t>
    </r>
    <r>
      <rPr>
        <b/>
        <sz val="9"/>
        <color rgb="FF1F4E79"/>
        <rFont val="DejaVu Sans"/>
        <family val="2"/>
      </rPr>
      <t>배</t>
    </r>
  </si>
  <si>
    <r>
      <rPr>
        <b/>
        <sz val="12"/>
        <color rgb="FFFFFFFF"/>
        <rFont val="DejaVu Sans"/>
        <family val="2"/>
      </rPr>
      <t xml:space="preserve">규격명 </t>
    </r>
    <r>
      <rPr>
        <b/>
        <sz val="12"/>
        <color rgb="FFFFFFFF"/>
        <rFont val="Arial"/>
        <family val="2"/>
      </rPr>
      <t>2</t>
    </r>
    <r>
      <rPr>
        <b/>
        <sz val="12"/>
        <color rgb="FFFFFFFF"/>
        <rFont val="DejaVu Sans"/>
        <family val="2"/>
      </rPr>
      <t xml:space="preserve">개 이상 품목 — </t>
    </r>
    <r>
      <rPr>
        <b/>
        <sz val="12"/>
        <color rgb="FFFFFFFF"/>
        <rFont val="Arial"/>
        <family val="2"/>
      </rPr>
      <t>23</t>
    </r>
    <r>
      <rPr>
        <b/>
        <sz val="12"/>
        <color rgb="FFFFFFFF"/>
        <rFont val="DejaVu Sans"/>
        <family val="2"/>
      </rPr>
      <t xml:space="preserve">개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DejaVu Sans"/>
        <family val="2"/>
      </rPr>
      <t>동일 품목이 여러 규격으로 판매됨</t>
    </r>
    <r>
      <rPr>
        <b/>
        <sz val="12"/>
        <color rgb="FFFFFFFF"/>
        <rFont val="Arial"/>
        <family val="2"/>
      </rPr>
      <t>)</t>
    </r>
  </si>
  <si>
    <r>
      <rPr>
        <sz val="9"/>
        <color rgb="FFFFFFFF"/>
        <rFont val="DejaVu Sans"/>
        <family val="2"/>
      </rPr>
      <t>※ 고객사별 발주번호</t>
    </r>
    <r>
      <rPr>
        <sz val="9"/>
        <color rgb="FFFFFFFF"/>
        <rFont val="Arial"/>
        <family val="2"/>
      </rPr>
      <t>·</t>
    </r>
    <r>
      <rPr>
        <sz val="9"/>
        <color rgb="FFFFFFFF"/>
        <rFont val="DejaVu Sans"/>
        <family val="2"/>
      </rPr>
      <t xml:space="preserve">규격명이 다른 경우 </t>
    </r>
    <r>
      <rPr>
        <sz val="9"/>
        <color rgb="FFFFFFFF"/>
        <rFont val="Arial"/>
        <family val="2"/>
      </rPr>
      <t xml:space="preserve">| </t>
    </r>
    <r>
      <rPr>
        <sz val="9"/>
        <color rgb="FFFFFFFF"/>
        <rFont val="DejaVu Sans"/>
        <family val="2"/>
      </rPr>
      <t>확인 후 통합 또는 분리 관리 결정 필요</t>
    </r>
  </si>
  <si>
    <t>규격수</t>
  </si>
  <si>
    <t>규격명 목록</t>
  </si>
  <si>
    <r>
      <rPr>
        <sz val="9"/>
        <color rgb="FF000000"/>
        <rFont val="Arial"/>
        <family val="2"/>
      </rPr>
      <t xml:space="preserve">10M | 10M, </t>
    </r>
    <r>
      <rPr>
        <sz val="9"/>
        <color rgb="FF000000"/>
        <rFont val="DejaVu Sans"/>
        <family val="2"/>
      </rPr>
      <t>저마찰케이블</t>
    </r>
  </si>
  <si>
    <t>15M | 15M, A1, 2.0mm</t>
  </si>
  <si>
    <t>2M | 2M, A1, 2.0mm</t>
  </si>
  <si>
    <t>1M | 1M, A1, 2.0mm</t>
  </si>
  <si>
    <r>
      <rPr>
        <sz val="9"/>
        <color rgb="FF000000"/>
        <rFont val="Arial"/>
        <family val="2"/>
      </rPr>
      <t xml:space="preserve">3M | 3M, </t>
    </r>
    <r>
      <rPr>
        <sz val="9"/>
        <color rgb="FF000000"/>
        <rFont val="DejaVu Sans"/>
        <family val="2"/>
      </rPr>
      <t>저마찰케이블</t>
    </r>
  </si>
  <si>
    <t>3M | 3M, A1, 2.0mm</t>
  </si>
  <si>
    <t>13M | 13M, B3, 2.0mm</t>
  </si>
  <si>
    <r>
      <rPr>
        <sz val="9"/>
        <color rgb="FF000000"/>
        <rFont val="Arial"/>
        <family val="2"/>
      </rPr>
      <t>K9088994 | K9088994_</t>
    </r>
    <r>
      <rPr>
        <sz val="9"/>
        <color rgb="FF000000"/>
        <rFont val="DejaVu Sans"/>
        <family val="2"/>
      </rPr>
      <t>포앤티</t>
    </r>
  </si>
  <si>
    <r>
      <rPr>
        <sz val="9"/>
        <color rgb="FF000000"/>
        <rFont val="Arial"/>
        <family val="2"/>
      </rPr>
      <t>K9088996 | K9088996_</t>
    </r>
    <r>
      <rPr>
        <sz val="9"/>
        <color rgb="FF000000"/>
        <rFont val="DejaVu Sans"/>
        <family val="2"/>
      </rPr>
      <t>포앤티</t>
    </r>
  </si>
  <si>
    <r>
      <rPr>
        <sz val="9"/>
        <color rgb="FF000000"/>
        <rFont val="Arial"/>
        <family val="2"/>
      </rPr>
      <t>K9088995 | K9088995_</t>
    </r>
    <r>
      <rPr>
        <sz val="9"/>
        <color rgb="FF000000"/>
        <rFont val="DejaVu Sans"/>
        <family val="2"/>
      </rPr>
      <t>포앤티</t>
    </r>
  </si>
  <si>
    <r>
      <rPr>
        <sz val="9"/>
        <color rgb="FF000000"/>
        <rFont val="Arial"/>
        <family val="2"/>
      </rPr>
      <t xml:space="preserve">K9089026 | K9089026, </t>
    </r>
    <r>
      <rPr>
        <sz val="9"/>
        <color rgb="FF000000"/>
        <rFont val="DejaVu Sans"/>
        <family val="2"/>
      </rPr>
      <t>녹색</t>
    </r>
  </si>
  <si>
    <r>
      <rPr>
        <sz val="9"/>
        <color rgb="FF000000"/>
        <rFont val="Arial"/>
        <family val="2"/>
      </rPr>
      <t>K9089175_</t>
    </r>
    <r>
      <rPr>
        <sz val="9"/>
        <color rgb="FF000000"/>
        <rFont val="DejaVu Sans"/>
        <family val="2"/>
      </rPr>
      <t xml:space="preserve">녹색 </t>
    </r>
    <r>
      <rPr>
        <sz val="9"/>
        <color rgb="FF000000"/>
        <rFont val="Arial"/>
        <family val="2"/>
      </rPr>
      <t>| K9089176_</t>
    </r>
    <r>
      <rPr>
        <sz val="9"/>
        <color rgb="FF000000"/>
        <rFont val="DejaVu Sans"/>
        <family val="2"/>
      </rPr>
      <t>녹색</t>
    </r>
  </si>
  <si>
    <t>K9089176, CLIP Type | LC/DP CLIP Type</t>
  </si>
  <si>
    <r>
      <rPr>
        <sz val="9"/>
        <color rgb="FF000000"/>
        <rFont val="Arial"/>
        <family val="2"/>
      </rPr>
      <t xml:space="preserve">K9094342, </t>
    </r>
    <r>
      <rPr>
        <sz val="9"/>
        <color rgb="FF000000"/>
        <rFont val="DejaVu Sans"/>
        <family val="2"/>
      </rPr>
      <t xml:space="preserve">편단 분기부 </t>
    </r>
    <r>
      <rPr>
        <sz val="9"/>
        <color rgb="FF000000"/>
        <rFont val="Arial"/>
        <family val="2"/>
      </rPr>
      <t>2.0M | K9094342, </t>
    </r>
    <r>
      <rPr>
        <sz val="9"/>
        <color rgb="FF000000"/>
        <rFont val="DejaVu Sans"/>
        <family val="2"/>
      </rPr>
      <t>편단 분기부 </t>
    </r>
    <r>
      <rPr>
        <sz val="9"/>
        <color rgb="FF000000"/>
        <rFont val="Arial"/>
        <family val="2"/>
      </rPr>
      <t>2.0M</t>
    </r>
  </si>
  <si>
    <r>
      <rPr>
        <sz val="9"/>
        <color rgb="FF000000"/>
        <rFont val="Arial"/>
        <family val="2"/>
      </rPr>
      <t xml:space="preserve">K9094339, </t>
    </r>
    <r>
      <rPr>
        <sz val="9"/>
        <color rgb="FF000000"/>
        <rFont val="DejaVu Sans"/>
        <family val="2"/>
      </rPr>
      <t xml:space="preserve">편단 분기부 </t>
    </r>
    <r>
      <rPr>
        <sz val="9"/>
        <color rgb="FF000000"/>
        <rFont val="Arial"/>
        <family val="2"/>
      </rPr>
      <t>2.0M | K9094339, </t>
    </r>
    <r>
      <rPr>
        <sz val="9"/>
        <color rgb="FF000000"/>
        <rFont val="DejaVu Sans"/>
        <family val="2"/>
      </rPr>
      <t>편단 분기부 </t>
    </r>
    <r>
      <rPr>
        <sz val="9"/>
        <color rgb="FF000000"/>
        <rFont val="Arial"/>
        <family val="2"/>
      </rPr>
      <t>2.0M</t>
    </r>
  </si>
  <si>
    <t>2M | 2M, B3, 2.0mm</t>
  </si>
  <si>
    <t>K9089179, CLIP Type | LC/DP CLIP Type</t>
  </si>
  <si>
    <r>
      <rPr>
        <sz val="9"/>
        <color rgb="FF000000"/>
        <rFont val="Arial"/>
        <family val="2"/>
      </rPr>
      <t>K9089177 | K9089177_</t>
    </r>
    <r>
      <rPr>
        <sz val="9"/>
        <color rgb="FF000000"/>
        <rFont val="DejaVu Sans"/>
        <family val="2"/>
      </rPr>
      <t>적색</t>
    </r>
  </si>
  <si>
    <r>
      <rPr>
        <sz val="9"/>
        <color rgb="FF000000"/>
        <rFont val="Arial"/>
        <family val="2"/>
      </rPr>
      <t xml:space="preserve">1M, A1, 2.0mm, </t>
    </r>
    <r>
      <rPr>
        <sz val="9"/>
        <color rgb="FF000000"/>
        <rFont val="DejaVu Sans"/>
        <family val="2"/>
      </rPr>
      <t xml:space="preserve">청색 </t>
    </r>
    <r>
      <rPr>
        <sz val="9"/>
        <color rgb="FF000000"/>
        <rFont val="Arial"/>
        <family val="2"/>
      </rPr>
      <t>| 1M_</t>
    </r>
    <r>
      <rPr>
        <sz val="9"/>
        <color rgb="FF000000"/>
        <rFont val="DejaVu Sans"/>
        <family val="2"/>
      </rPr>
      <t>청색</t>
    </r>
  </si>
  <si>
    <t>0.2M | 0.2M, A1, 2.0mm</t>
  </si>
  <si>
    <r>
      <t>25</t>
    </r>
    <r>
      <rPr>
        <b/>
        <sz val="9"/>
        <color rgb="FFFFFFFF"/>
        <rFont val="돋움"/>
        <family val="3"/>
        <charset val="129"/>
      </rPr>
      <t>년</t>
    </r>
    <r>
      <rPr>
        <b/>
        <sz val="9"/>
        <color rgb="FFFFFFFF"/>
        <rFont val="Arial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>계약</t>
    </r>
    <r>
      <rPr>
        <b/>
        <sz val="9"/>
        <color rgb="FFFFFFFF"/>
        <rFont val="Arial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>단가</t>
    </r>
    <phoneticPr fontId="37" type="noConversion"/>
  </si>
  <si>
    <t>23년</t>
  </si>
  <si>
    <t>24년</t>
  </si>
  <si>
    <t>25년</t>
  </si>
  <si>
    <t>26년</t>
  </si>
  <si>
    <t>K9089026, 녹색</t>
  </si>
  <si>
    <t>맥산 표원</t>
    <phoneticPr fontId="37" type="noConversion"/>
  </si>
  <si>
    <t>맥산 
손익</t>
    <phoneticPr fontId="37" type="noConversion"/>
  </si>
  <si>
    <t>맥산
손익율</t>
    <phoneticPr fontId="37" type="noConversion"/>
  </si>
  <si>
    <t>수입
손익율</t>
    <phoneticPr fontId="37" type="noConversion"/>
  </si>
  <si>
    <t>수입 VS 맥산</t>
    <phoneticPr fontId="37" type="noConversion"/>
  </si>
  <si>
    <t>유불리</t>
    <phoneticPr fontId="37" type="noConversion"/>
  </si>
  <si>
    <t>25년 계약 단가</t>
    <phoneticPr fontId="37" type="noConversion"/>
  </si>
  <si>
    <t>수입 표원</t>
    <phoneticPr fontId="37" type="noConversion"/>
  </si>
  <si>
    <t>수입
손익</t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</si>
</sst>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"/>
    <numFmt numFmtId="177" formatCode="0.000"/>
  </numFmts>
  <fonts count="44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DejaVu Sans"/>
      <family val="2"/>
    </font>
    <font>
      <b/>
      <sz val="9"/>
      <color rgb="FFFFFFFF"/>
      <name val="Arial"/>
      <family val="2"/>
    </font>
    <font>
      <b/>
      <sz val="9"/>
      <color rgb="FFFFFFFF"/>
      <name val="DejaVu Sans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DejaVu Sans"/>
      <family val="2"/>
    </font>
    <font>
      <sz val="9"/>
      <color rgb="FFFFFFFF"/>
      <name val="DejaVu Sans"/>
      <family val="2"/>
    </font>
    <font>
      <sz val="9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DejaVu Sans"/>
      <family val="2"/>
    </font>
    <font>
      <b/>
      <sz val="9"/>
      <color rgb="FF1F3864"/>
      <name val="Arial"/>
      <family val="2"/>
    </font>
    <font>
      <b/>
      <sz val="9"/>
      <color rgb="FF1A5C1A"/>
      <name val="Arial"/>
      <family val="2"/>
    </font>
    <font>
      <b/>
      <sz val="9"/>
      <color rgb="FF2F5597"/>
      <name val="Arial"/>
      <family val="2"/>
    </font>
    <font>
      <b/>
      <sz val="9"/>
      <color rgb="FFC55A11"/>
      <name val="Arial"/>
      <family val="2"/>
    </font>
    <font>
      <b/>
      <sz val="9"/>
      <color rgb="FF1F4E79"/>
      <name val="Arial"/>
      <family val="2"/>
    </font>
    <font>
      <b/>
      <sz val="9"/>
      <color rgb="FF2E75B6"/>
      <name val="Arial"/>
      <family val="2"/>
    </font>
    <font>
      <b/>
      <sz val="9"/>
      <color rgb="FF155480"/>
      <name val="Arial"/>
      <family val="2"/>
    </font>
    <font>
      <b/>
      <sz val="9"/>
      <color rgb="FF0D4175"/>
      <name val="Arial"/>
      <family val="2"/>
    </font>
    <font>
      <b/>
      <sz val="9"/>
      <color rgb="FF375623"/>
      <name val="Arial"/>
      <family val="2"/>
    </font>
    <font>
      <b/>
      <sz val="9"/>
      <color rgb="FF7030A0"/>
      <name val="Arial"/>
      <family val="2"/>
    </font>
    <font>
      <b/>
      <sz val="9"/>
      <color rgb="FF843C0C"/>
      <name val="Arial"/>
      <family val="2"/>
    </font>
    <font>
      <b/>
      <sz val="9"/>
      <name val="Arial"/>
      <family val="2"/>
    </font>
    <font>
      <b/>
      <sz val="9"/>
      <color rgb="FFC00000"/>
      <name val="DejaVu Sans"/>
      <family val="2"/>
    </font>
    <font>
      <sz val="9"/>
      <color rgb="FFC00000"/>
      <name val="DejaVu Sans"/>
      <family val="2"/>
    </font>
    <font>
      <b/>
      <sz val="9"/>
      <color rgb="FF7F3F00"/>
      <name val="DejaVu Sans"/>
      <family val="2"/>
    </font>
    <font>
      <sz val="9"/>
      <color rgb="FF7F3F00"/>
      <name val="DejaVu Sans"/>
      <family val="2"/>
    </font>
    <font>
      <b/>
      <sz val="9"/>
      <color rgb="FF1A5C1A"/>
      <name val="DejaVu Sans"/>
      <family val="2"/>
    </font>
    <font>
      <sz val="9"/>
      <color rgb="FF1A5C1A"/>
      <name val="DejaVu Sans"/>
      <family val="2"/>
    </font>
    <font>
      <b/>
      <sz val="9"/>
      <color rgb="FF1F4E79"/>
      <name val="DejaVu Sans"/>
      <family val="2"/>
    </font>
    <font>
      <sz val="9"/>
      <color rgb="FF1F4E79"/>
      <name val="DejaVu Sans"/>
      <family val="2"/>
    </font>
    <font>
      <b/>
      <sz val="10"/>
      <color rgb="FFFFFFFF"/>
      <name val="Arial"/>
      <family val="2"/>
    </font>
    <font>
      <b/>
      <sz val="10"/>
      <color rgb="FFFFFFFF"/>
      <name val="DejaVu Sans"/>
      <family val="2"/>
    </font>
    <font>
      <b/>
      <sz val="9"/>
      <color rgb="FFC00000"/>
      <name val="Arial"/>
      <family val="2"/>
    </font>
    <font>
      <b/>
      <sz val="9"/>
      <color rgb="FFC55A11"/>
      <name val="DejaVu Sans"/>
      <family val="2"/>
    </font>
    <font>
      <sz val="8"/>
      <name val="돋움"/>
      <family val="3"/>
      <charset val="129"/>
    </font>
    <font>
      <b/>
      <sz val="9"/>
      <color rgb="FFFFFFFF"/>
      <name val="돋움"/>
      <family val="3"/>
      <charset val="129"/>
    </font>
    <font>
      <b/>
      <sz val="10"/>
      <color theme="1"/>
      <name val="나눔고딕"/>
      <family val="3"/>
      <charset val="129"/>
    </font>
    <font>
      <sz val="10"/>
      <color rgb="FF000000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10"/>
      <name val="나눔고딕"/>
      <family val="3"/>
      <charset val="129"/>
    </font>
    <font>
      <sz val="10"/>
      <color theme="1"/>
      <name val="나눔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rgb="FF1F3864"/>
        <bgColor rgb="FF0D3869"/>
      </patternFill>
    </fill>
    <fill>
      <patternFill patternType="solid">
        <fgColor rgb="FF374151"/>
        <bgColor rgb="FF1F3864"/>
      </patternFill>
    </fill>
    <fill>
      <patternFill patternType="solid">
        <fgColor rgb="FF2F5597"/>
        <bgColor rgb="FF1F4E79"/>
      </patternFill>
    </fill>
    <fill>
      <patternFill patternType="solid">
        <fgColor rgb="FFFFF2CC"/>
        <bgColor rgb="FFFFE6C8"/>
      </patternFill>
    </fill>
    <fill>
      <patternFill patternType="solid">
        <fgColor rgb="FFF5F5F5"/>
        <bgColor rgb="FFEBF3FB"/>
      </patternFill>
    </fill>
    <fill>
      <patternFill patternType="solid">
        <fgColor rgb="FF2E75B6"/>
        <bgColor rgb="FF2F5597"/>
      </patternFill>
    </fill>
    <fill>
      <patternFill patternType="solid">
        <fgColor rgb="FF155480"/>
        <bgColor rgb="FF1F4E79"/>
      </patternFill>
    </fill>
    <fill>
      <patternFill patternType="solid">
        <fgColor rgb="FF0D4175"/>
        <bgColor rgb="FF0D3869"/>
      </patternFill>
    </fill>
    <fill>
      <patternFill patternType="solid">
        <fgColor rgb="FFD7E8FF"/>
        <bgColor rgb="FFEBF3FB"/>
      </patternFill>
    </fill>
    <fill>
      <patternFill patternType="solid">
        <fgColor rgb="FFD7F0D7"/>
        <bgColor rgb="FFD7E8FF"/>
      </patternFill>
    </fill>
    <fill>
      <patternFill patternType="solid">
        <fgColor rgb="FFFFE6C8"/>
        <bgColor rgb="FFFFF2CC"/>
      </patternFill>
    </fill>
    <fill>
      <patternFill patternType="solid">
        <fgColor rgb="FF375623"/>
        <bgColor rgb="FF1A5C1A"/>
      </patternFill>
    </fill>
    <fill>
      <patternFill patternType="solid">
        <fgColor rgb="FF7030A0"/>
        <bgColor rgb="FF800080"/>
      </patternFill>
    </fill>
    <fill>
      <patternFill patternType="solid">
        <fgColor rgb="FF843C0C"/>
        <bgColor rgb="FF7F3F00"/>
      </patternFill>
    </fill>
    <fill>
      <patternFill patternType="solid">
        <fgColor rgb="FFFFD7D7"/>
        <bgColor rgb="FFFFE6C8"/>
      </patternFill>
    </fill>
    <fill>
      <patternFill patternType="solid">
        <fgColor rgb="FFEBF3FB"/>
        <bgColor rgb="FFF5F5F5"/>
      </patternFill>
    </fill>
    <fill>
      <patternFill patternType="solid">
        <fgColor rgb="FFC55A11"/>
        <bgColor rgb="FF843C0C"/>
      </patternFill>
    </fill>
    <fill>
      <patternFill patternType="solid">
        <fgColor rgb="FF7F3F00"/>
        <bgColor rgb="FF843C0C"/>
      </patternFill>
    </fill>
    <fill>
      <patternFill patternType="solid">
        <fgColor rgb="FF1F4E79"/>
        <bgColor rgb="FF155480"/>
      </patternFill>
    </fill>
    <fill>
      <patternFill patternType="solid">
        <fgColor rgb="FF0D3869"/>
        <bgColor rgb="FF0D4175"/>
      </patternFill>
    </fill>
    <fill>
      <patternFill patternType="solid">
        <fgColor rgb="FF5C2D00"/>
        <bgColor rgb="FF7F3F00"/>
      </patternFill>
    </fill>
    <fill>
      <patternFill patternType="solid">
        <fgColor rgb="FFFFF8F0"/>
        <bgColor rgb="FFF5F5F5"/>
      </patternFill>
    </fill>
    <fill>
      <patternFill patternType="solid">
        <fgColor rgb="FFFFFFFF"/>
        <bgColor rgb="FFFFF8F0"/>
      </patternFill>
    </fill>
    <fill>
      <patternFill patternType="solid">
        <fgColor theme="9" tint="0.59999389629810485"/>
        <bgColor rgb="FF0D386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1" fontId="1" fillId="0" borderId="0" applyBorder="0" applyAlignment="0" applyProtection="0"/>
    <xf numFmtId="9" fontId="1" fillId="0" borderId="0" applyBorder="0" applyAlignment="0" applyProtection="0"/>
  </cellStyleXfs>
  <cellXfs count="167">
    <xf numFmtId="0" fontId="0" fillId="0" borderId="0" xfId="0"/>
    <xf numFmtId="0" fontId="33" fillId="2" borderId="0" xfId="0" applyFont="1" applyFill="1" applyAlignment="1">
      <alignment horizontal="left" vertical="center" indent="1"/>
    </xf>
    <xf numFmtId="0" fontId="9" fillId="19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left" vertical="center" indent="1"/>
    </xf>
    <xf numFmtId="0" fontId="11" fillId="14" borderId="0" xfId="0" applyFont="1" applyFill="1" applyAlignment="1">
      <alignment horizontal="left" vertical="center" indent="1"/>
    </xf>
    <xf numFmtId="0" fontId="11" fillId="13" borderId="0" xfId="0" applyFont="1" applyFill="1" applyAlignment="1">
      <alignment horizontal="left" vertical="center" indent="1"/>
    </xf>
    <xf numFmtId="0" fontId="11" fillId="9" borderId="0" xfId="0" applyFont="1" applyFill="1" applyAlignment="1">
      <alignment horizontal="left" vertical="center" indent="1"/>
    </xf>
    <xf numFmtId="0" fontId="11" fillId="8" borderId="0" xfId="0" applyFont="1" applyFill="1" applyAlignment="1">
      <alignment horizontal="left" vertical="center" indent="1"/>
    </xf>
    <xf numFmtId="0" fontId="11" fillId="7" borderId="0" xfId="0" applyFont="1" applyFill="1" applyAlignment="1">
      <alignment horizontal="left" vertical="center" indent="1"/>
    </xf>
    <xf numFmtId="0" fontId="11" fillId="4" borderId="0" xfId="0" applyFont="1" applyFill="1" applyAlignment="1">
      <alignment horizontal="left" vertical="center" indent="1"/>
    </xf>
    <xf numFmtId="0" fontId="11" fillId="2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3" fontId="7" fillId="5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3" fontId="6" fillId="6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6" fontId="13" fillId="10" borderId="1" xfId="0" applyNumberFormat="1" applyFont="1" applyFill="1" applyBorder="1" applyAlignment="1">
      <alignment horizontal="right" vertical="center"/>
    </xf>
    <xf numFmtId="0" fontId="6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5" fillId="2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5" fillId="4" borderId="1" xfId="0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5" fillId="7" borderId="1" xfId="0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5" fillId="8" borderId="1" xfId="0" applyFont="1" applyFill="1" applyBorder="1" applyAlignment="1">
      <alignment horizontal="right" vertical="center"/>
    </xf>
    <xf numFmtId="3" fontId="4" fillId="8" borderId="1" xfId="0" applyNumberFormat="1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5" fillId="9" borderId="1" xfId="0" applyFont="1" applyFill="1" applyBorder="1" applyAlignment="1">
      <alignment horizontal="right" vertical="center"/>
    </xf>
    <xf numFmtId="3" fontId="4" fillId="9" borderId="1" xfId="0" applyNumberFormat="1" applyFont="1" applyFill="1" applyBorder="1" applyAlignment="1">
      <alignment horizontal="right" vertical="center"/>
    </xf>
    <xf numFmtId="0" fontId="5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5" fillId="13" borderId="1" xfId="0" applyFont="1" applyFill="1" applyBorder="1" applyAlignment="1">
      <alignment horizontal="right" vertical="center"/>
    </xf>
    <xf numFmtId="3" fontId="4" fillId="13" borderId="1" xfId="0" applyNumberFormat="1" applyFont="1" applyFill="1" applyBorder="1" applyAlignment="1">
      <alignment horizontal="right" vertical="center"/>
    </xf>
    <xf numFmtId="0" fontId="5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0" fillId="14" borderId="1" xfId="0" applyFill="1" applyBorder="1"/>
    <xf numFmtId="0" fontId="5" fillId="14" borderId="1" xfId="0" applyFont="1" applyFill="1" applyBorder="1" applyAlignment="1">
      <alignment horizontal="right" vertical="center"/>
    </xf>
    <xf numFmtId="3" fontId="4" fillId="14" borderId="1" xfId="0" applyNumberFormat="1" applyFont="1" applyFill="1" applyBorder="1" applyAlignment="1">
      <alignment horizontal="right" vertical="center"/>
    </xf>
    <xf numFmtId="0" fontId="5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5" fillId="15" borderId="1" xfId="0" applyFont="1" applyFill="1" applyBorder="1" applyAlignment="1">
      <alignment horizontal="right" vertical="center"/>
    </xf>
    <xf numFmtId="3" fontId="4" fillId="15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24" fillId="16" borderId="1" xfId="0" applyFont="1" applyFill="1" applyBorder="1" applyAlignment="1">
      <alignment horizontal="center" vertical="center"/>
    </xf>
    <xf numFmtId="0" fontId="24" fillId="12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right" vertical="center"/>
    </xf>
    <xf numFmtId="177" fontId="24" fillId="16" borderId="1" xfId="0" applyNumberFormat="1" applyFont="1" applyFill="1" applyBorder="1" applyAlignment="1">
      <alignment horizontal="center" vertical="center"/>
    </xf>
    <xf numFmtId="0" fontId="25" fillId="16" borderId="1" xfId="0" applyFont="1" applyFill="1" applyBorder="1" applyAlignment="1">
      <alignment horizontal="center" vertical="center"/>
    </xf>
    <xf numFmtId="0" fontId="26" fillId="16" borderId="1" xfId="0" applyFont="1" applyFill="1" applyBorder="1" applyAlignment="1">
      <alignment horizontal="left" vertical="center"/>
    </xf>
    <xf numFmtId="176" fontId="6" fillId="6" borderId="1" xfId="0" applyNumberFormat="1" applyFont="1" applyFill="1" applyBorder="1" applyAlignment="1">
      <alignment horizontal="right" vertical="center"/>
    </xf>
    <xf numFmtId="177" fontId="24" fillId="12" borderId="1" xfId="0" applyNumberFormat="1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8" fillId="12" borderId="1" xfId="0" applyFont="1" applyFill="1" applyBorder="1" applyAlignment="1">
      <alignment horizontal="left" vertical="center"/>
    </xf>
    <xf numFmtId="177" fontId="24" fillId="11" borderId="1" xfId="0" applyNumberFormat="1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horizontal="left" vertical="center"/>
    </xf>
    <xf numFmtId="177" fontId="24" fillId="17" borderId="1" xfId="0" applyNumberFormat="1" applyFont="1" applyFill="1" applyBorder="1" applyAlignment="1">
      <alignment horizontal="center" vertical="center"/>
    </xf>
    <xf numFmtId="0" fontId="31" fillId="17" borderId="1" xfId="0" applyFont="1" applyFill="1" applyBorder="1" applyAlignment="1">
      <alignment horizontal="center" vertical="center"/>
    </xf>
    <xf numFmtId="0" fontId="32" fillId="17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3" fontId="35" fillId="16" borderId="1" xfId="0" applyNumberFormat="1" applyFont="1" applyFill="1" applyBorder="1" applyAlignment="1">
      <alignment horizontal="right" vertical="center"/>
    </xf>
    <xf numFmtId="0" fontId="35" fillId="16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3" fontId="17" fillId="10" borderId="1" xfId="0" applyNumberFormat="1" applyFont="1" applyFill="1" applyBorder="1" applyAlignment="1">
      <alignment horizontal="right" vertical="center"/>
    </xf>
    <xf numFmtId="0" fontId="17" fillId="17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left" vertical="center"/>
    </xf>
    <xf numFmtId="0" fontId="6" fillId="23" borderId="1" xfId="0" applyFont="1" applyFill="1" applyBorder="1" applyAlignment="1">
      <alignment horizontal="left" vertical="center" wrapText="1"/>
    </xf>
    <xf numFmtId="3" fontId="6" fillId="23" borderId="1" xfId="0" applyNumberFormat="1" applyFont="1" applyFill="1" applyBorder="1" applyAlignment="1">
      <alignment horizontal="right" vertical="center"/>
    </xf>
    <xf numFmtId="0" fontId="6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left" vertical="center"/>
    </xf>
    <xf numFmtId="0" fontId="6" fillId="24" borderId="1" xfId="0" applyFont="1" applyFill="1" applyBorder="1" applyAlignment="1">
      <alignment horizontal="left" vertical="center" wrapText="1"/>
    </xf>
    <xf numFmtId="3" fontId="6" fillId="24" borderId="1" xfId="0" applyNumberFormat="1" applyFont="1" applyFill="1" applyBorder="1" applyAlignment="1">
      <alignment horizontal="right" vertical="center"/>
    </xf>
    <xf numFmtId="0" fontId="33" fillId="4" borderId="0" xfId="0" applyFont="1" applyFill="1" applyAlignment="1">
      <alignment horizontal="left" vertical="center" indent="1"/>
    </xf>
    <xf numFmtId="0" fontId="33" fillId="7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33" fillId="9" borderId="0" xfId="0" applyFont="1" applyFill="1" applyAlignment="1">
      <alignment horizontal="left" vertical="center" indent="1"/>
    </xf>
    <xf numFmtId="0" fontId="33" fillId="13" borderId="0" xfId="0" applyFont="1" applyFill="1" applyAlignment="1">
      <alignment horizontal="left" vertical="center" indent="1"/>
    </xf>
    <xf numFmtId="0" fontId="33" fillId="14" borderId="0" xfId="0" applyFont="1" applyFill="1" applyAlignment="1">
      <alignment horizontal="left" vertical="center" indent="1"/>
    </xf>
    <xf numFmtId="0" fontId="33" fillId="15" borderId="0" xfId="0" applyFont="1" applyFill="1" applyAlignment="1">
      <alignment horizontal="left" vertical="center" indent="1"/>
    </xf>
    <xf numFmtId="0" fontId="3" fillId="20" borderId="0" xfId="0" applyFont="1" applyFill="1" applyAlignment="1">
      <alignment horizontal="center" vertical="center"/>
    </xf>
    <xf numFmtId="0" fontId="9" fillId="21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9" fillId="2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39" fillId="25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0" fontId="40" fillId="6" borderId="1" xfId="0" applyFont="1" applyFill="1" applyBorder="1" applyAlignment="1">
      <alignment horizontal="left" vertical="center"/>
    </xf>
    <xf numFmtId="3" fontId="40" fillId="6" borderId="1" xfId="0" applyNumberFormat="1" applyFont="1" applyFill="1" applyBorder="1" applyAlignment="1">
      <alignment horizontal="right" vertical="center"/>
    </xf>
    <xf numFmtId="3" fontId="41" fillId="5" borderId="1" xfId="0" applyNumberFormat="1" applyFont="1" applyFill="1" applyBorder="1" applyAlignment="1">
      <alignment horizontal="right" vertical="center"/>
    </xf>
    <xf numFmtId="41" fontId="42" fillId="0" borderId="1" xfId="1" applyFont="1" applyBorder="1" applyAlignment="1">
      <alignment horizontal="left" vertical="center"/>
    </xf>
    <xf numFmtId="9" fontId="42" fillId="0" borderId="1" xfId="2" applyFont="1" applyBorder="1" applyAlignment="1">
      <alignment horizontal="center" vertical="center"/>
    </xf>
    <xf numFmtId="41" fontId="42" fillId="0" borderId="1" xfId="2" applyNumberFormat="1" applyFont="1" applyBorder="1" applyAlignment="1">
      <alignment horizontal="center" vertical="center"/>
    </xf>
    <xf numFmtId="0" fontId="43" fillId="0" borderId="1" xfId="0" applyFont="1" applyBorder="1"/>
    <xf numFmtId="0" fontId="40" fillId="0" borderId="1" xfId="0" applyFont="1" applyBorder="1" applyAlignment="1">
      <alignment horizontal="left" vertical="center"/>
    </xf>
    <xf numFmtId="3" fontId="40" fillId="0" borderId="1" xfId="0" applyNumberFormat="1" applyFont="1" applyBorder="1" applyAlignment="1">
      <alignment horizontal="right" vertical="center"/>
    </xf>
    <xf numFmtId="41" fontId="1" fillId="0" borderId="1" xfId="1" applyBorder="1"/>
  </cellXfs>
  <cellStyles count="3">
    <cellStyle name="백분율" xfId="2" builtinId="5"/>
    <cellStyle name="쉼표 [0]" xfId="1" builtinId="6"/>
    <cellStyle name="표준" xfId="0" builtinId="0"/>
  </cellStyles>
  <dxfs count="3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A5C1A"/>
      <rgbColor rgb="FF000080"/>
      <rgbColor rgb="FF375623"/>
      <rgbColor rgb="FF800080"/>
      <rgbColor rgb="FF1F4E79"/>
      <rgbColor rgb="FFFFF8F0"/>
      <rgbColor rgb="FF808080"/>
      <rgbColor rgb="FF9999FF"/>
      <rgbColor rgb="FF7030A0"/>
      <rgbColor rgb="FFFFF2CC"/>
      <rgbColor rgb="FFD7E8FF"/>
      <rgbColor rgb="FF660066"/>
      <rgbColor rgb="FFFF8080"/>
      <rgbColor rgb="FF155480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7F0D7"/>
      <rgbColor rgb="FFFFE6C8"/>
      <rgbColor rgb="FF99CCFF"/>
      <rgbColor rgb="FFFF99CC"/>
      <rgbColor rgb="FFCC99FF"/>
      <rgbColor rgb="FFFFD7D7"/>
      <rgbColor rgb="FF2E75B6"/>
      <rgbColor rgb="FF33CCCC"/>
      <rgbColor rgb="FF99CC00"/>
      <rgbColor rgb="FFFFCC00"/>
      <rgbColor rgb="FFFF9900"/>
      <rgbColor rgb="FFC55A11"/>
      <rgbColor rgb="FF2F5597"/>
      <rgbColor rgb="FF969696"/>
      <rgbColor rgb="FF0D3869"/>
      <rgbColor rgb="FF339966"/>
      <rgbColor rgb="FF0D4175"/>
      <rgbColor rgb="FF5C2D00"/>
      <rgbColor rgb="FF843C0C"/>
      <rgbColor rgb="FF7F3F00"/>
      <rgbColor rgb="FF1F3864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&#48708;&#48128;_&#44305;&#51216;&#54140;&#53076;&#46300;%20&#50896;&#44032;%20&#54869;&#51064;_&#50689;&#50629;&#44288;&#47532;&#54016;_&#48149;&#51221;&#50896;_260428-1.xls" TargetMode="External"/><Relationship Id="rId2" Type="http://schemas.openxmlformats.org/officeDocument/2006/relationships/externalLinkPath" Target="file:///C:\Users\AJWorld\Downloads\&#48708;&#48128;_&#44305;&#51216;&#54140;&#53076;&#46300;%20&#50896;&#44032;%20&#54869;&#51064;_&#50689;&#50629;&#44288;&#47532;&#54016;_&#48149;&#51221;&#50896;_260428-1.xls" TargetMode="External"/><Relationship Id="rId1" Type="http://schemas.openxmlformats.org/officeDocument/2006/relationships/externalLinkPath" Target="/Users/AJWorld/Downloads/&#48708;&#48128;_&#44305;&#51216;&#54140;&#53076;&#46300;%20&#50896;&#44032;%20&#54869;&#51064;_&#50689;&#50629;&#44288;&#47532;&#54016;_&#48149;&#51221;&#50896;_260428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G 광점퍼코드(수익률) 판관비 인상 후"/>
      <sheetName val="KT 광점퍼코드(수익률)"/>
    </sheetNames>
    <sheetDataSet>
      <sheetData sheetId="0"/>
      <sheetData sheetId="1">
        <row r="4">
          <cell r="A4" t="str">
            <v>14-K-362</v>
          </cell>
          <cell r="B4" t="str">
            <v>K9088996</v>
          </cell>
          <cell r="C4" t="str">
            <v>OJC-A1-SC/SC-SM-3-PC/PC-SP</v>
          </cell>
          <cell r="D4" t="str">
            <v>SP</v>
          </cell>
          <cell r="E4" t="str">
            <v>SM</v>
          </cell>
          <cell r="F4" t="str">
            <v>3M</v>
          </cell>
          <cell r="G4" t="str">
            <v>V0</v>
          </cell>
          <cell r="H4" t="str">
            <v>G657A1</v>
          </cell>
          <cell r="I4" t="str">
            <v>노란색</v>
          </cell>
          <cell r="J4" t="str">
            <v>PVC</v>
          </cell>
          <cell r="K4" t="str">
            <v>청색</v>
          </cell>
          <cell r="L4" t="str">
            <v>청색</v>
          </cell>
          <cell r="M4" t="str">
            <v>2.0mm</v>
          </cell>
          <cell r="N4" t="str">
            <v/>
          </cell>
          <cell r="O4">
            <v>35741</v>
          </cell>
          <cell r="P4">
            <v>1394</v>
          </cell>
        </row>
        <row r="5">
          <cell r="A5" t="str">
            <v>14-K-357</v>
          </cell>
          <cell r="B5" t="str">
            <v>K9089111</v>
          </cell>
          <cell r="C5" t="str">
            <v>OJC-A1-SC/SC-SM-3-APC/APC-SP</v>
          </cell>
          <cell r="D5" t="str">
            <v>SP</v>
          </cell>
          <cell r="E5" t="str">
            <v>SM</v>
          </cell>
          <cell r="F5" t="str">
            <v>3M</v>
          </cell>
          <cell r="G5" t="str">
            <v>V0</v>
          </cell>
          <cell r="H5" t="str">
            <v>G657A1</v>
          </cell>
          <cell r="I5" t="str">
            <v>노란색</v>
          </cell>
          <cell r="J5" t="str">
            <v>PVC</v>
          </cell>
          <cell r="K5" t="str">
            <v>녹색</v>
          </cell>
          <cell r="L5" t="str">
            <v>녹색</v>
          </cell>
          <cell r="M5" t="str">
            <v>2.0mm</v>
          </cell>
          <cell r="N5" t="str">
            <v/>
          </cell>
          <cell r="O5">
            <v>5513</v>
          </cell>
          <cell r="P5">
            <v>1413</v>
          </cell>
        </row>
        <row r="6">
          <cell r="A6" t="str">
            <v>14-K-291</v>
          </cell>
          <cell r="B6" t="str">
            <v>K9089003</v>
          </cell>
          <cell r="C6" t="str">
            <v>OJC-A1-SC/SC-SM-10-PC/PC-SP</v>
          </cell>
          <cell r="D6" t="str">
            <v>SP</v>
          </cell>
          <cell r="E6" t="str">
            <v>SM</v>
          </cell>
          <cell r="F6" t="str">
            <v>10M</v>
          </cell>
          <cell r="G6" t="str">
            <v>V0</v>
          </cell>
          <cell r="H6" t="str">
            <v>G657A1</v>
          </cell>
          <cell r="I6" t="str">
            <v>노란색</v>
          </cell>
          <cell r="J6" t="str">
            <v>PVC</v>
          </cell>
          <cell r="K6" t="str">
            <v>청색</v>
          </cell>
          <cell r="L6" t="str">
            <v>청색</v>
          </cell>
          <cell r="M6" t="str">
            <v>2.0mm</v>
          </cell>
          <cell r="N6" t="str">
            <v/>
          </cell>
          <cell r="O6">
            <v>5352</v>
          </cell>
          <cell r="P6">
            <v>2028</v>
          </cell>
        </row>
        <row r="7">
          <cell r="A7" t="str">
            <v>14-K-303</v>
          </cell>
          <cell r="B7" t="str">
            <v>K9089008</v>
          </cell>
          <cell r="C7" t="str">
            <v>OJC-A1-SC/SC-SM-15-PC/PC-SP</v>
          </cell>
          <cell r="D7" t="str">
            <v>SP</v>
          </cell>
          <cell r="E7" t="str">
            <v>SM</v>
          </cell>
          <cell r="F7" t="str">
            <v>15M</v>
          </cell>
          <cell r="G7" t="str">
            <v>V0</v>
          </cell>
          <cell r="H7" t="str">
            <v>G657A1</v>
          </cell>
          <cell r="I7" t="str">
            <v>노란색</v>
          </cell>
          <cell r="J7" t="str">
            <v>PVC</v>
          </cell>
          <cell r="K7" t="str">
            <v>청색</v>
          </cell>
          <cell r="L7" t="str">
            <v>청색</v>
          </cell>
          <cell r="M7" t="str">
            <v>2.0mm</v>
          </cell>
          <cell r="N7" t="str">
            <v/>
          </cell>
          <cell r="O7">
            <v>4268</v>
          </cell>
          <cell r="P7">
            <v>2285</v>
          </cell>
        </row>
        <row r="8">
          <cell r="A8" t="str">
            <v>14-K-316</v>
          </cell>
          <cell r="B8" t="str">
            <v>K9088994</v>
          </cell>
          <cell r="C8" t="str">
            <v>OJC-A1-SC/SC-SM-1-PC/PC-SP</v>
          </cell>
          <cell r="D8" t="str">
            <v>SP</v>
          </cell>
          <cell r="E8" t="str">
            <v>SM</v>
          </cell>
          <cell r="F8" t="str">
            <v>1M</v>
          </cell>
          <cell r="G8" t="str">
            <v>V0</v>
          </cell>
          <cell r="H8" t="str">
            <v>G657A1</v>
          </cell>
          <cell r="I8" t="str">
            <v>노란색</v>
          </cell>
          <cell r="J8" t="str">
            <v>PVC</v>
          </cell>
          <cell r="K8" t="str">
            <v>청색</v>
          </cell>
          <cell r="L8" t="str">
            <v>청색</v>
          </cell>
          <cell r="M8" t="str">
            <v>2.0mm</v>
          </cell>
          <cell r="N8" t="str">
            <v/>
          </cell>
          <cell r="O8">
            <v>3868</v>
          </cell>
          <cell r="P8">
            <v>1121</v>
          </cell>
        </row>
        <row r="9">
          <cell r="A9" t="str">
            <v>14-K-347</v>
          </cell>
          <cell r="B9" t="str">
            <v>K9088995</v>
          </cell>
          <cell r="C9" t="str">
            <v>OJC-A1-SC/SC-SM-2-PC/PC-SP</v>
          </cell>
          <cell r="D9" t="str">
            <v>SP</v>
          </cell>
          <cell r="E9" t="str">
            <v>SM</v>
          </cell>
          <cell r="F9" t="str">
            <v>2M</v>
          </cell>
          <cell r="G9" t="str">
            <v>V0</v>
          </cell>
          <cell r="H9" t="str">
            <v>G657A1</v>
          </cell>
          <cell r="I9" t="str">
            <v>노란색</v>
          </cell>
          <cell r="J9" t="str">
            <v>PVC</v>
          </cell>
          <cell r="K9" t="str">
            <v>청색</v>
          </cell>
          <cell r="L9" t="str">
            <v>청색</v>
          </cell>
          <cell r="M9" t="str">
            <v>2.0mm</v>
          </cell>
          <cell r="N9" t="str">
            <v/>
          </cell>
          <cell r="O9">
            <v>3767</v>
          </cell>
          <cell r="P9">
            <v>1304</v>
          </cell>
        </row>
        <row r="10">
          <cell r="A10" t="str">
            <v>14-K-322</v>
          </cell>
          <cell r="B10" t="str">
            <v>K9089013</v>
          </cell>
          <cell r="C10" t="str">
            <v>OJC-A1-SC/SC-SM-20-PC/PC-SP</v>
          </cell>
          <cell r="D10" t="str">
            <v>SP</v>
          </cell>
          <cell r="E10" t="str">
            <v>SM</v>
          </cell>
          <cell r="F10" t="str">
            <v>20M</v>
          </cell>
          <cell r="G10" t="str">
            <v>V0</v>
          </cell>
          <cell r="H10" t="str">
            <v>G657A1</v>
          </cell>
          <cell r="I10" t="str">
            <v>노란색</v>
          </cell>
          <cell r="J10" t="str">
            <v>PVC</v>
          </cell>
          <cell r="K10" t="str">
            <v>청색</v>
          </cell>
          <cell r="L10" t="str">
            <v>청색</v>
          </cell>
          <cell r="M10" t="str">
            <v>2.0mm</v>
          </cell>
          <cell r="N10" t="str">
            <v/>
          </cell>
          <cell r="O10">
            <v>2651</v>
          </cell>
          <cell r="P10">
            <v>2687</v>
          </cell>
        </row>
        <row r="11">
          <cell r="A11" t="str">
            <v>14-K-290</v>
          </cell>
          <cell r="B11" t="str">
            <v>K9089132</v>
          </cell>
          <cell r="C11" t="str">
            <v>OJC-A1-SC/SC-SM-10-PC/PC-DP</v>
          </cell>
          <cell r="D11" t="str">
            <v>DP</v>
          </cell>
          <cell r="E11" t="str">
            <v>SM</v>
          </cell>
          <cell r="F11" t="str">
            <v>10M</v>
          </cell>
          <cell r="G11" t="str">
            <v>V0</v>
          </cell>
          <cell r="H11" t="str">
            <v>G657A1</v>
          </cell>
          <cell r="I11" t="str">
            <v>노란색</v>
          </cell>
          <cell r="J11" t="str">
            <v>PVC</v>
          </cell>
          <cell r="K11" t="str">
            <v>청색 / 적색</v>
          </cell>
          <cell r="L11" t="str">
            <v>청색 / 적색</v>
          </cell>
          <cell r="M11" t="str">
            <v>2.0mm</v>
          </cell>
          <cell r="N11" t="str">
            <v/>
          </cell>
          <cell r="O11">
            <v>2491</v>
          </cell>
          <cell r="P11">
            <v>4036</v>
          </cell>
        </row>
        <row r="12">
          <cell r="A12" t="str">
            <v>14-K-302</v>
          </cell>
          <cell r="B12" t="str">
            <v>K9089137</v>
          </cell>
          <cell r="C12" t="str">
            <v>OJC-A1-SC/SC-SM-15-PC/PC-DP</v>
          </cell>
          <cell r="D12" t="str">
            <v>DP</v>
          </cell>
          <cell r="E12" t="str">
            <v>SM</v>
          </cell>
          <cell r="F12" t="str">
            <v>15M</v>
          </cell>
          <cell r="G12" t="str">
            <v>V0</v>
          </cell>
          <cell r="H12" t="str">
            <v>G657A1</v>
          </cell>
          <cell r="I12" t="str">
            <v>노란색</v>
          </cell>
          <cell r="J12" t="str">
            <v>PVC</v>
          </cell>
          <cell r="K12" t="str">
            <v>청색 / 적색</v>
          </cell>
          <cell r="L12" t="str">
            <v>청색 / 적색</v>
          </cell>
          <cell r="M12" t="str">
            <v>2.0mm</v>
          </cell>
          <cell r="N12" t="str">
            <v/>
          </cell>
          <cell r="O12">
            <v>2416</v>
          </cell>
          <cell r="P12">
            <v>4896</v>
          </cell>
        </row>
        <row r="13">
          <cell r="A13" t="str">
            <v>14-K-176</v>
          </cell>
          <cell r="B13" t="str">
            <v>K9089162</v>
          </cell>
          <cell r="C13" t="str">
            <v>OJC-A1-SC/LC-SM-10-PC/PC-DP</v>
          </cell>
          <cell r="D13" t="str">
            <v>DP</v>
          </cell>
          <cell r="E13" t="str">
            <v>SM</v>
          </cell>
          <cell r="F13" t="str">
            <v>10M</v>
          </cell>
          <cell r="G13" t="str">
            <v>V0</v>
          </cell>
          <cell r="H13" t="str">
            <v>G657A1</v>
          </cell>
          <cell r="I13" t="str">
            <v>노란색</v>
          </cell>
          <cell r="J13" t="str">
            <v>PVC</v>
          </cell>
          <cell r="K13" t="str">
            <v>청색 / 적색</v>
          </cell>
          <cell r="L13" t="str">
            <v>청색 / 적색</v>
          </cell>
          <cell r="M13" t="str">
            <v>2.0mm</v>
          </cell>
          <cell r="N13" t="str">
            <v/>
          </cell>
          <cell r="O13">
            <v>2368</v>
          </cell>
          <cell r="P13">
            <v>4784</v>
          </cell>
        </row>
        <row r="14">
          <cell r="A14" t="str">
            <v>14-K-379</v>
          </cell>
          <cell r="B14" t="str">
            <v>K9088998</v>
          </cell>
          <cell r="C14" t="str">
            <v>OJC-A1-SC/SC-SM-5-PC/PC-SP</v>
          </cell>
          <cell r="D14" t="str">
            <v>SP</v>
          </cell>
          <cell r="E14" t="str">
            <v>SM</v>
          </cell>
          <cell r="F14" t="str">
            <v>5M</v>
          </cell>
          <cell r="G14" t="str">
            <v>V0</v>
          </cell>
          <cell r="H14" t="str">
            <v>G657A1</v>
          </cell>
          <cell r="I14" t="str">
            <v>노란색</v>
          </cell>
          <cell r="J14" t="str">
            <v>PVC</v>
          </cell>
          <cell r="K14" t="str">
            <v>청색</v>
          </cell>
          <cell r="L14" t="str">
            <v>청색</v>
          </cell>
          <cell r="M14" t="str">
            <v>2.0mm</v>
          </cell>
          <cell r="N14" t="str">
            <v/>
          </cell>
          <cell r="O14">
            <v>2144</v>
          </cell>
          <cell r="P14">
            <v>1574</v>
          </cell>
        </row>
        <row r="15">
          <cell r="A15" t="str">
            <v>14-K-204</v>
          </cell>
          <cell r="B15" t="str">
            <v>K9089164</v>
          </cell>
          <cell r="C15" t="str">
            <v>OJC-A1-SC/LC-SM-20-PC/PC-DP</v>
          </cell>
          <cell r="D15" t="str">
            <v>DP</v>
          </cell>
          <cell r="E15" t="str">
            <v>SM</v>
          </cell>
          <cell r="F15" t="str">
            <v>20M</v>
          </cell>
          <cell r="G15" t="str">
            <v>V0</v>
          </cell>
          <cell r="H15" t="str">
            <v>G657A1</v>
          </cell>
          <cell r="I15" t="str">
            <v>노란색</v>
          </cell>
          <cell r="J15" t="str">
            <v>PVC</v>
          </cell>
          <cell r="K15" t="str">
            <v>청색 / 적색</v>
          </cell>
          <cell r="L15" t="str">
            <v>청색 / 적색</v>
          </cell>
          <cell r="M15" t="str">
            <v>2.0mm</v>
          </cell>
          <cell r="N15" t="str">
            <v/>
          </cell>
          <cell r="O15">
            <v>1883</v>
          </cell>
          <cell r="P15">
            <v>6110</v>
          </cell>
        </row>
        <row r="16">
          <cell r="A16" t="str">
            <v>14-K-199</v>
          </cell>
          <cell r="B16" t="str">
            <v>K9089028</v>
          </cell>
          <cell r="C16" t="str">
            <v>OJC-A1-SC/LC-SM-1-PC/PC-SP</v>
          </cell>
          <cell r="D16" t="str">
            <v>SP</v>
          </cell>
          <cell r="E16" t="str">
            <v>SM</v>
          </cell>
          <cell r="F16" t="str">
            <v>1M</v>
          </cell>
          <cell r="G16" t="str">
            <v>V0</v>
          </cell>
          <cell r="H16" t="str">
            <v>G657A1</v>
          </cell>
          <cell r="I16" t="str">
            <v>노란색</v>
          </cell>
          <cell r="J16" t="str">
            <v>PVC</v>
          </cell>
          <cell r="K16" t="str">
            <v>청색</v>
          </cell>
          <cell r="L16" t="str">
            <v>청색</v>
          </cell>
          <cell r="M16" t="str">
            <v>2.0mm</v>
          </cell>
          <cell r="N16" t="str">
            <v/>
          </cell>
          <cell r="O16">
            <v>1862</v>
          </cell>
          <cell r="P16">
            <v>1469</v>
          </cell>
        </row>
        <row r="17">
          <cell r="A17" t="str">
            <v>14-K-321</v>
          </cell>
          <cell r="B17" t="str">
            <v>K9089142</v>
          </cell>
          <cell r="C17" t="str">
            <v>OJC-A1-SC/SC-SM-20-PC/PC-DP</v>
          </cell>
          <cell r="D17" t="str">
            <v>DP</v>
          </cell>
          <cell r="E17" t="str">
            <v>SM</v>
          </cell>
          <cell r="F17" t="str">
            <v>20M</v>
          </cell>
          <cell r="G17" t="str">
            <v>V0</v>
          </cell>
          <cell r="H17" t="str">
            <v>G657A1</v>
          </cell>
          <cell r="I17" t="str">
            <v>노란색</v>
          </cell>
          <cell r="J17" t="str">
            <v>PVC</v>
          </cell>
          <cell r="K17" t="str">
            <v>청색 / 적색</v>
          </cell>
          <cell r="L17" t="str">
            <v>청색 / 적색</v>
          </cell>
          <cell r="M17" t="str">
            <v>2.0mm</v>
          </cell>
          <cell r="N17" t="str">
            <v/>
          </cell>
          <cell r="O17">
            <v>1742</v>
          </cell>
          <cell r="P17">
            <v>5737</v>
          </cell>
        </row>
        <row r="18">
          <cell r="A18" t="str">
            <v>14-K-188</v>
          </cell>
          <cell r="B18" t="str">
            <v>K9089163</v>
          </cell>
          <cell r="C18" t="str">
            <v>OJC-A1-SC/LC-SM-15-PC/PC-DP</v>
          </cell>
          <cell r="D18" t="str">
            <v>DP</v>
          </cell>
          <cell r="E18" t="str">
            <v>SM</v>
          </cell>
          <cell r="F18" t="str">
            <v>15M</v>
          </cell>
          <cell r="G18" t="str">
            <v>V0</v>
          </cell>
          <cell r="H18" t="str">
            <v>G657A1</v>
          </cell>
          <cell r="I18" t="str">
            <v>노란색</v>
          </cell>
          <cell r="J18" t="str">
            <v>PVC</v>
          </cell>
          <cell r="K18" t="str">
            <v>청색 / 적색</v>
          </cell>
          <cell r="L18" t="str">
            <v>청색 / 적색</v>
          </cell>
          <cell r="M18" t="str">
            <v>2.0mm</v>
          </cell>
          <cell r="N18" t="str">
            <v/>
          </cell>
          <cell r="O18">
            <v>1701</v>
          </cell>
          <cell r="P18">
            <v>5689</v>
          </cell>
        </row>
        <row r="19">
          <cell r="A19" t="str">
            <v>14-K-189</v>
          </cell>
          <cell r="B19" t="str">
            <v>K9089034</v>
          </cell>
          <cell r="C19" t="str">
            <v>OJC-A1-SC/LC-SM-15-PC/PC-SP</v>
          </cell>
          <cell r="D19" t="str">
            <v>SP</v>
          </cell>
          <cell r="E19" t="str">
            <v>SM</v>
          </cell>
          <cell r="F19" t="str">
            <v>15M</v>
          </cell>
          <cell r="G19" t="str">
            <v>V0</v>
          </cell>
          <cell r="H19" t="str">
            <v>G657A1</v>
          </cell>
          <cell r="I19" t="str">
            <v>노란색</v>
          </cell>
          <cell r="J19" t="str">
            <v>PVC</v>
          </cell>
          <cell r="K19" t="str">
            <v>청색</v>
          </cell>
          <cell r="L19" t="str">
            <v>청색</v>
          </cell>
          <cell r="M19" t="str">
            <v>2.0mm</v>
          </cell>
          <cell r="N19" t="str">
            <v/>
          </cell>
          <cell r="O19">
            <v>1517</v>
          </cell>
          <cell r="P19">
            <v>2623</v>
          </cell>
        </row>
        <row r="20">
          <cell r="A20" t="str">
            <v>14-K-209</v>
          </cell>
          <cell r="B20" t="str">
            <v>K9089165</v>
          </cell>
          <cell r="C20" t="str">
            <v>OJC-A1-SC/LC-SM-25-PC/PC-DP</v>
          </cell>
          <cell r="D20" t="str">
            <v>DP</v>
          </cell>
          <cell r="E20" t="str">
            <v>SM</v>
          </cell>
          <cell r="F20" t="str">
            <v>25M</v>
          </cell>
          <cell r="G20" t="str">
            <v>V0</v>
          </cell>
          <cell r="H20" t="str">
            <v>G657A1</v>
          </cell>
          <cell r="I20" t="str">
            <v>노란색</v>
          </cell>
          <cell r="J20" t="str">
            <v>PVC</v>
          </cell>
          <cell r="K20" t="str">
            <v>청색 / 적색</v>
          </cell>
          <cell r="L20" t="str">
            <v>청색 / 적색</v>
          </cell>
          <cell r="M20" t="str">
            <v>2.0mm</v>
          </cell>
          <cell r="N20" t="str">
            <v/>
          </cell>
          <cell r="O20">
            <v>1484</v>
          </cell>
          <cell r="P20">
            <v>7494</v>
          </cell>
        </row>
        <row r="21">
          <cell r="A21" t="str">
            <v>14-K-177</v>
          </cell>
          <cell r="B21" t="str">
            <v>K9089033</v>
          </cell>
          <cell r="C21" t="str">
            <v>OJC-A1-SC/LC-SM-10-PC/PC-SP</v>
          </cell>
          <cell r="D21" t="str">
            <v>SP</v>
          </cell>
          <cell r="E21" t="str">
            <v>SM</v>
          </cell>
          <cell r="F21" t="str">
            <v>10M</v>
          </cell>
          <cell r="G21" t="str">
            <v>V0</v>
          </cell>
          <cell r="H21" t="str">
            <v>G657A1</v>
          </cell>
          <cell r="I21" t="str">
            <v>노란색</v>
          </cell>
          <cell r="J21" t="str">
            <v>PVC</v>
          </cell>
          <cell r="K21" t="str">
            <v>청색</v>
          </cell>
          <cell r="L21" t="str">
            <v>청색</v>
          </cell>
          <cell r="M21" t="str">
            <v>2.0mm</v>
          </cell>
          <cell r="N21" t="str">
            <v/>
          </cell>
          <cell r="O21">
            <v>1470</v>
          </cell>
          <cell r="P21">
            <v>2220</v>
          </cell>
        </row>
        <row r="22">
          <cell r="A22" t="str">
            <v>14-K-214</v>
          </cell>
          <cell r="B22" t="str">
            <v>K9089158</v>
          </cell>
          <cell r="C22" t="str">
            <v>OJC-A1-SC/LC-SM-2-PC/PC-DP</v>
          </cell>
          <cell r="D22" t="str">
            <v>DP</v>
          </cell>
          <cell r="E22" t="str">
            <v>SM</v>
          </cell>
          <cell r="F22" t="str">
            <v>2M</v>
          </cell>
          <cell r="G22" t="str">
            <v>V0</v>
          </cell>
          <cell r="H22" t="str">
            <v>G657A1</v>
          </cell>
          <cell r="I22" t="str">
            <v>노란색</v>
          </cell>
          <cell r="J22" t="str">
            <v>PVC</v>
          </cell>
          <cell r="K22" t="str">
            <v>청색 / 적색</v>
          </cell>
          <cell r="L22" t="str">
            <v>청색 / 적색</v>
          </cell>
          <cell r="M22" t="str">
            <v>2.0mm</v>
          </cell>
          <cell r="N22" t="str">
            <v/>
          </cell>
          <cell r="O22">
            <v>1330</v>
          </cell>
          <cell r="P22">
            <v>3332</v>
          </cell>
        </row>
        <row r="23">
          <cell r="A23" t="str">
            <v>14-K-337</v>
          </cell>
          <cell r="B23" t="str">
            <v>K9089018</v>
          </cell>
          <cell r="C23" t="str">
            <v>OJC-A1-SC/SC-SM-25-PC/PC-SP</v>
          </cell>
          <cell r="D23" t="str">
            <v>SP</v>
          </cell>
          <cell r="E23" t="str">
            <v>SM</v>
          </cell>
          <cell r="F23" t="str">
            <v>25M</v>
          </cell>
          <cell r="G23" t="str">
            <v>V0</v>
          </cell>
          <cell r="H23" t="str">
            <v>G657A1</v>
          </cell>
          <cell r="I23" t="str">
            <v>노란색</v>
          </cell>
          <cell r="J23" t="str">
            <v>PVC</v>
          </cell>
          <cell r="K23" t="str">
            <v>청색</v>
          </cell>
          <cell r="L23" t="str">
            <v>청색</v>
          </cell>
          <cell r="M23" t="str">
            <v>2.0mm</v>
          </cell>
          <cell r="N23" t="str">
            <v/>
          </cell>
          <cell r="O23">
            <v>1194</v>
          </cell>
          <cell r="P23">
            <v>3086</v>
          </cell>
        </row>
        <row r="24">
          <cell r="A24" t="str">
            <v>14-K-236</v>
          </cell>
          <cell r="B24" t="str">
            <v>K9089161</v>
          </cell>
          <cell r="C24" t="str">
            <v>OJC-A1-SC/LC-SM-5-PC/PC-DP</v>
          </cell>
          <cell r="D24" t="str">
            <v>DP</v>
          </cell>
          <cell r="E24" t="str">
            <v>SM</v>
          </cell>
          <cell r="F24" t="str">
            <v>5M</v>
          </cell>
          <cell r="G24" t="str">
            <v>V0</v>
          </cell>
          <cell r="H24" t="str">
            <v>G657A1</v>
          </cell>
          <cell r="I24" t="str">
            <v>노란색</v>
          </cell>
          <cell r="J24" t="str">
            <v>PVC</v>
          </cell>
          <cell r="K24" t="str">
            <v>청색 / 적색</v>
          </cell>
          <cell r="L24" t="str">
            <v>청색 / 적색</v>
          </cell>
          <cell r="M24" t="str">
            <v>2.0mm</v>
          </cell>
          <cell r="N24" t="str">
            <v/>
          </cell>
          <cell r="O24">
            <v>1177</v>
          </cell>
          <cell r="P24">
            <v>3877</v>
          </cell>
        </row>
        <row r="25">
          <cell r="A25" t="str">
            <v>14-K-361</v>
          </cell>
          <cell r="B25" t="str">
            <v>K9089125</v>
          </cell>
          <cell r="C25" t="str">
            <v>OJC-A1-SC/SC-SM-3-PC/PC-DP</v>
          </cell>
          <cell r="D25" t="str">
            <v>DP</v>
          </cell>
          <cell r="E25" t="str">
            <v>SM</v>
          </cell>
          <cell r="F25" t="str">
            <v>3M</v>
          </cell>
          <cell r="G25" t="str">
            <v>V0</v>
          </cell>
          <cell r="H25" t="str">
            <v>G657A1</v>
          </cell>
          <cell r="I25" t="str">
            <v>노란색</v>
          </cell>
          <cell r="J25" t="str">
            <v>PVC</v>
          </cell>
          <cell r="K25" t="str">
            <v>청색 / 적색</v>
          </cell>
          <cell r="L25" t="str">
            <v>청색 / 적색</v>
          </cell>
          <cell r="M25" t="str">
            <v>2.0mm</v>
          </cell>
          <cell r="N25" t="str">
            <v/>
          </cell>
          <cell r="O25">
            <v>899</v>
          </cell>
          <cell r="P25">
            <v>2561</v>
          </cell>
        </row>
        <row r="26">
          <cell r="A26" t="str">
            <v>14-K-336</v>
          </cell>
          <cell r="B26" t="str">
            <v>K9089147</v>
          </cell>
          <cell r="C26" t="str">
            <v>OJC-A1-SC/SC-SM-25-PC/PC-DP</v>
          </cell>
          <cell r="D26" t="str">
            <v>DP</v>
          </cell>
          <cell r="E26" t="str">
            <v>SM</v>
          </cell>
          <cell r="F26" t="str">
            <v>25M</v>
          </cell>
          <cell r="G26" t="str">
            <v>V0</v>
          </cell>
          <cell r="H26" t="str">
            <v>G657A1</v>
          </cell>
          <cell r="I26" t="str">
            <v>노란색</v>
          </cell>
          <cell r="J26" t="str">
            <v>PVC</v>
          </cell>
          <cell r="K26" t="str">
            <v>청색 / 적색</v>
          </cell>
          <cell r="L26" t="str">
            <v>청색 / 적색</v>
          </cell>
          <cell r="M26" t="str">
            <v>2.0mm</v>
          </cell>
          <cell r="N26" t="str">
            <v/>
          </cell>
          <cell r="O26">
            <v>848</v>
          </cell>
          <cell r="P26">
            <v>6564</v>
          </cell>
        </row>
        <row r="27">
          <cell r="A27" t="str">
            <v>14-K-378</v>
          </cell>
          <cell r="B27" t="str">
            <v>K9089127</v>
          </cell>
          <cell r="C27" t="str">
            <v>OJC-A1-SC/SC-SM-5-PC/PC-DP</v>
          </cell>
          <cell r="D27" t="str">
            <v>DP</v>
          </cell>
          <cell r="E27" t="str">
            <v>SM</v>
          </cell>
          <cell r="F27" t="str">
            <v>5M</v>
          </cell>
          <cell r="G27" t="str">
            <v>V0</v>
          </cell>
          <cell r="H27" t="str">
            <v>G657A1</v>
          </cell>
          <cell r="I27" t="str">
            <v>노란색</v>
          </cell>
          <cell r="J27" t="str">
            <v>PVC</v>
          </cell>
          <cell r="K27" t="str">
            <v>청색 / 적색</v>
          </cell>
          <cell r="L27" t="str">
            <v>청색 / 적색</v>
          </cell>
          <cell r="M27" t="str">
            <v>2.0mm</v>
          </cell>
          <cell r="N27" t="str">
            <v/>
          </cell>
          <cell r="O27">
            <v>818</v>
          </cell>
          <cell r="P27">
            <v>3128</v>
          </cell>
        </row>
        <row r="28">
          <cell r="A28" t="str">
            <v>14-K-A25</v>
          </cell>
          <cell r="B28" t="str">
            <v>K9089194</v>
          </cell>
          <cell r="C28" t="str">
            <v>OJC-A1-SC/LC-SM-3-PC/APC-DP</v>
          </cell>
          <cell r="D28" t="str">
            <v>DP</v>
          </cell>
          <cell r="E28" t="str">
            <v>SM</v>
          </cell>
          <cell r="F28" t="str">
            <v>3M</v>
          </cell>
          <cell r="G28" t="str">
            <v>V0</v>
          </cell>
          <cell r="H28" t="str">
            <v>G657A1</v>
          </cell>
          <cell r="I28" t="str">
            <v>노란색</v>
          </cell>
          <cell r="J28" t="str">
            <v>PVC</v>
          </cell>
          <cell r="K28" t="str">
            <v>청색 / 적색</v>
          </cell>
          <cell r="L28" t="str">
            <v>녹색 / 적색</v>
          </cell>
          <cell r="M28" t="str">
            <v>2.0mm</v>
          </cell>
          <cell r="N28" t="str">
            <v/>
          </cell>
          <cell r="O28">
            <v>799</v>
          </cell>
          <cell r="P28">
            <v>2421</v>
          </cell>
        </row>
        <row r="29">
          <cell r="A29" t="str">
            <v>14-K-198</v>
          </cell>
          <cell r="B29" t="str">
            <v>K9089157</v>
          </cell>
          <cell r="C29" t="str">
            <v>OJC-A1-SC/LC-SM-1-PC/PC-DP</v>
          </cell>
          <cell r="D29" t="str">
            <v>DP</v>
          </cell>
          <cell r="E29" t="str">
            <v>SM</v>
          </cell>
          <cell r="F29" t="str">
            <v>1M</v>
          </cell>
          <cell r="G29" t="str">
            <v>V0</v>
          </cell>
          <cell r="H29" t="str">
            <v>G657A1</v>
          </cell>
          <cell r="I29" t="str">
            <v>노란색</v>
          </cell>
          <cell r="J29" t="str">
            <v>PVC</v>
          </cell>
          <cell r="K29" t="str">
            <v>청색 / 적색</v>
          </cell>
          <cell r="L29" t="str">
            <v>청색 / 적색</v>
          </cell>
          <cell r="M29" t="str">
            <v>2.0mm</v>
          </cell>
          <cell r="N29" t="str">
            <v/>
          </cell>
          <cell r="O29">
            <v>779</v>
          </cell>
          <cell r="P29">
            <v>2920</v>
          </cell>
        </row>
        <row r="30">
          <cell r="A30" t="str">
            <v>14-K-353</v>
          </cell>
          <cell r="B30" t="str">
            <v>K9089023</v>
          </cell>
          <cell r="C30" t="str">
            <v>OJC-A1-SC/SC-SM-30-PC/PC-SP</v>
          </cell>
          <cell r="D30" t="str">
            <v>SP</v>
          </cell>
          <cell r="E30" t="str">
            <v>SM</v>
          </cell>
          <cell r="F30" t="str">
            <v>30M</v>
          </cell>
          <cell r="G30" t="str">
            <v>V0</v>
          </cell>
          <cell r="H30" t="str">
            <v>G657A1</v>
          </cell>
          <cell r="I30" t="str">
            <v>노란색</v>
          </cell>
          <cell r="J30" t="str">
            <v>PVC</v>
          </cell>
          <cell r="K30" t="str">
            <v>청색</v>
          </cell>
          <cell r="L30" t="str">
            <v>청색</v>
          </cell>
          <cell r="M30" t="str">
            <v>2.0mm</v>
          </cell>
          <cell r="N30" t="str">
            <v/>
          </cell>
          <cell r="O30">
            <v>751</v>
          </cell>
          <cell r="P30">
            <v>3476</v>
          </cell>
        </row>
        <row r="31">
          <cell r="A31" t="str">
            <v>14-K-205</v>
          </cell>
          <cell r="B31" t="str">
            <v>K9089035</v>
          </cell>
          <cell r="C31" t="str">
            <v>OJC-A1-SC/LC-SM-20-PC/PC-SP</v>
          </cell>
          <cell r="D31" t="str">
            <v>SP</v>
          </cell>
          <cell r="E31" t="str">
            <v>SM</v>
          </cell>
          <cell r="F31" t="str">
            <v>20M</v>
          </cell>
          <cell r="G31" t="str">
            <v>V0</v>
          </cell>
          <cell r="H31" t="str">
            <v>G657A1</v>
          </cell>
          <cell r="I31" t="str">
            <v>노란색</v>
          </cell>
          <cell r="J31" t="str">
            <v>PVC</v>
          </cell>
          <cell r="K31" t="str">
            <v>청색</v>
          </cell>
          <cell r="L31" t="str">
            <v>청색</v>
          </cell>
          <cell r="M31" t="str">
            <v>2.0mm</v>
          </cell>
          <cell r="N31" t="str">
            <v/>
          </cell>
          <cell r="O31">
            <v>746</v>
          </cell>
          <cell r="P31">
            <v>3030</v>
          </cell>
        </row>
        <row r="32">
          <cell r="A32" t="str">
            <v>14-K-312</v>
          </cell>
          <cell r="B32" t="str">
            <v>K9089110</v>
          </cell>
          <cell r="C32" t="str">
            <v>OJC-A1-SC/SC-SM-1-APC/APC-SP</v>
          </cell>
          <cell r="D32" t="str">
            <v>SP</v>
          </cell>
          <cell r="E32" t="str">
            <v>SM</v>
          </cell>
          <cell r="F32" t="str">
            <v>1M</v>
          </cell>
          <cell r="G32" t="str">
            <v>V0</v>
          </cell>
          <cell r="H32" t="str">
            <v>G657A1</v>
          </cell>
          <cell r="I32" t="str">
            <v>노란색</v>
          </cell>
          <cell r="J32" t="str">
            <v>PVC</v>
          </cell>
          <cell r="K32" t="str">
            <v>녹색</v>
          </cell>
          <cell r="L32" t="str">
            <v>녹색</v>
          </cell>
          <cell r="M32" t="str">
            <v>2.0mm</v>
          </cell>
          <cell r="N32" t="str">
            <v/>
          </cell>
          <cell r="O32">
            <v>644</v>
          </cell>
          <cell r="P32">
            <v>1138</v>
          </cell>
        </row>
        <row r="33">
          <cell r="A33" t="str">
            <v>14-K-389</v>
          </cell>
          <cell r="B33" t="str">
            <v>K9089000</v>
          </cell>
          <cell r="C33" t="str">
            <v>OJC-A1-SC/SC-SM-7-PC/PC-SP</v>
          </cell>
          <cell r="D33" t="str">
            <v>SP</v>
          </cell>
          <cell r="E33" t="str">
            <v>SM</v>
          </cell>
          <cell r="F33" t="str">
            <v>7M</v>
          </cell>
          <cell r="G33" t="str">
            <v>V0</v>
          </cell>
          <cell r="H33" t="str">
            <v>G657A1</v>
          </cell>
          <cell r="I33" t="str">
            <v>노란색</v>
          </cell>
          <cell r="J33" t="str">
            <v>PVC</v>
          </cell>
          <cell r="K33" t="str">
            <v>청색</v>
          </cell>
          <cell r="L33" t="str">
            <v>청색</v>
          </cell>
          <cell r="M33" t="str">
            <v>2.0mm</v>
          </cell>
          <cell r="N33" t="str">
            <v/>
          </cell>
          <cell r="O33">
            <v>623</v>
          </cell>
          <cell r="P33">
            <v>1625</v>
          </cell>
        </row>
        <row r="34">
          <cell r="A34" t="str">
            <v>14-K-210</v>
          </cell>
          <cell r="B34" t="str">
            <v>K9089036</v>
          </cell>
          <cell r="C34" t="str">
            <v>OJC-A1-SC/LC-SM-25-PC/PC-SP</v>
          </cell>
          <cell r="D34" t="str">
            <v>SP</v>
          </cell>
          <cell r="E34" t="str">
            <v>SM</v>
          </cell>
          <cell r="F34" t="str">
            <v>25M</v>
          </cell>
          <cell r="G34" t="str">
            <v>V0</v>
          </cell>
          <cell r="H34" t="str">
            <v>G657A1</v>
          </cell>
          <cell r="I34" t="str">
            <v>노란색</v>
          </cell>
          <cell r="J34" t="str">
            <v>PVC</v>
          </cell>
          <cell r="K34" t="str">
            <v>청색</v>
          </cell>
          <cell r="L34" t="str">
            <v>청색</v>
          </cell>
          <cell r="M34" t="str">
            <v>2.0mm</v>
          </cell>
          <cell r="N34" t="str">
            <v/>
          </cell>
          <cell r="O34">
            <v>594</v>
          </cell>
          <cell r="P34">
            <v>3403</v>
          </cell>
        </row>
        <row r="35">
          <cell r="A35" t="str">
            <v>14-K-083</v>
          </cell>
          <cell r="B35" t="str">
            <v>K9089177</v>
          </cell>
          <cell r="C35" t="str">
            <v>OJC-A1-LC/LC-SM-15-PC/PC-DP</v>
          </cell>
          <cell r="D35" t="str">
            <v>DP</v>
          </cell>
          <cell r="E35" t="str">
            <v>SM</v>
          </cell>
          <cell r="F35" t="str">
            <v>15M</v>
          </cell>
          <cell r="G35" t="str">
            <v>V0</v>
          </cell>
          <cell r="H35" t="str">
            <v>G657A1</v>
          </cell>
          <cell r="I35" t="str">
            <v>노란색</v>
          </cell>
          <cell r="J35" t="str">
            <v>PVC</v>
          </cell>
          <cell r="K35" t="str">
            <v>청색 / 적색</v>
          </cell>
          <cell r="L35" t="str">
            <v>청색 / 적색</v>
          </cell>
          <cell r="M35" t="str">
            <v>2.0mm</v>
          </cell>
          <cell r="N35" t="str">
            <v/>
          </cell>
          <cell r="O35">
            <v>547</v>
          </cell>
          <cell r="P35">
            <v>5348</v>
          </cell>
        </row>
        <row r="36">
          <cell r="A36" t="str">
            <v>14-K-231</v>
          </cell>
          <cell r="B36" t="str">
            <v>K9089160</v>
          </cell>
          <cell r="C36" t="str">
            <v>OJC-A1-SC/LC-SM-4-PC/PC-DP</v>
          </cell>
          <cell r="D36" t="str">
            <v>DP</v>
          </cell>
          <cell r="E36" t="str">
            <v>SM</v>
          </cell>
          <cell r="F36" t="str">
            <v>4M</v>
          </cell>
          <cell r="G36" t="str">
            <v>V0</v>
          </cell>
          <cell r="H36" t="str">
            <v>G657A1</v>
          </cell>
          <cell r="I36" t="str">
            <v>노란색</v>
          </cell>
          <cell r="J36" t="str">
            <v>PVC</v>
          </cell>
          <cell r="K36" t="str">
            <v>청색 / 적색</v>
          </cell>
          <cell r="L36" t="str">
            <v>청색 / 적색</v>
          </cell>
          <cell r="M36" t="str">
            <v>2.0mm</v>
          </cell>
          <cell r="N36" t="str">
            <v/>
          </cell>
          <cell r="O36">
            <v>522</v>
          </cell>
          <cell r="P36">
            <v>3425</v>
          </cell>
        </row>
        <row r="37">
          <cell r="A37" t="str">
            <v>14-K-078</v>
          </cell>
          <cell r="B37" t="str">
            <v>K9089176</v>
          </cell>
          <cell r="C37" t="str">
            <v>OJC-A1-LC/LC-SM-10-PC/PC-DP</v>
          </cell>
          <cell r="D37" t="str">
            <v>DP</v>
          </cell>
          <cell r="E37" t="str">
            <v>SM</v>
          </cell>
          <cell r="F37" t="str">
            <v>10M</v>
          </cell>
          <cell r="G37" t="str">
            <v>V0</v>
          </cell>
          <cell r="H37" t="str">
            <v>G657A1</v>
          </cell>
          <cell r="I37" t="str">
            <v>노란색</v>
          </cell>
          <cell r="J37" t="str">
            <v>PVC</v>
          </cell>
          <cell r="K37" t="str">
            <v>청색 / 적색</v>
          </cell>
          <cell r="L37" t="str">
            <v>청색 / 적색</v>
          </cell>
          <cell r="M37" t="str">
            <v>2.0mm</v>
          </cell>
          <cell r="N37" t="str">
            <v/>
          </cell>
          <cell r="O37">
            <v>515</v>
          </cell>
          <cell r="P37">
            <v>4512</v>
          </cell>
        </row>
        <row r="38">
          <cell r="A38" t="str">
            <v>14-K-346</v>
          </cell>
          <cell r="B38" t="str">
            <v>K9089124</v>
          </cell>
          <cell r="C38" t="str">
            <v>OJC-A1-SC/SC-SM-2-PC/PC-DP</v>
          </cell>
          <cell r="D38" t="str">
            <v>DP</v>
          </cell>
          <cell r="E38" t="str">
            <v>SM</v>
          </cell>
          <cell r="F38" t="str">
            <v>2M</v>
          </cell>
          <cell r="G38" t="str">
            <v>V0</v>
          </cell>
          <cell r="H38" t="str">
            <v>G657A1</v>
          </cell>
          <cell r="I38" t="str">
            <v>노란색</v>
          </cell>
          <cell r="J38" t="str">
            <v>PVC</v>
          </cell>
          <cell r="K38" t="str">
            <v>청색 / 적색</v>
          </cell>
          <cell r="L38" t="str">
            <v>청색 / 적색</v>
          </cell>
          <cell r="M38" t="str">
            <v>2.0mm</v>
          </cell>
          <cell r="N38" t="str">
            <v/>
          </cell>
          <cell r="O38">
            <v>503</v>
          </cell>
          <cell r="P38">
            <v>2390</v>
          </cell>
        </row>
        <row r="39">
          <cell r="A39" t="str">
            <v>14-K-296</v>
          </cell>
          <cell r="B39" t="str">
            <v>K9089006</v>
          </cell>
          <cell r="C39" t="str">
            <v>OJC-A1-SC/SC-SM-13-PC/PC-SP</v>
          </cell>
          <cell r="D39" t="str">
            <v>SP</v>
          </cell>
          <cell r="E39" t="str">
            <v>SM</v>
          </cell>
          <cell r="F39" t="str">
            <v>13M</v>
          </cell>
          <cell r="G39" t="str">
            <v>V0</v>
          </cell>
          <cell r="H39" t="str">
            <v>G657A1</v>
          </cell>
          <cell r="I39" t="str">
            <v>노란색</v>
          </cell>
          <cell r="J39" t="str">
            <v>PVC</v>
          </cell>
          <cell r="K39" t="str">
            <v>청색</v>
          </cell>
          <cell r="L39" t="str">
            <v>청색</v>
          </cell>
          <cell r="M39" t="str">
            <v>2.0mm</v>
          </cell>
          <cell r="N39" t="str">
            <v/>
          </cell>
          <cell r="O39">
            <v>485</v>
          </cell>
          <cell r="P39">
            <v>2122</v>
          </cell>
        </row>
        <row r="40">
          <cell r="A40" t="str">
            <v>14-K-226</v>
          </cell>
          <cell r="B40" t="str">
            <v>K9089030</v>
          </cell>
          <cell r="C40" t="str">
            <v>OJC-A1-SC/LC-SM-3-PC/PC-SP</v>
          </cell>
          <cell r="D40" t="str">
            <v>SP</v>
          </cell>
          <cell r="E40" t="str">
            <v>SM</v>
          </cell>
          <cell r="F40" t="str">
            <v>3M</v>
          </cell>
          <cell r="G40" t="str">
            <v>V0</v>
          </cell>
          <cell r="H40" t="str">
            <v>G657A1</v>
          </cell>
          <cell r="I40" t="str">
            <v>노란색</v>
          </cell>
          <cell r="J40" t="str">
            <v>PVC</v>
          </cell>
          <cell r="K40" t="str">
            <v>청색</v>
          </cell>
          <cell r="L40" t="str">
            <v>청색</v>
          </cell>
          <cell r="M40" t="str">
            <v>2.0mm</v>
          </cell>
          <cell r="N40" t="str">
            <v/>
          </cell>
          <cell r="O40">
            <v>475</v>
          </cell>
          <cell r="P40">
            <v>1765</v>
          </cell>
        </row>
        <row r="41">
          <cell r="A41" t="str">
            <v>14-K-087</v>
          </cell>
          <cell r="B41" t="str">
            <v>K9089178</v>
          </cell>
          <cell r="C41" t="str">
            <v>OJC-A1-LC/LC-SM-20-PC/PC-DP</v>
          </cell>
          <cell r="D41" t="str">
            <v>DP</v>
          </cell>
          <cell r="E41" t="str">
            <v>SM</v>
          </cell>
          <cell r="F41" t="str">
            <v>20M</v>
          </cell>
          <cell r="G41" t="str">
            <v>V0</v>
          </cell>
          <cell r="H41" t="str">
            <v>G657A1</v>
          </cell>
          <cell r="I41" t="str">
            <v>노란색</v>
          </cell>
          <cell r="J41" t="str">
            <v>PVC</v>
          </cell>
          <cell r="K41" t="str">
            <v>청색 / 적색</v>
          </cell>
          <cell r="L41" t="str">
            <v>청색 / 적색</v>
          </cell>
          <cell r="M41" t="str">
            <v>2.0mm</v>
          </cell>
          <cell r="N41" t="str">
            <v/>
          </cell>
          <cell r="O41">
            <v>473</v>
          </cell>
          <cell r="P41">
            <v>6191</v>
          </cell>
        </row>
        <row r="42">
          <cell r="A42" t="str">
            <v>14-K-217</v>
          </cell>
          <cell r="B42" t="str">
            <v>K9089166</v>
          </cell>
          <cell r="C42" t="str">
            <v>OJC-A1-SC/LC-SM-30-PC/PC-DP</v>
          </cell>
          <cell r="D42" t="str">
            <v>DP</v>
          </cell>
          <cell r="E42" t="str">
            <v>SM</v>
          </cell>
          <cell r="F42" t="str">
            <v>30M</v>
          </cell>
          <cell r="G42" t="str">
            <v>V0</v>
          </cell>
          <cell r="H42" t="str">
            <v>G657A1</v>
          </cell>
          <cell r="I42" t="str">
            <v>노란색</v>
          </cell>
          <cell r="J42" t="str">
            <v>PVC</v>
          </cell>
          <cell r="K42" t="str">
            <v>청색 / 적색</v>
          </cell>
          <cell r="L42" t="str">
            <v>청색 / 적색</v>
          </cell>
          <cell r="M42" t="str">
            <v>2.0mm</v>
          </cell>
          <cell r="N42" t="str">
            <v/>
          </cell>
          <cell r="O42">
            <v>438</v>
          </cell>
          <cell r="P42">
            <v>8386</v>
          </cell>
        </row>
        <row r="43">
          <cell r="A43" t="str">
            <v>14-K-393</v>
          </cell>
          <cell r="B43" t="str">
            <v>K9089001</v>
          </cell>
          <cell r="C43" t="str">
            <v>OJC-A1-SC/SC-SM-8-PC/PC-SP</v>
          </cell>
          <cell r="D43" t="str">
            <v>SP</v>
          </cell>
          <cell r="E43" t="str">
            <v>SM</v>
          </cell>
          <cell r="F43" t="str">
            <v>8M</v>
          </cell>
          <cell r="G43" t="str">
            <v>V0</v>
          </cell>
          <cell r="H43" t="str">
            <v>G657A1</v>
          </cell>
          <cell r="I43" t="str">
            <v>노란색</v>
          </cell>
          <cell r="J43" t="str">
            <v>PVC</v>
          </cell>
          <cell r="K43" t="str">
            <v>청색</v>
          </cell>
          <cell r="L43" t="str">
            <v>청색</v>
          </cell>
          <cell r="M43" t="str">
            <v>2.0mm</v>
          </cell>
          <cell r="N43" t="str">
            <v/>
          </cell>
          <cell r="O43">
            <v>403</v>
          </cell>
          <cell r="P43">
            <v>1708</v>
          </cell>
        </row>
        <row r="44">
          <cell r="A44" t="str">
            <v>14-K-352</v>
          </cell>
          <cell r="B44" t="str">
            <v>K9089152</v>
          </cell>
          <cell r="C44" t="str">
            <v>OJC-A1-SC/SC-SM-30-PC/PC-DP</v>
          </cell>
          <cell r="D44" t="str">
            <v>DP</v>
          </cell>
          <cell r="E44" t="str">
            <v>SM</v>
          </cell>
          <cell r="F44" t="str">
            <v>30M</v>
          </cell>
          <cell r="G44" t="str">
            <v>V0</v>
          </cell>
          <cell r="H44" t="str">
            <v>G657A1</v>
          </cell>
          <cell r="I44" t="str">
            <v>노란색</v>
          </cell>
          <cell r="J44" t="str">
            <v>PVC</v>
          </cell>
          <cell r="K44" t="str">
            <v>청색 / 적색</v>
          </cell>
          <cell r="L44" t="str">
            <v>청색 / 적색</v>
          </cell>
          <cell r="M44" t="str">
            <v>2.0mm</v>
          </cell>
          <cell r="N44" t="str">
            <v/>
          </cell>
          <cell r="O44">
            <v>384</v>
          </cell>
          <cell r="P44">
            <v>6838</v>
          </cell>
        </row>
        <row r="45">
          <cell r="A45" t="str">
            <v>14-K-215</v>
          </cell>
          <cell r="B45" t="str">
            <v>K9089029</v>
          </cell>
          <cell r="C45" t="str">
            <v>OJC-A1-SC/LC-SM-2-PC/PC-SP</v>
          </cell>
          <cell r="D45" t="str">
            <v>SP</v>
          </cell>
          <cell r="E45" t="str">
            <v>SM</v>
          </cell>
          <cell r="F45" t="str">
            <v>2M</v>
          </cell>
          <cell r="G45" t="str">
            <v>V0</v>
          </cell>
          <cell r="H45" t="str">
            <v>G657A1</v>
          </cell>
          <cell r="I45" t="str">
            <v>노란색</v>
          </cell>
          <cell r="J45" t="str">
            <v>PVC</v>
          </cell>
          <cell r="K45" t="str">
            <v>청색</v>
          </cell>
          <cell r="L45" t="str">
            <v>청색</v>
          </cell>
          <cell r="M45" t="str">
            <v>2.0mm</v>
          </cell>
          <cell r="N45" t="str">
            <v/>
          </cell>
          <cell r="O45">
            <v>360</v>
          </cell>
          <cell r="P45">
            <v>1554</v>
          </cell>
        </row>
        <row r="46">
          <cell r="A46" t="str">
            <v>14-K-368</v>
          </cell>
          <cell r="B46" t="str">
            <v>K9089126</v>
          </cell>
          <cell r="C46" t="str">
            <v>OJC-A1-SC/SC-SM-4-PC/PC-DP</v>
          </cell>
          <cell r="D46" t="str">
            <v>DP</v>
          </cell>
          <cell r="E46" t="str">
            <v>SM</v>
          </cell>
          <cell r="F46" t="str">
            <v>4M</v>
          </cell>
          <cell r="G46" t="str">
            <v>V0</v>
          </cell>
          <cell r="H46" t="str">
            <v>G657A1</v>
          </cell>
          <cell r="I46" t="str">
            <v>노란색</v>
          </cell>
          <cell r="J46" t="str">
            <v>PVC</v>
          </cell>
          <cell r="K46" t="str">
            <v>청색 / 적색</v>
          </cell>
          <cell r="L46" t="str">
            <v>청색 / 적색</v>
          </cell>
          <cell r="M46" t="str">
            <v>2.0mm</v>
          </cell>
          <cell r="N46" t="str">
            <v/>
          </cell>
          <cell r="O46">
            <v>340</v>
          </cell>
          <cell r="P46">
            <v>2946</v>
          </cell>
        </row>
        <row r="47">
          <cell r="A47" t="str">
            <v>14-K-360</v>
          </cell>
          <cell r="B47" t="str">
            <v>K9089057</v>
          </cell>
          <cell r="C47" t="str">
            <v>OJC-A1-SC/SC-SM-3-PC/APC-SP</v>
          </cell>
          <cell r="D47" t="str">
            <v>SP</v>
          </cell>
          <cell r="E47" t="str">
            <v>SM</v>
          </cell>
          <cell r="F47" t="str">
            <v>3M</v>
          </cell>
          <cell r="G47" t="str">
            <v>V0</v>
          </cell>
          <cell r="H47" t="str">
            <v>G657A1</v>
          </cell>
          <cell r="I47" t="str">
            <v>노란색</v>
          </cell>
          <cell r="J47" t="str">
            <v>PVC</v>
          </cell>
          <cell r="K47" t="str">
            <v>청색</v>
          </cell>
          <cell r="L47" t="str">
            <v>녹색</v>
          </cell>
          <cell r="M47" t="str">
            <v>2.0mm</v>
          </cell>
          <cell r="N47" t="str">
            <v/>
          </cell>
          <cell r="O47">
            <v>318</v>
          </cell>
          <cell r="P47">
            <v>1310</v>
          </cell>
        </row>
        <row r="48">
          <cell r="A48" t="str">
            <v>14-K-091</v>
          </cell>
          <cell r="B48" t="str">
            <v>K9089179</v>
          </cell>
          <cell r="C48" t="str">
            <v>OJC-A1-LC/LC-SM-25-PC/PC-DP</v>
          </cell>
          <cell r="D48" t="str">
            <v>DP</v>
          </cell>
          <cell r="E48" t="str">
            <v>SM</v>
          </cell>
          <cell r="F48" t="str">
            <v>25M</v>
          </cell>
          <cell r="G48" t="str">
            <v>V0</v>
          </cell>
          <cell r="H48" t="str">
            <v>G657A1</v>
          </cell>
          <cell r="I48" t="str">
            <v>노란색</v>
          </cell>
          <cell r="J48" t="str">
            <v>PVC</v>
          </cell>
          <cell r="K48" t="str">
            <v>청색 / 적색</v>
          </cell>
          <cell r="L48" t="str">
            <v>청색 / 적색</v>
          </cell>
          <cell r="M48" t="str">
            <v>2.0mm</v>
          </cell>
          <cell r="N48" t="str">
            <v/>
          </cell>
          <cell r="O48">
            <v>312</v>
          </cell>
          <cell r="P48">
            <v>7028</v>
          </cell>
        </row>
        <row r="49">
          <cell r="A49" t="str">
            <v>14-K-237</v>
          </cell>
          <cell r="B49" t="str">
            <v>K9089032</v>
          </cell>
          <cell r="C49" t="str">
            <v>OJC-A1-SC/LC-SM-5-PC/PC-SP</v>
          </cell>
          <cell r="D49" t="str">
            <v>SP</v>
          </cell>
          <cell r="E49" t="str">
            <v>SM</v>
          </cell>
          <cell r="F49" t="str">
            <v>5M</v>
          </cell>
          <cell r="G49" t="str">
            <v>V0</v>
          </cell>
          <cell r="H49" t="str">
            <v>G657A1</v>
          </cell>
          <cell r="I49" t="str">
            <v>노란색</v>
          </cell>
          <cell r="J49" t="str">
            <v>PVC</v>
          </cell>
          <cell r="K49" t="str">
            <v>청색</v>
          </cell>
          <cell r="L49" t="str">
            <v>청색</v>
          </cell>
          <cell r="M49" t="str">
            <v>2.0mm</v>
          </cell>
          <cell r="N49" t="str">
            <v/>
          </cell>
          <cell r="O49">
            <v>311</v>
          </cell>
          <cell r="P49">
            <v>1805</v>
          </cell>
        </row>
        <row r="50">
          <cell r="A50" t="str">
            <v>14-K-107</v>
          </cell>
          <cell r="B50" t="str">
            <v>K9089175</v>
          </cell>
          <cell r="C50" t="str">
            <v>OJC-A1-LC/LC-SM-5-PC/PC-DP</v>
          </cell>
          <cell r="D50" t="str">
            <v>DP</v>
          </cell>
          <cell r="E50" t="str">
            <v>SM</v>
          </cell>
          <cell r="F50" t="str">
            <v>5M</v>
          </cell>
          <cell r="G50" t="str">
            <v>V0</v>
          </cell>
          <cell r="H50" t="str">
            <v>G657A1</v>
          </cell>
          <cell r="I50" t="str">
            <v>노란색</v>
          </cell>
          <cell r="J50" t="str">
            <v>PVC</v>
          </cell>
          <cell r="K50" t="str">
            <v>청색 / 적색</v>
          </cell>
          <cell r="L50" t="str">
            <v>청색 / 적색</v>
          </cell>
          <cell r="M50" t="str">
            <v>2.0mm</v>
          </cell>
          <cell r="N50" t="str">
            <v/>
          </cell>
          <cell r="O50">
            <v>300</v>
          </cell>
          <cell r="P50">
            <v>3672</v>
          </cell>
        </row>
        <row r="51">
          <cell r="A51" t="str">
            <v>14-K-315</v>
          </cell>
          <cell r="B51" t="str">
            <v>K9089123</v>
          </cell>
          <cell r="C51" t="str">
            <v>OJC-A1-SC/SC-SM-1-PC/PC-DP</v>
          </cell>
          <cell r="D51" t="str">
            <v>DP</v>
          </cell>
          <cell r="E51" t="str">
            <v>SM</v>
          </cell>
          <cell r="F51" t="str">
            <v>1M</v>
          </cell>
          <cell r="G51" t="str">
            <v>V0</v>
          </cell>
          <cell r="H51" t="str">
            <v>G657A1</v>
          </cell>
          <cell r="I51" t="str">
            <v>노란색</v>
          </cell>
          <cell r="J51" t="str">
            <v>PVC</v>
          </cell>
          <cell r="K51" t="str">
            <v>청색 / 적색</v>
          </cell>
          <cell r="L51" t="str">
            <v>청색 / 적색</v>
          </cell>
          <cell r="M51" t="str">
            <v>2.0mm</v>
          </cell>
          <cell r="N51" t="str">
            <v/>
          </cell>
          <cell r="O51">
            <v>298</v>
          </cell>
          <cell r="P51">
            <v>2223</v>
          </cell>
        </row>
        <row r="52">
          <cell r="A52" t="str">
            <v>14-K-355</v>
          </cell>
          <cell r="B52" t="str">
            <v>K9089024</v>
          </cell>
          <cell r="C52" t="str">
            <v>OJC-A1-SC/SC-SM-35-PC/PC-SP</v>
          </cell>
          <cell r="D52" t="str">
            <v>SP</v>
          </cell>
          <cell r="E52" t="str">
            <v>SM</v>
          </cell>
          <cell r="F52" t="str">
            <v>35M</v>
          </cell>
          <cell r="G52" t="str">
            <v>V0</v>
          </cell>
          <cell r="H52" t="str">
            <v>G657A1</v>
          </cell>
          <cell r="I52" t="str">
            <v>노란색</v>
          </cell>
          <cell r="J52" t="str">
            <v>PVC</v>
          </cell>
          <cell r="K52" t="str">
            <v>청색</v>
          </cell>
          <cell r="L52" t="str">
            <v>청색</v>
          </cell>
          <cell r="M52" t="str">
            <v>2.0mm</v>
          </cell>
          <cell r="N52" t="str">
            <v/>
          </cell>
          <cell r="O52">
            <v>244</v>
          </cell>
          <cell r="P52">
            <v>3829</v>
          </cell>
        </row>
        <row r="53">
          <cell r="A53" t="str">
            <v>14-K-093</v>
          </cell>
          <cell r="B53" t="str">
            <v>K9089172</v>
          </cell>
          <cell r="C53" t="str">
            <v>OJC-A1-LC/LC-SM-2-PC/PC-DP</v>
          </cell>
          <cell r="D53" t="str">
            <v>DP</v>
          </cell>
          <cell r="E53" t="str">
            <v>SM</v>
          </cell>
          <cell r="F53" t="str">
            <v>2M</v>
          </cell>
          <cell r="G53" t="str">
            <v>V0</v>
          </cell>
          <cell r="H53" t="str">
            <v>G657A1</v>
          </cell>
          <cell r="I53" t="str">
            <v>노란색</v>
          </cell>
          <cell r="J53" t="str">
            <v>PVC</v>
          </cell>
          <cell r="K53" t="str">
            <v>청색 / 적색</v>
          </cell>
          <cell r="L53" t="str">
            <v>청색 / 적색</v>
          </cell>
          <cell r="M53" t="str">
            <v>2.0mm</v>
          </cell>
          <cell r="N53" t="str">
            <v/>
          </cell>
          <cell r="O53">
            <v>206</v>
          </cell>
          <cell r="P53">
            <v>3168</v>
          </cell>
        </row>
        <row r="54">
          <cell r="A54" t="str">
            <v>14-K-292</v>
          </cell>
          <cell r="B54" t="str">
            <v>K9089133</v>
          </cell>
          <cell r="C54" t="str">
            <v>OJC-A1-SC/SC-SM-11-PC/PC-DP</v>
          </cell>
          <cell r="D54" t="str">
            <v>DP</v>
          </cell>
          <cell r="E54" t="str">
            <v>SM</v>
          </cell>
          <cell r="F54" t="str">
            <v>11M</v>
          </cell>
          <cell r="G54" t="str">
            <v>V0</v>
          </cell>
          <cell r="H54" t="str">
            <v>G657A1</v>
          </cell>
          <cell r="I54" t="str">
            <v>노란색</v>
          </cell>
          <cell r="J54" t="str">
            <v>PVC</v>
          </cell>
          <cell r="K54" t="str">
            <v>청색 / 적색</v>
          </cell>
          <cell r="L54" t="str">
            <v>청색 / 적색</v>
          </cell>
          <cell r="M54" t="str">
            <v>2.0mm</v>
          </cell>
          <cell r="N54" t="str">
            <v/>
          </cell>
          <cell r="O54">
            <v>201</v>
          </cell>
          <cell r="P54">
            <v>3901</v>
          </cell>
        </row>
        <row r="55">
          <cell r="A55" t="str">
            <v>14-K-388</v>
          </cell>
          <cell r="B55" t="str">
            <v>K9089129</v>
          </cell>
          <cell r="C55" t="str">
            <v>OJC-A1-SC/SC-SM-7-PC/PC-DP</v>
          </cell>
          <cell r="D55" t="str">
            <v>DP</v>
          </cell>
          <cell r="E55" t="str">
            <v>SM</v>
          </cell>
          <cell r="F55" t="str">
            <v>7M</v>
          </cell>
          <cell r="G55" t="str">
            <v>V0</v>
          </cell>
          <cell r="H55" t="str">
            <v>G657A1</v>
          </cell>
          <cell r="I55" t="str">
            <v>노란색</v>
          </cell>
          <cell r="J55" t="str">
            <v>PVC</v>
          </cell>
          <cell r="K55" t="str">
            <v>청색 / 적색</v>
          </cell>
          <cell r="L55" t="str">
            <v>청색 / 적색</v>
          </cell>
          <cell r="M55" t="str">
            <v>2.0mm</v>
          </cell>
          <cell r="N55" t="str">
            <v/>
          </cell>
          <cell r="O55">
            <v>197</v>
          </cell>
          <cell r="P55">
            <v>3229</v>
          </cell>
        </row>
        <row r="56">
          <cell r="A56" t="str">
            <v>14-K-085</v>
          </cell>
          <cell r="B56" t="str">
            <v>K9089171</v>
          </cell>
          <cell r="C56" t="str">
            <v>OJC-A1-LC/LC-SM-1-PC/PC-DP</v>
          </cell>
          <cell r="D56" t="str">
            <v>DP</v>
          </cell>
          <cell r="E56" t="str">
            <v>SM</v>
          </cell>
          <cell r="F56" t="str">
            <v>1M</v>
          </cell>
          <cell r="G56" t="str">
            <v>V0</v>
          </cell>
          <cell r="H56" t="str">
            <v>G657A1</v>
          </cell>
          <cell r="I56" t="str">
            <v>노란색</v>
          </cell>
          <cell r="J56" t="str">
            <v>PVC</v>
          </cell>
          <cell r="K56" t="str">
            <v>청색 / 적색</v>
          </cell>
          <cell r="L56" t="str">
            <v>청색 / 적색</v>
          </cell>
          <cell r="M56" t="str">
            <v>2.0mm</v>
          </cell>
          <cell r="N56" t="str">
            <v/>
          </cell>
          <cell r="O56">
            <v>171</v>
          </cell>
          <cell r="P56">
            <v>3000</v>
          </cell>
        </row>
        <row r="57">
          <cell r="A57" t="str">
            <v>14-K-354</v>
          </cell>
          <cell r="B57" t="str">
            <v>K9089153</v>
          </cell>
          <cell r="C57" t="str">
            <v>OJC-A1-SC/SC-SM-35-PC/PC-DP</v>
          </cell>
          <cell r="D57" t="str">
            <v>DP</v>
          </cell>
          <cell r="E57" t="str">
            <v>SM</v>
          </cell>
          <cell r="F57" t="str">
            <v>35M</v>
          </cell>
          <cell r="G57" t="str">
            <v>V0</v>
          </cell>
          <cell r="H57" t="str">
            <v>G657A1</v>
          </cell>
          <cell r="I57" t="str">
            <v>노란색</v>
          </cell>
          <cell r="J57" t="str">
            <v>PVC</v>
          </cell>
          <cell r="K57" t="str">
            <v>청색 / 적색</v>
          </cell>
          <cell r="L57" t="str">
            <v>청색 / 적색</v>
          </cell>
          <cell r="M57" t="str">
            <v>2.0mm</v>
          </cell>
          <cell r="N57" t="str">
            <v/>
          </cell>
          <cell r="O57">
            <v>169</v>
          </cell>
          <cell r="P57">
            <v>7600</v>
          </cell>
        </row>
        <row r="58">
          <cell r="A58" t="str">
            <v>14-K-220</v>
          </cell>
          <cell r="B58" t="str">
            <v>K9089167</v>
          </cell>
          <cell r="C58" t="str">
            <v>OJC-A1-SC/LC-SM-35-PC/PC-DP</v>
          </cell>
          <cell r="D58" t="str">
            <v>DP</v>
          </cell>
          <cell r="E58" t="str">
            <v>SM</v>
          </cell>
          <cell r="F58" t="str">
            <v>35M</v>
          </cell>
          <cell r="G58" t="str">
            <v>V0</v>
          </cell>
          <cell r="H58" t="str">
            <v>G657A1</v>
          </cell>
          <cell r="I58" t="str">
            <v>노란색</v>
          </cell>
          <cell r="J58" t="str">
            <v>PVC</v>
          </cell>
          <cell r="K58" t="str">
            <v>청색 / 적색</v>
          </cell>
          <cell r="L58" t="str">
            <v>청색 / 적색</v>
          </cell>
          <cell r="M58" t="str">
            <v>2.0mm</v>
          </cell>
          <cell r="N58" t="str">
            <v/>
          </cell>
          <cell r="O58">
            <v>168</v>
          </cell>
          <cell r="P58">
            <v>8545</v>
          </cell>
        </row>
        <row r="59">
          <cell r="A59" t="str">
            <v>14-K-097</v>
          </cell>
          <cell r="B59" t="str">
            <v>K9089173</v>
          </cell>
          <cell r="C59" t="str">
            <v>OJC-A1-LC/LC-SM-3-PC/PC-DP</v>
          </cell>
          <cell r="D59" t="str">
            <v>DP</v>
          </cell>
          <cell r="E59" t="str">
            <v>SM</v>
          </cell>
          <cell r="F59" t="str">
            <v>3M</v>
          </cell>
          <cell r="G59" t="str">
            <v>V0</v>
          </cell>
          <cell r="H59" t="str">
            <v>G657A1</v>
          </cell>
          <cell r="I59" t="str">
            <v>노란색</v>
          </cell>
          <cell r="J59" t="str">
            <v>PVC</v>
          </cell>
          <cell r="K59" t="str">
            <v>청색 / 적색</v>
          </cell>
          <cell r="L59" t="str">
            <v>청색 / 적색</v>
          </cell>
          <cell r="M59" t="str">
            <v>2.0mm</v>
          </cell>
          <cell r="N59" t="str">
            <v/>
          </cell>
          <cell r="O59">
            <v>161</v>
          </cell>
          <cell r="P59">
            <v>3337</v>
          </cell>
        </row>
        <row r="60">
          <cell r="A60" t="str">
            <v>14-K-094</v>
          </cell>
          <cell r="B60" t="str">
            <v>K9089180</v>
          </cell>
          <cell r="C60" t="str">
            <v>OJC-A1-LC/LC-SM-30-PC/PC-DP</v>
          </cell>
          <cell r="D60" t="str">
            <v>DP</v>
          </cell>
          <cell r="E60" t="str">
            <v>SM</v>
          </cell>
          <cell r="F60" t="str">
            <v>30M</v>
          </cell>
          <cell r="G60" t="str">
            <v>V0</v>
          </cell>
          <cell r="H60" t="str">
            <v>G657A1</v>
          </cell>
          <cell r="I60" t="str">
            <v>노란색</v>
          </cell>
          <cell r="J60" t="str">
            <v>PVC</v>
          </cell>
          <cell r="K60" t="str">
            <v>청색 / 적색</v>
          </cell>
          <cell r="L60" t="str">
            <v>청색 / 적색</v>
          </cell>
          <cell r="M60" t="str">
            <v>2.0mm</v>
          </cell>
          <cell r="N60" t="str">
            <v/>
          </cell>
          <cell r="O60">
            <v>157</v>
          </cell>
          <cell r="P60">
            <v>7868</v>
          </cell>
        </row>
        <row r="61">
          <cell r="A61" t="str">
            <v>14-K-314</v>
          </cell>
          <cell r="B61" t="str">
            <v>K9089056</v>
          </cell>
          <cell r="C61" t="str">
            <v>OJC-A1-SC/SC-SM-1-PC/APC-SP</v>
          </cell>
          <cell r="D61" t="str">
            <v>SP</v>
          </cell>
          <cell r="E61" t="str">
            <v>SM</v>
          </cell>
          <cell r="F61" t="str">
            <v>1M</v>
          </cell>
          <cell r="G61" t="str">
            <v>V0</v>
          </cell>
          <cell r="H61" t="str">
            <v>G657A1</v>
          </cell>
          <cell r="I61" t="str">
            <v>노란색</v>
          </cell>
          <cell r="J61" t="str">
            <v>PVC</v>
          </cell>
          <cell r="K61" t="str">
            <v>청색</v>
          </cell>
          <cell r="L61" t="str">
            <v>녹색</v>
          </cell>
          <cell r="M61" t="str">
            <v>2.0mm</v>
          </cell>
          <cell r="N61" t="str">
            <v/>
          </cell>
          <cell r="O61">
            <v>149</v>
          </cell>
          <cell r="P61">
            <v>1142</v>
          </cell>
        </row>
        <row r="62">
          <cell r="A62" t="str">
            <v>14-K-309</v>
          </cell>
          <cell r="B62" t="str">
            <v>K9089011</v>
          </cell>
          <cell r="C62" t="str">
            <v>OJC-A1-SC/SC-SM-18-PC/PC-SP</v>
          </cell>
          <cell r="D62" t="str">
            <v>SP</v>
          </cell>
          <cell r="E62" t="str">
            <v>SM</v>
          </cell>
          <cell r="F62" t="str">
            <v>18M</v>
          </cell>
          <cell r="G62" t="str">
            <v>V0</v>
          </cell>
          <cell r="H62" t="str">
            <v>G657A1</v>
          </cell>
          <cell r="I62" t="str">
            <v>노란색</v>
          </cell>
          <cell r="J62" t="str">
            <v>PVC</v>
          </cell>
          <cell r="K62" t="str">
            <v>청색</v>
          </cell>
          <cell r="L62" t="str">
            <v>청색</v>
          </cell>
          <cell r="M62" t="str">
            <v>2.0mm</v>
          </cell>
          <cell r="N62" t="str">
            <v/>
          </cell>
          <cell r="O62">
            <v>137</v>
          </cell>
          <cell r="P62">
            <v>2525</v>
          </cell>
        </row>
        <row r="63">
          <cell r="A63" t="str">
            <v>14-K-079</v>
          </cell>
          <cell r="B63" t="str">
            <v>K9089047</v>
          </cell>
          <cell r="C63" t="str">
            <v>OJC-A1-LC/LC-SM-10-PC/PC-SP</v>
          </cell>
          <cell r="D63" t="str">
            <v>SP</v>
          </cell>
          <cell r="E63" t="str">
            <v>SM</v>
          </cell>
          <cell r="F63" t="str">
            <v>10M</v>
          </cell>
          <cell r="G63" t="str">
            <v>V0</v>
          </cell>
          <cell r="H63" t="str">
            <v>G657A1</v>
          </cell>
          <cell r="I63" t="str">
            <v>노란색</v>
          </cell>
          <cell r="J63" t="str">
            <v>PVC</v>
          </cell>
          <cell r="K63" t="str">
            <v>청색</v>
          </cell>
          <cell r="L63" t="str">
            <v>청색</v>
          </cell>
          <cell r="M63" t="str">
            <v>2.0mm</v>
          </cell>
          <cell r="N63" t="str">
            <v/>
          </cell>
          <cell r="O63">
            <v>136</v>
          </cell>
          <cell r="P63">
            <v>2564</v>
          </cell>
        </row>
        <row r="64">
          <cell r="A64" t="str">
            <v>14-K-044</v>
          </cell>
          <cell r="B64" t="str">
            <v>K9089336</v>
          </cell>
          <cell r="C64" t="str">
            <v>OJC-A1-LC/LC-MM-20-PC/PC-DP</v>
          </cell>
          <cell r="D64" t="str">
            <v>DP</v>
          </cell>
          <cell r="E64" t="str">
            <v>MM</v>
          </cell>
          <cell r="F64" t="str">
            <v>20M</v>
          </cell>
          <cell r="G64" t="str">
            <v>V0</v>
          </cell>
          <cell r="H64" t="str">
            <v>OM1</v>
          </cell>
          <cell r="I64" t="str">
            <v>오렌지색</v>
          </cell>
          <cell r="J64" t="str">
            <v>PVC</v>
          </cell>
          <cell r="K64" t="str">
            <v>청색 / 적색</v>
          </cell>
          <cell r="L64" t="str">
            <v>청색 / 적색</v>
          </cell>
          <cell r="M64" t="str">
            <v>2.0mm</v>
          </cell>
          <cell r="N64" t="str">
            <v/>
          </cell>
          <cell r="O64">
            <v>133</v>
          </cell>
          <cell r="P64">
            <v>5686</v>
          </cell>
        </row>
        <row r="65">
          <cell r="A65" t="str">
            <v>14-K-218</v>
          </cell>
          <cell r="B65" t="str">
            <v>K9089037</v>
          </cell>
          <cell r="C65" t="str">
            <v>OJC-A1-SC/LC-SM-30-PC/PC-SP</v>
          </cell>
          <cell r="D65" t="str">
            <v>SP</v>
          </cell>
          <cell r="E65" t="str">
            <v>SM</v>
          </cell>
          <cell r="F65" t="str">
            <v>30M</v>
          </cell>
          <cell r="G65" t="str">
            <v>V0</v>
          </cell>
          <cell r="H65" t="str">
            <v>G657A1</v>
          </cell>
          <cell r="I65" t="str">
            <v>노란색</v>
          </cell>
          <cell r="J65" t="str">
            <v>PVC</v>
          </cell>
          <cell r="K65" t="str">
            <v>청색</v>
          </cell>
          <cell r="L65" t="str">
            <v>청색</v>
          </cell>
          <cell r="M65" t="str">
            <v>2.0mm</v>
          </cell>
          <cell r="N65" t="str">
            <v/>
          </cell>
          <cell r="O65">
            <v>126</v>
          </cell>
          <cell r="P65">
            <v>3805</v>
          </cell>
        </row>
        <row r="66">
          <cell r="A66" t="str">
            <v>14-K-084</v>
          </cell>
          <cell r="B66" t="str">
            <v>K9089048</v>
          </cell>
          <cell r="C66" t="str">
            <v>OJC-A1-LC/LC-SM-15-PC/PC-SP</v>
          </cell>
          <cell r="D66" t="str">
            <v>SP</v>
          </cell>
          <cell r="E66" t="str">
            <v>SM</v>
          </cell>
          <cell r="F66" t="str">
            <v>15M</v>
          </cell>
          <cell r="G66" t="str">
            <v>V0</v>
          </cell>
          <cell r="H66" t="str">
            <v>G657A1</v>
          </cell>
          <cell r="I66" t="str">
            <v>노란색</v>
          </cell>
          <cell r="J66" t="str">
            <v>PVC</v>
          </cell>
          <cell r="K66" t="str">
            <v>청색</v>
          </cell>
          <cell r="L66" t="str">
            <v>청색</v>
          </cell>
          <cell r="M66" t="str">
            <v>2.0mm</v>
          </cell>
          <cell r="N66" t="str">
            <v/>
          </cell>
          <cell r="O66">
            <v>118</v>
          </cell>
          <cell r="P66">
            <v>2969</v>
          </cell>
        </row>
        <row r="67">
          <cell r="A67" t="str">
            <v>14-K-227</v>
          </cell>
          <cell r="B67" t="str">
            <v>K9089168</v>
          </cell>
          <cell r="C67" t="str">
            <v>OJC-A1-SC/LC-SM-40-PC/PC-DP</v>
          </cell>
          <cell r="D67" t="str">
            <v>DP</v>
          </cell>
          <cell r="E67" t="str">
            <v>SM</v>
          </cell>
          <cell r="F67" t="str">
            <v>40M</v>
          </cell>
          <cell r="G67" t="str">
            <v>V0</v>
          </cell>
          <cell r="H67" t="str">
            <v>G657A1</v>
          </cell>
          <cell r="I67" t="str">
            <v>노란색</v>
          </cell>
          <cell r="J67" t="str">
            <v>PVC</v>
          </cell>
          <cell r="K67" t="str">
            <v>청색 / 적색</v>
          </cell>
          <cell r="L67" t="str">
            <v>청색 / 적색</v>
          </cell>
          <cell r="M67" t="str">
            <v>2.0mm</v>
          </cell>
          <cell r="N67" t="str">
            <v/>
          </cell>
          <cell r="O67">
            <v>112</v>
          </cell>
          <cell r="P67">
            <v>9310</v>
          </cell>
        </row>
        <row r="68">
          <cell r="A68" t="str">
            <v>14-K-088</v>
          </cell>
          <cell r="B68" t="str">
            <v>K9089049</v>
          </cell>
          <cell r="C68" t="str">
            <v>OJC-A1-LC/LC-SM-20-PC/PC-SP</v>
          </cell>
          <cell r="D68" t="str">
            <v>SP</v>
          </cell>
          <cell r="E68" t="str">
            <v>SM</v>
          </cell>
          <cell r="F68" t="str">
            <v>20M</v>
          </cell>
          <cell r="G68" t="str">
            <v>V0</v>
          </cell>
          <cell r="H68" t="str">
            <v>G657A1</v>
          </cell>
          <cell r="I68" t="str">
            <v>노란색</v>
          </cell>
          <cell r="J68" t="str">
            <v>PVC</v>
          </cell>
          <cell r="K68" t="str">
            <v>청색</v>
          </cell>
          <cell r="L68" t="str">
            <v>청색</v>
          </cell>
          <cell r="M68" t="str">
            <v>2.0mm</v>
          </cell>
          <cell r="N68" t="str">
            <v/>
          </cell>
          <cell r="O68">
            <v>103</v>
          </cell>
          <cell r="P68">
            <v>3374</v>
          </cell>
        </row>
        <row r="69">
          <cell r="A69" t="str">
            <v>14-K-307</v>
          </cell>
          <cell r="B69" t="str">
            <v>K9089010</v>
          </cell>
          <cell r="C69" t="str">
            <v>OJC-A1-SC/SC-SM-17-PC/PC-SP</v>
          </cell>
          <cell r="D69" t="str">
            <v>SP</v>
          </cell>
          <cell r="E69" t="str">
            <v>SM</v>
          </cell>
          <cell r="F69" t="str">
            <v>17M</v>
          </cell>
          <cell r="G69" t="str">
            <v>V0</v>
          </cell>
          <cell r="H69" t="str">
            <v>G657A1</v>
          </cell>
          <cell r="I69" t="str">
            <v>노란색</v>
          </cell>
          <cell r="J69" t="str">
            <v>PVC</v>
          </cell>
          <cell r="K69" t="str">
            <v>청색</v>
          </cell>
          <cell r="L69" t="str">
            <v>청색</v>
          </cell>
          <cell r="M69" t="str">
            <v>2.0mm</v>
          </cell>
          <cell r="N69" t="str">
            <v/>
          </cell>
          <cell r="O69">
            <v>96</v>
          </cell>
          <cell r="P69">
            <v>2444</v>
          </cell>
        </row>
        <row r="70">
          <cell r="A70" t="str">
            <v>14-K-289</v>
          </cell>
          <cell r="B70" t="str">
            <v>K9089059</v>
          </cell>
          <cell r="C70" t="str">
            <v>OJC-A1-SC/SC-SM-10-PC/APC-SP</v>
          </cell>
          <cell r="D70" t="str">
            <v>SP</v>
          </cell>
          <cell r="E70" t="str">
            <v>SM</v>
          </cell>
          <cell r="F70" t="str">
            <v>10M</v>
          </cell>
          <cell r="G70" t="str">
            <v>V0</v>
          </cell>
          <cell r="H70" t="str">
            <v>G657A1</v>
          </cell>
          <cell r="I70" t="str">
            <v>노란색</v>
          </cell>
          <cell r="J70" t="str">
            <v>PVC</v>
          </cell>
          <cell r="K70" t="str">
            <v>청색</v>
          </cell>
          <cell r="L70" t="str">
            <v>녹색</v>
          </cell>
          <cell r="M70" t="str">
            <v>2.0mm</v>
          </cell>
          <cell r="N70" t="str">
            <v/>
          </cell>
          <cell r="O70">
            <v>92</v>
          </cell>
          <cell r="P70">
            <v>1897</v>
          </cell>
        </row>
        <row r="71">
          <cell r="A71" t="str">
            <v>14-K-365</v>
          </cell>
          <cell r="B71" t="str">
            <v>K9089025</v>
          </cell>
          <cell r="C71" t="str">
            <v>OJC-A1-SC/SC-SM-40-PC/PC-SP</v>
          </cell>
          <cell r="D71" t="str">
            <v>SP</v>
          </cell>
          <cell r="E71" t="str">
            <v>SM</v>
          </cell>
          <cell r="F71" t="str">
            <v>40M</v>
          </cell>
          <cell r="G71" t="str">
            <v>V0</v>
          </cell>
          <cell r="H71" t="str">
            <v>G657A1</v>
          </cell>
          <cell r="I71" t="str">
            <v>노란색</v>
          </cell>
          <cell r="J71" t="str">
            <v>PVC</v>
          </cell>
          <cell r="K71" t="str">
            <v>청색</v>
          </cell>
          <cell r="L71" t="str">
            <v>청색</v>
          </cell>
          <cell r="M71" t="str">
            <v>2.0mm</v>
          </cell>
          <cell r="N71" t="str">
            <v/>
          </cell>
          <cell r="O71">
            <v>91</v>
          </cell>
          <cell r="P71">
            <v>3829</v>
          </cell>
        </row>
        <row r="72">
          <cell r="A72" t="str">
            <v>14-K-392</v>
          </cell>
          <cell r="B72" t="str">
            <v>K9089130</v>
          </cell>
          <cell r="C72" t="str">
            <v>OJC-A1-SC/SC-SM-8-PC/PC-DP</v>
          </cell>
          <cell r="D72" t="str">
            <v>DP</v>
          </cell>
          <cell r="E72" t="str">
            <v>SM</v>
          </cell>
          <cell r="F72" t="str">
            <v>8M</v>
          </cell>
          <cell r="G72" t="str">
            <v>V0</v>
          </cell>
          <cell r="H72" t="str">
            <v>G657A1</v>
          </cell>
          <cell r="I72" t="str">
            <v>노란색</v>
          </cell>
          <cell r="J72" t="str">
            <v>PVC</v>
          </cell>
          <cell r="K72" t="str">
            <v>청색 / 적색</v>
          </cell>
          <cell r="L72" t="str">
            <v>청색 / 적색</v>
          </cell>
          <cell r="M72" t="str">
            <v>2.0mm</v>
          </cell>
          <cell r="N72" t="str">
            <v/>
          </cell>
          <cell r="O72">
            <v>91</v>
          </cell>
          <cell r="P72">
            <v>3398</v>
          </cell>
        </row>
        <row r="73">
          <cell r="A73" t="str">
            <v>14-K-275</v>
          </cell>
          <cell r="B73" t="str">
            <v>K9089259</v>
          </cell>
          <cell r="C73" t="str">
            <v>OJC-A1-SC/SC-MM-3-PC/PC-SP</v>
          </cell>
          <cell r="D73" t="str">
            <v>SP</v>
          </cell>
          <cell r="E73" t="str">
            <v>MM</v>
          </cell>
          <cell r="F73" t="str">
            <v>3M</v>
          </cell>
          <cell r="G73" t="str">
            <v>V0</v>
          </cell>
          <cell r="H73" t="str">
            <v>OM1</v>
          </cell>
          <cell r="I73" t="str">
            <v>오렌지색</v>
          </cell>
          <cell r="J73" t="str">
            <v>PVC</v>
          </cell>
          <cell r="K73" t="str">
            <v>청색</v>
          </cell>
          <cell r="L73" t="str">
            <v>청색</v>
          </cell>
          <cell r="M73" t="str">
            <v>2.0mm</v>
          </cell>
          <cell r="N73" t="str">
            <v/>
          </cell>
          <cell r="O73">
            <v>81</v>
          </cell>
          <cell r="P73">
            <v>1229</v>
          </cell>
        </row>
        <row r="74">
          <cell r="A74" t="str">
            <v>14-K-394</v>
          </cell>
          <cell r="B74" t="str">
            <v>K9089131</v>
          </cell>
          <cell r="C74" t="str">
            <v>OJC-A1-SC/SC-SM-9-PC/PC-DP</v>
          </cell>
          <cell r="D74" t="str">
            <v>DP</v>
          </cell>
          <cell r="E74" t="str">
            <v>SM</v>
          </cell>
          <cell r="F74" t="str">
            <v>9M</v>
          </cell>
          <cell r="G74" t="str">
            <v>V0</v>
          </cell>
          <cell r="H74" t="str">
            <v>G657A1</v>
          </cell>
          <cell r="I74" t="str">
            <v>노란색</v>
          </cell>
          <cell r="J74" t="str">
            <v>PVC</v>
          </cell>
          <cell r="K74" t="str">
            <v>청색 / 적색</v>
          </cell>
          <cell r="L74" t="str">
            <v>청색 / 적색</v>
          </cell>
          <cell r="M74" t="str">
            <v>2.0mm</v>
          </cell>
          <cell r="N74" t="str">
            <v/>
          </cell>
          <cell r="O74">
            <v>79</v>
          </cell>
          <cell r="P74">
            <v>3566</v>
          </cell>
        </row>
        <row r="75">
          <cell r="A75" t="str">
            <v>14-K-294</v>
          </cell>
          <cell r="B75" t="str">
            <v>K9089005</v>
          </cell>
          <cell r="C75" t="str">
            <v>OJC-A1-SC/SC-SM-12-PC/PC-SP</v>
          </cell>
          <cell r="D75" t="str">
            <v>SP</v>
          </cell>
          <cell r="E75" t="str">
            <v>SM</v>
          </cell>
          <cell r="F75" t="str">
            <v>12M</v>
          </cell>
          <cell r="G75" t="str">
            <v>V0</v>
          </cell>
          <cell r="H75" t="str">
            <v>G657A1</v>
          </cell>
          <cell r="I75" t="str">
            <v>노란색</v>
          </cell>
          <cell r="J75" t="str">
            <v>PVC</v>
          </cell>
          <cell r="K75" t="str">
            <v>청색</v>
          </cell>
          <cell r="L75" t="str">
            <v>청색</v>
          </cell>
          <cell r="M75" t="str">
            <v>2.0mm</v>
          </cell>
          <cell r="N75" t="str">
            <v/>
          </cell>
          <cell r="O75">
            <v>77</v>
          </cell>
          <cell r="P75">
            <v>2039</v>
          </cell>
        </row>
        <row r="76">
          <cell r="A76" t="str">
            <v>14-K-098</v>
          </cell>
          <cell r="B76" t="str">
            <v>K9089044</v>
          </cell>
          <cell r="C76" t="str">
            <v>OJC-A1-LC/LC-SM-3-PC/PC-SP</v>
          </cell>
          <cell r="D76" t="str">
            <v>SP</v>
          </cell>
          <cell r="E76" t="str">
            <v>SM</v>
          </cell>
          <cell r="F76" t="str">
            <v>3M</v>
          </cell>
          <cell r="G76" t="str">
            <v>V0</v>
          </cell>
          <cell r="H76" t="str">
            <v>G657A1</v>
          </cell>
          <cell r="I76" t="str">
            <v>노란색</v>
          </cell>
          <cell r="J76" t="str">
            <v>PVC</v>
          </cell>
          <cell r="K76" t="str">
            <v>청색</v>
          </cell>
          <cell r="L76" t="str">
            <v>청색</v>
          </cell>
          <cell r="M76" t="str">
            <v>2.0mm</v>
          </cell>
          <cell r="N76" t="str">
            <v/>
          </cell>
          <cell r="O76">
            <v>73</v>
          </cell>
          <cell r="P76">
            <v>1986</v>
          </cell>
        </row>
        <row r="77">
          <cell r="A77" t="str">
            <v>14-K-096</v>
          </cell>
          <cell r="B77" t="str">
            <v>K9089181</v>
          </cell>
          <cell r="C77" t="str">
            <v>OJC-A1-LC/LC-SM-35-PC/PC-DP</v>
          </cell>
          <cell r="D77" t="str">
            <v>DP</v>
          </cell>
          <cell r="E77" t="str">
            <v>SM</v>
          </cell>
          <cell r="F77" t="str">
            <v>35M</v>
          </cell>
          <cell r="G77" t="str">
            <v>V0</v>
          </cell>
          <cell r="H77" t="str">
            <v>G657A1</v>
          </cell>
          <cell r="I77" t="str">
            <v>노란색</v>
          </cell>
          <cell r="J77" t="str">
            <v>PVC</v>
          </cell>
          <cell r="K77" t="str">
            <v>청색 / 적색</v>
          </cell>
          <cell r="L77" t="str">
            <v>청색 / 적색</v>
          </cell>
          <cell r="M77" t="str">
            <v>2.0mm</v>
          </cell>
          <cell r="N77" t="str">
            <v/>
          </cell>
          <cell r="O77">
            <v>71</v>
          </cell>
          <cell r="P77">
            <v>7863</v>
          </cell>
        </row>
        <row r="78">
          <cell r="A78" t="str">
            <v>14-K-639</v>
          </cell>
          <cell r="B78" t="str">
            <v>K9089004</v>
          </cell>
          <cell r="C78" t="str">
            <v>OJC-A1-SC/SC-SM-11-PC/PC-SP</v>
          </cell>
          <cell r="D78" t="str">
            <v>SP</v>
          </cell>
          <cell r="E78" t="str">
            <v>SM</v>
          </cell>
          <cell r="F78" t="str">
            <v>11M</v>
          </cell>
          <cell r="G78" t="str">
            <v>V0</v>
          </cell>
          <cell r="H78" t="str">
            <v>G657A1</v>
          </cell>
          <cell r="I78" t="str">
            <v>노란색</v>
          </cell>
          <cell r="J78" t="str">
            <v>PVC</v>
          </cell>
          <cell r="K78" t="str">
            <v>청색</v>
          </cell>
          <cell r="L78" t="str">
            <v>청색</v>
          </cell>
          <cell r="M78" t="str">
            <v>2.0mm</v>
          </cell>
          <cell r="N78" t="str">
            <v/>
          </cell>
          <cell r="O78">
            <v>68</v>
          </cell>
          <cell r="P78">
            <v>1960</v>
          </cell>
        </row>
        <row r="79">
          <cell r="A79" t="str">
            <v>14-K-295</v>
          </cell>
          <cell r="B79" t="str">
            <v>K9089135</v>
          </cell>
          <cell r="C79" t="str">
            <v>OJC-A1-SC/SC-SM-13-PC/PC-DP</v>
          </cell>
          <cell r="D79" t="str">
            <v>DP</v>
          </cell>
          <cell r="E79" t="str">
            <v>SM</v>
          </cell>
          <cell r="F79" t="str">
            <v>13M</v>
          </cell>
          <cell r="G79" t="str">
            <v>V0</v>
          </cell>
          <cell r="H79" t="str">
            <v>G657A1</v>
          </cell>
          <cell r="I79" t="str">
            <v>노란색</v>
          </cell>
          <cell r="J79" t="str">
            <v>PVC</v>
          </cell>
          <cell r="K79" t="str">
            <v>청색 / 적색</v>
          </cell>
          <cell r="L79" t="str">
            <v>청색 / 적색</v>
          </cell>
          <cell r="M79" t="str">
            <v>2.0mm</v>
          </cell>
          <cell r="N79" t="str">
            <v/>
          </cell>
          <cell r="O79">
            <v>66</v>
          </cell>
          <cell r="P79">
            <v>4227</v>
          </cell>
        </row>
        <row r="80">
          <cell r="A80" t="str">
            <v>14-K-364</v>
          </cell>
          <cell r="B80" t="str">
            <v>K9089154</v>
          </cell>
          <cell r="C80" t="str">
            <v>OJC-A1-SC/SC-SM-40-PC/PC-DP</v>
          </cell>
          <cell r="D80" t="str">
            <v>DP</v>
          </cell>
          <cell r="E80" t="str">
            <v>SM</v>
          </cell>
          <cell r="F80" t="str">
            <v>40M</v>
          </cell>
          <cell r="G80" t="str">
            <v>V0</v>
          </cell>
          <cell r="H80" t="str">
            <v>G657A1</v>
          </cell>
          <cell r="I80" t="str">
            <v>노란색</v>
          </cell>
          <cell r="J80" t="str">
            <v>PVC</v>
          </cell>
          <cell r="K80" t="str">
            <v>청색 / 적색</v>
          </cell>
          <cell r="L80" t="str">
            <v>청색 / 적색</v>
          </cell>
          <cell r="M80" t="str">
            <v>2.0mm</v>
          </cell>
          <cell r="N80" t="str">
            <v/>
          </cell>
          <cell r="O80">
            <v>65</v>
          </cell>
          <cell r="P80">
            <v>8366</v>
          </cell>
        </row>
        <row r="81">
          <cell r="A81" t="str">
            <v>14-K-035</v>
          </cell>
          <cell r="B81" t="str">
            <v>K9089334</v>
          </cell>
          <cell r="C81" t="str">
            <v>OJC-A1-LC/LC-MM-10-PC/PC-DP</v>
          </cell>
          <cell r="D81" t="str">
            <v>DP</v>
          </cell>
          <cell r="E81" t="str">
            <v>MM</v>
          </cell>
          <cell r="F81" t="str">
            <v>10M</v>
          </cell>
          <cell r="G81" t="str">
            <v>V0</v>
          </cell>
          <cell r="H81" t="str">
            <v>OM1</v>
          </cell>
          <cell r="I81" t="str">
            <v>오렌지색</v>
          </cell>
          <cell r="J81" t="str">
            <v>PVC</v>
          </cell>
          <cell r="K81" t="str">
            <v>청색 / 적색</v>
          </cell>
          <cell r="L81" t="str">
            <v>청색 / 적색</v>
          </cell>
          <cell r="M81" t="str">
            <v>2.0mm</v>
          </cell>
          <cell r="N81" t="str">
            <v/>
          </cell>
          <cell r="O81">
            <v>64</v>
          </cell>
          <cell r="P81">
            <v>4337</v>
          </cell>
        </row>
        <row r="82">
          <cell r="A82" t="str">
            <v>14-K-311</v>
          </cell>
          <cell r="B82" t="str">
            <v>K9089012</v>
          </cell>
          <cell r="C82" t="str">
            <v>OJC-A1-SC/SC-SM-19-PC/PC-SP</v>
          </cell>
          <cell r="D82" t="str">
            <v>SP</v>
          </cell>
          <cell r="E82" t="str">
            <v>SM</v>
          </cell>
          <cell r="F82" t="str">
            <v>19M</v>
          </cell>
          <cell r="G82" t="str">
            <v>V0</v>
          </cell>
          <cell r="H82" t="str">
            <v>G657A1</v>
          </cell>
          <cell r="I82" t="str">
            <v>노란색</v>
          </cell>
          <cell r="J82" t="str">
            <v>PVC</v>
          </cell>
          <cell r="K82" t="str">
            <v>청색</v>
          </cell>
          <cell r="L82" t="str">
            <v>청색</v>
          </cell>
          <cell r="M82" t="str">
            <v>2.0mm</v>
          </cell>
          <cell r="N82" t="str">
            <v/>
          </cell>
          <cell r="O82">
            <v>60</v>
          </cell>
          <cell r="P82">
            <v>2606</v>
          </cell>
        </row>
        <row r="83">
          <cell r="A83" t="str">
            <v>14-K-638</v>
          </cell>
          <cell r="B83" t="str">
            <v>K9089002</v>
          </cell>
          <cell r="C83" t="str">
            <v>OJC-A1-SC/SC-SM-9-PC/PC-SP</v>
          </cell>
          <cell r="D83" t="str">
            <v>SP</v>
          </cell>
          <cell r="E83" t="str">
            <v>SM</v>
          </cell>
          <cell r="F83" t="str">
            <v>9M</v>
          </cell>
          <cell r="G83" t="str">
            <v>V0</v>
          </cell>
          <cell r="H83" t="str">
            <v>G657A1</v>
          </cell>
          <cell r="I83" t="str">
            <v>노란색</v>
          </cell>
          <cell r="J83" t="str">
            <v>PVC</v>
          </cell>
          <cell r="K83" t="str">
            <v>청색</v>
          </cell>
          <cell r="L83" t="str">
            <v>청색</v>
          </cell>
          <cell r="M83" t="str">
            <v>2.0mm</v>
          </cell>
          <cell r="N83" t="str">
            <v/>
          </cell>
          <cell r="O83">
            <v>60</v>
          </cell>
          <cell r="P83">
            <v>1792</v>
          </cell>
        </row>
        <row r="84">
          <cell r="A84" t="str">
            <v>14-K-377</v>
          </cell>
          <cell r="B84" t="str">
            <v>K9089058</v>
          </cell>
          <cell r="C84" t="str">
            <v>OJC-A1-SC/SC-SM-5-PC/APC-SP</v>
          </cell>
          <cell r="D84" t="str">
            <v>SP</v>
          </cell>
          <cell r="E84" t="str">
            <v>SM</v>
          </cell>
          <cell r="F84" t="str">
            <v>5M</v>
          </cell>
          <cell r="G84" t="str">
            <v>V0</v>
          </cell>
          <cell r="H84" t="str">
            <v>G657A1</v>
          </cell>
          <cell r="I84" t="str">
            <v>노란색</v>
          </cell>
          <cell r="J84" t="str">
            <v>PVC</v>
          </cell>
          <cell r="K84" t="str">
            <v>청색</v>
          </cell>
          <cell r="L84" t="str">
            <v>녹색</v>
          </cell>
          <cell r="M84" t="str">
            <v>2.0mm</v>
          </cell>
          <cell r="N84" t="str">
            <v/>
          </cell>
          <cell r="O84">
            <v>55</v>
          </cell>
          <cell r="P84">
            <v>1480</v>
          </cell>
        </row>
        <row r="85">
          <cell r="A85" t="str">
            <v>14-K-099</v>
          </cell>
          <cell r="B85" t="str">
            <v>K9089182</v>
          </cell>
          <cell r="C85" t="str">
            <v>OJC-A1-LC/LC-SM-40-PC/PC-DP</v>
          </cell>
          <cell r="D85" t="str">
            <v>DP</v>
          </cell>
          <cell r="E85" t="str">
            <v>SM</v>
          </cell>
          <cell r="F85" t="str">
            <v>40M</v>
          </cell>
          <cell r="G85" t="str">
            <v>V0</v>
          </cell>
          <cell r="H85" t="str">
            <v>G657A1</v>
          </cell>
          <cell r="I85" t="str">
            <v>노란색</v>
          </cell>
          <cell r="J85" t="str">
            <v>PVC</v>
          </cell>
          <cell r="K85" t="str">
            <v>청색 / 적색</v>
          </cell>
          <cell r="L85" t="str">
            <v>청색 / 적색</v>
          </cell>
          <cell r="M85" t="str">
            <v>2.0mm</v>
          </cell>
          <cell r="N85" t="str">
            <v/>
          </cell>
          <cell r="O85">
            <v>54</v>
          </cell>
          <cell r="P85">
            <v>8619</v>
          </cell>
        </row>
        <row r="86">
          <cell r="A86" t="str">
            <v>14-K-228</v>
          </cell>
          <cell r="B86" t="str">
            <v>K9089039</v>
          </cell>
          <cell r="C86" t="str">
            <v>OJC-A1-SC/LC-SM-40-PC/PC-SP</v>
          </cell>
          <cell r="D86" t="str">
            <v>SP</v>
          </cell>
          <cell r="E86" t="str">
            <v>SM</v>
          </cell>
          <cell r="F86" t="str">
            <v>40M</v>
          </cell>
          <cell r="G86" t="str">
            <v>V0</v>
          </cell>
          <cell r="H86" t="str">
            <v>G657A1</v>
          </cell>
          <cell r="I86" t="str">
            <v>노란색</v>
          </cell>
          <cell r="J86" t="str">
            <v>PVC</v>
          </cell>
          <cell r="K86" t="str">
            <v>청색</v>
          </cell>
          <cell r="L86" t="str">
            <v>청색</v>
          </cell>
          <cell r="M86" t="str">
            <v>2.0mm</v>
          </cell>
          <cell r="N86" t="str">
            <v/>
          </cell>
          <cell r="O86">
            <v>53</v>
          </cell>
          <cell r="P86">
            <v>4608</v>
          </cell>
        </row>
        <row r="87">
          <cell r="A87" t="str">
            <v>14-K-A24</v>
          </cell>
          <cell r="B87" t="str">
            <v>K9089195</v>
          </cell>
          <cell r="C87" t="str">
            <v>OJC-A1-SC/LC-SM-5-PC/APC-DP</v>
          </cell>
          <cell r="D87" t="str">
            <v>DP</v>
          </cell>
          <cell r="E87" t="str">
            <v>SM</v>
          </cell>
          <cell r="F87" t="str">
            <v>5M</v>
          </cell>
          <cell r="G87" t="str">
            <v>V0</v>
          </cell>
          <cell r="H87" t="str">
            <v>G657A1</v>
          </cell>
          <cell r="I87" t="str">
            <v>노란색</v>
          </cell>
          <cell r="J87" t="str">
            <v>PVC</v>
          </cell>
          <cell r="K87" t="str">
            <v>청색 / 적색</v>
          </cell>
          <cell r="L87" t="str">
            <v>녹색 / 적색</v>
          </cell>
          <cell r="M87" t="str">
            <v>2.0mm</v>
          </cell>
          <cell r="N87" t="str">
            <v/>
          </cell>
          <cell r="O87">
            <v>51</v>
          </cell>
          <cell r="P87">
            <v>2664</v>
          </cell>
        </row>
        <row r="88">
          <cell r="A88" t="str">
            <v>14-K-232</v>
          </cell>
          <cell r="B88" t="str">
            <v>K9089170</v>
          </cell>
          <cell r="C88" t="str">
            <v>OJC-A1-SC/LC-SM-50-PC/PC-DP</v>
          </cell>
          <cell r="D88" t="str">
            <v>DP</v>
          </cell>
          <cell r="E88" t="str">
            <v>SM</v>
          </cell>
          <cell r="F88" t="str">
            <v>50M</v>
          </cell>
          <cell r="G88" t="str">
            <v>V0</v>
          </cell>
          <cell r="H88" t="str">
            <v>G657A1</v>
          </cell>
          <cell r="I88" t="str">
            <v>노란색</v>
          </cell>
          <cell r="J88" t="str">
            <v>PVC</v>
          </cell>
          <cell r="K88" t="str">
            <v>청색 / 적색</v>
          </cell>
          <cell r="L88" t="str">
            <v>청색 / 적색</v>
          </cell>
          <cell r="M88" t="str">
            <v>2.0mm</v>
          </cell>
          <cell r="N88" t="str">
            <v/>
          </cell>
          <cell r="O88">
            <v>49</v>
          </cell>
          <cell r="P88">
            <v>9770</v>
          </cell>
        </row>
        <row r="89">
          <cell r="A89" t="str">
            <v>14-K-367</v>
          </cell>
          <cell r="B89" t="str">
            <v>K9089026</v>
          </cell>
          <cell r="C89" t="str">
            <v>OJC-A1-SC/SC-SM-45-PC/PC-SP</v>
          </cell>
          <cell r="D89" t="str">
            <v>SP</v>
          </cell>
          <cell r="E89" t="str">
            <v>SM</v>
          </cell>
          <cell r="F89" t="str">
            <v>45M</v>
          </cell>
          <cell r="G89" t="str">
            <v>V0</v>
          </cell>
          <cell r="H89" t="str">
            <v>G657A1</v>
          </cell>
          <cell r="I89" t="str">
            <v>노란색</v>
          </cell>
          <cell r="J89" t="str">
            <v>PVC</v>
          </cell>
          <cell r="K89" t="str">
            <v>청색</v>
          </cell>
          <cell r="L89" t="str">
            <v>청색</v>
          </cell>
          <cell r="M89" t="str">
            <v>2.0mm</v>
          </cell>
          <cell r="N89" t="str">
            <v/>
          </cell>
          <cell r="O89">
            <v>48</v>
          </cell>
          <cell r="P89">
            <v>4172</v>
          </cell>
        </row>
        <row r="90">
          <cell r="A90" t="str">
            <v>14-K-369</v>
          </cell>
          <cell r="B90" t="str">
            <v>K9088997</v>
          </cell>
          <cell r="C90" t="str">
            <v>OJC-A1-SC/SC-SM-4-PC/PC-SP</v>
          </cell>
          <cell r="D90" t="str">
            <v>SP</v>
          </cell>
          <cell r="E90" t="str">
            <v>SM</v>
          </cell>
          <cell r="F90" t="str">
            <v>4M</v>
          </cell>
          <cell r="G90" t="str">
            <v>V0</v>
          </cell>
          <cell r="H90" t="str">
            <v>G657A1</v>
          </cell>
          <cell r="I90" t="str">
            <v>노란색</v>
          </cell>
          <cell r="J90" t="str">
            <v>PVC</v>
          </cell>
          <cell r="K90" t="str">
            <v>청색</v>
          </cell>
          <cell r="L90" t="str">
            <v>청색</v>
          </cell>
          <cell r="M90" t="str">
            <v>2.0mm</v>
          </cell>
          <cell r="N90" t="str">
            <v/>
          </cell>
          <cell r="O90">
            <v>48</v>
          </cell>
          <cell r="P90">
            <v>1373</v>
          </cell>
        </row>
        <row r="91">
          <cell r="A91" t="str">
            <v>14-K-229</v>
          </cell>
          <cell r="B91" t="str">
            <v>K9089169</v>
          </cell>
          <cell r="C91" t="str">
            <v>OJC-A1-SC/LC-SM-45-PC/PC-DP</v>
          </cell>
          <cell r="D91" t="str">
            <v>DP</v>
          </cell>
          <cell r="E91" t="str">
            <v>SM</v>
          </cell>
          <cell r="F91" t="str">
            <v>45M</v>
          </cell>
          <cell r="G91" t="str">
            <v>V0</v>
          </cell>
          <cell r="H91" t="str">
            <v>G657A1</v>
          </cell>
          <cell r="I91" t="str">
            <v>노란색</v>
          </cell>
          <cell r="J91" t="str">
            <v>PVC</v>
          </cell>
          <cell r="K91" t="str">
            <v>청색 / 적색</v>
          </cell>
          <cell r="L91" t="str">
            <v>청색 / 적색</v>
          </cell>
          <cell r="M91" t="str">
            <v>2.0mm</v>
          </cell>
          <cell r="N91" t="str">
            <v/>
          </cell>
          <cell r="O91">
            <v>48</v>
          </cell>
          <cell r="P91">
            <v>10070</v>
          </cell>
        </row>
        <row r="92">
          <cell r="A92" t="str">
            <v>14-K-385</v>
          </cell>
          <cell r="B92" t="str">
            <v>K9088999</v>
          </cell>
          <cell r="C92" t="str">
            <v>OJC-A1-SC/SC-SM-6-PC/PC-SP</v>
          </cell>
          <cell r="D92" t="str">
            <v>SP</v>
          </cell>
          <cell r="E92" t="str">
            <v>SM</v>
          </cell>
          <cell r="F92" t="str">
            <v>6M</v>
          </cell>
          <cell r="G92" t="str">
            <v>V0</v>
          </cell>
          <cell r="H92" t="str">
            <v>G657A1</v>
          </cell>
          <cell r="I92" t="str">
            <v>노란색</v>
          </cell>
          <cell r="J92" t="str">
            <v>PVC</v>
          </cell>
          <cell r="K92" t="str">
            <v>청색</v>
          </cell>
          <cell r="L92" t="str">
            <v>청색</v>
          </cell>
          <cell r="M92" t="str">
            <v>2.0mm</v>
          </cell>
          <cell r="N92" t="str">
            <v/>
          </cell>
          <cell r="O92">
            <v>46</v>
          </cell>
          <cell r="P92">
            <v>1540</v>
          </cell>
        </row>
        <row r="93">
          <cell r="A93" t="str">
            <v>14-K-052</v>
          </cell>
          <cell r="B93" t="str">
            <v>K9089330</v>
          </cell>
          <cell r="C93" t="str">
            <v>OJC-A1-LC/LC-MM-2-PC/PC-DP</v>
          </cell>
          <cell r="D93" t="str">
            <v>DP</v>
          </cell>
          <cell r="E93" t="str">
            <v>MM</v>
          </cell>
          <cell r="F93" t="str">
            <v>2M</v>
          </cell>
          <cell r="G93" t="str">
            <v>V0</v>
          </cell>
          <cell r="H93" t="str">
            <v>OM1</v>
          </cell>
          <cell r="I93" t="str">
            <v>오렌지색</v>
          </cell>
          <cell r="J93" t="str">
            <v>PVC</v>
          </cell>
          <cell r="K93" t="str">
            <v>청색 / 적색</v>
          </cell>
          <cell r="L93" t="str">
            <v>청색 / 적색</v>
          </cell>
          <cell r="M93" t="str">
            <v>2.0mm</v>
          </cell>
          <cell r="N93" t="str">
            <v/>
          </cell>
          <cell r="O93">
            <v>46</v>
          </cell>
          <cell r="P93">
            <v>2952</v>
          </cell>
        </row>
        <row r="94">
          <cell r="A94" t="str">
            <v>14-K-092</v>
          </cell>
          <cell r="B94" t="str">
            <v>K9089050</v>
          </cell>
          <cell r="C94" t="str">
            <v>OJC-A1-LC/LC-SM-25-PC/PC-SP</v>
          </cell>
          <cell r="D94" t="str">
            <v>SP</v>
          </cell>
          <cell r="E94" t="str">
            <v>SM</v>
          </cell>
          <cell r="F94" t="str">
            <v>25M</v>
          </cell>
          <cell r="G94" t="str">
            <v>V0</v>
          </cell>
          <cell r="H94" t="str">
            <v>G657A1</v>
          </cell>
          <cell r="I94" t="str">
            <v>노란색</v>
          </cell>
          <cell r="J94" t="str">
            <v>PVC</v>
          </cell>
          <cell r="K94" t="str">
            <v>청색</v>
          </cell>
          <cell r="L94" t="str">
            <v>청색</v>
          </cell>
          <cell r="M94" t="str">
            <v>2.0mm</v>
          </cell>
          <cell r="N94" t="str">
            <v/>
          </cell>
          <cell r="O94">
            <v>44</v>
          </cell>
          <cell r="P94">
            <v>3748</v>
          </cell>
        </row>
        <row r="95">
          <cell r="A95" t="str">
            <v>14-K-039</v>
          </cell>
          <cell r="B95" t="str">
            <v>K9089335</v>
          </cell>
          <cell r="C95" t="str">
            <v>OJC-A1-LC/LC-MM-15-PC/PC-DP</v>
          </cell>
          <cell r="D95" t="str">
            <v>DP</v>
          </cell>
          <cell r="E95" t="str">
            <v>MM</v>
          </cell>
          <cell r="F95" t="str">
            <v>15M</v>
          </cell>
          <cell r="G95" t="str">
            <v>V0</v>
          </cell>
          <cell r="H95" t="str">
            <v>OM1</v>
          </cell>
          <cell r="I95" t="str">
            <v>오렌지색</v>
          </cell>
          <cell r="J95" t="str">
            <v>PVC</v>
          </cell>
          <cell r="K95" t="str">
            <v>청색 / 적색</v>
          </cell>
          <cell r="L95" t="str">
            <v>청색 / 적색</v>
          </cell>
          <cell r="M95" t="str">
            <v>2.0mm</v>
          </cell>
          <cell r="N95" t="str">
            <v/>
          </cell>
          <cell r="O95">
            <v>44</v>
          </cell>
          <cell r="P95">
            <v>5011</v>
          </cell>
        </row>
        <row r="96">
          <cell r="A96" t="str">
            <v>14-K-366</v>
          </cell>
          <cell r="B96" t="str">
            <v>K9089155</v>
          </cell>
          <cell r="C96" t="str">
            <v>OJC-A1-SC/SC-SM-45-PC/PC-DP</v>
          </cell>
          <cell r="D96" t="str">
            <v>DP</v>
          </cell>
          <cell r="E96" t="str">
            <v>SM</v>
          </cell>
          <cell r="F96" t="str">
            <v>45M</v>
          </cell>
          <cell r="G96" t="str">
            <v>V0</v>
          </cell>
          <cell r="H96" t="str">
            <v>G657A1</v>
          </cell>
          <cell r="I96" t="str">
            <v>노란색</v>
          </cell>
          <cell r="J96" t="str">
            <v>PVC</v>
          </cell>
          <cell r="K96" t="str">
            <v>청색 / 적색</v>
          </cell>
          <cell r="L96" t="str">
            <v>청색 / 적색</v>
          </cell>
          <cell r="M96" t="str">
            <v>2.0mm</v>
          </cell>
          <cell r="N96" t="str">
            <v/>
          </cell>
          <cell r="O96">
            <v>41</v>
          </cell>
          <cell r="P96">
            <v>9134</v>
          </cell>
        </row>
        <row r="97">
          <cell r="A97" t="str">
            <v>14-K-221</v>
          </cell>
          <cell r="B97" t="str">
            <v>K9089038</v>
          </cell>
          <cell r="C97" t="str">
            <v>OJC-A1-SC/LC-SM-35-PC/PC-SP</v>
          </cell>
          <cell r="D97" t="str">
            <v>SP</v>
          </cell>
          <cell r="E97" t="str">
            <v>SM</v>
          </cell>
          <cell r="F97" t="str">
            <v>35M</v>
          </cell>
          <cell r="G97" t="str">
            <v>V0</v>
          </cell>
          <cell r="H97" t="str">
            <v>G657A1</v>
          </cell>
          <cell r="I97" t="str">
            <v>노란색</v>
          </cell>
          <cell r="J97" t="str">
            <v>PVC</v>
          </cell>
          <cell r="K97" t="str">
            <v>청색</v>
          </cell>
          <cell r="L97" t="str">
            <v>청색</v>
          </cell>
          <cell r="M97" t="str">
            <v>2.0mm</v>
          </cell>
          <cell r="N97" t="str">
            <v/>
          </cell>
          <cell r="O97">
            <v>38</v>
          </cell>
          <cell r="P97">
            <v>4208</v>
          </cell>
        </row>
        <row r="98">
          <cell r="A98" t="str">
            <v>14-K-372</v>
          </cell>
          <cell r="B98" t="str">
            <v>K9089027</v>
          </cell>
          <cell r="C98" t="str">
            <v>OJC-A1-SC/SC-SM-50-PC/PC-SP</v>
          </cell>
          <cell r="D98" t="str">
            <v>SP</v>
          </cell>
          <cell r="E98" t="str">
            <v>SM</v>
          </cell>
          <cell r="F98" t="str">
            <v>50M</v>
          </cell>
          <cell r="G98" t="str">
            <v>V0</v>
          </cell>
          <cell r="H98" t="str">
            <v>G657A1</v>
          </cell>
          <cell r="I98" t="str">
            <v>노란색</v>
          </cell>
          <cell r="J98" t="str">
            <v>PVC</v>
          </cell>
          <cell r="K98" t="str">
            <v>청색</v>
          </cell>
          <cell r="L98" t="str">
            <v>청색</v>
          </cell>
          <cell r="M98" t="str">
            <v>2.0mm</v>
          </cell>
          <cell r="N98" t="str">
            <v/>
          </cell>
          <cell r="O98">
            <v>38</v>
          </cell>
          <cell r="P98">
            <v>4528</v>
          </cell>
        </row>
        <row r="99">
          <cell r="A99" t="str">
            <v>14-K-301</v>
          </cell>
          <cell r="B99" t="str">
            <v>K9089060</v>
          </cell>
          <cell r="C99" t="str">
            <v>OJC-A1-SC/SC-SM-15-PC/APC-SP</v>
          </cell>
          <cell r="D99" t="str">
            <v>SP</v>
          </cell>
          <cell r="E99" t="str">
            <v>SM</v>
          </cell>
          <cell r="F99" t="str">
            <v>15M</v>
          </cell>
          <cell r="G99" t="str">
            <v>V0</v>
          </cell>
          <cell r="H99" t="str">
            <v>G657A1</v>
          </cell>
          <cell r="I99" t="str">
            <v>노란색</v>
          </cell>
          <cell r="J99" t="str">
            <v>PVC</v>
          </cell>
          <cell r="K99" t="str">
            <v>청색</v>
          </cell>
          <cell r="L99" t="str">
            <v>녹색</v>
          </cell>
          <cell r="M99" t="str">
            <v>2.0mm</v>
          </cell>
          <cell r="N99" t="str">
            <v/>
          </cell>
          <cell r="O99">
            <v>36</v>
          </cell>
          <cell r="P99">
            <v>2306</v>
          </cell>
        </row>
        <row r="100">
          <cell r="A100" t="str">
            <v>14-K-065</v>
          </cell>
          <cell r="B100" t="str">
            <v>K9089333</v>
          </cell>
          <cell r="C100" t="str">
            <v>OJC-A1-LC/LC-MM-5-PC/PC-DP</v>
          </cell>
          <cell r="D100" t="str">
            <v>DP</v>
          </cell>
          <cell r="E100" t="str">
            <v>MM</v>
          </cell>
          <cell r="F100" t="str">
            <v>5M</v>
          </cell>
          <cell r="G100" t="str">
            <v>V0</v>
          </cell>
          <cell r="H100" t="str">
            <v>OM1</v>
          </cell>
          <cell r="I100" t="str">
            <v>오렌지색</v>
          </cell>
          <cell r="J100" t="str">
            <v>PVC</v>
          </cell>
          <cell r="K100" t="str">
            <v>청색 / 적색</v>
          </cell>
          <cell r="L100" t="str">
            <v>청색 / 적색</v>
          </cell>
          <cell r="M100" t="str">
            <v>2.0mm</v>
          </cell>
          <cell r="N100" t="str">
            <v/>
          </cell>
          <cell r="O100">
            <v>36</v>
          </cell>
          <cell r="P100">
            <v>3662</v>
          </cell>
        </row>
        <row r="101">
          <cell r="A101" t="str">
            <v>14-K-095</v>
          </cell>
          <cell r="B101" t="str">
            <v>K9089051</v>
          </cell>
          <cell r="C101" t="str">
            <v>OJC-A1-LC/LC-SM-30-PC/PC-SP</v>
          </cell>
          <cell r="D101" t="str">
            <v>SP</v>
          </cell>
          <cell r="E101" t="str">
            <v>SM</v>
          </cell>
          <cell r="F101" t="str">
            <v>30M</v>
          </cell>
          <cell r="G101" t="str">
            <v>V0</v>
          </cell>
          <cell r="H101" t="str">
            <v>G657A1</v>
          </cell>
          <cell r="I101" t="str">
            <v>노란색</v>
          </cell>
          <cell r="J101" t="str">
            <v>PVC</v>
          </cell>
          <cell r="K101" t="str">
            <v>청색</v>
          </cell>
          <cell r="L101" t="str">
            <v>청색</v>
          </cell>
          <cell r="M101" t="str">
            <v>2.0mm</v>
          </cell>
          <cell r="N101" t="str">
            <v/>
          </cell>
          <cell r="O101">
            <v>35</v>
          </cell>
          <cell r="P101">
            <v>3779</v>
          </cell>
        </row>
        <row r="102">
          <cell r="A102" t="str">
            <v>14-K-108</v>
          </cell>
          <cell r="B102" t="str">
            <v>K9089046</v>
          </cell>
          <cell r="C102" t="str">
            <v>OJC-A1-LC/LC-SM-5-PC/PC-SP</v>
          </cell>
          <cell r="D102" t="str">
            <v>SP</v>
          </cell>
          <cell r="E102" t="str">
            <v>SM</v>
          </cell>
          <cell r="F102" t="str">
            <v>5M</v>
          </cell>
          <cell r="G102" t="str">
            <v>V0</v>
          </cell>
          <cell r="H102" t="str">
            <v>G657A1</v>
          </cell>
          <cell r="I102" t="str">
            <v>노란색</v>
          </cell>
          <cell r="J102" t="str">
            <v>PVC</v>
          </cell>
          <cell r="K102" t="str">
            <v>청색</v>
          </cell>
          <cell r="L102" t="str">
            <v>청색</v>
          </cell>
          <cell r="M102" t="str">
            <v>2.0mm</v>
          </cell>
          <cell r="N102" t="str">
            <v/>
          </cell>
          <cell r="O102">
            <v>34</v>
          </cell>
          <cell r="P102">
            <v>2154</v>
          </cell>
        </row>
        <row r="103">
          <cell r="A103" t="str">
            <v>14-K-300</v>
          </cell>
          <cell r="B103" t="str">
            <v>K9089189</v>
          </cell>
          <cell r="C103" t="str">
            <v>OJC-A1-SC/SC-SM-15-PC/APC-DP</v>
          </cell>
          <cell r="D103" t="str">
            <v>DP</v>
          </cell>
          <cell r="E103" t="str">
            <v>SM</v>
          </cell>
          <cell r="F103" t="str">
            <v>15M</v>
          </cell>
          <cell r="G103" t="str">
            <v>V0</v>
          </cell>
          <cell r="H103" t="str">
            <v>G657A1</v>
          </cell>
          <cell r="I103" t="str">
            <v>노란색</v>
          </cell>
          <cell r="J103" t="str">
            <v>PVC</v>
          </cell>
          <cell r="K103" t="str">
            <v>청색 / 적색</v>
          </cell>
          <cell r="L103" t="str">
            <v>녹색 / 적색</v>
          </cell>
          <cell r="M103" t="str">
            <v>2.0mm</v>
          </cell>
          <cell r="N103" t="str">
            <v/>
          </cell>
          <cell r="O103">
            <v>32</v>
          </cell>
          <cell r="P103">
            <v>4620</v>
          </cell>
        </row>
        <row r="104">
          <cell r="A104" t="str">
            <v>14-K-157</v>
          </cell>
          <cell r="B104" t="str">
            <v>K9089318</v>
          </cell>
          <cell r="C104" t="str">
            <v>OJC-A1-SC/LC-MM-2-PC/PC-DP</v>
          </cell>
          <cell r="D104" t="str">
            <v>DP</v>
          </cell>
          <cell r="E104" t="str">
            <v>MM</v>
          </cell>
          <cell r="F104" t="str">
            <v>2M</v>
          </cell>
          <cell r="G104" t="str">
            <v>V0</v>
          </cell>
          <cell r="H104" t="str">
            <v>OM1</v>
          </cell>
          <cell r="I104" t="str">
            <v>오렌지색</v>
          </cell>
          <cell r="J104" t="str">
            <v>PVC</v>
          </cell>
          <cell r="K104" t="str">
            <v>청색 / 적색</v>
          </cell>
          <cell r="L104" t="str">
            <v>청색 / 적색</v>
          </cell>
          <cell r="M104" t="str">
            <v>2.0mm</v>
          </cell>
          <cell r="N104" t="str">
            <v/>
          </cell>
          <cell r="O104">
            <v>31</v>
          </cell>
          <cell r="P104">
            <v>2938</v>
          </cell>
        </row>
        <row r="105">
          <cell r="A105" t="str">
            <v>14-K-161</v>
          </cell>
          <cell r="B105" t="str">
            <v>K9089319</v>
          </cell>
          <cell r="C105" t="str">
            <v>OJC-A1-SC/LC-MM-3-PC/PC-DP</v>
          </cell>
          <cell r="D105" t="str">
            <v>DP</v>
          </cell>
          <cell r="E105" t="str">
            <v>MM</v>
          </cell>
          <cell r="F105" t="str">
            <v>3M</v>
          </cell>
          <cell r="G105" t="str">
            <v>V0</v>
          </cell>
          <cell r="H105" t="str">
            <v>OM1</v>
          </cell>
          <cell r="I105" t="str">
            <v>오렌지색</v>
          </cell>
          <cell r="J105" t="str">
            <v>PVC</v>
          </cell>
          <cell r="K105" t="str">
            <v>청색 / 적색</v>
          </cell>
          <cell r="L105" t="str">
            <v>청색 / 적색</v>
          </cell>
          <cell r="M105" t="str">
            <v>2.0mm</v>
          </cell>
          <cell r="N105" t="str">
            <v/>
          </cell>
          <cell r="O105">
            <v>31</v>
          </cell>
          <cell r="P105">
            <v>3083</v>
          </cell>
        </row>
        <row r="106">
          <cell r="A106" t="str">
            <v>14-K-680</v>
          </cell>
          <cell r="B106" t="str">
            <v>K9089019</v>
          </cell>
          <cell r="C106" t="str">
            <v>OJC-A1-SC/SC-SM-26-PC/PC-SP</v>
          </cell>
          <cell r="D106" t="str">
            <v>SP</v>
          </cell>
          <cell r="E106" t="str">
            <v>SM</v>
          </cell>
          <cell r="F106" t="str">
            <v>26M</v>
          </cell>
          <cell r="G106" t="str">
            <v>V0</v>
          </cell>
          <cell r="H106" t="str">
            <v>G657A1</v>
          </cell>
          <cell r="I106" t="str">
            <v>노란색</v>
          </cell>
          <cell r="J106" t="str">
            <v>PVC</v>
          </cell>
          <cell r="K106" t="str">
            <v>청색</v>
          </cell>
          <cell r="L106" t="str">
            <v>청색</v>
          </cell>
          <cell r="M106" t="str">
            <v>2.0mm</v>
          </cell>
          <cell r="N106" t="str">
            <v/>
          </cell>
          <cell r="O106">
            <v>29</v>
          </cell>
          <cell r="P106">
            <v>3138</v>
          </cell>
        </row>
        <row r="107">
          <cell r="A107" t="str">
            <v>14-K-086</v>
          </cell>
          <cell r="B107" t="str">
            <v>K9089042</v>
          </cell>
          <cell r="C107" t="str">
            <v>OJC-A1-LC/LC-SM-1-PC/PC-SP</v>
          </cell>
          <cell r="D107" t="str">
            <v>SP</v>
          </cell>
          <cell r="E107" t="str">
            <v>SM</v>
          </cell>
          <cell r="F107" t="str">
            <v>1M</v>
          </cell>
          <cell r="G107" t="str">
            <v>V0</v>
          </cell>
          <cell r="H107" t="str">
            <v>G657A1</v>
          </cell>
          <cell r="I107" t="str">
            <v>노란색</v>
          </cell>
          <cell r="J107" t="str">
            <v>PVC</v>
          </cell>
          <cell r="K107" t="str">
            <v>청색</v>
          </cell>
          <cell r="L107" t="str">
            <v>청색</v>
          </cell>
          <cell r="M107" t="str">
            <v>2.0mm</v>
          </cell>
          <cell r="N107" t="str">
            <v/>
          </cell>
          <cell r="O107">
            <v>25</v>
          </cell>
          <cell r="P107">
            <v>1818</v>
          </cell>
        </row>
        <row r="108">
          <cell r="A108" t="str">
            <v>14-K-058</v>
          </cell>
          <cell r="B108" t="str">
            <v>K9089331</v>
          </cell>
          <cell r="C108" t="str">
            <v>OJC-A1-LC/LC-MM-3-PC/PC-DP</v>
          </cell>
          <cell r="D108" t="str">
            <v>DP</v>
          </cell>
          <cell r="E108" t="str">
            <v>MM</v>
          </cell>
          <cell r="F108" t="str">
            <v>3M</v>
          </cell>
          <cell r="G108" t="str">
            <v>V0</v>
          </cell>
          <cell r="H108" t="str">
            <v>OM1</v>
          </cell>
          <cell r="I108" t="str">
            <v>오렌지색</v>
          </cell>
          <cell r="J108" t="str">
            <v>PVC</v>
          </cell>
          <cell r="K108" t="str">
            <v>청색 / 적색</v>
          </cell>
          <cell r="L108" t="str">
            <v>청색 / 적색</v>
          </cell>
          <cell r="M108" t="str">
            <v>2.0mm</v>
          </cell>
          <cell r="N108" t="str">
            <v/>
          </cell>
          <cell r="O108">
            <v>25</v>
          </cell>
          <cell r="P108">
            <v>3074</v>
          </cell>
        </row>
        <row r="109">
          <cell r="A109" t="str">
            <v>14-K-320</v>
          </cell>
          <cell r="B109" t="str">
            <v>K9089061</v>
          </cell>
          <cell r="C109" t="str">
            <v>OJC-A1-SC/SC-SM-20-PC/APC-SP</v>
          </cell>
          <cell r="D109" t="str">
            <v>SP</v>
          </cell>
          <cell r="E109" t="str">
            <v>SM</v>
          </cell>
          <cell r="F109" t="str">
            <v>20M</v>
          </cell>
          <cell r="G109" t="str">
            <v>V0</v>
          </cell>
          <cell r="H109" t="str">
            <v>G657A1</v>
          </cell>
          <cell r="I109" t="str">
            <v>노란색</v>
          </cell>
          <cell r="J109" t="str">
            <v>PVC</v>
          </cell>
          <cell r="K109" t="str">
            <v>청색</v>
          </cell>
          <cell r="L109" t="str">
            <v>녹색</v>
          </cell>
          <cell r="M109" t="str">
            <v>2.0mm</v>
          </cell>
          <cell r="N109" t="str">
            <v/>
          </cell>
          <cell r="O109">
            <v>24</v>
          </cell>
          <cell r="P109">
            <v>2711</v>
          </cell>
        </row>
        <row r="110">
          <cell r="A110" t="str">
            <v>14-K-371</v>
          </cell>
          <cell r="B110" t="str">
            <v>K9089156</v>
          </cell>
          <cell r="C110" t="str">
            <v>OJC-A1-SC/SC-SM-50-PC/PC-DP</v>
          </cell>
          <cell r="D110" t="str">
            <v>DP</v>
          </cell>
          <cell r="E110" t="str">
            <v>SM</v>
          </cell>
          <cell r="F110" t="str">
            <v>50M</v>
          </cell>
          <cell r="G110" t="str">
            <v>V0</v>
          </cell>
          <cell r="H110" t="str">
            <v>G657A1</v>
          </cell>
          <cell r="I110" t="str">
            <v>노란색</v>
          </cell>
          <cell r="J110" t="str">
            <v>PVC</v>
          </cell>
          <cell r="K110" t="str">
            <v>청색 / 적색</v>
          </cell>
          <cell r="L110" t="str">
            <v>청색 / 적색</v>
          </cell>
          <cell r="M110" t="str">
            <v>2.0mm</v>
          </cell>
          <cell r="N110" t="str">
            <v/>
          </cell>
          <cell r="O110">
            <v>23</v>
          </cell>
          <cell r="P110">
            <v>8949</v>
          </cell>
        </row>
        <row r="111">
          <cell r="A111" t="str">
            <v>14-K-151</v>
          </cell>
          <cell r="B111" t="str">
            <v>K9089317</v>
          </cell>
          <cell r="C111" t="str">
            <v>OJC-A1-SC/LC-MM-1-PC/PC-DP</v>
          </cell>
          <cell r="D111" t="str">
            <v>DP</v>
          </cell>
          <cell r="E111" t="str">
            <v>MM</v>
          </cell>
          <cell r="F111" t="str">
            <v>1M</v>
          </cell>
          <cell r="G111" t="str">
            <v>V0</v>
          </cell>
          <cell r="H111" t="str">
            <v>OM1</v>
          </cell>
          <cell r="I111" t="str">
            <v>오렌지색</v>
          </cell>
          <cell r="J111" t="str">
            <v>PVC</v>
          </cell>
          <cell r="K111" t="str">
            <v>청색 / 적색</v>
          </cell>
          <cell r="L111" t="str">
            <v>청색 / 적색</v>
          </cell>
          <cell r="M111" t="str">
            <v>2.0mm</v>
          </cell>
          <cell r="N111" t="str">
            <v/>
          </cell>
          <cell r="O111">
            <v>22</v>
          </cell>
          <cell r="P111">
            <v>2590</v>
          </cell>
        </row>
        <row r="112">
          <cell r="A112" t="str">
            <v>14-K-326</v>
          </cell>
          <cell r="B112" t="str">
            <v>K9089015</v>
          </cell>
          <cell r="C112" t="str">
            <v>OJC-A1-SC/SC-SM-22-PC/PC-SP</v>
          </cell>
          <cell r="D112" t="str">
            <v>SP</v>
          </cell>
          <cell r="E112" t="str">
            <v>SM</v>
          </cell>
          <cell r="F112" t="str">
            <v>22M</v>
          </cell>
          <cell r="G112" t="str">
            <v>V0</v>
          </cell>
          <cell r="H112" t="str">
            <v>G657A1</v>
          </cell>
          <cell r="I112" t="str">
            <v>노란색</v>
          </cell>
          <cell r="J112" t="str">
            <v>PVC</v>
          </cell>
          <cell r="K112" t="str">
            <v>청색</v>
          </cell>
          <cell r="L112" t="str">
            <v>청색</v>
          </cell>
          <cell r="M112" t="str">
            <v>2.0mm</v>
          </cell>
          <cell r="N112" t="str">
            <v/>
          </cell>
          <cell r="O112">
            <v>21</v>
          </cell>
          <cell r="P112">
            <v>2821</v>
          </cell>
        </row>
        <row r="113">
          <cell r="A113" t="str">
            <v>14-K-328</v>
          </cell>
          <cell r="B113" t="str">
            <v>K9089016</v>
          </cell>
          <cell r="C113" t="str">
            <v>OJC-A1-SC/SC-SM-23-PC/PC-SP</v>
          </cell>
          <cell r="D113" t="str">
            <v>SP</v>
          </cell>
          <cell r="E113" t="str">
            <v>SM</v>
          </cell>
          <cell r="F113" t="str">
            <v>23M</v>
          </cell>
          <cell r="G113" t="str">
            <v>V0</v>
          </cell>
          <cell r="H113" t="str">
            <v>G657A1</v>
          </cell>
          <cell r="I113" t="str">
            <v>노란색</v>
          </cell>
          <cell r="J113" t="str">
            <v>PVC</v>
          </cell>
          <cell r="K113" t="str">
            <v>청색</v>
          </cell>
          <cell r="L113" t="str">
            <v>청색</v>
          </cell>
          <cell r="M113" t="str">
            <v>2.0mm</v>
          </cell>
          <cell r="N113" t="str">
            <v/>
          </cell>
          <cell r="O113">
            <v>21</v>
          </cell>
          <cell r="P113">
            <v>2898</v>
          </cell>
        </row>
        <row r="114">
          <cell r="A114" t="str">
            <v>14-K-585</v>
          </cell>
          <cell r="B114" t="str">
            <v>K9089043</v>
          </cell>
          <cell r="C114" t="str">
            <v>OJC-A1-LC/LC-SM-2-PC/PC-SP</v>
          </cell>
          <cell r="D114" t="str">
            <v>SP</v>
          </cell>
          <cell r="E114" t="str">
            <v>SM</v>
          </cell>
          <cell r="F114" t="str">
            <v>2M</v>
          </cell>
          <cell r="G114" t="str">
            <v>V0</v>
          </cell>
          <cell r="H114" t="str">
            <v>G657A1</v>
          </cell>
          <cell r="I114" t="str">
            <v>노란색</v>
          </cell>
          <cell r="J114" t="str">
            <v>PVC</v>
          </cell>
          <cell r="K114" t="str">
            <v>청색</v>
          </cell>
          <cell r="L114" t="str">
            <v>청색</v>
          </cell>
          <cell r="M114" t="str">
            <v>2.0mm</v>
          </cell>
          <cell r="N114" t="str">
            <v/>
          </cell>
          <cell r="O114">
            <v>21</v>
          </cell>
          <cell r="P114">
            <v>1904</v>
          </cell>
        </row>
        <row r="115">
          <cell r="A115" t="str">
            <v>14-K-306</v>
          </cell>
          <cell r="B115" t="str">
            <v>K9089139</v>
          </cell>
          <cell r="C115" t="str">
            <v>OJC-A1-SC/SC-SM-17-PC/PC-DP</v>
          </cell>
          <cell r="D115" t="str">
            <v>DP</v>
          </cell>
          <cell r="E115" t="str">
            <v>SM</v>
          </cell>
          <cell r="F115" t="str">
            <v>17M</v>
          </cell>
          <cell r="G115" t="str">
            <v>V0</v>
          </cell>
          <cell r="H115" t="str">
            <v>G657A1</v>
          </cell>
          <cell r="I115" t="str">
            <v>노란색</v>
          </cell>
          <cell r="J115" t="str">
            <v>PVC</v>
          </cell>
          <cell r="K115" t="str">
            <v>청색 / 적색</v>
          </cell>
          <cell r="L115" t="str">
            <v>청색 / 적색</v>
          </cell>
          <cell r="M115" t="str">
            <v>2.0mm</v>
          </cell>
          <cell r="N115" t="str">
            <v/>
          </cell>
          <cell r="O115">
            <v>21</v>
          </cell>
          <cell r="P115">
            <v>4837</v>
          </cell>
        </row>
        <row r="116">
          <cell r="A116" t="str">
            <v>14-K-230</v>
          </cell>
          <cell r="B116" t="str">
            <v>K9089040</v>
          </cell>
          <cell r="C116" t="str">
            <v>OJC-A1-SC/LC-SM-45-PC/PC-SP</v>
          </cell>
          <cell r="D116" t="str">
            <v>SP</v>
          </cell>
          <cell r="E116" t="str">
            <v>SM</v>
          </cell>
          <cell r="F116" t="str">
            <v>45M</v>
          </cell>
          <cell r="G116" t="str">
            <v>V0</v>
          </cell>
          <cell r="H116" t="str">
            <v>G657A1</v>
          </cell>
          <cell r="I116" t="str">
            <v>노란색</v>
          </cell>
          <cell r="J116" t="str">
            <v>PVC</v>
          </cell>
          <cell r="K116" t="str">
            <v>청색</v>
          </cell>
          <cell r="L116" t="str">
            <v>청색</v>
          </cell>
          <cell r="M116" t="str">
            <v>2.0mm</v>
          </cell>
          <cell r="N116" t="str">
            <v/>
          </cell>
          <cell r="O116">
            <v>19</v>
          </cell>
          <cell r="P116">
            <v>4559</v>
          </cell>
        </row>
        <row r="117">
          <cell r="A117" t="str">
            <v>14-K-101</v>
          </cell>
          <cell r="B117" t="str">
            <v>K9089174</v>
          </cell>
          <cell r="C117" t="str">
            <v>OJC-A1-LC/LC-SM-4-PC/PC-DP</v>
          </cell>
          <cell r="D117" t="str">
            <v>DP</v>
          </cell>
          <cell r="E117" t="str">
            <v>SM</v>
          </cell>
          <cell r="F117" t="str">
            <v>4M</v>
          </cell>
          <cell r="G117" t="str">
            <v>V0</v>
          </cell>
          <cell r="H117" t="str">
            <v>G657A1</v>
          </cell>
          <cell r="I117" t="str">
            <v>노란색</v>
          </cell>
          <cell r="J117" t="str">
            <v>PVC</v>
          </cell>
          <cell r="K117" t="str">
            <v>청색 / 적색</v>
          </cell>
          <cell r="L117" t="str">
            <v>청색 / 적색</v>
          </cell>
          <cell r="M117" t="str">
            <v>2.0mm</v>
          </cell>
          <cell r="N117" t="str">
            <v/>
          </cell>
          <cell r="O117">
            <v>19</v>
          </cell>
          <cell r="P117">
            <v>3176</v>
          </cell>
        </row>
        <row r="118">
          <cell r="A118" t="str">
            <v>14-K-384</v>
          </cell>
          <cell r="B118" t="str">
            <v>K9089128</v>
          </cell>
          <cell r="C118" t="str">
            <v>OJC-A1-SC/SC-SM-6-PC/PC-DP</v>
          </cell>
          <cell r="D118" t="str">
            <v>DP</v>
          </cell>
          <cell r="E118" t="str">
            <v>SM</v>
          </cell>
          <cell r="F118" t="str">
            <v>6M</v>
          </cell>
          <cell r="G118" t="str">
            <v>V0</v>
          </cell>
          <cell r="H118" t="str">
            <v>G657A1</v>
          </cell>
          <cell r="I118" t="str">
            <v>노란색</v>
          </cell>
          <cell r="J118" t="str">
            <v>PVC</v>
          </cell>
          <cell r="K118" t="str">
            <v>청색 / 적색</v>
          </cell>
          <cell r="L118" t="str">
            <v>청색 / 적색</v>
          </cell>
          <cell r="M118" t="str">
            <v>2.0mm</v>
          </cell>
          <cell r="N118" t="str">
            <v/>
          </cell>
          <cell r="O118">
            <v>19</v>
          </cell>
          <cell r="P118">
            <v>3061</v>
          </cell>
        </row>
        <row r="119">
          <cell r="A119" t="str">
            <v>14-K-590</v>
          </cell>
          <cell r="B119" t="str">
            <v>K9089007</v>
          </cell>
          <cell r="C119" t="str">
            <v>OJC-A1-SC/SC-SM-14-PC/PC-SP</v>
          </cell>
          <cell r="D119" t="str">
            <v>SP</v>
          </cell>
          <cell r="E119" t="str">
            <v>SM</v>
          </cell>
          <cell r="F119" t="str">
            <v>14M</v>
          </cell>
          <cell r="G119" t="str">
            <v>V0</v>
          </cell>
          <cell r="H119" t="str">
            <v>G657A1</v>
          </cell>
          <cell r="I119" t="str">
            <v>노란색</v>
          </cell>
          <cell r="J119" t="str">
            <v>PVC</v>
          </cell>
          <cell r="K119" t="str">
            <v>청색</v>
          </cell>
          <cell r="L119" t="str">
            <v>청색</v>
          </cell>
          <cell r="M119" t="str">
            <v>2.0mm</v>
          </cell>
          <cell r="N119" t="str">
            <v/>
          </cell>
          <cell r="O119">
            <v>18</v>
          </cell>
          <cell r="P119">
            <v>2203</v>
          </cell>
        </row>
        <row r="120">
          <cell r="A120" t="str">
            <v>14-K-150</v>
          </cell>
          <cell r="B120" t="str">
            <v>K9089323</v>
          </cell>
          <cell r="C120" t="str">
            <v>OJC-A1-SC/LC-MM-15-PC/PC-DP</v>
          </cell>
          <cell r="D120" t="str">
            <v>DP</v>
          </cell>
          <cell r="E120" t="str">
            <v>MM</v>
          </cell>
          <cell r="F120" t="str">
            <v>15M</v>
          </cell>
          <cell r="G120" t="str">
            <v>V0</v>
          </cell>
          <cell r="H120" t="str">
            <v>OM1</v>
          </cell>
          <cell r="I120" t="str">
            <v>오렌지색</v>
          </cell>
          <cell r="J120" t="str">
            <v>PVC</v>
          </cell>
          <cell r="K120" t="str">
            <v>청색 / 적색</v>
          </cell>
          <cell r="L120" t="str">
            <v>청색 / 적색</v>
          </cell>
          <cell r="M120" t="str">
            <v>2.0mm</v>
          </cell>
          <cell r="N120" t="str">
            <v/>
          </cell>
          <cell r="O120">
            <v>18</v>
          </cell>
          <cell r="P120">
            <v>4478</v>
          </cell>
        </row>
        <row r="121">
          <cell r="A121" t="str">
            <v>14-K-233</v>
          </cell>
          <cell r="B121" t="str">
            <v>K9089041</v>
          </cell>
          <cell r="C121" t="str">
            <v>OJC-A1-SC/LC-SM-50-PC/PC-SP</v>
          </cell>
          <cell r="D121" t="str">
            <v>SP</v>
          </cell>
          <cell r="E121" t="str">
            <v>SM</v>
          </cell>
          <cell r="F121" t="str">
            <v>50M</v>
          </cell>
          <cell r="G121" t="str">
            <v>V0</v>
          </cell>
          <cell r="H121" t="str">
            <v>G657A1</v>
          </cell>
          <cell r="I121" t="str">
            <v>노란색</v>
          </cell>
          <cell r="J121" t="str">
            <v>PVC</v>
          </cell>
          <cell r="K121" t="str">
            <v>청색</v>
          </cell>
          <cell r="L121" t="str">
            <v>청색</v>
          </cell>
          <cell r="M121" t="str">
            <v>2.0mm</v>
          </cell>
          <cell r="N121" t="str">
            <v/>
          </cell>
          <cell r="O121">
            <v>17</v>
          </cell>
          <cell r="P121">
            <v>4922</v>
          </cell>
        </row>
        <row r="122">
          <cell r="A122" t="str">
            <v>14-K-154</v>
          </cell>
          <cell r="B122" t="str">
            <v>K9089324</v>
          </cell>
          <cell r="C122" t="str">
            <v>OJC-A1-SC/LC-MM-20-PC/PC-DP</v>
          </cell>
          <cell r="D122" t="str">
            <v>DP</v>
          </cell>
          <cell r="E122" t="str">
            <v>MM</v>
          </cell>
          <cell r="F122" t="str">
            <v>20M</v>
          </cell>
          <cell r="G122" t="str">
            <v>V0</v>
          </cell>
          <cell r="H122" t="str">
            <v>OM1</v>
          </cell>
          <cell r="I122" t="str">
            <v>오렌지색</v>
          </cell>
          <cell r="J122" t="str">
            <v>PVC</v>
          </cell>
          <cell r="K122" t="str">
            <v>청색 / 적색</v>
          </cell>
          <cell r="L122" t="str">
            <v>청색 / 적색</v>
          </cell>
          <cell r="M122" t="str">
            <v>2.0mm</v>
          </cell>
          <cell r="N122" t="str">
            <v/>
          </cell>
          <cell r="O122">
            <v>17</v>
          </cell>
          <cell r="P122">
            <v>5153</v>
          </cell>
        </row>
        <row r="123">
          <cell r="A123" t="str">
            <v>14-K-054</v>
          </cell>
          <cell r="B123" t="str">
            <v>K9089338</v>
          </cell>
          <cell r="C123" t="str">
            <v>OJC-A1-LC/LC-MM-30-PC/PC-DP</v>
          </cell>
          <cell r="D123" t="str">
            <v>DP</v>
          </cell>
          <cell r="E123" t="str">
            <v>MM</v>
          </cell>
          <cell r="F123" t="str">
            <v>30M</v>
          </cell>
          <cell r="G123" t="str">
            <v>V0</v>
          </cell>
          <cell r="H123" t="str">
            <v>OM1</v>
          </cell>
          <cell r="I123" t="str">
            <v>오렌지색</v>
          </cell>
          <cell r="J123" t="str">
            <v>PVC</v>
          </cell>
          <cell r="K123" t="str">
            <v>청색 / 적색</v>
          </cell>
          <cell r="L123" t="str">
            <v>청색 / 적색</v>
          </cell>
          <cell r="M123" t="str">
            <v>2.0mm</v>
          </cell>
          <cell r="N123" t="str">
            <v/>
          </cell>
          <cell r="O123">
            <v>16</v>
          </cell>
          <cell r="P123">
            <v>7033</v>
          </cell>
        </row>
        <row r="124">
          <cell r="A124" t="str">
            <v>14-K-103</v>
          </cell>
          <cell r="B124" t="str">
            <v>K9089184</v>
          </cell>
          <cell r="C124" t="str">
            <v>OJC-A1-LC/LC-SM-50-PC/PC-DP</v>
          </cell>
          <cell r="D124" t="str">
            <v>DP</v>
          </cell>
          <cell r="E124" t="str">
            <v>SM</v>
          </cell>
          <cell r="F124" t="str">
            <v>50M</v>
          </cell>
          <cell r="G124" t="str">
            <v>V0</v>
          </cell>
          <cell r="H124" t="str">
            <v>G657A1</v>
          </cell>
          <cell r="I124" t="str">
            <v>노란색</v>
          </cell>
          <cell r="J124" t="str">
            <v>PVC</v>
          </cell>
          <cell r="K124" t="str">
            <v>청색 / 적색</v>
          </cell>
          <cell r="L124" t="str">
            <v>청색 / 적색</v>
          </cell>
          <cell r="M124" t="str">
            <v>2.0mm</v>
          </cell>
          <cell r="N124" t="str">
            <v/>
          </cell>
          <cell r="O124">
            <v>16</v>
          </cell>
          <cell r="P124">
            <v>11124</v>
          </cell>
        </row>
        <row r="125">
          <cell r="A125" t="str">
            <v>14-K-187</v>
          </cell>
          <cell r="B125" t="str">
            <v>K9089068</v>
          </cell>
          <cell r="C125" t="str">
            <v>OJC-A1-SC/LC-SM-15-PC/APC-SP</v>
          </cell>
          <cell r="D125" t="str">
            <v>SP</v>
          </cell>
          <cell r="E125" t="str">
            <v>SM</v>
          </cell>
          <cell r="F125" t="str">
            <v>15M</v>
          </cell>
          <cell r="G125" t="str">
            <v>V0</v>
          </cell>
          <cell r="H125" t="str">
            <v>G657A1</v>
          </cell>
          <cell r="I125" t="str">
            <v>노란색</v>
          </cell>
          <cell r="J125" t="str">
            <v>PVC</v>
          </cell>
          <cell r="K125" t="str">
            <v>청색</v>
          </cell>
          <cell r="L125" t="str">
            <v>녹색</v>
          </cell>
          <cell r="M125" t="str">
            <v>2.0mm</v>
          </cell>
          <cell r="N125" t="str">
            <v/>
          </cell>
          <cell r="O125">
            <v>14</v>
          </cell>
          <cell r="P125">
            <v>1930</v>
          </cell>
        </row>
        <row r="126">
          <cell r="A126" t="str">
            <v>14-K-313</v>
          </cell>
          <cell r="B126" t="str">
            <v>K9089185</v>
          </cell>
          <cell r="C126" t="str">
            <v>OJC-A1-SC/SC-SM-1-PC/APC-DP</v>
          </cell>
          <cell r="D126" t="str">
            <v>DP</v>
          </cell>
          <cell r="E126" t="str">
            <v>SM</v>
          </cell>
          <cell r="F126" t="str">
            <v>1M</v>
          </cell>
          <cell r="G126" t="str">
            <v>V0</v>
          </cell>
          <cell r="H126" t="str">
            <v>G657A1</v>
          </cell>
          <cell r="I126" t="str">
            <v>노란색</v>
          </cell>
          <cell r="J126" t="str">
            <v>PVC</v>
          </cell>
          <cell r="K126" t="str">
            <v>청색 / 적색</v>
          </cell>
          <cell r="L126" t="str">
            <v>녹색 / 적색</v>
          </cell>
          <cell r="M126" t="str">
            <v>2.0mm</v>
          </cell>
          <cell r="N126" t="str">
            <v/>
          </cell>
          <cell r="O126">
            <v>14</v>
          </cell>
          <cell r="P126">
            <v>2270</v>
          </cell>
        </row>
        <row r="127">
          <cell r="A127" t="str">
            <v>14-K-351</v>
          </cell>
          <cell r="B127" t="str">
            <v>K9089063</v>
          </cell>
          <cell r="C127" t="str">
            <v>OJC-A1-SC/SC-SM-30-PC/APC-SP</v>
          </cell>
          <cell r="D127" t="str">
            <v>SP</v>
          </cell>
          <cell r="E127" t="str">
            <v>SM</v>
          </cell>
          <cell r="F127" t="str">
            <v>30M</v>
          </cell>
          <cell r="G127" t="str">
            <v>V0</v>
          </cell>
          <cell r="H127" t="str">
            <v>G657A1</v>
          </cell>
          <cell r="I127" t="str">
            <v>노란색</v>
          </cell>
          <cell r="J127" t="str">
            <v>PVC</v>
          </cell>
          <cell r="K127" t="str">
            <v>청색</v>
          </cell>
          <cell r="L127" t="str">
            <v>녹색</v>
          </cell>
          <cell r="M127" t="str">
            <v>2.0mm</v>
          </cell>
          <cell r="N127" t="str">
            <v/>
          </cell>
          <cell r="O127">
            <v>13</v>
          </cell>
          <cell r="P127">
            <v>3521</v>
          </cell>
        </row>
        <row r="128">
          <cell r="A128" t="str">
            <v>14-K-047</v>
          </cell>
          <cell r="B128" t="str">
            <v>K9089337</v>
          </cell>
          <cell r="C128" t="str">
            <v>OJC-A1-LC/LC-MM-25-PC/PC-DP</v>
          </cell>
          <cell r="D128" t="str">
            <v>DP</v>
          </cell>
          <cell r="E128" t="str">
            <v>MM</v>
          </cell>
          <cell r="F128" t="str">
            <v>25M</v>
          </cell>
          <cell r="G128" t="str">
            <v>V0</v>
          </cell>
          <cell r="H128" t="str">
            <v>OM1</v>
          </cell>
          <cell r="I128" t="str">
            <v>오렌지색</v>
          </cell>
          <cell r="J128" t="str">
            <v>PVC</v>
          </cell>
          <cell r="K128" t="str">
            <v>청색 / 적색</v>
          </cell>
          <cell r="L128" t="str">
            <v>청색 / 적색</v>
          </cell>
          <cell r="M128" t="str">
            <v>2.0mm</v>
          </cell>
          <cell r="N128" t="str">
            <v/>
          </cell>
          <cell r="O128">
            <v>13</v>
          </cell>
          <cell r="P128">
            <v>6361</v>
          </cell>
        </row>
        <row r="129">
          <cell r="A129" t="str">
            <v>14-K-100</v>
          </cell>
          <cell r="B129" t="str">
            <v>K9089183</v>
          </cell>
          <cell r="C129" t="str">
            <v>OJC-A1-LC/LC-SM-45-PC/PC-DP</v>
          </cell>
          <cell r="D129" t="str">
            <v>DP</v>
          </cell>
          <cell r="E129" t="str">
            <v>SM</v>
          </cell>
          <cell r="F129" t="str">
            <v>45M</v>
          </cell>
          <cell r="G129" t="str">
            <v>V0</v>
          </cell>
          <cell r="H129" t="str">
            <v>G657A1</v>
          </cell>
          <cell r="I129" t="str">
            <v>노란색</v>
          </cell>
          <cell r="J129" t="str">
            <v>PVC</v>
          </cell>
          <cell r="K129" t="str">
            <v>청색 / 적색</v>
          </cell>
          <cell r="L129" t="str">
            <v>청색 / 적색</v>
          </cell>
          <cell r="M129" t="str">
            <v>2.0mm</v>
          </cell>
          <cell r="N129" t="str">
            <v/>
          </cell>
          <cell r="O129">
            <v>13</v>
          </cell>
          <cell r="P129">
            <v>10293</v>
          </cell>
        </row>
        <row r="130">
          <cell r="A130" t="str">
            <v>14-K-060</v>
          </cell>
          <cell r="B130" t="str">
            <v>K9089340</v>
          </cell>
          <cell r="C130" t="str">
            <v>OJC-A1-LC/LC-MM-40-PC/PC-DP</v>
          </cell>
          <cell r="D130" t="str">
            <v>DP</v>
          </cell>
          <cell r="E130" t="str">
            <v>MM</v>
          </cell>
          <cell r="F130" t="str">
            <v>40M</v>
          </cell>
          <cell r="G130" t="str">
            <v>V0</v>
          </cell>
          <cell r="H130" t="str">
            <v>OM1</v>
          </cell>
          <cell r="I130" t="str">
            <v>오렌지색</v>
          </cell>
          <cell r="J130" t="str">
            <v>PVC</v>
          </cell>
          <cell r="K130" t="str">
            <v>청색 / 적색</v>
          </cell>
          <cell r="L130" t="str">
            <v>청색 / 적색</v>
          </cell>
          <cell r="M130" t="str">
            <v>2.0mm</v>
          </cell>
          <cell r="N130" t="str">
            <v/>
          </cell>
          <cell r="O130">
            <v>12</v>
          </cell>
          <cell r="P130">
            <v>8384</v>
          </cell>
        </row>
        <row r="131">
          <cell r="A131" t="str">
            <v>14-K-156</v>
          </cell>
          <cell r="B131" t="str">
            <v>K9089325</v>
          </cell>
          <cell r="C131" t="str">
            <v>OJC-A1-SC/LC-MM-25-PC/PC-DP</v>
          </cell>
          <cell r="D131" t="str">
            <v>DP</v>
          </cell>
          <cell r="E131" t="str">
            <v>MM</v>
          </cell>
          <cell r="F131" t="str">
            <v>25M</v>
          </cell>
          <cell r="G131" t="str">
            <v>V0</v>
          </cell>
          <cell r="H131" t="str">
            <v>OM1</v>
          </cell>
          <cell r="I131" t="str">
            <v>오렌지색</v>
          </cell>
          <cell r="J131" t="str">
            <v>PVC</v>
          </cell>
          <cell r="K131" t="str">
            <v>청색 / 적색</v>
          </cell>
          <cell r="L131" t="str">
            <v>청색 / 적색</v>
          </cell>
          <cell r="M131" t="str">
            <v>2.0mm</v>
          </cell>
          <cell r="N131" t="str">
            <v/>
          </cell>
          <cell r="O131">
            <v>12</v>
          </cell>
          <cell r="P131">
            <v>5827</v>
          </cell>
        </row>
        <row r="132">
          <cell r="A132" t="str">
            <v>14-K-293</v>
          </cell>
          <cell r="B132" t="str">
            <v>K9089134</v>
          </cell>
          <cell r="C132" t="str">
            <v>OJC-A1-SC/SC-SM-12-PC/PC-DP</v>
          </cell>
          <cell r="D132" t="str">
            <v>DP</v>
          </cell>
          <cell r="E132" t="str">
            <v>SM</v>
          </cell>
          <cell r="F132" t="str">
            <v>12M</v>
          </cell>
          <cell r="G132" t="str">
            <v>V0</v>
          </cell>
          <cell r="H132" t="str">
            <v>G657A1</v>
          </cell>
          <cell r="I132" t="str">
            <v>노란색</v>
          </cell>
          <cell r="J132" t="str">
            <v>PVC</v>
          </cell>
          <cell r="K132" t="str">
            <v>청색 / 적색</v>
          </cell>
          <cell r="L132" t="str">
            <v>청색 / 적색</v>
          </cell>
          <cell r="M132" t="str">
            <v>2.0mm</v>
          </cell>
          <cell r="N132" t="str">
            <v/>
          </cell>
          <cell r="O132">
            <v>12</v>
          </cell>
          <cell r="P132">
            <v>4068</v>
          </cell>
        </row>
        <row r="133">
          <cell r="A133" t="str">
            <v>14-K-175</v>
          </cell>
          <cell r="B133" t="str">
            <v>K9089067</v>
          </cell>
          <cell r="C133" t="str">
            <v>OJC-A1-SC/LC-SM-10-PC/APC-SP</v>
          </cell>
          <cell r="D133" t="str">
            <v>SP</v>
          </cell>
          <cell r="E133" t="str">
            <v>SM</v>
          </cell>
          <cell r="F133" t="str">
            <v>10M</v>
          </cell>
          <cell r="G133" t="str">
            <v>V0</v>
          </cell>
          <cell r="H133" t="str">
            <v>G657A1</v>
          </cell>
          <cell r="I133" t="str">
            <v>노란색</v>
          </cell>
          <cell r="J133" t="str">
            <v>PVC</v>
          </cell>
          <cell r="K133" t="str">
            <v>청색</v>
          </cell>
          <cell r="L133" t="str">
            <v>녹색</v>
          </cell>
          <cell r="M133" t="str">
            <v>2.0mm</v>
          </cell>
          <cell r="N133" t="str">
            <v/>
          </cell>
          <cell r="O133">
            <v>11</v>
          </cell>
          <cell r="P133">
            <v>1637</v>
          </cell>
        </row>
        <row r="134">
          <cell r="A134" t="str">
            <v>14-K-845</v>
          </cell>
          <cell r="B134" t="str">
            <v>K9089070</v>
          </cell>
          <cell r="C134" t="str">
            <v>OJC-A1-SC/LC-SM-25-PC/APC-SP</v>
          </cell>
          <cell r="D134" t="str">
            <v>SP</v>
          </cell>
          <cell r="E134" t="str">
            <v>SM</v>
          </cell>
          <cell r="F134" t="str">
            <v>25M</v>
          </cell>
          <cell r="G134" t="str">
            <v>V0</v>
          </cell>
          <cell r="H134" t="str">
            <v>G657A1</v>
          </cell>
          <cell r="I134" t="str">
            <v>노란색</v>
          </cell>
          <cell r="J134" t="str">
            <v>PVC</v>
          </cell>
          <cell r="K134" t="str">
            <v>청색</v>
          </cell>
          <cell r="L134" t="str">
            <v>녹색</v>
          </cell>
          <cell r="M134" t="str">
            <v>2.0mm</v>
          </cell>
          <cell r="N134" t="str">
            <v/>
          </cell>
          <cell r="O134">
            <v>11</v>
          </cell>
          <cell r="P134">
            <v>2513</v>
          </cell>
        </row>
        <row r="135">
          <cell r="A135" t="str">
            <v>14-K-869</v>
          </cell>
          <cell r="B135" t="str">
            <v>K9089052</v>
          </cell>
          <cell r="C135" t="str">
            <v>OJC-A1-LC/LC-SM-35-PC/PC-SP</v>
          </cell>
          <cell r="D135" t="str">
            <v>SP</v>
          </cell>
          <cell r="E135" t="str">
            <v>SM</v>
          </cell>
          <cell r="F135" t="str">
            <v>35M</v>
          </cell>
          <cell r="G135" t="str">
            <v>V0</v>
          </cell>
          <cell r="H135" t="str">
            <v>G657A1</v>
          </cell>
          <cell r="I135" t="str">
            <v>노란색</v>
          </cell>
          <cell r="J135" t="str">
            <v>PVC</v>
          </cell>
          <cell r="K135" t="str">
            <v>청색</v>
          </cell>
          <cell r="L135" t="str">
            <v>청색</v>
          </cell>
          <cell r="M135" t="str">
            <v>2.0mm</v>
          </cell>
          <cell r="N135" t="str">
            <v/>
          </cell>
          <cell r="O135">
            <v>11</v>
          </cell>
          <cell r="P135">
            <v>4143</v>
          </cell>
        </row>
        <row r="136">
          <cell r="A136" t="str">
            <v>14-K-937</v>
          </cell>
          <cell r="B136" t="str">
            <v>K9089053</v>
          </cell>
          <cell r="C136" t="str">
            <v>OJC-A1-LC/LC-SM-40-PC/PC-SP</v>
          </cell>
          <cell r="D136" t="str">
            <v>SP</v>
          </cell>
          <cell r="E136" t="str">
            <v>SM</v>
          </cell>
          <cell r="F136" t="str">
            <v>40M</v>
          </cell>
          <cell r="G136" t="str">
            <v>V0</v>
          </cell>
          <cell r="H136" t="str">
            <v>G657A1</v>
          </cell>
          <cell r="I136" t="str">
            <v>노란색</v>
          </cell>
          <cell r="J136" t="str">
            <v>PVC</v>
          </cell>
          <cell r="K136" t="str">
            <v>청색</v>
          </cell>
          <cell r="L136" t="str">
            <v>청색</v>
          </cell>
          <cell r="M136" t="str">
            <v>2.0mm</v>
          </cell>
          <cell r="N136" t="str">
            <v/>
          </cell>
          <cell r="O136">
            <v>11</v>
          </cell>
          <cell r="P136">
            <v>4950</v>
          </cell>
        </row>
        <row r="137">
          <cell r="A137" t="str">
            <v>14-K-A195</v>
          </cell>
          <cell r="B137" t="str">
            <v>K9089054</v>
          </cell>
          <cell r="C137" t="str">
            <v>OJC-A1-LC/LC-SM-45-PC/PC-SP</v>
          </cell>
          <cell r="D137" t="str">
            <v>SP</v>
          </cell>
          <cell r="E137" t="str">
            <v>SM</v>
          </cell>
          <cell r="F137" t="str">
            <v>45M</v>
          </cell>
          <cell r="G137" t="str">
            <v>V0</v>
          </cell>
          <cell r="H137" t="str">
            <v>G657A1</v>
          </cell>
          <cell r="I137" t="str">
            <v>노란색</v>
          </cell>
          <cell r="J137" t="str">
            <v>PVC</v>
          </cell>
          <cell r="K137" t="str">
            <v>청색</v>
          </cell>
          <cell r="L137" t="str">
            <v>청색</v>
          </cell>
          <cell r="M137" t="str">
            <v>2.0mm</v>
          </cell>
          <cell r="N137" t="str">
            <v/>
          </cell>
          <cell r="O137">
            <v>11</v>
          </cell>
          <cell r="P137">
            <v>4875</v>
          </cell>
        </row>
        <row r="138">
          <cell r="A138" t="str">
            <v>14-K-148</v>
          </cell>
          <cell r="B138" t="str">
            <v>K9089322</v>
          </cell>
          <cell r="C138" t="str">
            <v>OJC-A1-SC/LC-MM-10-PC/PC-DP</v>
          </cell>
          <cell r="D138" t="str">
            <v>DP</v>
          </cell>
          <cell r="E138" t="str">
            <v>MM</v>
          </cell>
          <cell r="F138" t="str">
            <v>10M</v>
          </cell>
          <cell r="G138" t="str">
            <v>V0</v>
          </cell>
          <cell r="H138" t="str">
            <v>OM1</v>
          </cell>
          <cell r="I138" t="str">
            <v>오렌지색</v>
          </cell>
          <cell r="J138" t="str">
            <v>PVC</v>
          </cell>
          <cell r="K138" t="str">
            <v>청색 / 적색</v>
          </cell>
          <cell r="L138" t="str">
            <v>청색 / 적색</v>
          </cell>
          <cell r="M138" t="str">
            <v>2.0mm</v>
          </cell>
          <cell r="N138" t="str">
            <v/>
          </cell>
          <cell r="O138">
            <v>11</v>
          </cell>
          <cell r="P138">
            <v>4105</v>
          </cell>
        </row>
        <row r="139">
          <cell r="A139" t="str">
            <v>14-K-288</v>
          </cell>
          <cell r="B139" t="str">
            <v>K9089188</v>
          </cell>
          <cell r="C139" t="str">
            <v>OJC-A1-SC/SC-SM-10-PC/APC-DP</v>
          </cell>
          <cell r="D139" t="str">
            <v>DP</v>
          </cell>
          <cell r="E139" t="str">
            <v>SM</v>
          </cell>
          <cell r="F139" t="str">
            <v>10M</v>
          </cell>
          <cell r="G139" t="str">
            <v>V0</v>
          </cell>
          <cell r="H139" t="str">
            <v>G657A1</v>
          </cell>
          <cell r="I139" t="str">
            <v>노란색</v>
          </cell>
          <cell r="J139" t="str">
            <v>PVC</v>
          </cell>
          <cell r="K139" t="str">
            <v>청색 / 적색</v>
          </cell>
          <cell r="L139" t="str">
            <v>녹색 / 적색</v>
          </cell>
          <cell r="M139" t="str">
            <v>2.0mm</v>
          </cell>
          <cell r="N139" t="str">
            <v/>
          </cell>
          <cell r="O139">
            <v>11</v>
          </cell>
          <cell r="P139">
            <v>3782</v>
          </cell>
        </row>
        <row r="140">
          <cell r="A140" t="str">
            <v>14-K-308</v>
          </cell>
          <cell r="B140" t="str">
            <v>K9089140</v>
          </cell>
          <cell r="C140" t="str">
            <v>OJC-A1-SC/SC-SM-18-PC/PC-DP</v>
          </cell>
          <cell r="D140" t="str">
            <v>DP</v>
          </cell>
          <cell r="E140" t="str">
            <v>SM</v>
          </cell>
          <cell r="F140" t="str">
            <v>18M</v>
          </cell>
          <cell r="G140" t="str">
            <v>V0</v>
          </cell>
          <cell r="H140" t="str">
            <v>G657A1</v>
          </cell>
          <cell r="I140" t="str">
            <v>노란색</v>
          </cell>
          <cell r="J140" t="str">
            <v>PVC</v>
          </cell>
          <cell r="K140" t="str">
            <v>청색 / 적색</v>
          </cell>
          <cell r="L140" t="str">
            <v>청색 / 적색</v>
          </cell>
          <cell r="M140" t="str">
            <v>2.0mm</v>
          </cell>
          <cell r="N140" t="str">
            <v/>
          </cell>
          <cell r="O140">
            <v>11</v>
          </cell>
          <cell r="P140">
            <v>4999</v>
          </cell>
        </row>
        <row r="141">
          <cell r="A141" t="str">
            <v>14-K-319</v>
          </cell>
          <cell r="B141" t="str">
            <v>K9089190</v>
          </cell>
          <cell r="C141" t="str">
            <v>OJC-A1-SC/SC-SM-20-PC/APC-DP</v>
          </cell>
          <cell r="D141" t="str">
            <v>DP</v>
          </cell>
          <cell r="E141" t="str">
            <v>SM</v>
          </cell>
          <cell r="F141" t="str">
            <v>20M</v>
          </cell>
          <cell r="G141" t="str">
            <v>V0</v>
          </cell>
          <cell r="H141" t="str">
            <v>G657A1</v>
          </cell>
          <cell r="I141" t="str">
            <v>노란색</v>
          </cell>
          <cell r="J141" t="str">
            <v>PVC</v>
          </cell>
          <cell r="K141" t="str">
            <v>청색 / 적색</v>
          </cell>
          <cell r="L141" t="str">
            <v>녹색 / 적색</v>
          </cell>
          <cell r="M141" t="str">
            <v>2.0mm</v>
          </cell>
          <cell r="N141" t="str">
            <v/>
          </cell>
          <cell r="O141">
            <v>11</v>
          </cell>
          <cell r="P141">
            <v>5457</v>
          </cell>
        </row>
        <row r="142">
          <cell r="A142" t="str">
            <v>14-K-350</v>
          </cell>
          <cell r="B142" t="str">
            <v>K9089192</v>
          </cell>
          <cell r="C142" t="str">
            <v>OJC-A1-SC/SC-SM-30-PC/APC-DP</v>
          </cell>
          <cell r="D142" t="str">
            <v>DP</v>
          </cell>
          <cell r="E142" t="str">
            <v>SM</v>
          </cell>
          <cell r="F142" t="str">
            <v>30M</v>
          </cell>
          <cell r="G142" t="str">
            <v>V0</v>
          </cell>
          <cell r="H142" t="str">
            <v>G657A1</v>
          </cell>
          <cell r="I142" t="str">
            <v>노란색</v>
          </cell>
          <cell r="J142" t="str">
            <v>PVC</v>
          </cell>
          <cell r="K142" t="str">
            <v>청색 / 적색</v>
          </cell>
          <cell r="L142" t="str">
            <v>녹색 / 적색</v>
          </cell>
          <cell r="M142" t="str">
            <v>2.0mm</v>
          </cell>
          <cell r="N142" t="str">
            <v/>
          </cell>
          <cell r="O142">
            <v>11</v>
          </cell>
          <cell r="P142">
            <v>7057</v>
          </cell>
        </row>
        <row r="143">
          <cell r="A143" t="str">
            <v>14-K-057</v>
          </cell>
          <cell r="B143" t="str">
            <v>K9089339</v>
          </cell>
          <cell r="C143" t="str">
            <v>OJC-A1-LC/LC-MM-35-PC/PC-DP</v>
          </cell>
          <cell r="D143" t="str">
            <v>DP</v>
          </cell>
          <cell r="E143" t="str">
            <v>MM</v>
          </cell>
          <cell r="F143" t="str">
            <v>35M</v>
          </cell>
          <cell r="G143" t="str">
            <v>V0</v>
          </cell>
          <cell r="H143" t="str">
            <v>OM1</v>
          </cell>
          <cell r="I143" t="str">
            <v>오렌지색</v>
          </cell>
          <cell r="J143" t="str">
            <v>PVC</v>
          </cell>
          <cell r="K143" t="str">
            <v>청색 / 적색</v>
          </cell>
          <cell r="L143" t="str">
            <v>청색 / 적색</v>
          </cell>
          <cell r="M143" t="str">
            <v>2.0mm</v>
          </cell>
          <cell r="N143" t="str">
            <v/>
          </cell>
          <cell r="O143">
            <v>8</v>
          </cell>
          <cell r="P143">
            <v>7708</v>
          </cell>
        </row>
        <row r="144">
          <cell r="A144" t="str">
            <v>14-K-A172</v>
          </cell>
          <cell r="B144" t="str">
            <v>K9089196</v>
          </cell>
          <cell r="C144" t="str">
            <v>OJC-A1-SC/LC-SM-10-PC/APC-DP</v>
          </cell>
          <cell r="D144" t="str">
            <v>DP</v>
          </cell>
          <cell r="E144" t="str">
            <v>SM</v>
          </cell>
          <cell r="F144" t="str">
            <v>10M</v>
          </cell>
          <cell r="G144" t="str">
            <v>V0</v>
          </cell>
          <cell r="H144" t="str">
            <v>G657A1</v>
          </cell>
          <cell r="I144" t="str">
            <v>노란색</v>
          </cell>
          <cell r="J144" t="str">
            <v>PVC</v>
          </cell>
          <cell r="K144" t="str">
            <v>청색 / 적색</v>
          </cell>
          <cell r="L144" t="str">
            <v>녹색 / 적색</v>
          </cell>
          <cell r="M144" t="str">
            <v>2.0mm</v>
          </cell>
          <cell r="N144" t="str">
            <v/>
          </cell>
          <cell r="O144">
            <v>8</v>
          </cell>
          <cell r="P144">
            <v>3268</v>
          </cell>
        </row>
        <row r="145">
          <cell r="A145" t="str">
            <v>14-K-203</v>
          </cell>
          <cell r="B145" t="str">
            <v>K9089069</v>
          </cell>
          <cell r="C145" t="str">
            <v>OJC-A1-SC/LC-SM-20-PC/APC-SP</v>
          </cell>
          <cell r="D145" t="str">
            <v>SP</v>
          </cell>
          <cell r="E145" t="str">
            <v>SM</v>
          </cell>
          <cell r="F145" t="str">
            <v>20M</v>
          </cell>
          <cell r="G145" t="str">
            <v>V0</v>
          </cell>
          <cell r="H145" t="str">
            <v>G657A1</v>
          </cell>
          <cell r="I145" t="str">
            <v>노란색</v>
          </cell>
          <cell r="J145" t="str">
            <v>PVC</v>
          </cell>
          <cell r="K145" t="str">
            <v>청색</v>
          </cell>
          <cell r="L145" t="str">
            <v>녹색</v>
          </cell>
          <cell r="M145" t="str">
            <v>2.0mm</v>
          </cell>
          <cell r="N145" t="str">
            <v/>
          </cell>
          <cell r="O145">
            <v>7</v>
          </cell>
          <cell r="P145">
            <v>2221</v>
          </cell>
        </row>
        <row r="146">
          <cell r="A146" t="str">
            <v>14-K-104</v>
          </cell>
          <cell r="B146" t="str">
            <v>K9089055</v>
          </cell>
          <cell r="C146" t="str">
            <v>OJC-A1-LC/LC-SM-50-PC/PC-SP</v>
          </cell>
          <cell r="D146" t="str">
            <v>SP</v>
          </cell>
          <cell r="E146" t="str">
            <v>SM</v>
          </cell>
          <cell r="F146" t="str">
            <v>50M</v>
          </cell>
          <cell r="G146" t="str">
            <v>V0</v>
          </cell>
          <cell r="H146" t="str">
            <v>G657A1</v>
          </cell>
          <cell r="I146" t="str">
            <v>노란색</v>
          </cell>
          <cell r="J146" t="str">
            <v>PVC</v>
          </cell>
          <cell r="K146" t="str">
            <v>청색</v>
          </cell>
          <cell r="L146" t="str">
            <v>청색</v>
          </cell>
          <cell r="M146" t="str">
            <v>2.0mm</v>
          </cell>
          <cell r="N146" t="str">
            <v/>
          </cell>
          <cell r="O146">
            <v>6</v>
          </cell>
          <cell r="P146">
            <v>5239</v>
          </cell>
        </row>
        <row r="147">
          <cell r="A147" t="str">
            <v>14-K-235</v>
          </cell>
          <cell r="B147" t="str">
            <v>K9089066</v>
          </cell>
          <cell r="C147" t="str">
            <v>OJC-A1-SC/LC-SM-5-PC/APC-SP</v>
          </cell>
          <cell r="D147" t="str">
            <v>SP</v>
          </cell>
          <cell r="E147" t="str">
            <v>SM</v>
          </cell>
          <cell r="F147" t="str">
            <v>5M</v>
          </cell>
          <cell r="G147" t="str">
            <v>V0</v>
          </cell>
          <cell r="H147" t="str">
            <v>G657A1</v>
          </cell>
          <cell r="I147" t="str">
            <v>노란색</v>
          </cell>
          <cell r="J147" t="str">
            <v>PVC</v>
          </cell>
          <cell r="K147" t="str">
            <v>청색</v>
          </cell>
          <cell r="L147" t="str">
            <v>녹색</v>
          </cell>
          <cell r="M147" t="str">
            <v>2.0mm</v>
          </cell>
          <cell r="N147" t="str">
            <v/>
          </cell>
          <cell r="O147">
            <v>6</v>
          </cell>
          <cell r="P147">
            <v>1339</v>
          </cell>
        </row>
        <row r="148">
          <cell r="A148" t="str">
            <v>14-K-A67</v>
          </cell>
          <cell r="B148" t="str">
            <v>K9089071</v>
          </cell>
          <cell r="C148" t="str">
            <v>OJC-A1-SC/LC-SM-30-PC/APC-SP</v>
          </cell>
          <cell r="D148" t="str">
            <v>SP</v>
          </cell>
          <cell r="E148" t="str">
            <v>SM</v>
          </cell>
          <cell r="F148" t="str">
            <v>30M</v>
          </cell>
          <cell r="G148" t="str">
            <v>V0</v>
          </cell>
          <cell r="H148" t="str">
            <v>G657A1</v>
          </cell>
          <cell r="I148" t="str">
            <v>노란색</v>
          </cell>
          <cell r="J148" t="str">
            <v>PVC</v>
          </cell>
          <cell r="K148" t="str">
            <v>청색</v>
          </cell>
          <cell r="L148" t="str">
            <v>녹색</v>
          </cell>
          <cell r="M148" t="str">
            <v>2.0mm</v>
          </cell>
          <cell r="N148" t="str">
            <v/>
          </cell>
          <cell r="O148">
            <v>6</v>
          </cell>
          <cell r="P148">
            <v>2805</v>
          </cell>
        </row>
        <row r="149">
          <cell r="A149" t="str">
            <v>14-K-158</v>
          </cell>
          <cell r="B149" t="str">
            <v>K9089326</v>
          </cell>
          <cell r="C149" t="str">
            <v>OJC-A1-SC/LC-MM-30-PC/PC-DP</v>
          </cell>
          <cell r="D149" t="str">
            <v>DP</v>
          </cell>
          <cell r="E149" t="str">
            <v>MM</v>
          </cell>
          <cell r="F149" t="str">
            <v>30M</v>
          </cell>
          <cell r="G149" t="str">
            <v>V0</v>
          </cell>
          <cell r="H149" t="str">
            <v>OM1</v>
          </cell>
          <cell r="I149" t="str">
            <v>오렌지색</v>
          </cell>
          <cell r="J149" t="str">
            <v>PVC</v>
          </cell>
          <cell r="K149" t="str">
            <v>청색 / 적색</v>
          </cell>
          <cell r="L149" t="str">
            <v>청색 / 적색</v>
          </cell>
          <cell r="M149" t="str">
            <v>2.0mm</v>
          </cell>
          <cell r="N149" t="str">
            <v/>
          </cell>
          <cell r="O149">
            <v>6</v>
          </cell>
          <cell r="P149">
            <v>6502</v>
          </cell>
        </row>
        <row r="150">
          <cell r="A150" t="str">
            <v>14-K-216</v>
          </cell>
          <cell r="B150" t="str">
            <v>K9089199</v>
          </cell>
          <cell r="C150" t="str">
            <v>OJC-A1-SC/LC-SM-30-PC/APC-DP</v>
          </cell>
          <cell r="D150" t="str">
            <v>DP</v>
          </cell>
          <cell r="E150" t="str">
            <v>SM</v>
          </cell>
          <cell r="F150" t="str">
            <v>30M</v>
          </cell>
          <cell r="G150" t="str">
            <v>V0</v>
          </cell>
          <cell r="H150" t="str">
            <v>G657A1</v>
          </cell>
          <cell r="I150" t="str">
            <v>노란색</v>
          </cell>
          <cell r="J150" t="str">
            <v>PVC</v>
          </cell>
          <cell r="K150" t="str">
            <v>청색 / 적색</v>
          </cell>
          <cell r="L150" t="str">
            <v>녹색 / 적색</v>
          </cell>
          <cell r="M150" t="str">
            <v>2.0mm</v>
          </cell>
          <cell r="N150" t="str">
            <v/>
          </cell>
          <cell r="O150">
            <v>6</v>
          </cell>
          <cell r="P150">
            <v>5076</v>
          </cell>
        </row>
        <row r="151">
          <cell r="A151" t="str">
            <v>14-k-735</v>
          </cell>
          <cell r="B151" t="str">
            <v>K9089316</v>
          </cell>
          <cell r="C151" t="str">
            <v>OJC-A1-SC/SC-MM-40-PC/PC-DP</v>
          </cell>
          <cell r="D151" t="str">
            <v>DP</v>
          </cell>
          <cell r="E151" t="str">
            <v>MM</v>
          </cell>
          <cell r="F151" t="str">
            <v>40M</v>
          </cell>
          <cell r="G151" t="str">
            <v>V0</v>
          </cell>
          <cell r="H151" t="str">
            <v>OM1</v>
          </cell>
          <cell r="I151" t="str">
            <v>오렌지색</v>
          </cell>
          <cell r="J151" t="str">
            <v>PVC</v>
          </cell>
          <cell r="K151" t="str">
            <v>청색 / 적색</v>
          </cell>
          <cell r="L151" t="str">
            <v>청색 / 적색</v>
          </cell>
          <cell r="M151" t="str">
            <v>2.0mm</v>
          </cell>
          <cell r="N151" t="str">
            <v/>
          </cell>
          <cell r="O151">
            <v>6</v>
          </cell>
          <cell r="P151">
            <v>6990</v>
          </cell>
        </row>
        <row r="152">
          <cell r="A152" t="str">
            <v>14-K-A171</v>
          </cell>
          <cell r="B152" t="str">
            <v>K9089197</v>
          </cell>
          <cell r="C152" t="str">
            <v>OJC-A1-SC/LC-SM-15-PC/APC-DP</v>
          </cell>
          <cell r="D152" t="str">
            <v>DP</v>
          </cell>
          <cell r="E152" t="str">
            <v>SM</v>
          </cell>
          <cell r="F152" t="str">
            <v>15M</v>
          </cell>
          <cell r="G152" t="str">
            <v>V0</v>
          </cell>
          <cell r="H152" t="str">
            <v>G657A1</v>
          </cell>
          <cell r="I152" t="str">
            <v>노란색</v>
          </cell>
          <cell r="J152" t="str">
            <v>PVC</v>
          </cell>
          <cell r="K152" t="str">
            <v>청색 / 적색</v>
          </cell>
          <cell r="L152" t="str">
            <v>녹색 / 적색</v>
          </cell>
          <cell r="M152" t="str">
            <v>2.0mm</v>
          </cell>
          <cell r="N152" t="str">
            <v/>
          </cell>
          <cell r="O152">
            <v>6</v>
          </cell>
          <cell r="P152">
            <v>3873</v>
          </cell>
        </row>
        <row r="153">
          <cell r="A153" t="str">
            <v>14-K-045</v>
          </cell>
          <cell r="B153" t="str">
            <v>K9089288</v>
          </cell>
          <cell r="C153" t="str">
            <v>OJC-A1-LC/LC-MM-20-PC/PC-DP</v>
          </cell>
          <cell r="D153" t="str">
            <v>SP</v>
          </cell>
          <cell r="E153" t="str">
            <v>MM</v>
          </cell>
          <cell r="F153" t="str">
            <v>20M</v>
          </cell>
          <cell r="G153" t="str">
            <v>V0</v>
          </cell>
          <cell r="H153" t="str">
            <v>OM1</v>
          </cell>
          <cell r="I153" t="str">
            <v>오렌지색</v>
          </cell>
          <cell r="J153" t="str">
            <v>PVC</v>
          </cell>
          <cell r="K153" t="str">
            <v>청색</v>
          </cell>
          <cell r="L153" t="str">
            <v>청색</v>
          </cell>
          <cell r="M153" t="str">
            <v>2.0mm</v>
          </cell>
          <cell r="N153" t="str">
            <v/>
          </cell>
          <cell r="O153">
            <v>5</v>
          </cell>
          <cell r="P153">
            <v>2970</v>
          </cell>
        </row>
        <row r="154">
          <cell r="A154" t="str">
            <v>14-K-160</v>
          </cell>
          <cell r="B154" t="str">
            <v>K9089327</v>
          </cell>
          <cell r="C154" t="str">
            <v>OJC-A1-SC/LC-MM-35-PC/PC-DP</v>
          </cell>
          <cell r="D154" t="str">
            <v>DP</v>
          </cell>
          <cell r="E154" t="str">
            <v>MM</v>
          </cell>
          <cell r="F154" t="str">
            <v>35M</v>
          </cell>
          <cell r="G154" t="str">
            <v>V0</v>
          </cell>
          <cell r="H154" t="str">
            <v>OM1</v>
          </cell>
          <cell r="I154" t="str">
            <v>오렌지색</v>
          </cell>
          <cell r="J154" t="str">
            <v>PVC</v>
          </cell>
          <cell r="K154" t="str">
            <v>청색 / 적색</v>
          </cell>
          <cell r="L154" t="str">
            <v>청색 / 적색</v>
          </cell>
          <cell r="M154" t="str">
            <v>2.0mm</v>
          </cell>
          <cell r="N154" t="str">
            <v/>
          </cell>
          <cell r="O154">
            <v>5</v>
          </cell>
          <cell r="P154">
            <v>7177</v>
          </cell>
        </row>
        <row r="155">
          <cell r="A155" t="str">
            <v>14-K-163</v>
          </cell>
          <cell r="B155" t="str">
            <v>K9089328</v>
          </cell>
          <cell r="C155" t="str">
            <v>OJC-A1-SC/LC-MM-40-PC/PC-DP</v>
          </cell>
          <cell r="D155" t="str">
            <v>DP</v>
          </cell>
          <cell r="E155" t="str">
            <v>MM</v>
          </cell>
          <cell r="F155" t="str">
            <v>40M</v>
          </cell>
          <cell r="G155" t="str">
            <v>V0</v>
          </cell>
          <cell r="H155" t="str">
            <v>OM1</v>
          </cell>
          <cell r="I155" t="str">
            <v>오렌지색</v>
          </cell>
          <cell r="J155" t="str">
            <v>PVC</v>
          </cell>
          <cell r="K155" t="str">
            <v>청색 / 적색</v>
          </cell>
          <cell r="L155" t="str">
            <v>청색 / 적색</v>
          </cell>
          <cell r="M155" t="str">
            <v>2.0mm</v>
          </cell>
          <cell r="N155" t="str">
            <v/>
          </cell>
          <cell r="O155">
            <v>5</v>
          </cell>
          <cell r="P155">
            <v>7851</v>
          </cell>
        </row>
        <row r="156">
          <cell r="A156" t="str">
            <v>14-K-263</v>
          </cell>
          <cell r="B156" t="str">
            <v>K9089311</v>
          </cell>
          <cell r="C156" t="str">
            <v>OJC-A1-SC/SC-MM-15-PC/PC-DP</v>
          </cell>
          <cell r="D156" t="str">
            <v>DP</v>
          </cell>
          <cell r="E156" t="str">
            <v>MM</v>
          </cell>
          <cell r="F156" t="str">
            <v>15M</v>
          </cell>
          <cell r="G156" t="str">
            <v>V0</v>
          </cell>
          <cell r="H156" t="str">
            <v>OM1</v>
          </cell>
          <cell r="I156" t="str">
            <v>오렌지색</v>
          </cell>
          <cell r="J156" t="str">
            <v>PVC</v>
          </cell>
          <cell r="K156" t="str">
            <v>청색 / 적색</v>
          </cell>
          <cell r="L156" t="str">
            <v>청색 / 적색</v>
          </cell>
          <cell r="M156" t="str">
            <v>2.0mm</v>
          </cell>
          <cell r="N156" t="str">
            <v/>
          </cell>
          <cell r="O156">
            <v>5</v>
          </cell>
          <cell r="P156">
            <v>3867</v>
          </cell>
        </row>
        <row r="157">
          <cell r="A157" t="str">
            <v>14-K-267</v>
          </cell>
          <cell r="B157" t="str">
            <v>K9089312</v>
          </cell>
          <cell r="C157" t="str">
            <v>OJC-A1-SC/SC-MM-20-PC/PC-DP</v>
          </cell>
          <cell r="D157" t="str">
            <v>DP</v>
          </cell>
          <cell r="E157" t="str">
            <v>MM</v>
          </cell>
          <cell r="F157" t="str">
            <v>20M</v>
          </cell>
          <cell r="G157" t="str">
            <v>V0</v>
          </cell>
          <cell r="H157" t="str">
            <v>OM1</v>
          </cell>
          <cell r="I157" t="str">
            <v>오렌지색</v>
          </cell>
          <cell r="J157" t="str">
            <v>PVC</v>
          </cell>
          <cell r="K157" t="str">
            <v>청색 / 적색</v>
          </cell>
          <cell r="L157" t="str">
            <v>청색 / 적색</v>
          </cell>
          <cell r="M157" t="str">
            <v>2.0mm</v>
          </cell>
          <cell r="N157" t="str">
            <v/>
          </cell>
          <cell r="O157">
            <v>5</v>
          </cell>
          <cell r="P157">
            <v>4522</v>
          </cell>
        </row>
        <row r="158">
          <cell r="A158" t="str">
            <v>14-K-273</v>
          </cell>
          <cell r="B158" t="str">
            <v>K9089314</v>
          </cell>
          <cell r="C158" t="str">
            <v>OJC-A1-SC/SC-MM-30-PC/PC-DP</v>
          </cell>
          <cell r="D158" t="str">
            <v>DP</v>
          </cell>
          <cell r="E158" t="str">
            <v>MM</v>
          </cell>
          <cell r="F158" t="str">
            <v>30M</v>
          </cell>
          <cell r="G158" t="str">
            <v>V0</v>
          </cell>
          <cell r="H158" t="str">
            <v>OM1</v>
          </cell>
          <cell r="I158" t="str">
            <v>오렌지색</v>
          </cell>
          <cell r="J158" t="str">
            <v>PVC</v>
          </cell>
          <cell r="K158" t="str">
            <v>청색 / 적색</v>
          </cell>
          <cell r="L158" t="str">
            <v>청색 / 적색</v>
          </cell>
          <cell r="M158" t="str">
            <v>2.0mm</v>
          </cell>
          <cell r="N158" t="str">
            <v/>
          </cell>
          <cell r="O158">
            <v>5</v>
          </cell>
          <cell r="P158">
            <v>5759</v>
          </cell>
        </row>
        <row r="159">
          <cell r="A159" t="str">
            <v>14-K-B256</v>
          </cell>
          <cell r="B159" t="str">
            <v>K9089315</v>
          </cell>
          <cell r="C159" t="str">
            <v>OJC-A1-SC/SC-MM-35-PC/PC-DP</v>
          </cell>
          <cell r="D159" t="str">
            <v>DP</v>
          </cell>
          <cell r="E159" t="str">
            <v>MM</v>
          </cell>
          <cell r="F159" t="str">
            <v>35M</v>
          </cell>
          <cell r="G159" t="str">
            <v>V0</v>
          </cell>
          <cell r="H159" t="str">
            <v>OM1</v>
          </cell>
          <cell r="I159" t="str">
            <v>오렌지색</v>
          </cell>
          <cell r="J159" t="str">
            <v>PVC</v>
          </cell>
          <cell r="K159" t="str">
            <v>청색 / 적색</v>
          </cell>
          <cell r="L159" t="str">
            <v>청색 / 적색</v>
          </cell>
          <cell r="M159" t="str">
            <v>2.0mm</v>
          </cell>
          <cell r="N159" t="str">
            <v/>
          </cell>
          <cell r="O159">
            <v>5</v>
          </cell>
          <cell r="P159">
            <v>6377</v>
          </cell>
        </row>
        <row r="160">
          <cell r="A160" t="str">
            <v>14-K-269</v>
          </cell>
          <cell r="B160" t="str">
            <v>K9089313</v>
          </cell>
          <cell r="C160" t="str">
            <v>OJC-A1-SC/SC-MM-25-PC/PC-DP</v>
          </cell>
          <cell r="D160" t="str">
            <v>DP</v>
          </cell>
          <cell r="E160" t="str">
            <v>MM</v>
          </cell>
          <cell r="F160" t="str">
            <v>25M</v>
          </cell>
          <cell r="G160" t="str">
            <v>V0</v>
          </cell>
          <cell r="H160" t="str">
            <v>OM1</v>
          </cell>
          <cell r="I160" t="str">
            <v>오렌지색</v>
          </cell>
          <cell r="J160" t="str">
            <v>PVC</v>
          </cell>
          <cell r="K160" t="str">
            <v>청색 / 적색</v>
          </cell>
          <cell r="L160" t="str">
            <v>청색 / 적색</v>
          </cell>
          <cell r="M160" t="str">
            <v>2.0mm</v>
          </cell>
          <cell r="N160" t="str">
            <v/>
          </cell>
          <cell r="O160">
            <v>5</v>
          </cell>
          <cell r="P160">
            <v>5143</v>
          </cell>
        </row>
        <row r="161">
          <cell r="A161" t="str">
            <v>14-K-359</v>
          </cell>
          <cell r="B161" t="str">
            <v>K9089186</v>
          </cell>
          <cell r="C161" t="str">
            <v>OJC-A1-SC/SC-SM-3-PC/APC-DP</v>
          </cell>
          <cell r="D161" t="str">
            <v>DP</v>
          </cell>
          <cell r="E161" t="str">
            <v>SM</v>
          </cell>
          <cell r="F161" t="str">
            <v>3M</v>
          </cell>
          <cell r="G161" t="str">
            <v>V0</v>
          </cell>
          <cell r="H161" t="str">
            <v>G657A1</v>
          </cell>
          <cell r="I161" t="str">
            <v>노란색</v>
          </cell>
          <cell r="J161" t="str">
            <v>PVC</v>
          </cell>
          <cell r="K161" t="str">
            <v>청색 / 적색</v>
          </cell>
          <cell r="L161" t="str">
            <v>녹색 / 적색</v>
          </cell>
          <cell r="M161" t="str">
            <v>2.0mm</v>
          </cell>
          <cell r="N161" t="str">
            <v/>
          </cell>
          <cell r="O161">
            <v>4</v>
          </cell>
          <cell r="P161">
            <v>2605</v>
          </cell>
        </row>
        <row r="162">
          <cell r="A162" t="str">
            <v>14-K-142</v>
          </cell>
          <cell r="B162" t="str">
            <v>K9089081</v>
          </cell>
          <cell r="C162" t="str">
            <v>OJC-A1-SC/FC-SM-5-PC/PC-SP</v>
          </cell>
          <cell r="D162" t="str">
            <v>SP</v>
          </cell>
          <cell r="E162" t="str">
            <v>SM</v>
          </cell>
          <cell r="F162" t="str">
            <v>5M</v>
          </cell>
          <cell r="G162" t="str">
            <v>V0</v>
          </cell>
          <cell r="H162" t="str">
            <v>G657A1</v>
          </cell>
          <cell r="I162" t="str">
            <v>노란색</v>
          </cell>
          <cell r="J162" t="str">
            <v>PVC</v>
          </cell>
          <cell r="K162" t="str">
            <v>청색</v>
          </cell>
          <cell r="L162" t="str">
            <v>검정색</v>
          </cell>
          <cell r="M162" t="str">
            <v>2.0mm</v>
          </cell>
          <cell r="N162" t="str">
            <v/>
          </cell>
          <cell r="O162">
            <v>2</v>
          </cell>
          <cell r="P162">
            <v>1369</v>
          </cell>
        </row>
        <row r="163">
          <cell r="A163" t="str">
            <v>14-K-223</v>
          </cell>
          <cell r="B163" t="str">
            <v>K9089065</v>
          </cell>
          <cell r="C163" t="str">
            <v>OJC-A1-SC/LC-SM-3-PC/APC-SP</v>
          </cell>
          <cell r="D163" t="str">
            <v>SP</v>
          </cell>
          <cell r="E163" t="str">
            <v>SM</v>
          </cell>
          <cell r="F163" t="str">
            <v>3M</v>
          </cell>
          <cell r="G163" t="str">
            <v>V0</v>
          </cell>
          <cell r="H163" t="str">
            <v>G657A1</v>
          </cell>
          <cell r="I163" t="str">
            <v>노란색</v>
          </cell>
          <cell r="J163" t="str">
            <v>PVC</v>
          </cell>
          <cell r="K163" t="str">
            <v>청색</v>
          </cell>
          <cell r="L163" t="str">
            <v>녹색</v>
          </cell>
          <cell r="M163" t="str">
            <v>2.0mm</v>
          </cell>
          <cell r="N163" t="str">
            <v/>
          </cell>
          <cell r="O163">
            <v>2</v>
          </cell>
          <cell r="P163">
            <v>1218</v>
          </cell>
        </row>
        <row r="164">
          <cell r="A164" t="str">
            <v>14-K-340</v>
          </cell>
          <cell r="B164" t="str">
            <v>K9089020</v>
          </cell>
          <cell r="C164" t="str">
            <v>OJC-A1-SC/SC-SM-27-PC/PC-SP</v>
          </cell>
          <cell r="D164" t="str">
            <v>SP</v>
          </cell>
          <cell r="E164" t="str">
            <v>SM</v>
          </cell>
          <cell r="F164" t="str">
            <v>27M</v>
          </cell>
          <cell r="G164" t="str">
            <v>V0</v>
          </cell>
          <cell r="H164" t="str">
            <v>G657A1</v>
          </cell>
          <cell r="I164" t="str">
            <v>노란색</v>
          </cell>
          <cell r="J164" t="str">
            <v>PVC</v>
          </cell>
          <cell r="K164" t="str">
            <v>청색</v>
          </cell>
          <cell r="L164" t="str">
            <v>청색</v>
          </cell>
          <cell r="M164" t="str">
            <v>2.0mm</v>
          </cell>
          <cell r="N164" t="str">
            <v/>
          </cell>
          <cell r="O164">
            <v>2</v>
          </cell>
          <cell r="P164">
            <v>3213</v>
          </cell>
        </row>
        <row r="165">
          <cell r="A165" t="str">
            <v>14-K-753</v>
          </cell>
          <cell r="B165" t="str">
            <v>K9089094</v>
          </cell>
          <cell r="C165" t="str">
            <v>OJC-A1-SC/FC-SM-1-PC/APC-SP</v>
          </cell>
          <cell r="D165" t="str">
            <v>SP</v>
          </cell>
          <cell r="E165" t="str">
            <v>SM</v>
          </cell>
          <cell r="F165" t="str">
            <v>1M</v>
          </cell>
          <cell r="G165" t="str">
            <v>V0</v>
          </cell>
          <cell r="H165" t="str">
            <v>G657A1</v>
          </cell>
          <cell r="I165" t="str">
            <v>노란색</v>
          </cell>
          <cell r="J165" t="str">
            <v>PVC</v>
          </cell>
          <cell r="K165" t="str">
            <v>청색</v>
          </cell>
          <cell r="L165" t="str">
            <v>녹색</v>
          </cell>
          <cell r="M165" t="str">
            <v>2.0mm</v>
          </cell>
          <cell r="N165" t="str">
            <v/>
          </cell>
          <cell r="O165">
            <v>2</v>
          </cell>
          <cell r="P165">
            <v>1094</v>
          </cell>
        </row>
        <row r="166">
          <cell r="A166" t="str">
            <v>14-K-A190</v>
          </cell>
          <cell r="B166" t="str">
            <v>K9089294</v>
          </cell>
          <cell r="C166" t="str">
            <v>OJC-A1-SC/ST-MM-1-PC/PC-SP</v>
          </cell>
          <cell r="D166" t="str">
            <v>SP</v>
          </cell>
          <cell r="E166" t="str">
            <v>MM</v>
          </cell>
          <cell r="F166" t="str">
            <v>1M</v>
          </cell>
          <cell r="G166" t="str">
            <v>V0</v>
          </cell>
          <cell r="H166" t="str">
            <v>OM1</v>
          </cell>
          <cell r="I166" t="str">
            <v>오렌지색</v>
          </cell>
          <cell r="J166" t="str">
            <v>PVC</v>
          </cell>
          <cell r="K166" t="str">
            <v>청색</v>
          </cell>
          <cell r="L166" t="str">
            <v>검정색</v>
          </cell>
          <cell r="M166" t="str">
            <v>2.0mm</v>
          </cell>
          <cell r="N166" t="str">
            <v/>
          </cell>
          <cell r="O166">
            <v>2</v>
          </cell>
          <cell r="P166">
            <v>990</v>
          </cell>
        </row>
        <row r="167">
          <cell r="A167" t="str">
            <v>14-K-A225</v>
          </cell>
          <cell r="B167" t="str">
            <v>K9089082</v>
          </cell>
          <cell r="C167" t="str">
            <v>OJC-A1-SC/FC-SM-10-PC/PC-SP</v>
          </cell>
          <cell r="D167" t="str">
            <v>SP</v>
          </cell>
          <cell r="E167" t="str">
            <v>SM</v>
          </cell>
          <cell r="F167" t="str">
            <v>10M</v>
          </cell>
          <cell r="G167" t="str">
            <v>V0</v>
          </cell>
          <cell r="H167" t="str">
            <v>G657A1</v>
          </cell>
          <cell r="I167" t="str">
            <v>노란색</v>
          </cell>
          <cell r="J167" t="str">
            <v>PVC</v>
          </cell>
          <cell r="K167" t="str">
            <v>청색</v>
          </cell>
          <cell r="L167" t="str">
            <v>검정색</v>
          </cell>
          <cell r="M167" t="str">
            <v>2.0mm</v>
          </cell>
          <cell r="N167" t="str">
            <v/>
          </cell>
          <cell r="O167">
            <v>2</v>
          </cell>
          <cell r="P167">
            <v>1737</v>
          </cell>
        </row>
        <row r="168">
          <cell r="A168" t="str">
            <v>14-K-131</v>
          </cell>
          <cell r="B168" t="str">
            <v>K9089080</v>
          </cell>
          <cell r="C168" t="str">
            <v>OJC-A1-SC/FC-SM-1-PC/PC-SP</v>
          </cell>
          <cell r="D168" t="str">
            <v>SP</v>
          </cell>
          <cell r="E168" t="str">
            <v>SM</v>
          </cell>
          <cell r="F168" t="str">
            <v>1M</v>
          </cell>
          <cell r="G168" t="str">
            <v>V0</v>
          </cell>
          <cell r="H168" t="str">
            <v>G657A1</v>
          </cell>
          <cell r="I168" t="str">
            <v>노란색</v>
          </cell>
          <cell r="J168" t="str">
            <v>PVC</v>
          </cell>
          <cell r="K168" t="str">
            <v>청색</v>
          </cell>
          <cell r="L168" t="str">
            <v>검정색</v>
          </cell>
          <cell r="M168" t="str">
            <v>2.0mm</v>
          </cell>
          <cell r="N168" t="str">
            <v/>
          </cell>
          <cell r="O168">
            <v>2</v>
          </cell>
          <cell r="P168">
            <v>1183</v>
          </cell>
        </row>
        <row r="169">
          <cell r="A169" t="str">
            <v>14-K-042</v>
          </cell>
          <cell r="B169" t="str">
            <v>K9089329</v>
          </cell>
          <cell r="C169" t="str">
            <v>OJC-A1-LC/LC-MM-1-PC/PC-DP</v>
          </cell>
          <cell r="D169" t="str">
            <v>DP</v>
          </cell>
          <cell r="E169" t="str">
            <v>MM</v>
          </cell>
          <cell r="F169" t="str">
            <v>1M</v>
          </cell>
          <cell r="G169" t="str">
            <v>V0</v>
          </cell>
          <cell r="H169" t="str">
            <v>OM1</v>
          </cell>
          <cell r="I169" t="str">
            <v>오렌지색</v>
          </cell>
          <cell r="J169" t="str">
            <v>PVC</v>
          </cell>
          <cell r="K169" t="str">
            <v>청색 / 적색</v>
          </cell>
          <cell r="L169" t="str">
            <v>청색 / 적색</v>
          </cell>
          <cell r="M169" t="str">
            <v>2.0mm</v>
          </cell>
          <cell r="N169" t="str">
            <v/>
          </cell>
          <cell r="O169">
            <v>2</v>
          </cell>
          <cell r="P169">
            <v>2831</v>
          </cell>
        </row>
        <row r="170">
          <cell r="A170" t="str">
            <v>14-K-166</v>
          </cell>
          <cell r="B170" t="str">
            <v>K9089321</v>
          </cell>
          <cell r="C170" t="str">
            <v>OJC-A1-SC/LC-MM-5-PC/PC-DP</v>
          </cell>
          <cell r="D170" t="str">
            <v>DP</v>
          </cell>
          <cell r="E170" t="str">
            <v>MM</v>
          </cell>
          <cell r="F170" t="str">
            <v>5M</v>
          </cell>
          <cell r="G170" t="str">
            <v>V0</v>
          </cell>
          <cell r="H170" t="str">
            <v>OM1</v>
          </cell>
          <cell r="I170" t="str">
            <v>오렌지색</v>
          </cell>
          <cell r="J170" t="str">
            <v>PVC</v>
          </cell>
          <cell r="K170" t="str">
            <v>청색 / 적색</v>
          </cell>
          <cell r="L170" t="str">
            <v>청색 / 적색</v>
          </cell>
          <cell r="M170" t="str">
            <v>2.0mm</v>
          </cell>
          <cell r="N170" t="str">
            <v/>
          </cell>
          <cell r="O170">
            <v>2</v>
          </cell>
          <cell r="P170">
            <v>3130</v>
          </cell>
        </row>
        <row r="171">
          <cell r="A171" t="str">
            <v>14-K-297</v>
          </cell>
          <cell r="B171" t="str">
            <v>K9089136</v>
          </cell>
          <cell r="C171" t="str">
            <v>OJC-A1-SC/SC-SM-14-PC/PC-DP</v>
          </cell>
          <cell r="D171" t="str">
            <v>DP</v>
          </cell>
          <cell r="E171" t="str">
            <v>SM</v>
          </cell>
          <cell r="F171" t="str">
            <v>14M</v>
          </cell>
          <cell r="G171" t="str">
            <v>V0</v>
          </cell>
          <cell r="H171" t="str">
            <v>G657A1</v>
          </cell>
          <cell r="I171" t="str">
            <v>노란색</v>
          </cell>
          <cell r="J171" t="str">
            <v>PVC</v>
          </cell>
          <cell r="K171" t="str">
            <v>청색 / 적색</v>
          </cell>
          <cell r="L171" t="str">
            <v>청색 / 적색</v>
          </cell>
          <cell r="M171" t="str">
            <v>2.0mm</v>
          </cell>
          <cell r="N171" t="str">
            <v/>
          </cell>
          <cell r="O171">
            <v>2</v>
          </cell>
          <cell r="P171">
            <v>4324</v>
          </cell>
        </row>
        <row r="172">
          <cell r="A172" t="str">
            <v>14-K-048</v>
          </cell>
          <cell r="B172" t="str">
            <v>K9089289</v>
          </cell>
          <cell r="C172" t="str">
            <v>OJC-A1-LC/LC-MM-25-PC/PC-SP</v>
          </cell>
          <cell r="D172" t="str">
            <v>SP</v>
          </cell>
          <cell r="E172" t="str">
            <v>MM</v>
          </cell>
          <cell r="F172" t="str">
            <v>25M</v>
          </cell>
          <cell r="G172" t="str">
            <v>V0</v>
          </cell>
          <cell r="H172" t="str">
            <v>OM1</v>
          </cell>
          <cell r="I172" t="str">
            <v>오렌지색</v>
          </cell>
          <cell r="J172" t="str">
            <v>PVC</v>
          </cell>
          <cell r="K172" t="str">
            <v>청색</v>
          </cell>
          <cell r="L172" t="str">
            <v>청색</v>
          </cell>
          <cell r="M172" t="str">
            <v>2.0mm</v>
          </cell>
          <cell r="N172" t="str">
            <v/>
          </cell>
          <cell r="O172">
            <v>1</v>
          </cell>
          <cell r="P172">
            <v>3305</v>
          </cell>
        </row>
        <row r="173">
          <cell r="A173" t="str">
            <v>14-K-102</v>
          </cell>
          <cell r="B173" t="str">
            <v>K9089045</v>
          </cell>
          <cell r="C173" t="str">
            <v>OJC-A1-LC/LC-SM-4-PC/PC-SP</v>
          </cell>
          <cell r="D173" t="str">
            <v>SP</v>
          </cell>
          <cell r="E173" t="str">
            <v>SM</v>
          </cell>
          <cell r="F173" t="str">
            <v>4M</v>
          </cell>
          <cell r="G173" t="str">
            <v>V0</v>
          </cell>
          <cell r="H173" t="str">
            <v>G657A1</v>
          </cell>
          <cell r="I173" t="str">
            <v>노란색</v>
          </cell>
          <cell r="J173" t="str">
            <v>PVC</v>
          </cell>
          <cell r="K173" t="str">
            <v>청색</v>
          </cell>
          <cell r="L173" t="str">
            <v>청색</v>
          </cell>
          <cell r="M173" t="str">
            <v>2.0mm</v>
          </cell>
          <cell r="N173" t="str">
            <v/>
          </cell>
          <cell r="O173">
            <v>1</v>
          </cell>
          <cell r="P173">
            <v>1875</v>
          </cell>
        </row>
        <row r="174">
          <cell r="A174" t="str">
            <v>14-K-265</v>
          </cell>
          <cell r="B174" t="str">
            <v>K9089257</v>
          </cell>
          <cell r="C174" t="str">
            <v>OJC-A1-SC/SC-MM-1-PC/PC-SP</v>
          </cell>
          <cell r="D174" t="str">
            <v>SP</v>
          </cell>
          <cell r="E174" t="str">
            <v>MM</v>
          </cell>
          <cell r="F174" t="str">
            <v>1M</v>
          </cell>
          <cell r="G174" t="str">
            <v>V0</v>
          </cell>
          <cell r="H174" t="str">
            <v>OM1</v>
          </cell>
          <cell r="I174" t="str">
            <v>오렌지색</v>
          </cell>
          <cell r="J174" t="str">
            <v>PVC</v>
          </cell>
          <cell r="K174" t="str">
            <v>청색</v>
          </cell>
          <cell r="L174" t="str">
            <v>청색</v>
          </cell>
          <cell r="M174" t="str">
            <v>2.0mm</v>
          </cell>
          <cell r="N174" t="str">
            <v/>
          </cell>
          <cell r="O174">
            <v>1</v>
          </cell>
          <cell r="P174">
            <v>1083</v>
          </cell>
        </row>
        <row r="175">
          <cell r="A175" t="str">
            <v>14-K-305</v>
          </cell>
          <cell r="B175" t="str">
            <v>K9089009</v>
          </cell>
          <cell r="C175" t="str">
            <v>OJC-A1-SC/SC-SM-16-PC/PC-SP</v>
          </cell>
          <cell r="D175" t="str">
            <v>SP</v>
          </cell>
          <cell r="E175" t="str">
            <v>SM</v>
          </cell>
          <cell r="F175" t="str">
            <v>16M</v>
          </cell>
          <cell r="G175" t="str">
            <v>V0</v>
          </cell>
          <cell r="H175" t="str">
            <v>G657A1</v>
          </cell>
          <cell r="I175" t="str">
            <v>노란색</v>
          </cell>
          <cell r="J175" t="str">
            <v>PVC</v>
          </cell>
          <cell r="K175" t="str">
            <v>청색</v>
          </cell>
          <cell r="L175" t="str">
            <v>청색</v>
          </cell>
          <cell r="M175" t="str">
            <v>2.0mm</v>
          </cell>
          <cell r="N175" t="str">
            <v/>
          </cell>
          <cell r="O175">
            <v>1</v>
          </cell>
          <cell r="P175">
            <v>2364</v>
          </cell>
        </row>
        <row r="176">
          <cell r="A176" t="str">
            <v>14-K-324</v>
          </cell>
          <cell r="B176" t="str">
            <v>K9089014</v>
          </cell>
          <cell r="C176" t="str">
            <v>OJC-A1-SC/SC-SM-21-PC/PC-SP</v>
          </cell>
          <cell r="D176" t="str">
            <v>SP</v>
          </cell>
          <cell r="E176" t="str">
            <v>SM</v>
          </cell>
          <cell r="F176" t="str">
            <v>21M</v>
          </cell>
          <cell r="G176" t="str">
            <v>V0</v>
          </cell>
          <cell r="H176" t="str">
            <v>G657A1</v>
          </cell>
          <cell r="I176" t="str">
            <v>노란색</v>
          </cell>
          <cell r="J176" t="str">
            <v>PVC</v>
          </cell>
          <cell r="K176" t="str">
            <v>청색</v>
          </cell>
          <cell r="L176" t="str">
            <v>청색</v>
          </cell>
          <cell r="M176" t="str">
            <v>2.0mm</v>
          </cell>
          <cell r="N176" t="str">
            <v/>
          </cell>
          <cell r="O176">
            <v>1</v>
          </cell>
          <cell r="P176">
            <v>2745</v>
          </cell>
        </row>
        <row r="177">
          <cell r="A177" t="str">
            <v>14-K-330</v>
          </cell>
          <cell r="B177" t="str">
            <v>K9089017</v>
          </cell>
          <cell r="C177" t="str">
            <v>OJC-A1-SC/SC-SM-24-PC/PC-SP</v>
          </cell>
          <cell r="D177" t="str">
            <v>SP</v>
          </cell>
          <cell r="E177" t="str">
            <v>SM</v>
          </cell>
          <cell r="F177" t="str">
            <v>24M</v>
          </cell>
          <cell r="G177" t="str">
            <v>V0</v>
          </cell>
          <cell r="H177" t="str">
            <v>G657A1</v>
          </cell>
          <cell r="I177" t="str">
            <v>노란색</v>
          </cell>
          <cell r="J177" t="str">
            <v>PVC</v>
          </cell>
          <cell r="K177" t="str">
            <v>청색</v>
          </cell>
          <cell r="L177" t="str">
            <v>청색</v>
          </cell>
          <cell r="M177" t="str">
            <v>2.0mm</v>
          </cell>
          <cell r="N177" t="str">
            <v/>
          </cell>
          <cell r="O177">
            <v>1</v>
          </cell>
          <cell r="P177">
            <v>3008</v>
          </cell>
        </row>
        <row r="178">
          <cell r="A178" t="str">
            <v>14-K-335</v>
          </cell>
          <cell r="B178" t="str">
            <v>K9089062</v>
          </cell>
          <cell r="C178" t="str">
            <v>OJC-A1-SC/SC-SM-25-PC/APC-SP</v>
          </cell>
          <cell r="D178" t="str">
            <v>SP</v>
          </cell>
          <cell r="E178" t="str">
            <v>SM</v>
          </cell>
          <cell r="F178" t="str">
            <v>25M</v>
          </cell>
          <cell r="G178" t="str">
            <v>V0</v>
          </cell>
          <cell r="H178" t="str">
            <v>G657A1</v>
          </cell>
          <cell r="I178" t="str">
            <v>노란색</v>
          </cell>
          <cell r="J178" t="str">
            <v>PVC</v>
          </cell>
          <cell r="K178" t="str">
            <v>청색</v>
          </cell>
          <cell r="L178" t="str">
            <v>녹색</v>
          </cell>
          <cell r="M178" t="str">
            <v>2.0mm</v>
          </cell>
          <cell r="N178" t="str">
            <v/>
          </cell>
          <cell r="O178">
            <v>1</v>
          </cell>
          <cell r="P178">
            <v>3114</v>
          </cell>
        </row>
        <row r="179">
          <cell r="A179" t="str">
            <v>14-K-342</v>
          </cell>
          <cell r="B179" t="str">
            <v>K9089022</v>
          </cell>
          <cell r="C179" t="str">
            <v>OJC-A1-SC/SC-SM-29-PC/PC-SP</v>
          </cell>
          <cell r="D179" t="str">
            <v>SP</v>
          </cell>
          <cell r="E179" t="str">
            <v>SM</v>
          </cell>
          <cell r="F179" t="str">
            <v>29M</v>
          </cell>
          <cell r="G179" t="str">
            <v>V0</v>
          </cell>
          <cell r="H179" t="str">
            <v>G657A1</v>
          </cell>
          <cell r="I179" t="str">
            <v>노란색</v>
          </cell>
          <cell r="J179" t="str">
            <v>PVC</v>
          </cell>
          <cell r="K179" t="str">
            <v>청색</v>
          </cell>
          <cell r="L179" t="str">
            <v>청색</v>
          </cell>
          <cell r="M179" t="str">
            <v>2.0mm</v>
          </cell>
          <cell r="N179" t="str">
            <v/>
          </cell>
          <cell r="O179">
            <v>1</v>
          </cell>
          <cell r="P179">
            <v>3394</v>
          </cell>
        </row>
        <row r="180">
          <cell r="A180" t="str">
            <v>14-K-695</v>
          </cell>
          <cell r="B180" t="str">
            <v>K9089031</v>
          </cell>
          <cell r="C180" t="str">
            <v>OJC-A1-SC/LC-SM-4-PC/PC-SP</v>
          </cell>
          <cell r="D180" t="str">
            <v>SP</v>
          </cell>
          <cell r="E180" t="str">
            <v>SM</v>
          </cell>
          <cell r="F180" t="str">
            <v>4M</v>
          </cell>
          <cell r="G180" t="str">
            <v>V0</v>
          </cell>
          <cell r="H180" t="str">
            <v>G657A1</v>
          </cell>
          <cell r="I180" t="str">
            <v>노란색</v>
          </cell>
          <cell r="J180" t="str">
            <v>PVC</v>
          </cell>
          <cell r="K180" t="str">
            <v>청색</v>
          </cell>
          <cell r="L180" t="str">
            <v>청색</v>
          </cell>
          <cell r="M180" t="str">
            <v>2.0mm</v>
          </cell>
          <cell r="N180" t="str">
            <v/>
          </cell>
          <cell r="O180">
            <v>1</v>
          </cell>
          <cell r="P180">
            <v>1556</v>
          </cell>
        </row>
        <row r="181">
          <cell r="A181" t="str">
            <v>14-K-785</v>
          </cell>
          <cell r="B181" t="str">
            <v>K9089021</v>
          </cell>
          <cell r="C181" t="str">
            <v>OJC-A1-SC/SC-SM-28-PC/PC-SP</v>
          </cell>
          <cell r="D181" t="str">
            <v>SP</v>
          </cell>
          <cell r="E181" t="str">
            <v>SM</v>
          </cell>
          <cell r="F181" t="str">
            <v>28M</v>
          </cell>
          <cell r="G181" t="str">
            <v>V0</v>
          </cell>
          <cell r="H181" t="str">
            <v>G657A1</v>
          </cell>
          <cell r="I181" t="str">
            <v>노란색</v>
          </cell>
          <cell r="J181" t="str">
            <v>PVC</v>
          </cell>
          <cell r="K181" t="str">
            <v>청색</v>
          </cell>
          <cell r="L181" t="str">
            <v>청색</v>
          </cell>
          <cell r="M181" t="str">
            <v>2.0mm</v>
          </cell>
          <cell r="N181" t="str">
            <v/>
          </cell>
          <cell r="O181">
            <v>1</v>
          </cell>
          <cell r="P181">
            <v>3289</v>
          </cell>
        </row>
        <row r="182">
          <cell r="A182" t="str">
            <v>14-K-A53</v>
          </cell>
          <cell r="B182" t="str">
            <v>K9089064</v>
          </cell>
          <cell r="C182" t="str">
            <v>OJC-A1-SC/LC-SM-1-PC/APC-SP</v>
          </cell>
          <cell r="D182" t="str">
            <v>SP</v>
          </cell>
          <cell r="E182" t="str">
            <v>SM</v>
          </cell>
          <cell r="F182" t="str">
            <v>1M</v>
          </cell>
          <cell r="G182" t="str">
            <v>V0</v>
          </cell>
          <cell r="H182" t="str">
            <v>G657A1</v>
          </cell>
          <cell r="I182" t="str">
            <v>노란색</v>
          </cell>
          <cell r="J182" t="str">
            <v>PVC</v>
          </cell>
          <cell r="K182" t="str">
            <v>청색</v>
          </cell>
          <cell r="L182" t="str">
            <v>녹색</v>
          </cell>
          <cell r="M182" t="str">
            <v>2.0mm</v>
          </cell>
          <cell r="N182" t="str">
            <v/>
          </cell>
          <cell r="O182">
            <v>1</v>
          </cell>
          <cell r="P182">
            <v>1097</v>
          </cell>
        </row>
        <row r="183">
          <cell r="A183" t="str">
            <v>14-S-862</v>
          </cell>
          <cell r="B183" t="str">
            <v>K9089105</v>
          </cell>
          <cell r="C183" t="str">
            <v>OJC-A1-SC/LC-SM-2-APC/PC-SP</v>
          </cell>
          <cell r="D183" t="str">
            <v>SP</v>
          </cell>
          <cell r="E183" t="str">
            <v>SM</v>
          </cell>
          <cell r="F183" t="str">
            <v>2M</v>
          </cell>
          <cell r="G183" t="str">
            <v>V0</v>
          </cell>
          <cell r="H183" t="str">
            <v>G657A1</v>
          </cell>
          <cell r="I183" t="str">
            <v>노란색</v>
          </cell>
          <cell r="J183" t="str">
            <v>PVC</v>
          </cell>
          <cell r="K183" t="str">
            <v>녹색</v>
          </cell>
          <cell r="L183" t="str">
            <v>청색</v>
          </cell>
          <cell r="M183" t="str">
            <v>2.0mm</v>
          </cell>
          <cell r="N183" t="str">
            <v/>
          </cell>
          <cell r="O183">
            <v>1</v>
          </cell>
          <cell r="P183">
            <v>1344</v>
          </cell>
        </row>
        <row r="184">
          <cell r="A184" t="str">
            <v>14-K-043</v>
          </cell>
          <cell r="B184" t="str">
            <v>K9089281</v>
          </cell>
          <cell r="C184" t="str">
            <v>OJC-A1-LC/LC-MM-1-PC/PC-SP</v>
          </cell>
          <cell r="D184" t="str">
            <v>SP</v>
          </cell>
          <cell r="E184" t="str">
            <v>MM</v>
          </cell>
          <cell r="F184" t="str">
            <v>1M</v>
          </cell>
          <cell r="G184" t="str">
            <v>V0</v>
          </cell>
          <cell r="H184" t="str">
            <v>OM1</v>
          </cell>
          <cell r="I184" t="str">
            <v>오렌지색</v>
          </cell>
          <cell r="J184" t="str">
            <v>PVC</v>
          </cell>
          <cell r="K184" t="str">
            <v>청색</v>
          </cell>
          <cell r="L184" t="str">
            <v>청색</v>
          </cell>
          <cell r="M184" t="str">
            <v>2.0mm</v>
          </cell>
          <cell r="N184" t="str">
            <v/>
          </cell>
          <cell r="O184">
            <v>1</v>
          </cell>
          <cell r="P184">
            <v>1536</v>
          </cell>
        </row>
        <row r="185">
          <cell r="A185" t="str">
            <v>14-K-208</v>
          </cell>
          <cell r="B185" t="str">
            <v>K9089198</v>
          </cell>
          <cell r="C185" t="str">
            <v>OJC-A1-SC/LC-SM-25-PC/APC-DP</v>
          </cell>
          <cell r="D185" t="str">
            <v>DP</v>
          </cell>
          <cell r="E185" t="str">
            <v>SM</v>
          </cell>
          <cell r="F185" t="str">
            <v>25M</v>
          </cell>
          <cell r="G185" t="str">
            <v>V0</v>
          </cell>
          <cell r="H185" t="str">
            <v>G657A1</v>
          </cell>
          <cell r="I185" t="str">
            <v>노란색</v>
          </cell>
          <cell r="J185" t="str">
            <v>PVC</v>
          </cell>
          <cell r="K185" t="str">
            <v>청색 / 적색</v>
          </cell>
          <cell r="L185" t="str">
            <v>녹색 / 적색</v>
          </cell>
          <cell r="M185" t="str">
            <v>2.0mm</v>
          </cell>
          <cell r="N185" t="str">
            <v/>
          </cell>
          <cell r="O185">
            <v>1</v>
          </cell>
          <cell r="P185">
            <v>4477</v>
          </cell>
        </row>
        <row r="186">
          <cell r="A186" t="str">
            <v>14-K-261</v>
          </cell>
          <cell r="B186" t="str">
            <v>K9089310</v>
          </cell>
          <cell r="C186" t="str">
            <v>OJC-A1-SC/SC-MM-10-PC/PC-DP</v>
          </cell>
          <cell r="D186" t="str">
            <v>DP</v>
          </cell>
          <cell r="E186" t="str">
            <v>MM</v>
          </cell>
          <cell r="F186" t="str">
            <v>10M</v>
          </cell>
          <cell r="G186" t="str">
            <v>V0</v>
          </cell>
          <cell r="H186" t="str">
            <v>OM1</v>
          </cell>
          <cell r="I186" t="str">
            <v>오렌지색</v>
          </cell>
          <cell r="J186" t="str">
            <v>PVC</v>
          </cell>
          <cell r="K186" t="str">
            <v>청색 / 적색</v>
          </cell>
          <cell r="L186" t="str">
            <v>청색 / 적색</v>
          </cell>
          <cell r="M186" t="str">
            <v>2.0mm</v>
          </cell>
          <cell r="N186" t="str">
            <v/>
          </cell>
          <cell r="O186">
            <v>1</v>
          </cell>
          <cell r="P186">
            <v>3456</v>
          </cell>
        </row>
        <row r="187">
          <cell r="A187" t="str">
            <v>14-K-264</v>
          </cell>
          <cell r="B187" t="str">
            <v>K9089305</v>
          </cell>
          <cell r="C187" t="str">
            <v>OJC-A1-SC/SC-MM-1-PC/PC-DP</v>
          </cell>
          <cell r="D187" t="str">
            <v>DP</v>
          </cell>
          <cell r="E187" t="str">
            <v>MM</v>
          </cell>
          <cell r="F187" t="str">
            <v>1M</v>
          </cell>
          <cell r="G187" t="str">
            <v>V0</v>
          </cell>
          <cell r="H187" t="str">
            <v>OM1</v>
          </cell>
          <cell r="I187" t="str">
            <v>오렌지색</v>
          </cell>
          <cell r="J187" t="str">
            <v>PVC</v>
          </cell>
          <cell r="K187" t="str">
            <v>청색 / 적색</v>
          </cell>
          <cell r="L187" t="str">
            <v>청색 / 적색</v>
          </cell>
          <cell r="M187" t="str">
            <v>2.0mm</v>
          </cell>
          <cell r="N187" t="str">
            <v/>
          </cell>
          <cell r="O187">
            <v>1</v>
          </cell>
          <cell r="P187">
            <v>2151</v>
          </cell>
        </row>
        <row r="188">
          <cell r="A188" t="str">
            <v>14-K-270</v>
          </cell>
          <cell r="B188" t="str">
            <v>K9089306</v>
          </cell>
          <cell r="C188" t="str">
            <v>OJC-A1-SC/SC-MM-2-PC/PC-DP</v>
          </cell>
          <cell r="D188" t="str">
            <v>DP</v>
          </cell>
          <cell r="E188" t="str">
            <v>MM</v>
          </cell>
          <cell r="F188" t="str">
            <v>2M</v>
          </cell>
          <cell r="G188" t="str">
            <v>V0</v>
          </cell>
          <cell r="H188" t="str">
            <v>OM1</v>
          </cell>
          <cell r="I188" t="str">
            <v>오렌지색</v>
          </cell>
          <cell r="J188" t="str">
            <v>PVC</v>
          </cell>
          <cell r="K188" t="str">
            <v>청색 / 적색</v>
          </cell>
          <cell r="L188" t="str">
            <v>청색 / 적색</v>
          </cell>
          <cell r="M188" t="str">
            <v>2.0mm</v>
          </cell>
          <cell r="N188" t="str">
            <v/>
          </cell>
          <cell r="O188">
            <v>1</v>
          </cell>
          <cell r="P188">
            <v>2295</v>
          </cell>
        </row>
        <row r="189">
          <cell r="A189" t="str">
            <v>14-K-274</v>
          </cell>
          <cell r="B189" t="str">
            <v>K9089307</v>
          </cell>
          <cell r="C189" t="str">
            <v>OJC-A1-SC/SC-MM-3-PC/PC-DP</v>
          </cell>
          <cell r="D189" t="str">
            <v>DP</v>
          </cell>
          <cell r="E189" t="str">
            <v>MM</v>
          </cell>
          <cell r="F189" t="str">
            <v>3M</v>
          </cell>
          <cell r="G189" t="str">
            <v>V0</v>
          </cell>
          <cell r="H189" t="str">
            <v>OM1</v>
          </cell>
          <cell r="I189" t="str">
            <v>오렌지색</v>
          </cell>
          <cell r="J189" t="str">
            <v>PVC</v>
          </cell>
          <cell r="K189" t="str">
            <v>청색 / 적색</v>
          </cell>
          <cell r="L189" t="str">
            <v>청색 / 적색</v>
          </cell>
          <cell r="M189" t="str">
            <v>2.0mm</v>
          </cell>
          <cell r="N189" t="str">
            <v/>
          </cell>
          <cell r="O189">
            <v>1</v>
          </cell>
          <cell r="P189">
            <v>2256</v>
          </cell>
        </row>
        <row r="190">
          <cell r="A190" t="str">
            <v>14-K-276</v>
          </cell>
          <cell r="B190" t="str">
            <v>K9089309</v>
          </cell>
          <cell r="C190" t="str">
            <v>OJC-A1-SC/SC-MM-5-PC/PC-DP</v>
          </cell>
          <cell r="D190" t="str">
            <v>DP</v>
          </cell>
          <cell r="E190" t="str">
            <v>MM</v>
          </cell>
          <cell r="F190" t="str">
            <v>5M</v>
          </cell>
          <cell r="G190" t="str">
            <v>V0</v>
          </cell>
          <cell r="H190" t="str">
            <v>OM1</v>
          </cell>
          <cell r="I190" t="str">
            <v>오렌지색</v>
          </cell>
          <cell r="J190" t="str">
            <v>PVC</v>
          </cell>
          <cell r="K190" t="str">
            <v>청색 / 적색</v>
          </cell>
          <cell r="L190" t="str">
            <v>청색 / 적색</v>
          </cell>
          <cell r="M190" t="str">
            <v>2.0mm</v>
          </cell>
          <cell r="N190" t="str">
            <v/>
          </cell>
          <cell r="O190">
            <v>1</v>
          </cell>
          <cell r="P190">
            <v>2525</v>
          </cell>
        </row>
        <row r="191">
          <cell r="A191" t="str">
            <v>14-K-304</v>
          </cell>
          <cell r="B191" t="str">
            <v>K9089138</v>
          </cell>
          <cell r="C191" t="str">
            <v>OJC-A1-SC/SC-SM-16-PC/PC-DP</v>
          </cell>
          <cell r="D191" t="str">
            <v>DP</v>
          </cell>
          <cell r="E191" t="str">
            <v>SM</v>
          </cell>
          <cell r="F191" t="str">
            <v>16M</v>
          </cell>
          <cell r="G191" t="str">
            <v>V0</v>
          </cell>
          <cell r="H191" t="str">
            <v>G657A1</v>
          </cell>
          <cell r="I191" t="str">
            <v>노란색</v>
          </cell>
          <cell r="J191" t="str">
            <v>PVC</v>
          </cell>
          <cell r="K191" t="str">
            <v>청색 / 적색</v>
          </cell>
          <cell r="L191" t="str">
            <v>청색 / 적색</v>
          </cell>
          <cell r="M191" t="str">
            <v>2.0mm</v>
          </cell>
          <cell r="N191" t="str">
            <v/>
          </cell>
          <cell r="O191">
            <v>1</v>
          </cell>
          <cell r="P191">
            <v>4683</v>
          </cell>
        </row>
        <row r="192">
          <cell r="A192" t="str">
            <v>14-K-310</v>
          </cell>
          <cell r="B192" t="str">
            <v>K9089141</v>
          </cell>
          <cell r="C192" t="str">
            <v>OJC-A1-SC/SC-SM-19-PC/PC-DP</v>
          </cell>
          <cell r="D192" t="str">
            <v>DP</v>
          </cell>
          <cell r="E192" t="str">
            <v>SM</v>
          </cell>
          <cell r="F192" t="str">
            <v>19M</v>
          </cell>
          <cell r="G192" t="str">
            <v>V0</v>
          </cell>
          <cell r="H192" t="str">
            <v>G657A1</v>
          </cell>
          <cell r="I192" t="str">
            <v>노란색</v>
          </cell>
          <cell r="J192" t="str">
            <v>PVC</v>
          </cell>
          <cell r="K192" t="str">
            <v>청색 / 적색</v>
          </cell>
          <cell r="L192" t="str">
            <v>청색 / 적색</v>
          </cell>
          <cell r="M192" t="str">
            <v>2.0mm</v>
          </cell>
          <cell r="N192" t="str">
            <v/>
          </cell>
          <cell r="O192">
            <v>1</v>
          </cell>
          <cell r="P192">
            <v>5155</v>
          </cell>
        </row>
        <row r="193">
          <cell r="A193" t="str">
            <v>14-K-323</v>
          </cell>
          <cell r="B193" t="str">
            <v>K9089143</v>
          </cell>
          <cell r="C193" t="str">
            <v>OJC-A1-SC/SC-SM-21-PC/PC-DP</v>
          </cell>
          <cell r="D193" t="str">
            <v>DP</v>
          </cell>
          <cell r="E193" t="str">
            <v>SM</v>
          </cell>
          <cell r="F193" t="str">
            <v>21M</v>
          </cell>
          <cell r="G193" t="str">
            <v>V0</v>
          </cell>
          <cell r="H193" t="str">
            <v>G657A1</v>
          </cell>
          <cell r="I193" t="str">
            <v>노란색</v>
          </cell>
          <cell r="J193" t="str">
            <v>PVC</v>
          </cell>
          <cell r="K193" t="str">
            <v>청색 / 적색</v>
          </cell>
          <cell r="L193" t="str">
            <v>청색 / 적색</v>
          </cell>
          <cell r="M193" t="str">
            <v>2.0mm</v>
          </cell>
          <cell r="N193" t="str">
            <v/>
          </cell>
          <cell r="O193">
            <v>1</v>
          </cell>
          <cell r="P193">
            <v>5456</v>
          </cell>
        </row>
        <row r="194">
          <cell r="A194" t="str">
            <v>14-K-325</v>
          </cell>
          <cell r="B194" t="str">
            <v>K9089144</v>
          </cell>
          <cell r="C194" t="str">
            <v>OJC-A1-SC/SC-SM-22-PC/PC-DP</v>
          </cell>
          <cell r="D194" t="str">
            <v>DP</v>
          </cell>
          <cell r="E194" t="str">
            <v>SM</v>
          </cell>
          <cell r="F194" t="str">
            <v>22M</v>
          </cell>
          <cell r="G194" t="str">
            <v>V0</v>
          </cell>
          <cell r="H194" t="str">
            <v>G657A1</v>
          </cell>
          <cell r="I194" t="str">
            <v>노란색</v>
          </cell>
          <cell r="J194" t="str">
            <v>PVC</v>
          </cell>
          <cell r="K194" t="str">
            <v>청색 / 적색</v>
          </cell>
          <cell r="L194" t="str">
            <v>청색 / 적색</v>
          </cell>
          <cell r="M194" t="str">
            <v>2.0mm</v>
          </cell>
          <cell r="N194" t="str">
            <v/>
          </cell>
          <cell r="O194">
            <v>1</v>
          </cell>
          <cell r="P194">
            <v>5607</v>
          </cell>
        </row>
        <row r="195">
          <cell r="A195" t="str">
            <v>14-K-327</v>
          </cell>
          <cell r="B195" t="str">
            <v>K9089145</v>
          </cell>
          <cell r="C195" t="str">
            <v>OJC-A1-SC/SC-SM-23-PC/PC-DP</v>
          </cell>
          <cell r="D195" t="str">
            <v>DP</v>
          </cell>
          <cell r="E195" t="str">
            <v>SM</v>
          </cell>
          <cell r="F195" t="str">
            <v>23M</v>
          </cell>
          <cell r="G195" t="str">
            <v>V0</v>
          </cell>
          <cell r="H195" t="str">
            <v>G657A1</v>
          </cell>
          <cell r="I195" t="str">
            <v>노란색</v>
          </cell>
          <cell r="J195" t="str">
            <v>PVC</v>
          </cell>
          <cell r="K195" t="str">
            <v>청색 / 적색</v>
          </cell>
          <cell r="L195" t="str">
            <v>청색 / 적색</v>
          </cell>
          <cell r="M195" t="str">
            <v>2.0mm</v>
          </cell>
          <cell r="N195" t="str">
            <v/>
          </cell>
          <cell r="O195">
            <v>1</v>
          </cell>
          <cell r="P195">
            <v>5759</v>
          </cell>
        </row>
        <row r="196">
          <cell r="A196" t="str">
            <v>14-K-329</v>
          </cell>
          <cell r="B196" t="str">
            <v>K9089146</v>
          </cell>
          <cell r="C196" t="str">
            <v>OJC-A1-SC/SC-SM-24-PC/PC-DP</v>
          </cell>
          <cell r="D196" t="str">
            <v>DP</v>
          </cell>
          <cell r="E196" t="str">
            <v>SM</v>
          </cell>
          <cell r="F196" t="str">
            <v>24M</v>
          </cell>
          <cell r="G196" t="str">
            <v>V0</v>
          </cell>
          <cell r="H196" t="str">
            <v>G657A1</v>
          </cell>
          <cell r="I196" t="str">
            <v>노란색</v>
          </cell>
          <cell r="J196" t="str">
            <v>PVC</v>
          </cell>
          <cell r="K196" t="str">
            <v>청색 / 적색</v>
          </cell>
          <cell r="L196" t="str">
            <v>청색 / 적색</v>
          </cell>
          <cell r="M196" t="str">
            <v>2.0mm</v>
          </cell>
          <cell r="N196" t="str">
            <v/>
          </cell>
          <cell r="O196">
            <v>1</v>
          </cell>
          <cell r="P196">
            <v>5908</v>
          </cell>
        </row>
        <row r="197">
          <cell r="A197" t="str">
            <v>14-K-334</v>
          </cell>
          <cell r="B197" t="str">
            <v>K9089191</v>
          </cell>
          <cell r="C197" t="str">
            <v>OJC-A1-SC/SC-SM-25-PC/APC-DP</v>
          </cell>
          <cell r="D197" t="str">
            <v>DP</v>
          </cell>
          <cell r="E197" t="str">
            <v>SM</v>
          </cell>
          <cell r="F197" t="str">
            <v>25M</v>
          </cell>
          <cell r="G197" t="str">
            <v>V0</v>
          </cell>
          <cell r="H197" t="str">
            <v>G657A1</v>
          </cell>
          <cell r="I197" t="str">
            <v>노란색</v>
          </cell>
          <cell r="J197" t="str">
            <v>PVC</v>
          </cell>
          <cell r="K197" t="str">
            <v>청색 / 적색</v>
          </cell>
          <cell r="L197" t="str">
            <v>녹색 / 적색</v>
          </cell>
          <cell r="M197" t="str">
            <v>2.0mm</v>
          </cell>
          <cell r="N197" t="str">
            <v/>
          </cell>
          <cell r="O197">
            <v>1</v>
          </cell>
          <cell r="P197">
            <v>6291</v>
          </cell>
        </row>
        <row r="198">
          <cell r="A198" t="str">
            <v>14-K-338</v>
          </cell>
          <cell r="B198" t="str">
            <v>K9089148</v>
          </cell>
          <cell r="C198" t="str">
            <v>OJC-A1-SC/SC-SM-26-PC/PC-DP</v>
          </cell>
          <cell r="D198" t="str">
            <v>DP</v>
          </cell>
          <cell r="E198" t="str">
            <v>SM</v>
          </cell>
          <cell r="F198" t="str">
            <v>26M</v>
          </cell>
          <cell r="G198" t="str">
            <v>V0</v>
          </cell>
          <cell r="H198" t="str">
            <v>G657A1</v>
          </cell>
          <cell r="I198" t="str">
            <v>노란색</v>
          </cell>
          <cell r="J198" t="str">
            <v>PVC</v>
          </cell>
          <cell r="K198" t="str">
            <v>청색 / 적색</v>
          </cell>
          <cell r="L198" t="str">
            <v>청색 / 적색</v>
          </cell>
          <cell r="M198" t="str">
            <v>2.0mm</v>
          </cell>
          <cell r="N198" t="str">
            <v/>
          </cell>
          <cell r="O198">
            <v>1</v>
          </cell>
          <cell r="P198">
            <v>6223</v>
          </cell>
        </row>
        <row r="199">
          <cell r="A199" t="str">
            <v>14-K-339</v>
          </cell>
          <cell r="B199" t="str">
            <v>K9089149</v>
          </cell>
          <cell r="C199" t="str">
            <v>OJC-A1-SC/SC-SM-27-PC/PC-DP</v>
          </cell>
          <cell r="D199" t="str">
            <v>DP</v>
          </cell>
          <cell r="E199" t="str">
            <v>SM</v>
          </cell>
          <cell r="F199" t="str">
            <v>27M</v>
          </cell>
          <cell r="G199" t="str">
            <v>V0</v>
          </cell>
          <cell r="H199" t="str">
            <v>G657A1</v>
          </cell>
          <cell r="I199" t="str">
            <v>노란색</v>
          </cell>
          <cell r="J199" t="str">
            <v>PVC</v>
          </cell>
          <cell r="K199" t="str">
            <v>청색 / 적색</v>
          </cell>
          <cell r="L199" t="str">
            <v>청색 / 적색</v>
          </cell>
          <cell r="M199" t="str">
            <v>2.0mm</v>
          </cell>
          <cell r="N199" t="str">
            <v/>
          </cell>
          <cell r="O199">
            <v>1</v>
          </cell>
          <cell r="P199">
            <v>6319</v>
          </cell>
        </row>
        <row r="200">
          <cell r="A200" t="str">
            <v>14-K-341</v>
          </cell>
          <cell r="B200" t="str">
            <v>K9089150</v>
          </cell>
          <cell r="C200" t="str">
            <v>OJC-A1-SC/SC-SM-28-PC/PC-DP</v>
          </cell>
          <cell r="D200" t="str">
            <v>DP</v>
          </cell>
          <cell r="E200" t="str">
            <v>SM</v>
          </cell>
          <cell r="F200" t="str">
            <v>28M</v>
          </cell>
          <cell r="G200" t="str">
            <v>V0</v>
          </cell>
          <cell r="H200" t="str">
            <v>G657A1</v>
          </cell>
          <cell r="I200" t="str">
            <v>노란색</v>
          </cell>
          <cell r="J200" t="str">
            <v>PVC</v>
          </cell>
          <cell r="K200" t="str">
            <v>청색 / 적색</v>
          </cell>
          <cell r="L200" t="str">
            <v>청색 / 적색</v>
          </cell>
          <cell r="M200" t="str">
            <v>2.0mm</v>
          </cell>
          <cell r="N200" t="str">
            <v/>
          </cell>
          <cell r="O200">
            <v>1</v>
          </cell>
          <cell r="P200">
            <v>6470</v>
          </cell>
        </row>
        <row r="201">
          <cell r="A201" t="str">
            <v>14-K-376</v>
          </cell>
          <cell r="B201" t="str">
            <v>K9089187</v>
          </cell>
          <cell r="C201" t="str">
            <v>OJC-A1-SC/SC-SM-5-PC/APC-DP</v>
          </cell>
          <cell r="D201" t="str">
            <v>DP</v>
          </cell>
          <cell r="E201" t="str">
            <v>SM</v>
          </cell>
          <cell r="F201" t="str">
            <v>5M</v>
          </cell>
          <cell r="G201" t="str">
            <v>V0</v>
          </cell>
          <cell r="H201" t="str">
            <v>G657A1</v>
          </cell>
          <cell r="I201" t="str">
            <v>노란색</v>
          </cell>
          <cell r="J201" t="str">
            <v>PVC</v>
          </cell>
          <cell r="K201" t="str">
            <v>청색 / 적색</v>
          </cell>
          <cell r="L201" t="str">
            <v>녹색 / 적색</v>
          </cell>
          <cell r="M201" t="str">
            <v>2.0mm</v>
          </cell>
          <cell r="N201" t="str">
            <v/>
          </cell>
          <cell r="O201">
            <v>1</v>
          </cell>
          <cell r="P201">
            <v>2940</v>
          </cell>
        </row>
        <row r="202">
          <cell r="A202" t="str">
            <v>14-K-614</v>
          </cell>
          <cell r="B202" t="str">
            <v>K9089332</v>
          </cell>
          <cell r="C202" t="str">
            <v>OJC-A1-LC/LC-MM-4-PC/PC-DP</v>
          </cell>
          <cell r="D202" t="str">
            <v>DP</v>
          </cell>
          <cell r="E202" t="str">
            <v>MM</v>
          </cell>
          <cell r="F202" t="str">
            <v>4M</v>
          </cell>
          <cell r="G202" t="str">
            <v>V0</v>
          </cell>
          <cell r="H202" t="str">
            <v>OM1</v>
          </cell>
          <cell r="I202" t="str">
            <v>오렌지색</v>
          </cell>
          <cell r="J202" t="str">
            <v>PVC</v>
          </cell>
          <cell r="K202" t="str">
            <v>청색 / 적색</v>
          </cell>
          <cell r="L202" t="str">
            <v>청색 / 적색</v>
          </cell>
          <cell r="M202" t="str">
            <v>2.0mm</v>
          </cell>
          <cell r="N202" t="str">
            <v/>
          </cell>
          <cell r="O202">
            <v>1</v>
          </cell>
          <cell r="P202">
            <v>3197</v>
          </cell>
        </row>
        <row r="203">
          <cell r="A203" t="str">
            <v>14-K-A191</v>
          </cell>
          <cell r="B203" t="str">
            <v>K9089151</v>
          </cell>
          <cell r="C203" t="str">
            <v>OJC-A1-SC/SC-SM-29-PC/PC-DP</v>
          </cell>
          <cell r="D203" t="str">
            <v>DP</v>
          </cell>
          <cell r="E203" t="str">
            <v>SM</v>
          </cell>
          <cell r="F203" t="str">
            <v>29M</v>
          </cell>
          <cell r="G203" t="str">
            <v>V0</v>
          </cell>
          <cell r="H203" t="str">
            <v>G657A1</v>
          </cell>
          <cell r="I203" t="str">
            <v>노란색</v>
          </cell>
          <cell r="J203" t="str">
            <v>PVC</v>
          </cell>
          <cell r="K203" t="str">
            <v>청색 / 적색</v>
          </cell>
          <cell r="L203" t="str">
            <v>청색 / 적색</v>
          </cell>
          <cell r="M203" t="str">
            <v>2.0mm</v>
          </cell>
          <cell r="N203" t="str">
            <v/>
          </cell>
          <cell r="O203">
            <v>1</v>
          </cell>
          <cell r="P203">
            <v>6624</v>
          </cell>
        </row>
        <row r="204">
          <cell r="A204" t="str">
            <v>14-K-A193</v>
          </cell>
          <cell r="B204" t="str">
            <v>K9089200</v>
          </cell>
          <cell r="C204" t="str">
            <v>OJC-A1-SC/LC-SM-35-PC/APC-DP</v>
          </cell>
          <cell r="D204" t="str">
            <v>DP</v>
          </cell>
          <cell r="E204" t="str">
            <v>SM</v>
          </cell>
          <cell r="F204" t="str">
            <v>35M</v>
          </cell>
          <cell r="G204" t="str">
            <v>V0</v>
          </cell>
          <cell r="H204" t="str">
            <v>G657A1</v>
          </cell>
          <cell r="I204" t="str">
            <v>노란색</v>
          </cell>
          <cell r="J204" t="str">
            <v>PVC</v>
          </cell>
          <cell r="K204" t="str">
            <v>청색 / 적색</v>
          </cell>
          <cell r="L204" t="str">
            <v>녹색 / 적색</v>
          </cell>
          <cell r="M204" t="str">
            <v>2.0mm</v>
          </cell>
          <cell r="N204" t="str">
            <v/>
          </cell>
          <cell r="O204">
            <v>1</v>
          </cell>
          <cell r="P204">
            <v>7762</v>
          </cell>
        </row>
        <row r="205">
          <cell r="A205" t="str">
            <v>14-K-A194</v>
          </cell>
          <cell r="B205" t="str">
            <v>K9089240</v>
          </cell>
          <cell r="C205" t="str">
            <v>OJC-A1-SC/LC-SM-1-APC/PC-DP</v>
          </cell>
          <cell r="D205" t="str">
            <v>DP</v>
          </cell>
          <cell r="E205" t="str">
            <v>SM</v>
          </cell>
          <cell r="F205" t="str">
            <v>1M</v>
          </cell>
          <cell r="G205" t="str">
            <v>V0</v>
          </cell>
          <cell r="H205" t="str">
            <v>G657A1</v>
          </cell>
          <cell r="I205" t="str">
            <v>노란색</v>
          </cell>
          <cell r="J205" t="str">
            <v>PVC</v>
          </cell>
          <cell r="K205" t="str">
            <v>녹색 / 적색</v>
          </cell>
          <cell r="L205" t="str">
            <v>청색 / 적색</v>
          </cell>
          <cell r="M205" t="str">
            <v>2.0mm</v>
          </cell>
          <cell r="N205" t="str">
            <v/>
          </cell>
          <cell r="O205">
            <v>1</v>
          </cell>
          <cell r="P205">
            <v>2641</v>
          </cell>
        </row>
        <row r="206">
          <cell r="A206" t="str">
            <v>14-K-A208</v>
          </cell>
          <cell r="B206" t="str">
            <v>K9089308</v>
          </cell>
          <cell r="C206" t="str">
            <v>OJC-A1-SC/SC-MM-4-PC/PC-DP</v>
          </cell>
          <cell r="D206" t="str">
            <v>DP</v>
          </cell>
          <cell r="E206" t="str">
            <v>MM</v>
          </cell>
          <cell r="F206" t="str">
            <v>4M</v>
          </cell>
          <cell r="G206" t="str">
            <v>V0</v>
          </cell>
          <cell r="H206" t="str">
            <v>OM1</v>
          </cell>
          <cell r="I206" t="str">
            <v>오렌지색</v>
          </cell>
          <cell r="J206" t="str">
            <v>PVC</v>
          </cell>
          <cell r="K206" t="str">
            <v>청색 / 적색</v>
          </cell>
          <cell r="L206" t="str">
            <v>청색 / 적색</v>
          </cell>
          <cell r="M206" t="str">
            <v>2.0mm</v>
          </cell>
          <cell r="N206" t="str">
            <v/>
          </cell>
          <cell r="O206">
            <v>1</v>
          </cell>
          <cell r="P206">
            <v>2156</v>
          </cell>
        </row>
        <row r="207">
          <cell r="A207" t="str">
            <v>14-K-A215</v>
          </cell>
          <cell r="B207" t="str">
            <v>K9089320</v>
          </cell>
          <cell r="C207" t="str">
            <v>OJC-A1-SC/LC-MM-4-PC/PC-DP</v>
          </cell>
          <cell r="D207" t="str">
            <v>DP</v>
          </cell>
          <cell r="E207" t="str">
            <v>MM</v>
          </cell>
          <cell r="F207" t="str">
            <v>4M</v>
          </cell>
          <cell r="G207" t="str">
            <v>V0</v>
          </cell>
          <cell r="H207" t="str">
            <v>OM1</v>
          </cell>
          <cell r="I207" t="str">
            <v>오렌지색</v>
          </cell>
          <cell r="J207" t="str">
            <v>PVC</v>
          </cell>
          <cell r="K207" t="str">
            <v>청색 / 적색</v>
          </cell>
          <cell r="L207" t="str">
            <v>청색 / 적색</v>
          </cell>
          <cell r="M207" t="str">
            <v>2.0mm</v>
          </cell>
          <cell r="N207" t="str">
            <v/>
          </cell>
          <cell r="O207">
            <v>1</v>
          </cell>
          <cell r="P207">
            <v>2708</v>
          </cell>
        </row>
        <row r="208">
          <cell r="A208" t="str">
            <v>14-K-A52</v>
          </cell>
          <cell r="B208" t="str">
            <v>K9089245</v>
          </cell>
          <cell r="C208" t="str">
            <v>OJC-A1-SC/SC-SM-1-APC/APC-DP</v>
          </cell>
          <cell r="D208" t="str">
            <v>DP</v>
          </cell>
          <cell r="E208" t="str">
            <v>SM</v>
          </cell>
          <cell r="F208" t="str">
            <v>1M</v>
          </cell>
          <cell r="G208" t="str">
            <v>V0</v>
          </cell>
          <cell r="H208" t="str">
            <v>G657A1</v>
          </cell>
          <cell r="I208" t="str">
            <v>노란색</v>
          </cell>
          <cell r="J208" t="str">
            <v>PVC</v>
          </cell>
          <cell r="K208" t="str">
            <v>녹색 / 적색</v>
          </cell>
          <cell r="L208" t="str">
            <v>녹색 / 적색</v>
          </cell>
          <cell r="M208" t="str">
            <v>2.0mm</v>
          </cell>
          <cell r="N208" t="str">
            <v/>
          </cell>
          <cell r="O208">
            <v>1</v>
          </cell>
          <cell r="P208">
            <v>2224</v>
          </cell>
        </row>
        <row r="209">
          <cell r="A209" t="str">
            <v>14-K-A66</v>
          </cell>
          <cell r="B209" t="str">
            <v>K9089193</v>
          </cell>
          <cell r="C209" t="str">
            <v>OJC-A1-SC/LC-SM-1-PC/APC-DP</v>
          </cell>
          <cell r="D209" t="str">
            <v>DP</v>
          </cell>
          <cell r="E209" t="str">
            <v>SM</v>
          </cell>
          <cell r="F209" t="str">
            <v>1M</v>
          </cell>
          <cell r="G209" t="str">
            <v>V0</v>
          </cell>
          <cell r="H209" t="str">
            <v>G657A1</v>
          </cell>
          <cell r="I209" t="str">
            <v>노란색</v>
          </cell>
          <cell r="J209" t="str">
            <v>PVC</v>
          </cell>
          <cell r="K209" t="str">
            <v>청색 / 적색</v>
          </cell>
          <cell r="L209" t="str">
            <v>녹색 / 적색</v>
          </cell>
          <cell r="M209" t="str">
            <v>2.0mm</v>
          </cell>
          <cell r="N209" t="str">
            <v/>
          </cell>
          <cell r="O209">
            <v>1</v>
          </cell>
          <cell r="P209">
            <v>2178</v>
          </cell>
        </row>
        <row r="210">
          <cell r="A210" t="str">
            <v>14-K-499</v>
          </cell>
          <cell r="B210" t="str">
            <v>K9089452</v>
          </cell>
          <cell r="C210" t="str">
            <v>OJC-C2-SC/SC-SM-1-PC/PC-8C</v>
          </cell>
          <cell r="D210" t="str">
            <v>MOJC</v>
          </cell>
          <cell r="E210" t="str">
            <v>SM</v>
          </cell>
          <cell r="F210" t="str">
            <v>1M</v>
          </cell>
          <cell r="G210" t="str">
            <v>V0</v>
          </cell>
          <cell r="H210" t="str">
            <v>G657A1</v>
          </cell>
          <cell r="I210" t="str">
            <v>노란색</v>
          </cell>
          <cell r="J210" t="str">
            <v>LSZH</v>
          </cell>
          <cell r="K210" t="str">
            <v>청색</v>
          </cell>
          <cell r="L210" t="str">
            <v>청색</v>
          </cell>
          <cell r="M210" t="str">
            <v>9.2mm 이하</v>
          </cell>
          <cell r="N210" t="str">
            <v/>
          </cell>
          <cell r="O210">
            <v>458</v>
          </cell>
          <cell r="P210">
            <v>10963</v>
          </cell>
        </row>
        <row r="211">
          <cell r="A211" t="str">
            <v>14-K-497</v>
          </cell>
          <cell r="B211" t="str">
            <v>K9094339</v>
          </cell>
          <cell r="C211" t="str">
            <v>OJC-C2-SC/SC-SM-1-PC/PC-16C</v>
          </cell>
          <cell r="D211" t="str">
            <v>MOJC</v>
          </cell>
          <cell r="E211" t="str">
            <v>SM</v>
          </cell>
          <cell r="F211" t="str">
            <v>1M</v>
          </cell>
          <cell r="G211" t="str">
            <v>V0</v>
          </cell>
          <cell r="H211" t="str">
            <v>G657A1</v>
          </cell>
          <cell r="I211" t="str">
            <v>노란색</v>
          </cell>
          <cell r="J211" t="str">
            <v>LSZH</v>
          </cell>
          <cell r="K211" t="str">
            <v>청색</v>
          </cell>
          <cell r="L211" t="str">
            <v>청색</v>
          </cell>
          <cell r="M211" t="str">
            <v>9.8mm 이하</v>
          </cell>
          <cell r="N211" t="str">
            <v/>
          </cell>
          <cell r="O211">
            <v>436</v>
          </cell>
          <cell r="P211">
            <v>20110</v>
          </cell>
        </row>
        <row r="212">
          <cell r="A212" t="str">
            <v>14-K-498</v>
          </cell>
          <cell r="B212" t="str">
            <v>K9094342</v>
          </cell>
          <cell r="C212" t="str">
            <v>OJC-C2-SC/SC-SM-1-PC/PC-20C</v>
          </cell>
          <cell r="D212" t="str">
            <v>MOJC</v>
          </cell>
          <cell r="E212" t="str">
            <v>SM</v>
          </cell>
          <cell r="F212" t="str">
            <v>1M</v>
          </cell>
          <cell r="G212" t="str">
            <v>V0</v>
          </cell>
          <cell r="H212" t="str">
            <v>G657A1</v>
          </cell>
          <cell r="I212" t="str">
            <v>노란색</v>
          </cell>
          <cell r="J212" t="str">
            <v>LSZH</v>
          </cell>
          <cell r="K212" t="str">
            <v>청색</v>
          </cell>
          <cell r="L212" t="str">
            <v>청색</v>
          </cell>
          <cell r="M212" t="str">
            <v>9.8mm 이하</v>
          </cell>
          <cell r="N212" t="str">
            <v/>
          </cell>
          <cell r="O212">
            <v>282</v>
          </cell>
          <cell r="P212">
            <v>24472</v>
          </cell>
        </row>
        <row r="213">
          <cell r="A213" t="str">
            <v>14-K-B352</v>
          </cell>
          <cell r="B213" t="str">
            <v>K9089496</v>
          </cell>
          <cell r="C213" t="str">
            <v>Distribution-CABLE-SM-4C</v>
          </cell>
          <cell r="D213" t="str">
            <v>MOJC</v>
          </cell>
          <cell r="E213" t="str">
            <v>SM</v>
          </cell>
          <cell r="F213" t="str">
            <v>-</v>
          </cell>
          <cell r="G213" t="str">
            <v>V0</v>
          </cell>
          <cell r="H213" t="str">
            <v>G657A1</v>
          </cell>
          <cell r="I213" t="str">
            <v>노란색</v>
          </cell>
          <cell r="J213" t="str">
            <v>LSZH</v>
          </cell>
          <cell r="K213">
            <v>0</v>
          </cell>
          <cell r="L213">
            <v>0</v>
          </cell>
          <cell r="M213" t="str">
            <v>6.8mm 이하</v>
          </cell>
          <cell r="N213" t="str">
            <v/>
          </cell>
          <cell r="O213">
            <v>192</v>
          </cell>
          <cell r="P213">
            <v>332</v>
          </cell>
        </row>
        <row r="214">
          <cell r="A214" t="str">
            <v>14-K-970</v>
          </cell>
          <cell r="B214" t="str">
            <v>K9186716</v>
          </cell>
          <cell r="C214" t="str">
            <v>Distribution-CABLE-SM-24C</v>
          </cell>
          <cell r="D214" t="str">
            <v>MOJC</v>
          </cell>
          <cell r="E214" t="str">
            <v>SM</v>
          </cell>
          <cell r="F214" t="str">
            <v>-</v>
          </cell>
          <cell r="G214" t="str">
            <v>V0</v>
          </cell>
          <cell r="H214" t="str">
            <v>G657A1</v>
          </cell>
          <cell r="I214" t="str">
            <v>노란색</v>
          </cell>
          <cell r="J214" t="str">
            <v>LSZH</v>
          </cell>
          <cell r="K214">
            <v>0</v>
          </cell>
          <cell r="L214">
            <v>0</v>
          </cell>
          <cell r="M214" t="str">
            <v>9.8mm 이하</v>
          </cell>
          <cell r="N214" t="str">
            <v/>
          </cell>
          <cell r="O214">
            <v>191</v>
          </cell>
          <cell r="P214">
            <v>1997</v>
          </cell>
        </row>
        <row r="215">
          <cell r="A215" t="str">
            <v>14-K-816</v>
          </cell>
          <cell r="B215" t="str">
            <v>K9089497</v>
          </cell>
          <cell r="C215" t="str">
            <v>Distribution-CABLE-SM-8C</v>
          </cell>
          <cell r="D215" t="str">
            <v>MOJC</v>
          </cell>
          <cell r="E215" t="str">
            <v>SM</v>
          </cell>
          <cell r="F215" t="str">
            <v>-</v>
          </cell>
          <cell r="G215" t="str">
            <v>V0</v>
          </cell>
          <cell r="H215" t="str">
            <v>G657A1</v>
          </cell>
          <cell r="I215" t="str">
            <v>노란색</v>
          </cell>
          <cell r="J215" t="str">
            <v>LSZH</v>
          </cell>
          <cell r="K215">
            <v>0</v>
          </cell>
          <cell r="L215">
            <v>0</v>
          </cell>
          <cell r="M215" t="str">
            <v>9.2mm 이하</v>
          </cell>
          <cell r="N215" t="str">
            <v/>
          </cell>
          <cell r="O215">
            <v>4013</v>
          </cell>
          <cell r="P215">
            <v>513</v>
          </cell>
        </row>
        <row r="216">
          <cell r="A216" t="str">
            <v>14-K-815</v>
          </cell>
          <cell r="B216" t="str">
            <v>K9094346</v>
          </cell>
          <cell r="C216" t="str">
            <v>Distribution-CABLE-SM-20C</v>
          </cell>
          <cell r="D216" t="str">
            <v>MOJC</v>
          </cell>
          <cell r="E216" t="str">
            <v>SM</v>
          </cell>
          <cell r="F216" t="str">
            <v>-</v>
          </cell>
          <cell r="G216" t="str">
            <v>V0</v>
          </cell>
          <cell r="H216" t="str">
            <v>G657A1</v>
          </cell>
          <cell r="I216" t="str">
            <v>노란색</v>
          </cell>
          <cell r="J216" t="str">
            <v>LSZH</v>
          </cell>
          <cell r="K216">
            <v>0</v>
          </cell>
          <cell r="L216">
            <v>0</v>
          </cell>
          <cell r="M216" t="str">
            <v>9.8mm 이하</v>
          </cell>
          <cell r="N216" t="str">
            <v/>
          </cell>
          <cell r="O216">
            <v>3746</v>
          </cell>
          <cell r="P216">
            <v>1397</v>
          </cell>
        </row>
        <row r="217">
          <cell r="A217" t="str">
            <v>14-K-807</v>
          </cell>
          <cell r="B217" t="str">
            <v>K9094345</v>
          </cell>
          <cell r="C217" t="str">
            <v>Distribution-CABLE-SM-16C</v>
          </cell>
          <cell r="D217" t="str">
            <v>MOJC</v>
          </cell>
          <cell r="E217" t="str">
            <v>SM</v>
          </cell>
          <cell r="F217" t="str">
            <v>-</v>
          </cell>
          <cell r="G217" t="str">
            <v>V0</v>
          </cell>
          <cell r="H217" t="str">
            <v>G657A1</v>
          </cell>
          <cell r="I217" t="str">
            <v>노란색</v>
          </cell>
          <cell r="J217" t="str">
            <v>LSZH</v>
          </cell>
          <cell r="K217">
            <v>0</v>
          </cell>
          <cell r="L217">
            <v>0</v>
          </cell>
          <cell r="M217" t="str">
            <v>9.8mm 이하</v>
          </cell>
          <cell r="N217" t="str">
            <v/>
          </cell>
          <cell r="O217">
            <v>3409</v>
          </cell>
          <cell r="P217">
            <v>1122</v>
          </cell>
        </row>
        <row r="218">
          <cell r="A218" t="str">
            <v>14-K-806</v>
          </cell>
          <cell r="B218" t="str">
            <v>K9089498</v>
          </cell>
          <cell r="C218" t="str">
            <v>Distribution-CABLE-SM-12C</v>
          </cell>
          <cell r="D218" t="str">
            <v>MOJC</v>
          </cell>
          <cell r="E218" t="str">
            <v>SM</v>
          </cell>
          <cell r="F218" t="str">
            <v>-</v>
          </cell>
          <cell r="G218" t="str">
            <v>V0</v>
          </cell>
          <cell r="H218" t="str">
            <v>G657A1</v>
          </cell>
          <cell r="I218" t="str">
            <v>노란색</v>
          </cell>
          <cell r="J218" t="str">
            <v>LSZH</v>
          </cell>
          <cell r="K218">
            <v>0</v>
          </cell>
          <cell r="L218">
            <v>0</v>
          </cell>
          <cell r="M218" t="str">
            <v>9.8mm 이하</v>
          </cell>
          <cell r="N218" t="str">
            <v/>
          </cell>
          <cell r="O218">
            <v>1261</v>
          </cell>
          <cell r="P218">
            <v>665</v>
          </cell>
        </row>
        <row r="219">
          <cell r="A219" t="str">
            <v>14-K-496</v>
          </cell>
          <cell r="B219" t="str">
            <v>K9089453</v>
          </cell>
          <cell r="C219" t="str">
            <v>OJC-C2-SC/SC-SM-1-PC/PC-12C</v>
          </cell>
          <cell r="D219" t="str">
            <v>MOJC</v>
          </cell>
          <cell r="E219" t="str">
            <v>SM</v>
          </cell>
          <cell r="F219" t="str">
            <v>1M</v>
          </cell>
          <cell r="G219" t="str">
            <v>V0</v>
          </cell>
          <cell r="H219" t="str">
            <v>G657A1</v>
          </cell>
          <cell r="I219" t="str">
            <v>노란색</v>
          </cell>
          <cell r="J219" t="str">
            <v>LSZH</v>
          </cell>
          <cell r="K219" t="str">
            <v>청색</v>
          </cell>
          <cell r="L219" t="str">
            <v>청색</v>
          </cell>
          <cell r="M219" t="str">
            <v>9.8mm 이하</v>
          </cell>
          <cell r="N219" t="str">
            <v/>
          </cell>
          <cell r="O219">
            <v>124</v>
          </cell>
          <cell r="P219">
            <v>15116</v>
          </cell>
        </row>
        <row r="220">
          <cell r="A220" t="str">
            <v>14-K-968</v>
          </cell>
          <cell r="B220" t="str">
            <v>K9089467</v>
          </cell>
          <cell r="C220" t="str">
            <v>OJC-C2-SC/LC-SM-1-PC/PC-8C</v>
          </cell>
          <cell r="D220" t="str">
            <v>MOJC</v>
          </cell>
          <cell r="E220" t="str">
            <v>SM</v>
          </cell>
          <cell r="F220" t="str">
            <v>1M</v>
          </cell>
          <cell r="G220" t="str">
            <v>V0</v>
          </cell>
          <cell r="H220" t="str">
            <v>G657A1</v>
          </cell>
          <cell r="I220" t="str">
            <v>노란색</v>
          </cell>
          <cell r="J220" t="str">
            <v>LSZH</v>
          </cell>
          <cell r="K220" t="str">
            <v>청색</v>
          </cell>
          <cell r="L220" t="str">
            <v>청색</v>
          </cell>
          <cell r="M220" t="str">
            <v>9.2mm 이하</v>
          </cell>
          <cell r="N220" t="str">
            <v/>
          </cell>
          <cell r="O220">
            <v>32</v>
          </cell>
          <cell r="P220">
            <v>13598</v>
          </cell>
        </row>
        <row r="221">
          <cell r="A221" t="str">
            <v>14-K-A200</v>
          </cell>
          <cell r="B221" t="str">
            <v>K9089451</v>
          </cell>
          <cell r="C221" t="str">
            <v>OJC-C2-SC/SC-SM-1-PC/PC-4C</v>
          </cell>
          <cell r="D221" t="str">
            <v>MOJC</v>
          </cell>
          <cell r="E221" t="str">
            <v>SM</v>
          </cell>
          <cell r="F221" t="str">
            <v>1M</v>
          </cell>
          <cell r="G221" t="str">
            <v>V0</v>
          </cell>
          <cell r="H221" t="str">
            <v>G657A1</v>
          </cell>
          <cell r="I221" t="str">
            <v>노란색</v>
          </cell>
          <cell r="J221" t="str">
            <v>LSZH</v>
          </cell>
          <cell r="K221" t="str">
            <v>청색</v>
          </cell>
          <cell r="L221" t="str">
            <v>청색</v>
          </cell>
          <cell r="M221" t="str">
            <v>6.8mm 이하</v>
          </cell>
          <cell r="N221" t="str">
            <v/>
          </cell>
          <cell r="O221">
            <v>21</v>
          </cell>
          <cell r="P221">
            <v>6896</v>
          </cell>
        </row>
        <row r="222">
          <cell r="A222" t="str">
            <v>14-K-B668</v>
          </cell>
          <cell r="B222" t="str">
            <v>K9089449</v>
          </cell>
          <cell r="C222" t="str">
            <v>OJC-C1-SC/LC-SM-1-PC/PC-8C-1.0</v>
          </cell>
          <cell r="D222" t="str">
            <v>MOJC</v>
          </cell>
          <cell r="E222" t="str">
            <v>SM</v>
          </cell>
          <cell r="F222" t="str">
            <v>1M</v>
          </cell>
          <cell r="G222" t="str">
            <v>V0</v>
          </cell>
          <cell r="H222" t="str">
            <v>G657A1</v>
          </cell>
          <cell r="I222" t="str">
            <v>노란색</v>
          </cell>
          <cell r="J222" t="str">
            <v>LSZH</v>
          </cell>
          <cell r="K222" t="str">
            <v>청색</v>
          </cell>
          <cell r="L222" t="str">
            <v>청색</v>
          </cell>
          <cell r="M222" t="str">
            <v>9.2mm 이하</v>
          </cell>
          <cell r="N222" t="str">
            <v/>
          </cell>
          <cell r="O222">
            <v>14</v>
          </cell>
          <cell r="P222">
            <v>13865</v>
          </cell>
        </row>
        <row r="223">
          <cell r="A223" t="str">
            <v>14-K-971</v>
          </cell>
          <cell r="B223" t="str">
            <v>K9186717</v>
          </cell>
          <cell r="C223" t="str">
            <v>OJC-C2-SC/SC-SM-1-PC/PC-24C</v>
          </cell>
          <cell r="D223" t="str">
            <v>MOJC</v>
          </cell>
          <cell r="E223" t="str">
            <v>SM</v>
          </cell>
          <cell r="F223" t="str">
            <v>1M</v>
          </cell>
          <cell r="G223" t="str">
            <v>V0</v>
          </cell>
          <cell r="H223" t="str">
            <v>G657A1</v>
          </cell>
          <cell r="I223" t="str">
            <v>노란색</v>
          </cell>
          <cell r="J223" t="str">
            <v>LSZH</v>
          </cell>
          <cell r="K223" t="str">
            <v>청색</v>
          </cell>
          <cell r="L223" t="str">
            <v>청색</v>
          </cell>
          <cell r="M223" t="str">
            <v>9.8mm 이하</v>
          </cell>
          <cell r="N223" t="str">
            <v/>
          </cell>
          <cell r="O223">
            <v>12</v>
          </cell>
          <cell r="P223">
            <v>32076</v>
          </cell>
        </row>
        <row r="224">
          <cell r="A224" t="str">
            <v>14-K-967</v>
          </cell>
          <cell r="B224" t="str">
            <v>K9094341</v>
          </cell>
          <cell r="C224" t="str">
            <v>OJC-C2-SC/LC-SM-1-PC/PC-16C</v>
          </cell>
          <cell r="D224" t="str">
            <v>MOJC</v>
          </cell>
          <cell r="E224" t="str">
            <v>SM</v>
          </cell>
          <cell r="F224" t="str">
            <v>1M</v>
          </cell>
          <cell r="G224" t="str">
            <v>V0</v>
          </cell>
          <cell r="H224" t="str">
            <v>G657A1</v>
          </cell>
          <cell r="I224" t="str">
            <v>노란색</v>
          </cell>
          <cell r="J224" t="str">
            <v>LSZH</v>
          </cell>
          <cell r="K224" t="str">
            <v>청색</v>
          </cell>
          <cell r="L224" t="str">
            <v>청색</v>
          </cell>
          <cell r="M224" t="str">
            <v>9.8mm 이하</v>
          </cell>
          <cell r="N224" t="str">
            <v/>
          </cell>
          <cell r="O224">
            <v>6</v>
          </cell>
          <cell r="P224">
            <v>25760</v>
          </cell>
        </row>
        <row r="225">
          <cell r="A225" t="str">
            <v>14-K-877</v>
          </cell>
          <cell r="B225" t="str">
            <v>K9094344</v>
          </cell>
          <cell r="C225" t="str">
            <v>OJC-C2-SC/LC-SM-1-PC/PC-20C</v>
          </cell>
          <cell r="D225" t="str">
            <v>MOJC</v>
          </cell>
          <cell r="E225" t="str">
            <v>SM</v>
          </cell>
          <cell r="F225" t="str">
            <v>1M</v>
          </cell>
          <cell r="G225" t="str">
            <v>V0</v>
          </cell>
          <cell r="H225" t="str">
            <v>G657A1</v>
          </cell>
          <cell r="I225" t="str">
            <v>노란색</v>
          </cell>
          <cell r="J225" t="str">
            <v>LSZH</v>
          </cell>
          <cell r="K225" t="str">
            <v>청색</v>
          </cell>
          <cell r="L225" t="str">
            <v>청색</v>
          </cell>
          <cell r="M225" t="str">
            <v>9.8mm 이하</v>
          </cell>
          <cell r="N225" t="str">
            <v/>
          </cell>
          <cell r="O225">
            <v>5</v>
          </cell>
          <cell r="P225">
            <v>31547</v>
          </cell>
        </row>
        <row r="226">
          <cell r="A226" t="str">
            <v>14-K-434</v>
          </cell>
          <cell r="B226" t="str">
            <v>K9089468</v>
          </cell>
          <cell r="C226" t="str">
            <v>OJC-C2-SC/LC-SM-1-PC/PC-12C</v>
          </cell>
          <cell r="D226" t="str">
            <v>MOJC</v>
          </cell>
          <cell r="E226" t="str">
            <v>SM</v>
          </cell>
          <cell r="F226" t="str">
            <v>1M</v>
          </cell>
          <cell r="G226" t="str">
            <v>V0</v>
          </cell>
          <cell r="H226" t="str">
            <v>G657A1</v>
          </cell>
          <cell r="I226" t="str">
            <v>노란색</v>
          </cell>
          <cell r="J226" t="str">
            <v>LSZH</v>
          </cell>
          <cell r="K226" t="str">
            <v>청색</v>
          </cell>
          <cell r="L226" t="str">
            <v>청색</v>
          </cell>
          <cell r="M226" t="str">
            <v>9.8mm 이하</v>
          </cell>
          <cell r="N226" t="str">
            <v/>
          </cell>
          <cell r="O226">
            <v>4</v>
          </cell>
          <cell r="P226">
            <v>19072</v>
          </cell>
        </row>
        <row r="227">
          <cell r="A227" t="str">
            <v>14-K-504</v>
          </cell>
          <cell r="B227" t="str">
            <v>K9118073</v>
          </cell>
          <cell r="C227" t="str">
            <v>OJC-C2-SC/SC-SM-20-PC/PC-20C</v>
          </cell>
          <cell r="D227" t="str">
            <v>MOJC</v>
          </cell>
          <cell r="E227" t="str">
            <v>SM</v>
          </cell>
          <cell r="F227" t="str">
            <v>20M</v>
          </cell>
          <cell r="G227" t="str">
            <v>V0</v>
          </cell>
          <cell r="H227" t="str">
            <v>G657A1</v>
          </cell>
          <cell r="I227" t="str">
            <v>노란색</v>
          </cell>
          <cell r="J227" t="str">
            <v>LSZH</v>
          </cell>
          <cell r="K227" t="str">
            <v>청색</v>
          </cell>
          <cell r="L227" t="str">
            <v>청색</v>
          </cell>
          <cell r="M227" t="str">
            <v>9.8mm 이하</v>
          </cell>
          <cell r="N227" t="str">
            <v/>
          </cell>
          <cell r="O227">
            <v>2</v>
          </cell>
          <cell r="P227">
            <v>51757</v>
          </cell>
        </row>
        <row r="228">
          <cell r="A228" t="str">
            <v>14-K-435</v>
          </cell>
          <cell r="B228" t="str">
            <v>K9089466</v>
          </cell>
          <cell r="C228" t="str">
            <v>OJC-C2-SC/LC-SM-1-PC/PC-4C</v>
          </cell>
          <cell r="D228" t="str">
            <v>MOJC</v>
          </cell>
          <cell r="E228" t="str">
            <v>SM</v>
          </cell>
          <cell r="F228" t="str">
            <v>1M</v>
          </cell>
          <cell r="G228" t="str">
            <v>V0</v>
          </cell>
          <cell r="H228" t="str">
            <v>G657A1</v>
          </cell>
          <cell r="I228" t="str">
            <v>노란색</v>
          </cell>
          <cell r="J228" t="str">
            <v>LSZH</v>
          </cell>
          <cell r="K228" t="str">
            <v>청색</v>
          </cell>
          <cell r="L228" t="str">
            <v>청색</v>
          </cell>
          <cell r="M228" t="str">
            <v>6.8mm 이하</v>
          </cell>
          <cell r="N228" t="str">
            <v/>
          </cell>
          <cell r="O228">
            <v>1</v>
          </cell>
          <cell r="P228">
            <v>8213</v>
          </cell>
        </row>
        <row r="229">
          <cell r="A229" t="str">
            <v>14-K-458</v>
          </cell>
          <cell r="B229" t="str">
            <v>K9118071</v>
          </cell>
          <cell r="C229" t="str">
            <v>OJC-C2-SC/SC-SM-10-PC/PC-20C</v>
          </cell>
          <cell r="D229" t="str">
            <v>MOJC</v>
          </cell>
          <cell r="E229" t="str">
            <v>SM</v>
          </cell>
          <cell r="F229" t="str">
            <v>10M</v>
          </cell>
          <cell r="G229" t="str">
            <v>V0</v>
          </cell>
          <cell r="H229" t="str">
            <v>G657A1</v>
          </cell>
          <cell r="I229" t="str">
            <v>노란색</v>
          </cell>
          <cell r="J229" t="str">
            <v>LSZH</v>
          </cell>
          <cell r="K229" t="str">
            <v>청색</v>
          </cell>
          <cell r="L229" t="str">
            <v>청색</v>
          </cell>
          <cell r="M229" t="str">
            <v>9.8mm 이하</v>
          </cell>
          <cell r="N229" t="str">
            <v/>
          </cell>
          <cell r="O229">
            <v>1</v>
          </cell>
          <cell r="P229">
            <v>37395</v>
          </cell>
        </row>
        <row r="230">
          <cell r="A230" t="str">
            <v>14-K-477</v>
          </cell>
          <cell r="B230" t="str">
            <v>K9118072</v>
          </cell>
          <cell r="C230" t="str">
            <v>OJC-C2-SC/SC-SM-15-PC/PC-20C</v>
          </cell>
          <cell r="D230" t="str">
            <v>MOJC</v>
          </cell>
          <cell r="E230" t="str">
            <v>SM</v>
          </cell>
          <cell r="F230" t="str">
            <v>15M</v>
          </cell>
          <cell r="G230" t="str">
            <v>V0</v>
          </cell>
          <cell r="H230" t="str">
            <v>G657A1</v>
          </cell>
          <cell r="I230" t="str">
            <v>노란색</v>
          </cell>
          <cell r="J230" t="str">
            <v>LSZH</v>
          </cell>
          <cell r="K230" t="str">
            <v>청색</v>
          </cell>
          <cell r="L230" t="str">
            <v>청색</v>
          </cell>
          <cell r="M230" t="str">
            <v>9.8mm 이하</v>
          </cell>
          <cell r="N230" t="str">
            <v/>
          </cell>
          <cell r="O230">
            <v>1</v>
          </cell>
          <cell r="P230">
            <v>44575</v>
          </cell>
        </row>
        <row r="231">
          <cell r="A231" t="str">
            <v>14-K-A221</v>
          </cell>
          <cell r="B231" t="str">
            <v>K9094343</v>
          </cell>
          <cell r="C231" t="str">
            <v>OJC-C2-SC/SC-SM-1-PC/APC-20C</v>
          </cell>
          <cell r="D231" t="str">
            <v>MOJC</v>
          </cell>
          <cell r="E231" t="str">
            <v>SM</v>
          </cell>
          <cell r="F231" t="str">
            <v>1M</v>
          </cell>
          <cell r="G231" t="str">
            <v>V0</v>
          </cell>
          <cell r="H231" t="str">
            <v>G657A1</v>
          </cell>
          <cell r="I231" t="str">
            <v>노란색</v>
          </cell>
          <cell r="J231" t="str">
            <v>LSZH</v>
          </cell>
          <cell r="K231" t="str">
            <v>청색</v>
          </cell>
          <cell r="L231" t="str">
            <v>녹색</v>
          </cell>
          <cell r="M231" t="str">
            <v>9.8mm 이하</v>
          </cell>
          <cell r="N231" t="str">
            <v/>
          </cell>
          <cell r="O231">
            <v>1</v>
          </cell>
          <cell r="P231">
            <v>25189</v>
          </cell>
        </row>
        <row r="232">
          <cell r="A232" t="str">
            <v>14-K-843</v>
          </cell>
          <cell r="B232" t="str">
            <v>K9089481</v>
          </cell>
          <cell r="C232" t="str">
            <v>CORD-PVC-SM-DP</v>
          </cell>
          <cell r="D232" t="str">
            <v>DP</v>
          </cell>
          <cell r="E232" t="str">
            <v>SM</v>
          </cell>
          <cell r="F232">
            <v>0</v>
          </cell>
          <cell r="G232" t="str">
            <v>V0</v>
          </cell>
          <cell r="H232" t="str">
            <v>G657A1</v>
          </cell>
          <cell r="I232" t="str">
            <v>노란색</v>
          </cell>
          <cell r="J232" t="str">
            <v>PVC</v>
          </cell>
          <cell r="K232">
            <v>0</v>
          </cell>
          <cell r="L232">
            <v>0</v>
          </cell>
          <cell r="M232" t="str">
            <v>2.0mm</v>
          </cell>
          <cell r="N232" t="str">
            <v/>
          </cell>
          <cell r="O232">
            <v>1184</v>
          </cell>
          <cell r="P232">
            <v>195</v>
          </cell>
        </row>
        <row r="233">
          <cell r="A233" t="str">
            <v>14-K-B699</v>
          </cell>
          <cell r="B233" t="str">
            <v>K9089482</v>
          </cell>
          <cell r="C233" t="str">
            <v>CORD-PVC-MM-DP</v>
          </cell>
          <cell r="D233" t="str">
            <v>DP</v>
          </cell>
          <cell r="E233" t="str">
            <v>MM</v>
          </cell>
          <cell r="F233">
            <v>0</v>
          </cell>
          <cell r="G233" t="str">
            <v>V0</v>
          </cell>
          <cell r="H233" t="str">
            <v>OM1</v>
          </cell>
          <cell r="I233" t="str">
            <v>오렌지색</v>
          </cell>
          <cell r="J233" t="str">
            <v>PVC</v>
          </cell>
          <cell r="K233">
            <v>0</v>
          </cell>
          <cell r="L233">
            <v>0</v>
          </cell>
          <cell r="M233" t="str">
            <v>2.0mm</v>
          </cell>
          <cell r="N233" t="str">
            <v/>
          </cell>
          <cell r="O233">
            <v>100</v>
          </cell>
          <cell r="P233">
            <v>157</v>
          </cell>
        </row>
        <row r="234">
          <cell r="A234" t="str">
            <v>14-K-B691</v>
          </cell>
          <cell r="B234" t="str">
            <v>K9089478</v>
          </cell>
          <cell r="C234" t="str">
            <v>CORD-PVC-SM-SP</v>
          </cell>
          <cell r="D234" t="str">
            <v>SP</v>
          </cell>
          <cell r="E234" t="str">
            <v>SM</v>
          </cell>
          <cell r="F234">
            <v>0</v>
          </cell>
          <cell r="G234" t="str">
            <v>V0</v>
          </cell>
          <cell r="H234" t="str">
            <v>G657A1</v>
          </cell>
          <cell r="I234" t="str">
            <v>노란색</v>
          </cell>
          <cell r="J234" t="str">
            <v>PVC</v>
          </cell>
          <cell r="K234">
            <v>0</v>
          </cell>
          <cell r="L234">
            <v>0</v>
          </cell>
          <cell r="M234" t="str">
            <v>2.0mm</v>
          </cell>
          <cell r="N234" t="str">
            <v/>
          </cell>
          <cell r="O234">
            <v>582</v>
          </cell>
          <cell r="P234">
            <v>94</v>
          </cell>
        </row>
        <row r="235">
          <cell r="A235" t="str">
            <v>14-K-B693</v>
          </cell>
          <cell r="B235" t="str">
            <v>K9089487</v>
          </cell>
          <cell r="C235" t="str">
            <v>CORD-PU-SM-DP</v>
          </cell>
          <cell r="D235" t="str">
            <v>DP</v>
          </cell>
          <cell r="E235" t="str">
            <v>SM</v>
          </cell>
          <cell r="F235">
            <v>0</v>
          </cell>
          <cell r="G235" t="str">
            <v>V0</v>
          </cell>
          <cell r="H235" t="str">
            <v>G657A1</v>
          </cell>
          <cell r="I235" t="str">
            <v>노란색</v>
          </cell>
          <cell r="J235" t="str">
            <v>PU</v>
          </cell>
          <cell r="K235">
            <v>0</v>
          </cell>
          <cell r="L235">
            <v>0</v>
          </cell>
          <cell r="M235" t="str">
            <v>2.0mm</v>
          </cell>
          <cell r="N235" t="str">
            <v/>
          </cell>
          <cell r="O235">
            <v>1</v>
          </cell>
          <cell r="P235">
            <v>326</v>
          </cell>
        </row>
        <row r="236">
          <cell r="A236" t="str">
            <v>14-K-B695</v>
          </cell>
          <cell r="B236" t="str">
            <v>K9089483</v>
          </cell>
          <cell r="C236" t="str">
            <v>CORD-PVC-NGF-DP</v>
          </cell>
          <cell r="D236" t="str">
            <v>DP</v>
          </cell>
          <cell r="E236">
            <v>0</v>
          </cell>
          <cell r="F236">
            <v>0</v>
          </cell>
          <cell r="G236" t="str">
            <v>V0</v>
          </cell>
          <cell r="H236" t="str">
            <v>G657A1</v>
          </cell>
          <cell r="I236" t="str">
            <v>노란색</v>
          </cell>
          <cell r="J236" t="str">
            <v>PVC</v>
          </cell>
          <cell r="K236">
            <v>0</v>
          </cell>
          <cell r="L236">
            <v>0</v>
          </cell>
          <cell r="M236" t="str">
            <v>2.0mm</v>
          </cell>
          <cell r="N236" t="str">
            <v/>
          </cell>
          <cell r="O236">
            <v>1</v>
          </cell>
          <cell r="P236">
            <v>208</v>
          </cell>
        </row>
        <row r="237">
          <cell r="A237" t="str">
            <v>14-K-B697</v>
          </cell>
          <cell r="B237" t="str">
            <v>K9089489</v>
          </cell>
          <cell r="C237" t="str">
            <v>CORD-PU-NGF-DP</v>
          </cell>
          <cell r="D237" t="str">
            <v>DP</v>
          </cell>
          <cell r="E237">
            <v>0</v>
          </cell>
          <cell r="F237">
            <v>0</v>
          </cell>
          <cell r="G237" t="str">
            <v>V0</v>
          </cell>
          <cell r="H237" t="str">
            <v>G657A1</v>
          </cell>
          <cell r="I237" t="str">
            <v>노란색</v>
          </cell>
          <cell r="J237" t="str">
            <v>PU</v>
          </cell>
          <cell r="K237">
            <v>0</v>
          </cell>
          <cell r="L237">
            <v>0</v>
          </cell>
          <cell r="M237" t="str">
            <v>2.0mm</v>
          </cell>
          <cell r="N237" t="str">
            <v/>
          </cell>
          <cell r="O237">
            <v>1</v>
          </cell>
          <cell r="P237">
            <v>443</v>
          </cell>
        </row>
        <row r="238">
          <cell r="A238" t="str">
            <v>14-K-B701</v>
          </cell>
          <cell r="B238" t="str">
            <v>K9089488</v>
          </cell>
          <cell r="C238" t="str">
            <v>CORD-PU-MM-DP</v>
          </cell>
          <cell r="D238" t="str">
            <v>DP</v>
          </cell>
          <cell r="E238" t="str">
            <v>MM</v>
          </cell>
          <cell r="F238">
            <v>0</v>
          </cell>
          <cell r="G238" t="str">
            <v>V0</v>
          </cell>
          <cell r="H238" t="str">
            <v>OM1</v>
          </cell>
          <cell r="I238" t="str">
            <v>오렌지색</v>
          </cell>
          <cell r="J238" t="str">
            <v>PU</v>
          </cell>
          <cell r="K238">
            <v>0</v>
          </cell>
          <cell r="L238">
            <v>0</v>
          </cell>
          <cell r="M238" t="str">
            <v>2.0mm</v>
          </cell>
          <cell r="N238" t="str">
            <v/>
          </cell>
          <cell r="O238">
            <v>1</v>
          </cell>
          <cell r="P238">
            <v>369</v>
          </cell>
        </row>
        <row r="239">
          <cell r="A239" t="str">
            <v>14-K-B692</v>
          </cell>
          <cell r="B239" t="str">
            <v>K9089484</v>
          </cell>
          <cell r="C239" t="str">
            <v>CORD-PU-SM-SP</v>
          </cell>
          <cell r="D239" t="str">
            <v>SP</v>
          </cell>
          <cell r="E239" t="str">
            <v>SM</v>
          </cell>
          <cell r="F239">
            <v>0</v>
          </cell>
          <cell r="G239" t="str">
            <v>V0</v>
          </cell>
          <cell r="H239" t="str">
            <v>G657A1</v>
          </cell>
          <cell r="I239" t="str">
            <v>노란색</v>
          </cell>
          <cell r="J239" t="str">
            <v>PU</v>
          </cell>
          <cell r="K239">
            <v>0</v>
          </cell>
          <cell r="L239">
            <v>0</v>
          </cell>
          <cell r="M239" t="str">
            <v>2.0mm</v>
          </cell>
          <cell r="N239" t="str">
            <v/>
          </cell>
          <cell r="O239">
            <v>1</v>
          </cell>
          <cell r="P239">
            <v>163</v>
          </cell>
        </row>
        <row r="240">
          <cell r="A240" t="str">
            <v>14-K-B694</v>
          </cell>
          <cell r="B240" t="str">
            <v>K9089480</v>
          </cell>
          <cell r="C240" t="str">
            <v>CORD-PVC-NGF-SP</v>
          </cell>
          <cell r="D240" t="str">
            <v>SP</v>
          </cell>
          <cell r="E240">
            <v>0</v>
          </cell>
          <cell r="F240">
            <v>0</v>
          </cell>
          <cell r="G240" t="str">
            <v>V0</v>
          </cell>
          <cell r="H240" t="str">
            <v>G657A1</v>
          </cell>
          <cell r="I240" t="str">
            <v>노란색</v>
          </cell>
          <cell r="J240" t="str">
            <v>PVC</v>
          </cell>
          <cell r="K240">
            <v>0</v>
          </cell>
          <cell r="L240">
            <v>0</v>
          </cell>
          <cell r="M240" t="str">
            <v>2.0mm</v>
          </cell>
          <cell r="N240" t="str">
            <v/>
          </cell>
          <cell r="O240">
            <v>1</v>
          </cell>
          <cell r="P240">
            <v>99</v>
          </cell>
        </row>
        <row r="241">
          <cell r="A241" t="str">
            <v>14-K-B696</v>
          </cell>
          <cell r="B241" t="str">
            <v>K9089486</v>
          </cell>
          <cell r="C241" t="str">
            <v>CORD-PU-NGF-SP</v>
          </cell>
          <cell r="D241" t="str">
            <v>SP</v>
          </cell>
          <cell r="E241">
            <v>0</v>
          </cell>
          <cell r="F241">
            <v>0</v>
          </cell>
          <cell r="G241" t="str">
            <v>V0</v>
          </cell>
          <cell r="H241" t="str">
            <v>G657A1</v>
          </cell>
          <cell r="I241" t="str">
            <v>노란색</v>
          </cell>
          <cell r="J241" t="str">
            <v>PU</v>
          </cell>
          <cell r="K241">
            <v>0</v>
          </cell>
          <cell r="L241">
            <v>0</v>
          </cell>
          <cell r="M241" t="str">
            <v>2.0mm</v>
          </cell>
          <cell r="N241" t="str">
            <v/>
          </cell>
          <cell r="O241">
            <v>1</v>
          </cell>
          <cell r="P241">
            <v>224</v>
          </cell>
        </row>
        <row r="242">
          <cell r="A242" t="str">
            <v>14-K-B698</v>
          </cell>
          <cell r="B242" t="str">
            <v>K9089479</v>
          </cell>
          <cell r="C242" t="str">
            <v>CORD-PVC-MM-SP</v>
          </cell>
          <cell r="D242" t="str">
            <v>SP</v>
          </cell>
          <cell r="E242" t="str">
            <v>MM</v>
          </cell>
          <cell r="F242">
            <v>0</v>
          </cell>
          <cell r="G242" t="str">
            <v>V0</v>
          </cell>
          <cell r="H242" t="str">
            <v>OM1</v>
          </cell>
          <cell r="I242" t="str">
            <v>오렌지색</v>
          </cell>
          <cell r="J242" t="str">
            <v>PVC</v>
          </cell>
          <cell r="K242">
            <v>0</v>
          </cell>
          <cell r="L242">
            <v>0</v>
          </cell>
          <cell r="M242" t="str">
            <v>2.0mm</v>
          </cell>
          <cell r="N242" t="str">
            <v/>
          </cell>
          <cell r="O242">
            <v>1</v>
          </cell>
          <cell r="P242">
            <v>78</v>
          </cell>
        </row>
        <row r="243">
          <cell r="A243" t="str">
            <v>14-K-B700</v>
          </cell>
          <cell r="B243" t="str">
            <v>K9089485</v>
          </cell>
          <cell r="C243" t="str">
            <v>CORD-PU-MM-SP</v>
          </cell>
          <cell r="D243" t="str">
            <v>SP</v>
          </cell>
          <cell r="E243" t="str">
            <v>MM</v>
          </cell>
          <cell r="F243">
            <v>0</v>
          </cell>
          <cell r="G243" t="str">
            <v>V0</v>
          </cell>
          <cell r="H243" t="str">
            <v>OM1</v>
          </cell>
          <cell r="I243" t="str">
            <v>오렌지색</v>
          </cell>
          <cell r="J243" t="str">
            <v>PU</v>
          </cell>
          <cell r="K243">
            <v>0</v>
          </cell>
          <cell r="L243">
            <v>0</v>
          </cell>
          <cell r="M243" t="str">
            <v>2.0mm</v>
          </cell>
          <cell r="N243" t="str">
            <v/>
          </cell>
          <cell r="O243">
            <v>1</v>
          </cell>
          <cell r="P243">
            <v>184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195"/>
  <sheetViews>
    <sheetView showGridLines="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S2" sqref="S2"/>
    </sheetView>
  </sheetViews>
  <sheetFormatPr defaultColWidth="8.6640625" defaultRowHeight="14.4"/>
  <cols>
    <col min="1" max="1" width="5" customWidth="1"/>
    <col min="2" max="2" width="16" customWidth="1"/>
    <col min="3" max="3" width="38" customWidth="1"/>
    <col min="4" max="4" width="22" customWidth="1"/>
    <col min="5" max="16" width="7" customWidth="1"/>
    <col min="17" max="17" width="10" customWidth="1"/>
  </cols>
  <sheetData>
    <row r="1" spans="1:18" ht="24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36" customHeight="1">
      <c r="A2" s="15" t="s">
        <v>1</v>
      </c>
      <c r="B2" s="16" t="s">
        <v>2</v>
      </c>
      <c r="C2" s="16" t="s">
        <v>3</v>
      </c>
      <c r="D2" s="16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  <c r="J2" s="17" t="s">
        <v>10</v>
      </c>
      <c r="K2" s="17" t="s">
        <v>11</v>
      </c>
      <c r="L2" s="17" t="s">
        <v>12</v>
      </c>
      <c r="M2" s="17" t="s">
        <v>13</v>
      </c>
      <c r="N2" s="17" t="s">
        <v>14</v>
      </c>
      <c r="O2" s="17" t="s">
        <v>15</v>
      </c>
      <c r="P2" s="17" t="s">
        <v>16</v>
      </c>
      <c r="Q2" s="18" t="s">
        <v>17</v>
      </c>
    </row>
    <row r="3" spans="1:18" ht="15.75" customHeight="1">
      <c r="A3" s="19">
        <v>1</v>
      </c>
      <c r="B3" s="20" t="s">
        <v>18</v>
      </c>
      <c r="C3" s="20" t="s">
        <v>19</v>
      </c>
      <c r="D3" s="20" t="s">
        <v>20</v>
      </c>
      <c r="E3" s="21">
        <v>150</v>
      </c>
      <c r="F3" s="21"/>
      <c r="G3" s="21"/>
      <c r="H3" s="21">
        <v>200</v>
      </c>
      <c r="I3" s="21"/>
      <c r="J3" s="21">
        <v>5</v>
      </c>
      <c r="K3" s="21"/>
      <c r="L3" s="21">
        <v>150</v>
      </c>
      <c r="M3" s="21"/>
      <c r="N3" s="21">
        <v>20</v>
      </c>
      <c r="O3" s="21"/>
      <c r="P3" s="21"/>
      <c r="Q3" s="22">
        <f t="shared" ref="Q3:Q66" si="0">SUM(E3:P3)</f>
        <v>525</v>
      </c>
    </row>
    <row r="4" spans="1:18" ht="15.75" customHeight="1">
      <c r="A4" s="23">
        <v>2</v>
      </c>
      <c r="B4" s="24" t="s">
        <v>21</v>
      </c>
      <c r="C4" s="24" t="s">
        <v>19</v>
      </c>
      <c r="D4" s="24" t="s">
        <v>22</v>
      </c>
      <c r="E4" s="25">
        <v>50</v>
      </c>
      <c r="F4" s="25"/>
      <c r="G4" s="25"/>
      <c r="H4" s="25"/>
      <c r="I4" s="25"/>
      <c r="J4" s="25">
        <v>55</v>
      </c>
      <c r="K4" s="25">
        <v>10</v>
      </c>
      <c r="L4" s="25">
        <v>20</v>
      </c>
      <c r="M4" s="25"/>
      <c r="N4" s="25">
        <v>10</v>
      </c>
      <c r="O4" s="25"/>
      <c r="P4" s="25">
        <v>30</v>
      </c>
      <c r="Q4" s="22">
        <f t="shared" si="0"/>
        <v>175</v>
      </c>
    </row>
    <row r="5" spans="1:18" ht="15.75" customHeight="1">
      <c r="A5" s="19">
        <v>3</v>
      </c>
      <c r="B5" s="20" t="s">
        <v>23</v>
      </c>
      <c r="C5" s="20" t="s">
        <v>19</v>
      </c>
      <c r="D5" s="20" t="s">
        <v>24</v>
      </c>
      <c r="E5" s="21">
        <v>200</v>
      </c>
      <c r="F5" s="21"/>
      <c r="G5" s="21">
        <v>400</v>
      </c>
      <c r="H5" s="21">
        <v>200</v>
      </c>
      <c r="I5" s="21"/>
      <c r="J5" s="21">
        <v>20</v>
      </c>
      <c r="K5" s="21">
        <v>350</v>
      </c>
      <c r="L5" s="21">
        <v>300</v>
      </c>
      <c r="M5" s="21">
        <v>50</v>
      </c>
      <c r="N5" s="21"/>
      <c r="O5" s="21"/>
      <c r="P5" s="21">
        <v>30</v>
      </c>
      <c r="Q5" s="22">
        <f t="shared" si="0"/>
        <v>1550</v>
      </c>
    </row>
    <row r="6" spans="1:18" ht="15.75" customHeight="1">
      <c r="A6" s="23">
        <v>4</v>
      </c>
      <c r="B6" s="24" t="s">
        <v>25</v>
      </c>
      <c r="C6" s="24" t="s">
        <v>19</v>
      </c>
      <c r="D6" s="24" t="s">
        <v>26</v>
      </c>
      <c r="E6" s="25">
        <v>100</v>
      </c>
      <c r="F6" s="25">
        <v>150</v>
      </c>
      <c r="G6" s="25">
        <v>30</v>
      </c>
      <c r="H6" s="25"/>
      <c r="I6" s="25"/>
      <c r="J6" s="25">
        <v>5</v>
      </c>
      <c r="K6" s="25">
        <v>100</v>
      </c>
      <c r="L6" s="25">
        <v>102</v>
      </c>
      <c r="M6" s="25"/>
      <c r="N6" s="25">
        <v>20</v>
      </c>
      <c r="O6" s="25">
        <v>50</v>
      </c>
      <c r="P6" s="25">
        <v>30</v>
      </c>
      <c r="Q6" s="22">
        <f t="shared" si="0"/>
        <v>587</v>
      </c>
    </row>
    <row r="7" spans="1:18" ht="15.75" customHeight="1">
      <c r="A7" s="19">
        <v>5</v>
      </c>
      <c r="B7" s="20" t="s">
        <v>27</v>
      </c>
      <c r="C7" s="20" t="s">
        <v>28</v>
      </c>
      <c r="D7" s="20" t="s">
        <v>20</v>
      </c>
      <c r="E7" s="21"/>
      <c r="F7" s="21"/>
      <c r="G7" s="21"/>
      <c r="H7" s="21"/>
      <c r="I7" s="21"/>
      <c r="J7" s="21"/>
      <c r="K7" s="21">
        <v>5</v>
      </c>
      <c r="L7" s="21"/>
      <c r="M7" s="21"/>
      <c r="N7" s="21"/>
      <c r="O7" s="21"/>
      <c r="P7" s="21"/>
      <c r="Q7" s="22">
        <f t="shared" si="0"/>
        <v>5</v>
      </c>
    </row>
    <row r="8" spans="1:18" ht="15.75" customHeight="1">
      <c r="A8" s="23">
        <v>6</v>
      </c>
      <c r="B8" s="24" t="s">
        <v>29</v>
      </c>
      <c r="C8" s="24" t="s">
        <v>30</v>
      </c>
      <c r="D8" s="24" t="s">
        <v>20</v>
      </c>
      <c r="E8" s="25">
        <v>10</v>
      </c>
      <c r="F8" s="25">
        <v>200</v>
      </c>
      <c r="G8" s="25"/>
      <c r="H8" s="25"/>
      <c r="I8" s="25"/>
      <c r="J8" s="25">
        <v>6</v>
      </c>
      <c r="K8" s="25"/>
      <c r="L8" s="25"/>
      <c r="M8" s="25"/>
      <c r="N8" s="25"/>
      <c r="O8" s="25"/>
      <c r="P8" s="25"/>
      <c r="Q8" s="22">
        <f t="shared" si="0"/>
        <v>216</v>
      </c>
    </row>
    <row r="9" spans="1:18" ht="15.75" customHeight="1">
      <c r="A9" s="19">
        <v>7</v>
      </c>
      <c r="B9" s="20" t="s">
        <v>31</v>
      </c>
      <c r="C9" s="20" t="s">
        <v>30</v>
      </c>
      <c r="D9" s="20" t="s">
        <v>32</v>
      </c>
      <c r="E9" s="21">
        <v>32</v>
      </c>
      <c r="F9" s="21">
        <v>100</v>
      </c>
      <c r="G9" s="21"/>
      <c r="H9" s="21"/>
      <c r="I9" s="21"/>
      <c r="J9" s="21"/>
      <c r="K9" s="21">
        <v>1</v>
      </c>
      <c r="L9" s="21"/>
      <c r="M9" s="21"/>
      <c r="N9" s="21"/>
      <c r="O9" s="21"/>
      <c r="P9" s="21"/>
      <c r="Q9" s="22">
        <f t="shared" si="0"/>
        <v>133</v>
      </c>
    </row>
    <row r="10" spans="1:18" ht="15.75" customHeight="1">
      <c r="A10" s="23">
        <v>8</v>
      </c>
      <c r="B10" s="24" t="s">
        <v>33</v>
      </c>
      <c r="C10" s="24" t="s">
        <v>30</v>
      </c>
      <c r="D10" s="24" t="s">
        <v>22</v>
      </c>
      <c r="E10" s="25">
        <v>5</v>
      </c>
      <c r="F10" s="25"/>
      <c r="G10" s="25"/>
      <c r="H10" s="25"/>
      <c r="I10" s="25"/>
      <c r="J10" s="25"/>
      <c r="K10" s="25"/>
      <c r="L10" s="25"/>
      <c r="M10" s="25">
        <v>2</v>
      </c>
      <c r="N10" s="25"/>
      <c r="O10" s="25"/>
      <c r="P10" s="25"/>
      <c r="Q10" s="22">
        <f t="shared" si="0"/>
        <v>7</v>
      </c>
    </row>
    <row r="11" spans="1:18" ht="15.75" customHeight="1">
      <c r="A11" s="19">
        <v>9</v>
      </c>
      <c r="B11" s="20" t="s">
        <v>34</v>
      </c>
      <c r="C11" s="20" t="s">
        <v>30</v>
      </c>
      <c r="D11" s="20" t="s">
        <v>35</v>
      </c>
      <c r="E11" s="21"/>
      <c r="F11" s="21"/>
      <c r="G11" s="21"/>
      <c r="H11" s="21"/>
      <c r="I11" s="21"/>
      <c r="J11" s="21">
        <v>10</v>
      </c>
      <c r="K11" s="21"/>
      <c r="L11" s="21"/>
      <c r="M11" s="21"/>
      <c r="N11" s="21"/>
      <c r="O11" s="21"/>
      <c r="P11" s="21"/>
      <c r="Q11" s="22">
        <f t="shared" si="0"/>
        <v>10</v>
      </c>
    </row>
    <row r="12" spans="1:18" ht="15.75" customHeight="1">
      <c r="A12" s="23">
        <v>10</v>
      </c>
      <c r="B12" s="24" t="s">
        <v>36</v>
      </c>
      <c r="C12" s="24" t="s">
        <v>30</v>
      </c>
      <c r="D12" s="24" t="s">
        <v>26</v>
      </c>
      <c r="E12" s="25"/>
      <c r="F12" s="25">
        <v>200</v>
      </c>
      <c r="G12" s="25"/>
      <c r="H12" s="25"/>
      <c r="I12" s="25"/>
      <c r="J12" s="25"/>
      <c r="K12" s="25"/>
      <c r="L12" s="25"/>
      <c r="M12" s="25">
        <v>90</v>
      </c>
      <c r="N12" s="25"/>
      <c r="O12" s="25"/>
      <c r="P12" s="25"/>
      <c r="Q12" s="22">
        <f t="shared" si="0"/>
        <v>290</v>
      </c>
    </row>
    <row r="13" spans="1:18" ht="15.75" customHeight="1">
      <c r="A13" s="19">
        <v>11</v>
      </c>
      <c r="B13" s="20" t="s">
        <v>37</v>
      </c>
      <c r="C13" s="20" t="s">
        <v>38</v>
      </c>
      <c r="D13" s="20" t="s">
        <v>39</v>
      </c>
      <c r="E13" s="21">
        <v>3</v>
      </c>
      <c r="F13" s="21">
        <v>3</v>
      </c>
      <c r="G13" s="21">
        <v>3</v>
      </c>
      <c r="H13" s="21"/>
      <c r="I13" s="21">
        <v>10</v>
      </c>
      <c r="J13" s="21"/>
      <c r="K13" s="21"/>
      <c r="L13" s="21"/>
      <c r="M13" s="21"/>
      <c r="N13" s="21"/>
      <c r="O13" s="21"/>
      <c r="P13" s="21"/>
      <c r="Q13" s="22">
        <f t="shared" si="0"/>
        <v>19</v>
      </c>
    </row>
    <row r="14" spans="1:18" ht="15.75" customHeight="1">
      <c r="A14" s="23">
        <v>12</v>
      </c>
      <c r="B14" s="24" t="s">
        <v>40</v>
      </c>
      <c r="C14" s="24" t="s">
        <v>38</v>
      </c>
      <c r="D14" s="24" t="s">
        <v>32</v>
      </c>
      <c r="E14" s="25"/>
      <c r="F14" s="25"/>
      <c r="G14" s="25">
        <v>3</v>
      </c>
      <c r="H14" s="25"/>
      <c r="I14" s="25"/>
      <c r="J14" s="25"/>
      <c r="K14" s="25"/>
      <c r="L14" s="25"/>
      <c r="M14" s="25">
        <v>100</v>
      </c>
      <c r="N14" s="25"/>
      <c r="O14" s="25"/>
      <c r="P14" s="25"/>
      <c r="Q14" s="22">
        <f t="shared" si="0"/>
        <v>103</v>
      </c>
    </row>
    <row r="15" spans="1:18" ht="15.75" customHeight="1">
      <c r="A15" s="19">
        <v>13</v>
      </c>
      <c r="B15" s="20" t="s">
        <v>41</v>
      </c>
      <c r="C15" s="20" t="s">
        <v>38</v>
      </c>
      <c r="D15" s="20" t="s">
        <v>42</v>
      </c>
      <c r="E15" s="21">
        <v>20</v>
      </c>
      <c r="F15" s="21">
        <v>20</v>
      </c>
      <c r="G15" s="21"/>
      <c r="H15" s="21"/>
      <c r="I15" s="21"/>
      <c r="J15" s="21"/>
      <c r="K15" s="21">
        <v>30</v>
      </c>
      <c r="L15" s="21">
        <v>30</v>
      </c>
      <c r="M15" s="21"/>
      <c r="N15" s="21">
        <v>20</v>
      </c>
      <c r="O15" s="21"/>
      <c r="P15" s="21"/>
      <c r="Q15" s="22">
        <f t="shared" si="0"/>
        <v>120</v>
      </c>
    </row>
    <row r="16" spans="1:18" ht="15.75" customHeight="1">
      <c r="A16" s="23">
        <v>14</v>
      </c>
      <c r="B16" s="24" t="s">
        <v>43</v>
      </c>
      <c r="C16" s="24" t="s">
        <v>38</v>
      </c>
      <c r="D16" s="24" t="s">
        <v>22</v>
      </c>
      <c r="E16" s="25"/>
      <c r="F16" s="25"/>
      <c r="G16" s="25"/>
      <c r="H16" s="25"/>
      <c r="I16" s="25"/>
      <c r="J16" s="25"/>
      <c r="K16" s="25"/>
      <c r="L16" s="25"/>
      <c r="M16" s="25">
        <v>200</v>
      </c>
      <c r="N16" s="25"/>
      <c r="O16" s="25"/>
      <c r="P16" s="25"/>
      <c r="Q16" s="22">
        <f t="shared" si="0"/>
        <v>200</v>
      </c>
    </row>
    <row r="17" spans="1:17" ht="15.75" customHeight="1">
      <c r="A17" s="19">
        <v>15</v>
      </c>
      <c r="B17" s="20" t="s">
        <v>44</v>
      </c>
      <c r="C17" s="20" t="s">
        <v>38</v>
      </c>
      <c r="D17" s="20" t="s">
        <v>45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>
        <v>5</v>
      </c>
      <c r="P17" s="21"/>
      <c r="Q17" s="22">
        <f t="shared" si="0"/>
        <v>5</v>
      </c>
    </row>
    <row r="18" spans="1:17" ht="15.75" customHeight="1">
      <c r="A18" s="23">
        <v>16</v>
      </c>
      <c r="B18" s="24" t="s">
        <v>46</v>
      </c>
      <c r="C18" s="24" t="s">
        <v>38</v>
      </c>
      <c r="D18" s="24" t="s">
        <v>47</v>
      </c>
      <c r="E18" s="25"/>
      <c r="F18" s="25"/>
      <c r="G18" s="25"/>
      <c r="H18" s="25">
        <v>30</v>
      </c>
      <c r="I18" s="25"/>
      <c r="J18" s="25"/>
      <c r="K18" s="25"/>
      <c r="L18" s="25"/>
      <c r="M18" s="25">
        <v>60</v>
      </c>
      <c r="N18" s="25"/>
      <c r="O18" s="25"/>
      <c r="P18" s="25"/>
      <c r="Q18" s="22">
        <f t="shared" si="0"/>
        <v>90</v>
      </c>
    </row>
    <row r="19" spans="1:17" ht="15.75" customHeight="1">
      <c r="A19" s="19">
        <v>17</v>
      </c>
      <c r="B19" s="20" t="s">
        <v>48</v>
      </c>
      <c r="C19" s="20" t="s">
        <v>38</v>
      </c>
      <c r="D19" s="20" t="s">
        <v>24</v>
      </c>
      <c r="E19" s="21"/>
      <c r="F19" s="21"/>
      <c r="G19" s="21">
        <v>10</v>
      </c>
      <c r="H19" s="21"/>
      <c r="I19" s="21"/>
      <c r="J19" s="21"/>
      <c r="K19" s="21">
        <v>10</v>
      </c>
      <c r="L19" s="21">
        <v>10</v>
      </c>
      <c r="M19" s="21"/>
      <c r="N19" s="21"/>
      <c r="O19" s="21"/>
      <c r="P19" s="21"/>
      <c r="Q19" s="22">
        <f t="shared" si="0"/>
        <v>30</v>
      </c>
    </row>
    <row r="20" spans="1:17" ht="15.75" customHeight="1">
      <c r="A20" s="23">
        <v>18</v>
      </c>
      <c r="B20" s="24" t="s">
        <v>49</v>
      </c>
      <c r="C20" s="24" t="s">
        <v>38</v>
      </c>
      <c r="D20" s="24" t="s">
        <v>50</v>
      </c>
      <c r="E20" s="25">
        <v>25</v>
      </c>
      <c r="F20" s="25">
        <v>15</v>
      </c>
      <c r="G20" s="25">
        <v>15</v>
      </c>
      <c r="H20" s="25">
        <v>45</v>
      </c>
      <c r="I20" s="25">
        <v>15</v>
      </c>
      <c r="J20" s="25"/>
      <c r="K20" s="25"/>
      <c r="L20" s="25"/>
      <c r="M20" s="25"/>
      <c r="N20" s="25"/>
      <c r="O20" s="25"/>
      <c r="P20" s="25"/>
      <c r="Q20" s="22">
        <f t="shared" si="0"/>
        <v>115</v>
      </c>
    </row>
    <row r="21" spans="1:17" ht="15.75" customHeight="1">
      <c r="A21" s="19">
        <v>19</v>
      </c>
      <c r="B21" s="20" t="s">
        <v>51</v>
      </c>
      <c r="C21" s="20" t="s">
        <v>38</v>
      </c>
      <c r="D21" s="20" t="s">
        <v>26</v>
      </c>
      <c r="E21" s="21"/>
      <c r="F21" s="21"/>
      <c r="G21" s="21">
        <v>4</v>
      </c>
      <c r="H21" s="21"/>
      <c r="I21" s="21"/>
      <c r="J21" s="21"/>
      <c r="K21" s="21"/>
      <c r="L21" s="21">
        <v>200</v>
      </c>
      <c r="M21" s="21"/>
      <c r="N21" s="21"/>
      <c r="O21" s="21"/>
      <c r="P21" s="21"/>
      <c r="Q21" s="22">
        <f t="shared" si="0"/>
        <v>204</v>
      </c>
    </row>
    <row r="22" spans="1:17" ht="15.75" customHeight="1">
      <c r="A22" s="23">
        <v>20</v>
      </c>
      <c r="B22" s="24" t="s">
        <v>52</v>
      </c>
      <c r="C22" s="24" t="s">
        <v>38</v>
      </c>
      <c r="D22" s="24" t="s">
        <v>53</v>
      </c>
      <c r="E22" s="25">
        <v>10</v>
      </c>
      <c r="F22" s="25">
        <v>15</v>
      </c>
      <c r="G22" s="25">
        <v>15</v>
      </c>
      <c r="H22" s="25">
        <v>10</v>
      </c>
      <c r="I22" s="25">
        <v>10</v>
      </c>
      <c r="J22" s="25"/>
      <c r="K22" s="25"/>
      <c r="L22" s="25"/>
      <c r="M22" s="25"/>
      <c r="N22" s="25"/>
      <c r="O22" s="25"/>
      <c r="P22" s="25"/>
      <c r="Q22" s="22">
        <f t="shared" si="0"/>
        <v>60</v>
      </c>
    </row>
    <row r="23" spans="1:17" ht="15.75" customHeight="1">
      <c r="A23" s="19">
        <v>21</v>
      </c>
      <c r="B23" s="20" t="s">
        <v>54</v>
      </c>
      <c r="C23" s="20" t="s">
        <v>38</v>
      </c>
      <c r="D23" s="20" t="s">
        <v>55</v>
      </c>
      <c r="E23" s="21">
        <v>20</v>
      </c>
      <c r="F23" s="21">
        <v>10</v>
      </c>
      <c r="G23" s="21">
        <v>10</v>
      </c>
      <c r="H23" s="21">
        <v>10</v>
      </c>
      <c r="I23" s="21">
        <v>10</v>
      </c>
      <c r="J23" s="21"/>
      <c r="K23" s="21"/>
      <c r="L23" s="21"/>
      <c r="M23" s="21"/>
      <c r="N23" s="21"/>
      <c r="O23" s="21"/>
      <c r="P23" s="21"/>
      <c r="Q23" s="22">
        <f t="shared" si="0"/>
        <v>60</v>
      </c>
    </row>
    <row r="24" spans="1:17" ht="15.75" customHeight="1">
      <c r="A24" s="23">
        <v>22</v>
      </c>
      <c r="B24" s="24" t="s">
        <v>56</v>
      </c>
      <c r="C24" s="24" t="s">
        <v>38</v>
      </c>
      <c r="D24" s="24" t="s">
        <v>57</v>
      </c>
      <c r="E24" s="25">
        <v>120</v>
      </c>
      <c r="F24" s="25"/>
      <c r="G24" s="25"/>
      <c r="H24" s="25"/>
      <c r="I24" s="25"/>
      <c r="J24" s="25"/>
      <c r="K24" s="25">
        <v>50</v>
      </c>
      <c r="L24" s="25">
        <v>100</v>
      </c>
      <c r="M24" s="25">
        <v>130</v>
      </c>
      <c r="N24" s="25"/>
      <c r="O24" s="25"/>
      <c r="P24" s="25">
        <v>100</v>
      </c>
      <c r="Q24" s="22">
        <f t="shared" si="0"/>
        <v>500</v>
      </c>
    </row>
    <row r="25" spans="1:17" ht="15.75" customHeight="1">
      <c r="A25" s="19">
        <v>23</v>
      </c>
      <c r="B25" s="20" t="s">
        <v>58</v>
      </c>
      <c r="C25" s="20" t="s">
        <v>38</v>
      </c>
      <c r="D25" s="20" t="s">
        <v>59</v>
      </c>
      <c r="E25" s="21"/>
      <c r="F25" s="21"/>
      <c r="G25" s="21"/>
      <c r="H25" s="21">
        <v>30</v>
      </c>
      <c r="I25" s="21"/>
      <c r="J25" s="21"/>
      <c r="K25" s="21">
        <v>60</v>
      </c>
      <c r="L25" s="21"/>
      <c r="M25" s="21"/>
      <c r="N25" s="21"/>
      <c r="O25" s="21"/>
      <c r="P25" s="21"/>
      <c r="Q25" s="22">
        <f t="shared" si="0"/>
        <v>90</v>
      </c>
    </row>
    <row r="26" spans="1:17" ht="15.75" customHeight="1">
      <c r="A26" s="23">
        <v>24</v>
      </c>
      <c r="B26" s="24" t="s">
        <v>60</v>
      </c>
      <c r="C26" s="24" t="s">
        <v>38</v>
      </c>
      <c r="D26" s="24" t="s">
        <v>61</v>
      </c>
      <c r="E26" s="25">
        <v>3</v>
      </c>
      <c r="F26" s="25">
        <v>3</v>
      </c>
      <c r="G26" s="25">
        <v>3</v>
      </c>
      <c r="H26" s="25"/>
      <c r="I26" s="25">
        <v>10</v>
      </c>
      <c r="J26" s="25"/>
      <c r="K26" s="25"/>
      <c r="L26" s="25"/>
      <c r="M26" s="25"/>
      <c r="N26" s="25"/>
      <c r="O26" s="25"/>
      <c r="P26" s="25"/>
      <c r="Q26" s="22">
        <f t="shared" si="0"/>
        <v>19</v>
      </c>
    </row>
    <row r="27" spans="1:17" ht="15.75" customHeight="1">
      <c r="A27" s="19">
        <v>25</v>
      </c>
      <c r="B27" s="20" t="s">
        <v>62</v>
      </c>
      <c r="C27" s="20" t="s">
        <v>63</v>
      </c>
      <c r="D27" s="20" t="s">
        <v>50</v>
      </c>
      <c r="E27" s="21">
        <v>10</v>
      </c>
      <c r="F27" s="21"/>
      <c r="G27" s="21">
        <v>15</v>
      </c>
      <c r="H27" s="21"/>
      <c r="I27" s="21"/>
      <c r="J27" s="21"/>
      <c r="K27" s="21"/>
      <c r="L27" s="21"/>
      <c r="M27" s="21"/>
      <c r="N27" s="21"/>
      <c r="O27" s="21"/>
      <c r="P27" s="21"/>
      <c r="Q27" s="22">
        <f t="shared" si="0"/>
        <v>25</v>
      </c>
    </row>
    <row r="28" spans="1:17" ht="15.75" customHeight="1">
      <c r="A28" s="23">
        <v>26</v>
      </c>
      <c r="B28" s="24" t="s">
        <v>64</v>
      </c>
      <c r="C28" s="24" t="s">
        <v>63</v>
      </c>
      <c r="D28" s="24" t="s">
        <v>53</v>
      </c>
      <c r="E28" s="25"/>
      <c r="F28" s="25"/>
      <c r="G28" s="25">
        <v>10</v>
      </c>
      <c r="H28" s="25"/>
      <c r="I28" s="25"/>
      <c r="J28" s="25"/>
      <c r="K28" s="25"/>
      <c r="L28" s="25"/>
      <c r="M28" s="25"/>
      <c r="N28" s="25"/>
      <c r="O28" s="25"/>
      <c r="P28" s="25"/>
      <c r="Q28" s="22">
        <f t="shared" si="0"/>
        <v>10</v>
      </c>
    </row>
    <row r="29" spans="1:17" ht="15.75" customHeight="1">
      <c r="A29" s="19">
        <v>27</v>
      </c>
      <c r="B29" s="20" t="s">
        <v>65</v>
      </c>
      <c r="C29" s="20" t="s">
        <v>63</v>
      </c>
      <c r="D29" s="20" t="s">
        <v>55</v>
      </c>
      <c r="E29" s="21">
        <v>10</v>
      </c>
      <c r="F29" s="21"/>
      <c r="G29" s="21">
        <v>10</v>
      </c>
      <c r="H29" s="21"/>
      <c r="I29" s="21"/>
      <c r="J29" s="21"/>
      <c r="K29" s="21"/>
      <c r="L29" s="21"/>
      <c r="M29" s="21"/>
      <c r="N29" s="21"/>
      <c r="O29" s="21"/>
      <c r="P29" s="21"/>
      <c r="Q29" s="22">
        <f t="shared" si="0"/>
        <v>20</v>
      </c>
    </row>
    <row r="30" spans="1:17" ht="15.75" customHeight="1">
      <c r="A30" s="23">
        <v>28</v>
      </c>
      <c r="B30" s="24" t="s">
        <v>66</v>
      </c>
      <c r="C30" s="24" t="s">
        <v>30</v>
      </c>
      <c r="D30" s="24" t="s">
        <v>24</v>
      </c>
      <c r="E30" s="25"/>
      <c r="F30" s="25">
        <v>200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2">
        <f t="shared" si="0"/>
        <v>200</v>
      </c>
    </row>
    <row r="31" spans="1:17" ht="15.75" customHeight="1">
      <c r="A31" s="19">
        <v>29</v>
      </c>
      <c r="B31" s="20" t="s">
        <v>67</v>
      </c>
      <c r="C31" s="20" t="s">
        <v>30</v>
      </c>
      <c r="D31" s="20" t="s">
        <v>57</v>
      </c>
      <c r="E31" s="21"/>
      <c r="F31" s="21">
        <v>200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2">
        <f t="shared" si="0"/>
        <v>200</v>
      </c>
    </row>
    <row r="32" spans="1:17" ht="15.75" customHeight="1">
      <c r="A32" s="23">
        <v>30</v>
      </c>
      <c r="B32" s="24" t="s">
        <v>68</v>
      </c>
      <c r="C32" s="24" t="s">
        <v>69</v>
      </c>
      <c r="D32" s="24" t="s">
        <v>20</v>
      </c>
      <c r="E32" s="25"/>
      <c r="F32" s="25"/>
      <c r="G32" s="25"/>
      <c r="H32" s="25"/>
      <c r="I32" s="25"/>
      <c r="J32" s="25">
        <v>1</v>
      </c>
      <c r="K32" s="25"/>
      <c r="L32" s="25"/>
      <c r="M32" s="25"/>
      <c r="N32" s="25">
        <v>10</v>
      </c>
      <c r="O32" s="25"/>
      <c r="P32" s="25"/>
      <c r="Q32" s="22">
        <f t="shared" si="0"/>
        <v>11</v>
      </c>
    </row>
    <row r="33" spans="1:17" ht="15.75" customHeight="1">
      <c r="A33" s="19">
        <v>31</v>
      </c>
      <c r="B33" s="20" t="s">
        <v>70</v>
      </c>
      <c r="C33" s="20" t="s">
        <v>28</v>
      </c>
      <c r="D33" s="20" t="s">
        <v>32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>
        <v>96</v>
      </c>
      <c r="Q33" s="22">
        <f t="shared" si="0"/>
        <v>96</v>
      </c>
    </row>
    <row r="34" spans="1:17" ht="15.75" customHeight="1">
      <c r="A34" s="23">
        <v>32</v>
      </c>
      <c r="B34" s="24" t="s">
        <v>71</v>
      </c>
      <c r="C34" s="24" t="s">
        <v>19</v>
      </c>
      <c r="D34" s="24" t="s">
        <v>32</v>
      </c>
      <c r="E34" s="25">
        <v>50</v>
      </c>
      <c r="F34" s="25">
        <v>200</v>
      </c>
      <c r="G34" s="25"/>
      <c r="H34" s="25">
        <v>23</v>
      </c>
      <c r="I34" s="25"/>
      <c r="J34" s="25"/>
      <c r="K34" s="25"/>
      <c r="L34" s="25"/>
      <c r="M34" s="25"/>
      <c r="N34" s="25"/>
      <c r="O34" s="25"/>
      <c r="P34" s="25"/>
      <c r="Q34" s="22">
        <f t="shared" si="0"/>
        <v>273</v>
      </c>
    </row>
    <row r="35" spans="1:17" ht="15.75" customHeight="1">
      <c r="A35" s="19">
        <v>33</v>
      </c>
      <c r="B35" s="20" t="s">
        <v>72</v>
      </c>
      <c r="C35" s="20" t="s">
        <v>19</v>
      </c>
      <c r="D35" s="20" t="s">
        <v>47</v>
      </c>
      <c r="E35" s="21"/>
      <c r="F35" s="21"/>
      <c r="G35" s="21"/>
      <c r="H35" s="21"/>
      <c r="I35" s="21"/>
      <c r="J35" s="21">
        <v>50</v>
      </c>
      <c r="K35" s="21"/>
      <c r="L35" s="21"/>
      <c r="M35" s="21"/>
      <c r="N35" s="21"/>
      <c r="O35" s="21"/>
      <c r="P35" s="21"/>
      <c r="Q35" s="22">
        <f t="shared" si="0"/>
        <v>50</v>
      </c>
    </row>
    <row r="36" spans="1:17" ht="15.75" customHeight="1">
      <c r="A36" s="23">
        <v>34</v>
      </c>
      <c r="B36" s="24" t="s">
        <v>73</v>
      </c>
      <c r="C36" s="24" t="s">
        <v>69</v>
      </c>
      <c r="D36" s="24" t="s">
        <v>22</v>
      </c>
      <c r="E36" s="25"/>
      <c r="F36" s="25"/>
      <c r="G36" s="25"/>
      <c r="H36" s="25"/>
      <c r="I36" s="25"/>
      <c r="J36" s="25">
        <v>6</v>
      </c>
      <c r="K36" s="25"/>
      <c r="L36" s="25"/>
      <c r="M36" s="25"/>
      <c r="N36" s="25">
        <v>4</v>
      </c>
      <c r="O36" s="25"/>
      <c r="P36" s="25"/>
      <c r="Q36" s="22">
        <f t="shared" si="0"/>
        <v>10</v>
      </c>
    </row>
    <row r="37" spans="1:17" ht="15.75" customHeight="1">
      <c r="A37" s="19">
        <v>35</v>
      </c>
      <c r="B37" s="20" t="s">
        <v>74</v>
      </c>
      <c r="C37" s="20" t="s">
        <v>75</v>
      </c>
      <c r="D37" s="20" t="s">
        <v>47</v>
      </c>
      <c r="E37" s="21"/>
      <c r="F37" s="21"/>
      <c r="G37" s="21"/>
      <c r="H37" s="21"/>
      <c r="I37" s="21"/>
      <c r="J37" s="21">
        <v>1</v>
      </c>
      <c r="K37" s="21"/>
      <c r="L37" s="21"/>
      <c r="M37" s="21"/>
      <c r="N37" s="21"/>
      <c r="O37" s="21"/>
      <c r="P37" s="21"/>
      <c r="Q37" s="22">
        <f t="shared" si="0"/>
        <v>1</v>
      </c>
    </row>
    <row r="38" spans="1:17" ht="15.75" customHeight="1">
      <c r="A38" s="23">
        <v>36</v>
      </c>
      <c r="B38" s="24" t="s">
        <v>76</v>
      </c>
      <c r="C38" s="24" t="s">
        <v>77</v>
      </c>
      <c r="D38" s="24" t="s">
        <v>78</v>
      </c>
      <c r="E38" s="25">
        <v>100</v>
      </c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2">
        <f t="shared" si="0"/>
        <v>100</v>
      </c>
    </row>
    <row r="39" spans="1:17" ht="15.75" customHeight="1">
      <c r="A39" s="19">
        <v>37</v>
      </c>
      <c r="B39" s="20" t="s">
        <v>79</v>
      </c>
      <c r="C39" s="20" t="s">
        <v>80</v>
      </c>
      <c r="D39" s="20" t="s">
        <v>78</v>
      </c>
      <c r="E39" s="21"/>
      <c r="F39" s="21"/>
      <c r="G39" s="21"/>
      <c r="H39" s="21"/>
      <c r="I39" s="21"/>
      <c r="J39" s="21"/>
      <c r="K39" s="21"/>
      <c r="L39" s="21"/>
      <c r="M39" s="21">
        <v>2</v>
      </c>
      <c r="N39" s="21">
        <v>1</v>
      </c>
      <c r="O39" s="21"/>
      <c r="P39" s="21">
        <v>2</v>
      </c>
      <c r="Q39" s="22">
        <f t="shared" si="0"/>
        <v>5</v>
      </c>
    </row>
    <row r="40" spans="1:17" ht="15.75" customHeight="1">
      <c r="A40" s="23">
        <v>38</v>
      </c>
      <c r="B40" s="24" t="s">
        <v>81</v>
      </c>
      <c r="C40" s="24" t="s">
        <v>82</v>
      </c>
      <c r="D40" s="24" t="s">
        <v>78</v>
      </c>
      <c r="E40" s="25"/>
      <c r="F40" s="25"/>
      <c r="G40" s="25">
        <v>100</v>
      </c>
      <c r="H40" s="25"/>
      <c r="I40" s="25"/>
      <c r="J40" s="25"/>
      <c r="K40" s="25"/>
      <c r="L40" s="25"/>
      <c r="M40" s="25"/>
      <c r="N40" s="25"/>
      <c r="O40" s="25"/>
      <c r="P40" s="25"/>
      <c r="Q40" s="22">
        <f t="shared" si="0"/>
        <v>100</v>
      </c>
    </row>
    <row r="41" spans="1:17" ht="15.75" customHeight="1">
      <c r="A41" s="19">
        <v>39</v>
      </c>
      <c r="B41" s="20" t="s">
        <v>83</v>
      </c>
      <c r="C41" s="20" t="s">
        <v>84</v>
      </c>
      <c r="D41" s="20" t="s">
        <v>78</v>
      </c>
      <c r="E41" s="21">
        <v>100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2">
        <f t="shared" si="0"/>
        <v>100</v>
      </c>
    </row>
    <row r="42" spans="1:17" ht="15.75" customHeight="1">
      <c r="A42" s="23">
        <v>40</v>
      </c>
      <c r="B42" s="24" t="s">
        <v>85</v>
      </c>
      <c r="C42" s="24" t="s">
        <v>28</v>
      </c>
      <c r="D42" s="24" t="s">
        <v>57</v>
      </c>
      <c r="E42" s="25"/>
      <c r="F42" s="25"/>
      <c r="G42" s="25"/>
      <c r="H42" s="25"/>
      <c r="I42" s="25"/>
      <c r="J42" s="25"/>
      <c r="K42" s="25">
        <v>5</v>
      </c>
      <c r="L42" s="25"/>
      <c r="M42" s="25"/>
      <c r="N42" s="25"/>
      <c r="O42" s="25"/>
      <c r="P42" s="25"/>
      <c r="Q42" s="22">
        <f t="shared" si="0"/>
        <v>5</v>
      </c>
    </row>
    <row r="43" spans="1:17" ht="15.75" customHeight="1">
      <c r="A43" s="19">
        <v>41</v>
      </c>
      <c r="B43" s="20" t="s">
        <v>86</v>
      </c>
      <c r="C43" s="20" t="s">
        <v>69</v>
      </c>
      <c r="D43" s="20" t="s">
        <v>87</v>
      </c>
      <c r="E43" s="21"/>
      <c r="F43" s="21"/>
      <c r="G43" s="21"/>
      <c r="H43" s="21"/>
      <c r="I43" s="21"/>
      <c r="J43" s="21">
        <v>6</v>
      </c>
      <c r="K43" s="21"/>
      <c r="L43" s="21"/>
      <c r="M43" s="21"/>
      <c r="N43" s="21">
        <v>5</v>
      </c>
      <c r="O43" s="21"/>
      <c r="P43" s="21"/>
      <c r="Q43" s="22">
        <f t="shared" si="0"/>
        <v>11</v>
      </c>
    </row>
    <row r="44" spans="1:17" ht="15.75" customHeight="1">
      <c r="A44" s="23">
        <v>42</v>
      </c>
      <c r="B44" s="24" t="s">
        <v>88</v>
      </c>
      <c r="C44" s="24" t="s">
        <v>89</v>
      </c>
      <c r="D44" s="24" t="s">
        <v>90</v>
      </c>
      <c r="E44" s="25"/>
      <c r="F44" s="25"/>
      <c r="G44" s="25"/>
      <c r="H44" s="25"/>
      <c r="I44" s="25"/>
      <c r="J44" s="25"/>
      <c r="K44" s="25"/>
      <c r="L44" s="25"/>
      <c r="M44" s="25"/>
      <c r="N44" s="25">
        <v>30</v>
      </c>
      <c r="O44" s="25"/>
      <c r="P44" s="25"/>
      <c r="Q44" s="22">
        <f t="shared" si="0"/>
        <v>30</v>
      </c>
    </row>
    <row r="45" spans="1:17" ht="15.75" customHeight="1">
      <c r="A45" s="19">
        <v>43</v>
      </c>
      <c r="B45" s="20" t="s">
        <v>91</v>
      </c>
      <c r="C45" s="20" t="s">
        <v>77</v>
      </c>
      <c r="D45" s="20" t="s">
        <v>90</v>
      </c>
      <c r="E45" s="21"/>
      <c r="F45" s="21"/>
      <c r="G45" s="21"/>
      <c r="H45" s="21">
        <v>43</v>
      </c>
      <c r="I45" s="21"/>
      <c r="J45" s="21"/>
      <c r="K45" s="21"/>
      <c r="L45" s="21">
        <v>100</v>
      </c>
      <c r="M45" s="21">
        <v>1</v>
      </c>
      <c r="N45" s="21">
        <v>100</v>
      </c>
      <c r="O45" s="21"/>
      <c r="P45" s="21">
        <v>2</v>
      </c>
      <c r="Q45" s="22">
        <f t="shared" si="0"/>
        <v>246</v>
      </c>
    </row>
    <row r="46" spans="1:17" ht="15.75" customHeight="1">
      <c r="A46" s="23">
        <v>44</v>
      </c>
      <c r="B46" s="24" t="s">
        <v>92</v>
      </c>
      <c r="C46" s="24" t="s">
        <v>93</v>
      </c>
      <c r="D46" s="24" t="s">
        <v>90</v>
      </c>
      <c r="E46" s="25">
        <v>30</v>
      </c>
      <c r="F46" s="25">
        <v>40</v>
      </c>
      <c r="G46" s="25"/>
      <c r="H46" s="25">
        <v>5</v>
      </c>
      <c r="I46" s="25"/>
      <c r="J46" s="25"/>
      <c r="K46" s="25"/>
      <c r="L46" s="25">
        <v>50</v>
      </c>
      <c r="M46" s="25"/>
      <c r="N46" s="25">
        <v>120</v>
      </c>
      <c r="O46" s="25">
        <v>6</v>
      </c>
      <c r="P46" s="25"/>
      <c r="Q46" s="22">
        <f t="shared" si="0"/>
        <v>251</v>
      </c>
    </row>
    <row r="47" spans="1:17" ht="15.75" customHeight="1">
      <c r="A47" s="19">
        <v>45</v>
      </c>
      <c r="B47" s="20" t="s">
        <v>94</v>
      </c>
      <c r="C47" s="20" t="s">
        <v>95</v>
      </c>
      <c r="D47" s="20" t="s">
        <v>90</v>
      </c>
      <c r="E47" s="21"/>
      <c r="F47" s="21">
        <v>90</v>
      </c>
      <c r="G47" s="21"/>
      <c r="H47" s="21"/>
      <c r="I47" s="21">
        <v>90</v>
      </c>
      <c r="J47" s="21">
        <v>20</v>
      </c>
      <c r="K47" s="21">
        <v>60</v>
      </c>
      <c r="L47" s="21">
        <v>70</v>
      </c>
      <c r="M47" s="21"/>
      <c r="N47" s="21">
        <v>75</v>
      </c>
      <c r="O47" s="21"/>
      <c r="P47" s="21">
        <v>2</v>
      </c>
      <c r="Q47" s="22">
        <f t="shared" si="0"/>
        <v>407</v>
      </c>
    </row>
    <row r="48" spans="1:17" ht="15.75" customHeight="1">
      <c r="A48" s="23">
        <v>46</v>
      </c>
      <c r="B48" s="24" t="s">
        <v>96</v>
      </c>
      <c r="C48" s="24" t="s">
        <v>97</v>
      </c>
      <c r="D48" s="24" t="s">
        <v>90</v>
      </c>
      <c r="E48" s="25"/>
      <c r="F48" s="25"/>
      <c r="G48" s="25"/>
      <c r="H48" s="25"/>
      <c r="I48" s="25"/>
      <c r="J48" s="25"/>
      <c r="K48" s="25"/>
      <c r="L48" s="25"/>
      <c r="M48" s="25"/>
      <c r="N48" s="25">
        <v>5</v>
      </c>
      <c r="O48" s="25"/>
      <c r="P48" s="25"/>
      <c r="Q48" s="22">
        <f t="shared" si="0"/>
        <v>5</v>
      </c>
    </row>
    <row r="49" spans="1:17" ht="15.75" customHeight="1">
      <c r="A49" s="19">
        <v>47</v>
      </c>
      <c r="B49" s="20" t="s">
        <v>98</v>
      </c>
      <c r="C49" s="20" t="s">
        <v>99</v>
      </c>
      <c r="D49" s="20" t="s">
        <v>100</v>
      </c>
      <c r="E49" s="21"/>
      <c r="F49" s="21"/>
      <c r="G49" s="21">
        <v>7</v>
      </c>
      <c r="H49" s="21"/>
      <c r="I49" s="21">
        <v>10</v>
      </c>
      <c r="J49" s="21"/>
      <c r="K49" s="21"/>
      <c r="L49" s="21"/>
      <c r="M49" s="21"/>
      <c r="N49" s="21"/>
      <c r="O49" s="21"/>
      <c r="P49" s="21"/>
      <c r="Q49" s="22">
        <f t="shared" si="0"/>
        <v>17</v>
      </c>
    </row>
    <row r="50" spans="1:17" ht="15.75" customHeight="1">
      <c r="A50" s="23">
        <v>48</v>
      </c>
      <c r="B50" s="24" t="s">
        <v>101</v>
      </c>
      <c r="C50" s="24" t="s">
        <v>84</v>
      </c>
      <c r="D50" s="24" t="s">
        <v>90</v>
      </c>
      <c r="E50" s="25"/>
      <c r="F50" s="25"/>
      <c r="G50" s="25"/>
      <c r="H50" s="25"/>
      <c r="I50" s="25">
        <v>100</v>
      </c>
      <c r="J50" s="25"/>
      <c r="K50" s="25"/>
      <c r="L50" s="25">
        <v>50</v>
      </c>
      <c r="M50" s="25"/>
      <c r="N50" s="25">
        <v>20</v>
      </c>
      <c r="O50" s="25"/>
      <c r="P50" s="25"/>
      <c r="Q50" s="22">
        <f t="shared" si="0"/>
        <v>170</v>
      </c>
    </row>
    <row r="51" spans="1:17" ht="15.75" customHeight="1">
      <c r="A51" s="19">
        <v>49</v>
      </c>
      <c r="B51" s="20" t="s">
        <v>102</v>
      </c>
      <c r="C51" s="20" t="s">
        <v>103</v>
      </c>
      <c r="D51" s="20" t="s">
        <v>104</v>
      </c>
      <c r="E51" s="21"/>
      <c r="F51" s="21"/>
      <c r="G51" s="21">
        <v>20</v>
      </c>
      <c r="H51" s="21"/>
      <c r="I51" s="21"/>
      <c r="J51" s="21"/>
      <c r="K51" s="21"/>
      <c r="L51" s="21"/>
      <c r="M51" s="21"/>
      <c r="N51" s="21"/>
      <c r="O51" s="21"/>
      <c r="P51" s="21"/>
      <c r="Q51" s="22">
        <f t="shared" si="0"/>
        <v>20</v>
      </c>
    </row>
    <row r="52" spans="1:17" ht="15.75" customHeight="1">
      <c r="A52" s="23">
        <v>50</v>
      </c>
      <c r="B52" s="24" t="s">
        <v>105</v>
      </c>
      <c r="C52" s="24" t="s">
        <v>103</v>
      </c>
      <c r="D52" s="24" t="s">
        <v>106</v>
      </c>
      <c r="E52" s="25"/>
      <c r="F52" s="25"/>
      <c r="G52" s="25"/>
      <c r="H52" s="25"/>
      <c r="I52" s="25"/>
      <c r="J52" s="25"/>
      <c r="K52" s="25">
        <v>3</v>
      </c>
      <c r="L52" s="25"/>
      <c r="M52" s="25"/>
      <c r="N52" s="25"/>
      <c r="O52" s="25"/>
      <c r="P52" s="25"/>
      <c r="Q52" s="22">
        <f t="shared" si="0"/>
        <v>3</v>
      </c>
    </row>
    <row r="53" spans="1:17" ht="15.75" customHeight="1">
      <c r="A53" s="19">
        <v>51</v>
      </c>
      <c r="B53" s="20" t="s">
        <v>107</v>
      </c>
      <c r="C53" s="20" t="s">
        <v>108</v>
      </c>
      <c r="D53" s="20" t="s">
        <v>100</v>
      </c>
      <c r="E53" s="21"/>
      <c r="F53" s="21">
        <v>80</v>
      </c>
      <c r="G53" s="21">
        <v>30</v>
      </c>
      <c r="H53" s="21"/>
      <c r="I53" s="21"/>
      <c r="J53" s="21"/>
      <c r="K53" s="21">
        <v>2</v>
      </c>
      <c r="L53" s="21">
        <v>80</v>
      </c>
      <c r="M53" s="21">
        <v>30</v>
      </c>
      <c r="N53" s="21">
        <v>6</v>
      </c>
      <c r="O53" s="21"/>
      <c r="P53" s="21">
        <v>32</v>
      </c>
      <c r="Q53" s="22">
        <f t="shared" si="0"/>
        <v>260</v>
      </c>
    </row>
    <row r="54" spans="1:17" ht="15.75" customHeight="1">
      <c r="A54" s="23">
        <v>52</v>
      </c>
      <c r="B54" s="24" t="s">
        <v>109</v>
      </c>
      <c r="C54" s="24" t="s">
        <v>110</v>
      </c>
      <c r="D54" s="24" t="s">
        <v>100</v>
      </c>
      <c r="E54" s="25"/>
      <c r="F54" s="25">
        <v>20</v>
      </c>
      <c r="G54" s="25">
        <v>60</v>
      </c>
      <c r="H54" s="25">
        <v>50</v>
      </c>
      <c r="I54" s="25"/>
      <c r="J54" s="25"/>
      <c r="K54" s="25"/>
      <c r="L54" s="25">
        <v>20</v>
      </c>
      <c r="M54" s="25">
        <v>20</v>
      </c>
      <c r="N54" s="25"/>
      <c r="O54" s="25"/>
      <c r="P54" s="25">
        <v>30</v>
      </c>
      <c r="Q54" s="22">
        <f t="shared" si="0"/>
        <v>200</v>
      </c>
    </row>
    <row r="55" spans="1:17" ht="15.75" customHeight="1">
      <c r="A55" s="19">
        <v>53</v>
      </c>
      <c r="B55" s="20" t="s">
        <v>111</v>
      </c>
      <c r="C55" s="20" t="s">
        <v>80</v>
      </c>
      <c r="D55" s="20" t="s">
        <v>100</v>
      </c>
      <c r="E55" s="21"/>
      <c r="F55" s="21"/>
      <c r="G55" s="21">
        <v>30</v>
      </c>
      <c r="H55" s="21"/>
      <c r="I55" s="21">
        <v>10</v>
      </c>
      <c r="J55" s="21"/>
      <c r="K55" s="21">
        <v>30</v>
      </c>
      <c r="L55" s="21">
        <v>20</v>
      </c>
      <c r="M55" s="21"/>
      <c r="N55" s="21"/>
      <c r="O55" s="21"/>
      <c r="P55" s="21">
        <v>30</v>
      </c>
      <c r="Q55" s="22">
        <f t="shared" si="0"/>
        <v>120</v>
      </c>
    </row>
    <row r="56" spans="1:17" ht="15.75" customHeight="1">
      <c r="A56" s="23">
        <v>54</v>
      </c>
      <c r="B56" s="24" t="s">
        <v>112</v>
      </c>
      <c r="C56" s="24" t="s">
        <v>113</v>
      </c>
      <c r="D56" s="24" t="s">
        <v>100</v>
      </c>
      <c r="E56" s="25"/>
      <c r="F56" s="25"/>
      <c r="G56" s="25">
        <v>19</v>
      </c>
      <c r="H56" s="25"/>
      <c r="I56" s="25">
        <v>10</v>
      </c>
      <c r="J56" s="25"/>
      <c r="K56" s="25"/>
      <c r="L56" s="25"/>
      <c r="M56" s="25"/>
      <c r="N56" s="25"/>
      <c r="O56" s="25"/>
      <c r="P56" s="25"/>
      <c r="Q56" s="22">
        <f t="shared" si="0"/>
        <v>29</v>
      </c>
    </row>
    <row r="57" spans="1:17" ht="15.75" customHeight="1">
      <c r="A57" s="19">
        <v>55</v>
      </c>
      <c r="B57" s="20" t="s">
        <v>114</v>
      </c>
      <c r="C57" s="20" t="s">
        <v>115</v>
      </c>
      <c r="D57" s="20" t="s">
        <v>100</v>
      </c>
      <c r="E57" s="21"/>
      <c r="F57" s="21"/>
      <c r="G57" s="21"/>
      <c r="H57" s="21"/>
      <c r="I57" s="21"/>
      <c r="J57" s="21"/>
      <c r="K57" s="21"/>
      <c r="L57" s="21"/>
      <c r="M57" s="21"/>
      <c r="N57" s="21">
        <v>5</v>
      </c>
      <c r="O57" s="21"/>
      <c r="P57" s="21"/>
      <c r="Q57" s="22">
        <f t="shared" si="0"/>
        <v>5</v>
      </c>
    </row>
    <row r="58" spans="1:17" ht="15.75" customHeight="1">
      <c r="A58" s="23">
        <v>56</v>
      </c>
      <c r="B58" s="24" t="s">
        <v>116</v>
      </c>
      <c r="C58" s="24" t="s">
        <v>75</v>
      </c>
      <c r="D58" s="24" t="s">
        <v>20</v>
      </c>
      <c r="E58" s="25"/>
      <c r="F58" s="25"/>
      <c r="G58" s="25"/>
      <c r="H58" s="25">
        <v>100</v>
      </c>
      <c r="I58" s="25"/>
      <c r="J58" s="25"/>
      <c r="K58" s="25"/>
      <c r="L58" s="25"/>
      <c r="M58" s="25"/>
      <c r="N58" s="25"/>
      <c r="O58" s="25"/>
      <c r="P58" s="25">
        <v>18</v>
      </c>
      <c r="Q58" s="22">
        <f t="shared" si="0"/>
        <v>118</v>
      </c>
    </row>
    <row r="59" spans="1:17" ht="15.75" customHeight="1">
      <c r="A59" s="19">
        <v>57</v>
      </c>
      <c r="B59" s="20" t="s">
        <v>117</v>
      </c>
      <c r="C59" s="20" t="s">
        <v>75</v>
      </c>
      <c r="D59" s="20" t="s">
        <v>118</v>
      </c>
      <c r="E59" s="21"/>
      <c r="F59" s="21"/>
      <c r="G59" s="21"/>
      <c r="H59" s="21"/>
      <c r="I59" s="21"/>
      <c r="J59" s="21"/>
      <c r="K59" s="21"/>
      <c r="L59" s="21">
        <v>100</v>
      </c>
      <c r="M59" s="21"/>
      <c r="N59" s="21"/>
      <c r="O59" s="21"/>
      <c r="P59" s="21"/>
      <c r="Q59" s="22">
        <f t="shared" si="0"/>
        <v>100</v>
      </c>
    </row>
    <row r="60" spans="1:17" ht="15.75" customHeight="1">
      <c r="A60" s="23">
        <v>58</v>
      </c>
      <c r="B60" s="24" t="s">
        <v>119</v>
      </c>
      <c r="C60" s="24" t="s">
        <v>19</v>
      </c>
      <c r="D60" s="24" t="s">
        <v>118</v>
      </c>
      <c r="E60" s="25"/>
      <c r="F60" s="25">
        <v>100</v>
      </c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2">
        <f t="shared" si="0"/>
        <v>100</v>
      </c>
    </row>
    <row r="61" spans="1:17" ht="15.75" customHeight="1">
      <c r="A61" s="19">
        <v>59</v>
      </c>
      <c r="B61" s="20" t="s">
        <v>120</v>
      </c>
      <c r="C61" s="20" t="s">
        <v>28</v>
      </c>
      <c r="D61" s="20" t="s">
        <v>121</v>
      </c>
      <c r="E61" s="21"/>
      <c r="F61" s="21"/>
      <c r="G61" s="21"/>
      <c r="H61" s="21"/>
      <c r="I61" s="21"/>
      <c r="J61" s="21">
        <v>80</v>
      </c>
      <c r="K61" s="21"/>
      <c r="L61" s="21"/>
      <c r="M61" s="21"/>
      <c r="N61" s="21"/>
      <c r="O61" s="21"/>
      <c r="P61" s="21"/>
      <c r="Q61" s="22">
        <f t="shared" si="0"/>
        <v>80</v>
      </c>
    </row>
    <row r="62" spans="1:17" ht="15.75" customHeight="1">
      <c r="A62" s="23">
        <v>60</v>
      </c>
      <c r="B62" s="24" t="s">
        <v>122</v>
      </c>
      <c r="C62" s="24" t="s">
        <v>123</v>
      </c>
      <c r="D62" s="24" t="s">
        <v>124</v>
      </c>
      <c r="E62" s="25"/>
      <c r="F62" s="25">
        <v>100</v>
      </c>
      <c r="G62" s="25"/>
      <c r="H62" s="25">
        <v>180</v>
      </c>
      <c r="I62" s="25">
        <v>50</v>
      </c>
      <c r="J62" s="25"/>
      <c r="K62" s="25">
        <v>80</v>
      </c>
      <c r="L62" s="25">
        <v>25</v>
      </c>
      <c r="M62" s="25"/>
      <c r="N62" s="25">
        <v>60</v>
      </c>
      <c r="O62" s="25">
        <v>25</v>
      </c>
      <c r="P62" s="25"/>
      <c r="Q62" s="22">
        <f t="shared" si="0"/>
        <v>520</v>
      </c>
    </row>
    <row r="63" spans="1:17" ht="15.75" customHeight="1">
      <c r="A63" s="19">
        <v>61</v>
      </c>
      <c r="B63" s="20" t="s">
        <v>125</v>
      </c>
      <c r="C63" s="20" t="s">
        <v>123</v>
      </c>
      <c r="D63" s="20" t="s">
        <v>126</v>
      </c>
      <c r="E63" s="21"/>
      <c r="F63" s="21">
        <v>100</v>
      </c>
      <c r="G63" s="21"/>
      <c r="H63" s="21"/>
      <c r="I63" s="21">
        <v>100</v>
      </c>
      <c r="J63" s="21">
        <v>140</v>
      </c>
      <c r="K63" s="21"/>
      <c r="L63" s="21"/>
      <c r="M63" s="21"/>
      <c r="N63" s="21"/>
      <c r="O63" s="21"/>
      <c r="P63" s="21"/>
      <c r="Q63" s="22">
        <f t="shared" si="0"/>
        <v>340</v>
      </c>
    </row>
    <row r="64" spans="1:17" ht="15.75" customHeight="1">
      <c r="A64" s="23">
        <v>62</v>
      </c>
      <c r="B64" s="24" t="s">
        <v>127</v>
      </c>
      <c r="C64" s="24" t="s">
        <v>77</v>
      </c>
      <c r="D64" s="24" t="s">
        <v>128</v>
      </c>
      <c r="E64" s="25"/>
      <c r="F64" s="25"/>
      <c r="G64" s="25">
        <v>100</v>
      </c>
      <c r="H64" s="25"/>
      <c r="I64" s="25"/>
      <c r="J64" s="25"/>
      <c r="K64" s="25"/>
      <c r="L64" s="25"/>
      <c r="M64" s="25"/>
      <c r="N64" s="25"/>
      <c r="O64" s="25">
        <v>50</v>
      </c>
      <c r="P64" s="25"/>
      <c r="Q64" s="22">
        <f t="shared" si="0"/>
        <v>150</v>
      </c>
    </row>
    <row r="65" spans="1:17" ht="15.75" customHeight="1">
      <c r="A65" s="19">
        <v>63</v>
      </c>
      <c r="B65" s="20" t="s">
        <v>129</v>
      </c>
      <c r="C65" s="20" t="s">
        <v>93</v>
      </c>
      <c r="D65" s="20" t="s">
        <v>128</v>
      </c>
      <c r="E65" s="21"/>
      <c r="F65" s="21"/>
      <c r="G65" s="21">
        <v>100</v>
      </c>
      <c r="H65" s="21"/>
      <c r="I65" s="21"/>
      <c r="J65" s="21"/>
      <c r="K65" s="21"/>
      <c r="L65" s="21"/>
      <c r="M65" s="21"/>
      <c r="N65" s="21"/>
      <c r="O65" s="21">
        <v>50</v>
      </c>
      <c r="P65" s="21"/>
      <c r="Q65" s="22">
        <f t="shared" si="0"/>
        <v>150</v>
      </c>
    </row>
    <row r="66" spans="1:17" ht="15.75" customHeight="1">
      <c r="A66" s="23">
        <v>64</v>
      </c>
      <c r="B66" s="24" t="s">
        <v>130</v>
      </c>
      <c r="C66" s="24" t="s">
        <v>95</v>
      </c>
      <c r="D66" s="24" t="s">
        <v>128</v>
      </c>
      <c r="E66" s="25"/>
      <c r="F66" s="25"/>
      <c r="G66" s="25">
        <v>100</v>
      </c>
      <c r="H66" s="25"/>
      <c r="I66" s="25">
        <v>50</v>
      </c>
      <c r="J66" s="25"/>
      <c r="K66" s="25"/>
      <c r="L66" s="25"/>
      <c r="M66" s="25"/>
      <c r="N66" s="25"/>
      <c r="O66" s="25"/>
      <c r="P66" s="25"/>
      <c r="Q66" s="22">
        <f t="shared" si="0"/>
        <v>150</v>
      </c>
    </row>
    <row r="67" spans="1:17" ht="15.75" customHeight="1">
      <c r="A67" s="19">
        <v>65</v>
      </c>
      <c r="B67" s="20" t="s">
        <v>131</v>
      </c>
      <c r="C67" s="20" t="s">
        <v>97</v>
      </c>
      <c r="D67" s="20" t="s">
        <v>128</v>
      </c>
      <c r="E67" s="21">
        <v>50</v>
      </c>
      <c r="F67" s="21"/>
      <c r="G67" s="21"/>
      <c r="H67" s="21"/>
      <c r="I67" s="21">
        <v>50</v>
      </c>
      <c r="J67" s="21"/>
      <c r="K67" s="21"/>
      <c r="L67" s="21"/>
      <c r="M67" s="21"/>
      <c r="N67" s="21"/>
      <c r="O67" s="21"/>
      <c r="P67" s="21"/>
      <c r="Q67" s="22">
        <f t="shared" ref="Q67:Q130" si="1">SUM(E67:P67)</f>
        <v>100</v>
      </c>
    </row>
    <row r="68" spans="1:17" ht="15.75" customHeight="1">
      <c r="A68" s="23">
        <v>66</v>
      </c>
      <c r="B68" s="24" t="s">
        <v>132</v>
      </c>
      <c r="C68" s="24" t="s">
        <v>108</v>
      </c>
      <c r="D68" s="24" t="s">
        <v>128</v>
      </c>
      <c r="E68" s="25">
        <v>30</v>
      </c>
      <c r="F68" s="25"/>
      <c r="G68" s="25"/>
      <c r="H68" s="25"/>
      <c r="I68" s="25">
        <v>30</v>
      </c>
      <c r="J68" s="25"/>
      <c r="K68" s="25"/>
      <c r="L68" s="25"/>
      <c r="M68" s="25"/>
      <c r="N68" s="25"/>
      <c r="O68" s="25"/>
      <c r="P68" s="25"/>
      <c r="Q68" s="22">
        <f t="shared" si="1"/>
        <v>60</v>
      </c>
    </row>
    <row r="69" spans="1:17" ht="15.75" customHeight="1">
      <c r="A69" s="19">
        <v>67</v>
      </c>
      <c r="B69" s="20" t="s">
        <v>133</v>
      </c>
      <c r="C69" s="20" t="s">
        <v>134</v>
      </c>
      <c r="D69" s="20" t="s">
        <v>128</v>
      </c>
      <c r="E69" s="21"/>
      <c r="F69" s="21"/>
      <c r="G69" s="21"/>
      <c r="H69" s="21"/>
      <c r="I69" s="21">
        <v>30</v>
      </c>
      <c r="J69" s="21"/>
      <c r="K69" s="21"/>
      <c r="L69" s="21"/>
      <c r="M69" s="21"/>
      <c r="N69" s="21"/>
      <c r="O69" s="21"/>
      <c r="P69" s="21"/>
      <c r="Q69" s="22">
        <f t="shared" si="1"/>
        <v>30</v>
      </c>
    </row>
    <row r="70" spans="1:17" ht="15.75" customHeight="1">
      <c r="A70" s="23">
        <v>68</v>
      </c>
      <c r="B70" s="24" t="s">
        <v>135</v>
      </c>
      <c r="C70" s="24" t="s">
        <v>110</v>
      </c>
      <c r="D70" s="24" t="s">
        <v>128</v>
      </c>
      <c r="E70" s="25"/>
      <c r="F70" s="25"/>
      <c r="G70" s="25">
        <v>30</v>
      </c>
      <c r="H70" s="25"/>
      <c r="I70" s="25"/>
      <c r="J70" s="25"/>
      <c r="K70" s="25"/>
      <c r="L70" s="25"/>
      <c r="M70" s="25"/>
      <c r="N70" s="25"/>
      <c r="O70" s="25"/>
      <c r="P70" s="25"/>
      <c r="Q70" s="22">
        <f t="shared" si="1"/>
        <v>30</v>
      </c>
    </row>
    <row r="71" spans="1:17" ht="15.75" customHeight="1">
      <c r="A71" s="19">
        <v>69</v>
      </c>
      <c r="B71" s="20" t="s">
        <v>136</v>
      </c>
      <c r="C71" s="20" t="s">
        <v>19</v>
      </c>
      <c r="D71" s="20" t="s">
        <v>137</v>
      </c>
      <c r="E71" s="21"/>
      <c r="F71" s="21">
        <v>20</v>
      </c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2">
        <f t="shared" si="1"/>
        <v>20</v>
      </c>
    </row>
    <row r="72" spans="1:17" ht="15.75" customHeight="1">
      <c r="A72" s="23">
        <v>70</v>
      </c>
      <c r="B72" s="24" t="s">
        <v>138</v>
      </c>
      <c r="C72" s="24" t="s">
        <v>19</v>
      </c>
      <c r="D72" s="24" t="s">
        <v>139</v>
      </c>
      <c r="E72" s="25"/>
      <c r="F72" s="25">
        <v>20</v>
      </c>
      <c r="G72" s="25"/>
      <c r="H72" s="25">
        <v>50</v>
      </c>
      <c r="I72" s="25"/>
      <c r="J72" s="25"/>
      <c r="K72" s="25"/>
      <c r="L72" s="25"/>
      <c r="M72" s="25"/>
      <c r="N72" s="25"/>
      <c r="O72" s="25"/>
      <c r="P72" s="25"/>
      <c r="Q72" s="22">
        <f t="shared" si="1"/>
        <v>70</v>
      </c>
    </row>
    <row r="73" spans="1:17" ht="15.75" customHeight="1">
      <c r="A73" s="19">
        <v>71</v>
      </c>
      <c r="B73" s="20" t="s">
        <v>140</v>
      </c>
      <c r="C73" s="20" t="s">
        <v>75</v>
      </c>
      <c r="D73" s="20" t="s">
        <v>141</v>
      </c>
      <c r="E73" s="21"/>
      <c r="F73" s="21"/>
      <c r="G73" s="21"/>
      <c r="H73" s="21">
        <v>50</v>
      </c>
      <c r="I73" s="21"/>
      <c r="J73" s="21"/>
      <c r="K73" s="21"/>
      <c r="L73" s="21"/>
      <c r="M73" s="21"/>
      <c r="N73" s="21"/>
      <c r="O73" s="21"/>
      <c r="P73" s="21"/>
      <c r="Q73" s="22">
        <f t="shared" si="1"/>
        <v>50</v>
      </c>
    </row>
    <row r="74" spans="1:17" ht="15.75" customHeight="1">
      <c r="A74" s="23">
        <v>72</v>
      </c>
      <c r="B74" s="24" t="s">
        <v>142</v>
      </c>
      <c r="C74" s="24" t="s">
        <v>143</v>
      </c>
      <c r="D74" s="24" t="s">
        <v>78</v>
      </c>
      <c r="E74" s="25">
        <v>55</v>
      </c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2">
        <f t="shared" si="1"/>
        <v>55</v>
      </c>
    </row>
    <row r="75" spans="1:17" ht="15.75" customHeight="1">
      <c r="A75" s="19">
        <v>73</v>
      </c>
      <c r="B75" s="20" t="s">
        <v>144</v>
      </c>
      <c r="C75" s="20" t="s">
        <v>82</v>
      </c>
      <c r="D75" s="20" t="s">
        <v>90</v>
      </c>
      <c r="E75" s="21">
        <v>100</v>
      </c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2">
        <f t="shared" si="1"/>
        <v>100</v>
      </c>
    </row>
    <row r="76" spans="1:17" ht="15.75" customHeight="1">
      <c r="A76" s="23">
        <v>74</v>
      </c>
      <c r="B76" s="24" t="s">
        <v>145</v>
      </c>
      <c r="C76" s="24" t="s">
        <v>146</v>
      </c>
      <c r="D76" s="24" t="s">
        <v>20</v>
      </c>
      <c r="E76" s="25">
        <v>30</v>
      </c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2">
        <f t="shared" si="1"/>
        <v>30</v>
      </c>
    </row>
    <row r="77" spans="1:17" ht="15.75" customHeight="1">
      <c r="A77" s="19">
        <v>75</v>
      </c>
      <c r="B77" s="20" t="s">
        <v>147</v>
      </c>
      <c r="C77" s="20" t="s">
        <v>77</v>
      </c>
      <c r="D77" s="20" t="s">
        <v>148</v>
      </c>
      <c r="E77" s="21"/>
      <c r="F77" s="21">
        <v>100</v>
      </c>
      <c r="G77" s="21">
        <v>100</v>
      </c>
      <c r="H77" s="21"/>
      <c r="I77" s="21"/>
      <c r="J77" s="21"/>
      <c r="K77" s="21"/>
      <c r="L77" s="21"/>
      <c r="M77" s="21"/>
      <c r="N77" s="21"/>
      <c r="O77" s="21"/>
      <c r="P77" s="21"/>
      <c r="Q77" s="22">
        <f t="shared" si="1"/>
        <v>200</v>
      </c>
    </row>
    <row r="78" spans="1:17" ht="15.75" customHeight="1">
      <c r="A78" s="23">
        <v>76</v>
      </c>
      <c r="B78" s="24" t="s">
        <v>149</v>
      </c>
      <c r="C78" s="24" t="s">
        <v>93</v>
      </c>
      <c r="D78" s="24" t="s">
        <v>148</v>
      </c>
      <c r="E78" s="25"/>
      <c r="F78" s="25">
        <v>100</v>
      </c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2">
        <f t="shared" si="1"/>
        <v>100</v>
      </c>
    </row>
    <row r="79" spans="1:17" ht="15.75" customHeight="1">
      <c r="A79" s="19">
        <v>77</v>
      </c>
      <c r="B79" s="20" t="s">
        <v>150</v>
      </c>
      <c r="C79" s="20" t="s">
        <v>75</v>
      </c>
      <c r="D79" s="20" t="s">
        <v>22</v>
      </c>
      <c r="E79" s="21"/>
      <c r="F79" s="21">
        <v>50</v>
      </c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2">
        <f t="shared" si="1"/>
        <v>50</v>
      </c>
    </row>
    <row r="80" spans="1:17" ht="15.75" customHeight="1">
      <c r="A80" s="23">
        <v>78</v>
      </c>
      <c r="B80" s="24" t="s">
        <v>151</v>
      </c>
      <c r="C80" s="24" t="s">
        <v>80</v>
      </c>
      <c r="D80" s="24" t="s">
        <v>128</v>
      </c>
      <c r="E80" s="25"/>
      <c r="F80" s="25"/>
      <c r="G80" s="25">
        <v>30</v>
      </c>
      <c r="H80" s="25"/>
      <c r="I80" s="25"/>
      <c r="J80" s="25"/>
      <c r="K80" s="25"/>
      <c r="L80" s="25"/>
      <c r="M80" s="25"/>
      <c r="N80" s="25"/>
      <c r="O80" s="25"/>
      <c r="P80" s="25"/>
      <c r="Q80" s="22">
        <f t="shared" si="1"/>
        <v>30</v>
      </c>
    </row>
    <row r="81" spans="1:17" ht="15.75" customHeight="1">
      <c r="A81" s="19">
        <v>79</v>
      </c>
      <c r="B81" s="20" t="s">
        <v>152</v>
      </c>
      <c r="C81" s="20" t="s">
        <v>75</v>
      </c>
      <c r="D81" s="20" t="s">
        <v>153</v>
      </c>
      <c r="E81" s="21"/>
      <c r="F81" s="21"/>
      <c r="G81" s="21"/>
      <c r="H81" s="21"/>
      <c r="I81" s="21">
        <v>2</v>
      </c>
      <c r="J81" s="21"/>
      <c r="K81" s="21"/>
      <c r="L81" s="21"/>
      <c r="M81" s="21"/>
      <c r="N81" s="21"/>
      <c r="O81" s="21"/>
      <c r="P81" s="21"/>
      <c r="Q81" s="22">
        <f t="shared" si="1"/>
        <v>2</v>
      </c>
    </row>
    <row r="82" spans="1:17" ht="15.75" customHeight="1">
      <c r="A82" s="23">
        <v>80</v>
      </c>
      <c r="B82" s="24" t="s">
        <v>154</v>
      </c>
      <c r="C82" s="24" t="s">
        <v>75</v>
      </c>
      <c r="D82" s="24" t="s">
        <v>155</v>
      </c>
      <c r="E82" s="25"/>
      <c r="F82" s="25"/>
      <c r="G82" s="25"/>
      <c r="H82" s="25"/>
      <c r="I82" s="25">
        <v>2</v>
      </c>
      <c r="J82" s="25"/>
      <c r="K82" s="25"/>
      <c r="L82" s="25"/>
      <c r="M82" s="25"/>
      <c r="N82" s="25"/>
      <c r="O82" s="25"/>
      <c r="P82" s="25"/>
      <c r="Q82" s="22">
        <f t="shared" si="1"/>
        <v>2</v>
      </c>
    </row>
    <row r="83" spans="1:17" ht="15.75" customHeight="1">
      <c r="A83" s="19">
        <v>81</v>
      </c>
      <c r="B83" s="20" t="s">
        <v>156</v>
      </c>
      <c r="C83" s="20" t="s">
        <v>157</v>
      </c>
      <c r="D83" s="20" t="s">
        <v>47</v>
      </c>
      <c r="E83" s="21"/>
      <c r="F83" s="21"/>
      <c r="G83" s="21"/>
      <c r="H83" s="21"/>
      <c r="I83" s="21"/>
      <c r="J83" s="21">
        <v>1</v>
      </c>
      <c r="K83" s="21"/>
      <c r="L83" s="21"/>
      <c r="M83" s="21"/>
      <c r="N83" s="21"/>
      <c r="O83" s="21"/>
      <c r="P83" s="21"/>
      <c r="Q83" s="22">
        <f t="shared" si="1"/>
        <v>1</v>
      </c>
    </row>
    <row r="84" spans="1:17" ht="15.75" customHeight="1">
      <c r="A84" s="23">
        <v>82</v>
      </c>
      <c r="B84" s="24" t="s">
        <v>158</v>
      </c>
      <c r="C84" s="24" t="s">
        <v>159</v>
      </c>
      <c r="D84" s="24" t="s">
        <v>148</v>
      </c>
      <c r="E84" s="25"/>
      <c r="F84" s="25"/>
      <c r="G84" s="25"/>
      <c r="H84" s="25"/>
      <c r="I84" s="25"/>
      <c r="J84" s="25">
        <v>4</v>
      </c>
      <c r="K84" s="25"/>
      <c r="L84" s="25"/>
      <c r="M84" s="25"/>
      <c r="N84" s="25"/>
      <c r="O84" s="25"/>
      <c r="P84" s="25"/>
      <c r="Q84" s="22">
        <f t="shared" si="1"/>
        <v>4</v>
      </c>
    </row>
    <row r="85" spans="1:17" ht="15.75" customHeight="1">
      <c r="A85" s="19">
        <v>83</v>
      </c>
      <c r="B85" s="20" t="s">
        <v>160</v>
      </c>
      <c r="C85" s="20" t="s">
        <v>84</v>
      </c>
      <c r="D85" s="20" t="s">
        <v>161</v>
      </c>
      <c r="E85" s="21"/>
      <c r="F85" s="21"/>
      <c r="G85" s="21"/>
      <c r="H85" s="21"/>
      <c r="I85" s="21"/>
      <c r="J85" s="21"/>
      <c r="K85" s="21">
        <v>100</v>
      </c>
      <c r="L85" s="21"/>
      <c r="M85" s="21"/>
      <c r="N85" s="21"/>
      <c r="O85" s="21"/>
      <c r="P85" s="21"/>
      <c r="Q85" s="22">
        <f t="shared" si="1"/>
        <v>100</v>
      </c>
    </row>
    <row r="86" spans="1:17" ht="15.75" customHeight="1">
      <c r="A86" s="23">
        <v>84</v>
      </c>
      <c r="B86" s="24" t="s">
        <v>162</v>
      </c>
      <c r="C86" s="24" t="s">
        <v>77</v>
      </c>
      <c r="D86" s="24" t="s">
        <v>161</v>
      </c>
      <c r="E86" s="25"/>
      <c r="F86" s="25"/>
      <c r="G86" s="25"/>
      <c r="H86" s="25"/>
      <c r="I86" s="25"/>
      <c r="J86" s="25"/>
      <c r="K86" s="25">
        <v>50</v>
      </c>
      <c r="L86" s="25"/>
      <c r="M86" s="25"/>
      <c r="N86" s="25"/>
      <c r="O86" s="25"/>
      <c r="P86" s="25"/>
      <c r="Q86" s="22">
        <f t="shared" si="1"/>
        <v>50</v>
      </c>
    </row>
    <row r="87" spans="1:17" ht="15.75" customHeight="1">
      <c r="A87" s="19">
        <v>85</v>
      </c>
      <c r="B87" s="20" t="s">
        <v>163</v>
      </c>
      <c r="C87" s="20" t="s">
        <v>93</v>
      </c>
      <c r="D87" s="20" t="s">
        <v>161</v>
      </c>
      <c r="E87" s="21"/>
      <c r="F87" s="21"/>
      <c r="G87" s="21"/>
      <c r="H87" s="21"/>
      <c r="I87" s="21"/>
      <c r="J87" s="21"/>
      <c r="K87" s="21">
        <v>50</v>
      </c>
      <c r="L87" s="21"/>
      <c r="M87" s="21"/>
      <c r="N87" s="21"/>
      <c r="O87" s="21"/>
      <c r="P87" s="21"/>
      <c r="Q87" s="22">
        <f t="shared" si="1"/>
        <v>50</v>
      </c>
    </row>
    <row r="88" spans="1:17" ht="15.75" customHeight="1">
      <c r="A88" s="23">
        <v>86</v>
      </c>
      <c r="B88" s="24" t="s">
        <v>164</v>
      </c>
      <c r="C88" s="24" t="s">
        <v>63</v>
      </c>
      <c r="D88" s="24" t="s">
        <v>165</v>
      </c>
      <c r="E88" s="25"/>
      <c r="F88" s="25"/>
      <c r="G88" s="25"/>
      <c r="H88" s="25"/>
      <c r="I88" s="25"/>
      <c r="J88" s="25"/>
      <c r="K88" s="25"/>
      <c r="L88" s="25"/>
      <c r="M88" s="25"/>
      <c r="N88" s="25">
        <v>20</v>
      </c>
      <c r="O88" s="25"/>
      <c r="P88" s="25"/>
      <c r="Q88" s="22">
        <f t="shared" si="1"/>
        <v>20</v>
      </c>
    </row>
    <row r="89" spans="1:17" ht="15.75" customHeight="1">
      <c r="A89" s="19">
        <v>87</v>
      </c>
      <c r="B89" s="20" t="s">
        <v>166</v>
      </c>
      <c r="C89" s="20" t="s">
        <v>75</v>
      </c>
      <c r="D89" s="20" t="s">
        <v>167</v>
      </c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>
        <v>15</v>
      </c>
      <c r="P89" s="21"/>
      <c r="Q89" s="22">
        <f t="shared" si="1"/>
        <v>15</v>
      </c>
    </row>
    <row r="90" spans="1:17" ht="15.75" customHeight="1">
      <c r="A90" s="23">
        <v>88</v>
      </c>
      <c r="B90" s="24" t="s">
        <v>168</v>
      </c>
      <c r="C90" s="24" t="s">
        <v>169</v>
      </c>
      <c r="D90" s="24" t="s">
        <v>170</v>
      </c>
      <c r="E90" s="25"/>
      <c r="F90" s="25">
        <v>8</v>
      </c>
      <c r="G90" s="25">
        <v>7</v>
      </c>
      <c r="H90" s="25"/>
      <c r="I90" s="25"/>
      <c r="J90" s="25"/>
      <c r="K90" s="25"/>
      <c r="L90" s="25"/>
      <c r="M90" s="25"/>
      <c r="N90" s="25"/>
      <c r="O90" s="25"/>
      <c r="P90" s="25"/>
      <c r="Q90" s="22">
        <f t="shared" si="1"/>
        <v>15</v>
      </c>
    </row>
    <row r="91" spans="1:17" ht="15.75" customHeight="1">
      <c r="A91" s="19">
        <v>89</v>
      </c>
      <c r="B91" s="20" t="s">
        <v>171</v>
      </c>
      <c r="C91" s="20" t="s">
        <v>169</v>
      </c>
      <c r="D91" s="20" t="s">
        <v>47</v>
      </c>
      <c r="E91" s="21">
        <v>2</v>
      </c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>
        <v>1</v>
      </c>
      <c r="Q91" s="22">
        <f t="shared" si="1"/>
        <v>3</v>
      </c>
    </row>
    <row r="92" spans="1:17" ht="15.75" customHeight="1">
      <c r="A92" s="23">
        <v>90</v>
      </c>
      <c r="B92" s="24" t="s">
        <v>172</v>
      </c>
      <c r="C92" s="24" t="s">
        <v>169</v>
      </c>
      <c r="D92" s="24" t="s">
        <v>173</v>
      </c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>
        <v>20</v>
      </c>
      <c r="P92" s="25"/>
      <c r="Q92" s="22">
        <f t="shared" si="1"/>
        <v>20</v>
      </c>
    </row>
    <row r="93" spans="1:17" ht="15.75" customHeight="1">
      <c r="A93" s="19">
        <v>91</v>
      </c>
      <c r="B93" s="20" t="s">
        <v>174</v>
      </c>
      <c r="C93" s="20" t="s">
        <v>169</v>
      </c>
      <c r="D93" s="20" t="s">
        <v>24</v>
      </c>
      <c r="E93" s="21"/>
      <c r="F93" s="21"/>
      <c r="G93" s="21"/>
      <c r="H93" s="21"/>
      <c r="I93" s="21"/>
      <c r="J93" s="21"/>
      <c r="K93" s="21">
        <v>90</v>
      </c>
      <c r="L93" s="21"/>
      <c r="M93" s="21"/>
      <c r="N93" s="21">
        <v>10</v>
      </c>
      <c r="O93" s="21">
        <v>24</v>
      </c>
      <c r="P93" s="21">
        <v>1</v>
      </c>
      <c r="Q93" s="22">
        <f t="shared" si="1"/>
        <v>125</v>
      </c>
    </row>
    <row r="94" spans="1:17" ht="15.75" customHeight="1">
      <c r="A94" s="23">
        <v>92</v>
      </c>
      <c r="B94" s="24" t="s">
        <v>175</v>
      </c>
      <c r="C94" s="24" t="s">
        <v>169</v>
      </c>
      <c r="D94" s="24" t="s">
        <v>87</v>
      </c>
      <c r="E94" s="25">
        <v>3</v>
      </c>
      <c r="F94" s="25"/>
      <c r="G94" s="25"/>
      <c r="H94" s="25"/>
      <c r="I94" s="25"/>
      <c r="J94" s="25"/>
      <c r="K94" s="25"/>
      <c r="L94" s="25"/>
      <c r="M94" s="25"/>
      <c r="N94" s="25">
        <v>30</v>
      </c>
      <c r="O94" s="25"/>
      <c r="P94" s="25"/>
      <c r="Q94" s="22">
        <f t="shared" si="1"/>
        <v>33</v>
      </c>
    </row>
    <row r="95" spans="1:17" ht="15.75" customHeight="1">
      <c r="A95" s="19">
        <v>93</v>
      </c>
      <c r="B95" s="20" t="s">
        <v>176</v>
      </c>
      <c r="C95" s="20" t="s">
        <v>169</v>
      </c>
      <c r="D95" s="20" t="s">
        <v>35</v>
      </c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>
        <v>4</v>
      </c>
      <c r="Q95" s="22">
        <f t="shared" si="1"/>
        <v>4</v>
      </c>
    </row>
    <row r="96" spans="1:17" ht="15.75" customHeight="1">
      <c r="A96" s="23">
        <v>94</v>
      </c>
      <c r="B96" s="24" t="s">
        <v>177</v>
      </c>
      <c r="C96" s="24" t="s">
        <v>169</v>
      </c>
      <c r="D96" s="24" t="s">
        <v>50</v>
      </c>
      <c r="E96" s="25"/>
      <c r="F96" s="25"/>
      <c r="G96" s="25"/>
      <c r="H96" s="25"/>
      <c r="I96" s="25"/>
      <c r="J96" s="25">
        <v>14</v>
      </c>
      <c r="K96" s="25">
        <v>4</v>
      </c>
      <c r="L96" s="25">
        <v>1</v>
      </c>
      <c r="M96" s="25"/>
      <c r="N96" s="25">
        <v>20</v>
      </c>
      <c r="O96" s="25"/>
      <c r="P96" s="25"/>
      <c r="Q96" s="22">
        <f t="shared" si="1"/>
        <v>39</v>
      </c>
    </row>
    <row r="97" spans="1:17" ht="15.75" customHeight="1">
      <c r="A97" s="19">
        <v>95</v>
      </c>
      <c r="B97" s="20" t="s">
        <v>178</v>
      </c>
      <c r="C97" s="20" t="s">
        <v>169</v>
      </c>
      <c r="D97" s="20" t="s">
        <v>57</v>
      </c>
      <c r="E97" s="21"/>
      <c r="F97" s="21"/>
      <c r="G97" s="21">
        <v>10</v>
      </c>
      <c r="H97" s="21"/>
      <c r="I97" s="21"/>
      <c r="J97" s="21"/>
      <c r="K97" s="21">
        <v>50</v>
      </c>
      <c r="L97" s="21"/>
      <c r="M97" s="21"/>
      <c r="N97" s="21"/>
      <c r="O97" s="21"/>
      <c r="P97" s="21">
        <v>20</v>
      </c>
      <c r="Q97" s="22">
        <f t="shared" si="1"/>
        <v>80</v>
      </c>
    </row>
    <row r="98" spans="1:17" ht="15.75" customHeight="1">
      <c r="A98" s="23">
        <v>96</v>
      </c>
      <c r="B98" s="24" t="s">
        <v>179</v>
      </c>
      <c r="C98" s="24" t="s">
        <v>180</v>
      </c>
      <c r="D98" s="24" t="s">
        <v>170</v>
      </c>
      <c r="E98" s="25"/>
      <c r="F98" s="25"/>
      <c r="G98" s="25"/>
      <c r="H98" s="25"/>
      <c r="I98" s="25"/>
      <c r="J98" s="25">
        <v>3</v>
      </c>
      <c r="K98" s="25"/>
      <c r="L98" s="25"/>
      <c r="M98" s="25"/>
      <c r="N98" s="25"/>
      <c r="O98" s="25"/>
      <c r="P98" s="25"/>
      <c r="Q98" s="22">
        <f t="shared" si="1"/>
        <v>3</v>
      </c>
    </row>
    <row r="99" spans="1:17" ht="15.75" customHeight="1">
      <c r="A99" s="19">
        <v>97</v>
      </c>
      <c r="B99" s="20" t="s">
        <v>181</v>
      </c>
      <c r="C99" s="20" t="s">
        <v>180</v>
      </c>
      <c r="D99" s="20" t="s">
        <v>182</v>
      </c>
      <c r="E99" s="21"/>
      <c r="F99" s="21"/>
      <c r="G99" s="21"/>
      <c r="H99" s="21"/>
      <c r="I99" s="21"/>
      <c r="J99" s="21"/>
      <c r="K99" s="21"/>
      <c r="L99" s="21">
        <v>150</v>
      </c>
      <c r="M99" s="21"/>
      <c r="N99" s="21"/>
      <c r="O99" s="21">
        <v>10</v>
      </c>
      <c r="P99" s="21"/>
      <c r="Q99" s="22">
        <f t="shared" si="1"/>
        <v>160</v>
      </c>
    </row>
    <row r="100" spans="1:17" ht="15.75" customHeight="1">
      <c r="A100" s="23">
        <v>98</v>
      </c>
      <c r="B100" s="24" t="s">
        <v>183</v>
      </c>
      <c r="C100" s="24" t="s">
        <v>180</v>
      </c>
      <c r="D100" s="24" t="s">
        <v>184</v>
      </c>
      <c r="E100" s="25"/>
      <c r="F100" s="25">
        <v>7</v>
      </c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2">
        <f t="shared" si="1"/>
        <v>7</v>
      </c>
    </row>
    <row r="101" spans="1:17" ht="15.75" customHeight="1">
      <c r="A101" s="19">
        <v>99</v>
      </c>
      <c r="B101" s="20" t="s">
        <v>185</v>
      </c>
      <c r="C101" s="20" t="s">
        <v>180</v>
      </c>
      <c r="D101" s="20" t="s">
        <v>186</v>
      </c>
      <c r="E101" s="21"/>
      <c r="F101" s="21">
        <v>4</v>
      </c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2">
        <f t="shared" si="1"/>
        <v>4</v>
      </c>
    </row>
    <row r="102" spans="1:17" ht="15.75" customHeight="1">
      <c r="A102" s="23">
        <v>100</v>
      </c>
      <c r="B102" s="24" t="s">
        <v>187</v>
      </c>
      <c r="C102" s="24" t="s">
        <v>180</v>
      </c>
      <c r="D102" s="24" t="s">
        <v>173</v>
      </c>
      <c r="E102" s="25"/>
      <c r="F102" s="25"/>
      <c r="G102" s="25"/>
      <c r="H102" s="25"/>
      <c r="I102" s="25"/>
      <c r="J102" s="25">
        <v>32</v>
      </c>
      <c r="K102" s="25"/>
      <c r="L102" s="25">
        <v>44</v>
      </c>
      <c r="M102" s="25"/>
      <c r="N102" s="25"/>
      <c r="O102" s="25"/>
      <c r="P102" s="25"/>
      <c r="Q102" s="22">
        <f t="shared" si="1"/>
        <v>76</v>
      </c>
    </row>
    <row r="103" spans="1:17" ht="15.75" customHeight="1">
      <c r="A103" s="19">
        <v>101</v>
      </c>
      <c r="B103" s="20" t="s">
        <v>188</v>
      </c>
      <c r="C103" s="20" t="s">
        <v>180</v>
      </c>
      <c r="D103" s="20" t="s">
        <v>87</v>
      </c>
      <c r="E103" s="21"/>
      <c r="F103" s="21"/>
      <c r="G103" s="21"/>
      <c r="H103" s="21"/>
      <c r="I103" s="21"/>
      <c r="J103" s="21"/>
      <c r="K103" s="21">
        <v>6</v>
      </c>
      <c r="L103" s="21"/>
      <c r="M103" s="21">
        <v>1</v>
      </c>
      <c r="N103" s="21">
        <v>4</v>
      </c>
      <c r="O103" s="21">
        <v>1</v>
      </c>
      <c r="P103" s="21"/>
      <c r="Q103" s="22">
        <f t="shared" si="1"/>
        <v>12</v>
      </c>
    </row>
    <row r="104" spans="1:17" ht="15.75" customHeight="1">
      <c r="A104" s="23">
        <v>102</v>
      </c>
      <c r="B104" s="24" t="s">
        <v>189</v>
      </c>
      <c r="C104" s="24" t="s">
        <v>180</v>
      </c>
      <c r="D104" s="24" t="s">
        <v>190</v>
      </c>
      <c r="E104" s="25"/>
      <c r="F104" s="25"/>
      <c r="G104" s="25"/>
      <c r="H104" s="25"/>
      <c r="I104" s="25"/>
      <c r="J104" s="25"/>
      <c r="K104" s="25"/>
      <c r="L104" s="25">
        <v>2</v>
      </c>
      <c r="M104" s="25"/>
      <c r="N104" s="25"/>
      <c r="O104" s="25"/>
      <c r="P104" s="25"/>
      <c r="Q104" s="22">
        <f t="shared" si="1"/>
        <v>2</v>
      </c>
    </row>
    <row r="105" spans="1:17" ht="15.75" customHeight="1">
      <c r="A105" s="19">
        <v>103</v>
      </c>
      <c r="B105" s="20" t="s">
        <v>191</v>
      </c>
      <c r="C105" s="20" t="s">
        <v>180</v>
      </c>
      <c r="D105" s="20" t="s">
        <v>53</v>
      </c>
      <c r="E105" s="21"/>
      <c r="F105" s="21"/>
      <c r="G105" s="21"/>
      <c r="H105" s="21"/>
      <c r="I105" s="21"/>
      <c r="J105" s="21"/>
      <c r="K105" s="21"/>
      <c r="L105" s="21">
        <v>2</v>
      </c>
      <c r="M105" s="21"/>
      <c r="N105" s="21"/>
      <c r="O105" s="21"/>
      <c r="P105" s="21"/>
      <c r="Q105" s="22">
        <f t="shared" si="1"/>
        <v>2</v>
      </c>
    </row>
    <row r="106" spans="1:17" ht="15.75" customHeight="1">
      <c r="A106" s="23">
        <v>104</v>
      </c>
      <c r="B106" s="24" t="s">
        <v>192</v>
      </c>
      <c r="C106" s="24" t="s">
        <v>180</v>
      </c>
      <c r="D106" s="24" t="s">
        <v>55</v>
      </c>
      <c r="E106" s="25"/>
      <c r="F106" s="25"/>
      <c r="G106" s="25"/>
      <c r="H106" s="25"/>
      <c r="I106" s="25"/>
      <c r="J106" s="25"/>
      <c r="K106" s="25"/>
      <c r="L106" s="25">
        <v>5</v>
      </c>
      <c r="M106" s="25"/>
      <c r="N106" s="25"/>
      <c r="O106" s="25"/>
      <c r="P106" s="25"/>
      <c r="Q106" s="22">
        <f t="shared" si="1"/>
        <v>5</v>
      </c>
    </row>
    <row r="107" spans="1:17" ht="15.75" customHeight="1">
      <c r="A107" s="19">
        <v>105</v>
      </c>
      <c r="B107" s="20" t="s">
        <v>193</v>
      </c>
      <c r="C107" s="20" t="s">
        <v>194</v>
      </c>
      <c r="D107" s="20" t="s">
        <v>55</v>
      </c>
      <c r="E107" s="21"/>
      <c r="F107" s="21"/>
      <c r="G107" s="21"/>
      <c r="H107" s="21"/>
      <c r="I107" s="21"/>
      <c r="J107" s="21"/>
      <c r="K107" s="21"/>
      <c r="L107" s="21">
        <v>2</v>
      </c>
      <c r="M107" s="21"/>
      <c r="N107" s="21"/>
      <c r="O107" s="21"/>
      <c r="P107" s="21"/>
      <c r="Q107" s="22">
        <f t="shared" si="1"/>
        <v>2</v>
      </c>
    </row>
    <row r="108" spans="1:17" ht="15.75" customHeight="1">
      <c r="A108" s="23">
        <v>106</v>
      </c>
      <c r="B108" s="24" t="s">
        <v>195</v>
      </c>
      <c r="C108" s="24" t="s">
        <v>196</v>
      </c>
      <c r="D108" s="24" t="s">
        <v>22</v>
      </c>
      <c r="E108" s="25"/>
      <c r="F108" s="25"/>
      <c r="G108" s="25"/>
      <c r="H108" s="25"/>
      <c r="I108" s="25"/>
      <c r="J108" s="25"/>
      <c r="K108" s="25">
        <v>10</v>
      </c>
      <c r="L108" s="25"/>
      <c r="M108" s="25"/>
      <c r="N108" s="25"/>
      <c r="O108" s="25"/>
      <c r="P108" s="25"/>
      <c r="Q108" s="22">
        <f t="shared" si="1"/>
        <v>10</v>
      </c>
    </row>
    <row r="109" spans="1:17" ht="15.75" customHeight="1">
      <c r="A109" s="19">
        <v>107</v>
      </c>
      <c r="B109" s="20" t="s">
        <v>197</v>
      </c>
      <c r="C109" s="20" t="s">
        <v>198</v>
      </c>
      <c r="D109" s="20" t="s">
        <v>42</v>
      </c>
      <c r="E109" s="21">
        <v>20</v>
      </c>
      <c r="F109" s="21"/>
      <c r="G109" s="21"/>
      <c r="H109" s="21"/>
      <c r="I109" s="21"/>
      <c r="J109" s="21"/>
      <c r="K109" s="21"/>
      <c r="L109" s="21"/>
      <c r="M109" s="21">
        <v>4</v>
      </c>
      <c r="N109" s="21">
        <v>10</v>
      </c>
      <c r="O109" s="21"/>
      <c r="P109" s="21"/>
      <c r="Q109" s="22">
        <f t="shared" si="1"/>
        <v>34</v>
      </c>
    </row>
    <row r="110" spans="1:17" ht="15.75" customHeight="1">
      <c r="A110" s="23">
        <v>108</v>
      </c>
      <c r="B110" s="24" t="s">
        <v>199</v>
      </c>
      <c r="C110" s="24" t="s">
        <v>198</v>
      </c>
      <c r="D110" s="24" t="s">
        <v>22</v>
      </c>
      <c r="E110" s="25"/>
      <c r="F110" s="25"/>
      <c r="G110" s="25"/>
      <c r="H110" s="25"/>
      <c r="I110" s="25"/>
      <c r="J110" s="25"/>
      <c r="K110" s="25">
        <v>10</v>
      </c>
      <c r="L110" s="25"/>
      <c r="M110" s="25"/>
      <c r="N110" s="25"/>
      <c r="O110" s="25"/>
      <c r="P110" s="25"/>
      <c r="Q110" s="22">
        <f t="shared" si="1"/>
        <v>10</v>
      </c>
    </row>
    <row r="111" spans="1:17" ht="15.75" customHeight="1">
      <c r="A111" s="19">
        <v>109</v>
      </c>
      <c r="B111" s="20" t="s">
        <v>200</v>
      </c>
      <c r="C111" s="20" t="s">
        <v>198</v>
      </c>
      <c r="D111" s="20" t="s">
        <v>45</v>
      </c>
      <c r="E111" s="21">
        <v>55</v>
      </c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2">
        <f t="shared" si="1"/>
        <v>55</v>
      </c>
    </row>
    <row r="112" spans="1:17" ht="15.75" customHeight="1">
      <c r="A112" s="23">
        <v>110</v>
      </c>
      <c r="B112" s="24" t="s">
        <v>201</v>
      </c>
      <c r="C112" s="24" t="s">
        <v>198</v>
      </c>
      <c r="D112" s="24" t="s">
        <v>26</v>
      </c>
      <c r="E112" s="25">
        <v>55</v>
      </c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2">
        <f t="shared" si="1"/>
        <v>55</v>
      </c>
    </row>
    <row r="113" spans="1:17" ht="15.75" customHeight="1">
      <c r="A113" s="19">
        <v>111</v>
      </c>
      <c r="B113" s="20" t="s">
        <v>202</v>
      </c>
      <c r="C113" s="20" t="s">
        <v>203</v>
      </c>
      <c r="D113" s="20" t="s">
        <v>204</v>
      </c>
      <c r="E113" s="21"/>
      <c r="F113" s="21"/>
      <c r="G113" s="21"/>
      <c r="H113" s="21"/>
      <c r="I113" s="21"/>
      <c r="J113" s="21"/>
      <c r="K113" s="21"/>
      <c r="L113" s="21"/>
      <c r="M113" s="21"/>
      <c r="N113" s="21">
        <v>100</v>
      </c>
      <c r="O113" s="21"/>
      <c r="P113" s="21"/>
      <c r="Q113" s="22">
        <f t="shared" si="1"/>
        <v>100</v>
      </c>
    </row>
    <row r="114" spans="1:17" ht="15.75" customHeight="1">
      <c r="A114" s="23">
        <v>112</v>
      </c>
      <c r="B114" s="24" t="s">
        <v>205</v>
      </c>
      <c r="C114" s="24" t="s">
        <v>206</v>
      </c>
      <c r="D114" s="24" t="s">
        <v>32</v>
      </c>
      <c r="E114" s="25"/>
      <c r="F114" s="25"/>
      <c r="G114" s="25"/>
      <c r="H114" s="25"/>
      <c r="I114" s="25">
        <v>30</v>
      </c>
      <c r="J114" s="25"/>
      <c r="K114" s="25"/>
      <c r="L114" s="25"/>
      <c r="M114" s="25"/>
      <c r="N114" s="25"/>
      <c r="O114" s="25"/>
      <c r="P114" s="25"/>
      <c r="Q114" s="22">
        <f t="shared" si="1"/>
        <v>30</v>
      </c>
    </row>
    <row r="115" spans="1:17" ht="15.75" customHeight="1">
      <c r="A115" s="19">
        <v>113</v>
      </c>
      <c r="B115" s="20" t="s">
        <v>207</v>
      </c>
      <c r="C115" s="20" t="s">
        <v>206</v>
      </c>
      <c r="D115" s="20" t="s">
        <v>22</v>
      </c>
      <c r="E115" s="21">
        <v>20</v>
      </c>
      <c r="F115" s="21">
        <v>6</v>
      </c>
      <c r="G115" s="21">
        <v>20</v>
      </c>
      <c r="H115" s="21"/>
      <c r="I115" s="21"/>
      <c r="J115" s="21"/>
      <c r="K115" s="21"/>
      <c r="L115" s="21">
        <v>3</v>
      </c>
      <c r="M115" s="21"/>
      <c r="N115" s="21"/>
      <c r="O115" s="21"/>
      <c r="P115" s="21"/>
      <c r="Q115" s="22">
        <f t="shared" si="1"/>
        <v>49</v>
      </c>
    </row>
    <row r="116" spans="1:17" ht="15.75" customHeight="1">
      <c r="A116" s="23">
        <v>114</v>
      </c>
      <c r="B116" s="24" t="s">
        <v>208</v>
      </c>
      <c r="C116" s="24" t="s">
        <v>206</v>
      </c>
      <c r="D116" s="24" t="s">
        <v>50</v>
      </c>
      <c r="E116" s="25"/>
      <c r="F116" s="25"/>
      <c r="G116" s="25"/>
      <c r="H116" s="25"/>
      <c r="I116" s="25"/>
      <c r="J116" s="25"/>
      <c r="K116" s="25"/>
      <c r="L116" s="25">
        <v>2</v>
      </c>
      <c r="M116" s="25"/>
      <c r="N116" s="25"/>
      <c r="O116" s="25"/>
      <c r="P116" s="25"/>
      <c r="Q116" s="22">
        <f t="shared" si="1"/>
        <v>2</v>
      </c>
    </row>
    <row r="117" spans="1:17" ht="15.75" customHeight="1">
      <c r="A117" s="19">
        <v>115</v>
      </c>
      <c r="B117" s="20" t="s">
        <v>209</v>
      </c>
      <c r="C117" s="20" t="s">
        <v>206</v>
      </c>
      <c r="D117" s="20" t="s">
        <v>190</v>
      </c>
      <c r="E117" s="21"/>
      <c r="F117" s="21"/>
      <c r="G117" s="21"/>
      <c r="H117" s="21"/>
      <c r="I117" s="21"/>
      <c r="J117" s="21"/>
      <c r="K117" s="21"/>
      <c r="L117" s="21">
        <v>2</v>
      </c>
      <c r="M117" s="21"/>
      <c r="N117" s="21"/>
      <c r="O117" s="21"/>
      <c r="P117" s="21"/>
      <c r="Q117" s="22">
        <f t="shared" si="1"/>
        <v>2</v>
      </c>
    </row>
    <row r="118" spans="1:17" ht="15.75" customHeight="1">
      <c r="A118" s="23">
        <v>116</v>
      </c>
      <c r="B118" s="24" t="s">
        <v>210</v>
      </c>
      <c r="C118" s="24" t="s">
        <v>211</v>
      </c>
      <c r="D118" s="24" t="s">
        <v>20</v>
      </c>
      <c r="E118" s="25"/>
      <c r="F118" s="25"/>
      <c r="G118" s="25"/>
      <c r="H118" s="25"/>
      <c r="I118" s="25"/>
      <c r="J118" s="25"/>
      <c r="K118" s="25"/>
      <c r="L118" s="25"/>
      <c r="M118" s="25"/>
      <c r="N118" s="25">
        <v>50</v>
      </c>
      <c r="O118" s="25"/>
      <c r="P118" s="25"/>
      <c r="Q118" s="22">
        <f t="shared" si="1"/>
        <v>50</v>
      </c>
    </row>
    <row r="119" spans="1:17" ht="15.75" customHeight="1">
      <c r="A119" s="19">
        <v>117</v>
      </c>
      <c r="B119" s="20" t="s">
        <v>212</v>
      </c>
      <c r="C119" s="20" t="s">
        <v>211</v>
      </c>
      <c r="D119" s="20" t="s">
        <v>32</v>
      </c>
      <c r="E119" s="21">
        <v>6</v>
      </c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2">
        <f t="shared" si="1"/>
        <v>6</v>
      </c>
    </row>
    <row r="120" spans="1:17" ht="15.75" customHeight="1">
      <c r="A120" s="23">
        <v>118</v>
      </c>
      <c r="B120" s="24" t="s">
        <v>213</v>
      </c>
      <c r="C120" s="24" t="s">
        <v>211</v>
      </c>
      <c r="D120" s="24" t="s">
        <v>121</v>
      </c>
      <c r="E120" s="25">
        <v>6</v>
      </c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2">
        <f t="shared" si="1"/>
        <v>6</v>
      </c>
    </row>
    <row r="121" spans="1:17" ht="15.75" customHeight="1">
      <c r="A121" s="19">
        <v>119</v>
      </c>
      <c r="B121" s="20" t="s">
        <v>214</v>
      </c>
      <c r="C121" s="20" t="s">
        <v>211</v>
      </c>
      <c r="D121" s="20" t="s">
        <v>45</v>
      </c>
      <c r="E121" s="21"/>
      <c r="F121" s="21"/>
      <c r="G121" s="21"/>
      <c r="H121" s="21"/>
      <c r="I121" s="21"/>
      <c r="J121" s="21"/>
      <c r="K121" s="21"/>
      <c r="L121" s="21"/>
      <c r="M121" s="21">
        <v>20</v>
      </c>
      <c r="N121" s="21"/>
      <c r="O121" s="21"/>
      <c r="P121" s="21"/>
      <c r="Q121" s="22">
        <f t="shared" si="1"/>
        <v>20</v>
      </c>
    </row>
    <row r="122" spans="1:17" ht="15.75" customHeight="1">
      <c r="A122" s="23">
        <v>120</v>
      </c>
      <c r="B122" s="24" t="s">
        <v>215</v>
      </c>
      <c r="C122" s="24" t="s">
        <v>211</v>
      </c>
      <c r="D122" s="24" t="s">
        <v>173</v>
      </c>
      <c r="E122" s="25">
        <v>2</v>
      </c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2">
        <f t="shared" si="1"/>
        <v>2</v>
      </c>
    </row>
    <row r="123" spans="1:17" ht="15.75" customHeight="1">
      <c r="A123" s="19">
        <v>121</v>
      </c>
      <c r="B123" s="20" t="s">
        <v>216</v>
      </c>
      <c r="C123" s="20" t="s">
        <v>211</v>
      </c>
      <c r="D123" s="20" t="s">
        <v>87</v>
      </c>
      <c r="E123" s="21"/>
      <c r="F123" s="21"/>
      <c r="G123" s="21"/>
      <c r="H123" s="21"/>
      <c r="I123" s="21"/>
      <c r="J123" s="21">
        <v>6</v>
      </c>
      <c r="K123" s="21"/>
      <c r="L123" s="21"/>
      <c r="M123" s="21"/>
      <c r="N123" s="21"/>
      <c r="O123" s="21"/>
      <c r="P123" s="21"/>
      <c r="Q123" s="22">
        <f t="shared" si="1"/>
        <v>6</v>
      </c>
    </row>
    <row r="124" spans="1:17" ht="15.75" customHeight="1">
      <c r="A124" s="23">
        <v>122</v>
      </c>
      <c r="B124" s="24" t="s">
        <v>217</v>
      </c>
      <c r="C124" s="24" t="s">
        <v>211</v>
      </c>
      <c r="D124" s="24" t="s">
        <v>35</v>
      </c>
      <c r="E124" s="25"/>
      <c r="F124" s="25"/>
      <c r="G124" s="25"/>
      <c r="H124" s="25"/>
      <c r="I124" s="25"/>
      <c r="J124" s="25">
        <v>3</v>
      </c>
      <c r="K124" s="25"/>
      <c r="L124" s="25"/>
      <c r="M124" s="25"/>
      <c r="N124" s="25"/>
      <c r="O124" s="25"/>
      <c r="P124" s="25"/>
      <c r="Q124" s="22">
        <f t="shared" si="1"/>
        <v>3</v>
      </c>
    </row>
    <row r="125" spans="1:17" ht="15.75" customHeight="1">
      <c r="A125" s="19">
        <v>123</v>
      </c>
      <c r="B125" s="20" t="s">
        <v>218</v>
      </c>
      <c r="C125" s="20" t="s">
        <v>211</v>
      </c>
      <c r="D125" s="20" t="s">
        <v>50</v>
      </c>
      <c r="E125" s="21"/>
      <c r="F125" s="21"/>
      <c r="G125" s="21"/>
      <c r="H125" s="21"/>
      <c r="I125" s="21"/>
      <c r="J125" s="21">
        <v>6</v>
      </c>
      <c r="K125" s="21"/>
      <c r="L125" s="21"/>
      <c r="M125" s="21"/>
      <c r="N125" s="21"/>
      <c r="O125" s="21"/>
      <c r="P125" s="21"/>
      <c r="Q125" s="22">
        <f t="shared" si="1"/>
        <v>6</v>
      </c>
    </row>
    <row r="126" spans="1:17" ht="15.75" customHeight="1">
      <c r="A126" s="23">
        <v>124</v>
      </c>
      <c r="B126" s="24" t="s">
        <v>219</v>
      </c>
      <c r="C126" s="24" t="s">
        <v>203</v>
      </c>
      <c r="D126" s="24" t="s">
        <v>20</v>
      </c>
      <c r="E126" s="25"/>
      <c r="F126" s="25"/>
      <c r="G126" s="25">
        <v>170</v>
      </c>
      <c r="H126" s="25">
        <v>10</v>
      </c>
      <c r="I126" s="25">
        <v>5</v>
      </c>
      <c r="J126" s="25"/>
      <c r="K126" s="25">
        <v>20</v>
      </c>
      <c r="L126" s="25">
        <v>100</v>
      </c>
      <c r="M126" s="25">
        <v>100</v>
      </c>
      <c r="N126" s="25"/>
      <c r="O126" s="25">
        <v>100</v>
      </c>
      <c r="P126" s="25"/>
      <c r="Q126" s="22">
        <f t="shared" si="1"/>
        <v>505</v>
      </c>
    </row>
    <row r="127" spans="1:17" ht="15.75" customHeight="1">
      <c r="A127" s="19">
        <v>125</v>
      </c>
      <c r="B127" s="20" t="s">
        <v>220</v>
      </c>
      <c r="C127" s="20" t="s">
        <v>203</v>
      </c>
      <c r="D127" s="20" t="s">
        <v>32</v>
      </c>
      <c r="E127" s="21"/>
      <c r="F127" s="21">
        <v>150</v>
      </c>
      <c r="G127" s="21"/>
      <c r="H127" s="21">
        <v>10</v>
      </c>
      <c r="I127" s="21"/>
      <c r="J127" s="21"/>
      <c r="K127" s="21"/>
      <c r="L127" s="21">
        <v>60</v>
      </c>
      <c r="M127" s="21"/>
      <c r="N127" s="21"/>
      <c r="O127" s="21"/>
      <c r="P127" s="21"/>
      <c r="Q127" s="22">
        <f t="shared" si="1"/>
        <v>220</v>
      </c>
    </row>
    <row r="128" spans="1:17" ht="15.75" customHeight="1">
      <c r="A128" s="23">
        <v>126</v>
      </c>
      <c r="B128" s="24" t="s">
        <v>221</v>
      </c>
      <c r="C128" s="24" t="s">
        <v>203</v>
      </c>
      <c r="D128" s="24" t="s">
        <v>222</v>
      </c>
      <c r="E128" s="25"/>
      <c r="F128" s="25">
        <v>1</v>
      </c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2">
        <f t="shared" si="1"/>
        <v>1</v>
      </c>
    </row>
    <row r="129" spans="1:17" ht="15.75" customHeight="1">
      <c r="A129" s="19">
        <v>127</v>
      </c>
      <c r="B129" s="20" t="s">
        <v>223</v>
      </c>
      <c r="C129" s="20" t="s">
        <v>203</v>
      </c>
      <c r="D129" s="20" t="s">
        <v>22</v>
      </c>
      <c r="E129" s="21">
        <v>30</v>
      </c>
      <c r="F129" s="21">
        <v>1</v>
      </c>
      <c r="G129" s="21"/>
      <c r="H129" s="21"/>
      <c r="I129" s="21"/>
      <c r="J129" s="21">
        <v>20</v>
      </c>
      <c r="K129" s="21">
        <v>54</v>
      </c>
      <c r="L129" s="21">
        <v>10</v>
      </c>
      <c r="M129" s="21"/>
      <c r="N129" s="21">
        <v>10</v>
      </c>
      <c r="O129" s="21">
        <v>20</v>
      </c>
      <c r="P129" s="21"/>
      <c r="Q129" s="22">
        <f t="shared" si="1"/>
        <v>145</v>
      </c>
    </row>
    <row r="130" spans="1:17" ht="15.75" customHeight="1">
      <c r="A130" s="23">
        <v>128</v>
      </c>
      <c r="B130" s="24" t="s">
        <v>224</v>
      </c>
      <c r="C130" s="24" t="s">
        <v>203</v>
      </c>
      <c r="D130" s="24" t="s">
        <v>225</v>
      </c>
      <c r="E130" s="25"/>
      <c r="F130" s="25">
        <v>4</v>
      </c>
      <c r="G130" s="25">
        <v>20</v>
      </c>
      <c r="H130" s="25"/>
      <c r="I130" s="25"/>
      <c r="J130" s="25">
        <v>20</v>
      </c>
      <c r="K130" s="25"/>
      <c r="L130" s="25"/>
      <c r="M130" s="25"/>
      <c r="N130" s="25"/>
      <c r="O130" s="25">
        <v>20</v>
      </c>
      <c r="P130" s="25"/>
      <c r="Q130" s="22">
        <f t="shared" si="1"/>
        <v>64</v>
      </c>
    </row>
    <row r="131" spans="1:17" ht="15.75" customHeight="1">
      <c r="A131" s="19">
        <v>129</v>
      </c>
      <c r="B131" s="20" t="s">
        <v>226</v>
      </c>
      <c r="C131" s="20" t="s">
        <v>203</v>
      </c>
      <c r="D131" s="20" t="s">
        <v>121</v>
      </c>
      <c r="E131" s="21"/>
      <c r="F131" s="21"/>
      <c r="G131" s="21"/>
      <c r="H131" s="21"/>
      <c r="I131" s="21"/>
      <c r="J131" s="21">
        <v>50</v>
      </c>
      <c r="K131" s="21"/>
      <c r="L131" s="21">
        <v>10</v>
      </c>
      <c r="M131" s="21"/>
      <c r="N131" s="21">
        <v>10</v>
      </c>
      <c r="O131" s="21">
        <v>10</v>
      </c>
      <c r="P131" s="21"/>
      <c r="Q131" s="22">
        <f t="shared" ref="Q131:Q194" si="2">SUM(E131:P131)</f>
        <v>80</v>
      </c>
    </row>
    <row r="132" spans="1:17" ht="15.75" customHeight="1">
      <c r="A132" s="23">
        <v>130</v>
      </c>
      <c r="B132" s="24" t="s">
        <v>227</v>
      </c>
      <c r="C132" s="24" t="s">
        <v>203</v>
      </c>
      <c r="D132" s="24" t="s">
        <v>45</v>
      </c>
      <c r="E132" s="25"/>
      <c r="F132" s="25"/>
      <c r="G132" s="25">
        <v>262</v>
      </c>
      <c r="H132" s="25"/>
      <c r="I132" s="25"/>
      <c r="J132" s="25"/>
      <c r="K132" s="25">
        <v>50</v>
      </c>
      <c r="L132" s="25"/>
      <c r="M132" s="25">
        <v>10</v>
      </c>
      <c r="N132" s="25"/>
      <c r="O132" s="25"/>
      <c r="P132" s="25"/>
      <c r="Q132" s="22">
        <f t="shared" si="2"/>
        <v>322</v>
      </c>
    </row>
    <row r="133" spans="1:17" ht="15.75" customHeight="1">
      <c r="A133" s="19">
        <v>131</v>
      </c>
      <c r="B133" s="20" t="s">
        <v>228</v>
      </c>
      <c r="C133" s="20" t="s">
        <v>203</v>
      </c>
      <c r="D133" s="20" t="s">
        <v>47</v>
      </c>
      <c r="E133" s="21"/>
      <c r="F133" s="21"/>
      <c r="G133" s="21">
        <v>2</v>
      </c>
      <c r="H133" s="21"/>
      <c r="I133" s="21"/>
      <c r="J133" s="21">
        <v>30</v>
      </c>
      <c r="K133" s="21"/>
      <c r="L133" s="21">
        <v>10</v>
      </c>
      <c r="M133" s="21"/>
      <c r="N133" s="21">
        <v>10</v>
      </c>
      <c r="O133" s="21">
        <v>10</v>
      </c>
      <c r="P133" s="21"/>
      <c r="Q133" s="22">
        <f t="shared" si="2"/>
        <v>62</v>
      </c>
    </row>
    <row r="134" spans="1:17" ht="15.75" customHeight="1">
      <c r="A134" s="23">
        <v>132</v>
      </c>
      <c r="B134" s="24" t="s">
        <v>229</v>
      </c>
      <c r="C134" s="24" t="s">
        <v>203</v>
      </c>
      <c r="D134" s="24" t="s">
        <v>173</v>
      </c>
      <c r="E134" s="25"/>
      <c r="F134" s="25"/>
      <c r="G134" s="25"/>
      <c r="H134" s="25"/>
      <c r="I134" s="25"/>
      <c r="J134" s="25"/>
      <c r="K134" s="25"/>
      <c r="L134" s="25">
        <v>4</v>
      </c>
      <c r="M134" s="25"/>
      <c r="N134" s="25"/>
      <c r="O134" s="25">
        <v>10</v>
      </c>
      <c r="P134" s="25"/>
      <c r="Q134" s="22">
        <f t="shared" si="2"/>
        <v>14</v>
      </c>
    </row>
    <row r="135" spans="1:17" ht="15.75" customHeight="1">
      <c r="A135" s="19">
        <v>133</v>
      </c>
      <c r="B135" s="20" t="s">
        <v>230</v>
      </c>
      <c r="C135" s="20" t="s">
        <v>203</v>
      </c>
      <c r="D135" s="20" t="s">
        <v>24</v>
      </c>
      <c r="E135" s="21"/>
      <c r="F135" s="21">
        <v>2</v>
      </c>
      <c r="G135" s="21"/>
      <c r="H135" s="21"/>
      <c r="I135" s="21"/>
      <c r="J135" s="21">
        <v>80</v>
      </c>
      <c r="K135" s="21">
        <v>100</v>
      </c>
      <c r="L135" s="21"/>
      <c r="M135" s="21"/>
      <c r="N135" s="21"/>
      <c r="O135" s="21"/>
      <c r="P135" s="21"/>
      <c r="Q135" s="22">
        <f t="shared" si="2"/>
        <v>182</v>
      </c>
    </row>
    <row r="136" spans="1:17" ht="15.75" customHeight="1">
      <c r="A136" s="23">
        <v>134</v>
      </c>
      <c r="B136" s="24" t="s">
        <v>231</v>
      </c>
      <c r="C136" s="24" t="s">
        <v>203</v>
      </c>
      <c r="D136" s="24" t="s">
        <v>87</v>
      </c>
      <c r="E136" s="25"/>
      <c r="F136" s="25"/>
      <c r="G136" s="25">
        <v>30</v>
      </c>
      <c r="H136" s="25"/>
      <c r="I136" s="25"/>
      <c r="J136" s="25"/>
      <c r="K136" s="25"/>
      <c r="L136" s="25"/>
      <c r="M136" s="25"/>
      <c r="N136" s="25"/>
      <c r="O136" s="25"/>
      <c r="P136" s="25"/>
      <c r="Q136" s="22">
        <f t="shared" si="2"/>
        <v>30</v>
      </c>
    </row>
    <row r="137" spans="1:17" ht="15.75" customHeight="1">
      <c r="A137" s="19">
        <v>135</v>
      </c>
      <c r="B137" s="20" t="s">
        <v>232</v>
      </c>
      <c r="C137" s="20" t="s">
        <v>203</v>
      </c>
      <c r="D137" s="20" t="s">
        <v>35</v>
      </c>
      <c r="E137" s="21">
        <v>20</v>
      </c>
      <c r="F137" s="21"/>
      <c r="G137" s="21">
        <v>30</v>
      </c>
      <c r="H137" s="21"/>
      <c r="I137" s="21"/>
      <c r="J137" s="21">
        <v>10</v>
      </c>
      <c r="K137" s="21"/>
      <c r="L137" s="21"/>
      <c r="M137" s="21"/>
      <c r="N137" s="21"/>
      <c r="O137" s="21"/>
      <c r="P137" s="21"/>
      <c r="Q137" s="22">
        <f t="shared" si="2"/>
        <v>60</v>
      </c>
    </row>
    <row r="138" spans="1:17" ht="15.75" customHeight="1">
      <c r="A138" s="23">
        <v>136</v>
      </c>
      <c r="B138" s="24" t="s">
        <v>233</v>
      </c>
      <c r="C138" s="24" t="s">
        <v>203</v>
      </c>
      <c r="D138" s="24" t="s">
        <v>50</v>
      </c>
      <c r="E138" s="25">
        <v>20</v>
      </c>
      <c r="F138" s="25"/>
      <c r="G138" s="25">
        <v>30</v>
      </c>
      <c r="H138" s="25"/>
      <c r="I138" s="25"/>
      <c r="J138" s="25">
        <v>20</v>
      </c>
      <c r="K138" s="25"/>
      <c r="L138" s="25"/>
      <c r="M138" s="25"/>
      <c r="N138" s="25"/>
      <c r="O138" s="25"/>
      <c r="P138" s="25"/>
      <c r="Q138" s="22">
        <f t="shared" si="2"/>
        <v>70</v>
      </c>
    </row>
    <row r="139" spans="1:17" ht="15.75" customHeight="1">
      <c r="A139" s="19">
        <v>137</v>
      </c>
      <c r="B139" s="20" t="s">
        <v>234</v>
      </c>
      <c r="C139" s="20" t="s">
        <v>203</v>
      </c>
      <c r="D139" s="20" t="s">
        <v>190</v>
      </c>
      <c r="E139" s="21">
        <v>20</v>
      </c>
      <c r="F139" s="21"/>
      <c r="G139" s="21">
        <v>30</v>
      </c>
      <c r="H139" s="21"/>
      <c r="I139" s="21"/>
      <c r="J139" s="21"/>
      <c r="K139" s="21"/>
      <c r="L139" s="21"/>
      <c r="M139" s="21"/>
      <c r="N139" s="21"/>
      <c r="O139" s="21"/>
      <c r="P139" s="21"/>
      <c r="Q139" s="22">
        <f t="shared" si="2"/>
        <v>50</v>
      </c>
    </row>
    <row r="140" spans="1:17" ht="15.75" customHeight="1">
      <c r="A140" s="23">
        <v>138</v>
      </c>
      <c r="B140" s="24" t="s">
        <v>235</v>
      </c>
      <c r="C140" s="24" t="s">
        <v>203</v>
      </c>
      <c r="D140" s="24" t="s">
        <v>26</v>
      </c>
      <c r="E140" s="25"/>
      <c r="F140" s="25"/>
      <c r="G140" s="25"/>
      <c r="H140" s="25"/>
      <c r="I140" s="25">
        <v>5</v>
      </c>
      <c r="J140" s="25">
        <v>40</v>
      </c>
      <c r="K140" s="25"/>
      <c r="L140" s="25"/>
      <c r="M140" s="25">
        <v>100</v>
      </c>
      <c r="N140" s="25"/>
      <c r="O140" s="25"/>
      <c r="P140" s="25"/>
      <c r="Q140" s="22">
        <f t="shared" si="2"/>
        <v>145</v>
      </c>
    </row>
    <row r="141" spans="1:17" ht="15.75" customHeight="1">
      <c r="A141" s="19">
        <v>139</v>
      </c>
      <c r="B141" s="20" t="s">
        <v>236</v>
      </c>
      <c r="C141" s="20" t="s">
        <v>203</v>
      </c>
      <c r="D141" s="20" t="s">
        <v>53</v>
      </c>
      <c r="E141" s="21">
        <v>20</v>
      </c>
      <c r="F141" s="21"/>
      <c r="G141" s="21">
        <v>20</v>
      </c>
      <c r="H141" s="21"/>
      <c r="I141" s="21"/>
      <c r="J141" s="21"/>
      <c r="K141" s="21"/>
      <c r="L141" s="21"/>
      <c r="M141" s="21"/>
      <c r="N141" s="21"/>
      <c r="O141" s="21"/>
      <c r="P141" s="21"/>
      <c r="Q141" s="22">
        <f t="shared" si="2"/>
        <v>40</v>
      </c>
    </row>
    <row r="142" spans="1:17" ht="15.75" customHeight="1">
      <c r="A142" s="23">
        <v>140</v>
      </c>
      <c r="B142" s="24" t="s">
        <v>237</v>
      </c>
      <c r="C142" s="24" t="s">
        <v>203</v>
      </c>
      <c r="D142" s="24" t="s">
        <v>238</v>
      </c>
      <c r="E142" s="25"/>
      <c r="F142" s="25"/>
      <c r="G142" s="25">
        <v>30</v>
      </c>
      <c r="H142" s="25"/>
      <c r="I142" s="25"/>
      <c r="J142" s="25"/>
      <c r="K142" s="25"/>
      <c r="L142" s="25"/>
      <c r="M142" s="25"/>
      <c r="N142" s="25"/>
      <c r="O142" s="25"/>
      <c r="P142" s="25"/>
      <c r="Q142" s="22">
        <f t="shared" si="2"/>
        <v>30</v>
      </c>
    </row>
    <row r="143" spans="1:17" ht="15.75" customHeight="1">
      <c r="A143" s="19">
        <v>141</v>
      </c>
      <c r="B143" s="20" t="s">
        <v>239</v>
      </c>
      <c r="C143" s="20" t="s">
        <v>203</v>
      </c>
      <c r="D143" s="20" t="s">
        <v>240</v>
      </c>
      <c r="E143" s="21">
        <v>400</v>
      </c>
      <c r="F143" s="21"/>
      <c r="G143" s="21">
        <v>400</v>
      </c>
      <c r="H143" s="21">
        <v>300</v>
      </c>
      <c r="I143" s="21"/>
      <c r="J143" s="21">
        <v>300</v>
      </c>
      <c r="K143" s="21">
        <v>300</v>
      </c>
      <c r="L143" s="21"/>
      <c r="M143" s="21"/>
      <c r="N143" s="21"/>
      <c r="O143" s="21">
        <v>250</v>
      </c>
      <c r="P143" s="21"/>
      <c r="Q143" s="22">
        <f t="shared" si="2"/>
        <v>1950</v>
      </c>
    </row>
    <row r="144" spans="1:17" ht="15.75" customHeight="1">
      <c r="A144" s="23">
        <v>142</v>
      </c>
      <c r="B144" s="24" t="s">
        <v>241</v>
      </c>
      <c r="C144" s="24" t="s">
        <v>203</v>
      </c>
      <c r="D144" s="24" t="s">
        <v>55</v>
      </c>
      <c r="E144" s="25"/>
      <c r="F144" s="25"/>
      <c r="G144" s="25"/>
      <c r="H144" s="25">
        <v>20</v>
      </c>
      <c r="I144" s="25"/>
      <c r="J144" s="25"/>
      <c r="K144" s="25"/>
      <c r="L144" s="25"/>
      <c r="M144" s="25"/>
      <c r="N144" s="25"/>
      <c r="O144" s="25"/>
      <c r="P144" s="25"/>
      <c r="Q144" s="22">
        <f t="shared" si="2"/>
        <v>20</v>
      </c>
    </row>
    <row r="145" spans="1:17" ht="15.75" customHeight="1">
      <c r="A145" s="19">
        <v>143</v>
      </c>
      <c r="B145" s="20" t="s">
        <v>242</v>
      </c>
      <c r="C145" s="20" t="s">
        <v>203</v>
      </c>
      <c r="D145" s="20" t="s">
        <v>57</v>
      </c>
      <c r="E145" s="21"/>
      <c r="F145" s="21"/>
      <c r="G145" s="21"/>
      <c r="H145" s="21">
        <v>10</v>
      </c>
      <c r="I145" s="21"/>
      <c r="J145" s="21"/>
      <c r="K145" s="21"/>
      <c r="L145" s="21"/>
      <c r="M145" s="21"/>
      <c r="N145" s="21"/>
      <c r="O145" s="21"/>
      <c r="P145" s="21"/>
      <c r="Q145" s="22">
        <f t="shared" si="2"/>
        <v>10</v>
      </c>
    </row>
    <row r="146" spans="1:17" ht="15.75" customHeight="1">
      <c r="A146" s="23">
        <v>144</v>
      </c>
      <c r="B146" s="24" t="s">
        <v>243</v>
      </c>
      <c r="C146" s="24" t="s">
        <v>244</v>
      </c>
      <c r="D146" s="24" t="s">
        <v>20</v>
      </c>
      <c r="E146" s="25"/>
      <c r="F146" s="25">
        <v>3</v>
      </c>
      <c r="G146" s="25">
        <v>4</v>
      </c>
      <c r="H146" s="25">
        <v>4</v>
      </c>
      <c r="I146" s="25"/>
      <c r="J146" s="25"/>
      <c r="K146" s="25"/>
      <c r="L146" s="25">
        <v>10</v>
      </c>
      <c r="M146" s="25"/>
      <c r="N146" s="25"/>
      <c r="O146" s="25"/>
      <c r="P146" s="25"/>
      <c r="Q146" s="22">
        <f t="shared" si="2"/>
        <v>21</v>
      </c>
    </row>
    <row r="147" spans="1:17" ht="15.75" customHeight="1">
      <c r="A147" s="19">
        <v>145</v>
      </c>
      <c r="B147" s="20" t="s">
        <v>245</v>
      </c>
      <c r="C147" s="20" t="s">
        <v>244</v>
      </c>
      <c r="D147" s="20" t="s">
        <v>32</v>
      </c>
      <c r="E147" s="21"/>
      <c r="F147" s="21"/>
      <c r="G147" s="21"/>
      <c r="H147" s="21"/>
      <c r="I147" s="21"/>
      <c r="J147" s="21"/>
      <c r="K147" s="21">
        <v>2</v>
      </c>
      <c r="L147" s="21"/>
      <c r="M147" s="21"/>
      <c r="N147" s="21"/>
      <c r="O147" s="21"/>
      <c r="P147" s="21"/>
      <c r="Q147" s="22">
        <f t="shared" si="2"/>
        <v>2</v>
      </c>
    </row>
    <row r="148" spans="1:17" ht="15.75" customHeight="1">
      <c r="A148" s="23">
        <v>146</v>
      </c>
      <c r="B148" s="24" t="s">
        <v>246</v>
      </c>
      <c r="C148" s="24" t="s">
        <v>244</v>
      </c>
      <c r="D148" s="24" t="s">
        <v>22</v>
      </c>
      <c r="E148" s="25"/>
      <c r="F148" s="25"/>
      <c r="G148" s="25"/>
      <c r="H148" s="25"/>
      <c r="I148" s="25"/>
      <c r="J148" s="25"/>
      <c r="K148" s="25">
        <v>10</v>
      </c>
      <c r="L148" s="25"/>
      <c r="M148" s="25"/>
      <c r="N148" s="25"/>
      <c r="O148" s="25"/>
      <c r="P148" s="25"/>
      <c r="Q148" s="22">
        <f t="shared" si="2"/>
        <v>10</v>
      </c>
    </row>
    <row r="149" spans="1:17" ht="15.75" customHeight="1">
      <c r="A149" s="19">
        <v>147</v>
      </c>
      <c r="B149" s="20" t="s">
        <v>247</v>
      </c>
      <c r="C149" s="20" t="s">
        <v>244</v>
      </c>
      <c r="D149" s="20" t="s">
        <v>45</v>
      </c>
      <c r="E149" s="21"/>
      <c r="F149" s="21"/>
      <c r="G149" s="21"/>
      <c r="H149" s="21"/>
      <c r="I149" s="21"/>
      <c r="J149" s="21"/>
      <c r="K149" s="21"/>
      <c r="L149" s="21"/>
      <c r="M149" s="21">
        <v>10</v>
      </c>
      <c r="N149" s="21"/>
      <c r="O149" s="21"/>
      <c r="P149" s="21"/>
      <c r="Q149" s="22">
        <f t="shared" si="2"/>
        <v>10</v>
      </c>
    </row>
    <row r="150" spans="1:17" ht="15.75" customHeight="1">
      <c r="A150" s="23">
        <v>148</v>
      </c>
      <c r="B150" s="24" t="s">
        <v>248</v>
      </c>
      <c r="C150" s="24" t="s">
        <v>244</v>
      </c>
      <c r="D150" s="24" t="s">
        <v>173</v>
      </c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>
        <v>2</v>
      </c>
      <c r="Q150" s="22">
        <f t="shared" si="2"/>
        <v>2</v>
      </c>
    </row>
    <row r="151" spans="1:17" ht="15.75" customHeight="1">
      <c r="A151" s="19">
        <v>149</v>
      </c>
      <c r="B151" s="20" t="s">
        <v>249</v>
      </c>
      <c r="C151" s="20" t="s">
        <v>244</v>
      </c>
      <c r="D151" s="20" t="s">
        <v>24</v>
      </c>
      <c r="E151" s="21"/>
      <c r="F151" s="21">
        <v>10</v>
      </c>
      <c r="G151" s="21"/>
      <c r="H151" s="21"/>
      <c r="I151" s="21"/>
      <c r="J151" s="21"/>
      <c r="K151" s="21"/>
      <c r="L151" s="21"/>
      <c r="M151" s="21">
        <v>30</v>
      </c>
      <c r="N151" s="21"/>
      <c r="O151" s="21"/>
      <c r="P151" s="21"/>
      <c r="Q151" s="22">
        <f t="shared" si="2"/>
        <v>40</v>
      </c>
    </row>
    <row r="152" spans="1:17" ht="15.75" customHeight="1">
      <c r="A152" s="23">
        <v>150</v>
      </c>
      <c r="B152" s="24" t="s">
        <v>250</v>
      </c>
      <c r="C152" s="24" t="s">
        <v>244</v>
      </c>
      <c r="D152" s="24" t="s">
        <v>87</v>
      </c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>
        <v>2</v>
      </c>
      <c r="Q152" s="22">
        <f t="shared" si="2"/>
        <v>2</v>
      </c>
    </row>
    <row r="153" spans="1:17" ht="15.75" customHeight="1">
      <c r="A153" s="19">
        <v>151</v>
      </c>
      <c r="B153" s="20" t="s">
        <v>251</v>
      </c>
      <c r="C153" s="20" t="s">
        <v>244</v>
      </c>
      <c r="D153" s="20" t="s">
        <v>26</v>
      </c>
      <c r="E153" s="21"/>
      <c r="F153" s="21"/>
      <c r="G153" s="21"/>
      <c r="H153" s="21"/>
      <c r="I153" s="21"/>
      <c r="J153" s="21"/>
      <c r="K153" s="21">
        <v>100</v>
      </c>
      <c r="L153" s="21"/>
      <c r="M153" s="21"/>
      <c r="N153" s="21"/>
      <c r="O153" s="21"/>
      <c r="P153" s="21"/>
      <c r="Q153" s="22">
        <f t="shared" si="2"/>
        <v>100</v>
      </c>
    </row>
    <row r="154" spans="1:17" ht="15.75" customHeight="1">
      <c r="A154" s="23">
        <v>152</v>
      </c>
      <c r="B154" s="24" t="s">
        <v>252</v>
      </c>
      <c r="C154" s="24" t="s">
        <v>253</v>
      </c>
      <c r="D154" s="24" t="s">
        <v>20</v>
      </c>
      <c r="E154" s="25"/>
      <c r="F154" s="25"/>
      <c r="G154" s="25"/>
      <c r="H154" s="25"/>
      <c r="I154" s="25">
        <v>60</v>
      </c>
      <c r="J154" s="25">
        <v>10</v>
      </c>
      <c r="K154" s="25"/>
      <c r="L154" s="25"/>
      <c r="M154" s="25"/>
      <c r="N154" s="25"/>
      <c r="O154" s="25"/>
      <c r="P154" s="25"/>
      <c r="Q154" s="22">
        <f t="shared" si="2"/>
        <v>70</v>
      </c>
    </row>
    <row r="155" spans="1:17" ht="15.75" customHeight="1">
      <c r="A155" s="19">
        <v>153</v>
      </c>
      <c r="B155" s="20" t="s">
        <v>254</v>
      </c>
      <c r="C155" s="20" t="s">
        <v>253</v>
      </c>
      <c r="D155" s="20" t="s">
        <v>22</v>
      </c>
      <c r="E155" s="21">
        <v>20</v>
      </c>
      <c r="F155" s="21">
        <v>7</v>
      </c>
      <c r="G155" s="21">
        <v>2</v>
      </c>
      <c r="H155" s="21"/>
      <c r="I155" s="21"/>
      <c r="J155" s="21">
        <v>2</v>
      </c>
      <c r="K155" s="21"/>
      <c r="L155" s="21"/>
      <c r="M155" s="21"/>
      <c r="N155" s="21"/>
      <c r="O155" s="21"/>
      <c r="P155" s="21"/>
      <c r="Q155" s="22">
        <f t="shared" si="2"/>
        <v>31</v>
      </c>
    </row>
    <row r="156" spans="1:17" ht="15.75" customHeight="1">
      <c r="A156" s="23">
        <v>154</v>
      </c>
      <c r="B156" s="24" t="s">
        <v>255</v>
      </c>
      <c r="C156" s="24" t="s">
        <v>253</v>
      </c>
      <c r="D156" s="24" t="s">
        <v>45</v>
      </c>
      <c r="E156" s="25"/>
      <c r="F156" s="25"/>
      <c r="G156" s="25"/>
      <c r="H156" s="25"/>
      <c r="I156" s="25"/>
      <c r="J156" s="25"/>
      <c r="K156" s="25"/>
      <c r="L156" s="25"/>
      <c r="M156" s="25">
        <v>10</v>
      </c>
      <c r="N156" s="25"/>
      <c r="O156" s="25"/>
      <c r="P156" s="25"/>
      <c r="Q156" s="22">
        <f t="shared" si="2"/>
        <v>10</v>
      </c>
    </row>
    <row r="157" spans="1:17" ht="15.75" customHeight="1">
      <c r="A157" s="19">
        <v>155</v>
      </c>
      <c r="B157" s="20" t="s">
        <v>256</v>
      </c>
      <c r="C157" s="20" t="s">
        <v>253</v>
      </c>
      <c r="D157" s="20" t="s">
        <v>24</v>
      </c>
      <c r="E157" s="21"/>
      <c r="F157" s="21">
        <v>23</v>
      </c>
      <c r="G157" s="21"/>
      <c r="H157" s="21">
        <v>6</v>
      </c>
      <c r="I157" s="21"/>
      <c r="J157" s="21"/>
      <c r="K157" s="21">
        <v>25</v>
      </c>
      <c r="L157" s="21"/>
      <c r="M157" s="21"/>
      <c r="N157" s="21"/>
      <c r="O157" s="21"/>
      <c r="P157" s="21"/>
      <c r="Q157" s="22">
        <f t="shared" si="2"/>
        <v>54</v>
      </c>
    </row>
    <row r="158" spans="1:17" ht="15.75" customHeight="1">
      <c r="A158" s="23">
        <v>156</v>
      </c>
      <c r="B158" s="24" t="s">
        <v>257</v>
      </c>
      <c r="C158" s="24" t="s">
        <v>253</v>
      </c>
      <c r="D158" s="24" t="s">
        <v>50</v>
      </c>
      <c r="E158" s="25"/>
      <c r="F158" s="25"/>
      <c r="G158" s="25"/>
      <c r="H158" s="25"/>
      <c r="I158" s="25">
        <v>10</v>
      </c>
      <c r="J158" s="25"/>
      <c r="K158" s="25"/>
      <c r="L158" s="25"/>
      <c r="M158" s="25"/>
      <c r="N158" s="25"/>
      <c r="O158" s="25"/>
      <c r="P158" s="25"/>
      <c r="Q158" s="22">
        <f t="shared" si="2"/>
        <v>10</v>
      </c>
    </row>
    <row r="159" spans="1:17" ht="15.75" customHeight="1">
      <c r="A159" s="19">
        <v>157</v>
      </c>
      <c r="B159" s="20" t="s">
        <v>258</v>
      </c>
      <c r="C159" s="20" t="s">
        <v>253</v>
      </c>
      <c r="D159" s="20" t="s">
        <v>259</v>
      </c>
      <c r="E159" s="21">
        <v>30</v>
      </c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2">
        <f t="shared" si="2"/>
        <v>30</v>
      </c>
    </row>
    <row r="160" spans="1:17" ht="15.75" customHeight="1">
      <c r="A160" s="23">
        <v>158</v>
      </c>
      <c r="B160" s="24" t="s">
        <v>260</v>
      </c>
      <c r="C160" s="24" t="s">
        <v>261</v>
      </c>
      <c r="D160" s="24" t="s">
        <v>35</v>
      </c>
      <c r="E160" s="25"/>
      <c r="F160" s="25">
        <v>1</v>
      </c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2">
        <f t="shared" si="2"/>
        <v>1</v>
      </c>
    </row>
    <row r="161" spans="1:17" ht="15.75" customHeight="1">
      <c r="A161" s="19">
        <v>159</v>
      </c>
      <c r="B161" s="20" t="s">
        <v>262</v>
      </c>
      <c r="C161" s="20" t="s">
        <v>263</v>
      </c>
      <c r="D161" s="20" t="s">
        <v>20</v>
      </c>
      <c r="E161" s="21"/>
      <c r="F161" s="21"/>
      <c r="G161" s="21">
        <v>3</v>
      </c>
      <c r="H161" s="21">
        <v>3</v>
      </c>
      <c r="I161" s="21">
        <v>1</v>
      </c>
      <c r="J161" s="21"/>
      <c r="K161" s="21">
        <v>3</v>
      </c>
      <c r="L161" s="21"/>
      <c r="M161" s="21"/>
      <c r="N161" s="21"/>
      <c r="O161" s="21"/>
      <c r="P161" s="21"/>
      <c r="Q161" s="22">
        <f t="shared" si="2"/>
        <v>10</v>
      </c>
    </row>
    <row r="162" spans="1:17" ht="15.75" customHeight="1">
      <c r="A162" s="23">
        <v>160</v>
      </c>
      <c r="B162" s="24" t="s">
        <v>264</v>
      </c>
      <c r="C162" s="24" t="s">
        <v>263</v>
      </c>
      <c r="D162" s="24" t="s">
        <v>42</v>
      </c>
      <c r="E162" s="25"/>
      <c r="F162" s="25">
        <v>34</v>
      </c>
      <c r="G162" s="25"/>
      <c r="H162" s="25"/>
      <c r="I162" s="25">
        <v>15</v>
      </c>
      <c r="J162" s="25"/>
      <c r="K162" s="25">
        <v>7</v>
      </c>
      <c r="L162" s="25"/>
      <c r="M162" s="25"/>
      <c r="N162" s="25"/>
      <c r="O162" s="25"/>
      <c r="P162" s="25"/>
      <c r="Q162" s="22">
        <f t="shared" si="2"/>
        <v>56</v>
      </c>
    </row>
    <row r="163" spans="1:17" ht="15.75" customHeight="1">
      <c r="A163" s="19">
        <v>161</v>
      </c>
      <c r="B163" s="20" t="s">
        <v>265</v>
      </c>
      <c r="C163" s="20" t="s">
        <v>263</v>
      </c>
      <c r="D163" s="20" t="s">
        <v>22</v>
      </c>
      <c r="E163" s="21"/>
      <c r="F163" s="21"/>
      <c r="G163" s="21">
        <v>2</v>
      </c>
      <c r="H163" s="21"/>
      <c r="I163" s="21"/>
      <c r="J163" s="21"/>
      <c r="K163" s="21">
        <v>3</v>
      </c>
      <c r="L163" s="21"/>
      <c r="M163" s="21"/>
      <c r="N163" s="21"/>
      <c r="O163" s="21"/>
      <c r="P163" s="21"/>
      <c r="Q163" s="22">
        <f t="shared" si="2"/>
        <v>5</v>
      </c>
    </row>
    <row r="164" spans="1:17" ht="15.75" customHeight="1">
      <c r="A164" s="23">
        <v>162</v>
      </c>
      <c r="B164" s="24" t="s">
        <v>266</v>
      </c>
      <c r="C164" s="24" t="s">
        <v>263</v>
      </c>
      <c r="D164" s="24" t="s">
        <v>45</v>
      </c>
      <c r="E164" s="25"/>
      <c r="F164" s="25">
        <v>10</v>
      </c>
      <c r="G164" s="25"/>
      <c r="H164" s="25"/>
      <c r="I164" s="25"/>
      <c r="J164" s="25"/>
      <c r="K164" s="25">
        <v>15</v>
      </c>
      <c r="L164" s="25"/>
      <c r="M164" s="25"/>
      <c r="N164" s="25"/>
      <c r="O164" s="25"/>
      <c r="P164" s="25"/>
      <c r="Q164" s="22">
        <f t="shared" si="2"/>
        <v>25</v>
      </c>
    </row>
    <row r="165" spans="1:17" ht="15.75" customHeight="1">
      <c r="A165" s="19">
        <v>163</v>
      </c>
      <c r="B165" s="20" t="s">
        <v>267</v>
      </c>
      <c r="C165" s="20" t="s">
        <v>263</v>
      </c>
      <c r="D165" s="20" t="s">
        <v>47</v>
      </c>
      <c r="E165" s="21"/>
      <c r="F165" s="21"/>
      <c r="G165" s="21">
        <v>1</v>
      </c>
      <c r="H165" s="21"/>
      <c r="I165" s="21"/>
      <c r="J165" s="21"/>
      <c r="K165" s="21"/>
      <c r="L165" s="21"/>
      <c r="M165" s="21">
        <v>1</v>
      </c>
      <c r="N165" s="21"/>
      <c r="O165" s="21"/>
      <c r="P165" s="21"/>
      <c r="Q165" s="22">
        <f t="shared" si="2"/>
        <v>2</v>
      </c>
    </row>
    <row r="166" spans="1:17" ht="15.75" customHeight="1">
      <c r="A166" s="23">
        <v>164</v>
      </c>
      <c r="B166" s="24" t="s">
        <v>268</v>
      </c>
      <c r="C166" s="24" t="s">
        <v>263</v>
      </c>
      <c r="D166" s="24" t="s">
        <v>24</v>
      </c>
      <c r="E166" s="25"/>
      <c r="F166" s="25"/>
      <c r="G166" s="25"/>
      <c r="H166" s="25"/>
      <c r="I166" s="25">
        <v>17</v>
      </c>
      <c r="J166" s="25"/>
      <c r="K166" s="25"/>
      <c r="L166" s="25"/>
      <c r="M166" s="25">
        <v>20</v>
      </c>
      <c r="N166" s="25"/>
      <c r="O166" s="25"/>
      <c r="P166" s="25"/>
      <c r="Q166" s="22">
        <f t="shared" si="2"/>
        <v>37</v>
      </c>
    </row>
    <row r="167" spans="1:17" ht="15.75" customHeight="1">
      <c r="A167" s="19">
        <v>165</v>
      </c>
      <c r="B167" s="20" t="s">
        <v>269</v>
      </c>
      <c r="C167" s="20" t="s">
        <v>263</v>
      </c>
      <c r="D167" s="20" t="s">
        <v>57</v>
      </c>
      <c r="E167" s="21"/>
      <c r="F167" s="21"/>
      <c r="G167" s="21"/>
      <c r="H167" s="21">
        <v>1</v>
      </c>
      <c r="I167" s="21"/>
      <c r="J167" s="21"/>
      <c r="K167" s="21">
        <v>1</v>
      </c>
      <c r="L167" s="21"/>
      <c r="M167" s="21"/>
      <c r="N167" s="21"/>
      <c r="O167" s="21"/>
      <c r="P167" s="21"/>
      <c r="Q167" s="22">
        <f t="shared" si="2"/>
        <v>2</v>
      </c>
    </row>
    <row r="168" spans="1:17" ht="15.75" customHeight="1">
      <c r="A168" s="23">
        <v>166</v>
      </c>
      <c r="B168" s="24" t="s">
        <v>270</v>
      </c>
      <c r="C168" s="24" t="s">
        <v>271</v>
      </c>
      <c r="D168" s="24" t="s">
        <v>20</v>
      </c>
      <c r="E168" s="25"/>
      <c r="F168" s="25"/>
      <c r="G168" s="25">
        <v>12</v>
      </c>
      <c r="H168" s="25"/>
      <c r="I168" s="25"/>
      <c r="J168" s="25"/>
      <c r="K168" s="25"/>
      <c r="L168" s="25">
        <v>17</v>
      </c>
      <c r="M168" s="25"/>
      <c r="N168" s="25"/>
      <c r="O168" s="25"/>
      <c r="P168" s="25"/>
      <c r="Q168" s="22">
        <f t="shared" si="2"/>
        <v>29</v>
      </c>
    </row>
    <row r="169" spans="1:17" ht="15.75" customHeight="1">
      <c r="A169" s="19">
        <v>167</v>
      </c>
      <c r="B169" s="20" t="s">
        <v>272</v>
      </c>
      <c r="C169" s="20" t="s">
        <v>271</v>
      </c>
      <c r="D169" s="20" t="s">
        <v>32</v>
      </c>
      <c r="E169" s="21"/>
      <c r="F169" s="21"/>
      <c r="G169" s="21">
        <v>12</v>
      </c>
      <c r="H169" s="21"/>
      <c r="I169" s="21"/>
      <c r="J169" s="21"/>
      <c r="K169" s="21"/>
      <c r="L169" s="21"/>
      <c r="M169" s="21"/>
      <c r="N169" s="21"/>
      <c r="O169" s="21"/>
      <c r="P169" s="21"/>
      <c r="Q169" s="22">
        <f t="shared" si="2"/>
        <v>12</v>
      </c>
    </row>
    <row r="170" spans="1:17" ht="15.75" customHeight="1">
      <c r="A170" s="23">
        <v>168</v>
      </c>
      <c r="B170" s="24" t="s">
        <v>273</v>
      </c>
      <c r="C170" s="24" t="s">
        <v>271</v>
      </c>
      <c r="D170" s="24" t="s">
        <v>22</v>
      </c>
      <c r="E170" s="25">
        <v>10</v>
      </c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2">
        <f t="shared" si="2"/>
        <v>10</v>
      </c>
    </row>
    <row r="171" spans="1:17" ht="15.75" customHeight="1">
      <c r="A171" s="19">
        <v>169</v>
      </c>
      <c r="B171" s="20" t="s">
        <v>274</v>
      </c>
      <c r="C171" s="20" t="s">
        <v>271</v>
      </c>
      <c r="D171" s="20" t="s">
        <v>121</v>
      </c>
      <c r="E171" s="21">
        <v>10</v>
      </c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2">
        <f t="shared" si="2"/>
        <v>10</v>
      </c>
    </row>
    <row r="172" spans="1:17" ht="15.75" customHeight="1">
      <c r="A172" s="23">
        <v>170</v>
      </c>
      <c r="B172" s="24" t="s">
        <v>275</v>
      </c>
      <c r="C172" s="24" t="s">
        <v>271</v>
      </c>
      <c r="D172" s="24" t="s">
        <v>173</v>
      </c>
      <c r="E172" s="25"/>
      <c r="F172" s="25">
        <v>3</v>
      </c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2">
        <f t="shared" si="2"/>
        <v>3</v>
      </c>
    </row>
    <row r="173" spans="1:17" ht="15.75" customHeight="1">
      <c r="A173" s="19">
        <v>171</v>
      </c>
      <c r="B173" s="20" t="s">
        <v>276</v>
      </c>
      <c r="C173" s="20" t="s">
        <v>271</v>
      </c>
      <c r="D173" s="20" t="s">
        <v>24</v>
      </c>
      <c r="E173" s="21"/>
      <c r="F173" s="21"/>
      <c r="G173" s="21"/>
      <c r="H173" s="21"/>
      <c r="I173" s="21"/>
      <c r="J173" s="21"/>
      <c r="K173" s="21"/>
      <c r="L173" s="21">
        <v>10</v>
      </c>
      <c r="M173" s="21"/>
      <c r="N173" s="21"/>
      <c r="O173" s="21"/>
      <c r="P173" s="21"/>
      <c r="Q173" s="22">
        <f t="shared" si="2"/>
        <v>10</v>
      </c>
    </row>
    <row r="174" spans="1:17" ht="15.75" customHeight="1">
      <c r="A174" s="23">
        <v>172</v>
      </c>
      <c r="B174" s="24" t="s">
        <v>277</v>
      </c>
      <c r="C174" s="24" t="s">
        <v>278</v>
      </c>
      <c r="D174" s="24" t="s">
        <v>170</v>
      </c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>
        <v>30</v>
      </c>
      <c r="P174" s="25"/>
      <c r="Q174" s="22">
        <f t="shared" si="2"/>
        <v>30</v>
      </c>
    </row>
    <row r="175" spans="1:17" ht="15.75" customHeight="1">
      <c r="A175" s="19">
        <v>173</v>
      </c>
      <c r="B175" s="20" t="s">
        <v>279</v>
      </c>
      <c r="C175" s="20" t="s">
        <v>278</v>
      </c>
      <c r="D175" s="20" t="s">
        <v>182</v>
      </c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>
        <v>4</v>
      </c>
      <c r="P175" s="21"/>
      <c r="Q175" s="22">
        <f t="shared" si="2"/>
        <v>4</v>
      </c>
    </row>
    <row r="176" spans="1:17" ht="15.75" customHeight="1">
      <c r="A176" s="23">
        <v>174</v>
      </c>
      <c r="B176" s="24" t="s">
        <v>280</v>
      </c>
      <c r="C176" s="24" t="s">
        <v>278</v>
      </c>
      <c r="D176" s="24" t="s">
        <v>32</v>
      </c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>
        <v>4</v>
      </c>
      <c r="P176" s="25"/>
      <c r="Q176" s="22">
        <f t="shared" si="2"/>
        <v>4</v>
      </c>
    </row>
    <row r="177" spans="1:17" ht="15.75" customHeight="1">
      <c r="A177" s="19">
        <v>175</v>
      </c>
      <c r="B177" s="20" t="s">
        <v>281</v>
      </c>
      <c r="C177" s="20" t="s">
        <v>278</v>
      </c>
      <c r="D177" s="20" t="s">
        <v>24</v>
      </c>
      <c r="E177" s="21">
        <v>10</v>
      </c>
      <c r="F177" s="21"/>
      <c r="G177" s="21"/>
      <c r="H177" s="21"/>
      <c r="I177" s="21"/>
      <c r="J177" s="21"/>
      <c r="K177" s="21"/>
      <c r="L177" s="21"/>
      <c r="M177" s="21"/>
      <c r="N177" s="21"/>
      <c r="O177" s="21">
        <v>2</v>
      </c>
      <c r="P177" s="21"/>
      <c r="Q177" s="22">
        <f t="shared" si="2"/>
        <v>12</v>
      </c>
    </row>
    <row r="178" spans="1:17" ht="15.75" customHeight="1">
      <c r="A178" s="23">
        <v>176</v>
      </c>
      <c r="B178" s="24" t="s">
        <v>282</v>
      </c>
      <c r="C178" s="24" t="s">
        <v>283</v>
      </c>
      <c r="D178" s="24" t="s">
        <v>284</v>
      </c>
      <c r="E178" s="25"/>
      <c r="F178" s="25">
        <v>10</v>
      </c>
      <c r="G178" s="25">
        <v>11</v>
      </c>
      <c r="H178" s="25"/>
      <c r="I178" s="25"/>
      <c r="J178" s="25"/>
      <c r="K178" s="25">
        <v>6</v>
      </c>
      <c r="L178" s="25"/>
      <c r="M178" s="25"/>
      <c r="N178" s="25"/>
      <c r="O178" s="25"/>
      <c r="P178" s="25"/>
      <c r="Q178" s="22">
        <f t="shared" si="2"/>
        <v>27</v>
      </c>
    </row>
    <row r="179" spans="1:17" ht="15.75" customHeight="1">
      <c r="A179" s="19">
        <v>177</v>
      </c>
      <c r="B179" s="20" t="s">
        <v>285</v>
      </c>
      <c r="C179" s="20" t="s">
        <v>283</v>
      </c>
      <c r="D179" s="20" t="s">
        <v>20</v>
      </c>
      <c r="E179" s="21"/>
      <c r="F179" s="21">
        <v>17</v>
      </c>
      <c r="G179" s="21">
        <v>10</v>
      </c>
      <c r="H179" s="21"/>
      <c r="I179" s="21"/>
      <c r="J179" s="21"/>
      <c r="K179" s="21">
        <v>16</v>
      </c>
      <c r="L179" s="21"/>
      <c r="M179" s="21"/>
      <c r="N179" s="21"/>
      <c r="O179" s="21"/>
      <c r="P179" s="21"/>
      <c r="Q179" s="22">
        <f t="shared" si="2"/>
        <v>43</v>
      </c>
    </row>
    <row r="180" spans="1:17" ht="15.75" customHeight="1">
      <c r="A180" s="23">
        <v>178</v>
      </c>
      <c r="B180" s="24" t="s">
        <v>286</v>
      </c>
      <c r="C180" s="24" t="s">
        <v>283</v>
      </c>
      <c r="D180" s="24" t="s">
        <v>32</v>
      </c>
      <c r="E180" s="25"/>
      <c r="F180" s="25">
        <v>31</v>
      </c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2">
        <f t="shared" si="2"/>
        <v>31</v>
      </c>
    </row>
    <row r="181" spans="1:17" ht="15.75" customHeight="1">
      <c r="A181" s="19">
        <v>179</v>
      </c>
      <c r="B181" s="20" t="s">
        <v>287</v>
      </c>
      <c r="C181" s="20" t="s">
        <v>283</v>
      </c>
      <c r="D181" s="20" t="s">
        <v>42</v>
      </c>
      <c r="E181" s="21"/>
      <c r="F181" s="21"/>
      <c r="G181" s="21"/>
      <c r="H181" s="21"/>
      <c r="I181" s="21"/>
      <c r="J181" s="21"/>
      <c r="K181" s="21">
        <v>38</v>
      </c>
      <c r="L181" s="21"/>
      <c r="M181" s="21"/>
      <c r="N181" s="21">
        <v>760</v>
      </c>
      <c r="O181" s="21"/>
      <c r="P181" s="21"/>
      <c r="Q181" s="22">
        <f t="shared" si="2"/>
        <v>798</v>
      </c>
    </row>
    <row r="182" spans="1:17" ht="15.75" customHeight="1">
      <c r="A182" s="23">
        <v>180</v>
      </c>
      <c r="B182" s="24" t="s">
        <v>288</v>
      </c>
      <c r="C182" s="24" t="s">
        <v>283</v>
      </c>
      <c r="D182" s="24" t="s">
        <v>22</v>
      </c>
      <c r="E182" s="25">
        <v>1</v>
      </c>
      <c r="F182" s="25">
        <v>1</v>
      </c>
      <c r="G182" s="25"/>
      <c r="H182" s="25"/>
      <c r="I182" s="25"/>
      <c r="J182" s="25"/>
      <c r="K182" s="25">
        <v>52</v>
      </c>
      <c r="L182" s="25"/>
      <c r="M182" s="25"/>
      <c r="N182" s="25"/>
      <c r="O182" s="25"/>
      <c r="P182" s="25"/>
      <c r="Q182" s="22">
        <f t="shared" si="2"/>
        <v>54</v>
      </c>
    </row>
    <row r="183" spans="1:17" ht="15.75" customHeight="1">
      <c r="A183" s="19">
        <v>181</v>
      </c>
      <c r="B183" s="20" t="s">
        <v>289</v>
      </c>
      <c r="C183" s="20" t="s">
        <v>283</v>
      </c>
      <c r="D183" s="20" t="s">
        <v>45</v>
      </c>
      <c r="E183" s="21"/>
      <c r="F183" s="21"/>
      <c r="G183" s="21">
        <v>250</v>
      </c>
      <c r="H183" s="21">
        <v>250</v>
      </c>
      <c r="I183" s="21"/>
      <c r="J183" s="21"/>
      <c r="K183" s="21"/>
      <c r="L183" s="21"/>
      <c r="M183" s="21"/>
      <c r="N183" s="21"/>
      <c r="O183" s="21"/>
      <c r="P183" s="21"/>
      <c r="Q183" s="22">
        <f t="shared" si="2"/>
        <v>500</v>
      </c>
    </row>
    <row r="184" spans="1:17" ht="15.75" customHeight="1">
      <c r="A184" s="23">
        <v>182</v>
      </c>
      <c r="B184" s="24" t="s">
        <v>290</v>
      </c>
      <c r="C184" s="24" t="s">
        <v>283</v>
      </c>
      <c r="D184" s="24" t="s">
        <v>47</v>
      </c>
      <c r="E184" s="25"/>
      <c r="F184" s="25"/>
      <c r="G184" s="25"/>
      <c r="H184" s="25"/>
      <c r="I184" s="25">
        <v>1</v>
      </c>
      <c r="J184" s="25"/>
      <c r="K184" s="25"/>
      <c r="L184" s="25"/>
      <c r="M184" s="25"/>
      <c r="N184" s="25"/>
      <c r="O184" s="25"/>
      <c r="P184" s="25"/>
      <c r="Q184" s="22">
        <f t="shared" si="2"/>
        <v>1</v>
      </c>
    </row>
    <row r="185" spans="1:17" ht="15.75" customHeight="1">
      <c r="A185" s="19">
        <v>183</v>
      </c>
      <c r="B185" s="20" t="s">
        <v>291</v>
      </c>
      <c r="C185" s="20" t="s">
        <v>283</v>
      </c>
      <c r="D185" s="20" t="s">
        <v>24</v>
      </c>
      <c r="E185" s="21"/>
      <c r="F185" s="21"/>
      <c r="G185" s="21">
        <v>250</v>
      </c>
      <c r="H185" s="21">
        <v>250</v>
      </c>
      <c r="I185" s="21"/>
      <c r="J185" s="21"/>
      <c r="K185" s="21"/>
      <c r="L185" s="21"/>
      <c r="M185" s="21"/>
      <c r="N185" s="21"/>
      <c r="O185" s="21"/>
      <c r="P185" s="21"/>
      <c r="Q185" s="22">
        <f t="shared" si="2"/>
        <v>500</v>
      </c>
    </row>
    <row r="186" spans="1:17" ht="15.75" customHeight="1">
      <c r="A186" s="23">
        <v>184</v>
      </c>
      <c r="B186" s="24" t="s">
        <v>292</v>
      </c>
      <c r="C186" s="24" t="s">
        <v>283</v>
      </c>
      <c r="D186" s="24" t="s">
        <v>26</v>
      </c>
      <c r="E186" s="25"/>
      <c r="F186" s="25"/>
      <c r="G186" s="25"/>
      <c r="H186" s="25"/>
      <c r="I186" s="25">
        <v>2</v>
      </c>
      <c r="J186" s="25"/>
      <c r="K186" s="25"/>
      <c r="L186" s="25"/>
      <c r="M186" s="25">
        <v>30</v>
      </c>
      <c r="N186" s="25"/>
      <c r="O186" s="25"/>
      <c r="P186" s="25"/>
      <c r="Q186" s="22">
        <f t="shared" si="2"/>
        <v>32</v>
      </c>
    </row>
    <row r="187" spans="1:17" ht="15.75" customHeight="1">
      <c r="A187" s="19">
        <v>185</v>
      </c>
      <c r="B187" s="20" t="s">
        <v>293</v>
      </c>
      <c r="C187" s="20" t="s">
        <v>294</v>
      </c>
      <c r="D187" s="20" t="s">
        <v>20</v>
      </c>
      <c r="E187" s="21"/>
      <c r="F187" s="21"/>
      <c r="G187" s="21"/>
      <c r="H187" s="21"/>
      <c r="I187" s="21">
        <v>10</v>
      </c>
      <c r="J187" s="21"/>
      <c r="K187" s="21"/>
      <c r="L187" s="21"/>
      <c r="M187" s="21"/>
      <c r="N187" s="21"/>
      <c r="O187" s="21"/>
      <c r="P187" s="21"/>
      <c r="Q187" s="22">
        <f t="shared" si="2"/>
        <v>10</v>
      </c>
    </row>
    <row r="188" spans="1:17" ht="15.75" customHeight="1">
      <c r="A188" s="23">
        <v>186</v>
      </c>
      <c r="B188" s="24" t="s">
        <v>295</v>
      </c>
      <c r="C188" s="24" t="s">
        <v>294</v>
      </c>
      <c r="D188" s="24" t="s">
        <v>42</v>
      </c>
      <c r="E188" s="25"/>
      <c r="F188" s="25"/>
      <c r="G188" s="25"/>
      <c r="H188" s="25"/>
      <c r="I188" s="25"/>
      <c r="J188" s="25"/>
      <c r="K188" s="25">
        <v>10</v>
      </c>
      <c r="L188" s="25"/>
      <c r="M188" s="25"/>
      <c r="N188" s="25"/>
      <c r="O188" s="25"/>
      <c r="P188" s="25"/>
      <c r="Q188" s="22">
        <f t="shared" si="2"/>
        <v>10</v>
      </c>
    </row>
    <row r="189" spans="1:17" ht="15.75" customHeight="1">
      <c r="A189" s="19">
        <v>187</v>
      </c>
      <c r="B189" s="20" t="s">
        <v>296</v>
      </c>
      <c r="C189" s="20" t="s">
        <v>294</v>
      </c>
      <c r="D189" s="20" t="s">
        <v>121</v>
      </c>
      <c r="E189" s="21"/>
      <c r="F189" s="21"/>
      <c r="G189" s="21">
        <v>2</v>
      </c>
      <c r="H189" s="21"/>
      <c r="I189" s="21"/>
      <c r="J189" s="21"/>
      <c r="K189" s="21">
        <v>12</v>
      </c>
      <c r="L189" s="21"/>
      <c r="M189" s="21"/>
      <c r="N189" s="21"/>
      <c r="O189" s="21"/>
      <c r="P189" s="21"/>
      <c r="Q189" s="22">
        <f t="shared" si="2"/>
        <v>14</v>
      </c>
    </row>
    <row r="190" spans="1:17" ht="15.75" customHeight="1">
      <c r="A190" s="23">
        <v>188</v>
      </c>
      <c r="B190" s="24" t="s">
        <v>297</v>
      </c>
      <c r="C190" s="24" t="s">
        <v>294</v>
      </c>
      <c r="D190" s="24" t="s">
        <v>47</v>
      </c>
      <c r="E190" s="25"/>
      <c r="F190" s="25"/>
      <c r="G190" s="25"/>
      <c r="H190" s="25"/>
      <c r="I190" s="25">
        <v>5</v>
      </c>
      <c r="J190" s="25"/>
      <c r="K190" s="25"/>
      <c r="L190" s="25"/>
      <c r="M190" s="25"/>
      <c r="N190" s="25"/>
      <c r="O190" s="25"/>
      <c r="P190" s="25"/>
      <c r="Q190" s="22">
        <f t="shared" si="2"/>
        <v>5</v>
      </c>
    </row>
    <row r="191" spans="1:17" ht="15.75" customHeight="1">
      <c r="A191" s="19">
        <v>189</v>
      </c>
      <c r="B191" s="20" t="s">
        <v>298</v>
      </c>
      <c r="C191" s="20" t="s">
        <v>294</v>
      </c>
      <c r="D191" s="20" t="s">
        <v>24</v>
      </c>
      <c r="E191" s="21"/>
      <c r="F191" s="21"/>
      <c r="G191" s="21"/>
      <c r="H191" s="21"/>
      <c r="I191" s="21">
        <v>20</v>
      </c>
      <c r="J191" s="21"/>
      <c r="K191" s="21">
        <v>50</v>
      </c>
      <c r="L191" s="21"/>
      <c r="M191" s="21"/>
      <c r="N191" s="21"/>
      <c r="O191" s="21">
        <v>20</v>
      </c>
      <c r="P191" s="21"/>
      <c r="Q191" s="22">
        <f t="shared" si="2"/>
        <v>90</v>
      </c>
    </row>
    <row r="192" spans="1:17" ht="15.75" customHeight="1">
      <c r="A192" s="23">
        <v>190</v>
      </c>
      <c r="B192" s="24" t="s">
        <v>299</v>
      </c>
      <c r="C192" s="24" t="s">
        <v>294</v>
      </c>
      <c r="D192" s="24" t="s">
        <v>118</v>
      </c>
      <c r="E192" s="25"/>
      <c r="F192" s="25"/>
      <c r="G192" s="25">
        <v>200</v>
      </c>
      <c r="H192" s="25">
        <v>200</v>
      </c>
      <c r="I192" s="25"/>
      <c r="J192" s="25"/>
      <c r="K192" s="25"/>
      <c r="L192" s="25"/>
      <c r="M192" s="25"/>
      <c r="N192" s="25"/>
      <c r="O192" s="25"/>
      <c r="P192" s="25"/>
      <c r="Q192" s="22">
        <f t="shared" si="2"/>
        <v>400</v>
      </c>
    </row>
    <row r="193" spans="1:17" ht="15.75" customHeight="1">
      <c r="A193" s="19">
        <v>191</v>
      </c>
      <c r="B193" s="20" t="s">
        <v>300</v>
      </c>
      <c r="C193" s="20" t="s">
        <v>294</v>
      </c>
      <c r="D193" s="20" t="s">
        <v>26</v>
      </c>
      <c r="E193" s="21"/>
      <c r="F193" s="21"/>
      <c r="G193" s="21"/>
      <c r="H193" s="21"/>
      <c r="I193" s="21"/>
      <c r="J193" s="21"/>
      <c r="K193" s="21">
        <v>20</v>
      </c>
      <c r="L193" s="21"/>
      <c r="M193" s="21">
        <v>30</v>
      </c>
      <c r="N193" s="21"/>
      <c r="O193" s="21"/>
      <c r="P193" s="21"/>
      <c r="Q193" s="22">
        <f t="shared" si="2"/>
        <v>50</v>
      </c>
    </row>
    <row r="194" spans="1:17" ht="15.75" customHeight="1">
      <c r="A194" s="23">
        <v>192</v>
      </c>
      <c r="B194" s="24" t="s">
        <v>301</v>
      </c>
      <c r="C194" s="24" t="s">
        <v>302</v>
      </c>
      <c r="D194" s="24" t="s">
        <v>20</v>
      </c>
      <c r="E194" s="25"/>
      <c r="F194" s="25"/>
      <c r="G194" s="25"/>
      <c r="H194" s="25"/>
      <c r="I194" s="25">
        <v>2</v>
      </c>
      <c r="J194" s="25"/>
      <c r="K194" s="25"/>
      <c r="L194" s="25"/>
      <c r="M194" s="25"/>
      <c r="N194" s="25"/>
      <c r="O194" s="25"/>
      <c r="P194" s="25"/>
      <c r="Q194" s="22">
        <f t="shared" si="2"/>
        <v>2</v>
      </c>
    </row>
    <row r="195" spans="1:17" ht="15.75" customHeight="1">
      <c r="A195" s="19">
        <v>193</v>
      </c>
      <c r="B195" s="20" t="s">
        <v>303</v>
      </c>
      <c r="C195" s="20" t="s">
        <v>304</v>
      </c>
      <c r="D195" s="20" t="s">
        <v>20</v>
      </c>
      <c r="E195" s="21"/>
      <c r="F195" s="21"/>
      <c r="G195" s="21"/>
      <c r="H195" s="21"/>
      <c r="I195" s="21">
        <v>2</v>
      </c>
      <c r="J195" s="21">
        <v>10</v>
      </c>
      <c r="K195" s="21"/>
      <c r="L195" s="21"/>
      <c r="M195" s="21"/>
      <c r="N195" s="21"/>
      <c r="O195" s="21"/>
      <c r="P195" s="21"/>
      <c r="Q195" s="22">
        <f t="shared" ref="Q195:Q258" si="3">SUM(E195:P195)</f>
        <v>12</v>
      </c>
    </row>
    <row r="196" spans="1:17" ht="15.75" customHeight="1">
      <c r="A196" s="23">
        <v>194</v>
      </c>
      <c r="B196" s="24" t="s">
        <v>305</v>
      </c>
      <c r="C196" s="24" t="s">
        <v>304</v>
      </c>
      <c r="D196" s="24" t="s">
        <v>22</v>
      </c>
      <c r="E196" s="25"/>
      <c r="F196" s="25"/>
      <c r="G196" s="25"/>
      <c r="H196" s="25"/>
      <c r="I196" s="25">
        <v>2</v>
      </c>
      <c r="J196" s="25">
        <v>10</v>
      </c>
      <c r="K196" s="25"/>
      <c r="L196" s="25"/>
      <c r="M196" s="25"/>
      <c r="N196" s="25"/>
      <c r="O196" s="25"/>
      <c r="P196" s="25"/>
      <c r="Q196" s="22">
        <f t="shared" si="3"/>
        <v>12</v>
      </c>
    </row>
    <row r="197" spans="1:17" ht="15.75" customHeight="1">
      <c r="A197" s="19">
        <v>195</v>
      </c>
      <c r="B197" s="20" t="s">
        <v>306</v>
      </c>
      <c r="C197" s="20" t="s">
        <v>304</v>
      </c>
      <c r="D197" s="20" t="s">
        <v>24</v>
      </c>
      <c r="E197" s="21"/>
      <c r="F197" s="21">
        <v>10</v>
      </c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2">
        <f t="shared" si="3"/>
        <v>10</v>
      </c>
    </row>
    <row r="198" spans="1:17" ht="15.75" customHeight="1">
      <c r="A198" s="23">
        <v>196</v>
      </c>
      <c r="B198" s="24" t="s">
        <v>307</v>
      </c>
      <c r="C198" s="24" t="s">
        <v>169</v>
      </c>
      <c r="D198" s="24" t="s">
        <v>118</v>
      </c>
      <c r="E198" s="25"/>
      <c r="F198" s="25"/>
      <c r="G198" s="25">
        <v>10</v>
      </c>
      <c r="H198" s="25"/>
      <c r="I198" s="25"/>
      <c r="J198" s="25"/>
      <c r="K198" s="25"/>
      <c r="L198" s="25"/>
      <c r="M198" s="25"/>
      <c r="N198" s="25"/>
      <c r="O198" s="25"/>
      <c r="P198" s="25">
        <v>30</v>
      </c>
      <c r="Q198" s="22">
        <f t="shared" si="3"/>
        <v>40</v>
      </c>
    </row>
    <row r="199" spans="1:17" ht="15.75" customHeight="1">
      <c r="A199" s="19">
        <v>197</v>
      </c>
      <c r="B199" s="20" t="s">
        <v>308</v>
      </c>
      <c r="C199" s="20" t="s">
        <v>263</v>
      </c>
      <c r="D199" s="20" t="s">
        <v>284</v>
      </c>
      <c r="E199" s="21"/>
      <c r="F199" s="21"/>
      <c r="G199" s="21">
        <v>4</v>
      </c>
      <c r="H199" s="21"/>
      <c r="I199" s="21"/>
      <c r="J199" s="21"/>
      <c r="K199" s="21"/>
      <c r="L199" s="21"/>
      <c r="M199" s="21"/>
      <c r="N199" s="21"/>
      <c r="O199" s="21"/>
      <c r="P199" s="21"/>
      <c r="Q199" s="22">
        <f t="shared" si="3"/>
        <v>4</v>
      </c>
    </row>
    <row r="200" spans="1:17" ht="15.75" customHeight="1">
      <c r="A200" s="23">
        <v>198</v>
      </c>
      <c r="B200" s="24" t="s">
        <v>309</v>
      </c>
      <c r="C200" s="24" t="s">
        <v>180</v>
      </c>
      <c r="D200" s="24" t="s">
        <v>310</v>
      </c>
      <c r="E200" s="25"/>
      <c r="F200" s="25">
        <v>2</v>
      </c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2">
        <f t="shared" si="3"/>
        <v>2</v>
      </c>
    </row>
    <row r="201" spans="1:17" ht="15.75" customHeight="1">
      <c r="A201" s="19">
        <v>199</v>
      </c>
      <c r="B201" s="20" t="s">
        <v>311</v>
      </c>
      <c r="C201" s="20" t="s">
        <v>203</v>
      </c>
      <c r="D201" s="20" t="s">
        <v>312</v>
      </c>
      <c r="E201" s="21"/>
      <c r="F201" s="21"/>
      <c r="G201" s="21"/>
      <c r="H201" s="21">
        <v>20</v>
      </c>
      <c r="I201" s="21"/>
      <c r="J201" s="21"/>
      <c r="K201" s="21"/>
      <c r="L201" s="21"/>
      <c r="M201" s="21"/>
      <c r="N201" s="21"/>
      <c r="O201" s="21"/>
      <c r="P201" s="21"/>
      <c r="Q201" s="22">
        <f t="shared" si="3"/>
        <v>20</v>
      </c>
    </row>
    <row r="202" spans="1:17" ht="15.75" customHeight="1">
      <c r="A202" s="23">
        <v>200</v>
      </c>
      <c r="B202" s="24" t="s">
        <v>313</v>
      </c>
      <c r="C202" s="24" t="s">
        <v>169</v>
      </c>
      <c r="D202" s="24" t="s">
        <v>259</v>
      </c>
      <c r="E202" s="25"/>
      <c r="F202" s="25"/>
      <c r="G202" s="25"/>
      <c r="H202" s="25"/>
      <c r="I202" s="25"/>
      <c r="J202" s="25"/>
      <c r="K202" s="25">
        <v>40</v>
      </c>
      <c r="L202" s="25"/>
      <c r="M202" s="25"/>
      <c r="N202" s="25"/>
      <c r="O202" s="25"/>
      <c r="P202" s="25"/>
      <c r="Q202" s="22">
        <f t="shared" si="3"/>
        <v>40</v>
      </c>
    </row>
    <row r="203" spans="1:17" ht="15.75" customHeight="1">
      <c r="A203" s="19">
        <v>201</v>
      </c>
      <c r="B203" s="20" t="s">
        <v>314</v>
      </c>
      <c r="C203" s="20" t="s">
        <v>253</v>
      </c>
      <c r="D203" s="20" t="s">
        <v>315</v>
      </c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>
        <v>6</v>
      </c>
      <c r="P203" s="21"/>
      <c r="Q203" s="22">
        <f t="shared" si="3"/>
        <v>6</v>
      </c>
    </row>
    <row r="204" spans="1:17" ht="15.75" customHeight="1">
      <c r="A204" s="23">
        <v>202</v>
      </c>
      <c r="B204" s="24" t="s">
        <v>316</v>
      </c>
      <c r="C204" s="24" t="s">
        <v>203</v>
      </c>
      <c r="D204" s="24" t="s">
        <v>225</v>
      </c>
      <c r="E204" s="25">
        <v>30</v>
      </c>
      <c r="F204" s="25"/>
      <c r="G204" s="25"/>
      <c r="H204" s="25"/>
      <c r="I204" s="25"/>
      <c r="J204" s="25"/>
      <c r="K204" s="25"/>
      <c r="L204" s="25">
        <v>20</v>
      </c>
      <c r="M204" s="25"/>
      <c r="N204" s="25"/>
      <c r="O204" s="25"/>
      <c r="P204" s="25"/>
      <c r="Q204" s="22">
        <f t="shared" si="3"/>
        <v>50</v>
      </c>
    </row>
    <row r="205" spans="1:17" ht="15.75" customHeight="1">
      <c r="A205" s="19">
        <v>203</v>
      </c>
      <c r="B205" s="20" t="s">
        <v>317</v>
      </c>
      <c r="C205" s="20" t="s">
        <v>203</v>
      </c>
      <c r="D205" s="20" t="s">
        <v>315</v>
      </c>
      <c r="E205" s="21"/>
      <c r="F205" s="21">
        <v>2</v>
      </c>
      <c r="G205" s="21">
        <v>10</v>
      </c>
      <c r="H205" s="21"/>
      <c r="I205" s="21"/>
      <c r="J205" s="21">
        <v>20</v>
      </c>
      <c r="K205" s="21"/>
      <c r="L205" s="21"/>
      <c r="M205" s="21"/>
      <c r="N205" s="21"/>
      <c r="O205" s="21">
        <v>30</v>
      </c>
      <c r="P205" s="21"/>
      <c r="Q205" s="22">
        <f t="shared" si="3"/>
        <v>62</v>
      </c>
    </row>
    <row r="206" spans="1:17" ht="15.75" customHeight="1">
      <c r="A206" s="23">
        <v>204</v>
      </c>
      <c r="B206" s="24" t="s">
        <v>318</v>
      </c>
      <c r="C206" s="24" t="s">
        <v>203</v>
      </c>
      <c r="D206" s="24" t="s">
        <v>319</v>
      </c>
      <c r="E206" s="25"/>
      <c r="F206" s="25"/>
      <c r="G206" s="25"/>
      <c r="H206" s="25"/>
      <c r="I206" s="25"/>
      <c r="J206" s="25">
        <v>10</v>
      </c>
      <c r="K206" s="25"/>
      <c r="L206" s="25">
        <v>10</v>
      </c>
      <c r="M206" s="25"/>
      <c r="N206" s="25"/>
      <c r="O206" s="25"/>
      <c r="P206" s="25"/>
      <c r="Q206" s="22">
        <f t="shared" si="3"/>
        <v>20</v>
      </c>
    </row>
    <row r="207" spans="1:17" ht="15.75" customHeight="1">
      <c r="A207" s="19">
        <v>205</v>
      </c>
      <c r="B207" s="20" t="s">
        <v>320</v>
      </c>
      <c r="C207" s="20" t="s">
        <v>203</v>
      </c>
      <c r="D207" s="20" t="s">
        <v>321</v>
      </c>
      <c r="E207" s="21">
        <v>20</v>
      </c>
      <c r="F207" s="21">
        <v>4</v>
      </c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2">
        <f t="shared" si="3"/>
        <v>24</v>
      </c>
    </row>
    <row r="208" spans="1:17" ht="15.75" customHeight="1">
      <c r="A208" s="23">
        <v>206</v>
      </c>
      <c r="B208" s="24" t="s">
        <v>322</v>
      </c>
      <c r="C208" s="24" t="s">
        <v>169</v>
      </c>
      <c r="D208" s="24" t="s">
        <v>42</v>
      </c>
      <c r="E208" s="25"/>
      <c r="F208" s="25"/>
      <c r="G208" s="25"/>
      <c r="H208" s="25"/>
      <c r="I208" s="25"/>
      <c r="J208" s="25">
        <v>4</v>
      </c>
      <c r="K208" s="25"/>
      <c r="L208" s="25"/>
      <c r="M208" s="25"/>
      <c r="N208" s="25"/>
      <c r="O208" s="25"/>
      <c r="P208" s="25"/>
      <c r="Q208" s="22">
        <f t="shared" si="3"/>
        <v>4</v>
      </c>
    </row>
    <row r="209" spans="1:17" ht="15.75" customHeight="1">
      <c r="A209" s="19">
        <v>207</v>
      </c>
      <c r="B209" s="20" t="s">
        <v>323</v>
      </c>
      <c r="C209" s="20" t="s">
        <v>294</v>
      </c>
      <c r="D209" s="20" t="s">
        <v>324</v>
      </c>
      <c r="E209" s="21"/>
      <c r="F209" s="21"/>
      <c r="G209" s="21"/>
      <c r="H209" s="21"/>
      <c r="I209" s="21">
        <v>108</v>
      </c>
      <c r="J209" s="21"/>
      <c r="K209" s="21"/>
      <c r="L209" s="21"/>
      <c r="M209" s="21"/>
      <c r="N209" s="21"/>
      <c r="O209" s="21"/>
      <c r="P209" s="21"/>
      <c r="Q209" s="22">
        <f t="shared" si="3"/>
        <v>108</v>
      </c>
    </row>
    <row r="210" spans="1:17" ht="15.75" customHeight="1">
      <c r="A210" s="23">
        <v>208</v>
      </c>
      <c r="B210" s="24" t="s">
        <v>325</v>
      </c>
      <c r="C210" s="24" t="s">
        <v>283</v>
      </c>
      <c r="D210" s="24" t="s">
        <v>324</v>
      </c>
      <c r="E210" s="25"/>
      <c r="F210" s="25"/>
      <c r="G210" s="25"/>
      <c r="H210" s="25"/>
      <c r="I210" s="25"/>
      <c r="J210" s="25"/>
      <c r="K210" s="25">
        <v>992</v>
      </c>
      <c r="L210" s="25"/>
      <c r="M210" s="25"/>
      <c r="N210" s="25"/>
      <c r="O210" s="25"/>
      <c r="P210" s="25"/>
      <c r="Q210" s="22">
        <f t="shared" si="3"/>
        <v>992</v>
      </c>
    </row>
    <row r="211" spans="1:17" ht="15.75" customHeight="1">
      <c r="A211" s="19">
        <v>209</v>
      </c>
      <c r="B211" s="20" t="s">
        <v>326</v>
      </c>
      <c r="C211" s="20" t="s">
        <v>203</v>
      </c>
      <c r="D211" s="20" t="s">
        <v>327</v>
      </c>
      <c r="E211" s="21">
        <v>30</v>
      </c>
      <c r="F211" s="21"/>
      <c r="G211" s="21"/>
      <c r="H211" s="21"/>
      <c r="I211" s="21"/>
      <c r="J211" s="21"/>
      <c r="K211" s="21"/>
      <c r="L211" s="21">
        <v>10</v>
      </c>
      <c r="M211" s="21"/>
      <c r="N211" s="21"/>
      <c r="O211" s="21">
        <v>30</v>
      </c>
      <c r="P211" s="21"/>
      <c r="Q211" s="22">
        <f t="shared" si="3"/>
        <v>70</v>
      </c>
    </row>
    <row r="212" spans="1:17" ht="15.75" customHeight="1">
      <c r="A212" s="23">
        <v>210</v>
      </c>
      <c r="B212" s="24" t="s">
        <v>328</v>
      </c>
      <c r="C212" s="24" t="s">
        <v>203</v>
      </c>
      <c r="D212" s="24" t="s">
        <v>329</v>
      </c>
      <c r="E212" s="25">
        <v>20</v>
      </c>
      <c r="F212" s="25"/>
      <c r="G212" s="25"/>
      <c r="H212" s="25"/>
      <c r="I212" s="25"/>
      <c r="J212" s="25">
        <v>20</v>
      </c>
      <c r="K212" s="25"/>
      <c r="L212" s="25"/>
      <c r="M212" s="25"/>
      <c r="N212" s="25"/>
      <c r="O212" s="25"/>
      <c r="P212" s="25"/>
      <c r="Q212" s="22">
        <f t="shared" si="3"/>
        <v>40</v>
      </c>
    </row>
    <row r="213" spans="1:17" ht="15.75" customHeight="1">
      <c r="A213" s="19">
        <v>211</v>
      </c>
      <c r="B213" s="20" t="s">
        <v>330</v>
      </c>
      <c r="C213" s="20" t="s">
        <v>203</v>
      </c>
      <c r="D213" s="20" t="s">
        <v>331</v>
      </c>
      <c r="E213" s="21"/>
      <c r="F213" s="21"/>
      <c r="G213" s="21"/>
      <c r="H213" s="21"/>
      <c r="I213" s="21"/>
      <c r="J213" s="21">
        <v>20</v>
      </c>
      <c r="K213" s="21"/>
      <c r="L213" s="21">
        <v>10</v>
      </c>
      <c r="M213" s="21"/>
      <c r="N213" s="21"/>
      <c r="O213" s="21"/>
      <c r="P213" s="21"/>
      <c r="Q213" s="22">
        <f t="shared" si="3"/>
        <v>30</v>
      </c>
    </row>
    <row r="214" spans="1:17" ht="15.75" customHeight="1">
      <c r="A214" s="23">
        <v>212</v>
      </c>
      <c r="B214" s="24" t="s">
        <v>332</v>
      </c>
      <c r="C214" s="24" t="s">
        <v>203</v>
      </c>
      <c r="D214" s="24" t="s">
        <v>333</v>
      </c>
      <c r="E214" s="25"/>
      <c r="F214" s="25"/>
      <c r="G214" s="25">
        <v>20</v>
      </c>
      <c r="H214" s="25"/>
      <c r="I214" s="25"/>
      <c r="J214" s="25"/>
      <c r="K214" s="25"/>
      <c r="L214" s="25"/>
      <c r="M214" s="25"/>
      <c r="N214" s="25"/>
      <c r="O214" s="25"/>
      <c r="P214" s="25"/>
      <c r="Q214" s="22">
        <f t="shared" si="3"/>
        <v>20</v>
      </c>
    </row>
    <row r="215" spans="1:17" ht="15.75" customHeight="1">
      <c r="A215" s="19">
        <v>213</v>
      </c>
      <c r="B215" s="20" t="s">
        <v>334</v>
      </c>
      <c r="C215" s="20" t="s">
        <v>203</v>
      </c>
      <c r="D215" s="20" t="s">
        <v>335</v>
      </c>
      <c r="E215" s="21">
        <v>30</v>
      </c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2">
        <f t="shared" si="3"/>
        <v>30</v>
      </c>
    </row>
    <row r="216" spans="1:17" ht="15.75" customHeight="1">
      <c r="A216" s="23">
        <v>214</v>
      </c>
      <c r="B216" s="24" t="s">
        <v>336</v>
      </c>
      <c r="C216" s="24" t="s">
        <v>203</v>
      </c>
      <c r="D216" s="24" t="s">
        <v>337</v>
      </c>
      <c r="E216" s="25">
        <v>30</v>
      </c>
      <c r="F216" s="25"/>
      <c r="G216" s="25">
        <v>10</v>
      </c>
      <c r="H216" s="25"/>
      <c r="I216" s="25"/>
      <c r="J216" s="25"/>
      <c r="K216" s="25"/>
      <c r="L216" s="25"/>
      <c r="M216" s="25"/>
      <c r="N216" s="25"/>
      <c r="O216" s="25"/>
      <c r="P216" s="25"/>
      <c r="Q216" s="22">
        <f t="shared" si="3"/>
        <v>40</v>
      </c>
    </row>
    <row r="217" spans="1:17" ht="15.75" customHeight="1">
      <c r="A217" s="19">
        <v>215</v>
      </c>
      <c r="B217" s="20" t="s">
        <v>338</v>
      </c>
      <c r="C217" s="20" t="s">
        <v>169</v>
      </c>
      <c r="D217" s="20" t="s">
        <v>186</v>
      </c>
      <c r="E217" s="21"/>
      <c r="F217" s="21">
        <v>5</v>
      </c>
      <c r="G217" s="21">
        <v>2</v>
      </c>
      <c r="H217" s="21"/>
      <c r="I217" s="21"/>
      <c r="J217" s="21"/>
      <c r="K217" s="21"/>
      <c r="L217" s="21"/>
      <c r="M217" s="21"/>
      <c r="N217" s="21"/>
      <c r="O217" s="21"/>
      <c r="P217" s="21"/>
      <c r="Q217" s="22">
        <f t="shared" si="3"/>
        <v>7</v>
      </c>
    </row>
    <row r="218" spans="1:17" ht="15.75" customHeight="1">
      <c r="A218" s="23">
        <v>216</v>
      </c>
      <c r="B218" s="24" t="s">
        <v>339</v>
      </c>
      <c r="C218" s="24" t="s">
        <v>203</v>
      </c>
      <c r="D218" s="24" t="s">
        <v>340</v>
      </c>
      <c r="E218" s="25"/>
      <c r="F218" s="25"/>
      <c r="G218" s="25"/>
      <c r="H218" s="25"/>
      <c r="I218" s="25"/>
      <c r="J218" s="25">
        <v>20</v>
      </c>
      <c r="K218" s="25"/>
      <c r="L218" s="25"/>
      <c r="M218" s="25"/>
      <c r="N218" s="25"/>
      <c r="O218" s="25"/>
      <c r="P218" s="25"/>
      <c r="Q218" s="22">
        <f t="shared" si="3"/>
        <v>20</v>
      </c>
    </row>
    <row r="219" spans="1:17" ht="15.75" customHeight="1">
      <c r="A219" s="19">
        <v>217</v>
      </c>
      <c r="B219" s="20" t="s">
        <v>341</v>
      </c>
      <c r="C219" s="20" t="s">
        <v>180</v>
      </c>
      <c r="D219" s="20" t="s">
        <v>342</v>
      </c>
      <c r="E219" s="21"/>
      <c r="F219" s="21">
        <v>2</v>
      </c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2">
        <f t="shared" si="3"/>
        <v>2</v>
      </c>
    </row>
    <row r="220" spans="1:17" ht="15.75" customHeight="1">
      <c r="A220" s="23">
        <v>218</v>
      </c>
      <c r="B220" s="24" t="s">
        <v>343</v>
      </c>
      <c r="C220" s="24" t="s">
        <v>263</v>
      </c>
      <c r="D220" s="24" t="s">
        <v>342</v>
      </c>
      <c r="E220" s="25"/>
      <c r="F220" s="25"/>
      <c r="G220" s="25"/>
      <c r="H220" s="25">
        <v>1</v>
      </c>
      <c r="I220" s="25"/>
      <c r="J220" s="25"/>
      <c r="K220" s="25">
        <v>1</v>
      </c>
      <c r="L220" s="25"/>
      <c r="M220" s="25"/>
      <c r="N220" s="25"/>
      <c r="O220" s="25"/>
      <c r="P220" s="25"/>
      <c r="Q220" s="22">
        <f t="shared" si="3"/>
        <v>2</v>
      </c>
    </row>
    <row r="221" spans="1:17" ht="15.75" customHeight="1">
      <c r="A221" s="19">
        <v>219</v>
      </c>
      <c r="B221" s="20" t="s">
        <v>344</v>
      </c>
      <c r="C221" s="20" t="s">
        <v>263</v>
      </c>
      <c r="D221" s="20" t="s">
        <v>345</v>
      </c>
      <c r="E221" s="21"/>
      <c r="F221" s="21"/>
      <c r="G221" s="21"/>
      <c r="H221" s="21">
        <v>2</v>
      </c>
      <c r="I221" s="21"/>
      <c r="J221" s="21"/>
      <c r="K221" s="21">
        <v>2</v>
      </c>
      <c r="L221" s="21"/>
      <c r="M221" s="21"/>
      <c r="N221" s="21"/>
      <c r="O221" s="21"/>
      <c r="P221" s="21"/>
      <c r="Q221" s="22">
        <f t="shared" si="3"/>
        <v>4</v>
      </c>
    </row>
    <row r="222" spans="1:17" ht="15.75" customHeight="1">
      <c r="A222" s="23">
        <v>220</v>
      </c>
      <c r="B222" s="24" t="s">
        <v>346</v>
      </c>
      <c r="C222" s="24" t="s">
        <v>203</v>
      </c>
      <c r="D222" s="24" t="s">
        <v>347</v>
      </c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>
        <v>4</v>
      </c>
      <c r="P222" s="25"/>
      <c r="Q222" s="22">
        <f t="shared" si="3"/>
        <v>4</v>
      </c>
    </row>
    <row r="223" spans="1:17" ht="15.75" customHeight="1">
      <c r="A223" s="19">
        <v>221</v>
      </c>
      <c r="B223" s="20" t="s">
        <v>348</v>
      </c>
      <c r="C223" s="20" t="s">
        <v>203</v>
      </c>
      <c r="D223" s="20" t="s">
        <v>349</v>
      </c>
      <c r="E223" s="21"/>
      <c r="F223" s="21"/>
      <c r="G223" s="21">
        <v>170</v>
      </c>
      <c r="H223" s="21"/>
      <c r="I223" s="21">
        <v>20</v>
      </c>
      <c r="J223" s="21"/>
      <c r="K223" s="21"/>
      <c r="L223" s="21"/>
      <c r="M223" s="21"/>
      <c r="N223" s="21"/>
      <c r="O223" s="21"/>
      <c r="P223" s="21"/>
      <c r="Q223" s="22">
        <f t="shared" si="3"/>
        <v>190</v>
      </c>
    </row>
    <row r="224" spans="1:17" ht="15.75" customHeight="1">
      <c r="A224" s="23">
        <v>222</v>
      </c>
      <c r="B224" s="24" t="s">
        <v>350</v>
      </c>
      <c r="C224" s="24" t="s">
        <v>351</v>
      </c>
      <c r="D224" s="24" t="s">
        <v>352</v>
      </c>
      <c r="E224" s="25"/>
      <c r="F224" s="25"/>
      <c r="G224" s="25"/>
      <c r="H224" s="25"/>
      <c r="I224" s="25"/>
      <c r="J224" s="25">
        <v>220</v>
      </c>
      <c r="K224" s="25">
        <v>96</v>
      </c>
      <c r="L224" s="25"/>
      <c r="M224" s="25">
        <v>37</v>
      </c>
      <c r="N224" s="25"/>
      <c r="O224" s="25">
        <v>140</v>
      </c>
      <c r="P224" s="25">
        <v>615</v>
      </c>
      <c r="Q224" s="22">
        <f t="shared" si="3"/>
        <v>1108</v>
      </c>
    </row>
    <row r="225" spans="1:17" ht="15.75" customHeight="1">
      <c r="A225" s="19">
        <v>223</v>
      </c>
      <c r="B225" s="20" t="s">
        <v>353</v>
      </c>
      <c r="C225" s="20" t="s">
        <v>354</v>
      </c>
      <c r="D225" s="20" t="s">
        <v>355</v>
      </c>
      <c r="E225" s="21"/>
      <c r="F225" s="21"/>
      <c r="G225" s="21"/>
      <c r="H225" s="21"/>
      <c r="I225" s="21"/>
      <c r="J225" s="21">
        <v>179</v>
      </c>
      <c r="K225" s="21"/>
      <c r="L225" s="21"/>
      <c r="M225" s="21">
        <v>2</v>
      </c>
      <c r="N225" s="21"/>
      <c r="O225" s="21">
        <v>10</v>
      </c>
      <c r="P225" s="21">
        <v>23</v>
      </c>
      <c r="Q225" s="22">
        <f t="shared" si="3"/>
        <v>214</v>
      </c>
    </row>
    <row r="226" spans="1:17" ht="15.75" customHeight="1">
      <c r="A226" s="23">
        <v>224</v>
      </c>
      <c r="B226" s="24" t="s">
        <v>356</v>
      </c>
      <c r="C226" s="24" t="s">
        <v>357</v>
      </c>
      <c r="D226" s="24" t="s">
        <v>358</v>
      </c>
      <c r="E226" s="25"/>
      <c r="F226" s="25"/>
      <c r="G226" s="25"/>
      <c r="H226" s="25"/>
      <c r="I226" s="25"/>
      <c r="J226" s="25">
        <v>21</v>
      </c>
      <c r="K226" s="25"/>
      <c r="L226" s="25"/>
      <c r="M226" s="25">
        <v>2</v>
      </c>
      <c r="N226" s="25"/>
      <c r="O226" s="25"/>
      <c r="P226" s="25">
        <v>14</v>
      </c>
      <c r="Q226" s="22">
        <f t="shared" si="3"/>
        <v>37</v>
      </c>
    </row>
    <row r="227" spans="1:17" ht="15.75" customHeight="1">
      <c r="A227" s="19">
        <v>225</v>
      </c>
      <c r="B227" s="20" t="s">
        <v>359</v>
      </c>
      <c r="C227" s="20" t="s">
        <v>203</v>
      </c>
      <c r="D227" s="20" t="s">
        <v>360</v>
      </c>
      <c r="E227" s="21">
        <v>200</v>
      </c>
      <c r="F227" s="21"/>
      <c r="G227" s="21">
        <v>500</v>
      </c>
      <c r="H227" s="21">
        <v>200</v>
      </c>
      <c r="I227" s="21"/>
      <c r="J227" s="21"/>
      <c r="K227" s="21">
        <v>300</v>
      </c>
      <c r="L227" s="21"/>
      <c r="M227" s="21"/>
      <c r="N227" s="21"/>
      <c r="O227" s="21"/>
      <c r="P227" s="21"/>
      <c r="Q227" s="22">
        <f t="shared" si="3"/>
        <v>1200</v>
      </c>
    </row>
    <row r="228" spans="1:17" ht="15.75" customHeight="1">
      <c r="A228" s="23">
        <v>226</v>
      </c>
      <c r="B228" s="24" t="s">
        <v>361</v>
      </c>
      <c r="C228" s="24" t="s">
        <v>362</v>
      </c>
      <c r="D228" s="24" t="s">
        <v>26</v>
      </c>
      <c r="E228" s="25"/>
      <c r="F228" s="25"/>
      <c r="G228" s="25"/>
      <c r="H228" s="25"/>
      <c r="I228" s="25"/>
      <c r="J228" s="25"/>
      <c r="K228" s="25"/>
      <c r="L228" s="25"/>
      <c r="M228" s="25">
        <v>10</v>
      </c>
      <c r="N228" s="25"/>
      <c r="O228" s="25"/>
      <c r="P228" s="25"/>
      <c r="Q228" s="22">
        <f t="shared" si="3"/>
        <v>10</v>
      </c>
    </row>
    <row r="229" spans="1:17" ht="15.75" customHeight="1">
      <c r="A229" s="19">
        <v>227</v>
      </c>
      <c r="B229" s="20" t="s">
        <v>363</v>
      </c>
      <c r="C229" s="20" t="s">
        <v>169</v>
      </c>
      <c r="D229" s="20" t="s">
        <v>53</v>
      </c>
      <c r="E229" s="21"/>
      <c r="F229" s="21"/>
      <c r="G229" s="21"/>
      <c r="H229" s="21"/>
      <c r="I229" s="21"/>
      <c r="J229" s="21"/>
      <c r="K229" s="21"/>
      <c r="L229" s="21">
        <v>6</v>
      </c>
      <c r="M229" s="21"/>
      <c r="N229" s="21">
        <v>20</v>
      </c>
      <c r="O229" s="21"/>
      <c r="P229" s="21"/>
      <c r="Q229" s="22">
        <f t="shared" si="3"/>
        <v>26</v>
      </c>
    </row>
    <row r="230" spans="1:17" ht="15.75" customHeight="1">
      <c r="A230" s="23">
        <v>228</v>
      </c>
      <c r="B230" s="24" t="s">
        <v>364</v>
      </c>
      <c r="C230" s="24" t="s">
        <v>203</v>
      </c>
      <c r="D230" s="24" t="s">
        <v>365</v>
      </c>
      <c r="E230" s="25"/>
      <c r="F230" s="25"/>
      <c r="G230" s="25">
        <v>20</v>
      </c>
      <c r="H230" s="25"/>
      <c r="I230" s="25"/>
      <c r="J230" s="25"/>
      <c r="K230" s="25"/>
      <c r="L230" s="25"/>
      <c r="M230" s="25"/>
      <c r="N230" s="25"/>
      <c r="O230" s="25"/>
      <c r="P230" s="25"/>
      <c r="Q230" s="22">
        <f t="shared" si="3"/>
        <v>20</v>
      </c>
    </row>
    <row r="231" spans="1:17" ht="15.75" customHeight="1">
      <c r="A231" s="19">
        <v>229</v>
      </c>
      <c r="B231" s="20" t="s">
        <v>366</v>
      </c>
      <c r="C231" s="20" t="s">
        <v>367</v>
      </c>
      <c r="D231" s="20" t="s">
        <v>368</v>
      </c>
      <c r="E231" s="21"/>
      <c r="F231" s="21"/>
      <c r="G231" s="21"/>
      <c r="H231" s="21"/>
      <c r="I231" s="21"/>
      <c r="J231" s="21">
        <v>48</v>
      </c>
      <c r="K231" s="21"/>
      <c r="L231" s="21">
        <v>7</v>
      </c>
      <c r="M231" s="21">
        <v>4</v>
      </c>
      <c r="N231" s="21">
        <v>5</v>
      </c>
      <c r="O231" s="21"/>
      <c r="P231" s="21">
        <v>38</v>
      </c>
      <c r="Q231" s="22">
        <f t="shared" si="3"/>
        <v>102</v>
      </c>
    </row>
    <row r="232" spans="1:17" ht="15.75" customHeight="1">
      <c r="A232" s="23">
        <v>230</v>
      </c>
      <c r="B232" s="24" t="s">
        <v>369</v>
      </c>
      <c r="C232" s="24" t="s">
        <v>370</v>
      </c>
      <c r="D232" s="24" t="s">
        <v>371</v>
      </c>
      <c r="E232" s="25"/>
      <c r="F232" s="25"/>
      <c r="G232" s="25"/>
      <c r="H232" s="25"/>
      <c r="I232" s="25"/>
      <c r="J232" s="25"/>
      <c r="K232" s="25"/>
      <c r="L232" s="25"/>
      <c r="M232" s="25">
        <v>43</v>
      </c>
      <c r="N232" s="25"/>
      <c r="O232" s="25"/>
      <c r="P232" s="25"/>
      <c r="Q232" s="22">
        <f t="shared" si="3"/>
        <v>43</v>
      </c>
    </row>
    <row r="233" spans="1:17" ht="15.75" customHeight="1">
      <c r="A233" s="19">
        <v>231</v>
      </c>
      <c r="B233" s="20" t="s">
        <v>372</v>
      </c>
      <c r="C233" s="20" t="s">
        <v>169</v>
      </c>
      <c r="D233" s="20" t="s">
        <v>182</v>
      </c>
      <c r="E233" s="21"/>
      <c r="F233" s="21">
        <v>2</v>
      </c>
      <c r="G233" s="21">
        <v>4</v>
      </c>
      <c r="H233" s="21"/>
      <c r="I233" s="21"/>
      <c r="J233" s="21"/>
      <c r="K233" s="21"/>
      <c r="L233" s="21"/>
      <c r="M233" s="21"/>
      <c r="N233" s="21"/>
      <c r="O233" s="21"/>
      <c r="P233" s="21">
        <v>2</v>
      </c>
      <c r="Q233" s="22">
        <f t="shared" si="3"/>
        <v>8</v>
      </c>
    </row>
    <row r="234" spans="1:17" ht="15.75" customHeight="1">
      <c r="A234" s="23">
        <v>232</v>
      </c>
      <c r="B234" s="24" t="s">
        <v>373</v>
      </c>
      <c r="C234" s="24" t="s">
        <v>294</v>
      </c>
      <c r="D234" s="24" t="s">
        <v>374</v>
      </c>
      <c r="E234" s="25"/>
      <c r="F234" s="25"/>
      <c r="G234" s="25"/>
      <c r="H234" s="25"/>
      <c r="I234" s="25"/>
      <c r="J234" s="25"/>
      <c r="K234" s="25"/>
      <c r="L234" s="25">
        <v>20</v>
      </c>
      <c r="M234" s="25">
        <v>10</v>
      </c>
      <c r="N234" s="25"/>
      <c r="O234" s="25"/>
      <c r="P234" s="25"/>
      <c r="Q234" s="22">
        <f t="shared" si="3"/>
        <v>30</v>
      </c>
    </row>
    <row r="235" spans="1:17" ht="15.75" customHeight="1">
      <c r="A235" s="19">
        <v>233</v>
      </c>
      <c r="B235" s="20" t="s">
        <v>375</v>
      </c>
      <c r="C235" s="20" t="s">
        <v>294</v>
      </c>
      <c r="D235" s="20" t="s">
        <v>376</v>
      </c>
      <c r="E235" s="21"/>
      <c r="F235" s="21"/>
      <c r="G235" s="21"/>
      <c r="H235" s="21"/>
      <c r="I235" s="21"/>
      <c r="J235" s="21"/>
      <c r="K235" s="21"/>
      <c r="L235" s="21"/>
      <c r="M235" s="21">
        <v>20</v>
      </c>
      <c r="N235" s="21"/>
      <c r="O235" s="21"/>
      <c r="P235" s="21"/>
      <c r="Q235" s="22">
        <f t="shared" si="3"/>
        <v>20</v>
      </c>
    </row>
    <row r="236" spans="1:17" ht="15.75" customHeight="1">
      <c r="A236" s="23">
        <v>234</v>
      </c>
      <c r="B236" s="24" t="s">
        <v>377</v>
      </c>
      <c r="C236" s="24" t="s">
        <v>203</v>
      </c>
      <c r="D236" s="24" t="s">
        <v>378</v>
      </c>
      <c r="E236" s="25"/>
      <c r="F236" s="25"/>
      <c r="G236" s="25"/>
      <c r="H236" s="25"/>
      <c r="I236" s="25">
        <v>40</v>
      </c>
      <c r="J236" s="25"/>
      <c r="K236" s="25">
        <v>120</v>
      </c>
      <c r="L236" s="25"/>
      <c r="M236" s="25"/>
      <c r="N236" s="25"/>
      <c r="O236" s="25"/>
      <c r="P236" s="25"/>
      <c r="Q236" s="22">
        <f t="shared" si="3"/>
        <v>160</v>
      </c>
    </row>
    <row r="237" spans="1:17" ht="15.75" customHeight="1">
      <c r="A237" s="19">
        <v>235</v>
      </c>
      <c r="B237" s="20" t="s">
        <v>379</v>
      </c>
      <c r="C237" s="20" t="s">
        <v>203</v>
      </c>
      <c r="D237" s="20" t="s">
        <v>380</v>
      </c>
      <c r="E237" s="21"/>
      <c r="F237" s="21"/>
      <c r="G237" s="21"/>
      <c r="H237" s="21"/>
      <c r="I237" s="21"/>
      <c r="J237" s="21"/>
      <c r="K237" s="21">
        <v>120</v>
      </c>
      <c r="L237" s="21"/>
      <c r="M237" s="21"/>
      <c r="N237" s="21"/>
      <c r="O237" s="21"/>
      <c r="P237" s="21"/>
      <c r="Q237" s="22">
        <f t="shared" si="3"/>
        <v>120</v>
      </c>
    </row>
    <row r="238" spans="1:17" ht="15.75" customHeight="1">
      <c r="A238" s="23">
        <v>236</v>
      </c>
      <c r="B238" s="24" t="s">
        <v>381</v>
      </c>
      <c r="C238" s="24" t="s">
        <v>203</v>
      </c>
      <c r="D238" s="24" t="s">
        <v>382</v>
      </c>
      <c r="E238" s="25"/>
      <c r="F238" s="25"/>
      <c r="G238" s="25">
        <v>10</v>
      </c>
      <c r="H238" s="25"/>
      <c r="I238" s="25"/>
      <c r="J238" s="25"/>
      <c r="K238" s="25"/>
      <c r="L238" s="25"/>
      <c r="M238" s="25"/>
      <c r="N238" s="25"/>
      <c r="O238" s="25"/>
      <c r="P238" s="25"/>
      <c r="Q238" s="22">
        <f t="shared" si="3"/>
        <v>10</v>
      </c>
    </row>
    <row r="239" spans="1:17" ht="15.75" customHeight="1">
      <c r="A239" s="19">
        <v>237</v>
      </c>
      <c r="B239" s="20" t="s">
        <v>383</v>
      </c>
      <c r="C239" s="20" t="s">
        <v>203</v>
      </c>
      <c r="D239" s="20" t="s">
        <v>384</v>
      </c>
      <c r="E239" s="21">
        <v>30</v>
      </c>
      <c r="F239" s="21"/>
      <c r="G239" s="21"/>
      <c r="H239" s="21"/>
      <c r="I239" s="21"/>
      <c r="J239" s="21"/>
      <c r="K239" s="21"/>
      <c r="L239" s="21"/>
      <c r="M239" s="21"/>
      <c r="N239" s="21"/>
      <c r="O239" s="21">
        <v>10</v>
      </c>
      <c r="P239" s="21"/>
      <c r="Q239" s="22">
        <f t="shared" si="3"/>
        <v>40</v>
      </c>
    </row>
    <row r="240" spans="1:17" ht="15.75" customHeight="1">
      <c r="A240" s="23">
        <v>238</v>
      </c>
      <c r="B240" s="24" t="s">
        <v>385</v>
      </c>
      <c r="C240" s="24" t="s">
        <v>203</v>
      </c>
      <c r="D240" s="24" t="s">
        <v>386</v>
      </c>
      <c r="E240" s="25">
        <v>30</v>
      </c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2">
        <f t="shared" si="3"/>
        <v>30</v>
      </c>
    </row>
    <row r="241" spans="1:17" ht="15.75" customHeight="1">
      <c r="A241" s="19">
        <v>239</v>
      </c>
      <c r="B241" s="20" t="s">
        <v>387</v>
      </c>
      <c r="C241" s="20" t="s">
        <v>169</v>
      </c>
      <c r="D241" s="20" t="s">
        <v>240</v>
      </c>
      <c r="E241" s="21"/>
      <c r="F241" s="21"/>
      <c r="G241" s="21"/>
      <c r="H241" s="21"/>
      <c r="I241" s="21"/>
      <c r="J241" s="21"/>
      <c r="K241" s="21">
        <v>50</v>
      </c>
      <c r="L241" s="21"/>
      <c r="M241" s="21"/>
      <c r="N241" s="21"/>
      <c r="O241" s="21">
        <v>80</v>
      </c>
      <c r="P241" s="21"/>
      <c r="Q241" s="22">
        <f t="shared" si="3"/>
        <v>130</v>
      </c>
    </row>
    <row r="242" spans="1:17" ht="15.75" customHeight="1">
      <c r="A242" s="23">
        <v>240</v>
      </c>
      <c r="B242" s="24" t="s">
        <v>388</v>
      </c>
      <c r="C242" s="24" t="s">
        <v>389</v>
      </c>
      <c r="D242" s="24"/>
      <c r="E242" s="25"/>
      <c r="F242" s="25"/>
      <c r="G242" s="25"/>
      <c r="H242" s="25"/>
      <c r="I242" s="25">
        <v>30</v>
      </c>
      <c r="J242" s="25"/>
      <c r="K242" s="25"/>
      <c r="L242" s="25"/>
      <c r="M242" s="25"/>
      <c r="N242" s="25"/>
      <c r="O242" s="25"/>
      <c r="P242" s="25"/>
      <c r="Q242" s="22">
        <f t="shared" si="3"/>
        <v>30</v>
      </c>
    </row>
    <row r="243" spans="1:17" ht="15.75" customHeight="1">
      <c r="A243" s="19">
        <v>241</v>
      </c>
      <c r="B243" s="20" t="s">
        <v>390</v>
      </c>
      <c r="C243" s="20" t="s">
        <v>253</v>
      </c>
      <c r="D243" s="20" t="s">
        <v>391</v>
      </c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>
        <v>4</v>
      </c>
      <c r="P243" s="21"/>
      <c r="Q243" s="22">
        <f t="shared" si="3"/>
        <v>4</v>
      </c>
    </row>
    <row r="244" spans="1:17" ht="15.75" customHeight="1">
      <c r="A244" s="23">
        <v>242</v>
      </c>
      <c r="B244" s="24" t="s">
        <v>392</v>
      </c>
      <c r="C244" s="24" t="s">
        <v>294</v>
      </c>
      <c r="D244" s="24" t="s">
        <v>393</v>
      </c>
      <c r="E244" s="25"/>
      <c r="F244" s="25"/>
      <c r="G244" s="25"/>
      <c r="H244" s="25"/>
      <c r="I244" s="25"/>
      <c r="J244" s="25"/>
      <c r="K244" s="25"/>
      <c r="L244" s="25">
        <v>20</v>
      </c>
      <c r="M244" s="25"/>
      <c r="N244" s="25"/>
      <c r="O244" s="25"/>
      <c r="P244" s="25"/>
      <c r="Q244" s="22">
        <f t="shared" si="3"/>
        <v>20</v>
      </c>
    </row>
    <row r="245" spans="1:17" ht="15.75" customHeight="1">
      <c r="A245" s="19">
        <v>243</v>
      </c>
      <c r="B245" s="20" t="s">
        <v>394</v>
      </c>
      <c r="C245" s="20" t="s">
        <v>203</v>
      </c>
      <c r="D245" s="20" t="s">
        <v>395</v>
      </c>
      <c r="E245" s="21">
        <v>30</v>
      </c>
      <c r="F245" s="21"/>
      <c r="G245" s="21">
        <v>10</v>
      </c>
      <c r="H245" s="21"/>
      <c r="I245" s="21"/>
      <c r="J245" s="21"/>
      <c r="K245" s="21"/>
      <c r="L245" s="21"/>
      <c r="M245" s="21"/>
      <c r="N245" s="21"/>
      <c r="O245" s="21"/>
      <c r="P245" s="21"/>
      <c r="Q245" s="22">
        <f t="shared" si="3"/>
        <v>40</v>
      </c>
    </row>
    <row r="246" spans="1:17" ht="15.75" customHeight="1">
      <c r="A246" s="23">
        <v>244</v>
      </c>
      <c r="B246" s="24" t="s">
        <v>396</v>
      </c>
      <c r="C246" s="24" t="s">
        <v>203</v>
      </c>
      <c r="D246" s="24" t="s">
        <v>397</v>
      </c>
      <c r="E246" s="25">
        <v>30</v>
      </c>
      <c r="F246" s="25"/>
      <c r="G246" s="25"/>
      <c r="H246" s="25"/>
      <c r="I246" s="25"/>
      <c r="J246" s="25"/>
      <c r="K246" s="25"/>
      <c r="L246" s="25"/>
      <c r="M246" s="25"/>
      <c r="N246" s="25"/>
      <c r="O246" s="25">
        <v>4</v>
      </c>
      <c r="P246" s="25"/>
      <c r="Q246" s="22">
        <f t="shared" si="3"/>
        <v>34</v>
      </c>
    </row>
    <row r="247" spans="1:17" ht="15.75" customHeight="1">
      <c r="A247" s="19">
        <v>245</v>
      </c>
      <c r="B247" s="20" t="s">
        <v>398</v>
      </c>
      <c r="C247" s="20" t="s">
        <v>169</v>
      </c>
      <c r="D247" s="20" t="s">
        <v>24</v>
      </c>
      <c r="E247" s="21"/>
      <c r="F247" s="21"/>
      <c r="G247" s="21"/>
      <c r="H247" s="21"/>
      <c r="I247" s="21"/>
      <c r="J247" s="21">
        <v>3</v>
      </c>
      <c r="K247" s="21"/>
      <c r="L247" s="21"/>
      <c r="M247" s="21"/>
      <c r="N247" s="21"/>
      <c r="O247" s="21">
        <v>20</v>
      </c>
      <c r="P247" s="21"/>
      <c r="Q247" s="22">
        <f t="shared" si="3"/>
        <v>23</v>
      </c>
    </row>
    <row r="248" spans="1:17" ht="15.75" customHeight="1">
      <c r="A248" s="23">
        <v>246</v>
      </c>
      <c r="B248" s="24" t="s">
        <v>399</v>
      </c>
      <c r="C248" s="24" t="s">
        <v>169</v>
      </c>
      <c r="D248" s="24" t="s">
        <v>342</v>
      </c>
      <c r="E248" s="25"/>
      <c r="F248" s="25">
        <v>4</v>
      </c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2">
        <f t="shared" si="3"/>
        <v>4</v>
      </c>
    </row>
    <row r="249" spans="1:17" ht="15.75" customHeight="1">
      <c r="A249" s="19">
        <v>247</v>
      </c>
      <c r="B249" s="20" t="s">
        <v>400</v>
      </c>
      <c r="C249" s="20" t="s">
        <v>211</v>
      </c>
      <c r="D249" s="20" t="s">
        <v>401</v>
      </c>
      <c r="E249" s="21"/>
      <c r="F249" s="21">
        <v>1</v>
      </c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2">
        <f t="shared" si="3"/>
        <v>1</v>
      </c>
    </row>
    <row r="250" spans="1:17" ht="15.75" customHeight="1">
      <c r="A250" s="23">
        <v>248</v>
      </c>
      <c r="B250" s="24" t="s">
        <v>402</v>
      </c>
      <c r="C250" s="24" t="s">
        <v>206</v>
      </c>
      <c r="D250" s="24" t="s">
        <v>403</v>
      </c>
      <c r="E250" s="25"/>
      <c r="F250" s="25">
        <v>1</v>
      </c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2">
        <f t="shared" si="3"/>
        <v>1</v>
      </c>
    </row>
    <row r="251" spans="1:17" ht="15.75" customHeight="1">
      <c r="A251" s="19">
        <v>249</v>
      </c>
      <c r="B251" s="20" t="s">
        <v>404</v>
      </c>
      <c r="C251" s="20" t="s">
        <v>263</v>
      </c>
      <c r="D251" s="20" t="s">
        <v>405</v>
      </c>
      <c r="E251" s="21"/>
      <c r="F251" s="21"/>
      <c r="G251" s="21"/>
      <c r="H251" s="21">
        <v>80</v>
      </c>
      <c r="I251" s="21"/>
      <c r="J251" s="21"/>
      <c r="K251" s="21"/>
      <c r="L251" s="21"/>
      <c r="M251" s="21"/>
      <c r="N251" s="21"/>
      <c r="O251" s="21"/>
      <c r="P251" s="21"/>
      <c r="Q251" s="22">
        <f t="shared" si="3"/>
        <v>80</v>
      </c>
    </row>
    <row r="252" spans="1:17" ht="15.75" customHeight="1">
      <c r="A252" s="23">
        <v>250</v>
      </c>
      <c r="B252" s="24" t="s">
        <v>406</v>
      </c>
      <c r="C252" s="24" t="s">
        <v>263</v>
      </c>
      <c r="D252" s="24" t="s">
        <v>407</v>
      </c>
      <c r="E252" s="25"/>
      <c r="F252" s="25"/>
      <c r="G252" s="25"/>
      <c r="H252" s="25">
        <v>80</v>
      </c>
      <c r="I252" s="25"/>
      <c r="J252" s="25"/>
      <c r="K252" s="25"/>
      <c r="L252" s="25"/>
      <c r="M252" s="25"/>
      <c r="N252" s="25"/>
      <c r="O252" s="25"/>
      <c r="P252" s="25"/>
      <c r="Q252" s="22">
        <f t="shared" si="3"/>
        <v>80</v>
      </c>
    </row>
    <row r="253" spans="1:17" ht="15.75" customHeight="1">
      <c r="A253" s="19">
        <v>251</v>
      </c>
      <c r="B253" s="20" t="s">
        <v>408</v>
      </c>
      <c r="C253" s="20" t="s">
        <v>263</v>
      </c>
      <c r="D253" s="20" t="s">
        <v>409</v>
      </c>
      <c r="E253" s="21"/>
      <c r="F253" s="21"/>
      <c r="G253" s="21"/>
      <c r="H253" s="21">
        <v>40</v>
      </c>
      <c r="I253" s="21"/>
      <c r="J253" s="21"/>
      <c r="K253" s="21"/>
      <c r="L253" s="21"/>
      <c r="M253" s="21"/>
      <c r="N253" s="21"/>
      <c r="O253" s="21"/>
      <c r="P253" s="21"/>
      <c r="Q253" s="22">
        <f t="shared" si="3"/>
        <v>40</v>
      </c>
    </row>
    <row r="254" spans="1:17" ht="15.75" customHeight="1">
      <c r="A254" s="23">
        <v>252</v>
      </c>
      <c r="B254" s="24" t="s">
        <v>410</v>
      </c>
      <c r="C254" s="24" t="s">
        <v>263</v>
      </c>
      <c r="D254" s="24" t="s">
        <v>411</v>
      </c>
      <c r="E254" s="25"/>
      <c r="F254" s="25"/>
      <c r="G254" s="25"/>
      <c r="H254" s="25">
        <v>40</v>
      </c>
      <c r="I254" s="25"/>
      <c r="J254" s="25"/>
      <c r="K254" s="25"/>
      <c r="L254" s="25"/>
      <c r="M254" s="25"/>
      <c r="N254" s="25"/>
      <c r="O254" s="25"/>
      <c r="P254" s="25"/>
      <c r="Q254" s="22">
        <f t="shared" si="3"/>
        <v>40</v>
      </c>
    </row>
    <row r="255" spans="1:17" ht="15.75" customHeight="1">
      <c r="A255" s="19">
        <v>253</v>
      </c>
      <c r="B255" s="20" t="s">
        <v>412</v>
      </c>
      <c r="C255" s="20" t="s">
        <v>244</v>
      </c>
      <c r="D255" s="20" t="s">
        <v>411</v>
      </c>
      <c r="E255" s="21"/>
      <c r="F255" s="21"/>
      <c r="G255" s="21"/>
      <c r="H255" s="21">
        <v>60</v>
      </c>
      <c r="I255" s="21"/>
      <c r="J255" s="21"/>
      <c r="K255" s="21"/>
      <c r="L255" s="21"/>
      <c r="M255" s="21"/>
      <c r="N255" s="21"/>
      <c r="O255" s="21"/>
      <c r="P255" s="21"/>
      <c r="Q255" s="22">
        <f t="shared" si="3"/>
        <v>60</v>
      </c>
    </row>
    <row r="256" spans="1:17" ht="15.75" customHeight="1">
      <c r="A256" s="23">
        <v>254</v>
      </c>
      <c r="B256" s="24" t="s">
        <v>413</v>
      </c>
      <c r="C256" s="24" t="s">
        <v>203</v>
      </c>
      <c r="D256" s="24" t="s">
        <v>414</v>
      </c>
      <c r="E256" s="25"/>
      <c r="F256" s="25"/>
      <c r="G256" s="25">
        <v>30</v>
      </c>
      <c r="H256" s="25"/>
      <c r="I256" s="25"/>
      <c r="J256" s="25"/>
      <c r="K256" s="25"/>
      <c r="L256" s="25"/>
      <c r="M256" s="25"/>
      <c r="N256" s="25"/>
      <c r="O256" s="25"/>
      <c r="P256" s="25"/>
      <c r="Q256" s="22">
        <f t="shared" si="3"/>
        <v>30</v>
      </c>
    </row>
    <row r="257" spans="1:17" ht="15.75" customHeight="1">
      <c r="A257" s="19">
        <v>255</v>
      </c>
      <c r="B257" s="20" t="s">
        <v>415</v>
      </c>
      <c r="C257" s="20" t="s">
        <v>203</v>
      </c>
      <c r="D257" s="20" t="s">
        <v>416</v>
      </c>
      <c r="E257" s="21"/>
      <c r="F257" s="21"/>
      <c r="G257" s="21">
        <v>30</v>
      </c>
      <c r="H257" s="21"/>
      <c r="I257" s="21"/>
      <c r="J257" s="21"/>
      <c r="K257" s="21"/>
      <c r="L257" s="21"/>
      <c r="M257" s="21"/>
      <c r="N257" s="21"/>
      <c r="O257" s="21"/>
      <c r="P257" s="21"/>
      <c r="Q257" s="22">
        <f t="shared" si="3"/>
        <v>30</v>
      </c>
    </row>
    <row r="258" spans="1:17" ht="15.75" customHeight="1">
      <c r="A258" s="23">
        <v>256</v>
      </c>
      <c r="B258" s="24" t="s">
        <v>417</v>
      </c>
      <c r="C258" s="24" t="s">
        <v>203</v>
      </c>
      <c r="D258" s="24" t="s">
        <v>418</v>
      </c>
      <c r="E258" s="25"/>
      <c r="F258" s="25"/>
      <c r="G258" s="25"/>
      <c r="H258" s="25">
        <v>20</v>
      </c>
      <c r="I258" s="25"/>
      <c r="J258" s="25"/>
      <c r="K258" s="25"/>
      <c r="L258" s="25"/>
      <c r="M258" s="25"/>
      <c r="N258" s="25"/>
      <c r="O258" s="25"/>
      <c r="P258" s="25"/>
      <c r="Q258" s="22">
        <f t="shared" si="3"/>
        <v>20</v>
      </c>
    </row>
    <row r="259" spans="1:17" ht="15.75" customHeight="1">
      <c r="A259" s="19">
        <v>257</v>
      </c>
      <c r="B259" s="20" t="s">
        <v>419</v>
      </c>
      <c r="C259" s="20" t="s">
        <v>203</v>
      </c>
      <c r="D259" s="20" t="s">
        <v>420</v>
      </c>
      <c r="E259" s="21"/>
      <c r="F259" s="21"/>
      <c r="G259" s="21"/>
      <c r="H259" s="21">
        <v>20</v>
      </c>
      <c r="I259" s="21"/>
      <c r="J259" s="21"/>
      <c r="K259" s="21"/>
      <c r="L259" s="21"/>
      <c r="M259" s="21"/>
      <c r="N259" s="21"/>
      <c r="O259" s="21"/>
      <c r="P259" s="21"/>
      <c r="Q259" s="22">
        <f t="shared" ref="Q259:Q322" si="4">SUM(E259:P259)</f>
        <v>20</v>
      </c>
    </row>
    <row r="260" spans="1:17" ht="15.75" customHeight="1">
      <c r="A260" s="23">
        <v>258</v>
      </c>
      <c r="B260" s="24" t="s">
        <v>421</v>
      </c>
      <c r="C260" s="24" t="s">
        <v>203</v>
      </c>
      <c r="D260" s="24" t="s">
        <v>422</v>
      </c>
      <c r="E260" s="25"/>
      <c r="F260" s="25"/>
      <c r="G260" s="25"/>
      <c r="H260" s="25">
        <v>20</v>
      </c>
      <c r="I260" s="25"/>
      <c r="J260" s="25"/>
      <c r="K260" s="25"/>
      <c r="L260" s="25"/>
      <c r="M260" s="25"/>
      <c r="N260" s="25"/>
      <c r="O260" s="25"/>
      <c r="P260" s="25"/>
      <c r="Q260" s="22">
        <f t="shared" si="4"/>
        <v>20</v>
      </c>
    </row>
    <row r="261" spans="1:17" ht="15.75" customHeight="1">
      <c r="A261" s="19">
        <v>259</v>
      </c>
      <c r="B261" s="20" t="s">
        <v>423</v>
      </c>
      <c r="C261" s="20" t="s">
        <v>203</v>
      </c>
      <c r="D261" s="20" t="s">
        <v>424</v>
      </c>
      <c r="E261" s="21"/>
      <c r="F261" s="21"/>
      <c r="G261" s="21"/>
      <c r="H261" s="21">
        <v>20</v>
      </c>
      <c r="I261" s="21"/>
      <c r="J261" s="21"/>
      <c r="K261" s="21"/>
      <c r="L261" s="21"/>
      <c r="M261" s="21"/>
      <c r="N261" s="21"/>
      <c r="O261" s="21"/>
      <c r="P261" s="21"/>
      <c r="Q261" s="22">
        <f t="shared" si="4"/>
        <v>20</v>
      </c>
    </row>
    <row r="262" spans="1:17" ht="15.75" customHeight="1">
      <c r="A262" s="23">
        <v>260</v>
      </c>
      <c r="B262" s="24" t="s">
        <v>425</v>
      </c>
      <c r="C262" s="24" t="s">
        <v>203</v>
      </c>
      <c r="D262" s="24" t="s">
        <v>426</v>
      </c>
      <c r="E262" s="25"/>
      <c r="F262" s="25"/>
      <c r="G262" s="25"/>
      <c r="H262" s="25"/>
      <c r="I262" s="25">
        <v>20</v>
      </c>
      <c r="J262" s="25"/>
      <c r="K262" s="25">
        <v>60</v>
      </c>
      <c r="L262" s="25"/>
      <c r="M262" s="25"/>
      <c r="N262" s="25"/>
      <c r="O262" s="25"/>
      <c r="P262" s="25"/>
      <c r="Q262" s="22">
        <f t="shared" si="4"/>
        <v>80</v>
      </c>
    </row>
    <row r="263" spans="1:17" ht="15.75" customHeight="1">
      <c r="A263" s="19">
        <v>261</v>
      </c>
      <c r="B263" s="20" t="s">
        <v>427</v>
      </c>
      <c r="C263" s="20" t="s">
        <v>428</v>
      </c>
      <c r="D263" s="20" t="s">
        <v>22</v>
      </c>
      <c r="E263" s="21"/>
      <c r="F263" s="21"/>
      <c r="G263" s="21"/>
      <c r="H263" s="21"/>
      <c r="I263" s="21"/>
      <c r="J263" s="21"/>
      <c r="K263" s="21">
        <v>10</v>
      </c>
      <c r="L263" s="21"/>
      <c r="M263" s="21"/>
      <c r="N263" s="21"/>
      <c r="O263" s="21"/>
      <c r="P263" s="21"/>
      <c r="Q263" s="22">
        <f t="shared" si="4"/>
        <v>10</v>
      </c>
    </row>
    <row r="264" spans="1:17" ht="15.75" customHeight="1">
      <c r="A264" s="23">
        <v>262</v>
      </c>
      <c r="B264" s="24" t="s">
        <v>429</v>
      </c>
      <c r="C264" s="24" t="s">
        <v>430</v>
      </c>
      <c r="D264" s="26" t="s">
        <v>431</v>
      </c>
      <c r="E264" s="25"/>
      <c r="F264" s="25"/>
      <c r="G264" s="25"/>
      <c r="H264" s="25"/>
      <c r="I264" s="25"/>
      <c r="J264" s="25"/>
      <c r="K264" s="25">
        <v>2</v>
      </c>
      <c r="L264" s="25"/>
      <c r="M264" s="25"/>
      <c r="N264" s="25"/>
      <c r="O264" s="25"/>
      <c r="P264" s="25"/>
      <c r="Q264" s="22">
        <f t="shared" si="4"/>
        <v>2</v>
      </c>
    </row>
    <row r="265" spans="1:17" ht="15.75" customHeight="1">
      <c r="A265" s="19">
        <v>263</v>
      </c>
      <c r="B265" s="20" t="s">
        <v>432</v>
      </c>
      <c r="C265" s="20" t="s">
        <v>169</v>
      </c>
      <c r="D265" s="20" t="s">
        <v>433</v>
      </c>
      <c r="E265" s="21"/>
      <c r="F265" s="21"/>
      <c r="G265" s="21"/>
      <c r="H265" s="21"/>
      <c r="I265" s="21"/>
      <c r="J265" s="21"/>
      <c r="K265" s="21">
        <v>15</v>
      </c>
      <c r="L265" s="21"/>
      <c r="M265" s="21"/>
      <c r="N265" s="21"/>
      <c r="O265" s="21"/>
      <c r="P265" s="21"/>
      <c r="Q265" s="22">
        <f t="shared" si="4"/>
        <v>15</v>
      </c>
    </row>
    <row r="266" spans="1:17" ht="15.75" customHeight="1">
      <c r="A266" s="23">
        <v>264</v>
      </c>
      <c r="B266" s="24" t="s">
        <v>434</v>
      </c>
      <c r="C266" s="24" t="s">
        <v>206</v>
      </c>
      <c r="D266" s="24" t="s">
        <v>435</v>
      </c>
      <c r="E266" s="25"/>
      <c r="F266" s="25"/>
      <c r="G266" s="25"/>
      <c r="H266" s="25"/>
      <c r="I266" s="25"/>
      <c r="J266" s="25"/>
      <c r="K266" s="25">
        <v>1</v>
      </c>
      <c r="L266" s="25"/>
      <c r="M266" s="25"/>
      <c r="N266" s="25"/>
      <c r="O266" s="25"/>
      <c r="P266" s="25"/>
      <c r="Q266" s="22">
        <f t="shared" si="4"/>
        <v>1</v>
      </c>
    </row>
    <row r="267" spans="1:17" ht="15.75" customHeight="1">
      <c r="A267" s="19">
        <v>265</v>
      </c>
      <c r="B267" s="20" t="s">
        <v>436</v>
      </c>
      <c r="C267" s="20" t="s">
        <v>206</v>
      </c>
      <c r="D267" s="20" t="s">
        <v>437</v>
      </c>
      <c r="E267" s="21"/>
      <c r="F267" s="21"/>
      <c r="G267" s="21"/>
      <c r="H267" s="21"/>
      <c r="I267" s="21"/>
      <c r="J267" s="21"/>
      <c r="K267" s="21">
        <v>1</v>
      </c>
      <c r="L267" s="21"/>
      <c r="M267" s="21"/>
      <c r="N267" s="21"/>
      <c r="O267" s="21"/>
      <c r="P267" s="21"/>
      <c r="Q267" s="22">
        <f t="shared" si="4"/>
        <v>1</v>
      </c>
    </row>
    <row r="268" spans="1:17" ht="15.75" customHeight="1">
      <c r="A268" s="23">
        <v>266</v>
      </c>
      <c r="B268" s="24" t="s">
        <v>438</v>
      </c>
      <c r="C268" s="24" t="s">
        <v>203</v>
      </c>
      <c r="D268" s="24" t="s">
        <v>439</v>
      </c>
      <c r="E268" s="25"/>
      <c r="F268" s="25"/>
      <c r="G268" s="25"/>
      <c r="H268" s="25"/>
      <c r="I268" s="25"/>
      <c r="J268" s="25"/>
      <c r="K268" s="25">
        <v>60</v>
      </c>
      <c r="L268" s="25"/>
      <c r="M268" s="25"/>
      <c r="N268" s="25"/>
      <c r="O268" s="25"/>
      <c r="P268" s="25"/>
      <c r="Q268" s="22">
        <f t="shared" si="4"/>
        <v>60</v>
      </c>
    </row>
    <row r="269" spans="1:17" ht="15.75" customHeight="1">
      <c r="A269" s="19">
        <v>267</v>
      </c>
      <c r="B269" s="20" t="s">
        <v>440</v>
      </c>
      <c r="C269" s="20" t="s">
        <v>203</v>
      </c>
      <c r="D269" s="20" t="s">
        <v>441</v>
      </c>
      <c r="E269" s="21"/>
      <c r="F269" s="21"/>
      <c r="G269" s="21"/>
      <c r="H269" s="21"/>
      <c r="I269" s="21"/>
      <c r="J269" s="21"/>
      <c r="K269" s="21">
        <v>120</v>
      </c>
      <c r="L269" s="21"/>
      <c r="M269" s="21"/>
      <c r="N269" s="21"/>
      <c r="O269" s="21"/>
      <c r="P269" s="21"/>
      <c r="Q269" s="22">
        <f t="shared" si="4"/>
        <v>120</v>
      </c>
    </row>
    <row r="270" spans="1:17" ht="15.75" customHeight="1">
      <c r="A270" s="23">
        <v>268</v>
      </c>
      <c r="B270" s="24" t="s">
        <v>442</v>
      </c>
      <c r="C270" s="24" t="s">
        <v>203</v>
      </c>
      <c r="D270" s="24" t="s">
        <v>443</v>
      </c>
      <c r="E270" s="25"/>
      <c r="F270" s="25"/>
      <c r="G270" s="25"/>
      <c r="H270" s="25"/>
      <c r="I270" s="25"/>
      <c r="J270" s="25"/>
      <c r="K270" s="25">
        <v>60</v>
      </c>
      <c r="L270" s="25"/>
      <c r="M270" s="25"/>
      <c r="N270" s="25"/>
      <c r="O270" s="25"/>
      <c r="P270" s="25"/>
      <c r="Q270" s="22">
        <f t="shared" si="4"/>
        <v>60</v>
      </c>
    </row>
    <row r="271" spans="1:17" ht="15.75" customHeight="1">
      <c r="A271" s="19">
        <v>269</v>
      </c>
      <c r="B271" s="20" t="s">
        <v>444</v>
      </c>
      <c r="C271" s="20" t="s">
        <v>445</v>
      </c>
      <c r="D271" s="20" t="s">
        <v>446</v>
      </c>
      <c r="E271" s="21"/>
      <c r="F271" s="21"/>
      <c r="G271" s="21"/>
      <c r="H271" s="21"/>
      <c r="I271" s="21"/>
      <c r="J271" s="21"/>
      <c r="K271" s="21"/>
      <c r="L271" s="21">
        <v>10</v>
      </c>
      <c r="M271" s="21"/>
      <c r="N271" s="21"/>
      <c r="O271" s="21"/>
      <c r="P271" s="21"/>
      <c r="Q271" s="22">
        <f t="shared" si="4"/>
        <v>10</v>
      </c>
    </row>
    <row r="272" spans="1:17" ht="15.75" customHeight="1">
      <c r="A272" s="23">
        <v>270</v>
      </c>
      <c r="B272" s="24" t="s">
        <v>447</v>
      </c>
      <c r="C272" s="24" t="s">
        <v>448</v>
      </c>
      <c r="D272" s="24" t="s">
        <v>45</v>
      </c>
      <c r="E272" s="25"/>
      <c r="F272" s="25"/>
      <c r="G272" s="25"/>
      <c r="H272" s="25"/>
      <c r="I272" s="25"/>
      <c r="J272" s="25"/>
      <c r="K272" s="25"/>
      <c r="L272" s="25"/>
      <c r="M272" s="25">
        <v>20</v>
      </c>
      <c r="N272" s="25"/>
      <c r="O272" s="25"/>
      <c r="P272" s="25"/>
      <c r="Q272" s="22">
        <f t="shared" si="4"/>
        <v>20</v>
      </c>
    </row>
    <row r="273" spans="1:17" ht="15.75" customHeight="1">
      <c r="A273" s="19">
        <v>271</v>
      </c>
      <c r="B273" s="20" t="s">
        <v>449</v>
      </c>
      <c r="C273" s="20" t="s">
        <v>203</v>
      </c>
      <c r="D273" s="20" t="s">
        <v>450</v>
      </c>
      <c r="E273" s="21"/>
      <c r="F273" s="21"/>
      <c r="G273" s="21"/>
      <c r="H273" s="21"/>
      <c r="I273" s="21"/>
      <c r="J273" s="21"/>
      <c r="K273" s="21"/>
      <c r="L273" s="21"/>
      <c r="M273" s="21"/>
      <c r="N273" s="21">
        <v>6</v>
      </c>
      <c r="O273" s="21"/>
      <c r="P273" s="21"/>
      <c r="Q273" s="22">
        <f t="shared" si="4"/>
        <v>6</v>
      </c>
    </row>
    <row r="274" spans="1:17" ht="15.75" customHeight="1">
      <c r="A274" s="23">
        <v>272</v>
      </c>
      <c r="B274" s="24" t="s">
        <v>451</v>
      </c>
      <c r="C274" s="24" t="s">
        <v>203</v>
      </c>
      <c r="D274" s="24" t="s">
        <v>452</v>
      </c>
      <c r="E274" s="25"/>
      <c r="F274" s="25"/>
      <c r="G274" s="25"/>
      <c r="H274" s="25"/>
      <c r="I274" s="25"/>
      <c r="J274" s="25"/>
      <c r="K274" s="25"/>
      <c r="L274" s="25"/>
      <c r="M274" s="25"/>
      <c r="N274" s="25">
        <v>12</v>
      </c>
      <c r="O274" s="25"/>
      <c r="P274" s="25"/>
      <c r="Q274" s="22">
        <f t="shared" si="4"/>
        <v>12</v>
      </c>
    </row>
    <row r="275" spans="1:17" ht="15.75" customHeight="1">
      <c r="A275" s="19">
        <v>273</v>
      </c>
      <c r="B275" s="20" t="s">
        <v>453</v>
      </c>
      <c r="C275" s="20" t="s">
        <v>203</v>
      </c>
      <c r="D275" s="20" t="s">
        <v>454</v>
      </c>
      <c r="E275" s="21"/>
      <c r="F275" s="21"/>
      <c r="G275" s="21"/>
      <c r="H275" s="21"/>
      <c r="I275" s="21"/>
      <c r="J275" s="21"/>
      <c r="K275" s="21"/>
      <c r="L275" s="21"/>
      <c r="M275" s="21"/>
      <c r="N275" s="21">
        <v>4</v>
      </c>
      <c r="O275" s="21"/>
      <c r="P275" s="21"/>
      <c r="Q275" s="22">
        <f t="shared" si="4"/>
        <v>4</v>
      </c>
    </row>
    <row r="276" spans="1:17" ht="15.75" customHeight="1">
      <c r="A276" s="23">
        <v>274</v>
      </c>
      <c r="B276" s="24" t="s">
        <v>455</v>
      </c>
      <c r="C276" s="24" t="s">
        <v>203</v>
      </c>
      <c r="D276" s="24" t="s">
        <v>456</v>
      </c>
      <c r="E276" s="25"/>
      <c r="F276" s="25"/>
      <c r="G276" s="25"/>
      <c r="H276" s="25"/>
      <c r="I276" s="25"/>
      <c r="J276" s="25"/>
      <c r="K276" s="25"/>
      <c r="L276" s="25"/>
      <c r="M276" s="25"/>
      <c r="N276" s="25">
        <v>2</v>
      </c>
      <c r="O276" s="25"/>
      <c r="P276" s="25"/>
      <c r="Q276" s="22">
        <f t="shared" si="4"/>
        <v>2</v>
      </c>
    </row>
    <row r="277" spans="1:17" ht="15.75" customHeight="1">
      <c r="A277" s="19">
        <v>275</v>
      </c>
      <c r="B277" s="20" t="s">
        <v>457</v>
      </c>
      <c r="C277" s="20" t="s">
        <v>203</v>
      </c>
      <c r="D277" s="20" t="s">
        <v>458</v>
      </c>
      <c r="E277" s="21"/>
      <c r="F277" s="21"/>
      <c r="G277" s="21"/>
      <c r="H277" s="21"/>
      <c r="I277" s="21"/>
      <c r="J277" s="21"/>
      <c r="K277" s="21"/>
      <c r="L277" s="21"/>
      <c r="M277" s="21"/>
      <c r="N277" s="21">
        <v>8</v>
      </c>
      <c r="O277" s="21"/>
      <c r="P277" s="21"/>
      <c r="Q277" s="22">
        <f t="shared" si="4"/>
        <v>8</v>
      </c>
    </row>
    <row r="278" spans="1:17" ht="15.75" customHeight="1">
      <c r="A278" s="23">
        <v>276</v>
      </c>
      <c r="B278" s="24" t="s">
        <v>459</v>
      </c>
      <c r="C278" s="24" t="s">
        <v>203</v>
      </c>
      <c r="D278" s="26" t="s">
        <v>460</v>
      </c>
      <c r="E278" s="25"/>
      <c r="F278" s="25"/>
      <c r="G278" s="25"/>
      <c r="H278" s="25"/>
      <c r="I278" s="25"/>
      <c r="J278" s="25"/>
      <c r="K278" s="25"/>
      <c r="L278" s="25"/>
      <c r="M278" s="25"/>
      <c r="N278" s="25">
        <v>108</v>
      </c>
      <c r="O278" s="25"/>
      <c r="P278" s="25"/>
      <c r="Q278" s="22">
        <f t="shared" si="4"/>
        <v>108</v>
      </c>
    </row>
    <row r="279" spans="1:17" ht="15.75" customHeight="1">
      <c r="A279" s="19">
        <v>277</v>
      </c>
      <c r="B279" s="20" t="s">
        <v>461</v>
      </c>
      <c r="C279" s="20" t="s">
        <v>206</v>
      </c>
      <c r="D279" s="20" t="s">
        <v>462</v>
      </c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>
        <v>30</v>
      </c>
      <c r="P279" s="21"/>
      <c r="Q279" s="22">
        <f t="shared" si="4"/>
        <v>30</v>
      </c>
    </row>
    <row r="280" spans="1:17" ht="15.75" customHeight="1">
      <c r="A280" s="23">
        <v>278</v>
      </c>
      <c r="B280" s="24" t="s">
        <v>463</v>
      </c>
      <c r="C280" s="24" t="s">
        <v>206</v>
      </c>
      <c r="D280" s="24" t="s">
        <v>464</v>
      </c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>
        <v>4</v>
      </c>
      <c r="P280" s="25"/>
      <c r="Q280" s="22">
        <f t="shared" si="4"/>
        <v>4</v>
      </c>
    </row>
    <row r="281" spans="1:17" ht="15.75" customHeight="1">
      <c r="A281" s="19">
        <v>279</v>
      </c>
      <c r="B281" s="20" t="s">
        <v>465</v>
      </c>
      <c r="C281" s="20" t="s">
        <v>206</v>
      </c>
      <c r="D281" s="20" t="s">
        <v>397</v>
      </c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>
        <v>4</v>
      </c>
      <c r="P281" s="21"/>
      <c r="Q281" s="22">
        <f t="shared" si="4"/>
        <v>4</v>
      </c>
    </row>
    <row r="282" spans="1:17" ht="15.75" customHeight="1">
      <c r="A282" s="23">
        <v>280</v>
      </c>
      <c r="B282" s="24" t="s">
        <v>466</v>
      </c>
      <c r="C282" s="24" t="s">
        <v>211</v>
      </c>
      <c r="D282" s="24" t="s">
        <v>462</v>
      </c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>
        <v>30</v>
      </c>
      <c r="P282" s="25"/>
      <c r="Q282" s="22">
        <f t="shared" si="4"/>
        <v>30</v>
      </c>
    </row>
    <row r="283" spans="1:17" ht="15.75" customHeight="1">
      <c r="A283" s="19">
        <v>281</v>
      </c>
      <c r="B283" s="20" t="s">
        <v>467</v>
      </c>
      <c r="C283" s="20" t="s">
        <v>211</v>
      </c>
      <c r="D283" s="20" t="s">
        <v>464</v>
      </c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>
        <v>4</v>
      </c>
      <c r="P283" s="21"/>
      <c r="Q283" s="22">
        <f t="shared" si="4"/>
        <v>4</v>
      </c>
    </row>
    <row r="284" spans="1:17" ht="15.75" customHeight="1">
      <c r="A284" s="23">
        <v>282</v>
      </c>
      <c r="B284" s="24" t="s">
        <v>468</v>
      </c>
      <c r="C284" s="24" t="s">
        <v>211</v>
      </c>
      <c r="D284" s="24" t="s">
        <v>397</v>
      </c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>
        <v>4</v>
      </c>
      <c r="P284" s="25"/>
      <c r="Q284" s="22">
        <f t="shared" si="4"/>
        <v>4</v>
      </c>
    </row>
    <row r="285" spans="1:17" ht="15.75" customHeight="1">
      <c r="A285" s="19">
        <v>283</v>
      </c>
      <c r="B285" s="20" t="s">
        <v>469</v>
      </c>
      <c r="C285" s="20" t="s">
        <v>169</v>
      </c>
      <c r="D285" s="20" t="s">
        <v>310</v>
      </c>
      <c r="E285" s="21"/>
      <c r="F285" s="21">
        <v>15</v>
      </c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2">
        <f t="shared" si="4"/>
        <v>15</v>
      </c>
    </row>
    <row r="286" spans="1:17" ht="15.75" customHeight="1">
      <c r="A286" s="23">
        <v>284</v>
      </c>
      <c r="B286" s="24" t="s">
        <v>470</v>
      </c>
      <c r="C286" s="24" t="s">
        <v>169</v>
      </c>
      <c r="D286" s="24" t="s">
        <v>184</v>
      </c>
      <c r="E286" s="25"/>
      <c r="F286" s="25">
        <v>6</v>
      </c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2">
        <f t="shared" si="4"/>
        <v>6</v>
      </c>
    </row>
    <row r="287" spans="1:17" ht="15.75" customHeight="1">
      <c r="A287" s="19">
        <v>285</v>
      </c>
      <c r="B287" s="20" t="s">
        <v>471</v>
      </c>
      <c r="C287" s="20" t="s">
        <v>203</v>
      </c>
      <c r="D287" s="20" t="s">
        <v>472</v>
      </c>
      <c r="E287" s="21"/>
      <c r="F287" s="21"/>
      <c r="G287" s="21"/>
      <c r="H287" s="21"/>
      <c r="I287" s="21"/>
      <c r="J287" s="21"/>
      <c r="K287" s="21">
        <v>60</v>
      </c>
      <c r="L287" s="21"/>
      <c r="M287" s="21"/>
      <c r="N287" s="21">
        <v>51</v>
      </c>
      <c r="O287" s="21"/>
      <c r="P287" s="21"/>
      <c r="Q287" s="22">
        <f t="shared" si="4"/>
        <v>111</v>
      </c>
    </row>
    <row r="288" spans="1:17" ht="15.75" customHeight="1">
      <c r="A288" s="23">
        <v>286</v>
      </c>
      <c r="B288" s="24" t="s">
        <v>473</v>
      </c>
      <c r="C288" s="24" t="s">
        <v>445</v>
      </c>
      <c r="D288" s="24" t="s">
        <v>474</v>
      </c>
      <c r="E288" s="25"/>
      <c r="F288" s="25"/>
      <c r="G288" s="25"/>
      <c r="H288" s="25"/>
      <c r="I288" s="25"/>
      <c r="J288" s="25">
        <v>10</v>
      </c>
      <c r="K288" s="25"/>
      <c r="L288" s="25"/>
      <c r="M288" s="25"/>
      <c r="N288" s="25"/>
      <c r="O288" s="25"/>
      <c r="P288" s="25"/>
      <c r="Q288" s="22">
        <f t="shared" si="4"/>
        <v>10</v>
      </c>
    </row>
    <row r="289" spans="1:17" ht="15.75" customHeight="1">
      <c r="A289" s="19">
        <v>287</v>
      </c>
      <c r="B289" s="20" t="s">
        <v>475</v>
      </c>
      <c r="C289" s="20" t="s">
        <v>445</v>
      </c>
      <c r="D289" s="20" t="s">
        <v>476</v>
      </c>
      <c r="E289" s="21"/>
      <c r="F289" s="21"/>
      <c r="G289" s="21"/>
      <c r="H289" s="21"/>
      <c r="I289" s="21"/>
      <c r="J289" s="21">
        <v>10</v>
      </c>
      <c r="K289" s="21"/>
      <c r="L289" s="21"/>
      <c r="M289" s="21"/>
      <c r="N289" s="21"/>
      <c r="O289" s="21"/>
      <c r="P289" s="21"/>
      <c r="Q289" s="22">
        <f t="shared" si="4"/>
        <v>10</v>
      </c>
    </row>
    <row r="290" spans="1:17" ht="15.75" customHeight="1">
      <c r="A290" s="23">
        <v>288</v>
      </c>
      <c r="B290" s="24" t="s">
        <v>477</v>
      </c>
      <c r="C290" s="24" t="s">
        <v>445</v>
      </c>
      <c r="D290" s="24" t="s">
        <v>478</v>
      </c>
      <c r="E290" s="25"/>
      <c r="F290" s="25"/>
      <c r="G290" s="25"/>
      <c r="H290" s="25"/>
      <c r="I290" s="25"/>
      <c r="J290" s="25">
        <v>10</v>
      </c>
      <c r="K290" s="25"/>
      <c r="L290" s="25"/>
      <c r="M290" s="25"/>
      <c r="N290" s="25"/>
      <c r="O290" s="25"/>
      <c r="P290" s="25"/>
      <c r="Q290" s="22">
        <f t="shared" si="4"/>
        <v>10</v>
      </c>
    </row>
    <row r="291" spans="1:17" ht="15.75" customHeight="1">
      <c r="A291" s="19">
        <v>289</v>
      </c>
      <c r="B291" s="20" t="s">
        <v>479</v>
      </c>
      <c r="C291" s="20" t="s">
        <v>480</v>
      </c>
      <c r="D291" s="20" t="s">
        <v>481</v>
      </c>
      <c r="E291" s="21"/>
      <c r="F291" s="21"/>
      <c r="G291" s="21"/>
      <c r="H291" s="21"/>
      <c r="I291" s="21"/>
      <c r="J291" s="21"/>
      <c r="K291" s="21"/>
      <c r="L291" s="21"/>
      <c r="M291" s="21">
        <v>4</v>
      </c>
      <c r="N291" s="21"/>
      <c r="O291" s="21"/>
      <c r="P291" s="21"/>
      <c r="Q291" s="22">
        <f t="shared" si="4"/>
        <v>4</v>
      </c>
    </row>
    <row r="292" spans="1:17" ht="15.75" customHeight="1">
      <c r="A292" s="23">
        <v>290</v>
      </c>
      <c r="B292" s="24" t="s">
        <v>482</v>
      </c>
      <c r="C292" s="24" t="s">
        <v>483</v>
      </c>
      <c r="D292" s="24"/>
      <c r="E292" s="25"/>
      <c r="F292" s="25">
        <v>6</v>
      </c>
      <c r="G292" s="25">
        <v>16</v>
      </c>
      <c r="H292" s="25">
        <v>4</v>
      </c>
      <c r="I292" s="25"/>
      <c r="J292" s="25">
        <v>24</v>
      </c>
      <c r="K292" s="25">
        <v>20</v>
      </c>
      <c r="L292" s="25">
        <v>31</v>
      </c>
      <c r="M292" s="25"/>
      <c r="N292" s="25">
        <v>2</v>
      </c>
      <c r="O292" s="25">
        <v>18</v>
      </c>
      <c r="P292" s="25"/>
      <c r="Q292" s="22">
        <f t="shared" si="4"/>
        <v>121</v>
      </c>
    </row>
    <row r="293" spans="1:17" ht="15.75" customHeight="1">
      <c r="A293" s="19">
        <v>291</v>
      </c>
      <c r="B293" s="20" t="s">
        <v>484</v>
      </c>
      <c r="C293" s="20" t="s">
        <v>485</v>
      </c>
      <c r="D293" s="20"/>
      <c r="E293" s="21"/>
      <c r="F293" s="21">
        <v>18</v>
      </c>
      <c r="G293" s="21">
        <v>2</v>
      </c>
      <c r="H293" s="21">
        <v>31</v>
      </c>
      <c r="I293" s="21">
        <v>40</v>
      </c>
      <c r="J293" s="21">
        <v>12</v>
      </c>
      <c r="K293" s="21">
        <v>22</v>
      </c>
      <c r="L293" s="21">
        <v>25</v>
      </c>
      <c r="M293" s="21"/>
      <c r="N293" s="21">
        <v>32</v>
      </c>
      <c r="O293" s="21">
        <v>8</v>
      </c>
      <c r="P293" s="21"/>
      <c r="Q293" s="22">
        <f t="shared" si="4"/>
        <v>190</v>
      </c>
    </row>
    <row r="294" spans="1:17" ht="15.75" customHeight="1">
      <c r="A294" s="23">
        <v>292</v>
      </c>
      <c r="B294" s="24" t="s">
        <v>486</v>
      </c>
      <c r="C294" s="24" t="s">
        <v>487</v>
      </c>
      <c r="D294" s="24" t="s">
        <v>22</v>
      </c>
      <c r="E294" s="25"/>
      <c r="F294" s="25">
        <v>9</v>
      </c>
      <c r="G294" s="25">
        <v>6</v>
      </c>
      <c r="H294" s="25">
        <v>8</v>
      </c>
      <c r="I294" s="25"/>
      <c r="J294" s="25">
        <v>6</v>
      </c>
      <c r="K294" s="25"/>
      <c r="L294" s="25">
        <v>13</v>
      </c>
      <c r="M294" s="25"/>
      <c r="N294" s="25">
        <v>4</v>
      </c>
      <c r="O294" s="25">
        <v>10</v>
      </c>
      <c r="P294" s="25">
        <v>2</v>
      </c>
      <c r="Q294" s="22">
        <f t="shared" si="4"/>
        <v>58</v>
      </c>
    </row>
    <row r="295" spans="1:17" ht="15.75" customHeight="1">
      <c r="A295" s="19">
        <v>293</v>
      </c>
      <c r="B295" s="20" t="s">
        <v>488</v>
      </c>
      <c r="C295" s="20" t="s">
        <v>489</v>
      </c>
      <c r="D295" s="20"/>
      <c r="E295" s="21">
        <v>20</v>
      </c>
      <c r="F295" s="21">
        <v>95</v>
      </c>
      <c r="G295" s="21"/>
      <c r="H295" s="21"/>
      <c r="I295" s="21">
        <v>10</v>
      </c>
      <c r="J295" s="21">
        <v>4</v>
      </c>
      <c r="K295" s="21"/>
      <c r="L295" s="21">
        <v>19</v>
      </c>
      <c r="M295" s="21">
        <v>20</v>
      </c>
      <c r="N295" s="21"/>
      <c r="O295" s="21">
        <v>3</v>
      </c>
      <c r="P295" s="21">
        <v>2</v>
      </c>
      <c r="Q295" s="22">
        <f t="shared" si="4"/>
        <v>173</v>
      </c>
    </row>
    <row r="296" spans="1:17" ht="15.75" customHeight="1">
      <c r="A296" s="23">
        <v>294</v>
      </c>
      <c r="B296" s="24" t="s">
        <v>490</v>
      </c>
      <c r="C296" s="24" t="s">
        <v>491</v>
      </c>
      <c r="D296" s="24"/>
      <c r="E296" s="25">
        <v>1</v>
      </c>
      <c r="F296" s="25"/>
      <c r="G296" s="25"/>
      <c r="H296" s="25"/>
      <c r="I296" s="25">
        <v>20</v>
      </c>
      <c r="J296" s="25"/>
      <c r="K296" s="25"/>
      <c r="L296" s="25">
        <v>3</v>
      </c>
      <c r="M296" s="25">
        <v>20</v>
      </c>
      <c r="N296" s="25">
        <v>20</v>
      </c>
      <c r="O296" s="25">
        <v>4</v>
      </c>
      <c r="P296" s="25"/>
      <c r="Q296" s="22">
        <f t="shared" si="4"/>
        <v>68</v>
      </c>
    </row>
    <row r="297" spans="1:17" ht="15.75" customHeight="1">
      <c r="A297" s="19">
        <v>295</v>
      </c>
      <c r="B297" s="20" t="s">
        <v>492</v>
      </c>
      <c r="C297" s="20" t="s">
        <v>493</v>
      </c>
      <c r="D297" s="20"/>
      <c r="E297" s="21"/>
      <c r="F297" s="21"/>
      <c r="G297" s="21"/>
      <c r="H297" s="21"/>
      <c r="I297" s="21"/>
      <c r="J297" s="21">
        <v>8</v>
      </c>
      <c r="K297" s="21">
        <v>2</v>
      </c>
      <c r="L297" s="21"/>
      <c r="M297" s="21"/>
      <c r="N297" s="21">
        <v>10</v>
      </c>
      <c r="O297" s="21"/>
      <c r="P297" s="21"/>
      <c r="Q297" s="22">
        <f t="shared" si="4"/>
        <v>20</v>
      </c>
    </row>
    <row r="298" spans="1:17" ht="15.75" customHeight="1">
      <c r="A298" s="23">
        <v>296</v>
      </c>
      <c r="B298" s="24" t="s">
        <v>494</v>
      </c>
      <c r="C298" s="24" t="s">
        <v>495</v>
      </c>
      <c r="D298" s="24"/>
      <c r="E298" s="25"/>
      <c r="F298" s="25">
        <v>4</v>
      </c>
      <c r="G298" s="25"/>
      <c r="H298" s="25"/>
      <c r="I298" s="25"/>
      <c r="J298" s="25">
        <v>70</v>
      </c>
      <c r="K298" s="25">
        <v>30</v>
      </c>
      <c r="L298" s="25"/>
      <c r="M298" s="25">
        <v>30</v>
      </c>
      <c r="N298" s="25"/>
      <c r="O298" s="25">
        <v>35</v>
      </c>
      <c r="P298" s="25"/>
      <c r="Q298" s="22">
        <f t="shared" si="4"/>
        <v>169</v>
      </c>
    </row>
    <row r="299" spans="1:17" ht="15.75" customHeight="1">
      <c r="A299" s="19">
        <v>297</v>
      </c>
      <c r="B299" s="20" t="s">
        <v>496</v>
      </c>
      <c r="C299" s="20" t="s">
        <v>497</v>
      </c>
      <c r="D299" s="20"/>
      <c r="E299" s="21"/>
      <c r="F299" s="21">
        <v>8</v>
      </c>
      <c r="G299" s="21">
        <v>6</v>
      </c>
      <c r="H299" s="21"/>
      <c r="I299" s="21"/>
      <c r="J299" s="21">
        <v>4</v>
      </c>
      <c r="K299" s="21">
        <v>20</v>
      </c>
      <c r="L299" s="21">
        <v>174</v>
      </c>
      <c r="M299" s="21">
        <v>20</v>
      </c>
      <c r="N299" s="21">
        <v>17</v>
      </c>
      <c r="O299" s="21">
        <v>21</v>
      </c>
      <c r="P299" s="21">
        <v>50</v>
      </c>
      <c r="Q299" s="22">
        <f t="shared" si="4"/>
        <v>320</v>
      </c>
    </row>
    <row r="300" spans="1:17" ht="15.75" customHeight="1">
      <c r="A300" s="23">
        <v>298</v>
      </c>
      <c r="B300" s="24" t="s">
        <v>498</v>
      </c>
      <c r="C300" s="24" t="s">
        <v>499</v>
      </c>
      <c r="D300" s="24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>
        <v>9</v>
      </c>
      <c r="P300" s="25"/>
      <c r="Q300" s="22">
        <f t="shared" si="4"/>
        <v>9</v>
      </c>
    </row>
    <row r="301" spans="1:17" ht="15.75" customHeight="1">
      <c r="A301" s="19">
        <v>299</v>
      </c>
      <c r="B301" s="20" t="s">
        <v>500</v>
      </c>
      <c r="C301" s="20" t="s">
        <v>501</v>
      </c>
      <c r="D301" s="20" t="s">
        <v>502</v>
      </c>
      <c r="E301" s="21">
        <v>20</v>
      </c>
      <c r="F301" s="21">
        <v>10</v>
      </c>
      <c r="G301" s="21"/>
      <c r="H301" s="21">
        <v>4</v>
      </c>
      <c r="I301" s="21">
        <v>350</v>
      </c>
      <c r="J301" s="21">
        <v>52</v>
      </c>
      <c r="K301" s="21"/>
      <c r="L301" s="21">
        <v>91</v>
      </c>
      <c r="M301" s="21"/>
      <c r="N301" s="21">
        <v>6</v>
      </c>
      <c r="O301" s="21">
        <v>44</v>
      </c>
      <c r="P301" s="21"/>
      <c r="Q301" s="22">
        <f t="shared" si="4"/>
        <v>577</v>
      </c>
    </row>
    <row r="302" spans="1:17" ht="15.75" customHeight="1">
      <c r="A302" s="23">
        <v>300</v>
      </c>
      <c r="B302" s="24" t="s">
        <v>503</v>
      </c>
      <c r="C302" s="24" t="s">
        <v>504</v>
      </c>
      <c r="D302" s="24" t="s">
        <v>505</v>
      </c>
      <c r="E302" s="25"/>
      <c r="F302" s="25"/>
      <c r="G302" s="25"/>
      <c r="H302" s="25"/>
      <c r="I302" s="25"/>
      <c r="J302" s="25"/>
      <c r="K302" s="25"/>
      <c r="L302" s="25"/>
      <c r="M302" s="25"/>
      <c r="N302" s="25">
        <v>6</v>
      </c>
      <c r="O302" s="25"/>
      <c r="P302" s="25"/>
      <c r="Q302" s="22">
        <f t="shared" si="4"/>
        <v>6</v>
      </c>
    </row>
    <row r="303" spans="1:17" ht="15.75" customHeight="1">
      <c r="A303" s="19">
        <v>301</v>
      </c>
      <c r="B303" s="20" t="s">
        <v>506</v>
      </c>
      <c r="C303" s="20" t="s">
        <v>507</v>
      </c>
      <c r="D303" s="20" t="s">
        <v>508</v>
      </c>
      <c r="E303" s="21">
        <v>230</v>
      </c>
      <c r="F303" s="21">
        <v>10</v>
      </c>
      <c r="G303" s="21"/>
      <c r="H303" s="21"/>
      <c r="I303" s="21">
        <v>120</v>
      </c>
      <c r="J303" s="21">
        <v>18</v>
      </c>
      <c r="K303" s="21">
        <v>8</v>
      </c>
      <c r="L303" s="21">
        <v>21</v>
      </c>
      <c r="M303" s="21">
        <v>63</v>
      </c>
      <c r="N303" s="21">
        <v>6</v>
      </c>
      <c r="O303" s="21">
        <v>69</v>
      </c>
      <c r="P303" s="21"/>
      <c r="Q303" s="22">
        <f t="shared" si="4"/>
        <v>545</v>
      </c>
    </row>
    <row r="304" spans="1:17" ht="15.75" customHeight="1">
      <c r="A304" s="23">
        <v>302</v>
      </c>
      <c r="B304" s="24" t="s">
        <v>509</v>
      </c>
      <c r="C304" s="24" t="s">
        <v>510</v>
      </c>
      <c r="D304" s="24" t="s">
        <v>511</v>
      </c>
      <c r="E304" s="25"/>
      <c r="F304" s="25"/>
      <c r="G304" s="25"/>
      <c r="H304" s="25"/>
      <c r="I304" s="25"/>
      <c r="J304" s="25"/>
      <c r="K304" s="25"/>
      <c r="L304" s="25"/>
      <c r="M304" s="25"/>
      <c r="N304" s="25">
        <v>4</v>
      </c>
      <c r="O304" s="25"/>
      <c r="P304" s="25"/>
      <c r="Q304" s="22">
        <f t="shared" si="4"/>
        <v>4</v>
      </c>
    </row>
    <row r="305" spans="1:17" ht="15.75" customHeight="1">
      <c r="A305" s="19">
        <v>303</v>
      </c>
      <c r="B305" s="20" t="s">
        <v>512</v>
      </c>
      <c r="C305" s="20" t="s">
        <v>513</v>
      </c>
      <c r="D305" s="20" t="s">
        <v>514</v>
      </c>
      <c r="E305" s="21"/>
      <c r="F305" s="21"/>
      <c r="G305" s="21"/>
      <c r="H305" s="21"/>
      <c r="I305" s="21"/>
      <c r="J305" s="21"/>
      <c r="K305" s="21">
        <v>4</v>
      </c>
      <c r="L305" s="21">
        <v>14</v>
      </c>
      <c r="M305" s="21"/>
      <c r="N305" s="21"/>
      <c r="O305" s="21"/>
      <c r="P305" s="21"/>
      <c r="Q305" s="22">
        <f t="shared" si="4"/>
        <v>18</v>
      </c>
    </row>
    <row r="306" spans="1:17" ht="15.75" customHeight="1">
      <c r="A306" s="23">
        <v>304</v>
      </c>
      <c r="B306" s="24" t="s">
        <v>515</v>
      </c>
      <c r="C306" s="24" t="s">
        <v>516</v>
      </c>
      <c r="D306" s="24" t="s">
        <v>517</v>
      </c>
      <c r="E306" s="25">
        <v>10</v>
      </c>
      <c r="F306" s="25">
        <v>10</v>
      </c>
      <c r="G306" s="25"/>
      <c r="H306" s="25"/>
      <c r="I306" s="25">
        <v>160</v>
      </c>
      <c r="J306" s="25"/>
      <c r="K306" s="25">
        <v>10</v>
      </c>
      <c r="L306" s="25">
        <v>2</v>
      </c>
      <c r="M306" s="25">
        <v>5</v>
      </c>
      <c r="N306" s="25"/>
      <c r="O306" s="25">
        <v>52</v>
      </c>
      <c r="P306" s="25"/>
      <c r="Q306" s="22">
        <f t="shared" si="4"/>
        <v>249</v>
      </c>
    </row>
    <row r="307" spans="1:17" ht="15.75" customHeight="1">
      <c r="A307" s="19">
        <v>305</v>
      </c>
      <c r="B307" s="20" t="s">
        <v>518</v>
      </c>
      <c r="C307" s="20" t="s">
        <v>519</v>
      </c>
      <c r="D307" s="20" t="s">
        <v>520</v>
      </c>
      <c r="E307" s="21">
        <v>85</v>
      </c>
      <c r="F307" s="21">
        <v>10</v>
      </c>
      <c r="G307" s="21"/>
      <c r="H307" s="21"/>
      <c r="I307" s="21">
        <v>20</v>
      </c>
      <c r="J307" s="21">
        <v>45</v>
      </c>
      <c r="K307" s="21">
        <v>10</v>
      </c>
      <c r="L307" s="21"/>
      <c r="M307" s="21">
        <v>25</v>
      </c>
      <c r="N307" s="21"/>
      <c r="O307" s="21">
        <v>30</v>
      </c>
      <c r="P307" s="21"/>
      <c r="Q307" s="22">
        <f t="shared" si="4"/>
        <v>225</v>
      </c>
    </row>
    <row r="308" spans="1:17" ht="15.75" customHeight="1">
      <c r="A308" s="23">
        <v>306</v>
      </c>
      <c r="B308" s="24" t="s">
        <v>521</v>
      </c>
      <c r="C308" s="24" t="s">
        <v>522</v>
      </c>
      <c r="D308" s="24"/>
      <c r="E308" s="25"/>
      <c r="F308" s="25"/>
      <c r="G308" s="25"/>
      <c r="H308" s="25"/>
      <c r="I308" s="25"/>
      <c r="J308" s="25"/>
      <c r="K308" s="25"/>
      <c r="L308" s="25"/>
      <c r="M308" s="25"/>
      <c r="N308" s="25">
        <v>2</v>
      </c>
      <c r="O308" s="25"/>
      <c r="P308" s="25"/>
      <c r="Q308" s="22">
        <f t="shared" si="4"/>
        <v>2</v>
      </c>
    </row>
    <row r="309" spans="1:17" ht="15.75" customHeight="1">
      <c r="A309" s="19">
        <v>307</v>
      </c>
      <c r="B309" s="20" t="s">
        <v>523</v>
      </c>
      <c r="C309" s="20" t="s">
        <v>524</v>
      </c>
      <c r="D309" s="20" t="s">
        <v>525</v>
      </c>
      <c r="E309" s="21">
        <v>210</v>
      </c>
      <c r="F309" s="21">
        <v>16</v>
      </c>
      <c r="G309" s="21"/>
      <c r="H309" s="21"/>
      <c r="I309" s="21">
        <v>32</v>
      </c>
      <c r="J309" s="21">
        <v>60</v>
      </c>
      <c r="K309" s="21">
        <v>32</v>
      </c>
      <c r="L309" s="21">
        <v>5</v>
      </c>
      <c r="M309" s="21"/>
      <c r="N309" s="21"/>
      <c r="O309" s="21">
        <v>8</v>
      </c>
      <c r="P309" s="21">
        <v>52</v>
      </c>
      <c r="Q309" s="22">
        <f t="shared" si="4"/>
        <v>415</v>
      </c>
    </row>
    <row r="310" spans="1:17" ht="15.75" customHeight="1">
      <c r="A310" s="23">
        <v>308</v>
      </c>
      <c r="B310" s="24" t="s">
        <v>526</v>
      </c>
      <c r="C310" s="24" t="s">
        <v>527</v>
      </c>
      <c r="D310" s="24" t="s">
        <v>528</v>
      </c>
      <c r="E310" s="25">
        <v>2</v>
      </c>
      <c r="F310" s="25"/>
      <c r="G310" s="25"/>
      <c r="H310" s="25"/>
      <c r="I310" s="25">
        <v>6</v>
      </c>
      <c r="J310" s="25">
        <v>17</v>
      </c>
      <c r="K310" s="25"/>
      <c r="L310" s="25">
        <v>10</v>
      </c>
      <c r="M310" s="25"/>
      <c r="N310" s="25"/>
      <c r="O310" s="25">
        <v>20</v>
      </c>
      <c r="P310" s="25"/>
      <c r="Q310" s="22">
        <f t="shared" si="4"/>
        <v>55</v>
      </c>
    </row>
    <row r="311" spans="1:17" ht="15.75" customHeight="1">
      <c r="A311" s="19">
        <v>309</v>
      </c>
      <c r="B311" s="20" t="s">
        <v>529</v>
      </c>
      <c r="C311" s="20" t="s">
        <v>530</v>
      </c>
      <c r="D311" s="20" t="s">
        <v>531</v>
      </c>
      <c r="E311" s="21">
        <v>8</v>
      </c>
      <c r="F311" s="21"/>
      <c r="G311" s="21"/>
      <c r="H311" s="21"/>
      <c r="I311" s="21"/>
      <c r="J311" s="21"/>
      <c r="K311" s="21"/>
      <c r="L311" s="21"/>
      <c r="M311" s="21"/>
      <c r="N311" s="21"/>
      <c r="O311" s="21">
        <v>20</v>
      </c>
      <c r="P311" s="21"/>
      <c r="Q311" s="22">
        <f t="shared" si="4"/>
        <v>28</v>
      </c>
    </row>
    <row r="312" spans="1:17" ht="15.75" customHeight="1">
      <c r="A312" s="23">
        <v>310</v>
      </c>
      <c r="B312" s="24" t="s">
        <v>532</v>
      </c>
      <c r="C312" s="24" t="s">
        <v>533</v>
      </c>
      <c r="D312" s="24" t="s">
        <v>534</v>
      </c>
      <c r="E312" s="25">
        <v>190</v>
      </c>
      <c r="F312" s="25"/>
      <c r="G312" s="25"/>
      <c r="H312" s="25"/>
      <c r="I312" s="25">
        <v>50</v>
      </c>
      <c r="J312" s="25">
        <v>10</v>
      </c>
      <c r="K312" s="25"/>
      <c r="L312" s="25">
        <v>2</v>
      </c>
      <c r="M312" s="25"/>
      <c r="N312" s="25">
        <v>99</v>
      </c>
      <c r="O312" s="25">
        <v>10</v>
      </c>
      <c r="P312" s="25"/>
      <c r="Q312" s="22">
        <f t="shared" si="4"/>
        <v>361</v>
      </c>
    </row>
    <row r="313" spans="1:17" ht="15.75" customHeight="1">
      <c r="A313" s="19">
        <v>311</v>
      </c>
      <c r="B313" s="20" t="s">
        <v>535</v>
      </c>
      <c r="C313" s="20" t="s">
        <v>536</v>
      </c>
      <c r="D313" s="20" t="s">
        <v>537</v>
      </c>
      <c r="E313" s="21"/>
      <c r="F313" s="21"/>
      <c r="G313" s="21"/>
      <c r="H313" s="21"/>
      <c r="I313" s="21"/>
      <c r="J313" s="21"/>
      <c r="K313" s="21"/>
      <c r="L313" s="21"/>
      <c r="M313" s="21"/>
      <c r="N313" s="21">
        <v>10</v>
      </c>
      <c r="O313" s="21"/>
      <c r="P313" s="21"/>
      <c r="Q313" s="22">
        <f t="shared" si="4"/>
        <v>10</v>
      </c>
    </row>
    <row r="314" spans="1:17" ht="15.75" customHeight="1">
      <c r="A314" s="23">
        <v>312</v>
      </c>
      <c r="B314" s="24" t="s">
        <v>538</v>
      </c>
      <c r="C314" s="24" t="s">
        <v>539</v>
      </c>
      <c r="D314" s="24" t="s">
        <v>540</v>
      </c>
      <c r="E314" s="25"/>
      <c r="F314" s="25"/>
      <c r="G314" s="25"/>
      <c r="H314" s="25">
        <v>30</v>
      </c>
      <c r="I314" s="25"/>
      <c r="J314" s="25">
        <v>4</v>
      </c>
      <c r="K314" s="25"/>
      <c r="L314" s="25"/>
      <c r="M314" s="25"/>
      <c r="N314" s="25"/>
      <c r="O314" s="25"/>
      <c r="P314" s="25">
        <v>30</v>
      </c>
      <c r="Q314" s="22">
        <f t="shared" si="4"/>
        <v>64</v>
      </c>
    </row>
    <row r="315" spans="1:17" ht="15.75" customHeight="1">
      <c r="A315" s="19">
        <v>313</v>
      </c>
      <c r="B315" s="20" t="s">
        <v>541</v>
      </c>
      <c r="C315" s="20" t="s">
        <v>542</v>
      </c>
      <c r="D315" s="20"/>
      <c r="E315" s="21"/>
      <c r="F315" s="21"/>
      <c r="G315" s="21"/>
      <c r="H315" s="21"/>
      <c r="I315" s="21"/>
      <c r="J315" s="21"/>
      <c r="K315" s="21">
        <v>3</v>
      </c>
      <c r="L315" s="21"/>
      <c r="M315" s="21"/>
      <c r="N315" s="21"/>
      <c r="O315" s="21"/>
      <c r="P315" s="21"/>
      <c r="Q315" s="22">
        <f t="shared" si="4"/>
        <v>3</v>
      </c>
    </row>
    <row r="316" spans="1:17" ht="15.75" customHeight="1">
      <c r="A316" s="23">
        <v>314</v>
      </c>
      <c r="B316" s="24" t="s">
        <v>543</v>
      </c>
      <c r="C316" s="24" t="s">
        <v>544</v>
      </c>
      <c r="D316" s="24" t="s">
        <v>540</v>
      </c>
      <c r="E316" s="25"/>
      <c r="F316" s="25"/>
      <c r="G316" s="25"/>
      <c r="H316" s="25"/>
      <c r="I316" s="25">
        <v>14</v>
      </c>
      <c r="J316" s="25"/>
      <c r="K316" s="25"/>
      <c r="L316" s="25"/>
      <c r="M316" s="25"/>
      <c r="N316" s="25"/>
      <c r="O316" s="25"/>
      <c r="P316" s="25"/>
      <c r="Q316" s="22">
        <f t="shared" si="4"/>
        <v>14</v>
      </c>
    </row>
    <row r="317" spans="1:17" ht="15.75" customHeight="1">
      <c r="A317" s="19">
        <v>315</v>
      </c>
      <c r="B317" s="20" t="s">
        <v>545</v>
      </c>
      <c r="C317" s="20" t="s">
        <v>546</v>
      </c>
      <c r="D317" s="20"/>
      <c r="E317" s="21"/>
      <c r="F317" s="21">
        <v>6</v>
      </c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2">
        <f t="shared" si="4"/>
        <v>6</v>
      </c>
    </row>
    <row r="318" spans="1:17" ht="15.75" customHeight="1">
      <c r="A318" s="23">
        <v>316</v>
      </c>
      <c r="B318" s="24" t="s">
        <v>547</v>
      </c>
      <c r="C318" s="24" t="s">
        <v>548</v>
      </c>
      <c r="D318" s="24" t="s">
        <v>549</v>
      </c>
      <c r="E318" s="25"/>
      <c r="F318" s="25"/>
      <c r="G318" s="25"/>
      <c r="H318" s="25"/>
      <c r="I318" s="25">
        <v>50</v>
      </c>
      <c r="J318" s="25">
        <v>30</v>
      </c>
      <c r="K318" s="25"/>
      <c r="L318" s="25">
        <v>50</v>
      </c>
      <c r="M318" s="25">
        <v>10</v>
      </c>
      <c r="N318" s="25">
        <v>58</v>
      </c>
      <c r="O318" s="25">
        <v>14</v>
      </c>
      <c r="P318" s="25"/>
      <c r="Q318" s="22">
        <f t="shared" si="4"/>
        <v>212</v>
      </c>
    </row>
    <row r="319" spans="1:17" ht="15.75" customHeight="1">
      <c r="A319" s="19">
        <v>317</v>
      </c>
      <c r="B319" s="20" t="s">
        <v>550</v>
      </c>
      <c r="C319" s="20" t="s">
        <v>551</v>
      </c>
      <c r="D319" s="20" t="s">
        <v>552</v>
      </c>
      <c r="E319" s="21"/>
      <c r="F319" s="21"/>
      <c r="G319" s="21"/>
      <c r="H319" s="21"/>
      <c r="I319" s="21"/>
      <c r="J319" s="21"/>
      <c r="K319" s="21"/>
      <c r="L319" s="21"/>
      <c r="M319" s="21"/>
      <c r="N319" s="21">
        <v>6</v>
      </c>
      <c r="O319" s="21"/>
      <c r="P319" s="21"/>
      <c r="Q319" s="22">
        <f t="shared" si="4"/>
        <v>6</v>
      </c>
    </row>
    <row r="320" spans="1:17" ht="15.75" customHeight="1">
      <c r="A320" s="23">
        <v>318</v>
      </c>
      <c r="B320" s="24" t="s">
        <v>553</v>
      </c>
      <c r="C320" s="24" t="s">
        <v>554</v>
      </c>
      <c r="D320" s="24"/>
      <c r="E320" s="25"/>
      <c r="F320" s="25"/>
      <c r="G320" s="25"/>
      <c r="H320" s="25"/>
      <c r="I320" s="25">
        <v>10</v>
      </c>
      <c r="J320" s="25"/>
      <c r="K320" s="25"/>
      <c r="L320" s="25"/>
      <c r="M320" s="25"/>
      <c r="N320" s="25"/>
      <c r="O320" s="25"/>
      <c r="P320" s="25"/>
      <c r="Q320" s="22">
        <f t="shared" si="4"/>
        <v>10</v>
      </c>
    </row>
    <row r="321" spans="1:17" ht="15.75" customHeight="1">
      <c r="A321" s="19">
        <v>319</v>
      </c>
      <c r="B321" s="20" t="s">
        <v>555</v>
      </c>
      <c r="C321" s="20" t="s">
        <v>556</v>
      </c>
      <c r="D321" s="20"/>
      <c r="E321" s="21"/>
      <c r="F321" s="21"/>
      <c r="G321" s="21"/>
      <c r="H321" s="21"/>
      <c r="I321" s="21"/>
      <c r="J321" s="21"/>
      <c r="K321" s="21">
        <v>1</v>
      </c>
      <c r="L321" s="21"/>
      <c r="M321" s="21"/>
      <c r="N321" s="21"/>
      <c r="O321" s="21"/>
      <c r="P321" s="21"/>
      <c r="Q321" s="22">
        <f t="shared" si="4"/>
        <v>1</v>
      </c>
    </row>
    <row r="322" spans="1:17" ht="15.75" customHeight="1">
      <c r="A322" s="23">
        <v>320</v>
      </c>
      <c r="B322" s="24" t="s">
        <v>557</v>
      </c>
      <c r="C322" s="24" t="s">
        <v>558</v>
      </c>
      <c r="D322" s="24" t="s">
        <v>559</v>
      </c>
      <c r="E322" s="25">
        <v>256</v>
      </c>
      <c r="F322" s="25">
        <v>650</v>
      </c>
      <c r="G322" s="25">
        <v>1266</v>
      </c>
      <c r="H322" s="25">
        <v>126</v>
      </c>
      <c r="I322" s="25">
        <v>143</v>
      </c>
      <c r="J322" s="25">
        <v>181</v>
      </c>
      <c r="K322" s="25">
        <v>110</v>
      </c>
      <c r="L322" s="25">
        <v>370</v>
      </c>
      <c r="M322" s="25">
        <v>215</v>
      </c>
      <c r="N322" s="25">
        <v>243</v>
      </c>
      <c r="O322" s="25">
        <v>70</v>
      </c>
      <c r="P322" s="25">
        <v>140</v>
      </c>
      <c r="Q322" s="22">
        <f t="shared" si="4"/>
        <v>3770</v>
      </c>
    </row>
    <row r="323" spans="1:17" ht="15.75" customHeight="1">
      <c r="A323" s="19">
        <v>321</v>
      </c>
      <c r="B323" s="20" t="s">
        <v>560</v>
      </c>
      <c r="C323" s="20" t="s">
        <v>561</v>
      </c>
      <c r="D323" s="20" t="s">
        <v>562</v>
      </c>
      <c r="E323" s="21"/>
      <c r="F323" s="21">
        <v>50</v>
      </c>
      <c r="G323" s="21"/>
      <c r="H323" s="21">
        <v>200</v>
      </c>
      <c r="I323" s="21">
        <v>40</v>
      </c>
      <c r="J323" s="21"/>
      <c r="K323" s="21"/>
      <c r="L323" s="21">
        <v>300</v>
      </c>
      <c r="M323" s="21"/>
      <c r="N323" s="21"/>
      <c r="O323" s="21"/>
      <c r="P323" s="21"/>
      <c r="Q323" s="22">
        <f t="shared" ref="Q323:Q386" si="5">SUM(E323:P323)</f>
        <v>590</v>
      </c>
    </row>
    <row r="324" spans="1:17" ht="15.75" customHeight="1">
      <c r="A324" s="23">
        <v>322</v>
      </c>
      <c r="B324" s="24" t="s">
        <v>563</v>
      </c>
      <c r="C324" s="24" t="s">
        <v>564</v>
      </c>
      <c r="D324" s="24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>
        <v>20</v>
      </c>
      <c r="P324" s="25"/>
      <c r="Q324" s="22">
        <f t="shared" si="5"/>
        <v>20</v>
      </c>
    </row>
    <row r="325" spans="1:17" ht="15.75" customHeight="1">
      <c r="A325" s="19">
        <v>323</v>
      </c>
      <c r="B325" s="20" t="s">
        <v>565</v>
      </c>
      <c r="C325" s="20" t="s">
        <v>566</v>
      </c>
      <c r="D325" s="20"/>
      <c r="E325" s="21"/>
      <c r="F325" s="21"/>
      <c r="G325" s="21"/>
      <c r="H325" s="21"/>
      <c r="I325" s="21"/>
      <c r="J325" s="21">
        <v>50</v>
      </c>
      <c r="K325" s="21"/>
      <c r="L325" s="21"/>
      <c r="M325" s="21"/>
      <c r="N325" s="21"/>
      <c r="O325" s="21"/>
      <c r="P325" s="21"/>
      <c r="Q325" s="22">
        <f t="shared" si="5"/>
        <v>50</v>
      </c>
    </row>
    <row r="326" spans="1:17" ht="15.75" customHeight="1">
      <c r="A326" s="23">
        <v>324</v>
      </c>
      <c r="B326" s="24" t="s">
        <v>567</v>
      </c>
      <c r="C326" s="24" t="s">
        <v>568</v>
      </c>
      <c r="D326" s="24" t="s">
        <v>569</v>
      </c>
      <c r="E326" s="25">
        <v>303</v>
      </c>
      <c r="F326" s="25">
        <v>1050</v>
      </c>
      <c r="G326" s="25">
        <v>308</v>
      </c>
      <c r="H326" s="25"/>
      <c r="I326" s="25">
        <v>200</v>
      </c>
      <c r="J326" s="25">
        <v>300</v>
      </c>
      <c r="K326" s="25">
        <v>148</v>
      </c>
      <c r="L326" s="25">
        <v>474</v>
      </c>
      <c r="M326" s="25">
        <v>255</v>
      </c>
      <c r="N326" s="25">
        <v>314</v>
      </c>
      <c r="O326" s="25">
        <v>20</v>
      </c>
      <c r="P326" s="25"/>
      <c r="Q326" s="22">
        <f t="shared" si="5"/>
        <v>3372</v>
      </c>
    </row>
    <row r="327" spans="1:17" ht="15.75" customHeight="1">
      <c r="A327" s="19">
        <v>325</v>
      </c>
      <c r="B327" s="20" t="s">
        <v>570</v>
      </c>
      <c r="C327" s="20" t="s">
        <v>571</v>
      </c>
      <c r="D327" s="20" t="s">
        <v>572</v>
      </c>
      <c r="E327" s="21"/>
      <c r="F327" s="21"/>
      <c r="G327" s="21"/>
      <c r="H327" s="21">
        <v>100</v>
      </c>
      <c r="I327" s="21">
        <v>50</v>
      </c>
      <c r="J327" s="21"/>
      <c r="K327" s="21"/>
      <c r="L327" s="21"/>
      <c r="M327" s="21">
        <v>2</v>
      </c>
      <c r="N327" s="21">
        <v>40</v>
      </c>
      <c r="O327" s="21"/>
      <c r="P327" s="21"/>
      <c r="Q327" s="22">
        <f t="shared" si="5"/>
        <v>192</v>
      </c>
    </row>
    <row r="328" spans="1:17" ht="15.75" customHeight="1">
      <c r="A328" s="23">
        <v>326</v>
      </c>
      <c r="B328" s="24" t="s">
        <v>573</v>
      </c>
      <c r="C328" s="24" t="s">
        <v>574</v>
      </c>
      <c r="D328" s="24" t="s">
        <v>575</v>
      </c>
      <c r="E328" s="25">
        <v>390</v>
      </c>
      <c r="F328" s="25">
        <v>100</v>
      </c>
      <c r="G328" s="25"/>
      <c r="H328" s="25"/>
      <c r="I328" s="25">
        <v>50</v>
      </c>
      <c r="J328" s="25"/>
      <c r="K328" s="25"/>
      <c r="L328" s="25"/>
      <c r="M328" s="25">
        <v>6</v>
      </c>
      <c r="N328" s="25">
        <v>30</v>
      </c>
      <c r="O328" s="25"/>
      <c r="P328" s="25">
        <v>20</v>
      </c>
      <c r="Q328" s="22">
        <f t="shared" si="5"/>
        <v>596</v>
      </c>
    </row>
    <row r="329" spans="1:17" ht="15.75" customHeight="1">
      <c r="A329" s="19">
        <v>327</v>
      </c>
      <c r="B329" s="20" t="s">
        <v>576</v>
      </c>
      <c r="C329" s="20" t="s">
        <v>354</v>
      </c>
      <c r="D329" s="20" t="s">
        <v>577</v>
      </c>
      <c r="E329" s="21">
        <v>178</v>
      </c>
      <c r="F329" s="21">
        <v>300</v>
      </c>
      <c r="G329" s="21">
        <v>86</v>
      </c>
      <c r="H329" s="21">
        <v>130</v>
      </c>
      <c r="I329" s="21">
        <v>52</v>
      </c>
      <c r="J329" s="21">
        <v>485</v>
      </c>
      <c r="K329" s="21">
        <v>14</v>
      </c>
      <c r="L329" s="21">
        <v>391</v>
      </c>
      <c r="M329" s="21">
        <v>88</v>
      </c>
      <c r="N329" s="21">
        <v>161</v>
      </c>
      <c r="O329" s="21">
        <v>155</v>
      </c>
      <c r="P329" s="21">
        <v>50</v>
      </c>
      <c r="Q329" s="22">
        <f t="shared" si="5"/>
        <v>2090</v>
      </c>
    </row>
    <row r="330" spans="1:17" ht="15.75" customHeight="1">
      <c r="A330" s="23">
        <v>328</v>
      </c>
      <c r="B330" s="24" t="s">
        <v>578</v>
      </c>
      <c r="C330" s="24" t="s">
        <v>579</v>
      </c>
      <c r="D330" s="24" t="s">
        <v>580</v>
      </c>
      <c r="E330" s="25"/>
      <c r="F330" s="25">
        <v>100</v>
      </c>
      <c r="G330" s="25"/>
      <c r="H330" s="25">
        <v>66</v>
      </c>
      <c r="I330" s="25">
        <v>1</v>
      </c>
      <c r="J330" s="25"/>
      <c r="K330" s="25"/>
      <c r="L330" s="25"/>
      <c r="M330" s="25">
        <v>2</v>
      </c>
      <c r="N330" s="25"/>
      <c r="O330" s="25"/>
      <c r="P330" s="25">
        <v>50</v>
      </c>
      <c r="Q330" s="22">
        <f t="shared" si="5"/>
        <v>219</v>
      </c>
    </row>
    <row r="331" spans="1:17" ht="15.75" customHeight="1">
      <c r="A331" s="19">
        <v>329</v>
      </c>
      <c r="B331" s="20" t="s">
        <v>581</v>
      </c>
      <c r="C331" s="20" t="s">
        <v>582</v>
      </c>
      <c r="D331" s="20" t="s">
        <v>583</v>
      </c>
      <c r="E331" s="21">
        <v>10</v>
      </c>
      <c r="F331" s="21">
        <v>25</v>
      </c>
      <c r="G331" s="21">
        <v>146</v>
      </c>
      <c r="H331" s="21">
        <v>10</v>
      </c>
      <c r="I331" s="21">
        <v>77</v>
      </c>
      <c r="J331" s="21">
        <v>200</v>
      </c>
      <c r="K331" s="21">
        <v>50</v>
      </c>
      <c r="L331" s="21">
        <v>230</v>
      </c>
      <c r="M331" s="21">
        <v>110</v>
      </c>
      <c r="N331" s="21">
        <v>90</v>
      </c>
      <c r="O331" s="21">
        <v>25</v>
      </c>
      <c r="P331" s="21">
        <v>50</v>
      </c>
      <c r="Q331" s="22">
        <f t="shared" si="5"/>
        <v>1023</v>
      </c>
    </row>
    <row r="332" spans="1:17" ht="15.75" customHeight="1">
      <c r="A332" s="23">
        <v>330</v>
      </c>
      <c r="B332" s="24" t="s">
        <v>584</v>
      </c>
      <c r="C332" s="24" t="s">
        <v>585</v>
      </c>
      <c r="D332" s="24" t="s">
        <v>586</v>
      </c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>
        <v>5</v>
      </c>
      <c r="P332" s="25"/>
      <c r="Q332" s="22">
        <f t="shared" si="5"/>
        <v>5</v>
      </c>
    </row>
    <row r="333" spans="1:17" ht="15.75" customHeight="1">
      <c r="A333" s="19">
        <v>331</v>
      </c>
      <c r="B333" s="20" t="s">
        <v>587</v>
      </c>
      <c r="C333" s="20" t="s">
        <v>588</v>
      </c>
      <c r="D333" s="20" t="s">
        <v>589</v>
      </c>
      <c r="E333" s="21">
        <v>190</v>
      </c>
      <c r="F333" s="21"/>
      <c r="G333" s="21">
        <v>83</v>
      </c>
      <c r="H333" s="21">
        <v>203</v>
      </c>
      <c r="I333" s="21"/>
      <c r="J333" s="21">
        <v>70</v>
      </c>
      <c r="K333" s="21"/>
      <c r="L333" s="21">
        <v>2</v>
      </c>
      <c r="M333" s="21">
        <v>50</v>
      </c>
      <c r="N333" s="21">
        <v>40</v>
      </c>
      <c r="O333" s="21">
        <v>160</v>
      </c>
      <c r="P333" s="21">
        <v>61</v>
      </c>
      <c r="Q333" s="22">
        <f t="shared" si="5"/>
        <v>859</v>
      </c>
    </row>
    <row r="334" spans="1:17" ht="15.75" customHeight="1">
      <c r="A334" s="23">
        <v>332</v>
      </c>
      <c r="B334" s="24" t="s">
        <v>590</v>
      </c>
      <c r="C334" s="24" t="s">
        <v>591</v>
      </c>
      <c r="D334" s="24" t="s">
        <v>592</v>
      </c>
      <c r="E334" s="25">
        <v>2</v>
      </c>
      <c r="F334" s="25">
        <v>210</v>
      </c>
      <c r="G334" s="25"/>
      <c r="H334" s="25">
        <v>40</v>
      </c>
      <c r="I334" s="25">
        <v>40</v>
      </c>
      <c r="J334" s="25">
        <v>136</v>
      </c>
      <c r="K334" s="25"/>
      <c r="L334" s="25">
        <v>247</v>
      </c>
      <c r="M334" s="25">
        <v>33</v>
      </c>
      <c r="N334" s="25">
        <v>92</v>
      </c>
      <c r="O334" s="25">
        <v>165</v>
      </c>
      <c r="P334" s="25">
        <v>20</v>
      </c>
      <c r="Q334" s="22">
        <f t="shared" si="5"/>
        <v>985</v>
      </c>
    </row>
    <row r="335" spans="1:17" ht="15.75" customHeight="1">
      <c r="A335" s="19">
        <v>333</v>
      </c>
      <c r="B335" s="20" t="s">
        <v>593</v>
      </c>
      <c r="C335" s="20" t="s">
        <v>594</v>
      </c>
      <c r="D335" s="20" t="s">
        <v>595</v>
      </c>
      <c r="E335" s="21"/>
      <c r="F335" s="21"/>
      <c r="G335" s="21"/>
      <c r="H335" s="21"/>
      <c r="I335" s="21"/>
      <c r="J335" s="21">
        <v>3</v>
      </c>
      <c r="K335" s="21"/>
      <c r="L335" s="21"/>
      <c r="M335" s="21"/>
      <c r="N335" s="21"/>
      <c r="O335" s="21">
        <v>5</v>
      </c>
      <c r="P335" s="21"/>
      <c r="Q335" s="22">
        <f t="shared" si="5"/>
        <v>8</v>
      </c>
    </row>
    <row r="336" spans="1:17" ht="15.75" customHeight="1">
      <c r="A336" s="23">
        <v>334</v>
      </c>
      <c r="B336" s="24" t="s">
        <v>596</v>
      </c>
      <c r="C336" s="24" t="s">
        <v>597</v>
      </c>
      <c r="D336" s="24" t="s">
        <v>598</v>
      </c>
      <c r="E336" s="25">
        <v>22</v>
      </c>
      <c r="F336" s="25"/>
      <c r="G336" s="25">
        <v>4</v>
      </c>
      <c r="H336" s="25">
        <v>24</v>
      </c>
      <c r="I336" s="25">
        <v>10</v>
      </c>
      <c r="J336" s="25">
        <v>4</v>
      </c>
      <c r="K336" s="25"/>
      <c r="L336" s="25">
        <v>22</v>
      </c>
      <c r="M336" s="25">
        <v>48</v>
      </c>
      <c r="N336" s="25"/>
      <c r="O336" s="25"/>
      <c r="P336" s="25">
        <v>30</v>
      </c>
      <c r="Q336" s="22">
        <f t="shared" si="5"/>
        <v>164</v>
      </c>
    </row>
    <row r="337" spans="1:17" ht="15.75" customHeight="1">
      <c r="A337" s="19">
        <v>335</v>
      </c>
      <c r="B337" s="20" t="s">
        <v>599</v>
      </c>
      <c r="C337" s="20" t="s">
        <v>600</v>
      </c>
      <c r="D337" s="20" t="s">
        <v>601</v>
      </c>
      <c r="E337" s="21">
        <v>220</v>
      </c>
      <c r="F337" s="21"/>
      <c r="G337" s="21">
        <v>5</v>
      </c>
      <c r="H337" s="21">
        <v>30</v>
      </c>
      <c r="I337" s="21">
        <v>24</v>
      </c>
      <c r="J337" s="21">
        <v>25</v>
      </c>
      <c r="K337" s="21"/>
      <c r="L337" s="21">
        <v>12</v>
      </c>
      <c r="M337" s="21">
        <v>136</v>
      </c>
      <c r="N337" s="21">
        <v>108</v>
      </c>
      <c r="O337" s="21">
        <v>148</v>
      </c>
      <c r="P337" s="21">
        <v>34</v>
      </c>
      <c r="Q337" s="22">
        <f t="shared" si="5"/>
        <v>742</v>
      </c>
    </row>
    <row r="338" spans="1:17" ht="15.75" customHeight="1">
      <c r="A338" s="23">
        <v>336</v>
      </c>
      <c r="B338" s="24" t="s">
        <v>602</v>
      </c>
      <c r="C338" s="24" t="s">
        <v>603</v>
      </c>
      <c r="D338" s="24" t="s">
        <v>604</v>
      </c>
      <c r="E338" s="25"/>
      <c r="F338" s="25"/>
      <c r="G338" s="25"/>
      <c r="H338" s="25">
        <v>100</v>
      </c>
      <c r="I338" s="25"/>
      <c r="J338" s="25"/>
      <c r="K338" s="25"/>
      <c r="L338" s="25"/>
      <c r="M338" s="25"/>
      <c r="N338" s="25"/>
      <c r="O338" s="25"/>
      <c r="P338" s="25"/>
      <c r="Q338" s="22">
        <f t="shared" si="5"/>
        <v>100</v>
      </c>
    </row>
    <row r="339" spans="1:17" ht="15.75" customHeight="1">
      <c r="A339" s="19">
        <v>337</v>
      </c>
      <c r="B339" s="20" t="s">
        <v>605</v>
      </c>
      <c r="C339" s="20" t="s">
        <v>606</v>
      </c>
      <c r="D339" s="20" t="s">
        <v>607</v>
      </c>
      <c r="E339" s="21"/>
      <c r="F339" s="21"/>
      <c r="G339" s="21"/>
      <c r="H339" s="21"/>
      <c r="I339" s="21"/>
      <c r="J339" s="21">
        <v>22</v>
      </c>
      <c r="K339" s="21"/>
      <c r="L339" s="21">
        <v>10</v>
      </c>
      <c r="M339" s="21">
        <v>12</v>
      </c>
      <c r="N339" s="21"/>
      <c r="O339" s="21">
        <v>3</v>
      </c>
      <c r="P339" s="21">
        <v>30</v>
      </c>
      <c r="Q339" s="22">
        <f t="shared" si="5"/>
        <v>77</v>
      </c>
    </row>
    <row r="340" spans="1:17" ht="15.75" customHeight="1">
      <c r="A340" s="23">
        <v>338</v>
      </c>
      <c r="B340" s="24" t="s">
        <v>608</v>
      </c>
      <c r="C340" s="24" t="s">
        <v>609</v>
      </c>
      <c r="D340" s="24" t="s">
        <v>610</v>
      </c>
      <c r="E340" s="25"/>
      <c r="F340" s="25"/>
      <c r="G340" s="25">
        <v>2</v>
      </c>
      <c r="H340" s="25"/>
      <c r="I340" s="25"/>
      <c r="J340" s="25"/>
      <c r="K340" s="25"/>
      <c r="L340" s="25"/>
      <c r="M340" s="25"/>
      <c r="N340" s="25"/>
      <c r="O340" s="25"/>
      <c r="P340" s="25">
        <v>30</v>
      </c>
      <c r="Q340" s="22">
        <f t="shared" si="5"/>
        <v>32</v>
      </c>
    </row>
    <row r="341" spans="1:17" ht="15.75" customHeight="1">
      <c r="A341" s="19">
        <v>339</v>
      </c>
      <c r="B341" s="20" t="s">
        <v>611</v>
      </c>
      <c r="C341" s="20" t="s">
        <v>612</v>
      </c>
      <c r="D341" s="20" t="s">
        <v>613</v>
      </c>
      <c r="E341" s="21">
        <v>1</v>
      </c>
      <c r="F341" s="21">
        <v>30</v>
      </c>
      <c r="G341" s="21">
        <v>10</v>
      </c>
      <c r="H341" s="21"/>
      <c r="I341" s="21"/>
      <c r="J341" s="21">
        <v>21</v>
      </c>
      <c r="K341" s="21"/>
      <c r="L341" s="21"/>
      <c r="M341" s="21"/>
      <c r="N341" s="21"/>
      <c r="O341" s="21"/>
      <c r="P341" s="21">
        <v>2</v>
      </c>
      <c r="Q341" s="22">
        <f t="shared" si="5"/>
        <v>64</v>
      </c>
    </row>
    <row r="342" spans="1:17" ht="15.75" customHeight="1">
      <c r="A342" s="23">
        <v>340</v>
      </c>
      <c r="B342" s="24" t="s">
        <v>614</v>
      </c>
      <c r="C342" s="24" t="s">
        <v>615</v>
      </c>
      <c r="D342" s="24" t="s">
        <v>616</v>
      </c>
      <c r="E342" s="25"/>
      <c r="F342" s="25"/>
      <c r="G342" s="25"/>
      <c r="H342" s="25"/>
      <c r="I342" s="25"/>
      <c r="J342" s="25"/>
      <c r="K342" s="25"/>
      <c r="L342" s="25"/>
      <c r="M342" s="25">
        <v>1</v>
      </c>
      <c r="N342" s="25"/>
      <c r="O342" s="25"/>
      <c r="P342" s="25"/>
      <c r="Q342" s="22">
        <f t="shared" si="5"/>
        <v>1</v>
      </c>
    </row>
    <row r="343" spans="1:17" ht="15.75" customHeight="1">
      <c r="A343" s="19">
        <v>341</v>
      </c>
      <c r="B343" s="20" t="s">
        <v>617</v>
      </c>
      <c r="C343" s="20" t="s">
        <v>618</v>
      </c>
      <c r="D343" s="20"/>
      <c r="E343" s="21">
        <v>4</v>
      </c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2">
        <f t="shared" si="5"/>
        <v>4</v>
      </c>
    </row>
    <row r="344" spans="1:17" ht="15.75" customHeight="1">
      <c r="A344" s="23">
        <v>342</v>
      </c>
      <c r="B344" s="24" t="s">
        <v>619</v>
      </c>
      <c r="C344" s="24" t="s">
        <v>620</v>
      </c>
      <c r="D344" s="24" t="s">
        <v>621</v>
      </c>
      <c r="E344" s="25"/>
      <c r="F344" s="25">
        <v>152</v>
      </c>
      <c r="G344" s="25">
        <v>40</v>
      </c>
      <c r="H344" s="25">
        <v>200</v>
      </c>
      <c r="I344" s="25">
        <v>103</v>
      </c>
      <c r="J344" s="25">
        <v>110</v>
      </c>
      <c r="K344" s="25"/>
      <c r="L344" s="25"/>
      <c r="M344" s="25"/>
      <c r="N344" s="25">
        <v>114</v>
      </c>
      <c r="O344" s="25">
        <v>40</v>
      </c>
      <c r="P344" s="25">
        <v>50</v>
      </c>
      <c r="Q344" s="22">
        <f t="shared" si="5"/>
        <v>809</v>
      </c>
    </row>
    <row r="345" spans="1:17" ht="15.75" customHeight="1">
      <c r="A345" s="19">
        <v>343</v>
      </c>
      <c r="B345" s="20" t="s">
        <v>622</v>
      </c>
      <c r="C345" s="20" t="s">
        <v>623</v>
      </c>
      <c r="D345" s="20" t="s">
        <v>624</v>
      </c>
      <c r="E345" s="21"/>
      <c r="F345" s="21">
        <v>50</v>
      </c>
      <c r="G345" s="21"/>
      <c r="H345" s="21">
        <v>50</v>
      </c>
      <c r="I345" s="21"/>
      <c r="J345" s="21"/>
      <c r="K345" s="21"/>
      <c r="L345" s="21"/>
      <c r="M345" s="21"/>
      <c r="N345" s="21"/>
      <c r="O345" s="21"/>
      <c r="P345" s="21"/>
      <c r="Q345" s="22">
        <f t="shared" si="5"/>
        <v>100</v>
      </c>
    </row>
    <row r="346" spans="1:17" ht="15.75" customHeight="1">
      <c r="A346" s="23">
        <v>344</v>
      </c>
      <c r="B346" s="24" t="s">
        <v>625</v>
      </c>
      <c r="C346" s="24" t="s">
        <v>626</v>
      </c>
      <c r="D346" s="24"/>
      <c r="E346" s="25"/>
      <c r="F346" s="25"/>
      <c r="G346" s="25"/>
      <c r="H346" s="25"/>
      <c r="I346" s="25"/>
      <c r="J346" s="25"/>
      <c r="K346" s="25"/>
      <c r="L346" s="25">
        <v>7</v>
      </c>
      <c r="M346" s="25"/>
      <c r="N346" s="25">
        <v>112</v>
      </c>
      <c r="O346" s="25">
        <v>24</v>
      </c>
      <c r="P346" s="25"/>
      <c r="Q346" s="22">
        <f t="shared" si="5"/>
        <v>143</v>
      </c>
    </row>
    <row r="347" spans="1:17" ht="15.75" customHeight="1">
      <c r="A347" s="19">
        <v>345</v>
      </c>
      <c r="B347" s="20" t="s">
        <v>627</v>
      </c>
      <c r="C347" s="20" t="s">
        <v>628</v>
      </c>
      <c r="D347" s="20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>
        <v>20</v>
      </c>
      <c r="P347" s="21"/>
      <c r="Q347" s="22">
        <f t="shared" si="5"/>
        <v>20</v>
      </c>
    </row>
    <row r="348" spans="1:17" ht="15.75" customHeight="1">
      <c r="A348" s="23">
        <v>346</v>
      </c>
      <c r="B348" s="24" t="s">
        <v>629</v>
      </c>
      <c r="C348" s="24" t="s">
        <v>630</v>
      </c>
      <c r="D348" s="24"/>
      <c r="E348" s="25"/>
      <c r="F348" s="25"/>
      <c r="G348" s="25"/>
      <c r="H348" s="25"/>
      <c r="I348" s="25">
        <v>10</v>
      </c>
      <c r="J348" s="25"/>
      <c r="K348" s="25">
        <v>2</v>
      </c>
      <c r="L348" s="25"/>
      <c r="M348" s="25"/>
      <c r="N348" s="25"/>
      <c r="O348" s="25"/>
      <c r="P348" s="25"/>
      <c r="Q348" s="22">
        <f t="shared" si="5"/>
        <v>12</v>
      </c>
    </row>
    <row r="349" spans="1:17" ht="15.75" customHeight="1">
      <c r="A349" s="19">
        <v>347</v>
      </c>
      <c r="B349" s="20" t="s">
        <v>631</v>
      </c>
      <c r="C349" s="20" t="s">
        <v>632</v>
      </c>
      <c r="D349" s="20" t="s">
        <v>633</v>
      </c>
      <c r="E349" s="21"/>
      <c r="F349" s="21"/>
      <c r="G349" s="21"/>
      <c r="H349" s="21"/>
      <c r="I349" s="21"/>
      <c r="J349" s="21"/>
      <c r="K349" s="21"/>
      <c r="L349" s="21">
        <v>8</v>
      </c>
      <c r="M349" s="21"/>
      <c r="N349" s="21"/>
      <c r="O349" s="21">
        <v>20</v>
      </c>
      <c r="P349" s="21"/>
      <c r="Q349" s="22">
        <f t="shared" si="5"/>
        <v>28</v>
      </c>
    </row>
    <row r="350" spans="1:17" ht="15.75" customHeight="1">
      <c r="A350" s="23">
        <v>348</v>
      </c>
      <c r="B350" s="24" t="s">
        <v>634</v>
      </c>
      <c r="C350" s="24" t="s">
        <v>635</v>
      </c>
      <c r="D350" s="24" t="s">
        <v>636</v>
      </c>
      <c r="E350" s="25">
        <v>50</v>
      </c>
      <c r="F350" s="25"/>
      <c r="G350" s="25"/>
      <c r="H350" s="25"/>
      <c r="I350" s="25"/>
      <c r="J350" s="25"/>
      <c r="K350" s="25"/>
      <c r="L350" s="25"/>
      <c r="M350" s="25"/>
      <c r="N350" s="25"/>
      <c r="O350" s="25">
        <v>10</v>
      </c>
      <c r="P350" s="25"/>
      <c r="Q350" s="22">
        <f t="shared" si="5"/>
        <v>60</v>
      </c>
    </row>
    <row r="351" spans="1:17" ht="15.75" customHeight="1">
      <c r="A351" s="19">
        <v>349</v>
      </c>
      <c r="B351" s="20" t="s">
        <v>637</v>
      </c>
      <c r="C351" s="20" t="s">
        <v>638</v>
      </c>
      <c r="D351" s="20" t="s">
        <v>639</v>
      </c>
      <c r="E351" s="21"/>
      <c r="F351" s="21"/>
      <c r="G351" s="21">
        <v>2</v>
      </c>
      <c r="H351" s="21"/>
      <c r="I351" s="21"/>
      <c r="J351" s="21"/>
      <c r="K351" s="21">
        <v>10</v>
      </c>
      <c r="L351" s="21"/>
      <c r="M351" s="21"/>
      <c r="N351" s="21"/>
      <c r="O351" s="21">
        <v>10</v>
      </c>
      <c r="P351" s="21"/>
      <c r="Q351" s="22">
        <f t="shared" si="5"/>
        <v>22</v>
      </c>
    </row>
    <row r="352" spans="1:17" ht="15.75" customHeight="1">
      <c r="A352" s="23">
        <v>350</v>
      </c>
      <c r="B352" s="24" t="s">
        <v>640</v>
      </c>
      <c r="C352" s="24" t="s">
        <v>641</v>
      </c>
      <c r="D352" s="24" t="s">
        <v>642</v>
      </c>
      <c r="E352" s="25">
        <v>27</v>
      </c>
      <c r="F352" s="25"/>
      <c r="G352" s="25">
        <v>10</v>
      </c>
      <c r="H352" s="25"/>
      <c r="I352" s="25"/>
      <c r="J352" s="25"/>
      <c r="K352" s="25"/>
      <c r="L352" s="25"/>
      <c r="M352" s="25"/>
      <c r="N352" s="25"/>
      <c r="O352" s="25">
        <v>10</v>
      </c>
      <c r="P352" s="25"/>
      <c r="Q352" s="22">
        <f t="shared" si="5"/>
        <v>47</v>
      </c>
    </row>
    <row r="353" spans="1:17" ht="15.75" customHeight="1">
      <c r="A353" s="19">
        <v>351</v>
      </c>
      <c r="B353" s="20" t="s">
        <v>643</v>
      </c>
      <c r="C353" s="20" t="s">
        <v>644</v>
      </c>
      <c r="D353" s="20" t="s">
        <v>645</v>
      </c>
      <c r="E353" s="21"/>
      <c r="F353" s="21"/>
      <c r="G353" s="21">
        <v>4</v>
      </c>
      <c r="H353" s="21"/>
      <c r="I353" s="21"/>
      <c r="J353" s="21">
        <v>6</v>
      </c>
      <c r="K353" s="21"/>
      <c r="L353" s="21">
        <v>2</v>
      </c>
      <c r="M353" s="21"/>
      <c r="N353" s="21"/>
      <c r="O353" s="21"/>
      <c r="P353" s="21"/>
      <c r="Q353" s="22">
        <f t="shared" si="5"/>
        <v>12</v>
      </c>
    </row>
    <row r="354" spans="1:17" ht="15.75" customHeight="1">
      <c r="A354" s="23">
        <v>352</v>
      </c>
      <c r="B354" s="24" t="s">
        <v>646</v>
      </c>
      <c r="C354" s="24" t="s">
        <v>647</v>
      </c>
      <c r="D354" s="24" t="s">
        <v>648</v>
      </c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>
        <v>10</v>
      </c>
      <c r="P354" s="25"/>
      <c r="Q354" s="22">
        <f t="shared" si="5"/>
        <v>10</v>
      </c>
    </row>
    <row r="355" spans="1:17" ht="15.75" customHeight="1">
      <c r="A355" s="19">
        <v>353</v>
      </c>
      <c r="B355" s="20" t="s">
        <v>649</v>
      </c>
      <c r="C355" s="20" t="s">
        <v>650</v>
      </c>
      <c r="D355" s="20" t="s">
        <v>651</v>
      </c>
      <c r="E355" s="21"/>
      <c r="F355" s="21"/>
      <c r="G355" s="21">
        <v>20</v>
      </c>
      <c r="H355" s="21"/>
      <c r="I355" s="21"/>
      <c r="J355" s="21"/>
      <c r="K355" s="21"/>
      <c r="L355" s="21">
        <v>16</v>
      </c>
      <c r="M355" s="21"/>
      <c r="N355" s="21"/>
      <c r="O355" s="21"/>
      <c r="P355" s="21"/>
      <c r="Q355" s="22">
        <f t="shared" si="5"/>
        <v>36</v>
      </c>
    </row>
    <row r="356" spans="1:17" ht="15.75" customHeight="1">
      <c r="A356" s="23">
        <v>354</v>
      </c>
      <c r="B356" s="24" t="s">
        <v>652</v>
      </c>
      <c r="C356" s="24" t="s">
        <v>653</v>
      </c>
      <c r="D356" s="24" t="s">
        <v>654</v>
      </c>
      <c r="E356" s="25"/>
      <c r="F356" s="25"/>
      <c r="G356" s="25">
        <v>135</v>
      </c>
      <c r="H356" s="25"/>
      <c r="I356" s="25"/>
      <c r="J356" s="25"/>
      <c r="K356" s="25"/>
      <c r="L356" s="25"/>
      <c r="M356" s="25"/>
      <c r="N356" s="25"/>
      <c r="O356" s="25"/>
      <c r="P356" s="25"/>
      <c r="Q356" s="22">
        <f t="shared" si="5"/>
        <v>135</v>
      </c>
    </row>
    <row r="357" spans="1:17" ht="15.75" customHeight="1">
      <c r="A357" s="19">
        <v>355</v>
      </c>
      <c r="B357" s="20" t="s">
        <v>655</v>
      </c>
      <c r="C357" s="20" t="s">
        <v>656</v>
      </c>
      <c r="D357" s="20" t="s">
        <v>657</v>
      </c>
      <c r="E357" s="21"/>
      <c r="F357" s="21"/>
      <c r="G357" s="21"/>
      <c r="H357" s="21"/>
      <c r="I357" s="21"/>
      <c r="J357" s="21"/>
      <c r="K357" s="21"/>
      <c r="L357" s="21">
        <v>8</v>
      </c>
      <c r="M357" s="21"/>
      <c r="N357" s="21"/>
      <c r="O357" s="21"/>
      <c r="P357" s="21"/>
      <c r="Q357" s="22">
        <f t="shared" si="5"/>
        <v>8</v>
      </c>
    </row>
    <row r="358" spans="1:17" ht="15.75" customHeight="1">
      <c r="A358" s="23">
        <v>356</v>
      </c>
      <c r="B358" s="24" t="s">
        <v>658</v>
      </c>
      <c r="C358" s="24" t="s">
        <v>659</v>
      </c>
      <c r="D358" s="24"/>
      <c r="E358" s="25"/>
      <c r="F358" s="25"/>
      <c r="G358" s="25"/>
      <c r="H358" s="25"/>
      <c r="I358" s="25"/>
      <c r="J358" s="25"/>
      <c r="K358" s="25">
        <v>3</v>
      </c>
      <c r="L358" s="25"/>
      <c r="M358" s="25"/>
      <c r="N358" s="25"/>
      <c r="O358" s="25"/>
      <c r="P358" s="25"/>
      <c r="Q358" s="22">
        <f t="shared" si="5"/>
        <v>3</v>
      </c>
    </row>
    <row r="359" spans="1:17" ht="15.75" customHeight="1">
      <c r="A359" s="19">
        <v>357</v>
      </c>
      <c r="B359" s="20" t="s">
        <v>660</v>
      </c>
      <c r="C359" s="20" t="s">
        <v>661</v>
      </c>
      <c r="D359" s="20" t="s">
        <v>662</v>
      </c>
      <c r="E359" s="21"/>
      <c r="F359" s="21"/>
      <c r="G359" s="21"/>
      <c r="H359" s="21">
        <v>1</v>
      </c>
      <c r="I359" s="21"/>
      <c r="J359" s="21"/>
      <c r="K359" s="21"/>
      <c r="L359" s="21"/>
      <c r="M359" s="21"/>
      <c r="N359" s="21"/>
      <c r="O359" s="21">
        <v>10</v>
      </c>
      <c r="P359" s="21"/>
      <c r="Q359" s="22">
        <f t="shared" si="5"/>
        <v>11</v>
      </c>
    </row>
    <row r="360" spans="1:17" ht="15.75" customHeight="1">
      <c r="A360" s="23">
        <v>358</v>
      </c>
      <c r="B360" s="24" t="s">
        <v>663</v>
      </c>
      <c r="C360" s="24" t="s">
        <v>367</v>
      </c>
      <c r="D360" s="24" t="s">
        <v>664</v>
      </c>
      <c r="E360" s="25">
        <v>240</v>
      </c>
      <c r="F360" s="25">
        <v>230</v>
      </c>
      <c r="G360" s="25">
        <v>170</v>
      </c>
      <c r="H360" s="25">
        <v>70</v>
      </c>
      <c r="I360" s="25">
        <v>222</v>
      </c>
      <c r="J360" s="25">
        <v>741</v>
      </c>
      <c r="K360" s="25">
        <v>130</v>
      </c>
      <c r="L360" s="25">
        <v>161</v>
      </c>
      <c r="M360" s="25">
        <v>390</v>
      </c>
      <c r="N360" s="25">
        <v>285</v>
      </c>
      <c r="O360" s="25">
        <v>403</v>
      </c>
      <c r="P360" s="25">
        <v>240</v>
      </c>
      <c r="Q360" s="22">
        <f t="shared" si="5"/>
        <v>3282</v>
      </c>
    </row>
    <row r="361" spans="1:17" ht="15.75" customHeight="1">
      <c r="A361" s="19">
        <v>359</v>
      </c>
      <c r="B361" s="20" t="s">
        <v>665</v>
      </c>
      <c r="C361" s="20" t="s">
        <v>666</v>
      </c>
      <c r="D361" s="20" t="s">
        <v>667</v>
      </c>
      <c r="E361" s="21">
        <v>170</v>
      </c>
      <c r="F361" s="21">
        <v>4</v>
      </c>
      <c r="G361" s="21"/>
      <c r="H361" s="21"/>
      <c r="I361" s="21">
        <v>39</v>
      </c>
      <c r="J361" s="21">
        <v>57</v>
      </c>
      <c r="K361" s="21">
        <v>420</v>
      </c>
      <c r="L361" s="21"/>
      <c r="M361" s="21"/>
      <c r="N361" s="21"/>
      <c r="O361" s="21">
        <v>200</v>
      </c>
      <c r="P361" s="21">
        <v>61</v>
      </c>
      <c r="Q361" s="22">
        <f t="shared" si="5"/>
        <v>951</v>
      </c>
    </row>
    <row r="362" spans="1:17" ht="15.75" customHeight="1">
      <c r="A362" s="23">
        <v>360</v>
      </c>
      <c r="B362" s="24" t="s">
        <v>668</v>
      </c>
      <c r="C362" s="24" t="s">
        <v>669</v>
      </c>
      <c r="D362" s="24"/>
      <c r="E362" s="25"/>
      <c r="F362" s="25"/>
      <c r="G362" s="25"/>
      <c r="H362" s="25"/>
      <c r="I362" s="25"/>
      <c r="J362" s="25"/>
      <c r="K362" s="25"/>
      <c r="L362" s="25"/>
      <c r="M362" s="25"/>
      <c r="N362" s="25">
        <v>50</v>
      </c>
      <c r="O362" s="25"/>
      <c r="P362" s="25"/>
      <c r="Q362" s="22">
        <f t="shared" si="5"/>
        <v>50</v>
      </c>
    </row>
    <row r="363" spans="1:17" ht="15.75" customHeight="1">
      <c r="A363" s="19">
        <v>361</v>
      </c>
      <c r="B363" s="20" t="s">
        <v>670</v>
      </c>
      <c r="C363" s="20" t="s">
        <v>671</v>
      </c>
      <c r="D363" s="20"/>
      <c r="E363" s="21"/>
      <c r="F363" s="21"/>
      <c r="G363" s="21"/>
      <c r="H363" s="21"/>
      <c r="I363" s="21"/>
      <c r="J363" s="21">
        <v>50</v>
      </c>
      <c r="K363" s="21"/>
      <c r="L363" s="21"/>
      <c r="M363" s="21"/>
      <c r="N363" s="21"/>
      <c r="O363" s="21"/>
      <c r="P363" s="21"/>
      <c r="Q363" s="22">
        <f t="shared" si="5"/>
        <v>50</v>
      </c>
    </row>
    <row r="364" spans="1:17" ht="15.75" customHeight="1">
      <c r="A364" s="23">
        <v>362</v>
      </c>
      <c r="B364" s="24" t="s">
        <v>672</v>
      </c>
      <c r="C364" s="24" t="s">
        <v>673</v>
      </c>
      <c r="D364" s="24" t="s">
        <v>674</v>
      </c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>
        <v>10</v>
      </c>
      <c r="P364" s="25">
        <v>50</v>
      </c>
      <c r="Q364" s="22">
        <f t="shared" si="5"/>
        <v>60</v>
      </c>
    </row>
    <row r="365" spans="1:17" ht="15.75" customHeight="1">
      <c r="A365" s="19">
        <v>363</v>
      </c>
      <c r="B365" s="20" t="s">
        <v>675</v>
      </c>
      <c r="C365" s="20" t="s">
        <v>370</v>
      </c>
      <c r="D365" s="20" t="s">
        <v>676</v>
      </c>
      <c r="E365" s="21">
        <v>90</v>
      </c>
      <c r="F365" s="21"/>
      <c r="G365" s="21">
        <v>90</v>
      </c>
      <c r="H365" s="21"/>
      <c r="I365" s="21">
        <v>60</v>
      </c>
      <c r="J365" s="21">
        <v>194</v>
      </c>
      <c r="K365" s="21"/>
      <c r="L365" s="21">
        <v>1000</v>
      </c>
      <c r="M365" s="21">
        <v>50</v>
      </c>
      <c r="N365" s="21">
        <v>120</v>
      </c>
      <c r="O365" s="21">
        <v>95</v>
      </c>
      <c r="P365" s="21">
        <v>1048</v>
      </c>
      <c r="Q365" s="22">
        <f t="shared" si="5"/>
        <v>2747</v>
      </c>
    </row>
    <row r="366" spans="1:17" ht="15.75" customHeight="1">
      <c r="A366" s="23">
        <v>364</v>
      </c>
      <c r="B366" s="24" t="s">
        <v>677</v>
      </c>
      <c r="C366" s="24" t="s">
        <v>678</v>
      </c>
      <c r="D366" s="24" t="s">
        <v>679</v>
      </c>
      <c r="E366" s="25">
        <v>90</v>
      </c>
      <c r="F366" s="25">
        <v>121</v>
      </c>
      <c r="G366" s="25">
        <v>53</v>
      </c>
      <c r="H366" s="25"/>
      <c r="I366" s="25">
        <v>26</v>
      </c>
      <c r="J366" s="25">
        <v>55</v>
      </c>
      <c r="K366" s="25">
        <v>20</v>
      </c>
      <c r="L366" s="25">
        <v>30</v>
      </c>
      <c r="M366" s="25">
        <v>80</v>
      </c>
      <c r="N366" s="25">
        <v>40</v>
      </c>
      <c r="O366" s="25">
        <v>334</v>
      </c>
      <c r="P366" s="25">
        <v>130</v>
      </c>
      <c r="Q366" s="22">
        <f t="shared" si="5"/>
        <v>979</v>
      </c>
    </row>
    <row r="367" spans="1:17" ht="15.75" customHeight="1">
      <c r="A367" s="19">
        <v>365</v>
      </c>
      <c r="B367" s="20" t="s">
        <v>680</v>
      </c>
      <c r="C367" s="20" t="s">
        <v>681</v>
      </c>
      <c r="D367" s="20" t="s">
        <v>682</v>
      </c>
      <c r="E367" s="21">
        <v>342</v>
      </c>
      <c r="F367" s="21">
        <v>250</v>
      </c>
      <c r="G367" s="21">
        <v>20</v>
      </c>
      <c r="H367" s="21">
        <v>50</v>
      </c>
      <c r="I367" s="21">
        <v>70</v>
      </c>
      <c r="J367" s="21">
        <v>344</v>
      </c>
      <c r="K367" s="21">
        <v>186</v>
      </c>
      <c r="L367" s="21">
        <v>249</v>
      </c>
      <c r="M367" s="21">
        <v>20</v>
      </c>
      <c r="N367" s="21">
        <v>200</v>
      </c>
      <c r="O367" s="21">
        <v>70</v>
      </c>
      <c r="P367" s="21">
        <v>300</v>
      </c>
      <c r="Q367" s="22">
        <f t="shared" si="5"/>
        <v>2101</v>
      </c>
    </row>
    <row r="368" spans="1:17" ht="15.75" customHeight="1">
      <c r="A368" s="23">
        <v>366</v>
      </c>
      <c r="B368" s="24" t="s">
        <v>683</v>
      </c>
      <c r="C368" s="24" t="s">
        <v>684</v>
      </c>
      <c r="D368" s="24" t="s">
        <v>685</v>
      </c>
      <c r="E368" s="25">
        <v>300</v>
      </c>
      <c r="F368" s="25">
        <v>109</v>
      </c>
      <c r="G368" s="25">
        <v>411</v>
      </c>
      <c r="H368" s="25">
        <v>31</v>
      </c>
      <c r="I368" s="25">
        <v>109</v>
      </c>
      <c r="J368" s="25">
        <v>105</v>
      </c>
      <c r="K368" s="25">
        <v>149</v>
      </c>
      <c r="L368" s="25">
        <v>1030</v>
      </c>
      <c r="M368" s="25">
        <v>255</v>
      </c>
      <c r="N368" s="25">
        <v>311</v>
      </c>
      <c r="O368" s="25">
        <v>181</v>
      </c>
      <c r="P368" s="25">
        <v>102</v>
      </c>
      <c r="Q368" s="22">
        <f t="shared" si="5"/>
        <v>3093</v>
      </c>
    </row>
    <row r="369" spans="1:17" ht="15.75" customHeight="1">
      <c r="A369" s="19">
        <v>367</v>
      </c>
      <c r="B369" s="20" t="s">
        <v>686</v>
      </c>
      <c r="C369" s="20" t="s">
        <v>687</v>
      </c>
      <c r="D369" s="20" t="s">
        <v>688</v>
      </c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>
        <v>50</v>
      </c>
      <c r="Q369" s="22">
        <f t="shared" si="5"/>
        <v>50</v>
      </c>
    </row>
    <row r="370" spans="1:17" ht="15.75" customHeight="1">
      <c r="A370" s="23">
        <v>368</v>
      </c>
      <c r="B370" s="24" t="s">
        <v>689</v>
      </c>
      <c r="C370" s="24" t="s">
        <v>351</v>
      </c>
      <c r="D370" s="24" t="s">
        <v>690</v>
      </c>
      <c r="E370" s="25">
        <v>100</v>
      </c>
      <c r="F370" s="25">
        <v>110</v>
      </c>
      <c r="G370" s="25">
        <v>260</v>
      </c>
      <c r="H370" s="25">
        <v>152</v>
      </c>
      <c r="I370" s="25">
        <v>452</v>
      </c>
      <c r="J370" s="25">
        <v>412</v>
      </c>
      <c r="K370" s="25">
        <v>30</v>
      </c>
      <c r="L370" s="25">
        <v>352</v>
      </c>
      <c r="M370" s="25">
        <v>193</v>
      </c>
      <c r="N370" s="25">
        <v>65</v>
      </c>
      <c r="O370" s="25">
        <v>190</v>
      </c>
      <c r="P370" s="25">
        <v>220</v>
      </c>
      <c r="Q370" s="22">
        <f t="shared" si="5"/>
        <v>2536</v>
      </c>
    </row>
    <row r="371" spans="1:17" ht="15.75" customHeight="1">
      <c r="A371" s="19">
        <v>369</v>
      </c>
      <c r="B371" s="20" t="s">
        <v>691</v>
      </c>
      <c r="C371" s="20" t="s">
        <v>692</v>
      </c>
      <c r="D371" s="20" t="s">
        <v>693</v>
      </c>
      <c r="E371" s="21"/>
      <c r="F371" s="21">
        <v>87</v>
      </c>
      <c r="G371" s="21">
        <v>58</v>
      </c>
      <c r="H371" s="21"/>
      <c r="I371" s="21">
        <v>16</v>
      </c>
      <c r="J371" s="21">
        <v>58</v>
      </c>
      <c r="K371" s="21">
        <v>220</v>
      </c>
      <c r="L371" s="21">
        <v>60</v>
      </c>
      <c r="M371" s="21">
        <v>170</v>
      </c>
      <c r="N371" s="21"/>
      <c r="O371" s="21">
        <v>180</v>
      </c>
      <c r="P371" s="21">
        <v>60</v>
      </c>
      <c r="Q371" s="22">
        <f t="shared" si="5"/>
        <v>909</v>
      </c>
    </row>
    <row r="372" spans="1:17" ht="15.75" customHeight="1">
      <c r="A372" s="23">
        <v>370</v>
      </c>
      <c r="B372" s="24" t="s">
        <v>694</v>
      </c>
      <c r="C372" s="24" t="s">
        <v>357</v>
      </c>
      <c r="D372" s="24" t="s">
        <v>695</v>
      </c>
      <c r="E372" s="25">
        <v>82</v>
      </c>
      <c r="F372" s="25">
        <v>30</v>
      </c>
      <c r="G372" s="25">
        <v>70</v>
      </c>
      <c r="H372" s="25">
        <v>2</v>
      </c>
      <c r="I372" s="25">
        <v>111</v>
      </c>
      <c r="J372" s="25">
        <v>143</v>
      </c>
      <c r="K372" s="25">
        <v>30</v>
      </c>
      <c r="L372" s="25">
        <v>380</v>
      </c>
      <c r="M372" s="25">
        <v>96</v>
      </c>
      <c r="N372" s="25">
        <v>361</v>
      </c>
      <c r="O372" s="25">
        <v>50</v>
      </c>
      <c r="P372" s="25">
        <v>190</v>
      </c>
      <c r="Q372" s="22">
        <f t="shared" si="5"/>
        <v>1545</v>
      </c>
    </row>
    <row r="373" spans="1:17" ht="15.75" customHeight="1">
      <c r="A373" s="19">
        <v>371</v>
      </c>
      <c r="B373" s="20" t="s">
        <v>696</v>
      </c>
      <c r="C373" s="20" t="s">
        <v>697</v>
      </c>
      <c r="D373" s="20" t="s">
        <v>698</v>
      </c>
      <c r="E373" s="21"/>
      <c r="F373" s="21">
        <v>100</v>
      </c>
      <c r="G373" s="21">
        <v>50</v>
      </c>
      <c r="H373" s="21"/>
      <c r="I373" s="21">
        <v>3</v>
      </c>
      <c r="J373" s="21">
        <v>7</v>
      </c>
      <c r="K373" s="21">
        <v>220</v>
      </c>
      <c r="L373" s="21">
        <v>260</v>
      </c>
      <c r="M373" s="21">
        <v>60</v>
      </c>
      <c r="N373" s="21">
        <v>1001</v>
      </c>
      <c r="O373" s="21">
        <v>20</v>
      </c>
      <c r="P373" s="21">
        <v>130</v>
      </c>
      <c r="Q373" s="22">
        <f t="shared" si="5"/>
        <v>1851</v>
      </c>
    </row>
    <row r="374" spans="1:17" ht="15.75" customHeight="1">
      <c r="A374" s="23">
        <v>372</v>
      </c>
      <c r="B374" s="24" t="s">
        <v>699</v>
      </c>
      <c r="C374" s="24" t="s">
        <v>700</v>
      </c>
      <c r="D374" s="24" t="s">
        <v>701</v>
      </c>
      <c r="E374" s="25">
        <v>200</v>
      </c>
      <c r="F374" s="25">
        <v>352</v>
      </c>
      <c r="G374" s="25">
        <v>150</v>
      </c>
      <c r="H374" s="25">
        <v>200</v>
      </c>
      <c r="I374" s="25">
        <v>650</v>
      </c>
      <c r="J374" s="25">
        <v>121</v>
      </c>
      <c r="K374" s="25">
        <v>115</v>
      </c>
      <c r="L374" s="25">
        <v>63</v>
      </c>
      <c r="M374" s="25">
        <v>458</v>
      </c>
      <c r="N374" s="25">
        <v>60</v>
      </c>
      <c r="O374" s="25">
        <v>280</v>
      </c>
      <c r="P374" s="25">
        <v>90</v>
      </c>
      <c r="Q374" s="22">
        <f t="shared" si="5"/>
        <v>2739</v>
      </c>
    </row>
    <row r="375" spans="1:17" ht="15.75" customHeight="1">
      <c r="A375" s="19">
        <v>373</v>
      </c>
      <c r="B375" s="20" t="s">
        <v>702</v>
      </c>
      <c r="C375" s="20" t="s">
        <v>703</v>
      </c>
      <c r="D375" s="20" t="s">
        <v>704</v>
      </c>
      <c r="E375" s="21">
        <v>116</v>
      </c>
      <c r="F375" s="21"/>
      <c r="G375" s="21"/>
      <c r="H375" s="21"/>
      <c r="I375" s="21"/>
      <c r="J375" s="21"/>
      <c r="K375" s="21">
        <v>5</v>
      </c>
      <c r="L375" s="21">
        <v>1070</v>
      </c>
      <c r="M375" s="21"/>
      <c r="N375" s="21"/>
      <c r="O375" s="21"/>
      <c r="P375" s="21"/>
      <c r="Q375" s="22">
        <f t="shared" si="5"/>
        <v>1191</v>
      </c>
    </row>
    <row r="376" spans="1:17" ht="15.75" customHeight="1">
      <c r="A376" s="23">
        <v>374</v>
      </c>
      <c r="B376" s="24" t="s">
        <v>705</v>
      </c>
      <c r="C376" s="24" t="s">
        <v>480</v>
      </c>
      <c r="D376" s="24" t="s">
        <v>706</v>
      </c>
      <c r="E376" s="25"/>
      <c r="F376" s="25"/>
      <c r="G376" s="25"/>
      <c r="H376" s="25"/>
      <c r="I376" s="25">
        <v>31</v>
      </c>
      <c r="J376" s="25">
        <v>67</v>
      </c>
      <c r="K376" s="25"/>
      <c r="L376" s="25"/>
      <c r="M376" s="25">
        <v>28</v>
      </c>
      <c r="N376" s="25">
        <v>11</v>
      </c>
      <c r="O376" s="25"/>
      <c r="P376" s="25"/>
      <c r="Q376" s="22">
        <f t="shared" si="5"/>
        <v>137</v>
      </c>
    </row>
    <row r="377" spans="1:17" ht="15.75" customHeight="1">
      <c r="A377" s="19">
        <v>375</v>
      </c>
      <c r="B377" s="20" t="s">
        <v>707</v>
      </c>
      <c r="C377" s="20" t="s">
        <v>708</v>
      </c>
      <c r="D377" s="20" t="s">
        <v>709</v>
      </c>
      <c r="E377" s="21"/>
      <c r="F377" s="21">
        <v>20</v>
      </c>
      <c r="G377" s="21"/>
      <c r="H377" s="21"/>
      <c r="I377" s="21">
        <v>5</v>
      </c>
      <c r="J377" s="21">
        <v>4</v>
      </c>
      <c r="K377" s="21">
        <v>20</v>
      </c>
      <c r="L377" s="21">
        <v>220</v>
      </c>
      <c r="M377" s="21"/>
      <c r="N377" s="21"/>
      <c r="O377" s="21">
        <v>10</v>
      </c>
      <c r="P377" s="21">
        <v>60</v>
      </c>
      <c r="Q377" s="22">
        <f t="shared" si="5"/>
        <v>339</v>
      </c>
    </row>
    <row r="378" spans="1:17" ht="15.75" customHeight="1">
      <c r="A378" s="23">
        <v>376</v>
      </c>
      <c r="B378" s="24" t="s">
        <v>710</v>
      </c>
      <c r="C378" s="24" t="s">
        <v>711</v>
      </c>
      <c r="D378" s="24" t="s">
        <v>712</v>
      </c>
      <c r="E378" s="25"/>
      <c r="F378" s="25">
        <v>10</v>
      </c>
      <c r="G378" s="25"/>
      <c r="H378" s="25">
        <v>20</v>
      </c>
      <c r="I378" s="25">
        <v>10</v>
      </c>
      <c r="J378" s="25">
        <v>14</v>
      </c>
      <c r="K378" s="25"/>
      <c r="L378" s="25">
        <v>50</v>
      </c>
      <c r="M378" s="25"/>
      <c r="N378" s="25">
        <v>2</v>
      </c>
      <c r="O378" s="25">
        <v>33</v>
      </c>
      <c r="P378" s="25">
        <v>130</v>
      </c>
      <c r="Q378" s="22">
        <f t="shared" si="5"/>
        <v>269</v>
      </c>
    </row>
    <row r="379" spans="1:17" ht="15.75" customHeight="1">
      <c r="A379" s="19">
        <v>377</v>
      </c>
      <c r="B379" s="20" t="s">
        <v>713</v>
      </c>
      <c r="C379" s="20" t="s">
        <v>714</v>
      </c>
      <c r="D379" s="20" t="s">
        <v>715</v>
      </c>
      <c r="E379" s="21"/>
      <c r="F379" s="21">
        <v>2</v>
      </c>
      <c r="G379" s="21"/>
      <c r="H379" s="21"/>
      <c r="I379" s="21"/>
      <c r="J379" s="21"/>
      <c r="K379" s="21"/>
      <c r="L379" s="21">
        <v>40</v>
      </c>
      <c r="M379" s="21">
        <v>20</v>
      </c>
      <c r="N379" s="21"/>
      <c r="O379" s="21"/>
      <c r="P379" s="21"/>
      <c r="Q379" s="22">
        <f t="shared" si="5"/>
        <v>62</v>
      </c>
    </row>
    <row r="380" spans="1:17" ht="15.75" customHeight="1">
      <c r="A380" s="23">
        <v>378</v>
      </c>
      <c r="B380" s="24" t="s">
        <v>716</v>
      </c>
      <c r="C380" s="24" t="s">
        <v>717</v>
      </c>
      <c r="D380" s="24" t="s">
        <v>718</v>
      </c>
      <c r="E380" s="25"/>
      <c r="F380" s="25">
        <v>20</v>
      </c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2">
        <f t="shared" si="5"/>
        <v>20</v>
      </c>
    </row>
    <row r="381" spans="1:17" ht="15.75" customHeight="1">
      <c r="A381" s="19">
        <v>379</v>
      </c>
      <c r="B381" s="20" t="s">
        <v>719</v>
      </c>
      <c r="C381" s="20" t="s">
        <v>720</v>
      </c>
      <c r="D381" s="20" t="s">
        <v>721</v>
      </c>
      <c r="E381" s="21">
        <v>210</v>
      </c>
      <c r="F381" s="21">
        <v>20</v>
      </c>
      <c r="G381" s="21">
        <v>440</v>
      </c>
      <c r="H381" s="21"/>
      <c r="I381" s="21">
        <v>57</v>
      </c>
      <c r="J381" s="21">
        <v>98</v>
      </c>
      <c r="K381" s="21"/>
      <c r="L381" s="21">
        <v>5</v>
      </c>
      <c r="M381" s="21">
        <v>252</v>
      </c>
      <c r="N381" s="21">
        <v>226</v>
      </c>
      <c r="O381" s="21">
        <v>60</v>
      </c>
      <c r="P381" s="21">
        <v>100</v>
      </c>
      <c r="Q381" s="22">
        <f t="shared" si="5"/>
        <v>1468</v>
      </c>
    </row>
    <row r="382" spans="1:17" ht="15.75" customHeight="1">
      <c r="A382" s="23">
        <v>380</v>
      </c>
      <c r="B382" s="24" t="s">
        <v>722</v>
      </c>
      <c r="C382" s="24" t="s">
        <v>723</v>
      </c>
      <c r="D382" s="24" t="s">
        <v>724</v>
      </c>
      <c r="E382" s="25">
        <v>115</v>
      </c>
      <c r="F382" s="25">
        <v>83</v>
      </c>
      <c r="G382" s="25"/>
      <c r="H382" s="25"/>
      <c r="I382" s="25"/>
      <c r="J382" s="25"/>
      <c r="K382" s="25">
        <v>76</v>
      </c>
      <c r="L382" s="25">
        <v>5</v>
      </c>
      <c r="M382" s="25">
        <v>60</v>
      </c>
      <c r="N382" s="25">
        <v>100</v>
      </c>
      <c r="O382" s="25"/>
      <c r="P382" s="25"/>
      <c r="Q382" s="22">
        <f t="shared" si="5"/>
        <v>439</v>
      </c>
    </row>
    <row r="383" spans="1:17" ht="15.75" customHeight="1">
      <c r="A383" s="19">
        <v>381</v>
      </c>
      <c r="B383" s="20" t="s">
        <v>725</v>
      </c>
      <c r="C383" s="20" t="s">
        <v>726</v>
      </c>
      <c r="D383" s="20" t="s">
        <v>727</v>
      </c>
      <c r="E383" s="21"/>
      <c r="F383" s="21"/>
      <c r="G383" s="21"/>
      <c r="H383" s="21"/>
      <c r="I383" s="21">
        <v>100</v>
      </c>
      <c r="J383" s="21">
        <v>30</v>
      </c>
      <c r="K383" s="21"/>
      <c r="L383" s="21">
        <v>2</v>
      </c>
      <c r="M383" s="21"/>
      <c r="N383" s="21">
        <v>10</v>
      </c>
      <c r="O383" s="21">
        <v>110</v>
      </c>
      <c r="P383" s="21">
        <v>30</v>
      </c>
      <c r="Q383" s="22">
        <f t="shared" si="5"/>
        <v>282</v>
      </c>
    </row>
    <row r="384" spans="1:17" ht="15.75" customHeight="1">
      <c r="A384" s="23">
        <v>382</v>
      </c>
      <c r="B384" s="24" t="s">
        <v>728</v>
      </c>
      <c r="C384" s="24" t="s">
        <v>729</v>
      </c>
      <c r="D384" s="24" t="s">
        <v>730</v>
      </c>
      <c r="E384" s="25"/>
      <c r="F384" s="25"/>
      <c r="G384" s="25">
        <v>3</v>
      </c>
      <c r="H384" s="25"/>
      <c r="I384" s="25"/>
      <c r="J384" s="25"/>
      <c r="K384" s="25"/>
      <c r="L384" s="25">
        <v>35</v>
      </c>
      <c r="M384" s="25"/>
      <c r="N384" s="25"/>
      <c r="O384" s="25"/>
      <c r="P384" s="25"/>
      <c r="Q384" s="22">
        <f t="shared" si="5"/>
        <v>38</v>
      </c>
    </row>
    <row r="385" spans="1:17" ht="15.75" customHeight="1">
      <c r="A385" s="19">
        <v>383</v>
      </c>
      <c r="B385" s="20" t="s">
        <v>731</v>
      </c>
      <c r="C385" s="20" t="s">
        <v>732</v>
      </c>
      <c r="D385" s="20" t="s">
        <v>733</v>
      </c>
      <c r="E385" s="21"/>
      <c r="F385" s="21"/>
      <c r="G385" s="21">
        <v>20</v>
      </c>
      <c r="H385" s="21">
        <v>1</v>
      </c>
      <c r="I385" s="21">
        <v>100</v>
      </c>
      <c r="J385" s="21">
        <v>4</v>
      </c>
      <c r="K385" s="21"/>
      <c r="L385" s="21">
        <v>10</v>
      </c>
      <c r="M385" s="21"/>
      <c r="N385" s="21"/>
      <c r="O385" s="21"/>
      <c r="P385" s="21">
        <v>30</v>
      </c>
      <c r="Q385" s="22">
        <f t="shared" si="5"/>
        <v>165</v>
      </c>
    </row>
    <row r="386" spans="1:17" ht="15.75" customHeight="1">
      <c r="A386" s="23">
        <v>384</v>
      </c>
      <c r="B386" s="24" t="s">
        <v>734</v>
      </c>
      <c r="C386" s="24" t="s">
        <v>735</v>
      </c>
      <c r="D386" s="24" t="s">
        <v>736</v>
      </c>
      <c r="E386" s="25"/>
      <c r="F386" s="25"/>
      <c r="G386" s="25"/>
      <c r="H386" s="25"/>
      <c r="I386" s="25"/>
      <c r="J386" s="25"/>
      <c r="K386" s="25"/>
      <c r="L386" s="25">
        <v>15</v>
      </c>
      <c r="M386" s="25">
        <v>20</v>
      </c>
      <c r="N386" s="25"/>
      <c r="O386" s="25"/>
      <c r="P386" s="25">
        <v>30</v>
      </c>
      <c r="Q386" s="22">
        <f t="shared" si="5"/>
        <v>65</v>
      </c>
    </row>
    <row r="387" spans="1:17" ht="15.75" customHeight="1">
      <c r="A387" s="19">
        <v>385</v>
      </c>
      <c r="B387" s="20" t="s">
        <v>737</v>
      </c>
      <c r="C387" s="20" t="s">
        <v>738</v>
      </c>
      <c r="D387" s="20" t="s">
        <v>739</v>
      </c>
      <c r="E387" s="21">
        <v>100</v>
      </c>
      <c r="F387" s="21">
        <v>200</v>
      </c>
      <c r="G387" s="21"/>
      <c r="H387" s="21"/>
      <c r="I387" s="21">
        <v>600</v>
      </c>
      <c r="J387" s="21"/>
      <c r="K387" s="21"/>
      <c r="L387" s="21"/>
      <c r="M387" s="21">
        <v>20</v>
      </c>
      <c r="N387" s="21"/>
      <c r="O387" s="21"/>
      <c r="P387" s="21">
        <v>100</v>
      </c>
      <c r="Q387" s="22">
        <f t="shared" ref="Q387:Q450" si="6">SUM(E387:P387)</f>
        <v>1020</v>
      </c>
    </row>
    <row r="388" spans="1:17" ht="15.75" customHeight="1">
      <c r="A388" s="23">
        <v>386</v>
      </c>
      <c r="B388" s="24" t="s">
        <v>740</v>
      </c>
      <c r="C388" s="24" t="s">
        <v>741</v>
      </c>
      <c r="D388" s="24" t="s">
        <v>742</v>
      </c>
      <c r="E388" s="25"/>
      <c r="F388" s="25">
        <v>10</v>
      </c>
      <c r="G388" s="25">
        <v>30</v>
      </c>
      <c r="H388" s="25"/>
      <c r="I388" s="25">
        <v>42</v>
      </c>
      <c r="J388" s="25">
        <v>31</v>
      </c>
      <c r="K388" s="25"/>
      <c r="L388" s="25"/>
      <c r="M388" s="25">
        <v>55</v>
      </c>
      <c r="N388" s="25">
        <v>4</v>
      </c>
      <c r="O388" s="25"/>
      <c r="P388" s="25"/>
      <c r="Q388" s="22">
        <f t="shared" si="6"/>
        <v>172</v>
      </c>
    </row>
    <row r="389" spans="1:17" ht="15.75" customHeight="1">
      <c r="A389" s="19">
        <v>387</v>
      </c>
      <c r="B389" s="20" t="s">
        <v>743</v>
      </c>
      <c r="C389" s="20" t="s">
        <v>744</v>
      </c>
      <c r="D389" s="20" t="s">
        <v>745</v>
      </c>
      <c r="E389" s="21">
        <v>300</v>
      </c>
      <c r="F389" s="21">
        <v>100</v>
      </c>
      <c r="G389" s="21">
        <v>70</v>
      </c>
      <c r="H389" s="21"/>
      <c r="I389" s="21">
        <v>20</v>
      </c>
      <c r="J389" s="21">
        <v>14</v>
      </c>
      <c r="K389" s="21">
        <v>91</v>
      </c>
      <c r="L389" s="21">
        <v>10</v>
      </c>
      <c r="M389" s="21">
        <v>260</v>
      </c>
      <c r="N389" s="21">
        <v>322</v>
      </c>
      <c r="O389" s="21">
        <v>155</v>
      </c>
      <c r="P389" s="21">
        <v>200</v>
      </c>
      <c r="Q389" s="22">
        <f t="shared" si="6"/>
        <v>1542</v>
      </c>
    </row>
    <row r="390" spans="1:17" ht="15.75" customHeight="1">
      <c r="A390" s="23">
        <v>388</v>
      </c>
      <c r="B390" s="24" t="s">
        <v>746</v>
      </c>
      <c r="C390" s="24" t="s">
        <v>747</v>
      </c>
      <c r="D390" s="24" t="s">
        <v>748</v>
      </c>
      <c r="E390" s="25">
        <v>100</v>
      </c>
      <c r="F390" s="25"/>
      <c r="G390" s="25"/>
      <c r="H390" s="25"/>
      <c r="I390" s="25"/>
      <c r="J390" s="25">
        <v>2</v>
      </c>
      <c r="K390" s="25"/>
      <c r="L390" s="25"/>
      <c r="M390" s="25"/>
      <c r="N390" s="25">
        <v>100</v>
      </c>
      <c r="O390" s="25"/>
      <c r="P390" s="25"/>
      <c r="Q390" s="22">
        <f t="shared" si="6"/>
        <v>202</v>
      </c>
    </row>
    <row r="391" spans="1:17" ht="15.75" customHeight="1">
      <c r="A391" s="19">
        <v>389</v>
      </c>
      <c r="B391" s="20" t="s">
        <v>749</v>
      </c>
      <c r="C391" s="20" t="s">
        <v>430</v>
      </c>
      <c r="D391" s="20"/>
      <c r="E391" s="21"/>
      <c r="F391" s="21"/>
      <c r="G391" s="21"/>
      <c r="H391" s="21"/>
      <c r="I391" s="21">
        <v>20</v>
      </c>
      <c r="J391" s="21">
        <v>10</v>
      </c>
      <c r="K391" s="21"/>
      <c r="L391" s="21"/>
      <c r="M391" s="21"/>
      <c r="N391" s="21"/>
      <c r="O391" s="21"/>
      <c r="P391" s="21"/>
      <c r="Q391" s="22">
        <f t="shared" si="6"/>
        <v>30</v>
      </c>
    </row>
    <row r="392" spans="1:17" ht="15.75" customHeight="1">
      <c r="A392" s="23">
        <v>390</v>
      </c>
      <c r="B392" s="24" t="s">
        <v>750</v>
      </c>
      <c r="C392" s="24" t="s">
        <v>751</v>
      </c>
      <c r="D392" s="24"/>
      <c r="E392" s="25"/>
      <c r="F392" s="25"/>
      <c r="G392" s="25"/>
      <c r="H392" s="25"/>
      <c r="I392" s="25"/>
      <c r="J392" s="25"/>
      <c r="K392" s="25"/>
      <c r="L392" s="25"/>
      <c r="M392" s="25">
        <v>30</v>
      </c>
      <c r="N392" s="25"/>
      <c r="O392" s="25"/>
      <c r="P392" s="25"/>
      <c r="Q392" s="22">
        <f t="shared" si="6"/>
        <v>30</v>
      </c>
    </row>
    <row r="393" spans="1:17" ht="15.75" customHeight="1">
      <c r="A393" s="19">
        <v>391</v>
      </c>
      <c r="B393" s="20" t="s">
        <v>752</v>
      </c>
      <c r="C393" s="20" t="s">
        <v>753</v>
      </c>
      <c r="D393" s="20"/>
      <c r="E393" s="21"/>
      <c r="F393" s="21"/>
      <c r="G393" s="21">
        <v>20</v>
      </c>
      <c r="H393" s="21"/>
      <c r="I393" s="21"/>
      <c r="J393" s="21"/>
      <c r="K393" s="21"/>
      <c r="L393" s="21"/>
      <c r="M393" s="21"/>
      <c r="N393" s="21"/>
      <c r="O393" s="21"/>
      <c r="P393" s="21"/>
      <c r="Q393" s="22">
        <f t="shared" si="6"/>
        <v>20</v>
      </c>
    </row>
    <row r="394" spans="1:17" ht="15.75" customHeight="1">
      <c r="A394" s="23">
        <v>392</v>
      </c>
      <c r="B394" s="24" t="s">
        <v>754</v>
      </c>
      <c r="C394" s="24" t="s">
        <v>755</v>
      </c>
      <c r="D394" s="24"/>
      <c r="E394" s="25"/>
      <c r="F394" s="25"/>
      <c r="G394" s="25"/>
      <c r="H394" s="25"/>
      <c r="I394" s="25"/>
      <c r="J394" s="25"/>
      <c r="K394" s="25">
        <v>110</v>
      </c>
      <c r="L394" s="25"/>
      <c r="M394" s="25">
        <v>120</v>
      </c>
      <c r="N394" s="25"/>
      <c r="O394" s="25"/>
      <c r="P394" s="25"/>
      <c r="Q394" s="22">
        <f t="shared" si="6"/>
        <v>230</v>
      </c>
    </row>
    <row r="395" spans="1:17" ht="15.75" customHeight="1">
      <c r="A395" s="19">
        <v>393</v>
      </c>
      <c r="B395" s="20" t="s">
        <v>756</v>
      </c>
      <c r="C395" s="20" t="s">
        <v>757</v>
      </c>
      <c r="D395" s="20" t="s">
        <v>758</v>
      </c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>
        <v>40</v>
      </c>
      <c r="Q395" s="22">
        <f t="shared" si="6"/>
        <v>40</v>
      </c>
    </row>
    <row r="396" spans="1:17" ht="15.75" customHeight="1">
      <c r="A396" s="23">
        <v>394</v>
      </c>
      <c r="B396" s="24" t="s">
        <v>759</v>
      </c>
      <c r="C396" s="24" t="s">
        <v>760</v>
      </c>
      <c r="D396" s="24" t="s">
        <v>761</v>
      </c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>
        <v>40</v>
      </c>
      <c r="Q396" s="22">
        <f t="shared" si="6"/>
        <v>40</v>
      </c>
    </row>
    <row r="397" spans="1:17" ht="15.75" customHeight="1">
      <c r="A397" s="19">
        <v>395</v>
      </c>
      <c r="B397" s="20" t="s">
        <v>762</v>
      </c>
      <c r="C397" s="20" t="s">
        <v>763</v>
      </c>
      <c r="D397" s="20" t="s">
        <v>764</v>
      </c>
      <c r="E397" s="21"/>
      <c r="F397" s="21">
        <v>10</v>
      </c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2">
        <f t="shared" si="6"/>
        <v>10</v>
      </c>
    </row>
    <row r="398" spans="1:17" ht="15.75" customHeight="1">
      <c r="A398" s="23">
        <v>396</v>
      </c>
      <c r="B398" s="24" t="s">
        <v>765</v>
      </c>
      <c r="C398" s="24" t="s">
        <v>766</v>
      </c>
      <c r="D398" s="24"/>
      <c r="E398" s="25"/>
      <c r="F398" s="25"/>
      <c r="G398" s="25"/>
      <c r="H398" s="25"/>
      <c r="I398" s="25"/>
      <c r="J398" s="25"/>
      <c r="K398" s="25">
        <v>3</v>
      </c>
      <c r="L398" s="25"/>
      <c r="M398" s="25"/>
      <c r="N398" s="25"/>
      <c r="O398" s="25"/>
      <c r="P398" s="25"/>
      <c r="Q398" s="22">
        <f t="shared" si="6"/>
        <v>3</v>
      </c>
    </row>
    <row r="399" spans="1:17" ht="15.75" customHeight="1">
      <c r="A399" s="19">
        <v>397</v>
      </c>
      <c r="B399" s="20" t="s">
        <v>767</v>
      </c>
      <c r="C399" s="20" t="s">
        <v>768</v>
      </c>
      <c r="D399" s="20"/>
      <c r="E399" s="21"/>
      <c r="F399" s="21"/>
      <c r="G399" s="21">
        <v>10</v>
      </c>
      <c r="H399" s="21">
        <v>10</v>
      </c>
      <c r="I399" s="21"/>
      <c r="J399" s="21"/>
      <c r="K399" s="21">
        <v>1</v>
      </c>
      <c r="L399" s="21"/>
      <c r="M399" s="21"/>
      <c r="N399" s="21"/>
      <c r="O399" s="21">
        <v>19</v>
      </c>
      <c r="P399" s="21"/>
      <c r="Q399" s="22">
        <f t="shared" si="6"/>
        <v>40</v>
      </c>
    </row>
    <row r="400" spans="1:17" ht="15.75" customHeight="1">
      <c r="A400" s="23">
        <v>398</v>
      </c>
      <c r="B400" s="24" t="s">
        <v>769</v>
      </c>
      <c r="C400" s="24" t="s">
        <v>770</v>
      </c>
      <c r="D400" s="24" t="s">
        <v>771</v>
      </c>
      <c r="E400" s="25"/>
      <c r="F400" s="25"/>
      <c r="G400" s="25"/>
      <c r="H400" s="25"/>
      <c r="I400" s="25">
        <v>2</v>
      </c>
      <c r="J400" s="25"/>
      <c r="K400" s="25"/>
      <c r="L400" s="25"/>
      <c r="M400" s="25"/>
      <c r="N400" s="25"/>
      <c r="O400" s="25"/>
      <c r="P400" s="25"/>
      <c r="Q400" s="22">
        <f t="shared" si="6"/>
        <v>2</v>
      </c>
    </row>
    <row r="401" spans="1:17" ht="15.75" customHeight="1">
      <c r="A401" s="19">
        <v>399</v>
      </c>
      <c r="B401" s="20" t="s">
        <v>772</v>
      </c>
      <c r="C401" s="20" t="s">
        <v>773</v>
      </c>
      <c r="D401" s="20" t="s">
        <v>774</v>
      </c>
      <c r="E401" s="21">
        <v>92</v>
      </c>
      <c r="F401" s="21"/>
      <c r="G401" s="21"/>
      <c r="H401" s="21"/>
      <c r="I401" s="21">
        <v>100</v>
      </c>
      <c r="J401" s="21">
        <v>100</v>
      </c>
      <c r="K401" s="21">
        <v>130</v>
      </c>
      <c r="L401" s="21"/>
      <c r="M401" s="21">
        <v>10</v>
      </c>
      <c r="N401" s="21"/>
      <c r="O401" s="21"/>
      <c r="P401" s="21"/>
      <c r="Q401" s="22">
        <f t="shared" si="6"/>
        <v>432</v>
      </c>
    </row>
    <row r="402" spans="1:17" ht="15.75" customHeight="1">
      <c r="A402" s="23">
        <v>400</v>
      </c>
      <c r="B402" s="24" t="s">
        <v>775</v>
      </c>
      <c r="C402" s="24" t="s">
        <v>776</v>
      </c>
      <c r="D402" s="24" t="s">
        <v>777</v>
      </c>
      <c r="E402" s="25">
        <v>130</v>
      </c>
      <c r="F402" s="25">
        <v>100</v>
      </c>
      <c r="G402" s="25">
        <v>210</v>
      </c>
      <c r="H402" s="25">
        <v>110</v>
      </c>
      <c r="I402" s="25">
        <v>1732</v>
      </c>
      <c r="J402" s="25">
        <v>167</v>
      </c>
      <c r="K402" s="25">
        <v>230</v>
      </c>
      <c r="L402" s="25">
        <v>430</v>
      </c>
      <c r="M402" s="25">
        <v>12</v>
      </c>
      <c r="N402" s="25"/>
      <c r="O402" s="25">
        <v>523</v>
      </c>
      <c r="P402" s="25">
        <v>480</v>
      </c>
      <c r="Q402" s="22">
        <f t="shared" si="6"/>
        <v>4124</v>
      </c>
    </row>
    <row r="403" spans="1:17" ht="15.75" customHeight="1">
      <c r="A403" s="19">
        <v>401</v>
      </c>
      <c r="B403" s="20" t="s">
        <v>778</v>
      </c>
      <c r="C403" s="20" t="s">
        <v>779</v>
      </c>
      <c r="D403" s="20" t="s">
        <v>780</v>
      </c>
      <c r="E403" s="21">
        <v>405</v>
      </c>
      <c r="F403" s="21">
        <v>17</v>
      </c>
      <c r="G403" s="21">
        <v>57</v>
      </c>
      <c r="H403" s="21">
        <v>51</v>
      </c>
      <c r="I403" s="21">
        <v>130</v>
      </c>
      <c r="J403" s="21">
        <v>115</v>
      </c>
      <c r="K403" s="21">
        <v>1661</v>
      </c>
      <c r="L403" s="21">
        <v>85</v>
      </c>
      <c r="M403" s="21">
        <v>131</v>
      </c>
      <c r="N403" s="21">
        <v>220</v>
      </c>
      <c r="O403" s="21">
        <v>1972</v>
      </c>
      <c r="P403" s="21">
        <v>443</v>
      </c>
      <c r="Q403" s="22">
        <f t="shared" si="6"/>
        <v>5287</v>
      </c>
    </row>
    <row r="404" spans="1:17" ht="15.75" customHeight="1">
      <c r="A404" s="23">
        <v>402</v>
      </c>
      <c r="B404" s="24" t="s">
        <v>781</v>
      </c>
      <c r="C404" s="24" t="s">
        <v>782</v>
      </c>
      <c r="D404" s="24" t="s">
        <v>783</v>
      </c>
      <c r="E404" s="25"/>
      <c r="F404" s="25"/>
      <c r="G404" s="25"/>
      <c r="H404" s="25"/>
      <c r="I404" s="25">
        <v>15</v>
      </c>
      <c r="J404" s="25"/>
      <c r="K404" s="25"/>
      <c r="L404" s="25"/>
      <c r="M404" s="25"/>
      <c r="N404" s="25"/>
      <c r="O404" s="25"/>
      <c r="P404" s="25"/>
      <c r="Q404" s="22">
        <f t="shared" si="6"/>
        <v>15</v>
      </c>
    </row>
    <row r="405" spans="1:17" ht="15.75" customHeight="1">
      <c r="A405" s="19">
        <v>403</v>
      </c>
      <c r="B405" s="20" t="s">
        <v>784</v>
      </c>
      <c r="C405" s="20" t="s">
        <v>785</v>
      </c>
      <c r="D405" s="20" t="s">
        <v>786</v>
      </c>
      <c r="E405" s="21"/>
      <c r="F405" s="21"/>
      <c r="G405" s="21">
        <v>100</v>
      </c>
      <c r="H405" s="21"/>
      <c r="I405" s="21"/>
      <c r="J405" s="21"/>
      <c r="K405" s="21"/>
      <c r="L405" s="21"/>
      <c r="M405" s="21"/>
      <c r="N405" s="21"/>
      <c r="O405" s="21">
        <v>100</v>
      </c>
      <c r="P405" s="21"/>
      <c r="Q405" s="22">
        <f t="shared" si="6"/>
        <v>200</v>
      </c>
    </row>
    <row r="406" spans="1:17" ht="15.75" customHeight="1">
      <c r="A406" s="23">
        <v>404</v>
      </c>
      <c r="B406" s="24" t="s">
        <v>787</v>
      </c>
      <c r="C406" s="24" t="s">
        <v>788</v>
      </c>
      <c r="D406" s="24" t="s">
        <v>789</v>
      </c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>
        <v>100</v>
      </c>
      <c r="P406" s="25"/>
      <c r="Q406" s="22">
        <f t="shared" si="6"/>
        <v>100</v>
      </c>
    </row>
    <row r="407" spans="1:17" ht="15.75" customHeight="1">
      <c r="A407" s="19">
        <v>405</v>
      </c>
      <c r="B407" s="20" t="s">
        <v>790</v>
      </c>
      <c r="C407" s="20" t="s">
        <v>791</v>
      </c>
      <c r="D407" s="20"/>
      <c r="E407" s="21"/>
      <c r="F407" s="21"/>
      <c r="G407" s="21"/>
      <c r="H407" s="21"/>
      <c r="I407" s="21">
        <v>18</v>
      </c>
      <c r="J407" s="21"/>
      <c r="K407" s="21"/>
      <c r="L407" s="21"/>
      <c r="M407" s="21"/>
      <c r="N407" s="21"/>
      <c r="O407" s="21"/>
      <c r="P407" s="21"/>
      <c r="Q407" s="22">
        <f t="shared" si="6"/>
        <v>18</v>
      </c>
    </row>
    <row r="408" spans="1:17" ht="15.75" customHeight="1">
      <c r="A408" s="23">
        <v>406</v>
      </c>
      <c r="B408" s="24" t="s">
        <v>792</v>
      </c>
      <c r="C408" s="24" t="s">
        <v>793</v>
      </c>
      <c r="D408" s="24" t="s">
        <v>794</v>
      </c>
      <c r="E408" s="25">
        <v>100</v>
      </c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2">
        <f t="shared" si="6"/>
        <v>100</v>
      </c>
    </row>
    <row r="409" spans="1:17" ht="15.75" customHeight="1">
      <c r="A409" s="19">
        <v>407</v>
      </c>
      <c r="B409" s="20" t="s">
        <v>795</v>
      </c>
      <c r="C409" s="20" t="s">
        <v>796</v>
      </c>
      <c r="D409" s="20" t="s">
        <v>797</v>
      </c>
      <c r="E409" s="21">
        <v>40</v>
      </c>
      <c r="F409" s="21">
        <v>34</v>
      </c>
      <c r="G409" s="21"/>
      <c r="H409" s="21"/>
      <c r="I409" s="21"/>
      <c r="J409" s="21"/>
      <c r="K409" s="21">
        <v>100</v>
      </c>
      <c r="L409" s="21"/>
      <c r="M409" s="21">
        <v>10</v>
      </c>
      <c r="N409" s="21"/>
      <c r="O409" s="21"/>
      <c r="P409" s="21"/>
      <c r="Q409" s="22">
        <f t="shared" si="6"/>
        <v>184</v>
      </c>
    </row>
    <row r="410" spans="1:17" ht="15.75" customHeight="1">
      <c r="A410" s="23">
        <v>408</v>
      </c>
      <c r="B410" s="24" t="s">
        <v>798</v>
      </c>
      <c r="C410" s="24" t="s">
        <v>799</v>
      </c>
      <c r="D410" s="24" t="s">
        <v>800</v>
      </c>
      <c r="E410" s="25">
        <v>145</v>
      </c>
      <c r="F410" s="25">
        <v>120</v>
      </c>
      <c r="G410" s="25">
        <v>120</v>
      </c>
      <c r="H410" s="25">
        <v>200</v>
      </c>
      <c r="I410" s="25">
        <v>1632</v>
      </c>
      <c r="J410" s="25">
        <v>80</v>
      </c>
      <c r="K410" s="25">
        <v>280</v>
      </c>
      <c r="L410" s="25">
        <v>320</v>
      </c>
      <c r="M410" s="25">
        <v>200</v>
      </c>
      <c r="N410" s="25">
        <v>70</v>
      </c>
      <c r="O410" s="25">
        <v>571</v>
      </c>
      <c r="P410" s="25">
        <v>630</v>
      </c>
      <c r="Q410" s="22">
        <f t="shared" si="6"/>
        <v>4368</v>
      </c>
    </row>
    <row r="411" spans="1:17" ht="15.75" customHeight="1">
      <c r="A411" s="19">
        <v>409</v>
      </c>
      <c r="B411" s="20" t="s">
        <v>801</v>
      </c>
      <c r="C411" s="20" t="s">
        <v>802</v>
      </c>
      <c r="D411" s="20" t="s">
        <v>803</v>
      </c>
      <c r="E411" s="21">
        <v>165</v>
      </c>
      <c r="F411" s="21">
        <v>78</v>
      </c>
      <c r="G411" s="21">
        <v>52</v>
      </c>
      <c r="H411" s="21">
        <v>150</v>
      </c>
      <c r="I411" s="21">
        <v>427</v>
      </c>
      <c r="J411" s="21">
        <v>131</v>
      </c>
      <c r="K411" s="21">
        <v>1250</v>
      </c>
      <c r="L411" s="21">
        <v>201</v>
      </c>
      <c r="M411" s="21">
        <v>565</v>
      </c>
      <c r="N411" s="21">
        <v>110</v>
      </c>
      <c r="O411" s="21">
        <v>1772</v>
      </c>
      <c r="P411" s="21">
        <v>472</v>
      </c>
      <c r="Q411" s="22">
        <f t="shared" si="6"/>
        <v>5373</v>
      </c>
    </row>
    <row r="412" spans="1:17" ht="15.75" customHeight="1">
      <c r="A412" s="23">
        <v>410</v>
      </c>
      <c r="B412" s="24" t="s">
        <v>804</v>
      </c>
      <c r="C412" s="24" t="s">
        <v>805</v>
      </c>
      <c r="D412" s="24" t="s">
        <v>806</v>
      </c>
      <c r="E412" s="25"/>
      <c r="F412" s="25"/>
      <c r="G412" s="25"/>
      <c r="H412" s="25">
        <v>1</v>
      </c>
      <c r="I412" s="25"/>
      <c r="J412" s="25"/>
      <c r="K412" s="25"/>
      <c r="L412" s="25"/>
      <c r="M412" s="25"/>
      <c r="N412" s="25"/>
      <c r="O412" s="25"/>
      <c r="P412" s="25">
        <v>300</v>
      </c>
      <c r="Q412" s="22">
        <f t="shared" si="6"/>
        <v>301</v>
      </c>
    </row>
    <row r="413" spans="1:17" ht="15.75" customHeight="1">
      <c r="A413" s="19">
        <v>411</v>
      </c>
      <c r="B413" s="20" t="s">
        <v>807</v>
      </c>
      <c r="C413" s="20" t="s">
        <v>808</v>
      </c>
      <c r="D413" s="20" t="s">
        <v>809</v>
      </c>
      <c r="E413" s="21"/>
      <c r="F413" s="21"/>
      <c r="G413" s="21"/>
      <c r="H413" s="21"/>
      <c r="I413" s="21"/>
      <c r="J413" s="21"/>
      <c r="K413" s="21">
        <v>50</v>
      </c>
      <c r="L413" s="21"/>
      <c r="M413" s="21">
        <v>5</v>
      </c>
      <c r="N413" s="21">
        <v>1</v>
      </c>
      <c r="O413" s="21"/>
      <c r="P413" s="21"/>
      <c r="Q413" s="22">
        <f t="shared" si="6"/>
        <v>56</v>
      </c>
    </row>
    <row r="414" spans="1:17" ht="15.75" customHeight="1">
      <c r="A414" s="23">
        <v>412</v>
      </c>
      <c r="B414" s="24" t="s">
        <v>810</v>
      </c>
      <c r="C414" s="24" t="s">
        <v>811</v>
      </c>
      <c r="D414" s="24" t="s">
        <v>812</v>
      </c>
      <c r="E414" s="25">
        <v>85</v>
      </c>
      <c r="F414" s="25">
        <v>50</v>
      </c>
      <c r="G414" s="25"/>
      <c r="H414" s="25">
        <v>50</v>
      </c>
      <c r="I414" s="25">
        <v>4</v>
      </c>
      <c r="J414" s="25">
        <v>8</v>
      </c>
      <c r="K414" s="25">
        <v>19</v>
      </c>
      <c r="L414" s="25"/>
      <c r="M414" s="25"/>
      <c r="N414" s="25">
        <v>1</v>
      </c>
      <c r="O414" s="25">
        <v>330</v>
      </c>
      <c r="P414" s="25">
        <v>3</v>
      </c>
      <c r="Q414" s="22">
        <f t="shared" si="6"/>
        <v>550</v>
      </c>
    </row>
    <row r="415" spans="1:17" ht="15.75" customHeight="1">
      <c r="A415" s="19">
        <v>413</v>
      </c>
      <c r="B415" s="20" t="s">
        <v>813</v>
      </c>
      <c r="C415" s="20" t="s">
        <v>814</v>
      </c>
      <c r="D415" s="20" t="s">
        <v>815</v>
      </c>
      <c r="E415" s="21">
        <v>3</v>
      </c>
      <c r="F415" s="21"/>
      <c r="G415" s="21"/>
      <c r="H415" s="21"/>
      <c r="I415" s="21"/>
      <c r="J415" s="21">
        <v>30</v>
      </c>
      <c r="K415" s="21">
        <v>1010</v>
      </c>
      <c r="L415" s="21">
        <v>3178</v>
      </c>
      <c r="M415" s="21"/>
      <c r="N415" s="21"/>
      <c r="O415" s="21">
        <v>594</v>
      </c>
      <c r="P415" s="21"/>
      <c r="Q415" s="22">
        <f t="shared" si="6"/>
        <v>4815</v>
      </c>
    </row>
    <row r="416" spans="1:17" ht="15.75" customHeight="1">
      <c r="A416" s="23">
        <v>414</v>
      </c>
      <c r="B416" s="24" t="s">
        <v>816</v>
      </c>
      <c r="C416" s="24" t="s">
        <v>817</v>
      </c>
      <c r="D416" s="24" t="s">
        <v>818</v>
      </c>
      <c r="E416" s="25"/>
      <c r="F416" s="25"/>
      <c r="G416" s="25"/>
      <c r="H416" s="25">
        <v>10</v>
      </c>
      <c r="I416" s="25"/>
      <c r="J416" s="25"/>
      <c r="K416" s="25">
        <v>100</v>
      </c>
      <c r="L416" s="25"/>
      <c r="M416" s="25">
        <v>5</v>
      </c>
      <c r="N416" s="25"/>
      <c r="O416" s="25"/>
      <c r="P416" s="25"/>
      <c r="Q416" s="22">
        <f t="shared" si="6"/>
        <v>115</v>
      </c>
    </row>
    <row r="417" spans="1:17" ht="15.75" customHeight="1">
      <c r="A417" s="19">
        <v>415</v>
      </c>
      <c r="B417" s="20" t="s">
        <v>819</v>
      </c>
      <c r="C417" s="20" t="s">
        <v>820</v>
      </c>
      <c r="D417" s="20" t="s">
        <v>821</v>
      </c>
      <c r="E417" s="21"/>
      <c r="F417" s="21">
        <v>20</v>
      </c>
      <c r="G417" s="21">
        <v>130</v>
      </c>
      <c r="H417" s="21"/>
      <c r="I417" s="21">
        <v>500</v>
      </c>
      <c r="J417" s="21">
        <v>118</v>
      </c>
      <c r="K417" s="21">
        <v>230</v>
      </c>
      <c r="L417" s="21">
        <v>390</v>
      </c>
      <c r="M417" s="21">
        <v>116</v>
      </c>
      <c r="N417" s="21">
        <v>20</v>
      </c>
      <c r="O417" s="21">
        <v>300</v>
      </c>
      <c r="P417" s="21">
        <v>410</v>
      </c>
      <c r="Q417" s="22">
        <f t="shared" si="6"/>
        <v>2234</v>
      </c>
    </row>
    <row r="418" spans="1:17" ht="15.75" customHeight="1">
      <c r="A418" s="23">
        <v>416</v>
      </c>
      <c r="B418" s="24" t="s">
        <v>822</v>
      </c>
      <c r="C418" s="24" t="s">
        <v>823</v>
      </c>
      <c r="D418" s="24" t="s">
        <v>824</v>
      </c>
      <c r="E418" s="25"/>
      <c r="F418" s="25">
        <v>76</v>
      </c>
      <c r="G418" s="25">
        <v>83</v>
      </c>
      <c r="H418" s="25"/>
      <c r="I418" s="25">
        <v>80</v>
      </c>
      <c r="J418" s="25">
        <v>62</v>
      </c>
      <c r="K418" s="25">
        <v>847</v>
      </c>
      <c r="L418" s="25">
        <v>201</v>
      </c>
      <c r="M418" s="25">
        <v>210</v>
      </c>
      <c r="N418" s="25">
        <v>600</v>
      </c>
      <c r="O418" s="25">
        <v>1390</v>
      </c>
      <c r="P418" s="25">
        <v>550</v>
      </c>
      <c r="Q418" s="22">
        <f t="shared" si="6"/>
        <v>4099</v>
      </c>
    </row>
    <row r="419" spans="1:17" ht="15.75" customHeight="1">
      <c r="A419" s="19">
        <v>417</v>
      </c>
      <c r="B419" s="20" t="s">
        <v>825</v>
      </c>
      <c r="C419" s="20" t="s">
        <v>826</v>
      </c>
      <c r="D419" s="20" t="s">
        <v>827</v>
      </c>
      <c r="E419" s="21"/>
      <c r="F419" s="21"/>
      <c r="G419" s="21"/>
      <c r="H419" s="21"/>
      <c r="I419" s="21"/>
      <c r="J419" s="21"/>
      <c r="K419" s="21"/>
      <c r="L419" s="21">
        <v>50</v>
      </c>
      <c r="M419" s="21"/>
      <c r="N419" s="21"/>
      <c r="O419" s="21"/>
      <c r="P419" s="21"/>
      <c r="Q419" s="22">
        <f t="shared" si="6"/>
        <v>50</v>
      </c>
    </row>
    <row r="420" spans="1:17" ht="15.75" customHeight="1">
      <c r="A420" s="23">
        <v>418</v>
      </c>
      <c r="B420" s="24" t="s">
        <v>828</v>
      </c>
      <c r="C420" s="24" t="s">
        <v>829</v>
      </c>
      <c r="D420" s="24" t="s">
        <v>830</v>
      </c>
      <c r="E420" s="25"/>
      <c r="F420" s="25"/>
      <c r="G420" s="25"/>
      <c r="H420" s="25"/>
      <c r="I420" s="25"/>
      <c r="J420" s="25"/>
      <c r="K420" s="25"/>
      <c r="L420" s="25"/>
      <c r="M420" s="25">
        <v>5</v>
      </c>
      <c r="N420" s="25"/>
      <c r="O420" s="25"/>
      <c r="P420" s="25"/>
      <c r="Q420" s="22">
        <f t="shared" si="6"/>
        <v>5</v>
      </c>
    </row>
    <row r="421" spans="1:17" ht="15.75" customHeight="1">
      <c r="A421" s="19">
        <v>419</v>
      </c>
      <c r="B421" s="20" t="s">
        <v>831</v>
      </c>
      <c r="C421" s="20" t="s">
        <v>832</v>
      </c>
      <c r="D421" s="20" t="s">
        <v>833</v>
      </c>
      <c r="E421" s="21"/>
      <c r="F421" s="21"/>
      <c r="G421" s="21">
        <v>30</v>
      </c>
      <c r="H421" s="21"/>
      <c r="I421" s="21">
        <v>600</v>
      </c>
      <c r="J421" s="21">
        <v>65</v>
      </c>
      <c r="K421" s="21">
        <v>100</v>
      </c>
      <c r="L421" s="21">
        <v>110</v>
      </c>
      <c r="M421" s="21">
        <v>5</v>
      </c>
      <c r="N421" s="21">
        <v>50</v>
      </c>
      <c r="O421" s="21">
        <v>35</v>
      </c>
      <c r="P421" s="21">
        <v>500</v>
      </c>
      <c r="Q421" s="22">
        <f t="shared" si="6"/>
        <v>1495</v>
      </c>
    </row>
    <row r="422" spans="1:17" ht="15.75" customHeight="1">
      <c r="A422" s="23">
        <v>420</v>
      </c>
      <c r="B422" s="24" t="s">
        <v>834</v>
      </c>
      <c r="C422" s="24" t="s">
        <v>835</v>
      </c>
      <c r="D422" s="24" t="s">
        <v>836</v>
      </c>
      <c r="E422" s="25"/>
      <c r="F422" s="25">
        <v>20</v>
      </c>
      <c r="G422" s="25">
        <v>61</v>
      </c>
      <c r="H422" s="25"/>
      <c r="I422" s="25">
        <v>100</v>
      </c>
      <c r="J422" s="25">
        <v>25</v>
      </c>
      <c r="K422" s="25">
        <v>500</v>
      </c>
      <c r="L422" s="25">
        <v>300</v>
      </c>
      <c r="M422" s="25">
        <v>180</v>
      </c>
      <c r="N422" s="25">
        <v>6</v>
      </c>
      <c r="O422" s="25">
        <v>700</v>
      </c>
      <c r="P422" s="25">
        <v>140</v>
      </c>
      <c r="Q422" s="22">
        <f t="shared" si="6"/>
        <v>2032</v>
      </c>
    </row>
    <row r="423" spans="1:17" ht="15.75" customHeight="1">
      <c r="A423" s="19">
        <v>421</v>
      </c>
      <c r="B423" s="20" t="s">
        <v>837</v>
      </c>
      <c r="C423" s="20" t="s">
        <v>838</v>
      </c>
      <c r="D423" s="20" t="s">
        <v>839</v>
      </c>
      <c r="E423" s="21">
        <v>85</v>
      </c>
      <c r="F423" s="21"/>
      <c r="G423" s="21">
        <v>152</v>
      </c>
      <c r="H423" s="21">
        <v>28</v>
      </c>
      <c r="I423" s="21">
        <v>500</v>
      </c>
      <c r="J423" s="21">
        <v>100</v>
      </c>
      <c r="K423" s="21">
        <v>25</v>
      </c>
      <c r="L423" s="21"/>
      <c r="M423" s="21"/>
      <c r="N423" s="21"/>
      <c r="O423" s="21">
        <v>379</v>
      </c>
      <c r="P423" s="21"/>
      <c r="Q423" s="22">
        <f t="shared" si="6"/>
        <v>1269</v>
      </c>
    </row>
    <row r="424" spans="1:17" ht="15.75" customHeight="1">
      <c r="A424" s="23">
        <v>422</v>
      </c>
      <c r="B424" s="24" t="s">
        <v>840</v>
      </c>
      <c r="C424" s="24" t="s">
        <v>841</v>
      </c>
      <c r="D424" s="24" t="s">
        <v>842</v>
      </c>
      <c r="E424" s="25">
        <v>254</v>
      </c>
      <c r="F424" s="25"/>
      <c r="G424" s="25">
        <v>6</v>
      </c>
      <c r="H424" s="25"/>
      <c r="I424" s="25"/>
      <c r="J424" s="25"/>
      <c r="K424" s="25"/>
      <c r="L424" s="25">
        <v>6</v>
      </c>
      <c r="M424" s="25"/>
      <c r="N424" s="25"/>
      <c r="O424" s="25">
        <v>562</v>
      </c>
      <c r="P424" s="25">
        <v>200</v>
      </c>
      <c r="Q424" s="22">
        <f t="shared" si="6"/>
        <v>1028</v>
      </c>
    </row>
    <row r="425" spans="1:17" ht="15.75" customHeight="1">
      <c r="A425" s="19">
        <v>423</v>
      </c>
      <c r="B425" s="20" t="s">
        <v>843</v>
      </c>
      <c r="C425" s="20" t="s">
        <v>844</v>
      </c>
      <c r="D425" s="20"/>
      <c r="E425" s="21"/>
      <c r="F425" s="21"/>
      <c r="G425" s="21"/>
      <c r="H425" s="21"/>
      <c r="I425" s="21">
        <v>3</v>
      </c>
      <c r="J425" s="21"/>
      <c r="K425" s="21"/>
      <c r="L425" s="21"/>
      <c r="M425" s="21"/>
      <c r="N425" s="21"/>
      <c r="O425" s="21"/>
      <c r="P425" s="21"/>
      <c r="Q425" s="22">
        <f t="shared" si="6"/>
        <v>3</v>
      </c>
    </row>
    <row r="426" spans="1:17" ht="15.75" customHeight="1">
      <c r="A426" s="23">
        <v>424</v>
      </c>
      <c r="B426" s="24" t="s">
        <v>845</v>
      </c>
      <c r="C426" s="24" t="s">
        <v>846</v>
      </c>
      <c r="D426" s="24" t="s">
        <v>847</v>
      </c>
      <c r="E426" s="25"/>
      <c r="F426" s="25"/>
      <c r="G426" s="25">
        <v>2</v>
      </c>
      <c r="H426" s="25"/>
      <c r="I426" s="25">
        <v>152</v>
      </c>
      <c r="J426" s="25">
        <v>26</v>
      </c>
      <c r="K426" s="25">
        <v>10</v>
      </c>
      <c r="L426" s="25">
        <v>60</v>
      </c>
      <c r="M426" s="25">
        <v>3</v>
      </c>
      <c r="N426" s="25">
        <v>103</v>
      </c>
      <c r="O426" s="25">
        <v>35</v>
      </c>
      <c r="P426" s="25">
        <v>380</v>
      </c>
      <c r="Q426" s="22">
        <f t="shared" si="6"/>
        <v>771</v>
      </c>
    </row>
    <row r="427" spans="1:17" ht="15.75" customHeight="1">
      <c r="A427" s="19">
        <v>425</v>
      </c>
      <c r="B427" s="20" t="s">
        <v>848</v>
      </c>
      <c r="C427" s="20" t="s">
        <v>849</v>
      </c>
      <c r="D427" s="20" t="s">
        <v>850</v>
      </c>
      <c r="E427" s="21">
        <v>50</v>
      </c>
      <c r="F427" s="21">
        <v>4</v>
      </c>
      <c r="G427" s="21"/>
      <c r="H427" s="21"/>
      <c r="I427" s="21">
        <v>30</v>
      </c>
      <c r="J427" s="21">
        <v>15</v>
      </c>
      <c r="K427" s="21">
        <v>40</v>
      </c>
      <c r="L427" s="21">
        <v>200</v>
      </c>
      <c r="M427" s="21">
        <v>580</v>
      </c>
      <c r="N427" s="21"/>
      <c r="O427" s="21">
        <v>400</v>
      </c>
      <c r="P427" s="21">
        <v>180</v>
      </c>
      <c r="Q427" s="22">
        <f t="shared" si="6"/>
        <v>1499</v>
      </c>
    </row>
    <row r="428" spans="1:17" ht="15.75" customHeight="1">
      <c r="A428" s="23">
        <v>426</v>
      </c>
      <c r="B428" s="24" t="s">
        <v>851</v>
      </c>
      <c r="C428" s="24" t="s">
        <v>852</v>
      </c>
      <c r="D428" s="24" t="s">
        <v>853</v>
      </c>
      <c r="E428" s="25"/>
      <c r="F428" s="25"/>
      <c r="G428" s="25"/>
      <c r="H428" s="25">
        <v>20</v>
      </c>
      <c r="I428" s="25">
        <v>100</v>
      </c>
      <c r="J428" s="25">
        <v>3</v>
      </c>
      <c r="K428" s="25"/>
      <c r="L428" s="25"/>
      <c r="M428" s="25">
        <v>100</v>
      </c>
      <c r="N428" s="25"/>
      <c r="O428" s="25">
        <v>180</v>
      </c>
      <c r="P428" s="25">
        <v>60</v>
      </c>
      <c r="Q428" s="22">
        <f t="shared" si="6"/>
        <v>463</v>
      </c>
    </row>
    <row r="429" spans="1:17" ht="15.75" customHeight="1">
      <c r="A429" s="19">
        <v>427</v>
      </c>
      <c r="B429" s="20" t="s">
        <v>854</v>
      </c>
      <c r="C429" s="20" t="s">
        <v>855</v>
      </c>
      <c r="D429" s="20" t="s">
        <v>856</v>
      </c>
      <c r="E429" s="21">
        <v>30</v>
      </c>
      <c r="F429" s="21"/>
      <c r="G429" s="21"/>
      <c r="H429" s="21"/>
      <c r="I429" s="21"/>
      <c r="J429" s="21"/>
      <c r="K429" s="21"/>
      <c r="L429" s="21">
        <v>200</v>
      </c>
      <c r="M429" s="21">
        <v>200</v>
      </c>
      <c r="N429" s="21"/>
      <c r="O429" s="21">
        <v>100</v>
      </c>
      <c r="P429" s="21"/>
      <c r="Q429" s="22">
        <f t="shared" si="6"/>
        <v>530</v>
      </c>
    </row>
    <row r="430" spans="1:17" ht="15.75" customHeight="1">
      <c r="A430" s="23">
        <v>428</v>
      </c>
      <c r="B430" s="24" t="s">
        <v>857</v>
      </c>
      <c r="C430" s="24" t="s">
        <v>858</v>
      </c>
      <c r="D430" s="24"/>
      <c r="E430" s="25"/>
      <c r="F430" s="25"/>
      <c r="G430" s="25"/>
      <c r="H430" s="25"/>
      <c r="I430" s="25"/>
      <c r="J430" s="25"/>
      <c r="K430" s="25">
        <v>12</v>
      </c>
      <c r="L430" s="25"/>
      <c r="M430" s="25"/>
      <c r="N430" s="25"/>
      <c r="O430" s="25">
        <v>21</v>
      </c>
      <c r="P430" s="25"/>
      <c r="Q430" s="22">
        <f t="shared" si="6"/>
        <v>33</v>
      </c>
    </row>
    <row r="431" spans="1:17" ht="15.75" customHeight="1">
      <c r="A431" s="19">
        <v>429</v>
      </c>
      <c r="B431" s="20" t="s">
        <v>859</v>
      </c>
      <c r="C431" s="20" t="s">
        <v>860</v>
      </c>
      <c r="D431" s="20" t="s">
        <v>861</v>
      </c>
      <c r="E431" s="21">
        <v>21</v>
      </c>
      <c r="F431" s="21">
        <v>100</v>
      </c>
      <c r="G431" s="21">
        <v>10</v>
      </c>
      <c r="H431" s="21">
        <v>600</v>
      </c>
      <c r="I431" s="21">
        <v>900</v>
      </c>
      <c r="J431" s="21">
        <v>350</v>
      </c>
      <c r="K431" s="21">
        <v>406</v>
      </c>
      <c r="L431" s="21"/>
      <c r="M431" s="21">
        <v>1042</v>
      </c>
      <c r="N431" s="21">
        <v>700</v>
      </c>
      <c r="O431" s="21">
        <v>500</v>
      </c>
      <c r="P431" s="21">
        <v>1695</v>
      </c>
      <c r="Q431" s="22">
        <f t="shared" si="6"/>
        <v>6324</v>
      </c>
    </row>
    <row r="432" spans="1:17" ht="15.75" customHeight="1">
      <c r="A432" s="23">
        <v>430</v>
      </c>
      <c r="B432" s="24" t="s">
        <v>862</v>
      </c>
      <c r="C432" s="24" t="s">
        <v>863</v>
      </c>
      <c r="D432" s="24" t="s">
        <v>864</v>
      </c>
      <c r="E432" s="25">
        <v>177</v>
      </c>
      <c r="F432" s="25">
        <v>100</v>
      </c>
      <c r="G432" s="25">
        <v>260</v>
      </c>
      <c r="H432" s="25"/>
      <c r="I432" s="25">
        <v>100</v>
      </c>
      <c r="J432" s="25"/>
      <c r="K432" s="25"/>
      <c r="L432" s="25">
        <v>50</v>
      </c>
      <c r="M432" s="25">
        <v>100</v>
      </c>
      <c r="N432" s="25">
        <v>10</v>
      </c>
      <c r="O432" s="25"/>
      <c r="P432" s="25"/>
      <c r="Q432" s="22">
        <f t="shared" si="6"/>
        <v>797</v>
      </c>
    </row>
    <row r="433" spans="1:17" ht="15.75" customHeight="1">
      <c r="A433" s="19">
        <v>431</v>
      </c>
      <c r="B433" s="20" t="s">
        <v>865</v>
      </c>
      <c r="C433" s="20" t="s">
        <v>866</v>
      </c>
      <c r="D433" s="20" t="s">
        <v>867</v>
      </c>
      <c r="E433" s="21">
        <v>70</v>
      </c>
      <c r="F433" s="21">
        <v>10</v>
      </c>
      <c r="G433" s="21">
        <v>207</v>
      </c>
      <c r="H433" s="21">
        <v>102</v>
      </c>
      <c r="I433" s="21">
        <v>12</v>
      </c>
      <c r="J433" s="21">
        <v>24</v>
      </c>
      <c r="K433" s="21">
        <v>54</v>
      </c>
      <c r="L433" s="21">
        <v>20</v>
      </c>
      <c r="M433" s="21">
        <v>100</v>
      </c>
      <c r="N433" s="21">
        <v>300</v>
      </c>
      <c r="O433" s="21">
        <v>24</v>
      </c>
      <c r="P433" s="21">
        <v>150</v>
      </c>
      <c r="Q433" s="22">
        <f t="shared" si="6"/>
        <v>1073</v>
      </c>
    </row>
    <row r="434" spans="1:17" ht="15.75" customHeight="1">
      <c r="A434" s="23">
        <v>432</v>
      </c>
      <c r="B434" s="24" t="s">
        <v>868</v>
      </c>
      <c r="C434" s="24" t="s">
        <v>869</v>
      </c>
      <c r="D434" s="24" t="s">
        <v>870</v>
      </c>
      <c r="E434" s="25">
        <v>1148</v>
      </c>
      <c r="F434" s="25">
        <v>108</v>
      </c>
      <c r="G434" s="25"/>
      <c r="H434" s="25"/>
      <c r="I434" s="25">
        <v>100</v>
      </c>
      <c r="J434" s="25"/>
      <c r="K434" s="25">
        <v>4</v>
      </c>
      <c r="L434" s="25">
        <v>3676</v>
      </c>
      <c r="M434" s="25">
        <v>2250</v>
      </c>
      <c r="N434" s="25">
        <v>347</v>
      </c>
      <c r="O434" s="25">
        <v>3202</v>
      </c>
      <c r="P434" s="25">
        <v>7487</v>
      </c>
      <c r="Q434" s="22">
        <f t="shared" si="6"/>
        <v>18322</v>
      </c>
    </row>
    <row r="435" spans="1:17" ht="15.75" customHeight="1">
      <c r="A435" s="19">
        <v>433</v>
      </c>
      <c r="B435" s="20" t="s">
        <v>871</v>
      </c>
      <c r="C435" s="20" t="s">
        <v>872</v>
      </c>
      <c r="D435" s="20" t="s">
        <v>873</v>
      </c>
      <c r="E435" s="21"/>
      <c r="F435" s="21"/>
      <c r="G435" s="21"/>
      <c r="H435" s="21"/>
      <c r="I435" s="21"/>
      <c r="J435" s="21">
        <v>23</v>
      </c>
      <c r="K435" s="21">
        <v>200</v>
      </c>
      <c r="L435" s="21"/>
      <c r="M435" s="21"/>
      <c r="N435" s="21"/>
      <c r="O435" s="21"/>
      <c r="P435" s="21">
        <v>30</v>
      </c>
      <c r="Q435" s="22">
        <f t="shared" si="6"/>
        <v>253</v>
      </c>
    </row>
    <row r="436" spans="1:17" ht="15.75" customHeight="1">
      <c r="A436" s="23">
        <v>434</v>
      </c>
      <c r="B436" s="24" t="s">
        <v>874</v>
      </c>
      <c r="C436" s="24" t="s">
        <v>875</v>
      </c>
      <c r="D436" s="24" t="s">
        <v>876</v>
      </c>
      <c r="E436" s="25">
        <v>30</v>
      </c>
      <c r="F436" s="25">
        <v>4</v>
      </c>
      <c r="G436" s="25"/>
      <c r="H436" s="25"/>
      <c r="I436" s="25"/>
      <c r="J436" s="25"/>
      <c r="K436" s="25"/>
      <c r="L436" s="25">
        <v>15</v>
      </c>
      <c r="M436" s="25"/>
      <c r="N436" s="25"/>
      <c r="O436" s="25"/>
      <c r="P436" s="25"/>
      <c r="Q436" s="22">
        <f t="shared" si="6"/>
        <v>49</v>
      </c>
    </row>
    <row r="437" spans="1:17" ht="15.75" customHeight="1">
      <c r="A437" s="19">
        <v>435</v>
      </c>
      <c r="B437" s="20" t="s">
        <v>877</v>
      </c>
      <c r="C437" s="20" t="s">
        <v>878</v>
      </c>
      <c r="D437" s="20" t="s">
        <v>879</v>
      </c>
      <c r="E437" s="21"/>
      <c r="F437" s="21"/>
      <c r="G437" s="21"/>
      <c r="H437" s="21"/>
      <c r="I437" s="21"/>
      <c r="J437" s="21">
        <v>5</v>
      </c>
      <c r="K437" s="21"/>
      <c r="L437" s="21"/>
      <c r="M437" s="21"/>
      <c r="N437" s="21"/>
      <c r="O437" s="21"/>
      <c r="P437" s="21">
        <v>30</v>
      </c>
      <c r="Q437" s="22">
        <f t="shared" si="6"/>
        <v>35</v>
      </c>
    </row>
    <row r="438" spans="1:17" ht="15.75" customHeight="1">
      <c r="A438" s="23">
        <v>436</v>
      </c>
      <c r="B438" s="24" t="s">
        <v>880</v>
      </c>
      <c r="C438" s="24" t="s">
        <v>881</v>
      </c>
      <c r="D438" s="24" t="s">
        <v>882</v>
      </c>
      <c r="E438" s="25"/>
      <c r="F438" s="25"/>
      <c r="G438" s="25">
        <v>50</v>
      </c>
      <c r="H438" s="25"/>
      <c r="I438" s="25"/>
      <c r="J438" s="25"/>
      <c r="K438" s="25"/>
      <c r="L438" s="25">
        <v>15</v>
      </c>
      <c r="M438" s="25"/>
      <c r="N438" s="25"/>
      <c r="O438" s="25"/>
      <c r="P438" s="25">
        <v>30</v>
      </c>
      <c r="Q438" s="22">
        <f t="shared" si="6"/>
        <v>95</v>
      </c>
    </row>
    <row r="439" spans="1:17" ht="15.75" customHeight="1">
      <c r="A439" s="19">
        <v>437</v>
      </c>
      <c r="B439" s="20" t="s">
        <v>883</v>
      </c>
      <c r="C439" s="20" t="s">
        <v>884</v>
      </c>
      <c r="D439" s="20" t="s">
        <v>885</v>
      </c>
      <c r="E439" s="21">
        <v>140</v>
      </c>
      <c r="F439" s="21"/>
      <c r="G439" s="21">
        <v>250</v>
      </c>
      <c r="H439" s="21"/>
      <c r="I439" s="21"/>
      <c r="J439" s="21"/>
      <c r="K439" s="21"/>
      <c r="L439" s="21">
        <v>100</v>
      </c>
      <c r="M439" s="21"/>
      <c r="N439" s="21"/>
      <c r="O439" s="21"/>
      <c r="P439" s="21"/>
      <c r="Q439" s="22">
        <f t="shared" si="6"/>
        <v>490</v>
      </c>
    </row>
    <row r="440" spans="1:17" ht="15.75" customHeight="1">
      <c r="A440" s="23">
        <v>438</v>
      </c>
      <c r="B440" s="24" t="s">
        <v>886</v>
      </c>
      <c r="C440" s="24" t="s">
        <v>887</v>
      </c>
      <c r="D440" s="24" t="s">
        <v>888</v>
      </c>
      <c r="E440" s="25"/>
      <c r="F440" s="25"/>
      <c r="G440" s="25"/>
      <c r="H440" s="25"/>
      <c r="I440" s="25"/>
      <c r="J440" s="25">
        <v>32</v>
      </c>
      <c r="K440" s="25"/>
      <c r="L440" s="25"/>
      <c r="M440" s="25"/>
      <c r="N440" s="25"/>
      <c r="O440" s="25"/>
      <c r="P440" s="25"/>
      <c r="Q440" s="22">
        <f t="shared" si="6"/>
        <v>32</v>
      </c>
    </row>
    <row r="441" spans="1:17" ht="15.75" customHeight="1">
      <c r="A441" s="19">
        <v>439</v>
      </c>
      <c r="B441" s="20" t="s">
        <v>889</v>
      </c>
      <c r="C441" s="20" t="s">
        <v>890</v>
      </c>
      <c r="D441" s="20" t="s">
        <v>891</v>
      </c>
      <c r="E441" s="21">
        <v>30</v>
      </c>
      <c r="F441" s="21"/>
      <c r="G441" s="21"/>
      <c r="H441" s="21"/>
      <c r="I441" s="21"/>
      <c r="J441" s="21">
        <v>15</v>
      </c>
      <c r="K441" s="21"/>
      <c r="L441" s="21"/>
      <c r="M441" s="21"/>
      <c r="N441" s="21">
        <v>100</v>
      </c>
      <c r="O441" s="21"/>
      <c r="P441" s="21"/>
      <c r="Q441" s="22">
        <f t="shared" si="6"/>
        <v>145</v>
      </c>
    </row>
    <row r="442" spans="1:17" ht="15.75" customHeight="1">
      <c r="A442" s="23">
        <v>440</v>
      </c>
      <c r="B442" s="24" t="s">
        <v>892</v>
      </c>
      <c r="C442" s="24" t="s">
        <v>893</v>
      </c>
      <c r="D442" s="24" t="s">
        <v>894</v>
      </c>
      <c r="E442" s="25"/>
      <c r="F442" s="25">
        <v>31</v>
      </c>
      <c r="G442" s="25">
        <v>7</v>
      </c>
      <c r="H442" s="25"/>
      <c r="I442" s="25">
        <v>100</v>
      </c>
      <c r="J442" s="25"/>
      <c r="K442" s="25"/>
      <c r="L442" s="25">
        <v>11</v>
      </c>
      <c r="M442" s="25"/>
      <c r="N442" s="25"/>
      <c r="O442" s="25"/>
      <c r="P442" s="25"/>
      <c r="Q442" s="22">
        <f t="shared" si="6"/>
        <v>149</v>
      </c>
    </row>
    <row r="443" spans="1:17" ht="15.75" customHeight="1">
      <c r="A443" s="19">
        <v>441</v>
      </c>
      <c r="B443" s="20" t="s">
        <v>895</v>
      </c>
      <c r="C443" s="20" t="s">
        <v>896</v>
      </c>
      <c r="D443" s="20" t="s">
        <v>897</v>
      </c>
      <c r="E443" s="21">
        <v>70</v>
      </c>
      <c r="F443" s="21">
        <v>70</v>
      </c>
      <c r="G443" s="21">
        <v>500</v>
      </c>
      <c r="H443" s="21"/>
      <c r="I443" s="21">
        <v>600</v>
      </c>
      <c r="J443" s="21">
        <v>57</v>
      </c>
      <c r="K443" s="21"/>
      <c r="L443" s="21">
        <v>201</v>
      </c>
      <c r="M443" s="21">
        <v>5</v>
      </c>
      <c r="N443" s="21"/>
      <c r="O443" s="21">
        <v>20</v>
      </c>
      <c r="P443" s="21">
        <v>130</v>
      </c>
      <c r="Q443" s="22">
        <f t="shared" si="6"/>
        <v>1653</v>
      </c>
    </row>
    <row r="444" spans="1:17" ht="15.75" customHeight="1">
      <c r="A444" s="23">
        <v>442</v>
      </c>
      <c r="B444" s="24" t="s">
        <v>898</v>
      </c>
      <c r="C444" s="24" t="s">
        <v>899</v>
      </c>
      <c r="D444" s="24" t="s">
        <v>900</v>
      </c>
      <c r="E444" s="25"/>
      <c r="F444" s="25">
        <v>9</v>
      </c>
      <c r="G444" s="25">
        <v>154</v>
      </c>
      <c r="H444" s="25">
        <v>100</v>
      </c>
      <c r="I444" s="25">
        <v>230</v>
      </c>
      <c r="J444" s="25">
        <v>230</v>
      </c>
      <c r="K444" s="25">
        <v>40</v>
      </c>
      <c r="L444" s="25">
        <v>106</v>
      </c>
      <c r="M444" s="25">
        <v>18</v>
      </c>
      <c r="N444" s="25"/>
      <c r="O444" s="25">
        <v>130</v>
      </c>
      <c r="P444" s="25">
        <v>108</v>
      </c>
      <c r="Q444" s="22">
        <f t="shared" si="6"/>
        <v>1125</v>
      </c>
    </row>
    <row r="445" spans="1:17" ht="15.75" customHeight="1">
      <c r="A445" s="19">
        <v>443</v>
      </c>
      <c r="B445" s="20" t="s">
        <v>901</v>
      </c>
      <c r="C445" s="20" t="s">
        <v>902</v>
      </c>
      <c r="D445" s="20" t="s">
        <v>812</v>
      </c>
      <c r="E445" s="21"/>
      <c r="F445" s="21"/>
      <c r="G445" s="21"/>
      <c r="H445" s="21"/>
      <c r="I445" s="21"/>
      <c r="J445" s="21">
        <v>3</v>
      </c>
      <c r="K445" s="21"/>
      <c r="L445" s="21"/>
      <c r="M445" s="21"/>
      <c r="N445" s="21"/>
      <c r="O445" s="21"/>
      <c r="P445" s="21"/>
      <c r="Q445" s="22">
        <f t="shared" si="6"/>
        <v>3</v>
      </c>
    </row>
    <row r="446" spans="1:17" ht="15.75" customHeight="1">
      <c r="A446" s="23">
        <v>444</v>
      </c>
      <c r="B446" s="24" t="s">
        <v>903</v>
      </c>
      <c r="C446" s="24" t="s">
        <v>904</v>
      </c>
      <c r="D446" s="24" t="s">
        <v>905</v>
      </c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>
        <v>300</v>
      </c>
      <c r="P446" s="25"/>
      <c r="Q446" s="22">
        <f t="shared" si="6"/>
        <v>300</v>
      </c>
    </row>
    <row r="447" spans="1:17" ht="15.75" customHeight="1">
      <c r="A447" s="19">
        <v>445</v>
      </c>
      <c r="B447" s="20" t="s">
        <v>906</v>
      </c>
      <c r="C447" s="20" t="s">
        <v>907</v>
      </c>
      <c r="D447" s="20" t="s">
        <v>908</v>
      </c>
      <c r="E447" s="21"/>
      <c r="F447" s="21"/>
      <c r="G447" s="21"/>
      <c r="H447" s="21"/>
      <c r="I447" s="21">
        <v>500</v>
      </c>
      <c r="J447" s="21"/>
      <c r="K447" s="21"/>
      <c r="L447" s="21"/>
      <c r="M447" s="21"/>
      <c r="N447" s="21"/>
      <c r="O447" s="21">
        <v>4</v>
      </c>
      <c r="P447" s="21">
        <v>100</v>
      </c>
      <c r="Q447" s="22">
        <f t="shared" si="6"/>
        <v>604</v>
      </c>
    </row>
    <row r="448" spans="1:17" ht="15.75" customHeight="1">
      <c r="A448" s="23">
        <v>446</v>
      </c>
      <c r="B448" s="24" t="s">
        <v>909</v>
      </c>
      <c r="C448" s="24" t="s">
        <v>910</v>
      </c>
      <c r="D448" s="24" t="s">
        <v>911</v>
      </c>
      <c r="E448" s="25"/>
      <c r="F448" s="25"/>
      <c r="G448" s="25"/>
      <c r="H448" s="25"/>
      <c r="I448" s="25"/>
      <c r="J448" s="25"/>
      <c r="K448" s="25">
        <v>300</v>
      </c>
      <c r="L448" s="25"/>
      <c r="M448" s="25"/>
      <c r="N448" s="25"/>
      <c r="O448" s="25">
        <v>400</v>
      </c>
      <c r="P448" s="25"/>
      <c r="Q448" s="22">
        <f t="shared" si="6"/>
        <v>700</v>
      </c>
    </row>
    <row r="449" spans="1:17" ht="15.75" customHeight="1">
      <c r="A449" s="19">
        <v>447</v>
      </c>
      <c r="B449" s="20" t="s">
        <v>912</v>
      </c>
      <c r="C449" s="20" t="s">
        <v>913</v>
      </c>
      <c r="D449" s="20" t="s">
        <v>914</v>
      </c>
      <c r="E449" s="21"/>
      <c r="F449" s="21"/>
      <c r="G449" s="21">
        <v>100</v>
      </c>
      <c r="H449" s="21">
        <v>100</v>
      </c>
      <c r="I449" s="21"/>
      <c r="J449" s="21"/>
      <c r="K449" s="21"/>
      <c r="L449" s="21"/>
      <c r="M449" s="21"/>
      <c r="N449" s="21"/>
      <c r="O449" s="21"/>
      <c r="P449" s="21"/>
      <c r="Q449" s="22">
        <f t="shared" si="6"/>
        <v>200</v>
      </c>
    </row>
    <row r="450" spans="1:17" ht="15.75" customHeight="1">
      <c r="A450" s="23">
        <v>448</v>
      </c>
      <c r="B450" s="24" t="s">
        <v>915</v>
      </c>
      <c r="C450" s="24" t="s">
        <v>916</v>
      </c>
      <c r="D450" s="24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>
        <v>1</v>
      </c>
      <c r="P450" s="25"/>
      <c r="Q450" s="22">
        <f t="shared" si="6"/>
        <v>1</v>
      </c>
    </row>
    <row r="451" spans="1:17" ht="15.75" customHeight="1">
      <c r="A451" s="19">
        <v>449</v>
      </c>
      <c r="B451" s="20" t="s">
        <v>917</v>
      </c>
      <c r="C451" s="20" t="s">
        <v>918</v>
      </c>
      <c r="D451" s="20" t="s">
        <v>919</v>
      </c>
      <c r="E451" s="21"/>
      <c r="F451" s="21"/>
      <c r="G451" s="21"/>
      <c r="H451" s="21"/>
      <c r="I451" s="21"/>
      <c r="J451" s="21"/>
      <c r="K451" s="21"/>
      <c r="L451" s="21"/>
      <c r="M451" s="21">
        <v>2</v>
      </c>
      <c r="N451" s="21"/>
      <c r="O451" s="21"/>
      <c r="P451" s="21"/>
      <c r="Q451" s="22">
        <f t="shared" ref="Q451:Q514" si="7">SUM(E451:P451)</f>
        <v>2</v>
      </c>
    </row>
    <row r="452" spans="1:17" ht="15.75" customHeight="1">
      <c r="A452" s="23">
        <v>450</v>
      </c>
      <c r="B452" s="24" t="s">
        <v>920</v>
      </c>
      <c r="C452" s="24" t="s">
        <v>921</v>
      </c>
      <c r="D452" s="24" t="s">
        <v>922</v>
      </c>
      <c r="E452" s="25"/>
      <c r="F452" s="25"/>
      <c r="G452" s="25">
        <v>2</v>
      </c>
      <c r="H452" s="25"/>
      <c r="I452" s="25"/>
      <c r="J452" s="25"/>
      <c r="K452" s="25"/>
      <c r="L452" s="25"/>
      <c r="M452" s="25"/>
      <c r="N452" s="25"/>
      <c r="O452" s="25"/>
      <c r="P452" s="25"/>
      <c r="Q452" s="22">
        <f t="shared" si="7"/>
        <v>2</v>
      </c>
    </row>
    <row r="453" spans="1:17" ht="15.75" customHeight="1">
      <c r="A453" s="19">
        <v>451</v>
      </c>
      <c r="B453" s="20" t="s">
        <v>923</v>
      </c>
      <c r="C453" s="20" t="s">
        <v>924</v>
      </c>
      <c r="D453" s="20" t="s">
        <v>919</v>
      </c>
      <c r="E453" s="21"/>
      <c r="F453" s="21"/>
      <c r="G453" s="21"/>
      <c r="H453" s="21"/>
      <c r="I453" s="21"/>
      <c r="J453" s="21"/>
      <c r="K453" s="21"/>
      <c r="L453" s="21"/>
      <c r="M453" s="21">
        <v>2</v>
      </c>
      <c r="N453" s="21"/>
      <c r="O453" s="21"/>
      <c r="P453" s="21"/>
      <c r="Q453" s="22">
        <f t="shared" si="7"/>
        <v>2</v>
      </c>
    </row>
    <row r="454" spans="1:17" ht="15.75" customHeight="1">
      <c r="A454" s="23">
        <v>452</v>
      </c>
      <c r="B454" s="24" t="s">
        <v>925</v>
      </c>
      <c r="C454" s="24" t="s">
        <v>926</v>
      </c>
      <c r="D454" s="24" t="s">
        <v>919</v>
      </c>
      <c r="E454" s="25"/>
      <c r="F454" s="25"/>
      <c r="G454" s="25"/>
      <c r="H454" s="25"/>
      <c r="I454" s="25"/>
      <c r="J454" s="25"/>
      <c r="K454" s="25"/>
      <c r="L454" s="25"/>
      <c r="M454" s="25">
        <v>2</v>
      </c>
      <c r="N454" s="25"/>
      <c r="O454" s="25"/>
      <c r="P454" s="25"/>
      <c r="Q454" s="22">
        <f t="shared" si="7"/>
        <v>2</v>
      </c>
    </row>
    <row r="455" spans="1:17" ht="15.75" customHeight="1">
      <c r="A455" s="19">
        <v>453</v>
      </c>
      <c r="B455" s="20" t="s">
        <v>927</v>
      </c>
      <c r="C455" s="20" t="s">
        <v>928</v>
      </c>
      <c r="D455" s="20" t="s">
        <v>929</v>
      </c>
      <c r="E455" s="21">
        <v>10</v>
      </c>
      <c r="F455" s="21"/>
      <c r="G455" s="21"/>
      <c r="H455" s="21">
        <v>35</v>
      </c>
      <c r="I455" s="21"/>
      <c r="J455" s="21"/>
      <c r="K455" s="21"/>
      <c r="L455" s="21"/>
      <c r="M455" s="21"/>
      <c r="N455" s="21"/>
      <c r="O455" s="21"/>
      <c r="P455" s="21"/>
      <c r="Q455" s="22">
        <f t="shared" si="7"/>
        <v>45</v>
      </c>
    </row>
    <row r="456" spans="1:17" ht="15.75" customHeight="1">
      <c r="A456" s="23">
        <v>454</v>
      </c>
      <c r="B456" s="24" t="s">
        <v>930</v>
      </c>
      <c r="C456" s="24" t="s">
        <v>931</v>
      </c>
      <c r="D456" s="24" t="s">
        <v>932</v>
      </c>
      <c r="E456" s="25"/>
      <c r="F456" s="25"/>
      <c r="G456" s="25"/>
      <c r="H456" s="25"/>
      <c r="I456" s="25"/>
      <c r="J456" s="25"/>
      <c r="K456" s="25"/>
      <c r="L456" s="25"/>
      <c r="M456" s="25">
        <v>50</v>
      </c>
      <c r="N456" s="25"/>
      <c r="O456" s="25"/>
      <c r="P456" s="25"/>
      <c r="Q456" s="22">
        <f t="shared" si="7"/>
        <v>50</v>
      </c>
    </row>
    <row r="457" spans="1:17" ht="15.75" customHeight="1">
      <c r="A457" s="19">
        <v>455</v>
      </c>
      <c r="B457" s="20" t="s">
        <v>933</v>
      </c>
      <c r="C457" s="20" t="s">
        <v>934</v>
      </c>
      <c r="D457" s="20" t="s">
        <v>935</v>
      </c>
      <c r="E457" s="21">
        <v>10</v>
      </c>
      <c r="F457" s="21">
        <v>15</v>
      </c>
      <c r="G457" s="21">
        <v>8</v>
      </c>
      <c r="H457" s="21"/>
      <c r="I457" s="21"/>
      <c r="J457" s="21"/>
      <c r="K457" s="21"/>
      <c r="L457" s="21"/>
      <c r="M457" s="21"/>
      <c r="N457" s="21"/>
      <c r="O457" s="21">
        <v>5</v>
      </c>
      <c r="P457" s="21">
        <v>60</v>
      </c>
      <c r="Q457" s="22">
        <f t="shared" si="7"/>
        <v>98</v>
      </c>
    </row>
    <row r="458" spans="1:17" ht="15.75" customHeight="1">
      <c r="A458" s="23">
        <v>456</v>
      </c>
      <c r="B458" s="24" t="s">
        <v>936</v>
      </c>
      <c r="C458" s="24" t="s">
        <v>937</v>
      </c>
      <c r="D458" s="24" t="s">
        <v>929</v>
      </c>
      <c r="E458" s="25"/>
      <c r="F458" s="25"/>
      <c r="G458" s="25">
        <v>40</v>
      </c>
      <c r="H458" s="25">
        <v>45</v>
      </c>
      <c r="I458" s="25"/>
      <c r="J458" s="25"/>
      <c r="K458" s="25"/>
      <c r="L458" s="25">
        <v>20</v>
      </c>
      <c r="M458" s="25"/>
      <c r="N458" s="25"/>
      <c r="O458" s="25"/>
      <c r="P458" s="25"/>
      <c r="Q458" s="22">
        <f t="shared" si="7"/>
        <v>105</v>
      </c>
    </row>
    <row r="459" spans="1:17" ht="15.75" customHeight="1">
      <c r="A459" s="19">
        <v>457</v>
      </c>
      <c r="B459" s="20" t="s">
        <v>938</v>
      </c>
      <c r="C459" s="20" t="s">
        <v>939</v>
      </c>
      <c r="D459" s="20" t="s">
        <v>935</v>
      </c>
      <c r="E459" s="21"/>
      <c r="F459" s="21"/>
      <c r="G459" s="21"/>
      <c r="H459" s="21"/>
      <c r="I459" s="21">
        <v>10</v>
      </c>
      <c r="J459" s="21"/>
      <c r="K459" s="21"/>
      <c r="L459" s="21"/>
      <c r="M459" s="21"/>
      <c r="N459" s="21"/>
      <c r="O459" s="21"/>
      <c r="P459" s="21"/>
      <c r="Q459" s="22">
        <f t="shared" si="7"/>
        <v>10</v>
      </c>
    </row>
    <row r="460" spans="1:17" ht="15.75" customHeight="1">
      <c r="A460" s="23">
        <v>458</v>
      </c>
      <c r="B460" s="24" t="s">
        <v>940</v>
      </c>
      <c r="C460" s="24" t="s">
        <v>941</v>
      </c>
      <c r="D460" s="24" t="s">
        <v>929</v>
      </c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>
        <v>10</v>
      </c>
      <c r="Q460" s="22">
        <f t="shared" si="7"/>
        <v>10</v>
      </c>
    </row>
    <row r="461" spans="1:17" ht="15.75" customHeight="1">
      <c r="A461" s="19">
        <v>459</v>
      </c>
      <c r="B461" s="20" t="s">
        <v>942</v>
      </c>
      <c r="C461" s="20" t="s">
        <v>943</v>
      </c>
      <c r="D461" s="20" t="s">
        <v>932</v>
      </c>
      <c r="E461" s="21">
        <v>580</v>
      </c>
      <c r="F461" s="21"/>
      <c r="G461" s="21"/>
      <c r="H461" s="21"/>
      <c r="I461" s="21"/>
      <c r="J461" s="21"/>
      <c r="K461" s="21"/>
      <c r="L461" s="21"/>
      <c r="M461" s="21"/>
      <c r="N461" s="21"/>
      <c r="O461" s="21">
        <v>800</v>
      </c>
      <c r="P461" s="21"/>
      <c r="Q461" s="22">
        <f t="shared" si="7"/>
        <v>1380</v>
      </c>
    </row>
    <row r="462" spans="1:17" ht="15.75" customHeight="1">
      <c r="A462" s="23">
        <v>460</v>
      </c>
      <c r="B462" s="24" t="s">
        <v>944</v>
      </c>
      <c r="C462" s="24" t="s">
        <v>945</v>
      </c>
      <c r="D462" s="24" t="s">
        <v>946</v>
      </c>
      <c r="E462" s="25">
        <v>153</v>
      </c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>
        <v>1</v>
      </c>
      <c r="Q462" s="22">
        <f t="shared" si="7"/>
        <v>154</v>
      </c>
    </row>
    <row r="463" spans="1:17" ht="15.75" customHeight="1">
      <c r="A463" s="19">
        <v>461</v>
      </c>
      <c r="B463" s="20" t="s">
        <v>947</v>
      </c>
      <c r="C463" s="20" t="s">
        <v>948</v>
      </c>
      <c r="D463" s="20" t="s">
        <v>935</v>
      </c>
      <c r="E463" s="21">
        <v>19</v>
      </c>
      <c r="F463" s="21"/>
      <c r="G463" s="21"/>
      <c r="H463" s="21"/>
      <c r="I463" s="21"/>
      <c r="J463" s="21"/>
      <c r="K463" s="21"/>
      <c r="L463" s="21"/>
      <c r="M463" s="21"/>
      <c r="N463" s="21"/>
      <c r="O463" s="21">
        <v>600</v>
      </c>
      <c r="P463" s="21"/>
      <c r="Q463" s="22">
        <f t="shared" si="7"/>
        <v>619</v>
      </c>
    </row>
    <row r="464" spans="1:17" ht="15.75" customHeight="1">
      <c r="A464" s="23">
        <v>462</v>
      </c>
      <c r="B464" s="24" t="s">
        <v>949</v>
      </c>
      <c r="C464" s="24" t="s">
        <v>950</v>
      </c>
      <c r="D464" s="24" t="s">
        <v>951</v>
      </c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>
        <v>1</v>
      </c>
      <c r="P464" s="25"/>
      <c r="Q464" s="22">
        <f t="shared" si="7"/>
        <v>1</v>
      </c>
    </row>
    <row r="465" spans="1:17" ht="15.75" customHeight="1">
      <c r="A465" s="19">
        <v>463</v>
      </c>
      <c r="B465" s="20" t="s">
        <v>952</v>
      </c>
      <c r="C465" s="20" t="s">
        <v>953</v>
      </c>
      <c r="D465" s="20" t="s">
        <v>946</v>
      </c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>
        <v>1</v>
      </c>
      <c r="P465" s="21"/>
      <c r="Q465" s="22">
        <f t="shared" si="7"/>
        <v>1</v>
      </c>
    </row>
    <row r="466" spans="1:17" ht="15.75" customHeight="1">
      <c r="A466" s="23">
        <v>464</v>
      </c>
      <c r="B466" s="24" t="s">
        <v>954</v>
      </c>
      <c r="C466" s="24" t="s">
        <v>955</v>
      </c>
      <c r="D466" s="24" t="s">
        <v>932</v>
      </c>
      <c r="E466" s="25"/>
      <c r="F466" s="25"/>
      <c r="G466" s="25"/>
      <c r="H466" s="25"/>
      <c r="I466" s="25"/>
      <c r="J466" s="25"/>
      <c r="K466" s="25"/>
      <c r="L466" s="25"/>
      <c r="M466" s="25">
        <v>200</v>
      </c>
      <c r="N466" s="25"/>
      <c r="O466" s="25"/>
      <c r="P466" s="25"/>
      <c r="Q466" s="22">
        <f t="shared" si="7"/>
        <v>200</v>
      </c>
    </row>
    <row r="467" spans="1:17" ht="15.75" customHeight="1">
      <c r="A467" s="19">
        <v>465</v>
      </c>
      <c r="B467" s="20" t="s">
        <v>956</v>
      </c>
      <c r="C467" s="20" t="s">
        <v>957</v>
      </c>
      <c r="D467" s="20" t="s">
        <v>946</v>
      </c>
      <c r="E467" s="21"/>
      <c r="F467" s="21"/>
      <c r="G467" s="21"/>
      <c r="H467" s="21"/>
      <c r="I467" s="21">
        <v>2</v>
      </c>
      <c r="J467" s="21">
        <v>2</v>
      </c>
      <c r="K467" s="21"/>
      <c r="L467" s="21"/>
      <c r="M467" s="21"/>
      <c r="N467" s="21"/>
      <c r="O467" s="21"/>
      <c r="P467" s="21"/>
      <c r="Q467" s="22">
        <f t="shared" si="7"/>
        <v>4</v>
      </c>
    </row>
    <row r="468" spans="1:17" ht="15.75" customHeight="1">
      <c r="A468" s="23">
        <v>466</v>
      </c>
      <c r="B468" s="24" t="s">
        <v>958</v>
      </c>
      <c r="C468" s="24" t="s">
        <v>959</v>
      </c>
      <c r="D468" s="24" t="s">
        <v>932</v>
      </c>
      <c r="E468" s="25">
        <v>100</v>
      </c>
      <c r="F468" s="25"/>
      <c r="G468" s="25"/>
      <c r="H468" s="25"/>
      <c r="I468" s="25"/>
      <c r="J468" s="25"/>
      <c r="K468" s="25"/>
      <c r="L468" s="25"/>
      <c r="M468" s="25">
        <v>100</v>
      </c>
      <c r="N468" s="25">
        <v>100</v>
      </c>
      <c r="O468" s="25"/>
      <c r="P468" s="25"/>
      <c r="Q468" s="22">
        <f t="shared" si="7"/>
        <v>300</v>
      </c>
    </row>
    <row r="469" spans="1:17" ht="15.75" customHeight="1">
      <c r="A469" s="19">
        <v>467</v>
      </c>
      <c r="B469" s="20" t="s">
        <v>960</v>
      </c>
      <c r="C469" s="20" t="s">
        <v>961</v>
      </c>
      <c r="D469" s="20" t="s">
        <v>929</v>
      </c>
      <c r="E469" s="21"/>
      <c r="F469" s="21"/>
      <c r="G469" s="21">
        <v>80</v>
      </c>
      <c r="H469" s="21"/>
      <c r="I469" s="21"/>
      <c r="J469" s="21"/>
      <c r="K469" s="21"/>
      <c r="L469" s="21"/>
      <c r="M469" s="21"/>
      <c r="N469" s="21"/>
      <c r="O469" s="21"/>
      <c r="P469" s="21"/>
      <c r="Q469" s="22">
        <f t="shared" si="7"/>
        <v>80</v>
      </c>
    </row>
    <row r="470" spans="1:17" ht="15.75" customHeight="1">
      <c r="A470" s="23">
        <v>468</v>
      </c>
      <c r="B470" s="24" t="s">
        <v>962</v>
      </c>
      <c r="C470" s="24" t="s">
        <v>963</v>
      </c>
      <c r="D470" s="24"/>
      <c r="E470" s="25"/>
      <c r="F470" s="25"/>
      <c r="G470" s="25"/>
      <c r="H470" s="25"/>
      <c r="I470" s="25"/>
      <c r="J470" s="25"/>
      <c r="K470" s="25"/>
      <c r="L470" s="25"/>
      <c r="M470" s="25"/>
      <c r="N470" s="25">
        <v>50</v>
      </c>
      <c r="O470" s="25"/>
      <c r="P470" s="25"/>
      <c r="Q470" s="22">
        <f t="shared" si="7"/>
        <v>50</v>
      </c>
    </row>
    <row r="471" spans="1:17" ht="15.75" customHeight="1">
      <c r="A471" s="19">
        <v>469</v>
      </c>
      <c r="B471" s="20" t="s">
        <v>964</v>
      </c>
      <c r="C471" s="20" t="s">
        <v>965</v>
      </c>
      <c r="D471" s="20"/>
      <c r="E471" s="21"/>
      <c r="F471" s="21"/>
      <c r="G471" s="21">
        <v>100</v>
      </c>
      <c r="H471" s="21"/>
      <c r="I471" s="21"/>
      <c r="J471" s="21"/>
      <c r="K471" s="21"/>
      <c r="L471" s="21"/>
      <c r="M471" s="21"/>
      <c r="N471" s="21"/>
      <c r="O471" s="21"/>
      <c r="P471" s="21"/>
      <c r="Q471" s="22">
        <f t="shared" si="7"/>
        <v>100</v>
      </c>
    </row>
    <row r="472" spans="1:17" ht="15.75" customHeight="1">
      <c r="A472" s="23">
        <v>470</v>
      </c>
      <c r="B472" s="24" t="s">
        <v>966</v>
      </c>
      <c r="C472" s="24" t="s">
        <v>967</v>
      </c>
      <c r="D472" s="24"/>
      <c r="E472" s="25"/>
      <c r="F472" s="25"/>
      <c r="G472" s="25"/>
      <c r="H472" s="25"/>
      <c r="I472" s="25"/>
      <c r="J472" s="25"/>
      <c r="K472" s="25"/>
      <c r="L472" s="25"/>
      <c r="M472" s="25">
        <v>30</v>
      </c>
      <c r="N472" s="25"/>
      <c r="O472" s="25"/>
      <c r="P472" s="25"/>
      <c r="Q472" s="22">
        <f t="shared" si="7"/>
        <v>30</v>
      </c>
    </row>
    <row r="473" spans="1:17" ht="15.75" customHeight="1">
      <c r="A473" s="19">
        <v>471</v>
      </c>
      <c r="B473" s="20" t="s">
        <v>968</v>
      </c>
      <c r="C473" s="20" t="s">
        <v>969</v>
      </c>
      <c r="D473" s="20"/>
      <c r="E473" s="21">
        <v>1</v>
      </c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2">
        <f t="shared" si="7"/>
        <v>1</v>
      </c>
    </row>
    <row r="474" spans="1:17" ht="15.75" customHeight="1">
      <c r="A474" s="23">
        <v>472</v>
      </c>
      <c r="B474" s="24" t="s">
        <v>970</v>
      </c>
      <c r="C474" s="24" t="s">
        <v>971</v>
      </c>
      <c r="D474" s="24"/>
      <c r="E474" s="25"/>
      <c r="F474" s="25"/>
      <c r="G474" s="25"/>
      <c r="H474" s="25"/>
      <c r="I474" s="25">
        <v>4</v>
      </c>
      <c r="J474" s="25"/>
      <c r="K474" s="25"/>
      <c r="L474" s="25"/>
      <c r="M474" s="25"/>
      <c r="N474" s="25"/>
      <c r="O474" s="25"/>
      <c r="P474" s="25"/>
      <c r="Q474" s="22">
        <f t="shared" si="7"/>
        <v>4</v>
      </c>
    </row>
    <row r="475" spans="1:17" ht="15.75" customHeight="1">
      <c r="A475" s="19">
        <v>473</v>
      </c>
      <c r="B475" s="20" t="s">
        <v>972</v>
      </c>
      <c r="C475" s="20" t="s">
        <v>973</v>
      </c>
      <c r="D475" s="20" t="s">
        <v>974</v>
      </c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>
        <v>100</v>
      </c>
      <c r="P475" s="21"/>
      <c r="Q475" s="22">
        <f t="shared" si="7"/>
        <v>100</v>
      </c>
    </row>
    <row r="476" spans="1:17" ht="15.75" customHeight="1">
      <c r="A476" s="23">
        <v>474</v>
      </c>
      <c r="B476" s="24" t="s">
        <v>975</v>
      </c>
      <c r="C476" s="24" t="s">
        <v>976</v>
      </c>
      <c r="D476" s="24" t="s">
        <v>977</v>
      </c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>
        <v>100</v>
      </c>
      <c r="P476" s="25"/>
      <c r="Q476" s="22">
        <f t="shared" si="7"/>
        <v>100</v>
      </c>
    </row>
    <row r="477" spans="1:17" ht="15.75" customHeight="1">
      <c r="A477" s="19">
        <v>475</v>
      </c>
      <c r="B477" s="20" t="s">
        <v>978</v>
      </c>
      <c r="C477" s="20" t="s">
        <v>979</v>
      </c>
      <c r="D477" s="20"/>
      <c r="E477" s="21"/>
      <c r="F477" s="21"/>
      <c r="G477" s="21"/>
      <c r="H477" s="21"/>
      <c r="I477" s="21"/>
      <c r="J477" s="21"/>
      <c r="K477" s="21">
        <v>4</v>
      </c>
      <c r="L477" s="21"/>
      <c r="M477" s="21"/>
      <c r="N477" s="21">
        <v>5</v>
      </c>
      <c r="O477" s="21">
        <v>2</v>
      </c>
      <c r="P477" s="21"/>
      <c r="Q477" s="22">
        <f t="shared" si="7"/>
        <v>11</v>
      </c>
    </row>
    <row r="478" spans="1:17" ht="15.75" customHeight="1">
      <c r="A478" s="23">
        <v>476</v>
      </c>
      <c r="B478" s="24" t="s">
        <v>980</v>
      </c>
      <c r="C478" s="24" t="s">
        <v>981</v>
      </c>
      <c r="D478" s="24"/>
      <c r="E478" s="25"/>
      <c r="F478" s="25"/>
      <c r="G478" s="25"/>
      <c r="H478" s="25"/>
      <c r="I478" s="25"/>
      <c r="J478" s="25"/>
      <c r="K478" s="25">
        <v>4</v>
      </c>
      <c r="L478" s="25"/>
      <c r="M478" s="25"/>
      <c r="N478" s="25"/>
      <c r="O478" s="25"/>
      <c r="P478" s="25"/>
      <c r="Q478" s="22">
        <f t="shared" si="7"/>
        <v>4</v>
      </c>
    </row>
    <row r="479" spans="1:17" ht="15.75" customHeight="1">
      <c r="A479" s="19">
        <v>477</v>
      </c>
      <c r="B479" s="20" t="s">
        <v>982</v>
      </c>
      <c r="C479" s="20" t="s">
        <v>983</v>
      </c>
      <c r="D479" s="20"/>
      <c r="E479" s="21">
        <v>10</v>
      </c>
      <c r="F479" s="21"/>
      <c r="G479" s="21"/>
      <c r="H479" s="21"/>
      <c r="I479" s="21"/>
      <c r="J479" s="21"/>
      <c r="K479" s="21"/>
      <c r="L479" s="21"/>
      <c r="M479" s="21"/>
      <c r="N479" s="21">
        <v>10</v>
      </c>
      <c r="O479" s="21"/>
      <c r="P479" s="21"/>
      <c r="Q479" s="22">
        <f t="shared" si="7"/>
        <v>20</v>
      </c>
    </row>
    <row r="480" spans="1:17" ht="15.75" customHeight="1">
      <c r="A480" s="23">
        <v>478</v>
      </c>
      <c r="B480" s="24" t="s">
        <v>984</v>
      </c>
      <c r="C480" s="24" t="s">
        <v>367</v>
      </c>
      <c r="D480" s="24" t="s">
        <v>985</v>
      </c>
      <c r="E480" s="25"/>
      <c r="F480" s="25"/>
      <c r="G480" s="25"/>
      <c r="H480" s="25"/>
      <c r="I480" s="25"/>
      <c r="J480" s="25"/>
      <c r="K480" s="25"/>
      <c r="L480" s="25"/>
      <c r="M480" s="25"/>
      <c r="N480" s="25">
        <v>50</v>
      </c>
      <c r="O480" s="25"/>
      <c r="P480" s="25"/>
      <c r="Q480" s="22">
        <f t="shared" si="7"/>
        <v>50</v>
      </c>
    </row>
    <row r="481" spans="1:17" ht="15.75" customHeight="1">
      <c r="A481" s="19">
        <v>479</v>
      </c>
      <c r="B481" s="20" t="s">
        <v>986</v>
      </c>
      <c r="C481" s="20" t="s">
        <v>370</v>
      </c>
      <c r="D481" s="20" t="s">
        <v>987</v>
      </c>
      <c r="E481" s="21"/>
      <c r="F481" s="21"/>
      <c r="G481" s="21"/>
      <c r="H481" s="21"/>
      <c r="I481" s="21"/>
      <c r="J481" s="21">
        <v>50</v>
      </c>
      <c r="K481" s="21"/>
      <c r="L481" s="21"/>
      <c r="M481" s="21">
        <v>50</v>
      </c>
      <c r="N481" s="21">
        <v>50</v>
      </c>
      <c r="O481" s="21"/>
      <c r="P481" s="21"/>
      <c r="Q481" s="22">
        <f t="shared" si="7"/>
        <v>150</v>
      </c>
    </row>
    <row r="482" spans="1:17" ht="15.75" customHeight="1">
      <c r="A482" s="23">
        <v>480</v>
      </c>
      <c r="B482" s="24" t="s">
        <v>988</v>
      </c>
      <c r="C482" s="24" t="s">
        <v>351</v>
      </c>
      <c r="D482" s="24" t="s">
        <v>989</v>
      </c>
      <c r="E482" s="25"/>
      <c r="F482" s="25"/>
      <c r="G482" s="25"/>
      <c r="H482" s="25"/>
      <c r="I482" s="25"/>
      <c r="J482" s="25"/>
      <c r="K482" s="25"/>
      <c r="L482" s="25"/>
      <c r="M482" s="25"/>
      <c r="N482" s="25">
        <v>50</v>
      </c>
      <c r="O482" s="25"/>
      <c r="P482" s="25"/>
      <c r="Q482" s="22">
        <f t="shared" si="7"/>
        <v>50</v>
      </c>
    </row>
    <row r="483" spans="1:17" ht="15.75" customHeight="1">
      <c r="A483" s="19">
        <v>481</v>
      </c>
      <c r="B483" s="20" t="s">
        <v>990</v>
      </c>
      <c r="C483" s="20" t="s">
        <v>991</v>
      </c>
      <c r="D483" s="20"/>
      <c r="E483" s="21"/>
      <c r="F483" s="21"/>
      <c r="G483" s="21"/>
      <c r="H483" s="21"/>
      <c r="I483" s="21"/>
      <c r="J483" s="21"/>
      <c r="K483" s="21"/>
      <c r="L483" s="21"/>
      <c r="M483" s="21">
        <v>8</v>
      </c>
      <c r="N483" s="21"/>
      <c r="O483" s="21"/>
      <c r="P483" s="21"/>
      <c r="Q483" s="22">
        <f t="shared" si="7"/>
        <v>8</v>
      </c>
    </row>
    <row r="484" spans="1:17" ht="15.75" customHeight="1">
      <c r="A484" s="23">
        <v>482</v>
      </c>
      <c r="B484" s="24" t="s">
        <v>992</v>
      </c>
      <c r="C484" s="24" t="s">
        <v>832</v>
      </c>
      <c r="D484" s="24" t="s">
        <v>993</v>
      </c>
      <c r="E484" s="25"/>
      <c r="F484" s="25">
        <v>100</v>
      </c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2">
        <f t="shared" si="7"/>
        <v>100</v>
      </c>
    </row>
    <row r="485" spans="1:17" ht="15.75" customHeight="1">
      <c r="A485" s="19">
        <v>483</v>
      </c>
      <c r="B485" s="20" t="s">
        <v>994</v>
      </c>
      <c r="C485" s="20" t="s">
        <v>799</v>
      </c>
      <c r="D485" s="20" t="s">
        <v>995</v>
      </c>
      <c r="E485" s="21"/>
      <c r="F485" s="21"/>
      <c r="G485" s="21"/>
      <c r="H485" s="21"/>
      <c r="I485" s="21"/>
      <c r="J485" s="21"/>
      <c r="K485" s="21">
        <v>30</v>
      </c>
      <c r="L485" s="21"/>
      <c r="M485" s="21"/>
      <c r="N485" s="21"/>
      <c r="O485" s="21"/>
      <c r="P485" s="21"/>
      <c r="Q485" s="22">
        <f t="shared" si="7"/>
        <v>30</v>
      </c>
    </row>
    <row r="486" spans="1:17" ht="15.75" customHeight="1">
      <c r="A486" s="23">
        <v>484</v>
      </c>
      <c r="B486" s="24" t="s">
        <v>996</v>
      </c>
      <c r="C486" s="24" t="s">
        <v>823</v>
      </c>
      <c r="D486" s="24" t="s">
        <v>997</v>
      </c>
      <c r="E486" s="25"/>
      <c r="F486" s="25"/>
      <c r="G486" s="25"/>
      <c r="H486" s="25"/>
      <c r="I486" s="25"/>
      <c r="J486" s="25">
        <v>9</v>
      </c>
      <c r="K486" s="25"/>
      <c r="L486" s="25">
        <v>50</v>
      </c>
      <c r="M486" s="25"/>
      <c r="N486" s="25"/>
      <c r="O486" s="25"/>
      <c r="P486" s="25"/>
      <c r="Q486" s="22">
        <f t="shared" si="7"/>
        <v>59</v>
      </c>
    </row>
    <row r="487" spans="1:17" ht="15.75" customHeight="1">
      <c r="A487" s="19">
        <v>485</v>
      </c>
      <c r="B487" s="20" t="s">
        <v>998</v>
      </c>
      <c r="C487" s="20" t="s">
        <v>852</v>
      </c>
      <c r="D487" s="20" t="s">
        <v>999</v>
      </c>
      <c r="E487" s="21"/>
      <c r="F487" s="21">
        <v>100</v>
      </c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2">
        <f t="shared" si="7"/>
        <v>100</v>
      </c>
    </row>
    <row r="488" spans="1:17" ht="15.75" customHeight="1">
      <c r="A488" s="23">
        <v>486</v>
      </c>
      <c r="B488" s="24" t="s">
        <v>1000</v>
      </c>
      <c r="C488" s="24" t="s">
        <v>832</v>
      </c>
      <c r="D488" s="24" t="s">
        <v>1001</v>
      </c>
      <c r="E488" s="25"/>
      <c r="F488" s="25"/>
      <c r="G488" s="25">
        <v>20</v>
      </c>
      <c r="H488" s="25"/>
      <c r="I488" s="25"/>
      <c r="J488" s="25"/>
      <c r="K488" s="25"/>
      <c r="L488" s="25"/>
      <c r="M488" s="25"/>
      <c r="N488" s="25"/>
      <c r="O488" s="25"/>
      <c r="P488" s="25"/>
      <c r="Q488" s="22">
        <f t="shared" si="7"/>
        <v>20</v>
      </c>
    </row>
    <row r="489" spans="1:17" ht="15.75" customHeight="1">
      <c r="A489" s="19">
        <v>487</v>
      </c>
      <c r="B489" s="20" t="s">
        <v>1002</v>
      </c>
      <c r="C489" s="20" t="s">
        <v>799</v>
      </c>
      <c r="D489" s="20" t="s">
        <v>1003</v>
      </c>
      <c r="E489" s="21"/>
      <c r="F489" s="21">
        <v>10</v>
      </c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2">
        <f t="shared" si="7"/>
        <v>10</v>
      </c>
    </row>
    <row r="490" spans="1:17" ht="15.75" customHeight="1">
      <c r="A490" s="23">
        <v>488</v>
      </c>
      <c r="B490" s="24" t="s">
        <v>1004</v>
      </c>
      <c r="C490" s="24" t="s">
        <v>776</v>
      </c>
      <c r="D490" s="24" t="s">
        <v>1005</v>
      </c>
      <c r="E490" s="25"/>
      <c r="F490" s="25"/>
      <c r="G490" s="25">
        <v>30</v>
      </c>
      <c r="H490" s="25"/>
      <c r="I490" s="25"/>
      <c r="J490" s="25"/>
      <c r="K490" s="25"/>
      <c r="L490" s="25"/>
      <c r="M490" s="25"/>
      <c r="N490" s="25"/>
      <c r="O490" s="25"/>
      <c r="P490" s="25"/>
      <c r="Q490" s="22">
        <f t="shared" si="7"/>
        <v>30</v>
      </c>
    </row>
    <row r="491" spans="1:17" ht="15.75" customHeight="1">
      <c r="A491" s="19">
        <v>489</v>
      </c>
      <c r="B491" s="20" t="s">
        <v>1006</v>
      </c>
      <c r="C491" s="20" t="s">
        <v>869</v>
      </c>
      <c r="D491" s="20" t="s">
        <v>1007</v>
      </c>
      <c r="E491" s="21"/>
      <c r="F491" s="21"/>
      <c r="G491" s="21">
        <v>50</v>
      </c>
      <c r="H491" s="21"/>
      <c r="I491" s="21"/>
      <c r="J491" s="21"/>
      <c r="K491" s="21"/>
      <c r="L491" s="21"/>
      <c r="M491" s="21"/>
      <c r="N491" s="21"/>
      <c r="O491" s="21"/>
      <c r="P491" s="21"/>
      <c r="Q491" s="22">
        <f t="shared" si="7"/>
        <v>50</v>
      </c>
    </row>
    <row r="492" spans="1:17" ht="15.75" customHeight="1">
      <c r="A492" s="23">
        <v>490</v>
      </c>
      <c r="B492" s="24" t="s">
        <v>1008</v>
      </c>
      <c r="C492" s="24" t="s">
        <v>779</v>
      </c>
      <c r="D492" s="24" t="s">
        <v>1009</v>
      </c>
      <c r="E492" s="25"/>
      <c r="F492" s="25"/>
      <c r="G492" s="25"/>
      <c r="H492" s="25"/>
      <c r="I492" s="25"/>
      <c r="J492" s="25">
        <v>24</v>
      </c>
      <c r="K492" s="25"/>
      <c r="L492" s="25">
        <v>53</v>
      </c>
      <c r="M492" s="25"/>
      <c r="N492" s="25">
        <v>3</v>
      </c>
      <c r="O492" s="25"/>
      <c r="P492" s="25"/>
      <c r="Q492" s="22">
        <f t="shared" si="7"/>
        <v>80</v>
      </c>
    </row>
    <row r="493" spans="1:17" ht="15.75" customHeight="1">
      <c r="A493" s="19">
        <v>491</v>
      </c>
      <c r="B493" s="20" t="s">
        <v>1010</v>
      </c>
      <c r="C493" s="20" t="s">
        <v>802</v>
      </c>
      <c r="D493" s="20" t="s">
        <v>1011</v>
      </c>
      <c r="E493" s="21"/>
      <c r="F493" s="21"/>
      <c r="G493" s="21"/>
      <c r="H493" s="21"/>
      <c r="I493" s="21"/>
      <c r="J493" s="21">
        <v>36</v>
      </c>
      <c r="K493" s="21">
        <v>4</v>
      </c>
      <c r="L493" s="21">
        <v>7</v>
      </c>
      <c r="M493" s="21"/>
      <c r="N493" s="21">
        <v>2</v>
      </c>
      <c r="O493" s="21">
        <v>30</v>
      </c>
      <c r="P493" s="21">
        <v>76</v>
      </c>
      <c r="Q493" s="22">
        <f t="shared" si="7"/>
        <v>155</v>
      </c>
    </row>
    <row r="494" spans="1:17" ht="15.75" customHeight="1">
      <c r="A494" s="23">
        <v>492</v>
      </c>
      <c r="B494" s="24" t="s">
        <v>1012</v>
      </c>
      <c r="C494" s="24" t="s">
        <v>860</v>
      </c>
      <c r="D494" s="24" t="s">
        <v>1013</v>
      </c>
      <c r="E494" s="25">
        <v>3</v>
      </c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2">
        <f t="shared" si="7"/>
        <v>3</v>
      </c>
    </row>
    <row r="495" spans="1:17" ht="15.75" customHeight="1">
      <c r="A495" s="19">
        <v>493</v>
      </c>
      <c r="B495" s="20" t="s">
        <v>1014</v>
      </c>
      <c r="C495" s="20" t="s">
        <v>776</v>
      </c>
      <c r="D495" s="20" t="s">
        <v>1015</v>
      </c>
      <c r="E495" s="21"/>
      <c r="F495" s="21"/>
      <c r="G495" s="21"/>
      <c r="H495" s="21"/>
      <c r="I495" s="21"/>
      <c r="J495" s="21"/>
      <c r="K495" s="21">
        <v>30</v>
      </c>
      <c r="L495" s="21"/>
      <c r="M495" s="21"/>
      <c r="N495" s="21"/>
      <c r="O495" s="21"/>
      <c r="P495" s="21">
        <v>110</v>
      </c>
      <c r="Q495" s="22">
        <f t="shared" si="7"/>
        <v>140</v>
      </c>
    </row>
    <row r="496" spans="1:17" ht="15.75" customHeight="1">
      <c r="A496" s="23">
        <v>494</v>
      </c>
      <c r="B496" s="24" t="s">
        <v>1016</v>
      </c>
      <c r="C496" s="24" t="s">
        <v>799</v>
      </c>
      <c r="D496" s="24" t="s">
        <v>1017</v>
      </c>
      <c r="E496" s="25"/>
      <c r="F496" s="25"/>
      <c r="G496" s="25"/>
      <c r="H496" s="25"/>
      <c r="I496" s="25"/>
      <c r="J496" s="25"/>
      <c r="K496" s="25">
        <v>30</v>
      </c>
      <c r="L496" s="25"/>
      <c r="M496" s="25"/>
      <c r="N496" s="25"/>
      <c r="O496" s="25">
        <v>50</v>
      </c>
      <c r="P496" s="25">
        <v>30</v>
      </c>
      <c r="Q496" s="22">
        <f t="shared" si="7"/>
        <v>110</v>
      </c>
    </row>
    <row r="497" spans="1:17" ht="15.75" customHeight="1">
      <c r="A497" s="19">
        <v>495</v>
      </c>
      <c r="B497" s="20" t="s">
        <v>1018</v>
      </c>
      <c r="C497" s="20" t="s">
        <v>820</v>
      </c>
      <c r="D497" s="20" t="s">
        <v>1019</v>
      </c>
      <c r="E497" s="21"/>
      <c r="F497" s="21"/>
      <c r="G497" s="21"/>
      <c r="H497" s="21"/>
      <c r="I497" s="21"/>
      <c r="J497" s="21"/>
      <c r="K497" s="21">
        <v>30</v>
      </c>
      <c r="L497" s="21"/>
      <c r="M497" s="21"/>
      <c r="N497" s="21"/>
      <c r="O497" s="21">
        <v>30</v>
      </c>
      <c r="P497" s="21"/>
      <c r="Q497" s="22">
        <f t="shared" si="7"/>
        <v>60</v>
      </c>
    </row>
    <row r="498" spans="1:17" ht="15.75" customHeight="1">
      <c r="A498" s="23">
        <v>496</v>
      </c>
      <c r="B498" s="24" t="s">
        <v>1020</v>
      </c>
      <c r="C498" s="24" t="s">
        <v>832</v>
      </c>
      <c r="D498" s="24" t="s">
        <v>1021</v>
      </c>
      <c r="E498" s="25"/>
      <c r="F498" s="25"/>
      <c r="G498" s="25"/>
      <c r="H498" s="25"/>
      <c r="I498" s="25"/>
      <c r="J498" s="25"/>
      <c r="K498" s="25">
        <v>30</v>
      </c>
      <c r="L498" s="25"/>
      <c r="M498" s="25"/>
      <c r="N498" s="25"/>
      <c r="O498" s="25"/>
      <c r="P498" s="25"/>
      <c r="Q498" s="22">
        <f t="shared" si="7"/>
        <v>30</v>
      </c>
    </row>
    <row r="499" spans="1:17" ht="15.75" customHeight="1">
      <c r="A499" s="19">
        <v>497</v>
      </c>
      <c r="B499" s="20" t="s">
        <v>1022</v>
      </c>
      <c r="C499" s="20" t="s">
        <v>846</v>
      </c>
      <c r="D499" s="20" t="s">
        <v>1023</v>
      </c>
      <c r="E499" s="21"/>
      <c r="F499" s="21"/>
      <c r="G499" s="21">
        <v>40</v>
      </c>
      <c r="H499" s="21"/>
      <c r="I499" s="21"/>
      <c r="J499" s="21"/>
      <c r="K499" s="21"/>
      <c r="L499" s="21"/>
      <c r="M499" s="21"/>
      <c r="N499" s="21"/>
      <c r="O499" s="21"/>
      <c r="P499" s="21"/>
      <c r="Q499" s="22">
        <f t="shared" si="7"/>
        <v>40</v>
      </c>
    </row>
    <row r="500" spans="1:17" ht="15.75" customHeight="1">
      <c r="A500" s="23">
        <v>498</v>
      </c>
      <c r="B500" s="24" t="s">
        <v>1024</v>
      </c>
      <c r="C500" s="24" t="s">
        <v>354</v>
      </c>
      <c r="D500" s="24" t="s">
        <v>1025</v>
      </c>
      <c r="E500" s="25"/>
      <c r="F500" s="25"/>
      <c r="G500" s="25"/>
      <c r="H500" s="25"/>
      <c r="I500" s="25"/>
      <c r="J500" s="25"/>
      <c r="K500" s="25"/>
      <c r="L500" s="25"/>
      <c r="M500" s="25"/>
      <c r="N500" s="25">
        <v>50</v>
      </c>
      <c r="O500" s="25"/>
      <c r="P500" s="25"/>
      <c r="Q500" s="22">
        <f t="shared" si="7"/>
        <v>50</v>
      </c>
    </row>
    <row r="501" spans="1:17" ht="15.75" customHeight="1">
      <c r="A501" s="19">
        <v>499</v>
      </c>
      <c r="B501" s="20" t="s">
        <v>1026</v>
      </c>
      <c r="C501" s="20" t="s">
        <v>568</v>
      </c>
      <c r="D501" s="20" t="s">
        <v>1027</v>
      </c>
      <c r="E501" s="21"/>
      <c r="F501" s="21"/>
      <c r="G501" s="21"/>
      <c r="H501" s="21"/>
      <c r="I501" s="21"/>
      <c r="J501" s="21"/>
      <c r="K501" s="21"/>
      <c r="L501" s="21"/>
      <c r="M501" s="21"/>
      <c r="N501" s="21">
        <v>50</v>
      </c>
      <c r="O501" s="21"/>
      <c r="P501" s="21"/>
      <c r="Q501" s="22">
        <f t="shared" si="7"/>
        <v>50</v>
      </c>
    </row>
    <row r="502" spans="1:17" ht="15.75" customHeight="1">
      <c r="A502" s="23">
        <v>500</v>
      </c>
      <c r="B502" s="24" t="s">
        <v>1028</v>
      </c>
      <c r="C502" s="24" t="s">
        <v>558</v>
      </c>
      <c r="D502" s="24" t="s">
        <v>1029</v>
      </c>
      <c r="E502" s="25"/>
      <c r="F502" s="25"/>
      <c r="G502" s="25"/>
      <c r="H502" s="25"/>
      <c r="I502" s="25"/>
      <c r="J502" s="25"/>
      <c r="K502" s="25"/>
      <c r="L502" s="25"/>
      <c r="M502" s="25">
        <v>50</v>
      </c>
      <c r="N502" s="25">
        <v>50</v>
      </c>
      <c r="O502" s="25"/>
      <c r="P502" s="25"/>
      <c r="Q502" s="22">
        <f t="shared" si="7"/>
        <v>100</v>
      </c>
    </row>
    <row r="503" spans="1:17" ht="15.75" customHeight="1">
      <c r="A503" s="19">
        <v>501</v>
      </c>
      <c r="B503" s="20" t="s">
        <v>1030</v>
      </c>
      <c r="C503" s="20" t="s">
        <v>835</v>
      </c>
      <c r="D503" s="20" t="s">
        <v>1031</v>
      </c>
      <c r="E503" s="21"/>
      <c r="F503" s="21"/>
      <c r="G503" s="21"/>
      <c r="H503" s="21"/>
      <c r="I503" s="21"/>
      <c r="J503" s="21"/>
      <c r="K503" s="21"/>
      <c r="L503" s="21">
        <v>50</v>
      </c>
      <c r="M503" s="21"/>
      <c r="N503" s="21"/>
      <c r="O503" s="21"/>
      <c r="P503" s="21"/>
      <c r="Q503" s="22">
        <f t="shared" si="7"/>
        <v>50</v>
      </c>
    </row>
    <row r="504" spans="1:17" ht="15.75" customHeight="1">
      <c r="A504" s="23">
        <v>502</v>
      </c>
      <c r="B504" s="24" t="s">
        <v>1032</v>
      </c>
      <c r="C504" s="24" t="s">
        <v>1033</v>
      </c>
      <c r="D504" s="24" t="s">
        <v>932</v>
      </c>
      <c r="E504" s="25"/>
      <c r="F504" s="25"/>
      <c r="G504" s="25"/>
      <c r="H504" s="25"/>
      <c r="I504" s="25"/>
      <c r="J504" s="25"/>
      <c r="K504" s="25"/>
      <c r="L504" s="25">
        <v>10</v>
      </c>
      <c r="M504" s="25"/>
      <c r="N504" s="25"/>
      <c r="O504" s="25"/>
      <c r="P504" s="25"/>
      <c r="Q504" s="22">
        <f t="shared" si="7"/>
        <v>10</v>
      </c>
    </row>
    <row r="505" spans="1:17" ht="15.75" customHeight="1">
      <c r="A505" s="19">
        <v>503</v>
      </c>
      <c r="B505" s="20" t="s">
        <v>1034</v>
      </c>
      <c r="C505" s="20" t="s">
        <v>1035</v>
      </c>
      <c r="D505" s="20"/>
      <c r="E505" s="21">
        <v>36</v>
      </c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2">
        <f t="shared" si="7"/>
        <v>36</v>
      </c>
    </row>
    <row r="506" spans="1:17" ht="15.75" customHeight="1">
      <c r="A506" s="23">
        <v>504</v>
      </c>
      <c r="B506" s="24" t="s">
        <v>1036</v>
      </c>
      <c r="C506" s="24" t="s">
        <v>1037</v>
      </c>
      <c r="D506" s="24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>
        <v>50</v>
      </c>
      <c r="P506" s="25"/>
      <c r="Q506" s="22">
        <f t="shared" si="7"/>
        <v>50</v>
      </c>
    </row>
    <row r="507" spans="1:17" ht="15.75" customHeight="1">
      <c r="A507" s="19">
        <v>505</v>
      </c>
      <c r="B507" s="20" t="s">
        <v>1038</v>
      </c>
      <c r="C507" s="20" t="s">
        <v>820</v>
      </c>
      <c r="D507" s="20" t="s">
        <v>1039</v>
      </c>
      <c r="E507" s="21"/>
      <c r="F507" s="21">
        <v>1</v>
      </c>
      <c r="G507" s="21"/>
      <c r="H507" s="21">
        <v>4</v>
      </c>
      <c r="I507" s="21"/>
      <c r="J507" s="21"/>
      <c r="K507" s="21"/>
      <c r="L507" s="21"/>
      <c r="M507" s="21"/>
      <c r="N507" s="21"/>
      <c r="O507" s="21"/>
      <c r="P507" s="21"/>
      <c r="Q507" s="22">
        <f t="shared" si="7"/>
        <v>5</v>
      </c>
    </row>
    <row r="508" spans="1:17" ht="15.75" customHeight="1">
      <c r="A508" s="23">
        <v>506</v>
      </c>
      <c r="B508" s="24" t="s">
        <v>1040</v>
      </c>
      <c r="C508" s="24" t="s">
        <v>370</v>
      </c>
      <c r="D508" s="24" t="s">
        <v>1041</v>
      </c>
      <c r="E508" s="25"/>
      <c r="F508" s="25">
        <v>20</v>
      </c>
      <c r="G508" s="25">
        <v>50</v>
      </c>
      <c r="H508" s="25"/>
      <c r="I508" s="25"/>
      <c r="J508" s="25">
        <v>30</v>
      </c>
      <c r="K508" s="25"/>
      <c r="L508" s="25"/>
      <c r="M508" s="25"/>
      <c r="N508" s="25"/>
      <c r="O508" s="25"/>
      <c r="P508" s="25">
        <v>48</v>
      </c>
      <c r="Q508" s="22">
        <f t="shared" si="7"/>
        <v>148</v>
      </c>
    </row>
    <row r="509" spans="1:17" ht="15.75" customHeight="1">
      <c r="A509" s="19">
        <v>507</v>
      </c>
      <c r="B509" s="20" t="s">
        <v>1042</v>
      </c>
      <c r="C509" s="20" t="s">
        <v>351</v>
      </c>
      <c r="D509" s="20" t="s">
        <v>1043</v>
      </c>
      <c r="E509" s="21"/>
      <c r="F509" s="21">
        <v>20</v>
      </c>
      <c r="G509" s="21">
        <v>70</v>
      </c>
      <c r="H509" s="21">
        <v>20</v>
      </c>
      <c r="I509" s="21"/>
      <c r="J509" s="21">
        <v>40</v>
      </c>
      <c r="K509" s="21"/>
      <c r="L509" s="21"/>
      <c r="M509" s="21"/>
      <c r="N509" s="21"/>
      <c r="O509" s="21"/>
      <c r="P509" s="21"/>
      <c r="Q509" s="22">
        <f t="shared" si="7"/>
        <v>150</v>
      </c>
    </row>
    <row r="510" spans="1:17" ht="15.75" customHeight="1">
      <c r="A510" s="23">
        <v>508</v>
      </c>
      <c r="B510" s="24" t="s">
        <v>1044</v>
      </c>
      <c r="C510" s="24" t="s">
        <v>357</v>
      </c>
      <c r="D510" s="24" t="s">
        <v>1045</v>
      </c>
      <c r="E510" s="25"/>
      <c r="F510" s="25">
        <v>20</v>
      </c>
      <c r="G510" s="25">
        <v>30</v>
      </c>
      <c r="H510" s="25"/>
      <c r="I510" s="25"/>
      <c r="J510" s="25">
        <v>40</v>
      </c>
      <c r="K510" s="25"/>
      <c r="L510" s="25"/>
      <c r="M510" s="25"/>
      <c r="N510" s="25"/>
      <c r="O510" s="25"/>
      <c r="P510" s="25"/>
      <c r="Q510" s="22">
        <f t="shared" si="7"/>
        <v>90</v>
      </c>
    </row>
    <row r="511" spans="1:17" ht="15.75" customHeight="1">
      <c r="A511" s="19">
        <v>509</v>
      </c>
      <c r="B511" s="20" t="s">
        <v>1046</v>
      </c>
      <c r="C511" s="20" t="s">
        <v>354</v>
      </c>
      <c r="D511" s="20" t="s">
        <v>1047</v>
      </c>
      <c r="E511" s="21"/>
      <c r="F511" s="21">
        <v>20</v>
      </c>
      <c r="G511" s="21">
        <v>20</v>
      </c>
      <c r="H511" s="21"/>
      <c r="I511" s="21"/>
      <c r="J511" s="21">
        <v>20</v>
      </c>
      <c r="K511" s="21"/>
      <c r="L511" s="21"/>
      <c r="M511" s="21"/>
      <c r="N511" s="21"/>
      <c r="O511" s="21"/>
      <c r="P511" s="21"/>
      <c r="Q511" s="22">
        <f t="shared" si="7"/>
        <v>60</v>
      </c>
    </row>
    <row r="512" spans="1:17" ht="15.75" customHeight="1">
      <c r="A512" s="23">
        <v>510</v>
      </c>
      <c r="B512" s="24" t="s">
        <v>1048</v>
      </c>
      <c r="C512" s="24" t="s">
        <v>582</v>
      </c>
      <c r="D512" s="24" t="s">
        <v>1049</v>
      </c>
      <c r="E512" s="25"/>
      <c r="F512" s="25">
        <v>20</v>
      </c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2">
        <f t="shared" si="7"/>
        <v>20</v>
      </c>
    </row>
    <row r="513" spans="1:17" ht="15.75" customHeight="1">
      <c r="A513" s="19">
        <v>511</v>
      </c>
      <c r="B513" s="20" t="s">
        <v>1050</v>
      </c>
      <c r="C513" s="20" t="s">
        <v>591</v>
      </c>
      <c r="D513" s="20" t="s">
        <v>1051</v>
      </c>
      <c r="E513" s="21">
        <v>1</v>
      </c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2">
        <f t="shared" si="7"/>
        <v>1</v>
      </c>
    </row>
    <row r="514" spans="1:17" ht="15.75" customHeight="1">
      <c r="A514" s="23">
        <v>512</v>
      </c>
      <c r="B514" s="24" t="s">
        <v>1052</v>
      </c>
      <c r="C514" s="24" t="s">
        <v>480</v>
      </c>
      <c r="D514" s="24" t="s">
        <v>1053</v>
      </c>
      <c r="E514" s="25"/>
      <c r="F514" s="25"/>
      <c r="G514" s="25"/>
      <c r="H514" s="25"/>
      <c r="I514" s="25"/>
      <c r="J514" s="25">
        <v>20</v>
      </c>
      <c r="K514" s="25"/>
      <c r="L514" s="25"/>
      <c r="M514" s="25"/>
      <c r="N514" s="25"/>
      <c r="O514" s="25"/>
      <c r="P514" s="25"/>
      <c r="Q514" s="22">
        <f t="shared" si="7"/>
        <v>20</v>
      </c>
    </row>
    <row r="515" spans="1:17" ht="15.75" customHeight="1">
      <c r="A515" s="19">
        <v>513</v>
      </c>
      <c r="B515" s="20" t="s">
        <v>1054</v>
      </c>
      <c r="C515" s="20" t="s">
        <v>1055</v>
      </c>
      <c r="D515" s="20"/>
      <c r="E515" s="21"/>
      <c r="F515" s="21"/>
      <c r="G515" s="21">
        <v>2</v>
      </c>
      <c r="H515" s="21"/>
      <c r="I515" s="21"/>
      <c r="J515" s="21"/>
      <c r="K515" s="21"/>
      <c r="L515" s="21"/>
      <c r="M515" s="21"/>
      <c r="N515" s="21">
        <v>8</v>
      </c>
      <c r="O515" s="21">
        <v>4</v>
      </c>
      <c r="P515" s="21"/>
      <c r="Q515" s="22">
        <f t="shared" ref="Q515:Q578" si="8">SUM(E515:P515)</f>
        <v>14</v>
      </c>
    </row>
    <row r="516" spans="1:17" ht="15.75" customHeight="1">
      <c r="A516" s="23">
        <v>514</v>
      </c>
      <c r="B516" s="24" t="s">
        <v>1056</v>
      </c>
      <c r="C516" s="24" t="s">
        <v>1057</v>
      </c>
      <c r="D516" s="24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>
        <v>40</v>
      </c>
      <c r="P516" s="25"/>
      <c r="Q516" s="22">
        <f t="shared" si="8"/>
        <v>40</v>
      </c>
    </row>
    <row r="517" spans="1:17" ht="15.75" customHeight="1">
      <c r="A517" s="19">
        <v>515</v>
      </c>
      <c r="B517" s="20" t="s">
        <v>1058</v>
      </c>
      <c r="C517" s="20" t="s">
        <v>1059</v>
      </c>
      <c r="D517" s="20"/>
      <c r="E517" s="21"/>
      <c r="F517" s="21"/>
      <c r="G517" s="21"/>
      <c r="H517" s="21"/>
      <c r="I517" s="21"/>
      <c r="J517" s="21">
        <v>7</v>
      </c>
      <c r="K517" s="21">
        <v>1</v>
      </c>
      <c r="L517" s="21"/>
      <c r="M517" s="21"/>
      <c r="N517" s="21"/>
      <c r="O517" s="21"/>
      <c r="P517" s="21"/>
      <c r="Q517" s="22">
        <f t="shared" si="8"/>
        <v>8</v>
      </c>
    </row>
    <row r="518" spans="1:17" ht="15.75" customHeight="1">
      <c r="A518" s="23">
        <v>516</v>
      </c>
      <c r="B518" s="24" t="s">
        <v>1060</v>
      </c>
      <c r="C518" s="24" t="s">
        <v>744</v>
      </c>
      <c r="D518" s="24" t="s">
        <v>1061</v>
      </c>
      <c r="E518" s="25"/>
      <c r="F518" s="25"/>
      <c r="G518" s="25"/>
      <c r="H518" s="25"/>
      <c r="I518" s="25"/>
      <c r="J518" s="25"/>
      <c r="K518" s="25"/>
      <c r="L518" s="25"/>
      <c r="M518" s="25"/>
      <c r="N518" s="25">
        <v>50</v>
      </c>
      <c r="O518" s="25"/>
      <c r="P518" s="25"/>
      <c r="Q518" s="22">
        <f t="shared" si="8"/>
        <v>50</v>
      </c>
    </row>
    <row r="519" spans="1:17" ht="15.75" customHeight="1">
      <c r="A519" s="19">
        <v>517</v>
      </c>
      <c r="B519" s="20" t="s">
        <v>1062</v>
      </c>
      <c r="C519" s="20" t="s">
        <v>1063</v>
      </c>
      <c r="D519" s="20"/>
      <c r="E519" s="21"/>
      <c r="F519" s="21"/>
      <c r="G519" s="21">
        <v>200</v>
      </c>
      <c r="H519" s="21"/>
      <c r="I519" s="21"/>
      <c r="J519" s="21"/>
      <c r="K519" s="21"/>
      <c r="L519" s="21"/>
      <c r="M519" s="21"/>
      <c r="N519" s="21"/>
      <c r="O519" s="21">
        <v>100</v>
      </c>
      <c r="P519" s="21"/>
      <c r="Q519" s="22">
        <f t="shared" si="8"/>
        <v>300</v>
      </c>
    </row>
    <row r="520" spans="1:17" ht="15.75" customHeight="1">
      <c r="A520" s="23">
        <v>518</v>
      </c>
      <c r="B520" s="24" t="s">
        <v>1064</v>
      </c>
      <c r="C520" s="24" t="s">
        <v>899</v>
      </c>
      <c r="D520" s="24" t="s">
        <v>1065</v>
      </c>
      <c r="E520" s="25"/>
      <c r="F520" s="25"/>
      <c r="G520" s="25">
        <v>50</v>
      </c>
      <c r="H520" s="25"/>
      <c r="I520" s="25"/>
      <c r="J520" s="25"/>
      <c r="K520" s="25"/>
      <c r="L520" s="25"/>
      <c r="M520" s="25"/>
      <c r="N520" s="25"/>
      <c r="O520" s="25"/>
      <c r="P520" s="25"/>
      <c r="Q520" s="22">
        <f t="shared" si="8"/>
        <v>50</v>
      </c>
    </row>
    <row r="521" spans="1:17" ht="15.75" customHeight="1">
      <c r="A521" s="19">
        <v>519</v>
      </c>
      <c r="B521" s="20" t="s">
        <v>1066</v>
      </c>
      <c r="C521" s="20" t="s">
        <v>899</v>
      </c>
      <c r="D521" s="20" t="s">
        <v>1067</v>
      </c>
      <c r="E521" s="21"/>
      <c r="F521" s="21"/>
      <c r="G521" s="21"/>
      <c r="H521" s="21"/>
      <c r="I521" s="21"/>
      <c r="J521" s="21">
        <v>438</v>
      </c>
      <c r="K521" s="21"/>
      <c r="L521" s="21"/>
      <c r="M521" s="21"/>
      <c r="N521" s="21"/>
      <c r="O521" s="21">
        <v>15</v>
      </c>
      <c r="P521" s="21"/>
      <c r="Q521" s="22">
        <f t="shared" si="8"/>
        <v>453</v>
      </c>
    </row>
    <row r="522" spans="1:17" ht="15.75" customHeight="1">
      <c r="A522" s="23">
        <v>520</v>
      </c>
      <c r="B522" s="24" t="s">
        <v>1068</v>
      </c>
      <c r="C522" s="24" t="s">
        <v>1069</v>
      </c>
      <c r="D522" s="24"/>
      <c r="E522" s="25"/>
      <c r="F522" s="25"/>
      <c r="G522" s="25"/>
      <c r="H522" s="25"/>
      <c r="I522" s="25"/>
      <c r="J522" s="25">
        <v>3</v>
      </c>
      <c r="K522" s="25"/>
      <c r="L522" s="25"/>
      <c r="M522" s="25"/>
      <c r="N522" s="25"/>
      <c r="O522" s="25"/>
      <c r="P522" s="25"/>
      <c r="Q522" s="22">
        <f t="shared" si="8"/>
        <v>3</v>
      </c>
    </row>
    <row r="523" spans="1:17" ht="15.75" customHeight="1">
      <c r="A523" s="19">
        <v>521</v>
      </c>
      <c r="B523" s="20" t="s">
        <v>1070</v>
      </c>
      <c r="C523" s="20" t="s">
        <v>620</v>
      </c>
      <c r="D523" s="20" t="s">
        <v>1071</v>
      </c>
      <c r="E523" s="21"/>
      <c r="F523" s="21"/>
      <c r="G523" s="21"/>
      <c r="H523" s="21"/>
      <c r="I523" s="21"/>
      <c r="J523" s="21"/>
      <c r="K523" s="21"/>
      <c r="L523" s="21"/>
      <c r="M523" s="21">
        <v>50</v>
      </c>
      <c r="N523" s="21">
        <v>50</v>
      </c>
      <c r="O523" s="21"/>
      <c r="P523" s="21"/>
      <c r="Q523" s="22">
        <f t="shared" si="8"/>
        <v>100</v>
      </c>
    </row>
    <row r="524" spans="1:17" ht="15.75" customHeight="1">
      <c r="A524" s="23">
        <v>522</v>
      </c>
      <c r="B524" s="24" t="s">
        <v>1072</v>
      </c>
      <c r="C524" s="24" t="s">
        <v>1073</v>
      </c>
      <c r="D524" s="24"/>
      <c r="E524" s="25"/>
      <c r="F524" s="25"/>
      <c r="G524" s="25"/>
      <c r="H524" s="25"/>
      <c r="I524" s="25"/>
      <c r="J524" s="25">
        <v>3</v>
      </c>
      <c r="K524" s="25"/>
      <c r="L524" s="25"/>
      <c r="M524" s="25"/>
      <c r="N524" s="25"/>
      <c r="O524" s="25"/>
      <c r="P524" s="25"/>
      <c r="Q524" s="22">
        <f t="shared" si="8"/>
        <v>3</v>
      </c>
    </row>
    <row r="525" spans="1:17" ht="15.75" customHeight="1">
      <c r="A525" s="19">
        <v>523</v>
      </c>
      <c r="B525" s="20" t="s">
        <v>1074</v>
      </c>
      <c r="C525" s="20" t="s">
        <v>1075</v>
      </c>
      <c r="D525" s="20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>
        <v>7</v>
      </c>
      <c r="Q525" s="22">
        <f t="shared" si="8"/>
        <v>7</v>
      </c>
    </row>
    <row r="526" spans="1:17" ht="15.75" customHeight="1">
      <c r="A526" s="23">
        <v>524</v>
      </c>
      <c r="B526" s="24" t="s">
        <v>1076</v>
      </c>
      <c r="C526" s="24" t="s">
        <v>779</v>
      </c>
      <c r="D526" s="24" t="s">
        <v>1077</v>
      </c>
      <c r="E526" s="25">
        <v>1</v>
      </c>
      <c r="F526" s="25"/>
      <c r="G526" s="25">
        <v>100</v>
      </c>
      <c r="H526" s="25"/>
      <c r="I526" s="25"/>
      <c r="J526" s="25"/>
      <c r="K526" s="25"/>
      <c r="L526" s="25"/>
      <c r="M526" s="25"/>
      <c r="N526" s="25"/>
      <c r="O526" s="25"/>
      <c r="P526" s="25"/>
      <c r="Q526" s="22">
        <f t="shared" si="8"/>
        <v>101</v>
      </c>
    </row>
    <row r="527" spans="1:17" ht="15.75" customHeight="1">
      <c r="A527" s="19">
        <v>525</v>
      </c>
      <c r="B527" s="20" t="s">
        <v>1078</v>
      </c>
      <c r="C527" s="20" t="s">
        <v>1079</v>
      </c>
      <c r="D527" s="20" t="s">
        <v>1080</v>
      </c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>
        <v>50</v>
      </c>
      <c r="Q527" s="22">
        <f t="shared" si="8"/>
        <v>50</v>
      </c>
    </row>
    <row r="528" spans="1:17" ht="15.75" customHeight="1">
      <c r="A528" s="23">
        <v>526</v>
      </c>
      <c r="B528" s="24" t="s">
        <v>1081</v>
      </c>
      <c r="C528" s="24" t="s">
        <v>814</v>
      </c>
      <c r="D528" s="24" t="s">
        <v>1082</v>
      </c>
      <c r="E528" s="25">
        <v>500</v>
      </c>
      <c r="F528" s="25">
        <v>5020</v>
      </c>
      <c r="G528" s="25"/>
      <c r="H528" s="25"/>
      <c r="I528" s="25"/>
      <c r="J528" s="25"/>
      <c r="K528" s="25">
        <v>400</v>
      </c>
      <c r="L528" s="25"/>
      <c r="M528" s="25"/>
      <c r="N528" s="25">
        <v>80</v>
      </c>
      <c r="O528" s="25"/>
      <c r="P528" s="25">
        <v>120</v>
      </c>
      <c r="Q528" s="22">
        <f t="shared" si="8"/>
        <v>6120</v>
      </c>
    </row>
    <row r="529" spans="1:17" ht="15.75" customHeight="1">
      <c r="A529" s="19">
        <v>527</v>
      </c>
      <c r="B529" s="20" t="s">
        <v>1083</v>
      </c>
      <c r="C529" s="20" t="s">
        <v>841</v>
      </c>
      <c r="D529" s="20" t="s">
        <v>1084</v>
      </c>
      <c r="E529" s="21">
        <v>300</v>
      </c>
      <c r="F529" s="21">
        <v>550</v>
      </c>
      <c r="G529" s="21">
        <v>100</v>
      </c>
      <c r="H529" s="21"/>
      <c r="I529" s="21"/>
      <c r="J529" s="21"/>
      <c r="K529" s="21"/>
      <c r="L529" s="21"/>
      <c r="M529" s="21"/>
      <c r="N529" s="21">
        <v>120</v>
      </c>
      <c r="O529" s="21">
        <v>1450</v>
      </c>
      <c r="P529" s="21">
        <v>780</v>
      </c>
      <c r="Q529" s="22">
        <f t="shared" si="8"/>
        <v>3300</v>
      </c>
    </row>
    <row r="530" spans="1:17" ht="15.75" customHeight="1">
      <c r="A530" s="23">
        <v>528</v>
      </c>
      <c r="B530" s="24" t="s">
        <v>1085</v>
      </c>
      <c r="C530" s="24" t="s">
        <v>869</v>
      </c>
      <c r="D530" s="24" t="s">
        <v>1086</v>
      </c>
      <c r="E530" s="25"/>
      <c r="F530" s="25">
        <v>280</v>
      </c>
      <c r="G530" s="25"/>
      <c r="H530" s="25"/>
      <c r="I530" s="25"/>
      <c r="J530" s="25"/>
      <c r="K530" s="25">
        <v>200</v>
      </c>
      <c r="L530" s="25"/>
      <c r="M530" s="25"/>
      <c r="N530" s="25"/>
      <c r="O530" s="25"/>
      <c r="P530" s="25"/>
      <c r="Q530" s="22">
        <f t="shared" si="8"/>
        <v>480</v>
      </c>
    </row>
    <row r="531" spans="1:17" ht="15.75" customHeight="1">
      <c r="A531" s="19">
        <v>529</v>
      </c>
      <c r="B531" s="20" t="s">
        <v>1087</v>
      </c>
      <c r="C531" s="20" t="s">
        <v>814</v>
      </c>
      <c r="D531" s="20" t="s">
        <v>1088</v>
      </c>
      <c r="E531" s="21"/>
      <c r="F531" s="21">
        <v>2720</v>
      </c>
      <c r="G531" s="21">
        <v>1850</v>
      </c>
      <c r="H531" s="21"/>
      <c r="I531" s="21">
        <v>1000</v>
      </c>
      <c r="J531" s="21"/>
      <c r="K531" s="21">
        <v>3890</v>
      </c>
      <c r="L531" s="21">
        <v>2700</v>
      </c>
      <c r="M531" s="21"/>
      <c r="N531" s="21">
        <v>1000</v>
      </c>
      <c r="O531" s="21">
        <v>1000</v>
      </c>
      <c r="P531" s="21"/>
      <c r="Q531" s="22">
        <f t="shared" si="8"/>
        <v>14160</v>
      </c>
    </row>
    <row r="532" spans="1:17" ht="15.75" customHeight="1">
      <c r="A532" s="23">
        <v>530</v>
      </c>
      <c r="B532" s="24" t="s">
        <v>1089</v>
      </c>
      <c r="C532" s="24" t="s">
        <v>841</v>
      </c>
      <c r="D532" s="24" t="s">
        <v>1090</v>
      </c>
      <c r="E532" s="25"/>
      <c r="F532" s="25"/>
      <c r="G532" s="25">
        <v>1100</v>
      </c>
      <c r="H532" s="25">
        <v>1000</v>
      </c>
      <c r="I532" s="25"/>
      <c r="J532" s="25"/>
      <c r="K532" s="25"/>
      <c r="L532" s="25"/>
      <c r="M532" s="25"/>
      <c r="N532" s="25">
        <v>1000</v>
      </c>
      <c r="O532" s="25">
        <v>1000</v>
      </c>
      <c r="P532" s="25"/>
      <c r="Q532" s="22">
        <f t="shared" si="8"/>
        <v>4100</v>
      </c>
    </row>
    <row r="533" spans="1:17" ht="15.75" customHeight="1">
      <c r="A533" s="19">
        <v>531</v>
      </c>
      <c r="B533" s="20" t="s">
        <v>1091</v>
      </c>
      <c r="C533" s="20" t="s">
        <v>869</v>
      </c>
      <c r="D533" s="20" t="s">
        <v>1092</v>
      </c>
      <c r="E533" s="21"/>
      <c r="F533" s="21">
        <v>700</v>
      </c>
      <c r="G533" s="21">
        <v>5100</v>
      </c>
      <c r="H533" s="21">
        <v>1000</v>
      </c>
      <c r="I533" s="21">
        <v>2000</v>
      </c>
      <c r="J533" s="21"/>
      <c r="K533" s="21">
        <v>2300</v>
      </c>
      <c r="L533" s="21">
        <v>1750</v>
      </c>
      <c r="M533" s="21">
        <v>1000</v>
      </c>
      <c r="N533" s="21">
        <v>4500</v>
      </c>
      <c r="O533" s="21">
        <v>6000</v>
      </c>
      <c r="P533" s="21"/>
      <c r="Q533" s="22">
        <f t="shared" si="8"/>
        <v>24350</v>
      </c>
    </row>
    <row r="534" spans="1:17" ht="15.75" customHeight="1">
      <c r="A534" s="23">
        <v>532</v>
      </c>
      <c r="B534" s="24" t="s">
        <v>1093</v>
      </c>
      <c r="C534" s="24" t="s">
        <v>841</v>
      </c>
      <c r="D534" s="24" t="s">
        <v>1094</v>
      </c>
      <c r="E534" s="25">
        <v>10</v>
      </c>
      <c r="F534" s="25"/>
      <c r="G534" s="25">
        <v>10</v>
      </c>
      <c r="H534" s="25"/>
      <c r="I534" s="25"/>
      <c r="J534" s="25"/>
      <c r="K534" s="25"/>
      <c r="L534" s="25"/>
      <c r="M534" s="25"/>
      <c r="N534" s="25"/>
      <c r="O534" s="25"/>
      <c r="P534" s="25">
        <v>500</v>
      </c>
      <c r="Q534" s="22">
        <f t="shared" si="8"/>
        <v>520</v>
      </c>
    </row>
    <row r="535" spans="1:17" ht="15.75" customHeight="1">
      <c r="A535" s="19">
        <v>533</v>
      </c>
      <c r="B535" s="20" t="s">
        <v>1095</v>
      </c>
      <c r="C535" s="20" t="s">
        <v>814</v>
      </c>
      <c r="D535" s="20" t="s">
        <v>1096</v>
      </c>
      <c r="E535" s="21">
        <v>10</v>
      </c>
      <c r="F535" s="21"/>
      <c r="G535" s="21">
        <v>2010</v>
      </c>
      <c r="H535" s="21"/>
      <c r="I535" s="21"/>
      <c r="J535" s="21"/>
      <c r="K535" s="21"/>
      <c r="L535" s="21"/>
      <c r="M535" s="21"/>
      <c r="N535" s="21"/>
      <c r="O535" s="21"/>
      <c r="P535" s="21">
        <v>500</v>
      </c>
      <c r="Q535" s="22">
        <f t="shared" si="8"/>
        <v>2520</v>
      </c>
    </row>
    <row r="536" spans="1:17" ht="15.75" customHeight="1">
      <c r="A536" s="23">
        <v>534</v>
      </c>
      <c r="B536" s="24" t="s">
        <v>1097</v>
      </c>
      <c r="C536" s="24" t="s">
        <v>869</v>
      </c>
      <c r="D536" s="24" t="s">
        <v>1098</v>
      </c>
      <c r="E536" s="25">
        <v>12</v>
      </c>
      <c r="F536" s="25"/>
      <c r="G536" s="25">
        <v>10</v>
      </c>
      <c r="H536" s="25"/>
      <c r="I536" s="25"/>
      <c r="J536" s="25"/>
      <c r="K536" s="25"/>
      <c r="L536" s="25"/>
      <c r="M536" s="25"/>
      <c r="N536" s="25"/>
      <c r="O536" s="25"/>
      <c r="P536" s="25"/>
      <c r="Q536" s="22">
        <f t="shared" si="8"/>
        <v>22</v>
      </c>
    </row>
    <row r="537" spans="1:17" ht="15.75" customHeight="1">
      <c r="A537" s="19">
        <v>535</v>
      </c>
      <c r="B537" s="20" t="s">
        <v>1099</v>
      </c>
      <c r="C537" s="20" t="s">
        <v>370</v>
      </c>
      <c r="D537" s="20" t="s">
        <v>1100</v>
      </c>
      <c r="E537" s="21">
        <v>1000</v>
      </c>
      <c r="F537" s="21"/>
      <c r="G537" s="21"/>
      <c r="H537" s="21"/>
      <c r="I537" s="21"/>
      <c r="J537" s="21">
        <v>450</v>
      </c>
      <c r="K537" s="21"/>
      <c r="L537" s="21"/>
      <c r="M537" s="21"/>
      <c r="N537" s="21"/>
      <c r="O537" s="21"/>
      <c r="P537" s="21"/>
      <c r="Q537" s="22">
        <f t="shared" si="8"/>
        <v>1450</v>
      </c>
    </row>
    <row r="538" spans="1:17" ht="15.75" customHeight="1">
      <c r="A538" s="23">
        <v>536</v>
      </c>
      <c r="B538" s="24" t="s">
        <v>1101</v>
      </c>
      <c r="C538" s="24" t="s">
        <v>600</v>
      </c>
      <c r="D538" s="24" t="s">
        <v>1102</v>
      </c>
      <c r="E538" s="25"/>
      <c r="F538" s="25"/>
      <c r="G538" s="25"/>
      <c r="H538" s="25"/>
      <c r="I538" s="25"/>
      <c r="J538" s="25"/>
      <c r="K538" s="25"/>
      <c r="L538" s="25"/>
      <c r="M538" s="25"/>
      <c r="N538" s="25">
        <v>50</v>
      </c>
      <c r="O538" s="25"/>
      <c r="P538" s="25"/>
      <c r="Q538" s="22">
        <f t="shared" si="8"/>
        <v>50</v>
      </c>
    </row>
    <row r="539" spans="1:17" ht="15.75" customHeight="1">
      <c r="A539" s="19">
        <v>537</v>
      </c>
      <c r="B539" s="20" t="s">
        <v>1103</v>
      </c>
      <c r="C539" s="20" t="s">
        <v>720</v>
      </c>
      <c r="D539" s="27" t="s">
        <v>1104</v>
      </c>
      <c r="E539" s="21"/>
      <c r="F539" s="21"/>
      <c r="G539" s="21"/>
      <c r="H539" s="21"/>
      <c r="I539" s="21"/>
      <c r="J539" s="21"/>
      <c r="K539" s="21"/>
      <c r="L539" s="21"/>
      <c r="M539" s="21"/>
      <c r="N539" s="21">
        <v>50</v>
      </c>
      <c r="O539" s="21"/>
      <c r="P539" s="21"/>
      <c r="Q539" s="22">
        <f t="shared" si="8"/>
        <v>50</v>
      </c>
    </row>
    <row r="540" spans="1:17" ht="15.75" customHeight="1">
      <c r="A540" s="23">
        <v>538</v>
      </c>
      <c r="B540" s="24" t="s">
        <v>1105</v>
      </c>
      <c r="C540" s="24" t="s">
        <v>878</v>
      </c>
      <c r="D540" s="24" t="s">
        <v>1106</v>
      </c>
      <c r="E540" s="25"/>
      <c r="F540" s="25">
        <v>100</v>
      </c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2">
        <f t="shared" si="8"/>
        <v>100</v>
      </c>
    </row>
    <row r="541" spans="1:17" ht="15.75" customHeight="1">
      <c r="A541" s="19">
        <v>539</v>
      </c>
      <c r="B541" s="20" t="s">
        <v>1107</v>
      </c>
      <c r="C541" s="20" t="s">
        <v>1108</v>
      </c>
      <c r="D541" s="20" t="s">
        <v>1109</v>
      </c>
      <c r="E541" s="21"/>
      <c r="F541" s="21"/>
      <c r="G541" s="21"/>
      <c r="H541" s="21"/>
      <c r="I541" s="21">
        <v>20</v>
      </c>
      <c r="J541" s="21"/>
      <c r="K541" s="21"/>
      <c r="L541" s="21"/>
      <c r="M541" s="21"/>
      <c r="N541" s="21"/>
      <c r="O541" s="21"/>
      <c r="P541" s="21"/>
      <c r="Q541" s="22">
        <f t="shared" si="8"/>
        <v>20</v>
      </c>
    </row>
    <row r="542" spans="1:17" ht="15.75" customHeight="1">
      <c r="A542" s="23">
        <v>540</v>
      </c>
      <c r="B542" s="24" t="s">
        <v>1110</v>
      </c>
      <c r="C542" s="24" t="s">
        <v>835</v>
      </c>
      <c r="D542" s="24" t="s">
        <v>1111</v>
      </c>
      <c r="E542" s="25"/>
      <c r="F542" s="25"/>
      <c r="G542" s="25">
        <v>50</v>
      </c>
      <c r="H542" s="25"/>
      <c r="I542" s="25"/>
      <c r="J542" s="25"/>
      <c r="K542" s="25"/>
      <c r="L542" s="25"/>
      <c r="M542" s="25"/>
      <c r="N542" s="25"/>
      <c r="O542" s="25"/>
      <c r="P542" s="25"/>
      <c r="Q542" s="22">
        <f t="shared" si="8"/>
        <v>50</v>
      </c>
    </row>
    <row r="543" spans="1:17" ht="15.75" customHeight="1">
      <c r="A543" s="19">
        <v>541</v>
      </c>
      <c r="B543" s="20" t="s">
        <v>1112</v>
      </c>
      <c r="C543" s="20" t="s">
        <v>574</v>
      </c>
      <c r="D543" s="20" t="s">
        <v>1113</v>
      </c>
      <c r="E543" s="21"/>
      <c r="F543" s="21"/>
      <c r="G543" s="21"/>
      <c r="H543" s="21"/>
      <c r="I543" s="21"/>
      <c r="J543" s="21"/>
      <c r="K543" s="21"/>
      <c r="L543" s="21"/>
      <c r="M543" s="21"/>
      <c r="N543" s="21">
        <v>8</v>
      </c>
      <c r="O543" s="21"/>
      <c r="P543" s="21"/>
      <c r="Q543" s="22">
        <f t="shared" si="8"/>
        <v>8</v>
      </c>
    </row>
    <row r="544" spans="1:17" ht="15.75" customHeight="1">
      <c r="A544" s="23">
        <v>542</v>
      </c>
      <c r="B544" s="24" t="s">
        <v>1114</v>
      </c>
      <c r="C544" s="24" t="s">
        <v>558</v>
      </c>
      <c r="D544" s="24" t="s">
        <v>1115</v>
      </c>
      <c r="E544" s="25"/>
      <c r="F544" s="25"/>
      <c r="G544" s="25"/>
      <c r="H544" s="25"/>
      <c r="I544" s="25"/>
      <c r="J544" s="25">
        <v>11</v>
      </c>
      <c r="K544" s="25"/>
      <c r="L544" s="25"/>
      <c r="M544" s="25"/>
      <c r="N544" s="25"/>
      <c r="O544" s="25"/>
      <c r="P544" s="25">
        <v>13</v>
      </c>
      <c r="Q544" s="22">
        <f t="shared" si="8"/>
        <v>24</v>
      </c>
    </row>
    <row r="545" spans="1:17" ht="15.75" customHeight="1">
      <c r="A545" s="19">
        <v>543</v>
      </c>
      <c r="B545" s="20" t="s">
        <v>1116</v>
      </c>
      <c r="C545" s="20" t="s">
        <v>1117</v>
      </c>
      <c r="D545" s="20"/>
      <c r="E545" s="21">
        <v>70</v>
      </c>
      <c r="F545" s="21"/>
      <c r="G545" s="21"/>
      <c r="H545" s="21">
        <v>28</v>
      </c>
      <c r="I545" s="21"/>
      <c r="J545" s="21"/>
      <c r="K545" s="21">
        <v>93</v>
      </c>
      <c r="L545" s="21"/>
      <c r="M545" s="21"/>
      <c r="N545" s="21"/>
      <c r="O545" s="21">
        <v>100</v>
      </c>
      <c r="P545" s="21"/>
      <c r="Q545" s="22">
        <f t="shared" si="8"/>
        <v>291</v>
      </c>
    </row>
    <row r="546" spans="1:17" ht="15.75" customHeight="1">
      <c r="A546" s="23">
        <v>544</v>
      </c>
      <c r="B546" s="24" t="s">
        <v>1118</v>
      </c>
      <c r="C546" s="24" t="s">
        <v>370</v>
      </c>
      <c r="D546" s="24" t="s">
        <v>1115</v>
      </c>
      <c r="E546" s="25"/>
      <c r="F546" s="25"/>
      <c r="G546" s="25"/>
      <c r="H546" s="25"/>
      <c r="I546" s="25"/>
      <c r="J546" s="25">
        <v>1</v>
      </c>
      <c r="K546" s="25"/>
      <c r="L546" s="25"/>
      <c r="M546" s="25">
        <v>3</v>
      </c>
      <c r="N546" s="25"/>
      <c r="O546" s="25">
        <v>30</v>
      </c>
      <c r="P546" s="25"/>
      <c r="Q546" s="22">
        <f t="shared" si="8"/>
        <v>34</v>
      </c>
    </row>
    <row r="547" spans="1:17" ht="15.75" customHeight="1">
      <c r="A547" s="19">
        <v>545</v>
      </c>
      <c r="B547" s="20" t="s">
        <v>1119</v>
      </c>
      <c r="C547" s="20" t="s">
        <v>351</v>
      </c>
      <c r="D547" s="20" t="s">
        <v>1115</v>
      </c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>
        <v>30</v>
      </c>
      <c r="P547" s="21"/>
      <c r="Q547" s="22">
        <f t="shared" si="8"/>
        <v>30</v>
      </c>
    </row>
    <row r="548" spans="1:17" ht="15.75" customHeight="1">
      <c r="A548" s="23">
        <v>546</v>
      </c>
      <c r="B548" s="24" t="s">
        <v>1120</v>
      </c>
      <c r="C548" s="24" t="s">
        <v>568</v>
      </c>
      <c r="D548" s="24" t="s">
        <v>1115</v>
      </c>
      <c r="E548" s="25"/>
      <c r="F548" s="25"/>
      <c r="G548" s="25"/>
      <c r="H548" s="25"/>
      <c r="I548" s="25"/>
      <c r="J548" s="25">
        <v>3</v>
      </c>
      <c r="K548" s="25"/>
      <c r="L548" s="25"/>
      <c r="M548" s="25"/>
      <c r="N548" s="25"/>
      <c r="O548" s="25"/>
      <c r="P548" s="25"/>
      <c r="Q548" s="22">
        <f t="shared" si="8"/>
        <v>3</v>
      </c>
    </row>
    <row r="549" spans="1:17" ht="15.75" customHeight="1">
      <c r="A549" s="19">
        <v>547</v>
      </c>
      <c r="B549" s="20" t="s">
        <v>1121</v>
      </c>
      <c r="C549" s="20" t="s">
        <v>568</v>
      </c>
      <c r="D549" s="20" t="s">
        <v>1122</v>
      </c>
      <c r="E549" s="21"/>
      <c r="F549" s="21"/>
      <c r="G549" s="21"/>
      <c r="H549" s="21"/>
      <c r="I549" s="21"/>
      <c r="J549" s="21">
        <v>34</v>
      </c>
      <c r="K549" s="21"/>
      <c r="L549" s="21"/>
      <c r="M549" s="21">
        <v>22</v>
      </c>
      <c r="N549" s="21"/>
      <c r="O549" s="21">
        <v>22</v>
      </c>
      <c r="P549" s="21">
        <v>18</v>
      </c>
      <c r="Q549" s="22">
        <f t="shared" si="8"/>
        <v>96</v>
      </c>
    </row>
    <row r="550" spans="1:17" ht="15.75" customHeight="1">
      <c r="A550" s="23">
        <v>548</v>
      </c>
      <c r="B550" s="24" t="s">
        <v>1123</v>
      </c>
      <c r="C550" s="24" t="s">
        <v>666</v>
      </c>
      <c r="D550" s="24" t="s">
        <v>1124</v>
      </c>
      <c r="E550" s="25"/>
      <c r="F550" s="25"/>
      <c r="G550" s="25"/>
      <c r="H550" s="25"/>
      <c r="I550" s="25"/>
      <c r="J550" s="25">
        <v>9</v>
      </c>
      <c r="K550" s="25"/>
      <c r="L550" s="25"/>
      <c r="M550" s="25"/>
      <c r="N550" s="25"/>
      <c r="O550" s="25"/>
      <c r="P550" s="25">
        <v>72</v>
      </c>
      <c r="Q550" s="22">
        <f t="shared" si="8"/>
        <v>81</v>
      </c>
    </row>
    <row r="551" spans="1:17" ht="15.75" customHeight="1">
      <c r="A551" s="19">
        <v>549</v>
      </c>
      <c r="B551" s="20" t="s">
        <v>1125</v>
      </c>
      <c r="C551" s="20" t="s">
        <v>678</v>
      </c>
      <c r="D551" s="20" t="s">
        <v>1126</v>
      </c>
      <c r="E551" s="21"/>
      <c r="F551" s="21"/>
      <c r="G551" s="21"/>
      <c r="H551" s="21"/>
      <c r="I551" s="21"/>
      <c r="J551" s="21">
        <v>30</v>
      </c>
      <c r="K551" s="21"/>
      <c r="L551" s="21"/>
      <c r="M551" s="21"/>
      <c r="N551" s="21"/>
      <c r="O551" s="21"/>
      <c r="P551" s="21"/>
      <c r="Q551" s="22">
        <f t="shared" si="8"/>
        <v>30</v>
      </c>
    </row>
    <row r="552" spans="1:17" ht="15.75" customHeight="1">
      <c r="A552" s="23">
        <v>550</v>
      </c>
      <c r="B552" s="24" t="s">
        <v>1127</v>
      </c>
      <c r="C552" s="24" t="s">
        <v>692</v>
      </c>
      <c r="D552" s="24" t="s">
        <v>1128</v>
      </c>
      <c r="E552" s="25"/>
      <c r="F552" s="25">
        <v>60</v>
      </c>
      <c r="G552" s="25"/>
      <c r="H552" s="25"/>
      <c r="I552" s="25"/>
      <c r="J552" s="25">
        <v>6</v>
      </c>
      <c r="K552" s="25"/>
      <c r="L552" s="25">
        <v>3</v>
      </c>
      <c r="M552" s="25">
        <v>3</v>
      </c>
      <c r="N552" s="25">
        <v>3</v>
      </c>
      <c r="O552" s="25">
        <v>20</v>
      </c>
      <c r="P552" s="25">
        <v>72</v>
      </c>
      <c r="Q552" s="22">
        <f t="shared" si="8"/>
        <v>167</v>
      </c>
    </row>
    <row r="553" spans="1:17" ht="15.75" customHeight="1">
      <c r="A553" s="19">
        <v>551</v>
      </c>
      <c r="B553" s="20" t="s">
        <v>1129</v>
      </c>
      <c r="C553" s="20" t="s">
        <v>723</v>
      </c>
      <c r="D553" s="20" t="s">
        <v>1130</v>
      </c>
      <c r="E553" s="21"/>
      <c r="F553" s="21">
        <v>60</v>
      </c>
      <c r="G553" s="21"/>
      <c r="H553" s="21"/>
      <c r="I553" s="21"/>
      <c r="J553" s="21"/>
      <c r="K553" s="21"/>
      <c r="L553" s="21">
        <v>3</v>
      </c>
      <c r="M553" s="21">
        <v>3</v>
      </c>
      <c r="N553" s="21">
        <v>3</v>
      </c>
      <c r="O553" s="21">
        <v>20</v>
      </c>
      <c r="P553" s="21"/>
      <c r="Q553" s="22">
        <f t="shared" si="8"/>
        <v>89</v>
      </c>
    </row>
    <row r="554" spans="1:17" ht="15.75" customHeight="1">
      <c r="A554" s="23">
        <v>552</v>
      </c>
      <c r="B554" s="24" t="s">
        <v>1131</v>
      </c>
      <c r="C554" s="24" t="s">
        <v>1132</v>
      </c>
      <c r="D554" s="24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>
        <v>16</v>
      </c>
      <c r="P554" s="25"/>
      <c r="Q554" s="22">
        <f t="shared" si="8"/>
        <v>16</v>
      </c>
    </row>
    <row r="555" spans="1:17" ht="15.75" customHeight="1">
      <c r="A555" s="19">
        <v>553</v>
      </c>
      <c r="B555" s="20" t="s">
        <v>1133</v>
      </c>
      <c r="C555" s="20" t="s">
        <v>708</v>
      </c>
      <c r="D555" s="20" t="s">
        <v>1134</v>
      </c>
      <c r="E555" s="21"/>
      <c r="F555" s="21"/>
      <c r="G555" s="21"/>
      <c r="H555" s="21"/>
      <c r="I555" s="21"/>
      <c r="J555" s="21">
        <v>9</v>
      </c>
      <c r="K555" s="21"/>
      <c r="L555" s="21"/>
      <c r="M555" s="21"/>
      <c r="N555" s="21"/>
      <c r="O555" s="21"/>
      <c r="P555" s="21">
        <v>72</v>
      </c>
      <c r="Q555" s="22">
        <f t="shared" si="8"/>
        <v>81</v>
      </c>
    </row>
    <row r="556" spans="1:17" ht="15.75" customHeight="1">
      <c r="A556" s="23">
        <v>554</v>
      </c>
      <c r="B556" s="24" t="s">
        <v>1135</v>
      </c>
      <c r="C556" s="24" t="s">
        <v>823</v>
      </c>
      <c r="D556" s="24" t="s">
        <v>1136</v>
      </c>
      <c r="E556" s="25"/>
      <c r="F556" s="25"/>
      <c r="G556" s="25">
        <v>100</v>
      </c>
      <c r="H556" s="25"/>
      <c r="I556" s="25"/>
      <c r="J556" s="25"/>
      <c r="K556" s="25"/>
      <c r="L556" s="25"/>
      <c r="M556" s="25"/>
      <c r="N556" s="25"/>
      <c r="O556" s="25"/>
      <c r="P556" s="25"/>
      <c r="Q556" s="22">
        <f t="shared" si="8"/>
        <v>100</v>
      </c>
    </row>
    <row r="557" spans="1:17" ht="15.75" customHeight="1">
      <c r="A557" s="19">
        <v>555</v>
      </c>
      <c r="B557" s="20" t="s">
        <v>1137</v>
      </c>
      <c r="C557" s="20" t="s">
        <v>1138</v>
      </c>
      <c r="D557" s="20" t="s">
        <v>1139</v>
      </c>
      <c r="E557" s="21"/>
      <c r="F557" s="21">
        <v>6</v>
      </c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2">
        <f t="shared" si="8"/>
        <v>6</v>
      </c>
    </row>
    <row r="558" spans="1:17" ht="15.75" customHeight="1">
      <c r="A558" s="23">
        <v>556</v>
      </c>
      <c r="B558" s="24" t="s">
        <v>1140</v>
      </c>
      <c r="C558" s="24" t="s">
        <v>1141</v>
      </c>
      <c r="D558" s="24" t="s">
        <v>1142</v>
      </c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>
        <v>200</v>
      </c>
      <c r="P558" s="25"/>
      <c r="Q558" s="22">
        <f t="shared" si="8"/>
        <v>200</v>
      </c>
    </row>
    <row r="559" spans="1:17" ht="15.75" customHeight="1">
      <c r="A559" s="19">
        <v>557</v>
      </c>
      <c r="B559" s="20" t="s">
        <v>1143</v>
      </c>
      <c r="C559" s="20" t="s">
        <v>802</v>
      </c>
      <c r="D559" s="20" t="s">
        <v>1144</v>
      </c>
      <c r="E559" s="21"/>
      <c r="F559" s="21"/>
      <c r="G559" s="21">
        <v>150</v>
      </c>
      <c r="H559" s="21"/>
      <c r="I559" s="21"/>
      <c r="J559" s="21"/>
      <c r="K559" s="21"/>
      <c r="L559" s="21"/>
      <c r="M559" s="21"/>
      <c r="N559" s="21"/>
      <c r="O559" s="21"/>
      <c r="P559" s="21"/>
      <c r="Q559" s="22">
        <f t="shared" si="8"/>
        <v>150</v>
      </c>
    </row>
    <row r="560" spans="1:17" ht="15.75" customHeight="1">
      <c r="A560" s="23">
        <v>558</v>
      </c>
      <c r="B560" s="24" t="s">
        <v>1145</v>
      </c>
      <c r="C560" s="24" t="s">
        <v>1146</v>
      </c>
      <c r="D560" s="24"/>
      <c r="E560" s="25"/>
      <c r="F560" s="25"/>
      <c r="G560" s="25"/>
      <c r="H560" s="25"/>
      <c r="I560" s="25"/>
      <c r="J560" s="25">
        <v>4</v>
      </c>
      <c r="K560" s="25"/>
      <c r="L560" s="25"/>
      <c r="M560" s="25"/>
      <c r="N560" s="25"/>
      <c r="O560" s="25"/>
      <c r="P560" s="25"/>
      <c r="Q560" s="22">
        <f t="shared" si="8"/>
        <v>4</v>
      </c>
    </row>
    <row r="561" spans="1:17" ht="15.75" customHeight="1">
      <c r="A561" s="19">
        <v>559</v>
      </c>
      <c r="B561" s="20" t="s">
        <v>1147</v>
      </c>
      <c r="C561" s="20" t="s">
        <v>697</v>
      </c>
      <c r="D561" s="20" t="s">
        <v>1148</v>
      </c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>
        <v>44</v>
      </c>
      <c r="P561" s="21">
        <v>270</v>
      </c>
      <c r="Q561" s="22">
        <f t="shared" si="8"/>
        <v>314</v>
      </c>
    </row>
    <row r="562" spans="1:17" ht="15.75" customHeight="1">
      <c r="A562" s="23">
        <v>560</v>
      </c>
      <c r="B562" s="24" t="s">
        <v>1149</v>
      </c>
      <c r="C562" s="24" t="s">
        <v>1150</v>
      </c>
      <c r="D562" s="24" t="s">
        <v>1151</v>
      </c>
      <c r="E562" s="25"/>
      <c r="F562" s="25"/>
      <c r="G562" s="25"/>
      <c r="H562" s="25"/>
      <c r="I562" s="25"/>
      <c r="J562" s="25"/>
      <c r="K562" s="25"/>
      <c r="L562" s="25"/>
      <c r="M562" s="25"/>
      <c r="N562" s="25">
        <v>8</v>
      </c>
      <c r="O562" s="25"/>
      <c r="P562" s="25"/>
      <c r="Q562" s="22">
        <f t="shared" si="8"/>
        <v>8</v>
      </c>
    </row>
    <row r="563" spans="1:17" ht="15.75" customHeight="1">
      <c r="A563" s="19">
        <v>561</v>
      </c>
      <c r="B563" s="20" t="s">
        <v>1152</v>
      </c>
      <c r="C563" s="20" t="s">
        <v>1153</v>
      </c>
      <c r="D563" s="27" t="s">
        <v>1154</v>
      </c>
      <c r="E563" s="21">
        <v>1</v>
      </c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2">
        <f t="shared" si="8"/>
        <v>1</v>
      </c>
    </row>
    <row r="564" spans="1:17" ht="15.75" customHeight="1">
      <c r="A564" s="23">
        <v>562</v>
      </c>
      <c r="B564" s="24" t="s">
        <v>1155</v>
      </c>
      <c r="C564" s="24" t="s">
        <v>1156</v>
      </c>
      <c r="D564" s="24" t="s">
        <v>932</v>
      </c>
      <c r="E564" s="25"/>
      <c r="F564" s="25"/>
      <c r="G564" s="25"/>
      <c r="H564" s="25"/>
      <c r="I564" s="25"/>
      <c r="J564" s="25"/>
      <c r="K564" s="25"/>
      <c r="L564" s="25"/>
      <c r="M564" s="25"/>
      <c r="N564" s="25">
        <v>2</v>
      </c>
      <c r="O564" s="25"/>
      <c r="P564" s="25"/>
      <c r="Q564" s="22">
        <f t="shared" si="8"/>
        <v>2</v>
      </c>
    </row>
    <row r="565" spans="1:17" ht="15.75" customHeight="1">
      <c r="A565" s="19">
        <v>563</v>
      </c>
      <c r="B565" s="20" t="s">
        <v>1157</v>
      </c>
      <c r="C565" s="20" t="s">
        <v>582</v>
      </c>
      <c r="D565" s="20" t="s">
        <v>1158</v>
      </c>
      <c r="E565" s="21"/>
      <c r="F565" s="21"/>
      <c r="G565" s="21"/>
      <c r="H565" s="21"/>
      <c r="I565" s="21"/>
      <c r="J565" s="21">
        <v>28</v>
      </c>
      <c r="K565" s="21"/>
      <c r="L565" s="21"/>
      <c r="M565" s="21"/>
      <c r="N565" s="21">
        <v>4</v>
      </c>
      <c r="O565" s="21"/>
      <c r="P565" s="21">
        <v>35</v>
      </c>
      <c r="Q565" s="22">
        <f t="shared" si="8"/>
        <v>67</v>
      </c>
    </row>
    <row r="566" spans="1:17" ht="15.75" customHeight="1">
      <c r="A566" s="23">
        <v>564</v>
      </c>
      <c r="B566" s="24" t="s">
        <v>1159</v>
      </c>
      <c r="C566" s="24" t="s">
        <v>1160</v>
      </c>
      <c r="D566" s="24"/>
      <c r="E566" s="25"/>
      <c r="F566" s="25"/>
      <c r="G566" s="25"/>
      <c r="H566" s="25"/>
      <c r="I566" s="25"/>
      <c r="J566" s="25">
        <v>4</v>
      </c>
      <c r="K566" s="25"/>
      <c r="L566" s="25"/>
      <c r="M566" s="25"/>
      <c r="N566" s="25"/>
      <c r="O566" s="25"/>
      <c r="P566" s="25"/>
      <c r="Q566" s="22">
        <f t="shared" si="8"/>
        <v>4</v>
      </c>
    </row>
    <row r="567" spans="1:17" ht="15.75" customHeight="1">
      <c r="A567" s="19">
        <v>565</v>
      </c>
      <c r="B567" s="20" t="s">
        <v>1161</v>
      </c>
      <c r="C567" s="20" t="s">
        <v>485</v>
      </c>
      <c r="D567" s="20" t="s">
        <v>1162</v>
      </c>
      <c r="E567" s="21"/>
      <c r="F567" s="21"/>
      <c r="G567" s="21"/>
      <c r="H567" s="21"/>
      <c r="I567" s="21"/>
      <c r="J567" s="21"/>
      <c r="K567" s="21"/>
      <c r="L567" s="21"/>
      <c r="M567" s="21"/>
      <c r="N567" s="21">
        <v>5</v>
      </c>
      <c r="O567" s="21"/>
      <c r="P567" s="21"/>
      <c r="Q567" s="22">
        <f t="shared" si="8"/>
        <v>5</v>
      </c>
    </row>
    <row r="568" spans="1:17" ht="15.75" customHeight="1">
      <c r="A568" s="23">
        <v>566</v>
      </c>
      <c r="B568" s="24" t="s">
        <v>1163</v>
      </c>
      <c r="C568" s="24" t="s">
        <v>1164</v>
      </c>
      <c r="D568" s="24"/>
      <c r="E568" s="25"/>
      <c r="F568" s="25"/>
      <c r="G568" s="25"/>
      <c r="H568" s="25"/>
      <c r="I568" s="25"/>
      <c r="J568" s="25"/>
      <c r="K568" s="25">
        <v>20</v>
      </c>
      <c r="L568" s="25"/>
      <c r="M568" s="25"/>
      <c r="N568" s="25"/>
      <c r="O568" s="25"/>
      <c r="P568" s="25"/>
      <c r="Q568" s="22">
        <f t="shared" si="8"/>
        <v>20</v>
      </c>
    </row>
    <row r="569" spans="1:17" ht="15.75" customHeight="1">
      <c r="A569" s="19">
        <v>567</v>
      </c>
      <c r="B569" s="20" t="s">
        <v>1165</v>
      </c>
      <c r="C569" s="20" t="s">
        <v>1166</v>
      </c>
      <c r="D569" s="20" t="s">
        <v>1167</v>
      </c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>
        <v>30</v>
      </c>
      <c r="Q569" s="22">
        <f t="shared" si="8"/>
        <v>30</v>
      </c>
    </row>
    <row r="570" spans="1:17" ht="15.75" customHeight="1">
      <c r="A570" s="23">
        <v>568</v>
      </c>
      <c r="B570" s="24" t="s">
        <v>1168</v>
      </c>
      <c r="C570" s="24" t="s">
        <v>1169</v>
      </c>
      <c r="D570" s="24" t="s">
        <v>1109</v>
      </c>
      <c r="E570" s="25"/>
      <c r="F570" s="25"/>
      <c r="G570" s="25">
        <v>3</v>
      </c>
      <c r="H570" s="25">
        <v>1</v>
      </c>
      <c r="I570" s="25"/>
      <c r="J570" s="25"/>
      <c r="K570" s="25"/>
      <c r="L570" s="25"/>
      <c r="M570" s="25"/>
      <c r="N570" s="25"/>
      <c r="O570" s="25"/>
      <c r="P570" s="25"/>
      <c r="Q570" s="22">
        <f t="shared" si="8"/>
        <v>4</v>
      </c>
    </row>
    <row r="571" spans="1:17" ht="15.75" customHeight="1">
      <c r="A571" s="19">
        <v>569</v>
      </c>
      <c r="B571" s="20" t="s">
        <v>1170</v>
      </c>
      <c r="C571" s="20" t="s">
        <v>489</v>
      </c>
      <c r="D571" s="20" t="s">
        <v>1171</v>
      </c>
      <c r="E571" s="21"/>
      <c r="F571" s="21"/>
      <c r="G571" s="21"/>
      <c r="H571" s="21"/>
      <c r="I571" s="21"/>
      <c r="J571" s="21"/>
      <c r="K571" s="21"/>
      <c r="L571" s="21"/>
      <c r="M571" s="21"/>
      <c r="N571" s="21">
        <v>12</v>
      </c>
      <c r="O571" s="21"/>
      <c r="P571" s="21"/>
      <c r="Q571" s="22">
        <f t="shared" si="8"/>
        <v>12</v>
      </c>
    </row>
    <row r="572" spans="1:17" ht="15.75" customHeight="1">
      <c r="A572" s="23">
        <v>570</v>
      </c>
      <c r="B572" s="24" t="s">
        <v>1172</v>
      </c>
      <c r="C572" s="24" t="s">
        <v>1173</v>
      </c>
      <c r="D572" s="24" t="s">
        <v>1174</v>
      </c>
      <c r="E572" s="25"/>
      <c r="F572" s="25"/>
      <c r="G572" s="25"/>
      <c r="H572" s="25"/>
      <c r="I572" s="25"/>
      <c r="J572" s="25"/>
      <c r="K572" s="25"/>
      <c r="L572" s="25"/>
      <c r="M572" s="25"/>
      <c r="N572" s="25">
        <v>12</v>
      </c>
      <c r="O572" s="25"/>
      <c r="P572" s="25"/>
      <c r="Q572" s="22">
        <f t="shared" si="8"/>
        <v>12</v>
      </c>
    </row>
    <row r="573" spans="1:17" ht="15.75" customHeight="1">
      <c r="A573" s="19">
        <v>571</v>
      </c>
      <c r="B573" s="20" t="s">
        <v>1175</v>
      </c>
      <c r="C573" s="20" t="s">
        <v>1176</v>
      </c>
      <c r="D573" s="20" t="s">
        <v>1177</v>
      </c>
      <c r="E573" s="21"/>
      <c r="F573" s="21"/>
      <c r="G573" s="21"/>
      <c r="H573" s="21"/>
      <c r="I573" s="21"/>
      <c r="J573" s="21"/>
      <c r="K573" s="21"/>
      <c r="L573" s="21"/>
      <c r="M573" s="21"/>
      <c r="N573" s="21">
        <v>12</v>
      </c>
      <c r="O573" s="21"/>
      <c r="P573" s="21"/>
      <c r="Q573" s="22">
        <f t="shared" si="8"/>
        <v>12</v>
      </c>
    </row>
    <row r="574" spans="1:17" ht="15.75" customHeight="1">
      <c r="A574" s="23">
        <v>572</v>
      </c>
      <c r="B574" s="24" t="s">
        <v>1178</v>
      </c>
      <c r="C574" s="24" t="s">
        <v>969</v>
      </c>
      <c r="D574" s="24" t="s">
        <v>1179</v>
      </c>
      <c r="E574" s="25"/>
      <c r="F574" s="25"/>
      <c r="G574" s="25"/>
      <c r="H574" s="25"/>
      <c r="I574" s="25"/>
      <c r="J574" s="25"/>
      <c r="K574" s="25"/>
      <c r="L574" s="25"/>
      <c r="M574" s="25"/>
      <c r="N574" s="25">
        <v>12</v>
      </c>
      <c r="O574" s="25"/>
      <c r="P574" s="25"/>
      <c r="Q574" s="22">
        <f t="shared" si="8"/>
        <v>12</v>
      </c>
    </row>
    <row r="575" spans="1:17" ht="15.75" customHeight="1">
      <c r="A575" s="19">
        <v>573</v>
      </c>
      <c r="B575" s="20" t="s">
        <v>1180</v>
      </c>
      <c r="C575" s="20" t="s">
        <v>1181</v>
      </c>
      <c r="D575" s="20" t="s">
        <v>1182</v>
      </c>
      <c r="E575" s="21"/>
      <c r="F575" s="21"/>
      <c r="G575" s="21"/>
      <c r="H575" s="21"/>
      <c r="I575" s="21"/>
      <c r="J575" s="21"/>
      <c r="K575" s="21"/>
      <c r="L575" s="21"/>
      <c r="M575" s="21"/>
      <c r="N575" s="21">
        <v>12</v>
      </c>
      <c r="O575" s="21"/>
      <c r="P575" s="21"/>
      <c r="Q575" s="22">
        <f t="shared" si="8"/>
        <v>12</v>
      </c>
    </row>
    <row r="576" spans="1:17" ht="15.75" customHeight="1">
      <c r="A576" s="23">
        <v>574</v>
      </c>
      <c r="B576" s="24" t="s">
        <v>1183</v>
      </c>
      <c r="C576" s="24" t="s">
        <v>491</v>
      </c>
      <c r="D576" s="24" t="s">
        <v>1184</v>
      </c>
      <c r="E576" s="25"/>
      <c r="F576" s="25"/>
      <c r="G576" s="25"/>
      <c r="H576" s="25"/>
      <c r="I576" s="25"/>
      <c r="J576" s="25"/>
      <c r="K576" s="25"/>
      <c r="L576" s="25"/>
      <c r="M576" s="25"/>
      <c r="N576" s="25">
        <v>12</v>
      </c>
      <c r="O576" s="25"/>
      <c r="P576" s="25"/>
      <c r="Q576" s="22">
        <f t="shared" si="8"/>
        <v>12</v>
      </c>
    </row>
    <row r="577" spans="1:17" ht="15.75" customHeight="1">
      <c r="A577" s="19">
        <v>575</v>
      </c>
      <c r="B577" s="20" t="s">
        <v>1185</v>
      </c>
      <c r="C577" s="20" t="s">
        <v>1186</v>
      </c>
      <c r="D577" s="20" t="s">
        <v>1187</v>
      </c>
      <c r="E577" s="21"/>
      <c r="F577" s="21"/>
      <c r="G577" s="21"/>
      <c r="H577" s="21"/>
      <c r="I577" s="21"/>
      <c r="J577" s="21"/>
      <c r="K577" s="21"/>
      <c r="L577" s="21"/>
      <c r="M577" s="21"/>
      <c r="N577" s="21">
        <v>12</v>
      </c>
      <c r="O577" s="21"/>
      <c r="P577" s="21"/>
      <c r="Q577" s="22">
        <f t="shared" si="8"/>
        <v>12</v>
      </c>
    </row>
    <row r="578" spans="1:17" ht="15.75" customHeight="1">
      <c r="A578" s="23">
        <v>576</v>
      </c>
      <c r="B578" s="24" t="s">
        <v>1188</v>
      </c>
      <c r="C578" s="24" t="s">
        <v>1189</v>
      </c>
      <c r="D578" s="24" t="s">
        <v>1190</v>
      </c>
      <c r="E578" s="25"/>
      <c r="F578" s="25"/>
      <c r="G578" s="25"/>
      <c r="H578" s="25"/>
      <c r="I578" s="25"/>
      <c r="J578" s="25"/>
      <c r="K578" s="25"/>
      <c r="L578" s="25"/>
      <c r="M578" s="25"/>
      <c r="N578" s="25">
        <v>12</v>
      </c>
      <c r="O578" s="25"/>
      <c r="P578" s="25"/>
      <c r="Q578" s="22">
        <f t="shared" si="8"/>
        <v>12</v>
      </c>
    </row>
    <row r="579" spans="1:17" ht="15.75" customHeight="1">
      <c r="A579" s="19">
        <v>577</v>
      </c>
      <c r="B579" s="20" t="s">
        <v>1191</v>
      </c>
      <c r="C579" s="20" t="s">
        <v>1192</v>
      </c>
      <c r="D579" s="20" t="s">
        <v>1193</v>
      </c>
      <c r="E579" s="21"/>
      <c r="F579" s="21"/>
      <c r="G579" s="21"/>
      <c r="H579" s="21"/>
      <c r="I579" s="21"/>
      <c r="J579" s="21"/>
      <c r="K579" s="21"/>
      <c r="L579" s="21"/>
      <c r="M579" s="21"/>
      <c r="N579" s="21">
        <v>12</v>
      </c>
      <c r="O579" s="21"/>
      <c r="P579" s="21"/>
      <c r="Q579" s="22">
        <f t="shared" ref="Q579:Q642" si="9">SUM(E579:P579)</f>
        <v>12</v>
      </c>
    </row>
    <row r="580" spans="1:17" ht="15.75" customHeight="1">
      <c r="A580" s="23">
        <v>578</v>
      </c>
      <c r="B580" s="24" t="s">
        <v>1194</v>
      </c>
      <c r="C580" s="24" t="s">
        <v>1195</v>
      </c>
      <c r="D580" s="24" t="s">
        <v>1196</v>
      </c>
      <c r="E580" s="25"/>
      <c r="F580" s="25"/>
      <c r="G580" s="25"/>
      <c r="H580" s="25"/>
      <c r="I580" s="25"/>
      <c r="J580" s="25"/>
      <c r="K580" s="25"/>
      <c r="L580" s="25"/>
      <c r="M580" s="25"/>
      <c r="N580" s="25">
        <v>12</v>
      </c>
      <c r="O580" s="25"/>
      <c r="P580" s="25"/>
      <c r="Q580" s="22">
        <f t="shared" si="9"/>
        <v>12</v>
      </c>
    </row>
    <row r="581" spans="1:17" ht="15.75" customHeight="1">
      <c r="A581" s="19">
        <v>579</v>
      </c>
      <c r="B581" s="20" t="s">
        <v>1197</v>
      </c>
      <c r="C581" s="20" t="s">
        <v>1198</v>
      </c>
      <c r="D581" s="20" t="s">
        <v>1199</v>
      </c>
      <c r="E581" s="21"/>
      <c r="F581" s="21"/>
      <c r="G581" s="21"/>
      <c r="H581" s="21"/>
      <c r="I581" s="21"/>
      <c r="J581" s="21"/>
      <c r="K581" s="21"/>
      <c r="L581" s="21"/>
      <c r="M581" s="21"/>
      <c r="N581" s="21">
        <v>12</v>
      </c>
      <c r="O581" s="21"/>
      <c r="P581" s="21"/>
      <c r="Q581" s="22">
        <f t="shared" si="9"/>
        <v>12</v>
      </c>
    </row>
    <row r="582" spans="1:17" ht="15.75" customHeight="1">
      <c r="A582" s="23">
        <v>580</v>
      </c>
      <c r="B582" s="24" t="s">
        <v>1200</v>
      </c>
      <c r="C582" s="24" t="s">
        <v>991</v>
      </c>
      <c r="D582" s="24" t="s">
        <v>1201</v>
      </c>
      <c r="E582" s="25"/>
      <c r="F582" s="25"/>
      <c r="G582" s="25"/>
      <c r="H582" s="25"/>
      <c r="I582" s="25"/>
      <c r="J582" s="25"/>
      <c r="K582" s="25"/>
      <c r="L582" s="25"/>
      <c r="M582" s="25"/>
      <c r="N582" s="25">
        <v>12</v>
      </c>
      <c r="O582" s="25"/>
      <c r="P582" s="25"/>
      <c r="Q582" s="22">
        <f t="shared" si="9"/>
        <v>12</v>
      </c>
    </row>
    <row r="583" spans="1:17" ht="15.75" customHeight="1">
      <c r="A583" s="19">
        <v>581</v>
      </c>
      <c r="B583" s="20" t="s">
        <v>1202</v>
      </c>
      <c r="C583" s="20" t="s">
        <v>1203</v>
      </c>
      <c r="D583" s="20" t="s">
        <v>1204</v>
      </c>
      <c r="E583" s="21"/>
      <c r="F583" s="21"/>
      <c r="G583" s="21"/>
      <c r="H583" s="21"/>
      <c r="I583" s="21"/>
      <c r="J583" s="21"/>
      <c r="K583" s="21"/>
      <c r="L583" s="21"/>
      <c r="M583" s="21"/>
      <c r="N583" s="21">
        <v>12</v>
      </c>
      <c r="O583" s="21"/>
      <c r="P583" s="21"/>
      <c r="Q583" s="22">
        <f t="shared" si="9"/>
        <v>12</v>
      </c>
    </row>
    <row r="584" spans="1:17" ht="15.75" customHeight="1">
      <c r="A584" s="23">
        <v>582</v>
      </c>
      <c r="B584" s="24" t="s">
        <v>1205</v>
      </c>
      <c r="C584" s="24" t="s">
        <v>1206</v>
      </c>
      <c r="D584" s="24" t="s">
        <v>1207</v>
      </c>
      <c r="E584" s="25"/>
      <c r="F584" s="25"/>
      <c r="G584" s="25"/>
      <c r="H584" s="25"/>
      <c r="I584" s="25"/>
      <c r="J584" s="25"/>
      <c r="K584" s="25"/>
      <c r="L584" s="25"/>
      <c r="M584" s="25"/>
      <c r="N584" s="25">
        <v>14</v>
      </c>
      <c r="O584" s="25"/>
      <c r="P584" s="25"/>
      <c r="Q584" s="22">
        <f t="shared" si="9"/>
        <v>14</v>
      </c>
    </row>
    <row r="585" spans="1:17" ht="15.75" customHeight="1">
      <c r="A585" s="19">
        <v>583</v>
      </c>
      <c r="B585" s="20" t="s">
        <v>1208</v>
      </c>
      <c r="C585" s="20" t="s">
        <v>568</v>
      </c>
      <c r="D585" s="27" t="s">
        <v>1154</v>
      </c>
      <c r="E585" s="21"/>
      <c r="F585" s="21">
        <v>20</v>
      </c>
      <c r="G585" s="21"/>
      <c r="H585" s="21"/>
      <c r="I585" s="21"/>
      <c r="J585" s="21">
        <v>20</v>
      </c>
      <c r="K585" s="21"/>
      <c r="L585" s="21"/>
      <c r="M585" s="21"/>
      <c r="N585" s="21"/>
      <c r="O585" s="21"/>
      <c r="P585" s="21"/>
      <c r="Q585" s="22">
        <f t="shared" si="9"/>
        <v>40</v>
      </c>
    </row>
    <row r="586" spans="1:17" ht="15.75" customHeight="1">
      <c r="A586" s="23">
        <v>584</v>
      </c>
      <c r="B586" s="24" t="s">
        <v>1209</v>
      </c>
      <c r="C586" s="24" t="s">
        <v>1210</v>
      </c>
      <c r="D586" s="24" t="s">
        <v>1211</v>
      </c>
      <c r="E586" s="25"/>
      <c r="F586" s="25"/>
      <c r="G586" s="25"/>
      <c r="H586" s="25"/>
      <c r="I586" s="25">
        <v>10</v>
      </c>
      <c r="J586" s="25"/>
      <c r="K586" s="25"/>
      <c r="L586" s="25"/>
      <c r="M586" s="25"/>
      <c r="N586" s="25"/>
      <c r="O586" s="25"/>
      <c r="P586" s="25"/>
      <c r="Q586" s="22">
        <f t="shared" si="9"/>
        <v>10</v>
      </c>
    </row>
    <row r="587" spans="1:17" ht="15.75" customHeight="1">
      <c r="A587" s="19">
        <v>585</v>
      </c>
      <c r="B587" s="20" t="s">
        <v>1212</v>
      </c>
      <c r="C587" s="20" t="s">
        <v>558</v>
      </c>
      <c r="D587" s="27" t="s">
        <v>1154</v>
      </c>
      <c r="E587" s="21"/>
      <c r="F587" s="21"/>
      <c r="G587" s="21">
        <v>20</v>
      </c>
      <c r="H587" s="21"/>
      <c r="I587" s="21"/>
      <c r="J587" s="21">
        <v>20</v>
      </c>
      <c r="K587" s="21"/>
      <c r="L587" s="21"/>
      <c r="M587" s="21"/>
      <c r="N587" s="21"/>
      <c r="O587" s="21"/>
      <c r="P587" s="21"/>
      <c r="Q587" s="22">
        <f t="shared" si="9"/>
        <v>40</v>
      </c>
    </row>
    <row r="588" spans="1:17" ht="15.75" customHeight="1">
      <c r="A588" s="23">
        <v>586</v>
      </c>
      <c r="B588" s="24" t="s">
        <v>1213</v>
      </c>
      <c r="C588" s="24" t="s">
        <v>1214</v>
      </c>
      <c r="D588" s="24" t="s">
        <v>1215</v>
      </c>
      <c r="E588" s="25"/>
      <c r="F588" s="25"/>
      <c r="G588" s="25"/>
      <c r="H588" s="25"/>
      <c r="I588" s="25">
        <v>7</v>
      </c>
      <c r="J588" s="25"/>
      <c r="K588" s="25"/>
      <c r="L588" s="25"/>
      <c r="M588" s="25"/>
      <c r="N588" s="25"/>
      <c r="O588" s="25"/>
      <c r="P588" s="25"/>
      <c r="Q588" s="22">
        <f t="shared" si="9"/>
        <v>7</v>
      </c>
    </row>
    <row r="589" spans="1:17" ht="15.75" customHeight="1">
      <c r="A589" s="19">
        <v>587</v>
      </c>
      <c r="B589" s="20" t="s">
        <v>1216</v>
      </c>
      <c r="C589" s="20" t="s">
        <v>606</v>
      </c>
      <c r="D589" s="27" t="s">
        <v>1154</v>
      </c>
      <c r="E589" s="21"/>
      <c r="F589" s="21"/>
      <c r="G589" s="21"/>
      <c r="H589" s="21"/>
      <c r="I589" s="21">
        <v>10</v>
      </c>
      <c r="J589" s="21"/>
      <c r="K589" s="21"/>
      <c r="L589" s="21"/>
      <c r="M589" s="21"/>
      <c r="N589" s="21"/>
      <c r="O589" s="21"/>
      <c r="P589" s="21"/>
      <c r="Q589" s="22">
        <f t="shared" si="9"/>
        <v>10</v>
      </c>
    </row>
    <row r="590" spans="1:17" ht="15.75" customHeight="1">
      <c r="A590" s="23">
        <v>588</v>
      </c>
      <c r="B590" s="24" t="s">
        <v>1217</v>
      </c>
      <c r="C590" s="24" t="s">
        <v>1218</v>
      </c>
      <c r="D590" s="24" t="s">
        <v>1219</v>
      </c>
      <c r="E590" s="25"/>
      <c r="F590" s="25"/>
      <c r="G590" s="25"/>
      <c r="H590" s="25"/>
      <c r="I590" s="25"/>
      <c r="J590" s="25"/>
      <c r="K590" s="25">
        <v>10</v>
      </c>
      <c r="L590" s="25"/>
      <c r="M590" s="25"/>
      <c r="N590" s="25"/>
      <c r="O590" s="25"/>
      <c r="P590" s="25"/>
      <c r="Q590" s="22">
        <f t="shared" si="9"/>
        <v>10</v>
      </c>
    </row>
    <row r="591" spans="1:17" ht="15.75" customHeight="1">
      <c r="A591" s="19">
        <v>589</v>
      </c>
      <c r="B591" s="20" t="s">
        <v>1220</v>
      </c>
      <c r="C591" s="20" t="s">
        <v>1221</v>
      </c>
      <c r="D591" s="20"/>
      <c r="E591" s="21"/>
      <c r="F591" s="21"/>
      <c r="G591" s="21"/>
      <c r="H591" s="21"/>
      <c r="I591" s="21"/>
      <c r="J591" s="21">
        <v>40</v>
      </c>
      <c r="K591" s="21"/>
      <c r="L591" s="21"/>
      <c r="M591" s="21"/>
      <c r="N591" s="21"/>
      <c r="O591" s="21"/>
      <c r="P591" s="21"/>
      <c r="Q591" s="22">
        <f t="shared" si="9"/>
        <v>40</v>
      </c>
    </row>
    <row r="592" spans="1:17" ht="15.75" customHeight="1">
      <c r="A592" s="23">
        <v>590</v>
      </c>
      <c r="B592" s="24" t="s">
        <v>1222</v>
      </c>
      <c r="C592" s="24" t="s">
        <v>711</v>
      </c>
      <c r="D592" s="26" t="s">
        <v>1154</v>
      </c>
      <c r="E592" s="25"/>
      <c r="F592" s="25"/>
      <c r="G592" s="25"/>
      <c r="H592" s="25"/>
      <c r="I592" s="25"/>
      <c r="J592" s="25">
        <v>30</v>
      </c>
      <c r="K592" s="25"/>
      <c r="L592" s="25"/>
      <c r="M592" s="25"/>
      <c r="N592" s="25"/>
      <c r="O592" s="25"/>
      <c r="P592" s="25"/>
      <c r="Q592" s="22">
        <f t="shared" si="9"/>
        <v>30</v>
      </c>
    </row>
    <row r="593" spans="1:17" ht="15.75" customHeight="1">
      <c r="A593" s="19">
        <v>591</v>
      </c>
      <c r="B593" s="20" t="s">
        <v>1223</v>
      </c>
      <c r="C593" s="20" t="s">
        <v>1224</v>
      </c>
      <c r="D593" s="27" t="s">
        <v>1154</v>
      </c>
      <c r="E593" s="21">
        <v>1</v>
      </c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2">
        <f t="shared" si="9"/>
        <v>1</v>
      </c>
    </row>
    <row r="594" spans="1:17" ht="15.75" customHeight="1">
      <c r="A594" s="23">
        <v>592</v>
      </c>
      <c r="B594" s="24" t="s">
        <v>1225</v>
      </c>
      <c r="C594" s="24" t="s">
        <v>591</v>
      </c>
      <c r="D594" s="26" t="s">
        <v>1226</v>
      </c>
      <c r="E594" s="25"/>
      <c r="F594" s="25"/>
      <c r="G594" s="25"/>
      <c r="H594" s="25"/>
      <c r="I594" s="25"/>
      <c r="J594" s="25">
        <v>16</v>
      </c>
      <c r="K594" s="25">
        <v>60</v>
      </c>
      <c r="L594" s="25"/>
      <c r="M594" s="25">
        <v>4</v>
      </c>
      <c r="N594" s="25"/>
      <c r="O594" s="25"/>
      <c r="P594" s="25"/>
      <c r="Q594" s="22">
        <f t="shared" si="9"/>
        <v>80</v>
      </c>
    </row>
    <row r="595" spans="1:17" ht="15.75" customHeight="1">
      <c r="A595" s="19">
        <v>593</v>
      </c>
      <c r="B595" s="20" t="s">
        <v>1227</v>
      </c>
      <c r="C595" s="20" t="s">
        <v>1228</v>
      </c>
      <c r="D595" s="20"/>
      <c r="E595" s="21"/>
      <c r="F595" s="21"/>
      <c r="G595" s="21"/>
      <c r="H595" s="21"/>
      <c r="I595" s="21"/>
      <c r="J595" s="21"/>
      <c r="K595" s="21"/>
      <c r="L595" s="21"/>
      <c r="M595" s="21">
        <v>6</v>
      </c>
      <c r="N595" s="21"/>
      <c r="O595" s="21"/>
      <c r="P595" s="21"/>
      <c r="Q595" s="22">
        <f t="shared" si="9"/>
        <v>6</v>
      </c>
    </row>
    <row r="596" spans="1:17" ht="15.75" customHeight="1">
      <c r="A596" s="23">
        <v>594</v>
      </c>
      <c r="B596" s="24" t="s">
        <v>1229</v>
      </c>
      <c r="C596" s="24" t="s">
        <v>1230</v>
      </c>
      <c r="D596" s="24"/>
      <c r="E596" s="25"/>
      <c r="F596" s="25"/>
      <c r="G596" s="25"/>
      <c r="H596" s="25"/>
      <c r="I596" s="25">
        <v>10</v>
      </c>
      <c r="J596" s="25"/>
      <c r="K596" s="25"/>
      <c r="L596" s="25"/>
      <c r="M596" s="25"/>
      <c r="N596" s="25"/>
      <c r="O596" s="25"/>
      <c r="P596" s="25"/>
      <c r="Q596" s="22">
        <f t="shared" si="9"/>
        <v>10</v>
      </c>
    </row>
    <row r="597" spans="1:17" ht="15.75" customHeight="1">
      <c r="A597" s="19">
        <v>595</v>
      </c>
      <c r="B597" s="20" t="s">
        <v>1231</v>
      </c>
      <c r="C597" s="20" t="s">
        <v>768</v>
      </c>
      <c r="D597" s="27" t="s">
        <v>1226</v>
      </c>
      <c r="E597" s="21">
        <v>2</v>
      </c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2">
        <f t="shared" si="9"/>
        <v>2</v>
      </c>
    </row>
    <row r="598" spans="1:17" ht="15.75" customHeight="1">
      <c r="A598" s="23">
        <v>596</v>
      </c>
      <c r="B598" s="24" t="s">
        <v>1232</v>
      </c>
      <c r="C598" s="24" t="s">
        <v>1233</v>
      </c>
      <c r="D598" s="26" t="s">
        <v>1154</v>
      </c>
      <c r="E598" s="25">
        <v>1</v>
      </c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2">
        <f t="shared" si="9"/>
        <v>1</v>
      </c>
    </row>
    <row r="599" spans="1:17" ht="15.75" customHeight="1">
      <c r="A599" s="19">
        <v>597</v>
      </c>
      <c r="B599" s="20" t="s">
        <v>1234</v>
      </c>
      <c r="C599" s="20" t="s">
        <v>1235</v>
      </c>
      <c r="D599" s="27" t="s">
        <v>1154</v>
      </c>
      <c r="E599" s="21">
        <v>1</v>
      </c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2">
        <f t="shared" si="9"/>
        <v>1</v>
      </c>
    </row>
    <row r="600" spans="1:17" ht="15.75" customHeight="1">
      <c r="A600" s="23">
        <v>598</v>
      </c>
      <c r="B600" s="24" t="s">
        <v>1236</v>
      </c>
      <c r="C600" s="24" t="s">
        <v>1237</v>
      </c>
      <c r="D600" s="26" t="s">
        <v>1154</v>
      </c>
      <c r="E600" s="25">
        <v>2</v>
      </c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2">
        <f t="shared" si="9"/>
        <v>2</v>
      </c>
    </row>
    <row r="601" spans="1:17" ht="15.75" customHeight="1">
      <c r="A601" s="19">
        <v>599</v>
      </c>
      <c r="B601" s="20" t="s">
        <v>1238</v>
      </c>
      <c r="C601" s="20" t="s">
        <v>1239</v>
      </c>
      <c r="D601" s="27" t="s">
        <v>1154</v>
      </c>
      <c r="E601" s="21">
        <v>1</v>
      </c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2">
        <f t="shared" si="9"/>
        <v>1</v>
      </c>
    </row>
    <row r="602" spans="1:17" ht="15.75" customHeight="1">
      <c r="A602" s="23">
        <v>600</v>
      </c>
      <c r="B602" s="24" t="s">
        <v>1240</v>
      </c>
      <c r="C602" s="24" t="s">
        <v>1241</v>
      </c>
      <c r="D602" s="24"/>
      <c r="E602" s="25">
        <v>1</v>
      </c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2">
        <f t="shared" si="9"/>
        <v>1</v>
      </c>
    </row>
    <row r="603" spans="1:17" ht="15.75" customHeight="1">
      <c r="A603" s="19">
        <v>601</v>
      </c>
      <c r="B603" s="20" t="s">
        <v>1242</v>
      </c>
      <c r="C603" s="20" t="s">
        <v>1243</v>
      </c>
      <c r="D603" s="20"/>
      <c r="E603" s="21">
        <v>1</v>
      </c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2">
        <f t="shared" si="9"/>
        <v>1</v>
      </c>
    </row>
    <row r="604" spans="1:17" ht="15.75" customHeight="1">
      <c r="A604" s="23">
        <v>602</v>
      </c>
      <c r="B604" s="24" t="s">
        <v>1244</v>
      </c>
      <c r="C604" s="24" t="s">
        <v>1245</v>
      </c>
      <c r="D604" s="24" t="s">
        <v>1246</v>
      </c>
      <c r="E604" s="25"/>
      <c r="F604" s="25">
        <v>20</v>
      </c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2">
        <f t="shared" si="9"/>
        <v>20</v>
      </c>
    </row>
    <row r="605" spans="1:17" ht="15.75" customHeight="1">
      <c r="A605" s="19">
        <v>603</v>
      </c>
      <c r="B605" s="20" t="s">
        <v>1247</v>
      </c>
      <c r="C605" s="20" t="s">
        <v>591</v>
      </c>
      <c r="D605" s="20" t="s">
        <v>1248</v>
      </c>
      <c r="E605" s="21"/>
      <c r="F605" s="21">
        <v>20</v>
      </c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2">
        <f t="shared" si="9"/>
        <v>20</v>
      </c>
    </row>
    <row r="606" spans="1:17" ht="15.75" customHeight="1">
      <c r="A606" s="23">
        <v>604</v>
      </c>
      <c r="B606" s="24" t="s">
        <v>1249</v>
      </c>
      <c r="C606" s="24" t="s">
        <v>597</v>
      </c>
      <c r="D606" s="24" t="s">
        <v>1250</v>
      </c>
      <c r="E606" s="25"/>
      <c r="F606" s="25">
        <v>20</v>
      </c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2">
        <f t="shared" si="9"/>
        <v>20</v>
      </c>
    </row>
    <row r="607" spans="1:17" ht="15.75" customHeight="1">
      <c r="A607" s="19">
        <v>605</v>
      </c>
      <c r="B607" s="20" t="s">
        <v>1251</v>
      </c>
      <c r="C607" s="20" t="s">
        <v>1252</v>
      </c>
      <c r="D607" s="20"/>
      <c r="E607" s="21"/>
      <c r="F607" s="21">
        <v>5</v>
      </c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2">
        <f t="shared" si="9"/>
        <v>5</v>
      </c>
    </row>
    <row r="608" spans="1:17" ht="15.75" customHeight="1">
      <c r="A608" s="23">
        <v>606</v>
      </c>
      <c r="B608" s="24" t="s">
        <v>1253</v>
      </c>
      <c r="C608" s="24" t="s">
        <v>354</v>
      </c>
      <c r="D608" s="26" t="s">
        <v>431</v>
      </c>
      <c r="E608" s="25"/>
      <c r="F608" s="25">
        <v>20</v>
      </c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2">
        <f t="shared" si="9"/>
        <v>20</v>
      </c>
    </row>
    <row r="609" spans="1:17" ht="15.75" customHeight="1">
      <c r="A609" s="19">
        <v>607</v>
      </c>
      <c r="B609" s="20" t="s">
        <v>1254</v>
      </c>
      <c r="C609" s="20" t="s">
        <v>1255</v>
      </c>
      <c r="D609" s="20" t="s">
        <v>1256</v>
      </c>
      <c r="E609" s="21"/>
      <c r="F609" s="21"/>
      <c r="G609" s="21"/>
      <c r="H609" s="21">
        <v>3</v>
      </c>
      <c r="I609" s="21"/>
      <c r="J609" s="21"/>
      <c r="K609" s="21"/>
      <c r="L609" s="21"/>
      <c r="M609" s="21"/>
      <c r="N609" s="21"/>
      <c r="O609" s="21"/>
      <c r="P609" s="21"/>
      <c r="Q609" s="22">
        <f t="shared" si="9"/>
        <v>3</v>
      </c>
    </row>
    <row r="610" spans="1:17" ht="15.75" customHeight="1">
      <c r="A610" s="23">
        <v>608</v>
      </c>
      <c r="B610" s="24" t="s">
        <v>1257</v>
      </c>
      <c r="C610" s="24" t="s">
        <v>1258</v>
      </c>
      <c r="D610" s="24"/>
      <c r="E610" s="25"/>
      <c r="F610" s="25"/>
      <c r="G610" s="25"/>
      <c r="H610" s="25"/>
      <c r="I610" s="25">
        <v>4</v>
      </c>
      <c r="J610" s="25"/>
      <c r="K610" s="25"/>
      <c r="L610" s="25"/>
      <c r="M610" s="25"/>
      <c r="N610" s="25"/>
      <c r="O610" s="25"/>
      <c r="P610" s="25"/>
      <c r="Q610" s="22">
        <f t="shared" si="9"/>
        <v>4</v>
      </c>
    </row>
    <row r="611" spans="1:17" ht="15.75" customHeight="1">
      <c r="A611" s="19">
        <v>609</v>
      </c>
      <c r="B611" s="20" t="s">
        <v>1259</v>
      </c>
      <c r="C611" s="20" t="s">
        <v>1260</v>
      </c>
      <c r="D611" s="27" t="s">
        <v>1154</v>
      </c>
      <c r="E611" s="21"/>
      <c r="F611" s="21"/>
      <c r="G611" s="21"/>
      <c r="H611" s="21"/>
      <c r="I611" s="21">
        <v>4</v>
      </c>
      <c r="J611" s="21"/>
      <c r="K611" s="21"/>
      <c r="L611" s="21"/>
      <c r="M611" s="21"/>
      <c r="N611" s="21"/>
      <c r="O611" s="21"/>
      <c r="P611" s="21"/>
      <c r="Q611" s="22">
        <f t="shared" si="9"/>
        <v>4</v>
      </c>
    </row>
    <row r="612" spans="1:17" ht="15.75" customHeight="1">
      <c r="A612" s="23">
        <v>610</v>
      </c>
      <c r="B612" s="24" t="s">
        <v>1261</v>
      </c>
      <c r="C612" s="24" t="s">
        <v>558</v>
      </c>
      <c r="D612" s="24" t="s">
        <v>1262</v>
      </c>
      <c r="E612" s="25"/>
      <c r="F612" s="25"/>
      <c r="G612" s="25"/>
      <c r="H612" s="25"/>
      <c r="I612" s="25"/>
      <c r="J612" s="25">
        <v>40</v>
      </c>
      <c r="K612" s="25"/>
      <c r="L612" s="25">
        <v>3</v>
      </c>
      <c r="M612" s="25">
        <v>8</v>
      </c>
      <c r="N612" s="25"/>
      <c r="O612" s="25"/>
      <c r="P612" s="25">
        <v>43</v>
      </c>
      <c r="Q612" s="22">
        <f t="shared" si="9"/>
        <v>94</v>
      </c>
    </row>
    <row r="613" spans="1:17" ht="15.75" customHeight="1">
      <c r="A613" s="19">
        <v>611</v>
      </c>
      <c r="B613" s="20" t="s">
        <v>1263</v>
      </c>
      <c r="C613" s="20" t="s">
        <v>928</v>
      </c>
      <c r="D613" s="27" t="s">
        <v>1264</v>
      </c>
      <c r="E613" s="21"/>
      <c r="F613" s="21"/>
      <c r="G613" s="21"/>
      <c r="H613" s="21"/>
      <c r="I613" s="21"/>
      <c r="J613" s="21">
        <v>30</v>
      </c>
      <c r="K613" s="21"/>
      <c r="L613" s="21"/>
      <c r="M613" s="21"/>
      <c r="N613" s="21"/>
      <c r="O613" s="21"/>
      <c r="P613" s="21"/>
      <c r="Q613" s="22">
        <f t="shared" si="9"/>
        <v>30</v>
      </c>
    </row>
    <row r="614" spans="1:17" ht="15.75" customHeight="1">
      <c r="A614" s="23">
        <v>612</v>
      </c>
      <c r="B614" s="24" t="s">
        <v>1265</v>
      </c>
      <c r="C614" s="24" t="s">
        <v>937</v>
      </c>
      <c r="D614" s="26" t="s">
        <v>1264</v>
      </c>
      <c r="E614" s="25"/>
      <c r="F614" s="25"/>
      <c r="G614" s="25"/>
      <c r="H614" s="25"/>
      <c r="I614" s="25"/>
      <c r="J614" s="25">
        <v>30</v>
      </c>
      <c r="K614" s="25"/>
      <c r="L614" s="25"/>
      <c r="M614" s="25">
        <v>10</v>
      </c>
      <c r="N614" s="25"/>
      <c r="O614" s="25"/>
      <c r="P614" s="25"/>
      <c r="Q614" s="22">
        <f t="shared" si="9"/>
        <v>40</v>
      </c>
    </row>
    <row r="615" spans="1:17" ht="15.75" customHeight="1">
      <c r="A615" s="19">
        <v>613</v>
      </c>
      <c r="B615" s="20" t="s">
        <v>1266</v>
      </c>
      <c r="C615" s="20" t="s">
        <v>1267</v>
      </c>
      <c r="D615" s="20"/>
      <c r="E615" s="21"/>
      <c r="F615" s="21"/>
      <c r="G615" s="21"/>
      <c r="H615" s="21"/>
      <c r="I615" s="21"/>
      <c r="J615" s="21">
        <v>5</v>
      </c>
      <c r="K615" s="21"/>
      <c r="L615" s="21"/>
      <c r="M615" s="21"/>
      <c r="N615" s="21"/>
      <c r="O615" s="21"/>
      <c r="P615" s="21"/>
      <c r="Q615" s="22">
        <f t="shared" si="9"/>
        <v>5</v>
      </c>
    </row>
    <row r="616" spans="1:17" ht="15.75" customHeight="1">
      <c r="A616" s="23">
        <v>614</v>
      </c>
      <c r="B616" s="24" t="s">
        <v>1268</v>
      </c>
      <c r="C616" s="24" t="s">
        <v>588</v>
      </c>
      <c r="D616" s="26" t="s">
        <v>1226</v>
      </c>
      <c r="E616" s="25"/>
      <c r="F616" s="25"/>
      <c r="G616" s="25"/>
      <c r="H616" s="25"/>
      <c r="I616" s="25"/>
      <c r="J616" s="25"/>
      <c r="K616" s="25">
        <v>150</v>
      </c>
      <c r="L616" s="25"/>
      <c r="M616" s="25"/>
      <c r="N616" s="25"/>
      <c r="O616" s="25"/>
      <c r="P616" s="25"/>
      <c r="Q616" s="22">
        <f t="shared" si="9"/>
        <v>150</v>
      </c>
    </row>
    <row r="617" spans="1:17" ht="15.75" customHeight="1">
      <c r="A617" s="19">
        <v>615</v>
      </c>
      <c r="B617" s="20" t="s">
        <v>1269</v>
      </c>
      <c r="C617" s="20" t="s">
        <v>1150</v>
      </c>
      <c r="D617" s="20" t="s">
        <v>1270</v>
      </c>
      <c r="E617" s="21"/>
      <c r="F617" s="21"/>
      <c r="G617" s="21"/>
      <c r="H617" s="21"/>
      <c r="I617" s="21"/>
      <c r="J617" s="21"/>
      <c r="K617" s="21">
        <v>1</v>
      </c>
      <c r="L617" s="21">
        <v>43</v>
      </c>
      <c r="M617" s="21"/>
      <c r="N617" s="21"/>
      <c r="O617" s="21"/>
      <c r="P617" s="21"/>
      <c r="Q617" s="22">
        <f t="shared" si="9"/>
        <v>44</v>
      </c>
    </row>
    <row r="618" spans="1:17" ht="15.75" customHeight="1">
      <c r="A618" s="23">
        <v>616</v>
      </c>
      <c r="B618" s="24" t="s">
        <v>1271</v>
      </c>
      <c r="C618" s="24" t="s">
        <v>1033</v>
      </c>
      <c r="D618" s="24" t="s">
        <v>1270</v>
      </c>
      <c r="E618" s="25"/>
      <c r="F618" s="25"/>
      <c r="G618" s="25"/>
      <c r="H618" s="25"/>
      <c r="I618" s="25"/>
      <c r="J618" s="25"/>
      <c r="K618" s="25">
        <v>4</v>
      </c>
      <c r="L618" s="25">
        <v>50</v>
      </c>
      <c r="M618" s="25"/>
      <c r="N618" s="25"/>
      <c r="O618" s="25"/>
      <c r="P618" s="25"/>
      <c r="Q618" s="22">
        <f t="shared" si="9"/>
        <v>54</v>
      </c>
    </row>
    <row r="619" spans="1:17" ht="15.75" customHeight="1">
      <c r="A619" s="19">
        <v>617</v>
      </c>
      <c r="B619" s="20" t="s">
        <v>1272</v>
      </c>
      <c r="C619" s="20" t="s">
        <v>1273</v>
      </c>
      <c r="D619" s="20" t="s">
        <v>1270</v>
      </c>
      <c r="E619" s="21"/>
      <c r="F619" s="21"/>
      <c r="G619" s="21"/>
      <c r="H619" s="21"/>
      <c r="I619" s="21"/>
      <c r="J619" s="21"/>
      <c r="K619" s="21">
        <v>1</v>
      </c>
      <c r="L619" s="21"/>
      <c r="M619" s="21"/>
      <c r="N619" s="21"/>
      <c r="O619" s="21"/>
      <c r="P619" s="21"/>
      <c r="Q619" s="22">
        <f t="shared" si="9"/>
        <v>1</v>
      </c>
    </row>
    <row r="620" spans="1:17" ht="15.75" customHeight="1">
      <c r="A620" s="23">
        <v>618</v>
      </c>
      <c r="B620" s="24" t="s">
        <v>1274</v>
      </c>
      <c r="C620" s="24" t="s">
        <v>950</v>
      </c>
      <c r="D620" s="24" t="s">
        <v>1275</v>
      </c>
      <c r="E620" s="25"/>
      <c r="F620" s="25"/>
      <c r="G620" s="25"/>
      <c r="H620" s="25"/>
      <c r="I620" s="25"/>
      <c r="J620" s="25"/>
      <c r="K620" s="25">
        <v>10</v>
      </c>
      <c r="L620" s="25"/>
      <c r="M620" s="25"/>
      <c r="N620" s="25"/>
      <c r="O620" s="25"/>
      <c r="P620" s="25"/>
      <c r="Q620" s="22">
        <f t="shared" si="9"/>
        <v>10</v>
      </c>
    </row>
    <row r="621" spans="1:17" ht="15.75" customHeight="1">
      <c r="A621" s="19">
        <v>619</v>
      </c>
      <c r="B621" s="20" t="s">
        <v>1276</v>
      </c>
      <c r="C621" s="20" t="s">
        <v>1277</v>
      </c>
      <c r="D621" s="20" t="s">
        <v>1275</v>
      </c>
      <c r="E621" s="21"/>
      <c r="F621" s="21"/>
      <c r="G621" s="21"/>
      <c r="H621" s="21"/>
      <c r="I621" s="21"/>
      <c r="J621" s="21"/>
      <c r="K621" s="21"/>
      <c r="L621" s="21">
        <v>23</v>
      </c>
      <c r="M621" s="21"/>
      <c r="N621" s="21"/>
      <c r="O621" s="21"/>
      <c r="P621" s="21"/>
      <c r="Q621" s="22">
        <f t="shared" si="9"/>
        <v>23</v>
      </c>
    </row>
    <row r="622" spans="1:17" ht="15.75" customHeight="1">
      <c r="A622" s="23">
        <v>620</v>
      </c>
      <c r="B622" s="24" t="s">
        <v>1278</v>
      </c>
      <c r="C622" s="24" t="s">
        <v>957</v>
      </c>
      <c r="D622" s="24" t="s">
        <v>946</v>
      </c>
      <c r="E622" s="25"/>
      <c r="F622" s="25"/>
      <c r="G622" s="25"/>
      <c r="H622" s="25"/>
      <c r="I622" s="25"/>
      <c r="J622" s="25"/>
      <c r="K622" s="25"/>
      <c r="L622" s="25">
        <v>8</v>
      </c>
      <c r="M622" s="25"/>
      <c r="N622" s="25"/>
      <c r="O622" s="25"/>
      <c r="P622" s="25"/>
      <c r="Q622" s="22">
        <f t="shared" si="9"/>
        <v>8</v>
      </c>
    </row>
    <row r="623" spans="1:17" ht="15.75" customHeight="1">
      <c r="A623" s="19">
        <v>621</v>
      </c>
      <c r="B623" s="20" t="s">
        <v>1279</v>
      </c>
      <c r="C623" s="20" t="s">
        <v>959</v>
      </c>
      <c r="D623" s="20" t="s">
        <v>1270</v>
      </c>
      <c r="E623" s="21"/>
      <c r="F623" s="21"/>
      <c r="G623" s="21"/>
      <c r="H623" s="21"/>
      <c r="I623" s="21"/>
      <c r="J623" s="21"/>
      <c r="K623" s="21"/>
      <c r="L623" s="21">
        <v>55</v>
      </c>
      <c r="M623" s="21"/>
      <c r="N623" s="21"/>
      <c r="O623" s="21"/>
      <c r="P623" s="21"/>
      <c r="Q623" s="22">
        <f t="shared" si="9"/>
        <v>55</v>
      </c>
    </row>
    <row r="624" spans="1:17" ht="15.75" customHeight="1">
      <c r="A624" s="23">
        <v>622</v>
      </c>
      <c r="B624" s="24" t="s">
        <v>1280</v>
      </c>
      <c r="C624" s="24" t="s">
        <v>931</v>
      </c>
      <c r="D624" s="24" t="s">
        <v>1270</v>
      </c>
      <c r="E624" s="25"/>
      <c r="F624" s="25"/>
      <c r="G624" s="25"/>
      <c r="H624" s="25"/>
      <c r="I624" s="25"/>
      <c r="J624" s="25"/>
      <c r="K624" s="25"/>
      <c r="L624" s="25">
        <v>33</v>
      </c>
      <c r="M624" s="25"/>
      <c r="N624" s="25"/>
      <c r="O624" s="25"/>
      <c r="P624" s="25"/>
      <c r="Q624" s="22">
        <f t="shared" si="9"/>
        <v>33</v>
      </c>
    </row>
    <row r="625" spans="1:17" ht="15.75" customHeight="1">
      <c r="A625" s="19">
        <v>623</v>
      </c>
      <c r="B625" s="20" t="s">
        <v>1281</v>
      </c>
      <c r="C625" s="20" t="s">
        <v>1282</v>
      </c>
      <c r="D625" s="20" t="s">
        <v>1270</v>
      </c>
      <c r="E625" s="21"/>
      <c r="F625" s="21"/>
      <c r="G625" s="21"/>
      <c r="H625" s="21"/>
      <c r="I625" s="21"/>
      <c r="J625" s="21"/>
      <c r="K625" s="21"/>
      <c r="L625" s="21">
        <v>15</v>
      </c>
      <c r="M625" s="21"/>
      <c r="N625" s="21"/>
      <c r="O625" s="21"/>
      <c r="P625" s="21"/>
      <c r="Q625" s="22">
        <f t="shared" si="9"/>
        <v>15</v>
      </c>
    </row>
    <row r="626" spans="1:17" ht="15.75" customHeight="1">
      <c r="A626" s="23">
        <v>624</v>
      </c>
      <c r="B626" s="24" t="s">
        <v>1283</v>
      </c>
      <c r="C626" s="24" t="s">
        <v>1284</v>
      </c>
      <c r="D626" s="24"/>
      <c r="E626" s="25"/>
      <c r="F626" s="25"/>
      <c r="G626" s="25"/>
      <c r="H626" s="25"/>
      <c r="I626" s="25"/>
      <c r="J626" s="25"/>
      <c r="K626" s="25"/>
      <c r="L626" s="25">
        <v>20</v>
      </c>
      <c r="M626" s="25"/>
      <c r="N626" s="25"/>
      <c r="O626" s="25"/>
      <c r="P626" s="25"/>
      <c r="Q626" s="22">
        <f t="shared" si="9"/>
        <v>20</v>
      </c>
    </row>
    <row r="627" spans="1:17" ht="15.75" customHeight="1">
      <c r="A627" s="19">
        <v>625</v>
      </c>
      <c r="B627" s="20" t="s">
        <v>1285</v>
      </c>
      <c r="C627" s="20" t="s">
        <v>796</v>
      </c>
      <c r="D627" s="27" t="s">
        <v>1226</v>
      </c>
      <c r="E627" s="21"/>
      <c r="F627" s="21"/>
      <c r="G627" s="21"/>
      <c r="H627" s="21"/>
      <c r="I627" s="21"/>
      <c r="J627" s="21"/>
      <c r="K627" s="21"/>
      <c r="L627" s="21">
        <v>50</v>
      </c>
      <c r="M627" s="21"/>
      <c r="N627" s="21"/>
      <c r="O627" s="21"/>
      <c r="P627" s="21"/>
      <c r="Q627" s="22">
        <f t="shared" si="9"/>
        <v>50</v>
      </c>
    </row>
    <row r="628" spans="1:17" ht="15.75" customHeight="1">
      <c r="A628" s="23">
        <v>626</v>
      </c>
      <c r="B628" s="24" t="s">
        <v>1286</v>
      </c>
      <c r="C628" s="24" t="s">
        <v>1287</v>
      </c>
      <c r="D628" s="26" t="s">
        <v>1226</v>
      </c>
      <c r="E628" s="25"/>
      <c r="F628" s="25"/>
      <c r="G628" s="25"/>
      <c r="H628" s="25"/>
      <c r="I628" s="25"/>
      <c r="J628" s="25"/>
      <c r="K628" s="25"/>
      <c r="L628" s="25">
        <v>50</v>
      </c>
      <c r="M628" s="25"/>
      <c r="N628" s="25"/>
      <c r="O628" s="25"/>
      <c r="P628" s="25"/>
      <c r="Q628" s="22">
        <f t="shared" si="9"/>
        <v>50</v>
      </c>
    </row>
    <row r="629" spans="1:17" ht="15.75" customHeight="1">
      <c r="A629" s="19">
        <v>627</v>
      </c>
      <c r="B629" s="20" t="s">
        <v>1288</v>
      </c>
      <c r="C629" s="20" t="s">
        <v>1289</v>
      </c>
      <c r="D629" s="20"/>
      <c r="E629" s="21"/>
      <c r="F629" s="21"/>
      <c r="G629" s="21"/>
      <c r="H629" s="21"/>
      <c r="I629" s="21"/>
      <c r="J629" s="21"/>
      <c r="K629" s="21">
        <v>4</v>
      </c>
      <c r="L629" s="21"/>
      <c r="M629" s="21"/>
      <c r="N629" s="21"/>
      <c r="O629" s="21"/>
      <c r="P629" s="21"/>
      <c r="Q629" s="22">
        <f t="shared" si="9"/>
        <v>4</v>
      </c>
    </row>
    <row r="630" spans="1:17" ht="15.75" customHeight="1">
      <c r="A630" s="23">
        <v>628</v>
      </c>
      <c r="B630" s="24" t="s">
        <v>1290</v>
      </c>
      <c r="C630" s="24" t="s">
        <v>1291</v>
      </c>
      <c r="D630" s="24" t="s">
        <v>1292</v>
      </c>
      <c r="E630" s="25"/>
      <c r="F630" s="25"/>
      <c r="G630" s="25"/>
      <c r="H630" s="25"/>
      <c r="I630" s="25"/>
      <c r="J630" s="25"/>
      <c r="K630" s="25"/>
      <c r="L630" s="25">
        <v>17</v>
      </c>
      <c r="M630" s="25"/>
      <c r="N630" s="25"/>
      <c r="O630" s="25"/>
      <c r="P630" s="25"/>
      <c r="Q630" s="22">
        <f t="shared" si="9"/>
        <v>17</v>
      </c>
    </row>
    <row r="631" spans="1:17" ht="15.75" customHeight="1">
      <c r="A631" s="19">
        <v>629</v>
      </c>
      <c r="B631" s="20" t="s">
        <v>1293</v>
      </c>
      <c r="C631" s="20" t="s">
        <v>1294</v>
      </c>
      <c r="D631" s="20" t="s">
        <v>1292</v>
      </c>
      <c r="E631" s="21"/>
      <c r="F631" s="21"/>
      <c r="G631" s="21"/>
      <c r="H631" s="21"/>
      <c r="I631" s="21"/>
      <c r="J631" s="21"/>
      <c r="K631" s="21"/>
      <c r="L631" s="21">
        <v>6</v>
      </c>
      <c r="M631" s="21"/>
      <c r="N631" s="21"/>
      <c r="O631" s="21"/>
      <c r="P631" s="21"/>
      <c r="Q631" s="22">
        <f t="shared" si="9"/>
        <v>6</v>
      </c>
    </row>
    <row r="632" spans="1:17" ht="15.75" customHeight="1">
      <c r="A632" s="23">
        <v>630</v>
      </c>
      <c r="B632" s="24" t="s">
        <v>1295</v>
      </c>
      <c r="C632" s="24" t="s">
        <v>1296</v>
      </c>
      <c r="D632" s="24" t="s">
        <v>1292</v>
      </c>
      <c r="E632" s="25"/>
      <c r="F632" s="25"/>
      <c r="G632" s="25"/>
      <c r="H632" s="25"/>
      <c r="I632" s="25"/>
      <c r="J632" s="25"/>
      <c r="K632" s="25"/>
      <c r="L632" s="25">
        <v>11</v>
      </c>
      <c r="M632" s="25"/>
      <c r="N632" s="25"/>
      <c r="O632" s="25"/>
      <c r="P632" s="25"/>
      <c r="Q632" s="22">
        <f t="shared" si="9"/>
        <v>11</v>
      </c>
    </row>
    <row r="633" spans="1:17" ht="15.75" customHeight="1">
      <c r="A633" s="19">
        <v>631</v>
      </c>
      <c r="B633" s="20" t="s">
        <v>1297</v>
      </c>
      <c r="C633" s="20" t="s">
        <v>1298</v>
      </c>
      <c r="D633" s="20" t="s">
        <v>1292</v>
      </c>
      <c r="E633" s="21"/>
      <c r="F633" s="21"/>
      <c r="G633" s="21"/>
      <c r="H633" s="21"/>
      <c r="I633" s="21"/>
      <c r="J633" s="21"/>
      <c r="K633" s="21"/>
      <c r="L633" s="21">
        <v>10</v>
      </c>
      <c r="M633" s="21"/>
      <c r="N633" s="21"/>
      <c r="O633" s="21"/>
      <c r="P633" s="21"/>
      <c r="Q633" s="22">
        <f t="shared" si="9"/>
        <v>10</v>
      </c>
    </row>
    <row r="634" spans="1:17" ht="15.75" customHeight="1">
      <c r="A634" s="23">
        <v>632</v>
      </c>
      <c r="B634" s="24" t="s">
        <v>1299</v>
      </c>
      <c r="C634" s="24" t="s">
        <v>1273</v>
      </c>
      <c r="D634" s="24" t="s">
        <v>1292</v>
      </c>
      <c r="E634" s="25"/>
      <c r="F634" s="25"/>
      <c r="G634" s="25"/>
      <c r="H634" s="25"/>
      <c r="I634" s="25"/>
      <c r="J634" s="25"/>
      <c r="K634" s="25"/>
      <c r="L634" s="25">
        <v>13</v>
      </c>
      <c r="M634" s="25"/>
      <c r="N634" s="25"/>
      <c r="O634" s="25"/>
      <c r="P634" s="25"/>
      <c r="Q634" s="22">
        <f t="shared" si="9"/>
        <v>13</v>
      </c>
    </row>
    <row r="635" spans="1:17" ht="15.75" customHeight="1">
      <c r="A635" s="19">
        <v>633</v>
      </c>
      <c r="B635" s="20" t="s">
        <v>1300</v>
      </c>
      <c r="C635" s="20" t="s">
        <v>1301</v>
      </c>
      <c r="D635" s="20" t="s">
        <v>1302</v>
      </c>
      <c r="E635" s="21"/>
      <c r="F635" s="21"/>
      <c r="G635" s="21"/>
      <c r="H635" s="21"/>
      <c r="I635" s="21"/>
      <c r="J635" s="21"/>
      <c r="K635" s="21"/>
      <c r="L635" s="21">
        <v>13</v>
      </c>
      <c r="M635" s="21"/>
      <c r="N635" s="21"/>
      <c r="O635" s="21"/>
      <c r="P635" s="21"/>
      <c r="Q635" s="22">
        <f t="shared" si="9"/>
        <v>13</v>
      </c>
    </row>
    <row r="636" spans="1:17" ht="15.75" customHeight="1">
      <c r="A636" s="23">
        <v>634</v>
      </c>
      <c r="B636" s="24" t="s">
        <v>1303</v>
      </c>
      <c r="C636" s="24" t="s">
        <v>1304</v>
      </c>
      <c r="D636" s="24" t="s">
        <v>1302</v>
      </c>
      <c r="E636" s="25"/>
      <c r="F636" s="25"/>
      <c r="G636" s="25"/>
      <c r="H636" s="25"/>
      <c r="I636" s="25"/>
      <c r="J636" s="25"/>
      <c r="K636" s="25"/>
      <c r="L636" s="25">
        <v>6</v>
      </c>
      <c r="M636" s="25"/>
      <c r="N636" s="25"/>
      <c r="O636" s="25"/>
      <c r="P636" s="25"/>
      <c r="Q636" s="22">
        <f t="shared" si="9"/>
        <v>6</v>
      </c>
    </row>
    <row r="637" spans="1:17" ht="15.75" customHeight="1">
      <c r="A637" s="19">
        <v>635</v>
      </c>
      <c r="B637" s="20" t="s">
        <v>1305</v>
      </c>
      <c r="C637" s="20" t="s">
        <v>1306</v>
      </c>
      <c r="D637" s="20" t="s">
        <v>1302</v>
      </c>
      <c r="E637" s="21"/>
      <c r="F637" s="21"/>
      <c r="G637" s="21"/>
      <c r="H637" s="21"/>
      <c r="I637" s="21"/>
      <c r="J637" s="21"/>
      <c r="K637" s="21"/>
      <c r="L637" s="21">
        <v>6</v>
      </c>
      <c r="M637" s="21"/>
      <c r="N637" s="21"/>
      <c r="O637" s="21"/>
      <c r="P637" s="21"/>
      <c r="Q637" s="22">
        <f t="shared" si="9"/>
        <v>6</v>
      </c>
    </row>
    <row r="638" spans="1:17" ht="15.75" customHeight="1">
      <c r="A638" s="23">
        <v>636</v>
      </c>
      <c r="B638" s="24" t="s">
        <v>1307</v>
      </c>
      <c r="C638" s="24" t="s">
        <v>1308</v>
      </c>
      <c r="D638" s="24" t="s">
        <v>1302</v>
      </c>
      <c r="E638" s="25"/>
      <c r="F638" s="25"/>
      <c r="G638" s="25"/>
      <c r="H638" s="25"/>
      <c r="I638" s="25"/>
      <c r="J638" s="25"/>
      <c r="K638" s="25"/>
      <c r="L638" s="25">
        <v>5</v>
      </c>
      <c r="M638" s="25"/>
      <c r="N638" s="25"/>
      <c r="O638" s="25"/>
      <c r="P638" s="25"/>
      <c r="Q638" s="22">
        <f t="shared" si="9"/>
        <v>5</v>
      </c>
    </row>
    <row r="639" spans="1:17" ht="15.75" customHeight="1">
      <c r="A639" s="19">
        <v>637</v>
      </c>
      <c r="B639" s="20" t="s">
        <v>1309</v>
      </c>
      <c r="C639" s="20" t="s">
        <v>1310</v>
      </c>
      <c r="D639" s="20" t="s">
        <v>1311</v>
      </c>
      <c r="E639" s="21"/>
      <c r="F639" s="21"/>
      <c r="G639" s="21"/>
      <c r="H639" s="21"/>
      <c r="I639" s="21"/>
      <c r="J639" s="21"/>
      <c r="K639" s="21"/>
      <c r="L639" s="21">
        <v>20</v>
      </c>
      <c r="M639" s="21"/>
      <c r="N639" s="21"/>
      <c r="O639" s="21"/>
      <c r="P639" s="21"/>
      <c r="Q639" s="22">
        <f t="shared" si="9"/>
        <v>20</v>
      </c>
    </row>
    <row r="640" spans="1:17" ht="15.75" customHeight="1">
      <c r="A640" s="23">
        <v>638</v>
      </c>
      <c r="B640" s="24" t="s">
        <v>1312</v>
      </c>
      <c r="C640" s="24" t="s">
        <v>1245</v>
      </c>
      <c r="D640" s="24" t="s">
        <v>1313</v>
      </c>
      <c r="E640" s="25"/>
      <c r="F640" s="25"/>
      <c r="G640" s="25"/>
      <c r="H640" s="25"/>
      <c r="I640" s="25"/>
      <c r="J640" s="25"/>
      <c r="K640" s="25"/>
      <c r="L640" s="25"/>
      <c r="M640" s="25"/>
      <c r="N640" s="25">
        <v>19</v>
      </c>
      <c r="O640" s="25"/>
      <c r="P640" s="25"/>
      <c r="Q640" s="22">
        <f t="shared" si="9"/>
        <v>19</v>
      </c>
    </row>
    <row r="641" spans="1:17" ht="15.75" customHeight="1">
      <c r="A641" s="19">
        <v>639</v>
      </c>
      <c r="B641" s="20" t="s">
        <v>1314</v>
      </c>
      <c r="C641" s="20" t="s">
        <v>1301</v>
      </c>
      <c r="D641" s="20" t="s">
        <v>1313</v>
      </c>
      <c r="E641" s="21"/>
      <c r="F641" s="21"/>
      <c r="G641" s="21"/>
      <c r="H641" s="21"/>
      <c r="I641" s="21"/>
      <c r="J641" s="21"/>
      <c r="K641" s="21"/>
      <c r="L641" s="21"/>
      <c r="M641" s="21"/>
      <c r="N641" s="21">
        <v>8</v>
      </c>
      <c r="O641" s="21"/>
      <c r="P641" s="21"/>
      <c r="Q641" s="22">
        <f t="shared" si="9"/>
        <v>8</v>
      </c>
    </row>
    <row r="642" spans="1:17" ht="15.75" customHeight="1">
      <c r="A642" s="23">
        <v>640</v>
      </c>
      <c r="B642" s="24" t="s">
        <v>1315</v>
      </c>
      <c r="C642" s="24" t="s">
        <v>1304</v>
      </c>
      <c r="D642" s="24" t="s">
        <v>1313</v>
      </c>
      <c r="E642" s="25"/>
      <c r="F642" s="25"/>
      <c r="G642" s="25"/>
      <c r="H642" s="25"/>
      <c r="I642" s="25"/>
      <c r="J642" s="25"/>
      <c r="K642" s="25"/>
      <c r="L642" s="25"/>
      <c r="M642" s="25"/>
      <c r="N642" s="25">
        <v>21</v>
      </c>
      <c r="O642" s="25"/>
      <c r="P642" s="25"/>
      <c r="Q642" s="22">
        <f t="shared" si="9"/>
        <v>21</v>
      </c>
    </row>
    <row r="643" spans="1:17" ht="15.75" customHeight="1">
      <c r="A643" s="19">
        <v>641</v>
      </c>
      <c r="B643" s="20" t="s">
        <v>1316</v>
      </c>
      <c r="C643" s="20" t="s">
        <v>950</v>
      </c>
      <c r="D643" s="20" t="s">
        <v>1313</v>
      </c>
      <c r="E643" s="21"/>
      <c r="F643" s="21"/>
      <c r="G643" s="21"/>
      <c r="H643" s="21"/>
      <c r="I643" s="21"/>
      <c r="J643" s="21"/>
      <c r="K643" s="21"/>
      <c r="L643" s="21"/>
      <c r="M643" s="21"/>
      <c r="N643" s="21">
        <v>32</v>
      </c>
      <c r="O643" s="21"/>
      <c r="P643" s="21"/>
      <c r="Q643" s="22">
        <f t="shared" ref="Q643:Q706" si="10">SUM(E643:P643)</f>
        <v>32</v>
      </c>
    </row>
    <row r="644" spans="1:17" ht="15.75" customHeight="1">
      <c r="A644" s="23">
        <v>642</v>
      </c>
      <c r="B644" s="24" t="s">
        <v>1317</v>
      </c>
      <c r="C644" s="24" t="s">
        <v>931</v>
      </c>
      <c r="D644" s="24" t="s">
        <v>1318</v>
      </c>
      <c r="E644" s="25"/>
      <c r="F644" s="25"/>
      <c r="G644" s="25"/>
      <c r="H644" s="25"/>
      <c r="I644" s="25"/>
      <c r="J644" s="25"/>
      <c r="K644" s="25"/>
      <c r="L644" s="25"/>
      <c r="M644" s="25"/>
      <c r="N644" s="25">
        <v>10</v>
      </c>
      <c r="O644" s="25"/>
      <c r="P644" s="25"/>
      <c r="Q644" s="22">
        <f t="shared" si="10"/>
        <v>10</v>
      </c>
    </row>
    <row r="645" spans="1:17" ht="15.75" customHeight="1">
      <c r="A645" s="19">
        <v>643</v>
      </c>
      <c r="B645" s="20" t="s">
        <v>1319</v>
      </c>
      <c r="C645" s="20" t="s">
        <v>1291</v>
      </c>
      <c r="D645" s="20" t="s">
        <v>1318</v>
      </c>
      <c r="E645" s="21"/>
      <c r="F645" s="21"/>
      <c r="G645" s="21"/>
      <c r="H645" s="21"/>
      <c r="I645" s="21"/>
      <c r="J645" s="21"/>
      <c r="K645" s="21"/>
      <c r="L645" s="21"/>
      <c r="M645" s="21"/>
      <c r="N645" s="21">
        <v>4</v>
      </c>
      <c r="O645" s="21"/>
      <c r="P645" s="21"/>
      <c r="Q645" s="22">
        <f t="shared" si="10"/>
        <v>4</v>
      </c>
    </row>
    <row r="646" spans="1:17" ht="15.75" customHeight="1">
      <c r="A646" s="23">
        <v>644</v>
      </c>
      <c r="B646" s="24" t="s">
        <v>1320</v>
      </c>
      <c r="C646" s="24" t="s">
        <v>1150</v>
      </c>
      <c r="D646" s="24" t="s">
        <v>1318</v>
      </c>
      <c r="E646" s="25"/>
      <c r="F646" s="25"/>
      <c r="G646" s="25"/>
      <c r="H646" s="25"/>
      <c r="I646" s="25"/>
      <c r="J646" s="25"/>
      <c r="K646" s="25"/>
      <c r="L646" s="25"/>
      <c r="M646" s="25"/>
      <c r="N646" s="25">
        <v>5</v>
      </c>
      <c r="O646" s="25"/>
      <c r="P646" s="25"/>
      <c r="Q646" s="22">
        <f t="shared" si="10"/>
        <v>5</v>
      </c>
    </row>
    <row r="647" spans="1:17" ht="15.75" customHeight="1">
      <c r="A647" s="19">
        <v>645</v>
      </c>
      <c r="B647" s="20" t="s">
        <v>1321</v>
      </c>
      <c r="C647" s="20" t="s">
        <v>1322</v>
      </c>
      <c r="D647" s="20" t="s">
        <v>1323</v>
      </c>
      <c r="E647" s="21"/>
      <c r="F647" s="21"/>
      <c r="G647" s="21"/>
      <c r="H647" s="21"/>
      <c r="I647" s="21"/>
      <c r="J647" s="21"/>
      <c r="K647" s="21"/>
      <c r="L647" s="21"/>
      <c r="M647" s="21">
        <v>5</v>
      </c>
      <c r="N647" s="21"/>
      <c r="O647" s="21"/>
      <c r="P647" s="21"/>
      <c r="Q647" s="22">
        <f t="shared" si="10"/>
        <v>5</v>
      </c>
    </row>
    <row r="648" spans="1:17" ht="15.75" customHeight="1">
      <c r="A648" s="23">
        <v>646</v>
      </c>
      <c r="B648" s="24" t="s">
        <v>1324</v>
      </c>
      <c r="C648" s="24" t="s">
        <v>1325</v>
      </c>
      <c r="D648" s="24" t="s">
        <v>1323</v>
      </c>
      <c r="E648" s="25"/>
      <c r="F648" s="25"/>
      <c r="G648" s="25"/>
      <c r="H648" s="25"/>
      <c r="I648" s="25"/>
      <c r="J648" s="25"/>
      <c r="K648" s="25"/>
      <c r="L648" s="25"/>
      <c r="M648" s="25">
        <v>4</v>
      </c>
      <c r="N648" s="25"/>
      <c r="O648" s="25"/>
      <c r="P648" s="25"/>
      <c r="Q648" s="22">
        <f t="shared" si="10"/>
        <v>4</v>
      </c>
    </row>
    <row r="649" spans="1:17" ht="15.75" customHeight="1">
      <c r="A649" s="19">
        <v>647</v>
      </c>
      <c r="B649" s="20" t="s">
        <v>1326</v>
      </c>
      <c r="C649" s="20" t="s">
        <v>1327</v>
      </c>
      <c r="D649" s="20" t="s">
        <v>1323</v>
      </c>
      <c r="E649" s="21"/>
      <c r="F649" s="21"/>
      <c r="G649" s="21"/>
      <c r="H649" s="21"/>
      <c r="I649" s="21"/>
      <c r="J649" s="21"/>
      <c r="K649" s="21"/>
      <c r="L649" s="21"/>
      <c r="M649" s="21">
        <v>8</v>
      </c>
      <c r="N649" s="21"/>
      <c r="O649" s="21"/>
      <c r="P649" s="21"/>
      <c r="Q649" s="22">
        <f t="shared" si="10"/>
        <v>8</v>
      </c>
    </row>
    <row r="650" spans="1:17" ht="15.75" customHeight="1">
      <c r="A650" s="23">
        <v>648</v>
      </c>
      <c r="B650" s="24" t="s">
        <v>1328</v>
      </c>
      <c r="C650" s="24" t="s">
        <v>1329</v>
      </c>
      <c r="D650" s="24" t="s">
        <v>1323</v>
      </c>
      <c r="E650" s="25"/>
      <c r="F650" s="25"/>
      <c r="G650" s="25"/>
      <c r="H650" s="25"/>
      <c r="I650" s="25"/>
      <c r="J650" s="25"/>
      <c r="K650" s="25"/>
      <c r="L650" s="25"/>
      <c r="M650" s="25">
        <v>2</v>
      </c>
      <c r="N650" s="25"/>
      <c r="O650" s="25"/>
      <c r="P650" s="25"/>
      <c r="Q650" s="22">
        <f t="shared" si="10"/>
        <v>2</v>
      </c>
    </row>
    <row r="651" spans="1:17" ht="15.75" customHeight="1">
      <c r="A651" s="19">
        <v>649</v>
      </c>
      <c r="B651" s="20" t="s">
        <v>1330</v>
      </c>
      <c r="C651" s="20" t="s">
        <v>626</v>
      </c>
      <c r="D651" s="27" t="s">
        <v>1104</v>
      </c>
      <c r="E651" s="21"/>
      <c r="F651" s="21"/>
      <c r="G651" s="21"/>
      <c r="H651" s="21"/>
      <c r="I651" s="21"/>
      <c r="J651" s="21"/>
      <c r="K651" s="21"/>
      <c r="L651" s="21"/>
      <c r="M651" s="21">
        <v>50</v>
      </c>
      <c r="N651" s="21">
        <v>50</v>
      </c>
      <c r="O651" s="21"/>
      <c r="P651" s="21"/>
      <c r="Q651" s="22">
        <f t="shared" si="10"/>
        <v>100</v>
      </c>
    </row>
    <row r="652" spans="1:17" ht="15.75" customHeight="1">
      <c r="A652" s="23">
        <v>650</v>
      </c>
      <c r="B652" s="24" t="s">
        <v>1331</v>
      </c>
      <c r="C652" s="24" t="s">
        <v>1332</v>
      </c>
      <c r="D652" s="24" t="s">
        <v>1333</v>
      </c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>
        <v>7</v>
      </c>
      <c r="Q652" s="22">
        <f t="shared" si="10"/>
        <v>7</v>
      </c>
    </row>
    <row r="653" spans="1:17" ht="15.75" customHeight="1">
      <c r="A653" s="19">
        <v>651</v>
      </c>
      <c r="B653" s="20" t="s">
        <v>1334</v>
      </c>
      <c r="C653" s="20" t="s">
        <v>1335</v>
      </c>
      <c r="D653" s="20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>
        <v>40</v>
      </c>
      <c r="P653" s="21"/>
      <c r="Q653" s="22">
        <f t="shared" si="10"/>
        <v>40</v>
      </c>
    </row>
    <row r="654" spans="1:17" ht="15.75" customHeight="1">
      <c r="A654" s="23">
        <v>652</v>
      </c>
      <c r="B654" s="24" t="s">
        <v>1336</v>
      </c>
      <c r="C654" s="24" t="s">
        <v>1337</v>
      </c>
      <c r="D654" s="24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>
        <v>6</v>
      </c>
      <c r="P654" s="25"/>
      <c r="Q654" s="22">
        <f t="shared" si="10"/>
        <v>6</v>
      </c>
    </row>
    <row r="655" spans="1:17" ht="15.75" customHeight="1">
      <c r="A655" s="19">
        <v>653</v>
      </c>
      <c r="B655" s="20" t="s">
        <v>1338</v>
      </c>
      <c r="C655" s="20" t="s">
        <v>811</v>
      </c>
      <c r="D655" s="20" t="s">
        <v>1339</v>
      </c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>
        <v>80</v>
      </c>
      <c r="Q655" s="22">
        <f t="shared" si="10"/>
        <v>80</v>
      </c>
    </row>
    <row r="656" spans="1:17" ht="15.75" customHeight="1">
      <c r="A656" s="23">
        <v>654</v>
      </c>
      <c r="B656" s="24" t="s">
        <v>1340</v>
      </c>
      <c r="C656" s="24" t="s">
        <v>913</v>
      </c>
      <c r="D656" s="24" t="s">
        <v>1341</v>
      </c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>
        <v>50</v>
      </c>
      <c r="Q656" s="22">
        <f t="shared" si="10"/>
        <v>50</v>
      </c>
    </row>
    <row r="657" spans="1:17" ht="15.75" customHeight="1">
      <c r="A657" s="19">
        <v>655</v>
      </c>
      <c r="B657" s="20" t="s">
        <v>1342</v>
      </c>
      <c r="C657" s="20" t="s">
        <v>1343</v>
      </c>
      <c r="D657" s="20" t="s">
        <v>1344</v>
      </c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>
        <v>10</v>
      </c>
      <c r="Q657" s="22">
        <f t="shared" si="10"/>
        <v>10</v>
      </c>
    </row>
    <row r="658" spans="1:17" ht="15.75" customHeight="1">
      <c r="A658" s="23">
        <v>656</v>
      </c>
      <c r="B658" s="24" t="s">
        <v>1345</v>
      </c>
      <c r="C658" s="24" t="s">
        <v>351</v>
      </c>
      <c r="D658" s="24" t="s">
        <v>1346</v>
      </c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>
        <v>8</v>
      </c>
      <c r="Q658" s="22">
        <f t="shared" si="10"/>
        <v>8</v>
      </c>
    </row>
    <row r="659" spans="1:17" ht="15.75" customHeight="1">
      <c r="A659" s="19">
        <v>657</v>
      </c>
      <c r="B659" s="20" t="s">
        <v>1347</v>
      </c>
      <c r="C659" s="20" t="s">
        <v>357</v>
      </c>
      <c r="D659" s="20" t="s">
        <v>1348</v>
      </c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>
        <v>8</v>
      </c>
      <c r="Q659" s="22">
        <f t="shared" si="10"/>
        <v>8</v>
      </c>
    </row>
    <row r="660" spans="1:17" ht="15.75" customHeight="1">
      <c r="A660" s="23">
        <v>658</v>
      </c>
      <c r="B660" s="24" t="s">
        <v>1349</v>
      </c>
      <c r="C660" s="24" t="s">
        <v>1350</v>
      </c>
      <c r="D660" s="24" t="s">
        <v>32</v>
      </c>
      <c r="E660" s="25"/>
      <c r="F660" s="25"/>
      <c r="G660" s="25"/>
      <c r="H660" s="25"/>
      <c r="I660" s="25"/>
      <c r="J660" s="25"/>
      <c r="K660" s="25">
        <v>20</v>
      </c>
      <c r="L660" s="25"/>
      <c r="M660" s="25"/>
      <c r="N660" s="25"/>
      <c r="O660" s="25"/>
      <c r="P660" s="25"/>
      <c r="Q660" s="22">
        <f t="shared" si="10"/>
        <v>20</v>
      </c>
    </row>
    <row r="661" spans="1:17" ht="15.75" customHeight="1">
      <c r="A661" s="19">
        <v>659</v>
      </c>
      <c r="B661" s="20" t="s">
        <v>1351</v>
      </c>
      <c r="C661" s="20" t="s">
        <v>1350</v>
      </c>
      <c r="D661" s="20" t="s">
        <v>184</v>
      </c>
      <c r="E661" s="21"/>
      <c r="F661" s="21"/>
      <c r="G661" s="21"/>
      <c r="H661" s="21"/>
      <c r="I661" s="21"/>
      <c r="J661" s="21"/>
      <c r="K661" s="21"/>
      <c r="L661" s="21"/>
      <c r="M661" s="21"/>
      <c r="N661" s="21">
        <v>35</v>
      </c>
      <c r="O661" s="21"/>
      <c r="P661" s="21"/>
      <c r="Q661" s="22">
        <f t="shared" si="10"/>
        <v>35</v>
      </c>
    </row>
    <row r="662" spans="1:17" ht="15.75" customHeight="1">
      <c r="A662" s="23">
        <v>660</v>
      </c>
      <c r="B662" s="24" t="s">
        <v>1352</v>
      </c>
      <c r="C662" s="24" t="s">
        <v>1350</v>
      </c>
      <c r="D662" s="24" t="s">
        <v>22</v>
      </c>
      <c r="E662" s="25"/>
      <c r="F662" s="25"/>
      <c r="G662" s="25"/>
      <c r="H662" s="25"/>
      <c r="I662" s="25"/>
      <c r="J662" s="25"/>
      <c r="K662" s="25">
        <v>20</v>
      </c>
      <c r="L662" s="25"/>
      <c r="M662" s="25"/>
      <c r="N662" s="25"/>
      <c r="O662" s="25"/>
      <c r="P662" s="25"/>
      <c r="Q662" s="22">
        <f t="shared" si="10"/>
        <v>20</v>
      </c>
    </row>
    <row r="663" spans="1:17" ht="15.75" customHeight="1">
      <c r="A663" s="19">
        <v>661</v>
      </c>
      <c r="B663" s="20" t="s">
        <v>1353</v>
      </c>
      <c r="C663" s="20" t="s">
        <v>1350</v>
      </c>
      <c r="D663" s="20" t="s">
        <v>57</v>
      </c>
      <c r="E663" s="21"/>
      <c r="F663" s="21"/>
      <c r="G663" s="21"/>
      <c r="H663" s="21"/>
      <c r="I663" s="21"/>
      <c r="J663" s="21"/>
      <c r="K663" s="21"/>
      <c r="L663" s="21"/>
      <c r="M663" s="21"/>
      <c r="N663" s="21">
        <v>8</v>
      </c>
      <c r="O663" s="21"/>
      <c r="P663" s="21"/>
      <c r="Q663" s="22">
        <f t="shared" si="10"/>
        <v>8</v>
      </c>
    </row>
    <row r="664" spans="1:17" ht="15.75" customHeight="1">
      <c r="A664" s="23">
        <v>662</v>
      </c>
      <c r="B664" s="24" t="s">
        <v>1354</v>
      </c>
      <c r="C664" s="24" t="s">
        <v>1355</v>
      </c>
      <c r="D664" s="24" t="s">
        <v>170</v>
      </c>
      <c r="E664" s="25"/>
      <c r="F664" s="25"/>
      <c r="G664" s="25"/>
      <c r="H664" s="25"/>
      <c r="I664" s="25"/>
      <c r="J664" s="25">
        <v>24</v>
      </c>
      <c r="K664" s="25"/>
      <c r="L664" s="25"/>
      <c r="M664" s="25"/>
      <c r="N664" s="25"/>
      <c r="O664" s="25"/>
      <c r="P664" s="25"/>
      <c r="Q664" s="22">
        <f t="shared" si="10"/>
        <v>24</v>
      </c>
    </row>
    <row r="665" spans="1:17" ht="15.75" customHeight="1">
      <c r="A665" s="19">
        <v>663</v>
      </c>
      <c r="B665" s="20" t="s">
        <v>1356</v>
      </c>
      <c r="C665" s="20" t="s">
        <v>1357</v>
      </c>
      <c r="D665" s="20" t="s">
        <v>20</v>
      </c>
      <c r="E665" s="21">
        <v>35</v>
      </c>
      <c r="F665" s="21"/>
      <c r="G665" s="21"/>
      <c r="H665" s="21">
        <v>35</v>
      </c>
      <c r="I665" s="21"/>
      <c r="J665" s="21"/>
      <c r="K665" s="21"/>
      <c r="L665" s="21"/>
      <c r="M665" s="21"/>
      <c r="N665" s="21">
        <v>27</v>
      </c>
      <c r="O665" s="21"/>
      <c r="P665" s="21"/>
      <c r="Q665" s="22">
        <f t="shared" si="10"/>
        <v>97</v>
      </c>
    </row>
    <row r="666" spans="1:17" ht="15.75" customHeight="1">
      <c r="A666" s="23">
        <v>664</v>
      </c>
      <c r="B666" s="24" t="s">
        <v>1358</v>
      </c>
      <c r="C666" s="24" t="s">
        <v>1357</v>
      </c>
      <c r="D666" s="24" t="s">
        <v>170</v>
      </c>
      <c r="E666" s="25"/>
      <c r="F666" s="25"/>
      <c r="G666" s="25">
        <v>20</v>
      </c>
      <c r="H666" s="25"/>
      <c r="I666" s="25"/>
      <c r="J666" s="25"/>
      <c r="K666" s="25"/>
      <c r="L666" s="25"/>
      <c r="M666" s="25"/>
      <c r="N666" s="25"/>
      <c r="O666" s="25"/>
      <c r="P666" s="25"/>
      <c r="Q666" s="22">
        <f t="shared" si="10"/>
        <v>20</v>
      </c>
    </row>
    <row r="667" spans="1:17" ht="15.75" customHeight="1">
      <c r="A667" s="19">
        <v>665</v>
      </c>
      <c r="B667" s="20" t="s">
        <v>1359</v>
      </c>
      <c r="C667" s="20" t="s">
        <v>1357</v>
      </c>
      <c r="D667" s="20" t="s">
        <v>32</v>
      </c>
      <c r="E667" s="21">
        <v>10</v>
      </c>
      <c r="F667" s="21"/>
      <c r="G667" s="21">
        <v>21</v>
      </c>
      <c r="H667" s="21"/>
      <c r="I667" s="21"/>
      <c r="J667" s="21"/>
      <c r="K667" s="21"/>
      <c r="L667" s="21"/>
      <c r="M667" s="21"/>
      <c r="N667" s="21"/>
      <c r="O667" s="21"/>
      <c r="P667" s="21"/>
      <c r="Q667" s="22">
        <f t="shared" si="10"/>
        <v>31</v>
      </c>
    </row>
    <row r="668" spans="1:17" ht="15.75" customHeight="1">
      <c r="A668" s="23">
        <v>666</v>
      </c>
      <c r="B668" s="24" t="s">
        <v>1360</v>
      </c>
      <c r="C668" s="24" t="s">
        <v>1357</v>
      </c>
      <c r="D668" s="24" t="s">
        <v>26</v>
      </c>
      <c r="E668" s="25">
        <v>68</v>
      </c>
      <c r="F668" s="25">
        <v>254</v>
      </c>
      <c r="G668" s="25"/>
      <c r="H668" s="25">
        <v>8</v>
      </c>
      <c r="I668" s="25"/>
      <c r="J668" s="25"/>
      <c r="K668" s="25">
        <v>14</v>
      </c>
      <c r="L668" s="25"/>
      <c r="M668" s="25"/>
      <c r="N668" s="25"/>
      <c r="O668" s="25"/>
      <c r="P668" s="25"/>
      <c r="Q668" s="22">
        <f t="shared" si="10"/>
        <v>344</v>
      </c>
    </row>
    <row r="669" spans="1:17" ht="15.75" customHeight="1">
      <c r="A669" s="19">
        <v>667</v>
      </c>
      <c r="B669" s="20" t="s">
        <v>1361</v>
      </c>
      <c r="C669" s="20" t="s">
        <v>1357</v>
      </c>
      <c r="D669" s="20" t="s">
        <v>57</v>
      </c>
      <c r="E669" s="21">
        <v>20</v>
      </c>
      <c r="F669" s="21"/>
      <c r="G669" s="21">
        <v>10</v>
      </c>
      <c r="H669" s="21"/>
      <c r="I669" s="21"/>
      <c r="J669" s="21"/>
      <c r="K669" s="21"/>
      <c r="L669" s="21"/>
      <c r="M669" s="21"/>
      <c r="N669" s="21"/>
      <c r="O669" s="21"/>
      <c r="P669" s="21"/>
      <c r="Q669" s="22">
        <f t="shared" si="10"/>
        <v>30</v>
      </c>
    </row>
    <row r="670" spans="1:17" ht="15.75" customHeight="1">
      <c r="A670" s="23">
        <v>668</v>
      </c>
      <c r="B670" s="24" t="s">
        <v>1362</v>
      </c>
      <c r="C670" s="24" t="s">
        <v>1363</v>
      </c>
      <c r="D670" s="24" t="s">
        <v>20</v>
      </c>
      <c r="E670" s="25">
        <v>32</v>
      </c>
      <c r="F670" s="25"/>
      <c r="G670" s="25"/>
      <c r="H670" s="25">
        <v>10</v>
      </c>
      <c r="I670" s="25"/>
      <c r="J670" s="25"/>
      <c r="K670" s="25"/>
      <c r="L670" s="25"/>
      <c r="M670" s="25"/>
      <c r="N670" s="25"/>
      <c r="O670" s="25"/>
      <c r="P670" s="25"/>
      <c r="Q670" s="22">
        <f t="shared" si="10"/>
        <v>42</v>
      </c>
    </row>
    <row r="671" spans="1:17" ht="15.75" customHeight="1">
      <c r="A671" s="19">
        <v>669</v>
      </c>
      <c r="B671" s="20" t="s">
        <v>1364</v>
      </c>
      <c r="C671" s="20" t="s">
        <v>1363</v>
      </c>
      <c r="D671" s="20" t="s">
        <v>32</v>
      </c>
      <c r="E671" s="21">
        <v>5</v>
      </c>
      <c r="F671" s="21"/>
      <c r="G671" s="21">
        <v>1</v>
      </c>
      <c r="H671" s="21"/>
      <c r="I671" s="21"/>
      <c r="J671" s="21"/>
      <c r="K671" s="21"/>
      <c r="L671" s="21"/>
      <c r="M671" s="21"/>
      <c r="N671" s="21"/>
      <c r="O671" s="21"/>
      <c r="P671" s="21"/>
      <c r="Q671" s="22">
        <f t="shared" si="10"/>
        <v>6</v>
      </c>
    </row>
    <row r="672" spans="1:17" ht="15.75" customHeight="1">
      <c r="A672" s="23">
        <v>670</v>
      </c>
      <c r="B672" s="24" t="s">
        <v>1365</v>
      </c>
      <c r="C672" s="24" t="s">
        <v>1363</v>
      </c>
      <c r="D672" s="24" t="s">
        <v>22</v>
      </c>
      <c r="E672" s="25"/>
      <c r="F672" s="25"/>
      <c r="G672" s="25">
        <v>20</v>
      </c>
      <c r="H672" s="25"/>
      <c r="I672" s="25"/>
      <c r="J672" s="25"/>
      <c r="K672" s="25"/>
      <c r="L672" s="25"/>
      <c r="M672" s="25"/>
      <c r="N672" s="25"/>
      <c r="O672" s="25"/>
      <c r="P672" s="25"/>
      <c r="Q672" s="22">
        <f t="shared" si="10"/>
        <v>20</v>
      </c>
    </row>
    <row r="673" spans="1:17" ht="15.75" customHeight="1">
      <c r="A673" s="19">
        <v>671</v>
      </c>
      <c r="B673" s="20" t="s">
        <v>1366</v>
      </c>
      <c r="C673" s="20" t="s">
        <v>1363</v>
      </c>
      <c r="D673" s="20" t="s">
        <v>26</v>
      </c>
      <c r="E673" s="21"/>
      <c r="F673" s="21">
        <v>57</v>
      </c>
      <c r="G673" s="21"/>
      <c r="H673" s="21"/>
      <c r="I673" s="21"/>
      <c r="J673" s="21"/>
      <c r="K673" s="21">
        <v>2</v>
      </c>
      <c r="L673" s="21"/>
      <c r="M673" s="21"/>
      <c r="N673" s="21"/>
      <c r="O673" s="21"/>
      <c r="P673" s="21"/>
      <c r="Q673" s="22">
        <f t="shared" si="10"/>
        <v>59</v>
      </c>
    </row>
    <row r="674" spans="1:17" ht="15.75" customHeight="1">
      <c r="A674" s="23">
        <v>672</v>
      </c>
      <c r="B674" s="24" t="s">
        <v>1367</v>
      </c>
      <c r="C674" s="24" t="s">
        <v>1363</v>
      </c>
      <c r="D674" s="24" t="s">
        <v>57</v>
      </c>
      <c r="E674" s="25">
        <v>22</v>
      </c>
      <c r="F674" s="25"/>
      <c r="G674" s="25">
        <v>5</v>
      </c>
      <c r="H674" s="25"/>
      <c r="I674" s="25"/>
      <c r="J674" s="25"/>
      <c r="K674" s="25"/>
      <c r="L674" s="25"/>
      <c r="M674" s="25"/>
      <c r="N674" s="25"/>
      <c r="O674" s="25"/>
      <c r="P674" s="25"/>
      <c r="Q674" s="22">
        <f t="shared" si="10"/>
        <v>27</v>
      </c>
    </row>
    <row r="675" spans="1:17" ht="15.75" customHeight="1">
      <c r="A675" s="19">
        <v>673</v>
      </c>
      <c r="B675" s="20" t="s">
        <v>1368</v>
      </c>
      <c r="C675" s="20" t="s">
        <v>1355</v>
      </c>
      <c r="D675" s="20" t="s">
        <v>259</v>
      </c>
      <c r="E675" s="21"/>
      <c r="F675" s="21"/>
      <c r="G675" s="21"/>
      <c r="H675" s="21"/>
      <c r="I675" s="21"/>
      <c r="J675" s="21">
        <v>54</v>
      </c>
      <c r="K675" s="21"/>
      <c r="L675" s="21"/>
      <c r="M675" s="21"/>
      <c r="N675" s="21"/>
      <c r="O675" s="21"/>
      <c r="P675" s="21"/>
      <c r="Q675" s="22">
        <f t="shared" si="10"/>
        <v>54</v>
      </c>
    </row>
    <row r="676" spans="1:17" ht="15.75" customHeight="1">
      <c r="A676" s="23">
        <v>674</v>
      </c>
      <c r="B676" s="24" t="s">
        <v>1369</v>
      </c>
      <c r="C676" s="24" t="s">
        <v>1370</v>
      </c>
      <c r="D676" s="24" t="s">
        <v>20</v>
      </c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>
        <v>2</v>
      </c>
      <c r="Q676" s="22">
        <f t="shared" si="10"/>
        <v>2</v>
      </c>
    </row>
    <row r="677" spans="1:17" ht="15.75" customHeight="1">
      <c r="A677" s="19">
        <v>675</v>
      </c>
      <c r="B677" s="20" t="s">
        <v>1371</v>
      </c>
      <c r="C677" s="20" t="s">
        <v>1370</v>
      </c>
      <c r="D677" s="20" t="s">
        <v>32</v>
      </c>
      <c r="E677" s="21">
        <v>10</v>
      </c>
      <c r="F677" s="21"/>
      <c r="G677" s="21"/>
      <c r="H677" s="21">
        <v>10</v>
      </c>
      <c r="I677" s="21"/>
      <c r="J677" s="21"/>
      <c r="K677" s="21"/>
      <c r="L677" s="21"/>
      <c r="M677" s="21"/>
      <c r="N677" s="21"/>
      <c r="O677" s="21"/>
      <c r="P677" s="21"/>
      <c r="Q677" s="22">
        <f t="shared" si="10"/>
        <v>20</v>
      </c>
    </row>
    <row r="678" spans="1:17" ht="15.75" customHeight="1">
      <c r="A678" s="23">
        <v>676</v>
      </c>
      <c r="B678" s="24" t="s">
        <v>1372</v>
      </c>
      <c r="C678" s="24" t="s">
        <v>1373</v>
      </c>
      <c r="D678" s="24" t="s">
        <v>20</v>
      </c>
      <c r="E678" s="25">
        <v>1</v>
      </c>
      <c r="F678" s="25">
        <v>1</v>
      </c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2">
        <f t="shared" si="10"/>
        <v>2</v>
      </c>
    </row>
    <row r="679" spans="1:17" ht="15.75" customHeight="1">
      <c r="A679" s="19">
        <v>677</v>
      </c>
      <c r="B679" s="20" t="s">
        <v>1374</v>
      </c>
      <c r="C679" s="20" t="s">
        <v>1363</v>
      </c>
      <c r="D679" s="20" t="s">
        <v>118</v>
      </c>
      <c r="E679" s="21"/>
      <c r="F679" s="21"/>
      <c r="G679" s="21"/>
      <c r="H679" s="21"/>
      <c r="I679" s="21"/>
      <c r="J679" s="21"/>
      <c r="K679" s="21"/>
      <c r="L679" s="21"/>
      <c r="M679" s="21">
        <v>52</v>
      </c>
      <c r="N679" s="21">
        <v>5</v>
      </c>
      <c r="O679" s="21"/>
      <c r="P679" s="21"/>
      <c r="Q679" s="22">
        <f t="shared" si="10"/>
        <v>57</v>
      </c>
    </row>
    <row r="680" spans="1:17" ht="15.75" customHeight="1">
      <c r="A680" s="23">
        <v>678</v>
      </c>
      <c r="B680" s="24" t="s">
        <v>1375</v>
      </c>
      <c r="C680" s="24" t="s">
        <v>1357</v>
      </c>
      <c r="D680" s="24" t="s">
        <v>118</v>
      </c>
      <c r="E680" s="25"/>
      <c r="F680" s="25"/>
      <c r="G680" s="25"/>
      <c r="H680" s="25"/>
      <c r="I680" s="25"/>
      <c r="J680" s="25"/>
      <c r="K680" s="25"/>
      <c r="L680" s="25"/>
      <c r="M680" s="25"/>
      <c r="N680" s="25">
        <v>13</v>
      </c>
      <c r="O680" s="25"/>
      <c r="P680" s="25"/>
      <c r="Q680" s="22">
        <f t="shared" si="10"/>
        <v>13</v>
      </c>
    </row>
    <row r="681" spans="1:17" ht="15.75" customHeight="1">
      <c r="A681" s="19">
        <v>679</v>
      </c>
      <c r="B681" s="20" t="s">
        <v>1376</v>
      </c>
      <c r="C681" s="20" t="s">
        <v>1357</v>
      </c>
      <c r="D681" s="20" t="s">
        <v>24</v>
      </c>
      <c r="E681" s="21"/>
      <c r="F681" s="21"/>
      <c r="G681" s="21"/>
      <c r="H681" s="21"/>
      <c r="I681" s="21"/>
      <c r="J681" s="21"/>
      <c r="K681" s="21"/>
      <c r="L681" s="21"/>
      <c r="M681" s="21"/>
      <c r="N681" s="21">
        <v>30</v>
      </c>
      <c r="O681" s="21"/>
      <c r="P681" s="21"/>
      <c r="Q681" s="22">
        <f t="shared" si="10"/>
        <v>30</v>
      </c>
    </row>
    <row r="682" spans="1:17" ht="15.75" customHeight="1">
      <c r="A682" s="23">
        <v>680</v>
      </c>
      <c r="B682" s="24" t="s">
        <v>1377</v>
      </c>
      <c r="C682" s="24" t="s">
        <v>1355</v>
      </c>
      <c r="D682" s="24" t="s">
        <v>20</v>
      </c>
      <c r="E682" s="25">
        <v>3</v>
      </c>
      <c r="F682" s="25">
        <v>3</v>
      </c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2">
        <f t="shared" si="10"/>
        <v>6</v>
      </c>
    </row>
    <row r="683" spans="1:17" ht="15.75" customHeight="1">
      <c r="A683" s="19">
        <v>681</v>
      </c>
      <c r="B683" s="20" t="s">
        <v>1378</v>
      </c>
      <c r="C683" s="20" t="s">
        <v>1379</v>
      </c>
      <c r="D683" s="20" t="s">
        <v>24</v>
      </c>
      <c r="E683" s="21">
        <v>5</v>
      </c>
      <c r="F683" s="21"/>
      <c r="G683" s="21"/>
      <c r="H683" s="21">
        <v>4</v>
      </c>
      <c r="I683" s="21"/>
      <c r="J683" s="21">
        <v>2</v>
      </c>
      <c r="K683" s="21"/>
      <c r="L683" s="21">
        <v>4</v>
      </c>
      <c r="M683" s="21"/>
      <c r="N683" s="21"/>
      <c r="O683" s="21"/>
      <c r="P683" s="21"/>
      <c r="Q683" s="22">
        <f t="shared" si="10"/>
        <v>15</v>
      </c>
    </row>
    <row r="684" spans="1:17" ht="15.75" customHeight="1">
      <c r="A684" s="23">
        <v>682</v>
      </c>
      <c r="B684" s="24" t="s">
        <v>1380</v>
      </c>
      <c r="C684" s="24" t="s">
        <v>1379</v>
      </c>
      <c r="D684" s="24" t="s">
        <v>118</v>
      </c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>
        <v>2</v>
      </c>
      <c r="Q684" s="22">
        <f t="shared" si="10"/>
        <v>2</v>
      </c>
    </row>
    <row r="685" spans="1:17" ht="15.75" customHeight="1">
      <c r="A685" s="19">
        <v>683</v>
      </c>
      <c r="B685" s="20" t="s">
        <v>1381</v>
      </c>
      <c r="C685" s="20" t="s">
        <v>1382</v>
      </c>
      <c r="D685" s="20" t="s">
        <v>32</v>
      </c>
      <c r="E685" s="21"/>
      <c r="F685" s="21">
        <v>6</v>
      </c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2">
        <f t="shared" si="10"/>
        <v>6</v>
      </c>
    </row>
    <row r="686" spans="1:17" ht="15.75" customHeight="1">
      <c r="A686" s="23">
        <v>684</v>
      </c>
      <c r="B686" s="24" t="s">
        <v>1383</v>
      </c>
      <c r="C686" s="24" t="s">
        <v>1357</v>
      </c>
      <c r="D686" s="24" t="s">
        <v>1384</v>
      </c>
      <c r="E686" s="25"/>
      <c r="F686" s="25">
        <v>4</v>
      </c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2">
        <f t="shared" si="10"/>
        <v>4</v>
      </c>
    </row>
    <row r="687" spans="1:17" ht="15.75" customHeight="1">
      <c r="A687" s="19">
        <v>685</v>
      </c>
      <c r="B687" s="20" t="s">
        <v>1385</v>
      </c>
      <c r="C687" s="20" t="s">
        <v>1357</v>
      </c>
      <c r="D687" s="20" t="s">
        <v>1386</v>
      </c>
      <c r="E687" s="21"/>
      <c r="F687" s="21">
        <v>4</v>
      </c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2">
        <f t="shared" si="10"/>
        <v>4</v>
      </c>
    </row>
    <row r="688" spans="1:17" ht="15.75" customHeight="1">
      <c r="A688" s="23">
        <v>686</v>
      </c>
      <c r="B688" s="24" t="s">
        <v>1387</v>
      </c>
      <c r="C688" s="24" t="s">
        <v>1388</v>
      </c>
      <c r="D688" s="24" t="s">
        <v>24</v>
      </c>
      <c r="E688" s="25"/>
      <c r="F688" s="25"/>
      <c r="G688" s="25">
        <v>41</v>
      </c>
      <c r="H688" s="25"/>
      <c r="I688" s="25"/>
      <c r="J688" s="25"/>
      <c r="K688" s="25"/>
      <c r="L688" s="25"/>
      <c r="M688" s="25"/>
      <c r="N688" s="25"/>
      <c r="O688" s="25"/>
      <c r="P688" s="25"/>
      <c r="Q688" s="22">
        <f t="shared" si="10"/>
        <v>41</v>
      </c>
    </row>
    <row r="689" spans="1:17" ht="15.75" customHeight="1">
      <c r="A689" s="19">
        <v>687</v>
      </c>
      <c r="B689" s="20" t="s">
        <v>1389</v>
      </c>
      <c r="C689" s="20" t="s">
        <v>1390</v>
      </c>
      <c r="D689" s="20" t="s">
        <v>57</v>
      </c>
      <c r="E689" s="21"/>
      <c r="F689" s="21"/>
      <c r="G689" s="21"/>
      <c r="H689" s="21"/>
      <c r="I689" s="21"/>
      <c r="J689" s="21"/>
      <c r="K689" s="21"/>
      <c r="L689" s="21">
        <v>13</v>
      </c>
      <c r="M689" s="21"/>
      <c r="N689" s="21"/>
      <c r="O689" s="21"/>
      <c r="P689" s="21"/>
      <c r="Q689" s="22">
        <f t="shared" si="10"/>
        <v>13</v>
      </c>
    </row>
    <row r="690" spans="1:17" ht="15.75" customHeight="1">
      <c r="A690" s="23">
        <v>688</v>
      </c>
      <c r="B690" s="24" t="s">
        <v>1391</v>
      </c>
      <c r="C690" s="24" t="s">
        <v>1392</v>
      </c>
      <c r="D690" s="24" t="s">
        <v>1393</v>
      </c>
      <c r="E690" s="25"/>
      <c r="F690" s="25"/>
      <c r="G690" s="25"/>
      <c r="H690" s="25"/>
      <c r="I690" s="25"/>
      <c r="J690" s="25"/>
      <c r="K690" s="25"/>
      <c r="L690" s="25"/>
      <c r="M690" s="25"/>
      <c r="N690" s="25">
        <v>30</v>
      </c>
      <c r="O690" s="25"/>
      <c r="P690" s="25"/>
      <c r="Q690" s="22">
        <f t="shared" si="10"/>
        <v>30</v>
      </c>
    </row>
    <row r="691" spans="1:17" ht="15.75" customHeight="1">
      <c r="A691" s="19">
        <v>689</v>
      </c>
      <c r="B691" s="20" t="s">
        <v>1394</v>
      </c>
      <c r="C691" s="20" t="s">
        <v>1395</v>
      </c>
      <c r="D691" s="20" t="s">
        <v>1396</v>
      </c>
      <c r="E691" s="21">
        <v>18</v>
      </c>
      <c r="F691" s="21"/>
      <c r="G691" s="21"/>
      <c r="H691" s="21"/>
      <c r="I691" s="21">
        <v>20</v>
      </c>
      <c r="J691" s="21"/>
      <c r="K691" s="21"/>
      <c r="L691" s="21"/>
      <c r="M691" s="21"/>
      <c r="N691" s="21"/>
      <c r="O691" s="21">
        <v>1</v>
      </c>
      <c r="P691" s="21"/>
      <c r="Q691" s="22">
        <f t="shared" si="10"/>
        <v>39</v>
      </c>
    </row>
    <row r="692" spans="1:17" ht="15.75" customHeight="1">
      <c r="A692" s="23">
        <v>690</v>
      </c>
      <c r="B692" s="24" t="s">
        <v>1397</v>
      </c>
      <c r="C692" s="24" t="s">
        <v>1398</v>
      </c>
      <c r="D692" s="24" t="s">
        <v>1396</v>
      </c>
      <c r="E692" s="25"/>
      <c r="F692" s="25"/>
      <c r="G692" s="25"/>
      <c r="H692" s="25"/>
      <c r="I692" s="25"/>
      <c r="J692" s="25">
        <v>76</v>
      </c>
      <c r="K692" s="25"/>
      <c r="L692" s="25"/>
      <c r="M692" s="25"/>
      <c r="N692" s="25"/>
      <c r="O692" s="25">
        <v>31</v>
      </c>
      <c r="P692" s="25"/>
      <c r="Q692" s="22">
        <f t="shared" si="10"/>
        <v>107</v>
      </c>
    </row>
    <row r="693" spans="1:17" ht="15.75" customHeight="1">
      <c r="A693" s="19">
        <v>691</v>
      </c>
      <c r="B693" s="20" t="s">
        <v>1399</v>
      </c>
      <c r="C693" s="20" t="s">
        <v>1400</v>
      </c>
      <c r="D693" s="20" t="s">
        <v>284</v>
      </c>
      <c r="E693" s="21"/>
      <c r="F693" s="21">
        <v>96</v>
      </c>
      <c r="G693" s="21">
        <v>192</v>
      </c>
      <c r="H693" s="21"/>
      <c r="I693" s="21"/>
      <c r="J693" s="21"/>
      <c r="K693" s="21"/>
      <c r="L693" s="21"/>
      <c r="M693" s="21"/>
      <c r="N693" s="21"/>
      <c r="O693" s="21"/>
      <c r="P693" s="21"/>
      <c r="Q693" s="22">
        <f t="shared" si="10"/>
        <v>288</v>
      </c>
    </row>
    <row r="694" spans="1:17" ht="15.75" customHeight="1">
      <c r="A694" s="23">
        <v>692</v>
      </c>
      <c r="B694" s="24" t="s">
        <v>1401</v>
      </c>
      <c r="C694" s="24" t="s">
        <v>1402</v>
      </c>
      <c r="D694" s="24" t="s">
        <v>1396</v>
      </c>
      <c r="E694" s="25">
        <v>229</v>
      </c>
      <c r="F694" s="25">
        <v>32</v>
      </c>
      <c r="G694" s="25">
        <v>20</v>
      </c>
      <c r="H694" s="25">
        <v>40</v>
      </c>
      <c r="I694" s="25"/>
      <c r="J694" s="25">
        <v>168</v>
      </c>
      <c r="K694" s="25"/>
      <c r="L694" s="25">
        <v>60</v>
      </c>
      <c r="M694" s="25"/>
      <c r="N694" s="25">
        <v>20</v>
      </c>
      <c r="O694" s="25">
        <v>470</v>
      </c>
      <c r="P694" s="25">
        <v>29</v>
      </c>
      <c r="Q694" s="22">
        <f t="shared" si="10"/>
        <v>1068</v>
      </c>
    </row>
    <row r="695" spans="1:17" ht="15.75" customHeight="1">
      <c r="A695" s="19">
        <v>693</v>
      </c>
      <c r="B695" s="20" t="s">
        <v>1403</v>
      </c>
      <c r="C695" s="20" t="s">
        <v>1404</v>
      </c>
      <c r="D695" s="20" t="s">
        <v>284</v>
      </c>
      <c r="E695" s="21">
        <v>222</v>
      </c>
      <c r="F695" s="21">
        <v>10</v>
      </c>
      <c r="G695" s="21">
        <v>110</v>
      </c>
      <c r="H695" s="21"/>
      <c r="I695" s="21">
        <v>230</v>
      </c>
      <c r="J695" s="21">
        <v>100</v>
      </c>
      <c r="K695" s="21">
        <v>300</v>
      </c>
      <c r="L695" s="21"/>
      <c r="M695" s="21">
        <v>200</v>
      </c>
      <c r="N695" s="21"/>
      <c r="O695" s="21">
        <v>960</v>
      </c>
      <c r="P695" s="21">
        <v>144</v>
      </c>
      <c r="Q695" s="22">
        <f t="shared" si="10"/>
        <v>2276</v>
      </c>
    </row>
    <row r="696" spans="1:17" ht="15.75" customHeight="1">
      <c r="A696" s="23">
        <v>694</v>
      </c>
      <c r="B696" s="24" t="s">
        <v>1405</v>
      </c>
      <c r="C696" s="24" t="s">
        <v>1406</v>
      </c>
      <c r="D696" s="24" t="s">
        <v>1396</v>
      </c>
      <c r="E696" s="25">
        <v>10</v>
      </c>
      <c r="F696" s="25">
        <v>42</v>
      </c>
      <c r="G696" s="25">
        <v>54</v>
      </c>
      <c r="H696" s="25"/>
      <c r="I696" s="25">
        <v>23</v>
      </c>
      <c r="J696" s="25">
        <v>156</v>
      </c>
      <c r="K696" s="25">
        <v>21</v>
      </c>
      <c r="L696" s="25">
        <v>16</v>
      </c>
      <c r="M696" s="25"/>
      <c r="N696" s="25">
        <v>72</v>
      </c>
      <c r="O696" s="25"/>
      <c r="P696" s="25">
        <v>44</v>
      </c>
      <c r="Q696" s="22">
        <f t="shared" si="10"/>
        <v>438</v>
      </c>
    </row>
    <row r="697" spans="1:17" ht="15.75" customHeight="1">
      <c r="A697" s="19">
        <v>695</v>
      </c>
      <c r="B697" s="20" t="s">
        <v>1407</v>
      </c>
      <c r="C697" s="20" t="s">
        <v>1408</v>
      </c>
      <c r="D697" s="20" t="s">
        <v>284</v>
      </c>
      <c r="E697" s="21">
        <v>50</v>
      </c>
      <c r="F697" s="21">
        <v>282</v>
      </c>
      <c r="G697" s="21">
        <v>100</v>
      </c>
      <c r="H697" s="21"/>
      <c r="I697" s="21">
        <v>100</v>
      </c>
      <c r="J697" s="21"/>
      <c r="K697" s="21">
        <v>100</v>
      </c>
      <c r="L697" s="21">
        <v>250</v>
      </c>
      <c r="M697" s="21">
        <v>101</v>
      </c>
      <c r="N697" s="21">
        <v>200</v>
      </c>
      <c r="O697" s="21">
        <v>200</v>
      </c>
      <c r="P697" s="21">
        <v>472</v>
      </c>
      <c r="Q697" s="22">
        <f t="shared" si="10"/>
        <v>1855</v>
      </c>
    </row>
    <row r="698" spans="1:17" ht="15.75" customHeight="1">
      <c r="A698" s="23">
        <v>696</v>
      </c>
      <c r="B698" s="24" t="s">
        <v>1409</v>
      </c>
      <c r="C698" s="24" t="s">
        <v>1410</v>
      </c>
      <c r="D698" s="24" t="s">
        <v>1411</v>
      </c>
      <c r="E698" s="25"/>
      <c r="F698" s="25"/>
      <c r="G698" s="25"/>
      <c r="H698" s="25"/>
      <c r="I698" s="25"/>
      <c r="J698" s="25">
        <v>204</v>
      </c>
      <c r="K698" s="25"/>
      <c r="L698" s="25"/>
      <c r="M698" s="25">
        <v>100</v>
      </c>
      <c r="N698" s="25"/>
      <c r="O698" s="25"/>
      <c r="P698" s="25">
        <v>100</v>
      </c>
      <c r="Q698" s="22">
        <f t="shared" si="10"/>
        <v>404</v>
      </c>
    </row>
    <row r="699" spans="1:17" ht="15.75" customHeight="1">
      <c r="A699" s="19">
        <v>697</v>
      </c>
      <c r="B699" s="20" t="s">
        <v>1412</v>
      </c>
      <c r="C699" s="20" t="s">
        <v>1413</v>
      </c>
      <c r="D699" s="20" t="s">
        <v>284</v>
      </c>
      <c r="E699" s="21">
        <v>152</v>
      </c>
      <c r="F699" s="21"/>
      <c r="G699" s="21"/>
      <c r="H699" s="21"/>
      <c r="I699" s="21"/>
      <c r="J699" s="21"/>
      <c r="K699" s="21"/>
      <c r="L699" s="21"/>
      <c r="M699" s="21"/>
      <c r="N699" s="21"/>
      <c r="O699" s="21">
        <v>1</v>
      </c>
      <c r="P699" s="21">
        <v>20</v>
      </c>
      <c r="Q699" s="22">
        <f t="shared" si="10"/>
        <v>173</v>
      </c>
    </row>
    <row r="700" spans="1:17" ht="15.75" customHeight="1">
      <c r="A700" s="23">
        <v>698</v>
      </c>
      <c r="B700" s="24" t="s">
        <v>1414</v>
      </c>
      <c r="C700" s="24" t="s">
        <v>1415</v>
      </c>
      <c r="D700" s="24" t="s">
        <v>1396</v>
      </c>
      <c r="E700" s="25">
        <v>47</v>
      </c>
      <c r="F700" s="25">
        <v>35</v>
      </c>
      <c r="G700" s="25"/>
      <c r="H700" s="25">
        <v>202</v>
      </c>
      <c r="I700" s="25">
        <v>308</v>
      </c>
      <c r="J700" s="25"/>
      <c r="K700" s="25">
        <v>11</v>
      </c>
      <c r="L700" s="25">
        <v>629</v>
      </c>
      <c r="M700" s="25">
        <v>51</v>
      </c>
      <c r="N700" s="25">
        <v>240</v>
      </c>
      <c r="O700" s="25">
        <v>1510</v>
      </c>
      <c r="P700" s="25"/>
      <c r="Q700" s="22">
        <f t="shared" si="10"/>
        <v>3033</v>
      </c>
    </row>
    <row r="701" spans="1:17" ht="15.75" customHeight="1">
      <c r="A701" s="19">
        <v>699</v>
      </c>
      <c r="B701" s="20" t="s">
        <v>1416</v>
      </c>
      <c r="C701" s="20" t="s">
        <v>1417</v>
      </c>
      <c r="D701" s="20" t="s">
        <v>284</v>
      </c>
      <c r="E701" s="21">
        <v>660</v>
      </c>
      <c r="F701" s="21">
        <v>190</v>
      </c>
      <c r="G701" s="21">
        <v>520</v>
      </c>
      <c r="H701" s="21">
        <v>16230</v>
      </c>
      <c r="I701" s="21">
        <v>1096</v>
      </c>
      <c r="J701" s="21">
        <v>1366</v>
      </c>
      <c r="K701" s="21">
        <v>838</v>
      </c>
      <c r="L701" s="21"/>
      <c r="M701" s="21">
        <v>203</v>
      </c>
      <c r="N701" s="21">
        <v>400</v>
      </c>
      <c r="O701" s="21">
        <v>930</v>
      </c>
      <c r="P701" s="21">
        <v>870</v>
      </c>
      <c r="Q701" s="22">
        <f t="shared" si="10"/>
        <v>23303</v>
      </c>
    </row>
    <row r="702" spans="1:17" ht="15.75" customHeight="1">
      <c r="A702" s="23">
        <v>700</v>
      </c>
      <c r="B702" s="24" t="s">
        <v>1418</v>
      </c>
      <c r="C702" s="24" t="s">
        <v>1419</v>
      </c>
      <c r="D702" s="24" t="s">
        <v>284</v>
      </c>
      <c r="E702" s="25"/>
      <c r="F702" s="25"/>
      <c r="G702" s="25"/>
      <c r="H702" s="25">
        <v>241</v>
      </c>
      <c r="I702" s="25"/>
      <c r="J702" s="25"/>
      <c r="K702" s="25"/>
      <c r="L702" s="25"/>
      <c r="M702" s="25"/>
      <c r="N702" s="25"/>
      <c r="O702" s="25"/>
      <c r="P702" s="25"/>
      <c r="Q702" s="22">
        <f t="shared" si="10"/>
        <v>241</v>
      </c>
    </row>
    <row r="703" spans="1:17" ht="15.75" customHeight="1">
      <c r="A703" s="19">
        <v>701</v>
      </c>
      <c r="B703" s="20" t="s">
        <v>1420</v>
      </c>
      <c r="C703" s="20" t="s">
        <v>1421</v>
      </c>
      <c r="D703" s="20" t="s">
        <v>284</v>
      </c>
      <c r="E703" s="21">
        <v>165</v>
      </c>
      <c r="F703" s="21">
        <v>668</v>
      </c>
      <c r="G703" s="21">
        <v>278</v>
      </c>
      <c r="H703" s="21">
        <v>143</v>
      </c>
      <c r="I703" s="21">
        <v>151</v>
      </c>
      <c r="J703" s="21">
        <v>258</v>
      </c>
      <c r="K703" s="21">
        <v>351</v>
      </c>
      <c r="L703" s="21">
        <v>88</v>
      </c>
      <c r="M703" s="21">
        <v>136</v>
      </c>
      <c r="N703" s="21">
        <v>662</v>
      </c>
      <c r="O703" s="21">
        <v>748</v>
      </c>
      <c r="P703" s="21">
        <v>154</v>
      </c>
      <c r="Q703" s="22">
        <f t="shared" si="10"/>
        <v>3802</v>
      </c>
    </row>
    <row r="704" spans="1:17" ht="15.75" customHeight="1">
      <c r="A704" s="23">
        <v>702</v>
      </c>
      <c r="B704" s="24" t="s">
        <v>1422</v>
      </c>
      <c r="C704" s="24" t="s">
        <v>1423</v>
      </c>
      <c r="D704" s="24" t="s">
        <v>284</v>
      </c>
      <c r="E704" s="25">
        <v>1</v>
      </c>
      <c r="F704" s="25">
        <v>20</v>
      </c>
      <c r="G704" s="25">
        <v>50</v>
      </c>
      <c r="H704" s="25">
        <v>6</v>
      </c>
      <c r="I704" s="25">
        <v>8</v>
      </c>
      <c r="J704" s="25"/>
      <c r="K704" s="25">
        <v>3</v>
      </c>
      <c r="L704" s="25"/>
      <c r="M704" s="25"/>
      <c r="N704" s="25">
        <v>18</v>
      </c>
      <c r="O704" s="25">
        <v>1</v>
      </c>
      <c r="P704" s="25">
        <v>13</v>
      </c>
      <c r="Q704" s="22">
        <f t="shared" si="10"/>
        <v>120</v>
      </c>
    </row>
    <row r="705" spans="1:17" ht="15.75" customHeight="1">
      <c r="A705" s="19">
        <v>703</v>
      </c>
      <c r="B705" s="20" t="s">
        <v>1424</v>
      </c>
      <c r="C705" s="20" t="s">
        <v>1415</v>
      </c>
      <c r="D705" s="20" t="s">
        <v>1425</v>
      </c>
      <c r="E705" s="21">
        <v>21</v>
      </c>
      <c r="F705" s="21">
        <v>202</v>
      </c>
      <c r="G705" s="21">
        <v>11</v>
      </c>
      <c r="H705" s="21">
        <v>88</v>
      </c>
      <c r="I705" s="21"/>
      <c r="J705" s="21">
        <v>20</v>
      </c>
      <c r="K705" s="21">
        <v>115</v>
      </c>
      <c r="L705" s="21">
        <v>63</v>
      </c>
      <c r="M705" s="21">
        <v>25</v>
      </c>
      <c r="N705" s="21">
        <v>88</v>
      </c>
      <c r="O705" s="21">
        <v>14</v>
      </c>
      <c r="P705" s="21">
        <v>137</v>
      </c>
      <c r="Q705" s="22">
        <f t="shared" si="10"/>
        <v>784</v>
      </c>
    </row>
    <row r="706" spans="1:17" ht="15.75" customHeight="1">
      <c r="A706" s="23">
        <v>704</v>
      </c>
      <c r="B706" s="24" t="s">
        <v>1426</v>
      </c>
      <c r="C706" s="24" t="s">
        <v>1406</v>
      </c>
      <c r="D706" s="24" t="s">
        <v>1425</v>
      </c>
      <c r="E706" s="25"/>
      <c r="F706" s="25">
        <v>6</v>
      </c>
      <c r="G706" s="25"/>
      <c r="H706" s="25"/>
      <c r="I706" s="25"/>
      <c r="J706" s="25">
        <v>4</v>
      </c>
      <c r="K706" s="25"/>
      <c r="L706" s="25"/>
      <c r="M706" s="25"/>
      <c r="N706" s="25"/>
      <c r="O706" s="25"/>
      <c r="P706" s="25"/>
      <c r="Q706" s="22">
        <f t="shared" si="10"/>
        <v>10</v>
      </c>
    </row>
    <row r="707" spans="1:17" ht="15.75" customHeight="1">
      <c r="A707" s="19">
        <v>705</v>
      </c>
      <c r="B707" s="20" t="s">
        <v>1427</v>
      </c>
      <c r="C707" s="20" t="s">
        <v>1428</v>
      </c>
      <c r="D707" s="20" t="s">
        <v>1429</v>
      </c>
      <c r="E707" s="21">
        <v>1</v>
      </c>
      <c r="F707" s="21"/>
      <c r="G707" s="21"/>
      <c r="H707" s="21"/>
      <c r="I707" s="21"/>
      <c r="J707" s="21">
        <v>50</v>
      </c>
      <c r="K707" s="21"/>
      <c r="L707" s="21"/>
      <c r="M707" s="21"/>
      <c r="N707" s="21"/>
      <c r="O707" s="21">
        <v>30</v>
      </c>
      <c r="P707" s="21"/>
      <c r="Q707" s="22">
        <f t="shared" ref="Q707:Q770" si="11">SUM(E707:P707)</f>
        <v>81</v>
      </c>
    </row>
    <row r="708" spans="1:17" ht="15.75" customHeight="1">
      <c r="A708" s="23">
        <v>706</v>
      </c>
      <c r="B708" s="24" t="s">
        <v>1430</v>
      </c>
      <c r="C708" s="24" t="s">
        <v>1431</v>
      </c>
      <c r="D708" s="24" t="s">
        <v>284</v>
      </c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>
        <v>24</v>
      </c>
      <c r="P708" s="25"/>
      <c r="Q708" s="22">
        <f t="shared" si="11"/>
        <v>24</v>
      </c>
    </row>
    <row r="709" spans="1:17" ht="15.75" customHeight="1">
      <c r="A709" s="19">
        <v>707</v>
      </c>
      <c r="B709" s="20" t="s">
        <v>1432</v>
      </c>
      <c r="C709" s="20" t="s">
        <v>1433</v>
      </c>
      <c r="D709" s="20" t="s">
        <v>284</v>
      </c>
      <c r="E709" s="21"/>
      <c r="F709" s="21">
        <v>480</v>
      </c>
      <c r="G709" s="21"/>
      <c r="H709" s="21"/>
      <c r="I709" s="21"/>
      <c r="J709" s="21"/>
      <c r="K709" s="21"/>
      <c r="L709" s="21"/>
      <c r="M709" s="21"/>
      <c r="N709" s="21"/>
      <c r="O709" s="21">
        <v>1</v>
      </c>
      <c r="P709" s="21"/>
      <c r="Q709" s="22">
        <f t="shared" si="11"/>
        <v>481</v>
      </c>
    </row>
    <row r="710" spans="1:17" ht="15.75" customHeight="1">
      <c r="A710" s="23">
        <v>708</v>
      </c>
      <c r="B710" s="24" t="s">
        <v>1434</v>
      </c>
      <c r="C710" s="24" t="s">
        <v>1402</v>
      </c>
      <c r="D710" s="24" t="s">
        <v>1425</v>
      </c>
      <c r="E710" s="25"/>
      <c r="F710" s="25">
        <v>87</v>
      </c>
      <c r="G710" s="25"/>
      <c r="H710" s="25"/>
      <c r="I710" s="25"/>
      <c r="J710" s="25"/>
      <c r="K710" s="25"/>
      <c r="L710" s="25">
        <v>10</v>
      </c>
      <c r="M710" s="25"/>
      <c r="N710" s="25"/>
      <c r="O710" s="25"/>
      <c r="P710" s="25"/>
      <c r="Q710" s="22">
        <f t="shared" si="11"/>
        <v>97</v>
      </c>
    </row>
    <row r="711" spans="1:17" ht="15.75" customHeight="1">
      <c r="A711" s="19">
        <v>709</v>
      </c>
      <c r="B711" s="20" t="s">
        <v>1435</v>
      </c>
      <c r="C711" s="20" t="s">
        <v>1436</v>
      </c>
      <c r="D711" s="20" t="s">
        <v>1425</v>
      </c>
      <c r="E711" s="21"/>
      <c r="F711" s="21"/>
      <c r="G711" s="21"/>
      <c r="H711" s="21">
        <v>15</v>
      </c>
      <c r="I711" s="21"/>
      <c r="J711" s="21"/>
      <c r="K711" s="21"/>
      <c r="L711" s="21"/>
      <c r="M711" s="21"/>
      <c r="N711" s="21"/>
      <c r="O711" s="21"/>
      <c r="P711" s="21"/>
      <c r="Q711" s="22">
        <f t="shared" si="11"/>
        <v>15</v>
      </c>
    </row>
    <row r="712" spans="1:17" ht="15.75" customHeight="1">
      <c r="A712" s="23">
        <v>710</v>
      </c>
      <c r="B712" s="24" t="s">
        <v>1437</v>
      </c>
      <c r="C712" s="24" t="s">
        <v>1438</v>
      </c>
      <c r="D712" s="24" t="s">
        <v>284</v>
      </c>
      <c r="E712" s="25">
        <v>1</v>
      </c>
      <c r="F712" s="25"/>
      <c r="G712" s="25"/>
      <c r="H712" s="25"/>
      <c r="I712" s="25"/>
      <c r="J712" s="25"/>
      <c r="K712" s="25"/>
      <c r="L712" s="25"/>
      <c r="M712" s="25"/>
      <c r="N712" s="25">
        <v>24</v>
      </c>
      <c r="O712" s="25"/>
      <c r="P712" s="25"/>
      <c r="Q712" s="22">
        <f t="shared" si="11"/>
        <v>25</v>
      </c>
    </row>
    <row r="713" spans="1:17" ht="15.75" customHeight="1">
      <c r="A713" s="19">
        <v>711</v>
      </c>
      <c r="B713" s="20" t="s">
        <v>1439</v>
      </c>
      <c r="C713" s="20" t="s">
        <v>1440</v>
      </c>
      <c r="D713" s="20" t="s">
        <v>1425</v>
      </c>
      <c r="E713" s="21"/>
      <c r="F713" s="21"/>
      <c r="G713" s="21"/>
      <c r="H713" s="21"/>
      <c r="I713" s="21"/>
      <c r="J713" s="21"/>
      <c r="K713" s="21"/>
      <c r="L713" s="21"/>
      <c r="M713" s="21"/>
      <c r="N713" s="21">
        <v>55</v>
      </c>
      <c r="O713" s="21"/>
      <c r="P713" s="21"/>
      <c r="Q713" s="22">
        <f t="shared" si="11"/>
        <v>55</v>
      </c>
    </row>
    <row r="714" spans="1:17" ht="15.75" customHeight="1">
      <c r="A714" s="23">
        <v>712</v>
      </c>
      <c r="B714" s="24" t="s">
        <v>1441</v>
      </c>
      <c r="C714" s="24" t="s">
        <v>1442</v>
      </c>
      <c r="D714" s="24" t="s">
        <v>1425</v>
      </c>
      <c r="E714" s="25"/>
      <c r="F714" s="25">
        <v>3</v>
      </c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2">
        <f t="shared" si="11"/>
        <v>3</v>
      </c>
    </row>
    <row r="715" spans="1:17" ht="15.75" customHeight="1">
      <c r="A715" s="19">
        <v>713</v>
      </c>
      <c r="B715" s="20" t="s">
        <v>1443</v>
      </c>
      <c r="C715" s="20" t="s">
        <v>1444</v>
      </c>
      <c r="D715" s="20" t="s">
        <v>284</v>
      </c>
      <c r="E715" s="21">
        <v>1</v>
      </c>
      <c r="F715" s="21"/>
      <c r="G715" s="21"/>
      <c r="H715" s="21"/>
      <c r="I715" s="21"/>
      <c r="J715" s="21"/>
      <c r="K715" s="21">
        <v>3</v>
      </c>
      <c r="L715" s="21"/>
      <c r="M715" s="21"/>
      <c r="N715" s="21"/>
      <c r="O715" s="21"/>
      <c r="P715" s="21"/>
      <c r="Q715" s="22">
        <f t="shared" si="11"/>
        <v>4</v>
      </c>
    </row>
    <row r="716" spans="1:17" ht="15.75" customHeight="1">
      <c r="A716" s="23">
        <v>714</v>
      </c>
      <c r="B716" s="24" t="s">
        <v>1445</v>
      </c>
      <c r="C716" s="24" t="s">
        <v>1446</v>
      </c>
      <c r="D716" s="24" t="s">
        <v>1447</v>
      </c>
      <c r="E716" s="25"/>
      <c r="F716" s="25"/>
      <c r="G716" s="25"/>
      <c r="H716" s="25">
        <v>60</v>
      </c>
      <c r="I716" s="25">
        <v>75</v>
      </c>
      <c r="J716" s="25"/>
      <c r="K716" s="25"/>
      <c r="L716" s="25"/>
      <c r="M716" s="25"/>
      <c r="N716" s="25"/>
      <c r="O716" s="25"/>
      <c r="P716" s="25"/>
      <c r="Q716" s="22">
        <f t="shared" si="11"/>
        <v>135</v>
      </c>
    </row>
    <row r="717" spans="1:17" ht="15.75" customHeight="1">
      <c r="A717" s="19">
        <v>715</v>
      </c>
      <c r="B717" s="20" t="s">
        <v>1448</v>
      </c>
      <c r="C717" s="20" t="s">
        <v>1449</v>
      </c>
      <c r="D717" s="20" t="s">
        <v>1447</v>
      </c>
      <c r="E717" s="21">
        <v>75</v>
      </c>
      <c r="F717" s="21"/>
      <c r="G717" s="21">
        <v>72</v>
      </c>
      <c r="H717" s="21"/>
      <c r="I717" s="21"/>
      <c r="J717" s="21">
        <v>50</v>
      </c>
      <c r="K717" s="21"/>
      <c r="L717" s="21"/>
      <c r="M717" s="21">
        <v>5</v>
      </c>
      <c r="N717" s="21"/>
      <c r="O717" s="21"/>
      <c r="P717" s="21"/>
      <c r="Q717" s="22">
        <f t="shared" si="11"/>
        <v>202</v>
      </c>
    </row>
    <row r="718" spans="1:17" ht="15.75" customHeight="1">
      <c r="A718" s="23">
        <v>716</v>
      </c>
      <c r="B718" s="24" t="s">
        <v>1450</v>
      </c>
      <c r="C718" s="24" t="s">
        <v>1451</v>
      </c>
      <c r="D718" s="24" t="s">
        <v>1447</v>
      </c>
      <c r="E718" s="25"/>
      <c r="F718" s="25">
        <v>100</v>
      </c>
      <c r="G718" s="25"/>
      <c r="H718" s="25"/>
      <c r="I718" s="25"/>
      <c r="J718" s="25"/>
      <c r="K718" s="25"/>
      <c r="L718" s="25"/>
      <c r="M718" s="25"/>
      <c r="N718" s="25">
        <v>40</v>
      </c>
      <c r="O718" s="25"/>
      <c r="P718" s="25"/>
      <c r="Q718" s="22">
        <f t="shared" si="11"/>
        <v>140</v>
      </c>
    </row>
    <row r="719" spans="1:17" ht="15.75" customHeight="1">
      <c r="A719" s="19">
        <v>717</v>
      </c>
      <c r="B719" s="20" t="s">
        <v>1452</v>
      </c>
      <c r="C719" s="20" t="s">
        <v>1404</v>
      </c>
      <c r="D719" s="20" t="s">
        <v>324</v>
      </c>
      <c r="E719" s="21"/>
      <c r="F719" s="21"/>
      <c r="G719" s="21"/>
      <c r="H719" s="21"/>
      <c r="I719" s="21"/>
      <c r="J719" s="21"/>
      <c r="K719" s="21">
        <v>120</v>
      </c>
      <c r="L719" s="21"/>
      <c r="M719" s="21"/>
      <c r="N719" s="21"/>
      <c r="O719" s="21">
        <v>400</v>
      </c>
      <c r="P719" s="21"/>
      <c r="Q719" s="22">
        <f t="shared" si="11"/>
        <v>520</v>
      </c>
    </row>
    <row r="720" spans="1:17" ht="15.75" customHeight="1">
      <c r="A720" s="23">
        <v>718</v>
      </c>
      <c r="B720" s="24" t="s">
        <v>1453</v>
      </c>
      <c r="C720" s="24" t="s">
        <v>1454</v>
      </c>
      <c r="D720" s="24" t="s">
        <v>284</v>
      </c>
      <c r="E720" s="25">
        <v>30</v>
      </c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2">
        <f t="shared" si="11"/>
        <v>30</v>
      </c>
    </row>
    <row r="721" spans="1:17" ht="15.75" customHeight="1">
      <c r="A721" s="19">
        <v>719</v>
      </c>
      <c r="B721" s="20" t="s">
        <v>1455</v>
      </c>
      <c r="C721" s="20" t="s">
        <v>1417</v>
      </c>
      <c r="D721" s="20" t="s">
        <v>1456</v>
      </c>
      <c r="E721" s="21"/>
      <c r="F721" s="21"/>
      <c r="G721" s="21"/>
      <c r="H721" s="21"/>
      <c r="I721" s="21">
        <v>300</v>
      </c>
      <c r="J721" s="21"/>
      <c r="K721" s="21"/>
      <c r="L721" s="21"/>
      <c r="M721" s="21"/>
      <c r="N721" s="21"/>
      <c r="O721" s="21"/>
      <c r="P721" s="21"/>
      <c r="Q721" s="22">
        <f t="shared" si="11"/>
        <v>300</v>
      </c>
    </row>
    <row r="722" spans="1:17" ht="15.75" customHeight="1">
      <c r="A722" s="23">
        <v>720</v>
      </c>
      <c r="B722" s="24" t="s">
        <v>1457</v>
      </c>
      <c r="C722" s="24" t="s">
        <v>1402</v>
      </c>
      <c r="D722" s="24" t="s">
        <v>1458</v>
      </c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>
        <v>24</v>
      </c>
      <c r="P722" s="25"/>
      <c r="Q722" s="22">
        <f t="shared" si="11"/>
        <v>24</v>
      </c>
    </row>
    <row r="723" spans="1:17" ht="15.75" customHeight="1">
      <c r="A723" s="19">
        <v>721</v>
      </c>
      <c r="B723" s="20" t="s">
        <v>1459</v>
      </c>
      <c r="C723" s="20" t="s">
        <v>1460</v>
      </c>
      <c r="D723" s="20" t="s">
        <v>32</v>
      </c>
      <c r="E723" s="21"/>
      <c r="F723" s="21"/>
      <c r="G723" s="21"/>
      <c r="H723" s="21"/>
      <c r="I723" s="21">
        <v>30</v>
      </c>
      <c r="J723" s="21"/>
      <c r="K723" s="21"/>
      <c r="L723" s="21"/>
      <c r="M723" s="21"/>
      <c r="N723" s="21"/>
      <c r="O723" s="21"/>
      <c r="P723" s="21"/>
      <c r="Q723" s="22">
        <f t="shared" si="11"/>
        <v>30</v>
      </c>
    </row>
    <row r="724" spans="1:17" ht="15.75" customHeight="1">
      <c r="A724" s="23">
        <v>722</v>
      </c>
      <c r="B724" s="24" t="s">
        <v>1461</v>
      </c>
      <c r="C724" s="24" t="s">
        <v>1460</v>
      </c>
      <c r="D724" s="24" t="s">
        <v>24</v>
      </c>
      <c r="E724" s="25"/>
      <c r="F724" s="25"/>
      <c r="G724" s="25"/>
      <c r="H724" s="25"/>
      <c r="I724" s="25"/>
      <c r="J724" s="25"/>
      <c r="K724" s="25">
        <v>20</v>
      </c>
      <c r="L724" s="25"/>
      <c r="M724" s="25"/>
      <c r="N724" s="25"/>
      <c r="O724" s="25"/>
      <c r="P724" s="25"/>
      <c r="Q724" s="22">
        <f t="shared" si="11"/>
        <v>20</v>
      </c>
    </row>
    <row r="725" spans="1:17" ht="15.75" customHeight="1">
      <c r="A725" s="19">
        <v>723</v>
      </c>
      <c r="B725" s="20" t="s">
        <v>1462</v>
      </c>
      <c r="C725" s="20" t="s">
        <v>1463</v>
      </c>
      <c r="D725" s="20" t="s">
        <v>32</v>
      </c>
      <c r="E725" s="21"/>
      <c r="F725" s="21">
        <v>20</v>
      </c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2">
        <f t="shared" si="11"/>
        <v>20</v>
      </c>
    </row>
    <row r="726" spans="1:17" ht="15.75" customHeight="1">
      <c r="A726" s="23">
        <v>724</v>
      </c>
      <c r="B726" s="24" t="s">
        <v>1464</v>
      </c>
      <c r="C726" s="24" t="s">
        <v>1463</v>
      </c>
      <c r="D726" s="24" t="s">
        <v>22</v>
      </c>
      <c r="E726" s="25"/>
      <c r="F726" s="25">
        <v>20</v>
      </c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2">
        <f t="shared" si="11"/>
        <v>20</v>
      </c>
    </row>
    <row r="727" spans="1:17" ht="15.75" customHeight="1">
      <c r="A727" s="19">
        <v>725</v>
      </c>
      <c r="B727" s="20" t="s">
        <v>1465</v>
      </c>
      <c r="C727" s="20" t="s">
        <v>1466</v>
      </c>
      <c r="D727" s="20" t="s">
        <v>32</v>
      </c>
      <c r="E727" s="21"/>
      <c r="F727" s="21">
        <v>50</v>
      </c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2">
        <f t="shared" si="11"/>
        <v>50</v>
      </c>
    </row>
    <row r="728" spans="1:17" ht="15.75" customHeight="1">
      <c r="A728" s="23">
        <v>726</v>
      </c>
      <c r="B728" s="24" t="s">
        <v>1467</v>
      </c>
      <c r="C728" s="24" t="s">
        <v>1466</v>
      </c>
      <c r="D728" s="24" t="s">
        <v>24</v>
      </c>
      <c r="E728" s="25">
        <v>700</v>
      </c>
      <c r="F728" s="25">
        <v>1750</v>
      </c>
      <c r="G728" s="25">
        <v>2800</v>
      </c>
      <c r="H728" s="25">
        <v>4400</v>
      </c>
      <c r="I728" s="25"/>
      <c r="J728" s="25"/>
      <c r="K728" s="25">
        <v>500</v>
      </c>
      <c r="L728" s="25">
        <v>3077</v>
      </c>
      <c r="M728" s="25">
        <v>30</v>
      </c>
      <c r="N728" s="25">
        <v>30</v>
      </c>
      <c r="O728" s="25">
        <v>14611</v>
      </c>
      <c r="P728" s="25"/>
      <c r="Q728" s="22">
        <f t="shared" si="11"/>
        <v>27898</v>
      </c>
    </row>
    <row r="729" spans="1:17" ht="15.75" customHeight="1">
      <c r="A729" s="19">
        <v>727</v>
      </c>
      <c r="B729" s="20" t="s">
        <v>1468</v>
      </c>
      <c r="C729" s="20" t="s">
        <v>1466</v>
      </c>
      <c r="D729" s="20" t="s">
        <v>87</v>
      </c>
      <c r="E729" s="21"/>
      <c r="F729" s="21"/>
      <c r="G729" s="21"/>
      <c r="H729" s="21"/>
      <c r="I729" s="21">
        <v>4</v>
      </c>
      <c r="J729" s="21"/>
      <c r="K729" s="21"/>
      <c r="L729" s="21"/>
      <c r="M729" s="21"/>
      <c r="N729" s="21"/>
      <c r="O729" s="21"/>
      <c r="P729" s="21"/>
      <c r="Q729" s="22">
        <f t="shared" si="11"/>
        <v>4</v>
      </c>
    </row>
    <row r="730" spans="1:17" ht="15.75" customHeight="1">
      <c r="A730" s="23">
        <v>728</v>
      </c>
      <c r="B730" s="24" t="s">
        <v>1469</v>
      </c>
      <c r="C730" s="24" t="s">
        <v>1466</v>
      </c>
      <c r="D730" s="24" t="s">
        <v>26</v>
      </c>
      <c r="E730" s="25"/>
      <c r="F730" s="25"/>
      <c r="G730" s="25"/>
      <c r="H730" s="25"/>
      <c r="I730" s="25">
        <v>30</v>
      </c>
      <c r="J730" s="25"/>
      <c r="K730" s="25"/>
      <c r="L730" s="25">
        <v>30</v>
      </c>
      <c r="M730" s="25"/>
      <c r="N730" s="25"/>
      <c r="O730" s="25"/>
      <c r="P730" s="25"/>
      <c r="Q730" s="22">
        <f t="shared" si="11"/>
        <v>60</v>
      </c>
    </row>
    <row r="731" spans="1:17" ht="15.75" customHeight="1">
      <c r="A731" s="19">
        <v>729</v>
      </c>
      <c r="B731" s="20" t="s">
        <v>1470</v>
      </c>
      <c r="C731" s="20" t="s">
        <v>1471</v>
      </c>
      <c r="D731" s="20" t="s">
        <v>121</v>
      </c>
      <c r="E731" s="21"/>
      <c r="F731" s="21"/>
      <c r="G731" s="21"/>
      <c r="H731" s="21">
        <v>4</v>
      </c>
      <c r="I731" s="21"/>
      <c r="J731" s="21"/>
      <c r="K731" s="21"/>
      <c r="L731" s="21"/>
      <c r="M731" s="21"/>
      <c r="N731" s="21"/>
      <c r="O731" s="21"/>
      <c r="P731" s="21"/>
      <c r="Q731" s="22">
        <f t="shared" si="11"/>
        <v>4</v>
      </c>
    </row>
    <row r="732" spans="1:17" ht="15.75" customHeight="1">
      <c r="A732" s="23">
        <v>730</v>
      </c>
      <c r="B732" s="24" t="s">
        <v>1472</v>
      </c>
      <c r="C732" s="24" t="s">
        <v>1471</v>
      </c>
      <c r="D732" s="24" t="s">
        <v>47</v>
      </c>
      <c r="E732" s="25"/>
      <c r="F732" s="25"/>
      <c r="G732" s="25"/>
      <c r="H732" s="25">
        <v>1</v>
      </c>
      <c r="I732" s="25"/>
      <c r="J732" s="25"/>
      <c r="K732" s="25"/>
      <c r="L732" s="25"/>
      <c r="M732" s="25"/>
      <c r="N732" s="25"/>
      <c r="O732" s="25"/>
      <c r="P732" s="25"/>
      <c r="Q732" s="22">
        <f t="shared" si="11"/>
        <v>1</v>
      </c>
    </row>
    <row r="733" spans="1:17" ht="15.75" customHeight="1">
      <c r="A733" s="19">
        <v>731</v>
      </c>
      <c r="B733" s="20" t="s">
        <v>1473</v>
      </c>
      <c r="C733" s="20" t="s">
        <v>1471</v>
      </c>
      <c r="D733" s="20" t="s">
        <v>24</v>
      </c>
      <c r="E733" s="21"/>
      <c r="F733" s="21">
        <v>20</v>
      </c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2">
        <f t="shared" si="11"/>
        <v>20</v>
      </c>
    </row>
    <row r="734" spans="1:17" ht="15.75" customHeight="1">
      <c r="A734" s="23">
        <v>732</v>
      </c>
      <c r="B734" s="24" t="s">
        <v>1474</v>
      </c>
      <c r="C734" s="24" t="s">
        <v>1475</v>
      </c>
      <c r="D734" s="24" t="s">
        <v>284</v>
      </c>
      <c r="E734" s="25"/>
      <c r="F734" s="25">
        <v>2</v>
      </c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2">
        <f t="shared" si="11"/>
        <v>2</v>
      </c>
    </row>
    <row r="735" spans="1:17" ht="15.75" customHeight="1">
      <c r="A735" s="19">
        <v>733</v>
      </c>
      <c r="B735" s="20" t="s">
        <v>1476</v>
      </c>
      <c r="C735" s="20" t="s">
        <v>1475</v>
      </c>
      <c r="D735" s="20" t="s">
        <v>182</v>
      </c>
      <c r="E735" s="21"/>
      <c r="F735" s="21">
        <v>3</v>
      </c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2">
        <f t="shared" si="11"/>
        <v>3</v>
      </c>
    </row>
    <row r="736" spans="1:17" ht="15.75" customHeight="1">
      <c r="A736" s="23">
        <v>734</v>
      </c>
      <c r="B736" s="24" t="s">
        <v>1477</v>
      </c>
      <c r="C736" s="24" t="s">
        <v>1475</v>
      </c>
      <c r="D736" s="24" t="s">
        <v>32</v>
      </c>
      <c r="E736" s="25"/>
      <c r="F736" s="25">
        <v>4</v>
      </c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2">
        <f t="shared" si="11"/>
        <v>4</v>
      </c>
    </row>
    <row r="737" spans="1:17" ht="15.75" customHeight="1">
      <c r="A737" s="19">
        <v>735</v>
      </c>
      <c r="B737" s="20" t="s">
        <v>1478</v>
      </c>
      <c r="C737" s="20" t="s">
        <v>1475</v>
      </c>
      <c r="D737" s="20" t="s">
        <v>310</v>
      </c>
      <c r="E737" s="21"/>
      <c r="F737" s="21">
        <v>2</v>
      </c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2">
        <f t="shared" si="11"/>
        <v>2</v>
      </c>
    </row>
    <row r="738" spans="1:17" ht="15.75" customHeight="1">
      <c r="A738" s="23">
        <v>736</v>
      </c>
      <c r="B738" s="24" t="s">
        <v>1479</v>
      </c>
      <c r="C738" s="24" t="s">
        <v>1475</v>
      </c>
      <c r="D738" s="24" t="s">
        <v>57</v>
      </c>
      <c r="E738" s="25">
        <v>20</v>
      </c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2">
        <f t="shared" si="11"/>
        <v>20</v>
      </c>
    </row>
    <row r="739" spans="1:17" ht="15.75" customHeight="1">
      <c r="A739" s="19">
        <v>737</v>
      </c>
      <c r="B739" s="20" t="s">
        <v>1480</v>
      </c>
      <c r="C739" s="20" t="s">
        <v>1481</v>
      </c>
      <c r="D739" s="20" t="s">
        <v>20</v>
      </c>
      <c r="E739" s="21"/>
      <c r="F739" s="21"/>
      <c r="G739" s="21"/>
      <c r="H739" s="21"/>
      <c r="I739" s="21"/>
      <c r="J739" s="21"/>
      <c r="K739" s="21"/>
      <c r="L739" s="21">
        <v>10</v>
      </c>
      <c r="M739" s="21"/>
      <c r="N739" s="21"/>
      <c r="O739" s="21"/>
      <c r="P739" s="21"/>
      <c r="Q739" s="22">
        <f t="shared" si="11"/>
        <v>10</v>
      </c>
    </row>
    <row r="740" spans="1:17" ht="15.75" customHeight="1">
      <c r="A740" s="23">
        <v>738</v>
      </c>
      <c r="B740" s="24" t="s">
        <v>1482</v>
      </c>
      <c r="C740" s="24" t="s">
        <v>1481</v>
      </c>
      <c r="D740" s="24" t="s">
        <v>32</v>
      </c>
      <c r="E740" s="25">
        <v>20</v>
      </c>
      <c r="F740" s="25"/>
      <c r="G740" s="25">
        <v>3</v>
      </c>
      <c r="H740" s="25"/>
      <c r="I740" s="25"/>
      <c r="J740" s="25"/>
      <c r="K740" s="25"/>
      <c r="L740" s="25">
        <v>10</v>
      </c>
      <c r="M740" s="25">
        <v>2</v>
      </c>
      <c r="N740" s="25">
        <v>2</v>
      </c>
      <c r="O740" s="25">
        <v>2</v>
      </c>
      <c r="P740" s="25">
        <v>20</v>
      </c>
      <c r="Q740" s="22">
        <f t="shared" si="11"/>
        <v>59</v>
      </c>
    </row>
    <row r="741" spans="1:17" ht="15.75" customHeight="1">
      <c r="A741" s="19">
        <v>739</v>
      </c>
      <c r="B741" s="20" t="s">
        <v>1483</v>
      </c>
      <c r="C741" s="20" t="s">
        <v>1481</v>
      </c>
      <c r="D741" s="20" t="s">
        <v>42</v>
      </c>
      <c r="E741" s="21"/>
      <c r="F741" s="21"/>
      <c r="G741" s="21"/>
      <c r="H741" s="21"/>
      <c r="I741" s="21"/>
      <c r="J741" s="21"/>
      <c r="K741" s="21">
        <v>1</v>
      </c>
      <c r="L741" s="21">
        <v>2</v>
      </c>
      <c r="M741" s="21"/>
      <c r="N741" s="21"/>
      <c r="O741" s="21"/>
      <c r="P741" s="21"/>
      <c r="Q741" s="22">
        <f t="shared" si="11"/>
        <v>3</v>
      </c>
    </row>
    <row r="742" spans="1:17" ht="15.75" customHeight="1">
      <c r="A742" s="23">
        <v>740</v>
      </c>
      <c r="B742" s="24" t="s">
        <v>1484</v>
      </c>
      <c r="C742" s="24" t="s">
        <v>1481</v>
      </c>
      <c r="D742" s="24" t="s">
        <v>22</v>
      </c>
      <c r="E742" s="25"/>
      <c r="F742" s="25"/>
      <c r="G742" s="25"/>
      <c r="H742" s="25">
        <v>15</v>
      </c>
      <c r="I742" s="25"/>
      <c r="J742" s="25"/>
      <c r="K742" s="25"/>
      <c r="L742" s="25"/>
      <c r="M742" s="25"/>
      <c r="N742" s="25"/>
      <c r="O742" s="25"/>
      <c r="P742" s="25"/>
      <c r="Q742" s="22">
        <f t="shared" si="11"/>
        <v>15</v>
      </c>
    </row>
    <row r="743" spans="1:17" ht="15.75" customHeight="1">
      <c r="A743" s="19">
        <v>741</v>
      </c>
      <c r="B743" s="20" t="s">
        <v>1485</v>
      </c>
      <c r="C743" s="20" t="s">
        <v>1481</v>
      </c>
      <c r="D743" s="20" t="s">
        <v>45</v>
      </c>
      <c r="E743" s="21">
        <v>26</v>
      </c>
      <c r="F743" s="21"/>
      <c r="G743" s="21">
        <v>200</v>
      </c>
      <c r="H743" s="21"/>
      <c r="I743" s="21">
        <v>50</v>
      </c>
      <c r="J743" s="21"/>
      <c r="K743" s="21"/>
      <c r="L743" s="21"/>
      <c r="M743" s="21">
        <v>20</v>
      </c>
      <c r="N743" s="21"/>
      <c r="O743" s="21"/>
      <c r="P743" s="21"/>
      <c r="Q743" s="22">
        <f t="shared" si="11"/>
        <v>296</v>
      </c>
    </row>
    <row r="744" spans="1:17" ht="15.75" customHeight="1">
      <c r="A744" s="23">
        <v>742</v>
      </c>
      <c r="B744" s="24" t="s">
        <v>1486</v>
      </c>
      <c r="C744" s="24" t="s">
        <v>1481</v>
      </c>
      <c r="D744" s="24" t="s">
        <v>24</v>
      </c>
      <c r="E744" s="25">
        <v>250</v>
      </c>
      <c r="F744" s="25">
        <v>55</v>
      </c>
      <c r="G744" s="25">
        <v>1240</v>
      </c>
      <c r="H744" s="25"/>
      <c r="I744" s="25">
        <v>274</v>
      </c>
      <c r="J744" s="25">
        <v>92</v>
      </c>
      <c r="K744" s="25"/>
      <c r="L744" s="25"/>
      <c r="M744" s="25"/>
      <c r="N744" s="25">
        <v>137</v>
      </c>
      <c r="O744" s="25"/>
      <c r="P744" s="25"/>
      <c r="Q744" s="22">
        <f t="shared" si="11"/>
        <v>2048</v>
      </c>
    </row>
    <row r="745" spans="1:17" ht="15.75" customHeight="1">
      <c r="A745" s="19">
        <v>743</v>
      </c>
      <c r="B745" s="20" t="s">
        <v>1487</v>
      </c>
      <c r="C745" s="20" t="s">
        <v>1481</v>
      </c>
      <c r="D745" s="20" t="s">
        <v>118</v>
      </c>
      <c r="E745" s="21">
        <v>25</v>
      </c>
      <c r="F745" s="21">
        <v>12</v>
      </c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2">
        <f t="shared" si="11"/>
        <v>37</v>
      </c>
    </row>
    <row r="746" spans="1:17" ht="15.75" customHeight="1">
      <c r="A746" s="23">
        <v>744</v>
      </c>
      <c r="B746" s="24" t="s">
        <v>1488</v>
      </c>
      <c r="C746" s="24" t="s">
        <v>1489</v>
      </c>
      <c r="D746" s="24" t="s">
        <v>259</v>
      </c>
      <c r="E746" s="25">
        <v>2</v>
      </c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2">
        <f t="shared" si="11"/>
        <v>2</v>
      </c>
    </row>
    <row r="747" spans="1:17" ht="15.75" customHeight="1">
      <c r="A747" s="19">
        <v>745</v>
      </c>
      <c r="B747" s="20" t="s">
        <v>1490</v>
      </c>
      <c r="C747" s="20" t="s">
        <v>1491</v>
      </c>
      <c r="D747" s="20" t="s">
        <v>24</v>
      </c>
      <c r="E747" s="21"/>
      <c r="F747" s="21"/>
      <c r="G747" s="21"/>
      <c r="H747" s="21">
        <v>5</v>
      </c>
      <c r="I747" s="21"/>
      <c r="J747" s="21"/>
      <c r="K747" s="21"/>
      <c r="L747" s="21"/>
      <c r="M747" s="21"/>
      <c r="N747" s="21"/>
      <c r="O747" s="21"/>
      <c r="P747" s="21"/>
      <c r="Q747" s="22">
        <f t="shared" si="11"/>
        <v>5</v>
      </c>
    </row>
    <row r="748" spans="1:17" ht="15.75" customHeight="1">
      <c r="A748" s="23">
        <v>746</v>
      </c>
      <c r="B748" s="24" t="s">
        <v>1492</v>
      </c>
      <c r="C748" s="24" t="s">
        <v>1493</v>
      </c>
      <c r="D748" s="24" t="s">
        <v>324</v>
      </c>
      <c r="E748" s="25"/>
      <c r="F748" s="25">
        <v>4</v>
      </c>
      <c r="G748" s="25">
        <v>500</v>
      </c>
      <c r="H748" s="25">
        <v>465</v>
      </c>
      <c r="I748" s="25"/>
      <c r="J748" s="25"/>
      <c r="K748" s="25"/>
      <c r="L748" s="25"/>
      <c r="M748" s="25"/>
      <c r="N748" s="25"/>
      <c r="O748" s="25"/>
      <c r="P748" s="25"/>
      <c r="Q748" s="22">
        <f t="shared" si="11"/>
        <v>969</v>
      </c>
    </row>
    <row r="749" spans="1:17" ht="15.75" customHeight="1">
      <c r="A749" s="19">
        <v>747</v>
      </c>
      <c r="B749" s="20" t="s">
        <v>1494</v>
      </c>
      <c r="C749" s="20" t="s">
        <v>1493</v>
      </c>
      <c r="D749" s="20" t="s">
        <v>284</v>
      </c>
      <c r="E749" s="21"/>
      <c r="F749" s="21">
        <v>13</v>
      </c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2">
        <f t="shared" si="11"/>
        <v>13</v>
      </c>
    </row>
    <row r="750" spans="1:17" ht="15.75" customHeight="1">
      <c r="A750" s="23">
        <v>748</v>
      </c>
      <c r="B750" s="24" t="s">
        <v>1495</v>
      </c>
      <c r="C750" s="24" t="s">
        <v>1493</v>
      </c>
      <c r="D750" s="24" t="s">
        <v>20</v>
      </c>
      <c r="E750" s="25"/>
      <c r="F750" s="25"/>
      <c r="G750" s="25"/>
      <c r="H750" s="25"/>
      <c r="I750" s="25"/>
      <c r="J750" s="25"/>
      <c r="K750" s="25"/>
      <c r="L750" s="25">
        <v>4</v>
      </c>
      <c r="M750" s="25"/>
      <c r="N750" s="25"/>
      <c r="O750" s="25"/>
      <c r="P750" s="25"/>
      <c r="Q750" s="22">
        <f t="shared" si="11"/>
        <v>4</v>
      </c>
    </row>
    <row r="751" spans="1:17" ht="15.75" customHeight="1">
      <c r="A751" s="19">
        <v>749</v>
      </c>
      <c r="B751" s="20" t="s">
        <v>1496</v>
      </c>
      <c r="C751" s="20" t="s">
        <v>1493</v>
      </c>
      <c r="D751" s="20" t="s">
        <v>42</v>
      </c>
      <c r="E751" s="21">
        <v>3</v>
      </c>
      <c r="F751" s="21">
        <v>5</v>
      </c>
      <c r="G751" s="21">
        <v>1</v>
      </c>
      <c r="H751" s="21"/>
      <c r="I751" s="21"/>
      <c r="J751" s="21">
        <v>150</v>
      </c>
      <c r="K751" s="21"/>
      <c r="L751" s="21"/>
      <c r="M751" s="21"/>
      <c r="N751" s="21">
        <v>4</v>
      </c>
      <c r="O751" s="21">
        <v>203</v>
      </c>
      <c r="P751" s="21"/>
      <c r="Q751" s="22">
        <f t="shared" si="11"/>
        <v>366</v>
      </c>
    </row>
    <row r="752" spans="1:17" ht="15.75" customHeight="1">
      <c r="A752" s="23">
        <v>750</v>
      </c>
      <c r="B752" s="24" t="s">
        <v>1497</v>
      </c>
      <c r="C752" s="24" t="s">
        <v>1493</v>
      </c>
      <c r="D752" s="24" t="s">
        <v>22</v>
      </c>
      <c r="E752" s="25"/>
      <c r="F752" s="25"/>
      <c r="G752" s="25"/>
      <c r="H752" s="25"/>
      <c r="I752" s="25"/>
      <c r="J752" s="25"/>
      <c r="K752" s="25">
        <v>80</v>
      </c>
      <c r="L752" s="25"/>
      <c r="M752" s="25"/>
      <c r="N752" s="25"/>
      <c r="O752" s="25"/>
      <c r="P752" s="25"/>
      <c r="Q752" s="22">
        <f t="shared" si="11"/>
        <v>80</v>
      </c>
    </row>
    <row r="753" spans="1:17" ht="15.75" customHeight="1">
      <c r="A753" s="19">
        <v>751</v>
      </c>
      <c r="B753" s="20" t="s">
        <v>1498</v>
      </c>
      <c r="C753" s="20" t="s">
        <v>1493</v>
      </c>
      <c r="D753" s="20" t="s">
        <v>45</v>
      </c>
      <c r="E753" s="21">
        <v>70</v>
      </c>
      <c r="F753" s="21">
        <v>3</v>
      </c>
      <c r="G753" s="21"/>
      <c r="H753" s="21"/>
      <c r="I753" s="21">
        <v>30</v>
      </c>
      <c r="J753" s="21"/>
      <c r="K753" s="21">
        <v>2</v>
      </c>
      <c r="L753" s="21"/>
      <c r="M753" s="21">
        <v>70</v>
      </c>
      <c r="N753" s="21">
        <v>49</v>
      </c>
      <c r="O753" s="21">
        <v>1</v>
      </c>
      <c r="P753" s="21"/>
      <c r="Q753" s="22">
        <f t="shared" si="11"/>
        <v>225</v>
      </c>
    </row>
    <row r="754" spans="1:17" ht="15.75" customHeight="1">
      <c r="A754" s="23">
        <v>752</v>
      </c>
      <c r="B754" s="24" t="s">
        <v>1499</v>
      </c>
      <c r="C754" s="24" t="s">
        <v>1493</v>
      </c>
      <c r="D754" s="24" t="s">
        <v>47</v>
      </c>
      <c r="E754" s="25"/>
      <c r="F754" s="25"/>
      <c r="G754" s="25"/>
      <c r="H754" s="25"/>
      <c r="I754" s="25"/>
      <c r="J754" s="25"/>
      <c r="K754" s="25"/>
      <c r="L754" s="25">
        <v>1</v>
      </c>
      <c r="M754" s="25"/>
      <c r="N754" s="25"/>
      <c r="O754" s="25"/>
      <c r="P754" s="25"/>
      <c r="Q754" s="22">
        <f t="shared" si="11"/>
        <v>1</v>
      </c>
    </row>
    <row r="755" spans="1:17" ht="15.75" customHeight="1">
      <c r="A755" s="19">
        <v>753</v>
      </c>
      <c r="B755" s="20" t="s">
        <v>1500</v>
      </c>
      <c r="C755" s="20" t="s">
        <v>1493</v>
      </c>
      <c r="D755" s="20" t="s">
        <v>24</v>
      </c>
      <c r="E755" s="21">
        <v>50</v>
      </c>
      <c r="F755" s="21"/>
      <c r="G755" s="21"/>
      <c r="H755" s="21"/>
      <c r="I755" s="21"/>
      <c r="J755" s="21"/>
      <c r="K755" s="21"/>
      <c r="L755" s="21"/>
      <c r="M755" s="21"/>
      <c r="N755" s="21">
        <v>10</v>
      </c>
      <c r="O755" s="21"/>
      <c r="P755" s="21"/>
      <c r="Q755" s="22">
        <f t="shared" si="11"/>
        <v>60</v>
      </c>
    </row>
    <row r="756" spans="1:17" ht="15.75" customHeight="1">
      <c r="A756" s="23">
        <v>754</v>
      </c>
      <c r="B756" s="24" t="s">
        <v>1501</v>
      </c>
      <c r="C756" s="24" t="s">
        <v>1493</v>
      </c>
      <c r="D756" s="24" t="s">
        <v>26</v>
      </c>
      <c r="E756" s="25"/>
      <c r="F756" s="25"/>
      <c r="G756" s="25"/>
      <c r="H756" s="25"/>
      <c r="I756" s="25"/>
      <c r="J756" s="25"/>
      <c r="K756" s="25"/>
      <c r="L756" s="25">
        <v>4</v>
      </c>
      <c r="M756" s="25">
        <v>320</v>
      </c>
      <c r="N756" s="25"/>
      <c r="O756" s="25">
        <v>200</v>
      </c>
      <c r="P756" s="25"/>
      <c r="Q756" s="22">
        <f t="shared" si="11"/>
        <v>524</v>
      </c>
    </row>
    <row r="757" spans="1:17" ht="15.75" customHeight="1">
      <c r="A757" s="19">
        <v>755</v>
      </c>
      <c r="B757" s="20" t="s">
        <v>1502</v>
      </c>
      <c r="C757" s="20" t="s">
        <v>1493</v>
      </c>
      <c r="D757" s="20" t="s">
        <v>259</v>
      </c>
      <c r="E757" s="21">
        <v>46</v>
      </c>
      <c r="F757" s="21">
        <v>60</v>
      </c>
      <c r="G757" s="21"/>
      <c r="H757" s="21">
        <v>60</v>
      </c>
      <c r="I757" s="21"/>
      <c r="J757" s="21"/>
      <c r="K757" s="21"/>
      <c r="L757" s="21">
        <v>8</v>
      </c>
      <c r="M757" s="21"/>
      <c r="N757" s="21"/>
      <c r="O757" s="21"/>
      <c r="P757" s="21"/>
      <c r="Q757" s="22">
        <f t="shared" si="11"/>
        <v>174</v>
      </c>
    </row>
    <row r="758" spans="1:17" ht="15.75" customHeight="1">
      <c r="A758" s="23">
        <v>756</v>
      </c>
      <c r="B758" s="24" t="s">
        <v>1503</v>
      </c>
      <c r="C758" s="24" t="s">
        <v>1504</v>
      </c>
      <c r="D758" s="24" t="s">
        <v>20</v>
      </c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>
        <v>500</v>
      </c>
      <c r="P758" s="25"/>
      <c r="Q758" s="22">
        <f t="shared" si="11"/>
        <v>500</v>
      </c>
    </row>
    <row r="759" spans="1:17" ht="15.75" customHeight="1">
      <c r="A759" s="19">
        <v>757</v>
      </c>
      <c r="B759" s="20" t="s">
        <v>1505</v>
      </c>
      <c r="C759" s="20" t="s">
        <v>1504</v>
      </c>
      <c r="D759" s="20" t="s">
        <v>45</v>
      </c>
      <c r="E759" s="21"/>
      <c r="F759" s="21"/>
      <c r="G759" s="21">
        <v>1</v>
      </c>
      <c r="H759" s="21"/>
      <c r="I759" s="21">
        <v>15</v>
      </c>
      <c r="J759" s="21"/>
      <c r="K759" s="21"/>
      <c r="L759" s="21"/>
      <c r="M759" s="21"/>
      <c r="N759" s="21"/>
      <c r="O759" s="21"/>
      <c r="P759" s="21">
        <v>10</v>
      </c>
      <c r="Q759" s="22">
        <f t="shared" si="11"/>
        <v>26</v>
      </c>
    </row>
    <row r="760" spans="1:17" ht="15.75" customHeight="1">
      <c r="A760" s="23">
        <v>758</v>
      </c>
      <c r="B760" s="24" t="s">
        <v>1506</v>
      </c>
      <c r="C760" s="24" t="s">
        <v>1504</v>
      </c>
      <c r="D760" s="24" t="s">
        <v>47</v>
      </c>
      <c r="E760" s="25">
        <v>12</v>
      </c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2">
        <f t="shared" si="11"/>
        <v>12</v>
      </c>
    </row>
    <row r="761" spans="1:17" ht="15.75" customHeight="1">
      <c r="A761" s="19">
        <v>759</v>
      </c>
      <c r="B761" s="20" t="s">
        <v>1507</v>
      </c>
      <c r="C761" s="20" t="s">
        <v>1504</v>
      </c>
      <c r="D761" s="20" t="s">
        <v>24</v>
      </c>
      <c r="E761" s="21"/>
      <c r="F761" s="21">
        <v>100</v>
      </c>
      <c r="G761" s="21"/>
      <c r="H761" s="21">
        <v>360</v>
      </c>
      <c r="I761" s="21"/>
      <c r="J761" s="21"/>
      <c r="K761" s="21">
        <v>360</v>
      </c>
      <c r="L761" s="21">
        <v>100</v>
      </c>
      <c r="M761" s="21">
        <v>80</v>
      </c>
      <c r="N761" s="21"/>
      <c r="O761" s="21"/>
      <c r="P761" s="21"/>
      <c r="Q761" s="22">
        <f t="shared" si="11"/>
        <v>1000</v>
      </c>
    </row>
    <row r="762" spans="1:17" ht="15.75" customHeight="1">
      <c r="A762" s="23">
        <v>760</v>
      </c>
      <c r="B762" s="24" t="s">
        <v>1508</v>
      </c>
      <c r="C762" s="24" t="s">
        <v>1504</v>
      </c>
      <c r="D762" s="24" t="s">
        <v>118</v>
      </c>
      <c r="E762" s="25"/>
      <c r="F762" s="25"/>
      <c r="G762" s="25"/>
      <c r="H762" s="25"/>
      <c r="I762" s="25"/>
      <c r="J762" s="25"/>
      <c r="K762" s="25">
        <v>100</v>
      </c>
      <c r="L762" s="25"/>
      <c r="M762" s="25"/>
      <c r="N762" s="25"/>
      <c r="O762" s="25"/>
      <c r="P762" s="25"/>
      <c r="Q762" s="22">
        <f t="shared" si="11"/>
        <v>100</v>
      </c>
    </row>
    <row r="763" spans="1:17" ht="15.75" customHeight="1">
      <c r="A763" s="19">
        <v>761</v>
      </c>
      <c r="B763" s="20" t="s">
        <v>1509</v>
      </c>
      <c r="C763" s="20" t="s">
        <v>1510</v>
      </c>
      <c r="D763" s="20" t="s">
        <v>45</v>
      </c>
      <c r="E763" s="21"/>
      <c r="F763" s="21"/>
      <c r="G763" s="21">
        <v>100</v>
      </c>
      <c r="H763" s="21"/>
      <c r="I763" s="21"/>
      <c r="J763" s="21"/>
      <c r="K763" s="21"/>
      <c r="L763" s="21"/>
      <c r="M763" s="21"/>
      <c r="N763" s="21"/>
      <c r="O763" s="21"/>
      <c r="P763" s="21"/>
      <c r="Q763" s="22">
        <f t="shared" si="11"/>
        <v>100</v>
      </c>
    </row>
    <row r="764" spans="1:17" ht="15.75" customHeight="1">
      <c r="A764" s="23">
        <v>762</v>
      </c>
      <c r="B764" s="24" t="s">
        <v>1511</v>
      </c>
      <c r="C764" s="24" t="s">
        <v>1510</v>
      </c>
      <c r="D764" s="24" t="s">
        <v>32</v>
      </c>
      <c r="E764" s="25"/>
      <c r="F764" s="25"/>
      <c r="G764" s="25">
        <v>1</v>
      </c>
      <c r="H764" s="25"/>
      <c r="I764" s="25"/>
      <c r="J764" s="25"/>
      <c r="K764" s="25"/>
      <c r="L764" s="25"/>
      <c r="M764" s="25"/>
      <c r="N764" s="25"/>
      <c r="O764" s="25"/>
      <c r="P764" s="25"/>
      <c r="Q764" s="22">
        <f t="shared" si="11"/>
        <v>1</v>
      </c>
    </row>
    <row r="765" spans="1:17" ht="15.75" customHeight="1">
      <c r="A765" s="19">
        <v>763</v>
      </c>
      <c r="B765" s="20" t="s">
        <v>1512</v>
      </c>
      <c r="C765" s="20" t="s">
        <v>1510</v>
      </c>
      <c r="D765" s="20" t="s">
        <v>24</v>
      </c>
      <c r="E765" s="21">
        <v>31</v>
      </c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2">
        <f t="shared" si="11"/>
        <v>31</v>
      </c>
    </row>
    <row r="766" spans="1:17" ht="15.75" customHeight="1">
      <c r="A766" s="23">
        <v>764</v>
      </c>
      <c r="B766" s="24" t="s">
        <v>1513</v>
      </c>
      <c r="C766" s="24" t="s">
        <v>169</v>
      </c>
      <c r="D766" s="24" t="s">
        <v>190</v>
      </c>
      <c r="E766" s="25"/>
      <c r="F766" s="25"/>
      <c r="G766" s="25"/>
      <c r="H766" s="25"/>
      <c r="I766" s="25"/>
      <c r="J766" s="25">
        <v>1</v>
      </c>
      <c r="K766" s="25">
        <v>1</v>
      </c>
      <c r="L766" s="25"/>
      <c r="M766" s="25"/>
      <c r="N766" s="25">
        <v>20</v>
      </c>
      <c r="O766" s="25"/>
      <c r="P766" s="25"/>
      <c r="Q766" s="22">
        <f t="shared" si="11"/>
        <v>22</v>
      </c>
    </row>
    <row r="767" spans="1:17" ht="15.75" customHeight="1">
      <c r="A767" s="19">
        <v>765</v>
      </c>
      <c r="B767" s="20" t="s">
        <v>1514</v>
      </c>
      <c r="C767" s="20" t="s">
        <v>1471</v>
      </c>
      <c r="D767" s="20" t="s">
        <v>1515</v>
      </c>
      <c r="E767" s="21"/>
      <c r="F767" s="21"/>
      <c r="G767" s="21"/>
      <c r="H767" s="21"/>
      <c r="I767" s="21"/>
      <c r="J767" s="21"/>
      <c r="K767" s="21"/>
      <c r="L767" s="21"/>
      <c r="M767" s="21">
        <v>10</v>
      </c>
      <c r="N767" s="21"/>
      <c r="O767" s="21"/>
      <c r="P767" s="21"/>
      <c r="Q767" s="22">
        <f t="shared" si="11"/>
        <v>10</v>
      </c>
    </row>
    <row r="768" spans="1:17" ht="15.75" customHeight="1">
      <c r="A768" s="23">
        <v>766</v>
      </c>
      <c r="B768" s="24" t="s">
        <v>1516</v>
      </c>
      <c r="C768" s="24" t="s">
        <v>1471</v>
      </c>
      <c r="D768" s="24" t="s">
        <v>310</v>
      </c>
      <c r="E768" s="25"/>
      <c r="F768" s="25">
        <v>4</v>
      </c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2">
        <f t="shared" si="11"/>
        <v>4</v>
      </c>
    </row>
    <row r="769" spans="1:17" ht="15.75" customHeight="1">
      <c r="A769" s="19">
        <v>767</v>
      </c>
      <c r="B769" s="20" t="s">
        <v>1517</v>
      </c>
      <c r="C769" s="20" t="s">
        <v>445</v>
      </c>
      <c r="D769" s="20" t="s">
        <v>474</v>
      </c>
      <c r="E769" s="21"/>
      <c r="F769" s="21"/>
      <c r="G769" s="21">
        <v>30</v>
      </c>
      <c r="H769" s="21"/>
      <c r="I769" s="21"/>
      <c r="J769" s="21"/>
      <c r="K769" s="21"/>
      <c r="L769" s="21"/>
      <c r="M769" s="21"/>
      <c r="N769" s="21"/>
      <c r="O769" s="21"/>
      <c r="P769" s="21"/>
      <c r="Q769" s="22">
        <f t="shared" si="11"/>
        <v>30</v>
      </c>
    </row>
    <row r="770" spans="1:17" ht="15.75" customHeight="1">
      <c r="A770" s="23">
        <v>768</v>
      </c>
      <c r="B770" s="24" t="s">
        <v>1518</v>
      </c>
      <c r="C770" s="24" t="s">
        <v>445</v>
      </c>
      <c r="D770" s="24" t="s">
        <v>1519</v>
      </c>
      <c r="E770" s="25"/>
      <c r="F770" s="25"/>
      <c r="G770" s="25"/>
      <c r="H770" s="25"/>
      <c r="I770" s="25"/>
      <c r="J770" s="25">
        <v>10</v>
      </c>
      <c r="K770" s="25"/>
      <c r="L770" s="25"/>
      <c r="M770" s="25"/>
      <c r="N770" s="25"/>
      <c r="O770" s="25"/>
      <c r="P770" s="25"/>
      <c r="Q770" s="22">
        <f t="shared" si="11"/>
        <v>10</v>
      </c>
    </row>
    <row r="771" spans="1:17" ht="15.75" customHeight="1">
      <c r="A771" s="19">
        <v>769</v>
      </c>
      <c r="B771" s="20" t="s">
        <v>1520</v>
      </c>
      <c r="C771" s="20" t="s">
        <v>755</v>
      </c>
      <c r="D771" s="27" t="s">
        <v>1521</v>
      </c>
      <c r="E771" s="21"/>
      <c r="F771" s="21"/>
      <c r="G771" s="21"/>
      <c r="H771" s="21"/>
      <c r="I771" s="21"/>
      <c r="J771" s="21"/>
      <c r="K771" s="21"/>
      <c r="L771" s="21"/>
      <c r="M771" s="21"/>
      <c r="N771" s="21">
        <v>50</v>
      </c>
      <c r="O771" s="21"/>
      <c r="P771" s="21"/>
      <c r="Q771" s="22">
        <f t="shared" ref="Q771:Q834" si="12">SUM(E771:P771)</f>
        <v>50</v>
      </c>
    </row>
    <row r="772" spans="1:17" ht="15.75" customHeight="1">
      <c r="A772" s="23">
        <v>770</v>
      </c>
      <c r="B772" s="24" t="s">
        <v>1522</v>
      </c>
      <c r="C772" s="24" t="s">
        <v>1523</v>
      </c>
      <c r="D772" s="24" t="s">
        <v>1524</v>
      </c>
      <c r="E772" s="25"/>
      <c r="F772" s="25">
        <v>4</v>
      </c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2">
        <f t="shared" si="12"/>
        <v>4</v>
      </c>
    </row>
    <row r="773" spans="1:17" ht="15.75" customHeight="1">
      <c r="A773" s="19">
        <v>771</v>
      </c>
      <c r="B773" s="20" t="s">
        <v>1525</v>
      </c>
      <c r="C773" s="20" t="s">
        <v>1491</v>
      </c>
      <c r="D773" s="20" t="s">
        <v>284</v>
      </c>
      <c r="E773" s="21"/>
      <c r="F773" s="21">
        <v>2</v>
      </c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2">
        <f t="shared" si="12"/>
        <v>2</v>
      </c>
    </row>
    <row r="774" spans="1:17" ht="15.75" customHeight="1">
      <c r="A774" s="23">
        <v>772</v>
      </c>
      <c r="B774" s="24" t="s">
        <v>1526</v>
      </c>
      <c r="C774" s="24" t="s">
        <v>1527</v>
      </c>
      <c r="D774" s="24" t="s">
        <v>284</v>
      </c>
      <c r="E774" s="25"/>
      <c r="F774" s="25">
        <v>2</v>
      </c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2">
        <f t="shared" si="12"/>
        <v>2</v>
      </c>
    </row>
    <row r="775" spans="1:17" ht="15.75" customHeight="1">
      <c r="A775" s="19">
        <v>773</v>
      </c>
      <c r="B775" s="20" t="s">
        <v>1528</v>
      </c>
      <c r="C775" s="20" t="s">
        <v>1529</v>
      </c>
      <c r="D775" s="20" t="s">
        <v>137</v>
      </c>
      <c r="E775" s="21"/>
      <c r="F775" s="21"/>
      <c r="G775" s="21"/>
      <c r="H775" s="21"/>
      <c r="I775" s="21">
        <v>4</v>
      </c>
      <c r="J775" s="21"/>
      <c r="K775" s="21"/>
      <c r="L775" s="21"/>
      <c r="M775" s="21"/>
      <c r="N775" s="21"/>
      <c r="O775" s="21"/>
      <c r="P775" s="21"/>
      <c r="Q775" s="22">
        <f t="shared" si="12"/>
        <v>4</v>
      </c>
    </row>
    <row r="776" spans="1:17" ht="15.75" customHeight="1">
      <c r="A776" s="23">
        <v>774</v>
      </c>
      <c r="B776" s="24" t="s">
        <v>1530</v>
      </c>
      <c r="C776" s="24" t="s">
        <v>1531</v>
      </c>
      <c r="D776" s="24" t="s">
        <v>1532</v>
      </c>
      <c r="E776" s="25"/>
      <c r="F776" s="25"/>
      <c r="G776" s="25"/>
      <c r="H776" s="25"/>
      <c r="I776" s="25"/>
      <c r="J776" s="25">
        <v>5</v>
      </c>
      <c r="K776" s="25"/>
      <c r="L776" s="25"/>
      <c r="M776" s="25"/>
      <c r="N776" s="25"/>
      <c r="O776" s="25"/>
      <c r="P776" s="25"/>
      <c r="Q776" s="22">
        <f t="shared" si="12"/>
        <v>5</v>
      </c>
    </row>
    <row r="777" spans="1:17" ht="15.75" customHeight="1">
      <c r="A777" s="19">
        <v>775</v>
      </c>
      <c r="B777" s="20" t="s">
        <v>1533</v>
      </c>
      <c r="C777" s="20" t="s">
        <v>1504</v>
      </c>
      <c r="D777" s="20" t="s">
        <v>1534</v>
      </c>
      <c r="E777" s="21"/>
      <c r="F777" s="21"/>
      <c r="G777" s="21"/>
      <c r="H777" s="21"/>
      <c r="I777" s="21"/>
      <c r="J777" s="21"/>
      <c r="K777" s="21"/>
      <c r="L777" s="21">
        <v>100</v>
      </c>
      <c r="M777" s="21"/>
      <c r="N777" s="21"/>
      <c r="O777" s="21"/>
      <c r="P777" s="21"/>
      <c r="Q777" s="22">
        <f t="shared" si="12"/>
        <v>100</v>
      </c>
    </row>
    <row r="778" spans="1:17" ht="15.75" customHeight="1">
      <c r="A778" s="23">
        <v>776</v>
      </c>
      <c r="B778" s="24" t="s">
        <v>1535</v>
      </c>
      <c r="C778" s="24" t="s">
        <v>1504</v>
      </c>
      <c r="D778" s="24" t="s">
        <v>1536</v>
      </c>
      <c r="E778" s="25"/>
      <c r="F778" s="25"/>
      <c r="G778" s="25"/>
      <c r="H778" s="25"/>
      <c r="I778" s="25"/>
      <c r="J778" s="25"/>
      <c r="K778" s="25"/>
      <c r="L778" s="25"/>
      <c r="M778" s="25"/>
      <c r="N778" s="25">
        <v>50</v>
      </c>
      <c r="O778" s="25"/>
      <c r="P778" s="25"/>
      <c r="Q778" s="22">
        <f t="shared" si="12"/>
        <v>50</v>
      </c>
    </row>
    <row r="779" spans="1:17" ht="15.75" customHeight="1">
      <c r="A779" s="19">
        <v>777</v>
      </c>
      <c r="B779" s="20" t="s">
        <v>1537</v>
      </c>
      <c r="C779" s="20" t="s">
        <v>1466</v>
      </c>
      <c r="D779" s="20" t="s">
        <v>1538</v>
      </c>
      <c r="E779" s="21"/>
      <c r="F779" s="21"/>
      <c r="G779" s="21"/>
      <c r="H779" s="21"/>
      <c r="I779" s="21"/>
      <c r="J779" s="21"/>
      <c r="K779" s="21"/>
      <c r="L779" s="21"/>
      <c r="M779" s="21"/>
      <c r="N779" s="21">
        <v>62</v>
      </c>
      <c r="O779" s="21"/>
      <c r="P779" s="21"/>
      <c r="Q779" s="22">
        <f t="shared" si="12"/>
        <v>62</v>
      </c>
    </row>
    <row r="780" spans="1:17" ht="15.75" customHeight="1">
      <c r="A780" s="23">
        <v>778</v>
      </c>
      <c r="B780" s="24" t="s">
        <v>1539</v>
      </c>
      <c r="C780" s="24" t="s">
        <v>1466</v>
      </c>
      <c r="D780" s="24" t="s">
        <v>1540</v>
      </c>
      <c r="E780" s="25"/>
      <c r="F780" s="25"/>
      <c r="G780" s="25"/>
      <c r="H780" s="25"/>
      <c r="I780" s="25"/>
      <c r="J780" s="25"/>
      <c r="K780" s="25"/>
      <c r="L780" s="25"/>
      <c r="M780" s="25"/>
      <c r="N780" s="25">
        <v>54</v>
      </c>
      <c r="O780" s="25"/>
      <c r="P780" s="25"/>
      <c r="Q780" s="22">
        <f t="shared" si="12"/>
        <v>54</v>
      </c>
    </row>
    <row r="781" spans="1:17" ht="15.75" customHeight="1">
      <c r="A781" s="19">
        <v>779</v>
      </c>
      <c r="B781" s="20" t="s">
        <v>1541</v>
      </c>
      <c r="C781" s="20" t="s">
        <v>896</v>
      </c>
      <c r="D781" s="20" t="s">
        <v>1542</v>
      </c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>
        <v>80</v>
      </c>
      <c r="Q781" s="22">
        <f t="shared" si="12"/>
        <v>80</v>
      </c>
    </row>
    <row r="782" spans="1:17" ht="15.75" customHeight="1">
      <c r="A782" s="23">
        <v>780</v>
      </c>
      <c r="B782" s="24" t="s">
        <v>1543</v>
      </c>
      <c r="C782" s="24" t="s">
        <v>1544</v>
      </c>
      <c r="D782" s="24" t="s">
        <v>1545</v>
      </c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>
        <v>15</v>
      </c>
      <c r="P782" s="25"/>
      <c r="Q782" s="22">
        <f t="shared" si="12"/>
        <v>15</v>
      </c>
    </row>
    <row r="783" spans="1:17" ht="15.75" customHeight="1">
      <c r="A783" s="19">
        <v>781</v>
      </c>
      <c r="B783" s="20" t="s">
        <v>1546</v>
      </c>
      <c r="C783" s="20" t="s">
        <v>1544</v>
      </c>
      <c r="D783" s="20" t="s">
        <v>1547</v>
      </c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>
        <v>15</v>
      </c>
      <c r="P783" s="21"/>
      <c r="Q783" s="22">
        <f t="shared" si="12"/>
        <v>15</v>
      </c>
    </row>
    <row r="784" spans="1:17" ht="15.75" customHeight="1">
      <c r="A784" s="23">
        <v>782</v>
      </c>
      <c r="B784" s="24" t="s">
        <v>1548</v>
      </c>
      <c r="C784" s="24" t="s">
        <v>448</v>
      </c>
      <c r="D784" s="24" t="s">
        <v>1549</v>
      </c>
      <c r="E784" s="25"/>
      <c r="F784" s="25"/>
      <c r="G784" s="25"/>
      <c r="H784" s="25"/>
      <c r="I784" s="25"/>
      <c r="J784" s="25">
        <v>10</v>
      </c>
      <c r="K784" s="25">
        <v>10</v>
      </c>
      <c r="L784" s="25"/>
      <c r="M784" s="25"/>
      <c r="N784" s="25"/>
      <c r="O784" s="25"/>
      <c r="P784" s="25"/>
      <c r="Q784" s="22">
        <f t="shared" si="12"/>
        <v>20</v>
      </c>
    </row>
    <row r="785" spans="1:17" ht="15.75" customHeight="1">
      <c r="A785" s="19">
        <v>783</v>
      </c>
      <c r="B785" s="20" t="s">
        <v>1550</v>
      </c>
      <c r="C785" s="20" t="s">
        <v>448</v>
      </c>
      <c r="D785" s="20" t="s">
        <v>1551</v>
      </c>
      <c r="E785" s="21"/>
      <c r="F785" s="21"/>
      <c r="G785" s="21"/>
      <c r="H785" s="21"/>
      <c r="I785" s="21"/>
      <c r="J785" s="21">
        <v>10</v>
      </c>
      <c r="K785" s="21"/>
      <c r="L785" s="21"/>
      <c r="M785" s="21"/>
      <c r="N785" s="21"/>
      <c r="O785" s="21"/>
      <c r="P785" s="21"/>
      <c r="Q785" s="22">
        <f t="shared" si="12"/>
        <v>10</v>
      </c>
    </row>
    <row r="786" spans="1:17" ht="15.75" customHeight="1">
      <c r="A786" s="23">
        <v>784</v>
      </c>
      <c r="B786" s="24" t="s">
        <v>1552</v>
      </c>
      <c r="C786" s="24" t="s">
        <v>448</v>
      </c>
      <c r="D786" s="24" t="s">
        <v>1553</v>
      </c>
      <c r="E786" s="25"/>
      <c r="F786" s="25"/>
      <c r="G786" s="25"/>
      <c r="H786" s="25"/>
      <c r="I786" s="25"/>
      <c r="J786" s="25"/>
      <c r="K786" s="25"/>
      <c r="L786" s="25"/>
      <c r="M786" s="25"/>
      <c r="N786" s="25">
        <v>30</v>
      </c>
      <c r="O786" s="25"/>
      <c r="P786" s="25"/>
      <c r="Q786" s="22">
        <f t="shared" si="12"/>
        <v>30</v>
      </c>
    </row>
    <row r="787" spans="1:17" ht="15.75" customHeight="1">
      <c r="A787" s="19">
        <v>785</v>
      </c>
      <c r="B787" s="20" t="s">
        <v>1554</v>
      </c>
      <c r="C787" s="20" t="s">
        <v>448</v>
      </c>
      <c r="D787" s="20" t="s">
        <v>1555</v>
      </c>
      <c r="E787" s="21"/>
      <c r="F787" s="21"/>
      <c r="G787" s="21"/>
      <c r="H787" s="21"/>
      <c r="I787" s="21"/>
      <c r="J787" s="21">
        <v>10</v>
      </c>
      <c r="K787" s="21">
        <v>10</v>
      </c>
      <c r="L787" s="21"/>
      <c r="M787" s="21"/>
      <c r="N787" s="21"/>
      <c r="O787" s="21"/>
      <c r="P787" s="21"/>
      <c r="Q787" s="22">
        <f t="shared" si="12"/>
        <v>20</v>
      </c>
    </row>
    <row r="788" spans="1:17" ht="15.75" customHeight="1">
      <c r="A788" s="23">
        <v>786</v>
      </c>
      <c r="B788" s="24" t="s">
        <v>1556</v>
      </c>
      <c r="C788" s="24" t="s">
        <v>206</v>
      </c>
      <c r="D788" s="24" t="s">
        <v>1557</v>
      </c>
      <c r="E788" s="25"/>
      <c r="F788" s="25"/>
      <c r="G788" s="25">
        <v>10</v>
      </c>
      <c r="H788" s="25"/>
      <c r="I788" s="25"/>
      <c r="J788" s="25"/>
      <c r="K788" s="25"/>
      <c r="L788" s="25"/>
      <c r="M788" s="25"/>
      <c r="N788" s="25"/>
      <c r="O788" s="25"/>
      <c r="P788" s="25"/>
      <c r="Q788" s="22">
        <f t="shared" si="12"/>
        <v>10</v>
      </c>
    </row>
    <row r="789" spans="1:17" ht="15.75" customHeight="1">
      <c r="A789" s="19">
        <v>787</v>
      </c>
      <c r="B789" s="20" t="s">
        <v>1558</v>
      </c>
      <c r="C789" s="20" t="s">
        <v>211</v>
      </c>
      <c r="D789" s="20" t="s">
        <v>1559</v>
      </c>
      <c r="E789" s="21"/>
      <c r="F789" s="21"/>
      <c r="G789" s="21"/>
      <c r="H789" s="21"/>
      <c r="I789" s="21"/>
      <c r="J789" s="21"/>
      <c r="K789" s="21">
        <v>10</v>
      </c>
      <c r="L789" s="21"/>
      <c r="M789" s="21"/>
      <c r="N789" s="21"/>
      <c r="O789" s="21"/>
      <c r="P789" s="21"/>
      <c r="Q789" s="22">
        <f t="shared" si="12"/>
        <v>10</v>
      </c>
    </row>
    <row r="790" spans="1:17" ht="15.75" customHeight="1">
      <c r="A790" s="23">
        <v>788</v>
      </c>
      <c r="B790" s="24" t="s">
        <v>1560</v>
      </c>
      <c r="C790" s="24" t="s">
        <v>211</v>
      </c>
      <c r="D790" s="24" t="s">
        <v>1561</v>
      </c>
      <c r="E790" s="25"/>
      <c r="F790" s="25"/>
      <c r="G790" s="25"/>
      <c r="H790" s="25">
        <v>5</v>
      </c>
      <c r="I790" s="25">
        <v>20</v>
      </c>
      <c r="J790" s="25">
        <v>10</v>
      </c>
      <c r="K790" s="25"/>
      <c r="L790" s="25"/>
      <c r="M790" s="25"/>
      <c r="N790" s="25"/>
      <c r="O790" s="25"/>
      <c r="P790" s="25"/>
      <c r="Q790" s="22">
        <f t="shared" si="12"/>
        <v>35</v>
      </c>
    </row>
    <row r="791" spans="1:17" ht="15.75" customHeight="1">
      <c r="A791" s="19">
        <v>789</v>
      </c>
      <c r="B791" s="20" t="s">
        <v>1562</v>
      </c>
      <c r="C791" s="20" t="s">
        <v>180</v>
      </c>
      <c r="D791" s="20" t="s">
        <v>1563</v>
      </c>
      <c r="E791" s="21"/>
      <c r="F791" s="21">
        <v>30</v>
      </c>
      <c r="G791" s="21"/>
      <c r="H791" s="21"/>
      <c r="I791" s="21"/>
      <c r="J791" s="21">
        <v>4</v>
      </c>
      <c r="K791" s="21"/>
      <c r="L791" s="21"/>
      <c r="M791" s="21"/>
      <c r="N791" s="21"/>
      <c r="O791" s="21"/>
      <c r="P791" s="21"/>
      <c r="Q791" s="22">
        <f t="shared" si="12"/>
        <v>34</v>
      </c>
    </row>
    <row r="792" spans="1:17" ht="15.75" customHeight="1">
      <c r="A792" s="23">
        <v>790</v>
      </c>
      <c r="B792" s="24" t="s">
        <v>1564</v>
      </c>
      <c r="C792" s="24" t="s">
        <v>180</v>
      </c>
      <c r="D792" s="24" t="s">
        <v>53</v>
      </c>
      <c r="E792" s="25"/>
      <c r="F792" s="25"/>
      <c r="G792" s="25"/>
      <c r="H792" s="25"/>
      <c r="I792" s="25"/>
      <c r="J792" s="25"/>
      <c r="K792" s="25"/>
      <c r="L792" s="25"/>
      <c r="M792" s="25">
        <v>6</v>
      </c>
      <c r="N792" s="25"/>
      <c r="O792" s="25"/>
      <c r="P792" s="25"/>
      <c r="Q792" s="22">
        <f t="shared" si="12"/>
        <v>6</v>
      </c>
    </row>
    <row r="793" spans="1:17" ht="15.75" customHeight="1">
      <c r="A793" s="19">
        <v>791</v>
      </c>
      <c r="B793" s="20" t="s">
        <v>1565</v>
      </c>
      <c r="C793" s="20" t="s">
        <v>244</v>
      </c>
      <c r="D793" s="20" t="s">
        <v>1566</v>
      </c>
      <c r="E793" s="21"/>
      <c r="F793" s="21"/>
      <c r="G793" s="21">
        <v>10</v>
      </c>
      <c r="H793" s="21"/>
      <c r="I793" s="21"/>
      <c r="J793" s="21">
        <v>10</v>
      </c>
      <c r="K793" s="21"/>
      <c r="L793" s="21"/>
      <c r="M793" s="21"/>
      <c r="N793" s="21"/>
      <c r="O793" s="21"/>
      <c r="P793" s="21">
        <v>30</v>
      </c>
      <c r="Q793" s="22">
        <f t="shared" si="12"/>
        <v>50</v>
      </c>
    </row>
    <row r="794" spans="1:17" ht="15.75" customHeight="1">
      <c r="A794" s="23">
        <v>792</v>
      </c>
      <c r="B794" s="24" t="s">
        <v>1567</v>
      </c>
      <c r="C794" s="24" t="s">
        <v>244</v>
      </c>
      <c r="D794" s="24" t="s">
        <v>1568</v>
      </c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>
        <v>50</v>
      </c>
      <c r="Q794" s="22">
        <f t="shared" si="12"/>
        <v>50</v>
      </c>
    </row>
    <row r="795" spans="1:17" ht="15.75" customHeight="1">
      <c r="A795" s="19">
        <v>793</v>
      </c>
      <c r="B795" s="20" t="s">
        <v>1569</v>
      </c>
      <c r="C795" s="20" t="s">
        <v>194</v>
      </c>
      <c r="D795" s="20" t="s">
        <v>1570</v>
      </c>
      <c r="E795" s="21"/>
      <c r="F795" s="21"/>
      <c r="G795" s="21"/>
      <c r="H795" s="21"/>
      <c r="I795" s="21"/>
      <c r="J795" s="21">
        <v>2</v>
      </c>
      <c r="K795" s="21"/>
      <c r="L795" s="21"/>
      <c r="M795" s="21"/>
      <c r="N795" s="21">
        <v>20</v>
      </c>
      <c r="O795" s="21"/>
      <c r="P795" s="21"/>
      <c r="Q795" s="22">
        <f t="shared" si="12"/>
        <v>22</v>
      </c>
    </row>
    <row r="796" spans="1:17" ht="15.75" customHeight="1">
      <c r="A796" s="23">
        <v>794</v>
      </c>
      <c r="B796" s="24" t="s">
        <v>1571</v>
      </c>
      <c r="C796" s="24" t="s">
        <v>194</v>
      </c>
      <c r="D796" s="24" t="s">
        <v>1572</v>
      </c>
      <c r="E796" s="25"/>
      <c r="F796" s="25"/>
      <c r="G796" s="25"/>
      <c r="H796" s="25"/>
      <c r="I796" s="25"/>
      <c r="J796" s="25"/>
      <c r="K796" s="25"/>
      <c r="L796" s="25"/>
      <c r="M796" s="25"/>
      <c r="N796" s="25">
        <v>2</v>
      </c>
      <c r="O796" s="25"/>
      <c r="P796" s="25"/>
      <c r="Q796" s="22">
        <f t="shared" si="12"/>
        <v>2</v>
      </c>
    </row>
    <row r="797" spans="1:17" ht="15.75" customHeight="1">
      <c r="A797" s="19">
        <v>795</v>
      </c>
      <c r="B797" s="20" t="s">
        <v>1573</v>
      </c>
      <c r="C797" s="20" t="s">
        <v>253</v>
      </c>
      <c r="D797" s="20" t="s">
        <v>1574</v>
      </c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>
        <v>20</v>
      </c>
      <c r="P797" s="21"/>
      <c r="Q797" s="22">
        <f t="shared" si="12"/>
        <v>20</v>
      </c>
    </row>
    <row r="798" spans="1:17" ht="15.75" customHeight="1">
      <c r="A798" s="23">
        <v>796</v>
      </c>
      <c r="B798" s="24" t="s">
        <v>1575</v>
      </c>
      <c r="C798" s="24" t="s">
        <v>253</v>
      </c>
      <c r="D798" s="24" t="s">
        <v>1576</v>
      </c>
      <c r="E798" s="25"/>
      <c r="F798" s="25"/>
      <c r="G798" s="25"/>
      <c r="H798" s="25"/>
      <c r="I798" s="25"/>
      <c r="J798" s="25"/>
      <c r="K798" s="25"/>
      <c r="L798" s="25">
        <v>6</v>
      </c>
      <c r="M798" s="25"/>
      <c r="N798" s="25"/>
      <c r="O798" s="25"/>
      <c r="P798" s="25"/>
      <c r="Q798" s="22">
        <f t="shared" si="12"/>
        <v>6</v>
      </c>
    </row>
    <row r="799" spans="1:17" ht="15.75" customHeight="1">
      <c r="A799" s="19">
        <v>797</v>
      </c>
      <c r="B799" s="20" t="s">
        <v>1577</v>
      </c>
      <c r="C799" s="20" t="s">
        <v>253</v>
      </c>
      <c r="D799" s="20" t="s">
        <v>1578</v>
      </c>
      <c r="E799" s="21"/>
      <c r="F799" s="21">
        <v>10</v>
      </c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2">
        <f t="shared" si="12"/>
        <v>10</v>
      </c>
    </row>
    <row r="800" spans="1:17" ht="15.75" customHeight="1">
      <c r="A800" s="23">
        <v>798</v>
      </c>
      <c r="B800" s="24" t="s">
        <v>1579</v>
      </c>
      <c r="C800" s="24" t="s">
        <v>1580</v>
      </c>
      <c r="D800" s="24" t="s">
        <v>1581</v>
      </c>
      <c r="E800" s="25">
        <v>20</v>
      </c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2">
        <f t="shared" si="12"/>
        <v>20</v>
      </c>
    </row>
    <row r="801" spans="1:17" ht="15.75" customHeight="1">
      <c r="A801" s="19">
        <v>799</v>
      </c>
      <c r="B801" s="20" t="s">
        <v>1582</v>
      </c>
      <c r="C801" s="20" t="s">
        <v>1580</v>
      </c>
      <c r="D801" s="20" t="s">
        <v>1583</v>
      </c>
      <c r="E801" s="21">
        <v>20</v>
      </c>
      <c r="F801" s="21"/>
      <c r="G801" s="21"/>
      <c r="H801" s="21"/>
      <c r="I801" s="21"/>
      <c r="J801" s="21"/>
      <c r="K801" s="21"/>
      <c r="L801" s="21">
        <v>10</v>
      </c>
      <c r="M801" s="21"/>
      <c r="N801" s="21"/>
      <c r="O801" s="21"/>
      <c r="P801" s="21"/>
      <c r="Q801" s="22">
        <f t="shared" si="12"/>
        <v>30</v>
      </c>
    </row>
    <row r="802" spans="1:17" ht="15.75" customHeight="1">
      <c r="A802" s="23">
        <v>800</v>
      </c>
      <c r="B802" s="24" t="s">
        <v>1584</v>
      </c>
      <c r="C802" s="24" t="s">
        <v>1580</v>
      </c>
      <c r="D802" s="24" t="s">
        <v>1585</v>
      </c>
      <c r="E802" s="25"/>
      <c r="F802" s="25">
        <v>20</v>
      </c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2">
        <f t="shared" si="12"/>
        <v>20</v>
      </c>
    </row>
    <row r="803" spans="1:17" ht="15.75" customHeight="1">
      <c r="A803" s="19">
        <v>801</v>
      </c>
      <c r="B803" s="20" t="s">
        <v>1586</v>
      </c>
      <c r="C803" s="20" t="s">
        <v>1580</v>
      </c>
      <c r="D803" s="20" t="s">
        <v>1587</v>
      </c>
      <c r="E803" s="21"/>
      <c r="F803" s="21"/>
      <c r="G803" s="21"/>
      <c r="H803" s="21"/>
      <c r="I803" s="21"/>
      <c r="J803" s="21"/>
      <c r="K803" s="21"/>
      <c r="L803" s="21">
        <v>10</v>
      </c>
      <c r="M803" s="21"/>
      <c r="N803" s="21"/>
      <c r="O803" s="21"/>
      <c r="P803" s="21"/>
      <c r="Q803" s="22">
        <f t="shared" si="12"/>
        <v>10</v>
      </c>
    </row>
    <row r="804" spans="1:17" ht="15.75" customHeight="1">
      <c r="A804" s="23">
        <v>802</v>
      </c>
      <c r="B804" s="24" t="s">
        <v>1588</v>
      </c>
      <c r="C804" s="24" t="s">
        <v>1580</v>
      </c>
      <c r="D804" s="24" t="s">
        <v>1589</v>
      </c>
      <c r="E804" s="25"/>
      <c r="F804" s="25"/>
      <c r="G804" s="25"/>
      <c r="H804" s="25"/>
      <c r="I804" s="25"/>
      <c r="J804" s="25">
        <v>10</v>
      </c>
      <c r="K804" s="25"/>
      <c r="L804" s="25"/>
      <c r="M804" s="25"/>
      <c r="N804" s="25"/>
      <c r="O804" s="25"/>
      <c r="P804" s="25"/>
      <c r="Q804" s="22">
        <f t="shared" si="12"/>
        <v>10</v>
      </c>
    </row>
    <row r="805" spans="1:17" ht="15.75" customHeight="1">
      <c r="A805" s="19">
        <v>803</v>
      </c>
      <c r="B805" s="20" t="s">
        <v>1590</v>
      </c>
      <c r="C805" s="20" t="s">
        <v>263</v>
      </c>
      <c r="D805" s="20" t="s">
        <v>1591</v>
      </c>
      <c r="E805" s="21"/>
      <c r="F805" s="21"/>
      <c r="G805" s="21"/>
      <c r="H805" s="21"/>
      <c r="I805" s="21">
        <v>1</v>
      </c>
      <c r="J805" s="21"/>
      <c r="K805" s="21"/>
      <c r="L805" s="21"/>
      <c r="M805" s="21"/>
      <c r="N805" s="21">
        <v>10</v>
      </c>
      <c r="O805" s="21"/>
      <c r="P805" s="21"/>
      <c r="Q805" s="22">
        <f t="shared" si="12"/>
        <v>11</v>
      </c>
    </row>
    <row r="806" spans="1:17" ht="15.75" customHeight="1">
      <c r="A806" s="23">
        <v>804</v>
      </c>
      <c r="B806" s="24" t="s">
        <v>1592</v>
      </c>
      <c r="C806" s="24" t="s">
        <v>263</v>
      </c>
      <c r="D806" s="24" t="s">
        <v>1593</v>
      </c>
      <c r="E806" s="25"/>
      <c r="F806" s="25"/>
      <c r="G806" s="25"/>
      <c r="H806" s="25"/>
      <c r="I806" s="25"/>
      <c r="J806" s="25">
        <v>28</v>
      </c>
      <c r="K806" s="25"/>
      <c r="L806" s="25"/>
      <c r="M806" s="25"/>
      <c r="N806" s="25"/>
      <c r="O806" s="25"/>
      <c r="P806" s="25">
        <v>22</v>
      </c>
      <c r="Q806" s="22">
        <f t="shared" si="12"/>
        <v>50</v>
      </c>
    </row>
    <row r="807" spans="1:17" ht="15.75" customHeight="1">
      <c r="A807" s="19">
        <v>805</v>
      </c>
      <c r="B807" s="20" t="s">
        <v>1594</v>
      </c>
      <c r="C807" s="20" t="s">
        <v>278</v>
      </c>
      <c r="D807" s="20" t="s">
        <v>1595</v>
      </c>
      <c r="E807" s="21"/>
      <c r="F807" s="21"/>
      <c r="G807" s="21">
        <v>30</v>
      </c>
      <c r="H807" s="21"/>
      <c r="I807" s="21"/>
      <c r="J807" s="21"/>
      <c r="K807" s="21"/>
      <c r="L807" s="21"/>
      <c r="M807" s="21"/>
      <c r="N807" s="21"/>
      <c r="O807" s="21"/>
      <c r="P807" s="21"/>
      <c r="Q807" s="22">
        <f t="shared" si="12"/>
        <v>30</v>
      </c>
    </row>
    <row r="808" spans="1:17" ht="15.75" customHeight="1">
      <c r="A808" s="23">
        <v>806</v>
      </c>
      <c r="B808" s="24" t="s">
        <v>1596</v>
      </c>
      <c r="C808" s="24" t="s">
        <v>283</v>
      </c>
      <c r="D808" s="24" t="s">
        <v>1597</v>
      </c>
      <c r="E808" s="25"/>
      <c r="F808" s="25"/>
      <c r="G808" s="25"/>
      <c r="H808" s="25">
        <v>8</v>
      </c>
      <c r="I808" s="25"/>
      <c r="J808" s="25"/>
      <c r="K808" s="25"/>
      <c r="L808" s="25"/>
      <c r="M808" s="25"/>
      <c r="N808" s="25"/>
      <c r="O808" s="25"/>
      <c r="P808" s="25"/>
      <c r="Q808" s="22">
        <f t="shared" si="12"/>
        <v>8</v>
      </c>
    </row>
    <row r="809" spans="1:17" ht="15.75" customHeight="1">
      <c r="A809" s="19">
        <v>807</v>
      </c>
      <c r="B809" s="20" t="s">
        <v>1598</v>
      </c>
      <c r="C809" s="20" t="s">
        <v>283</v>
      </c>
      <c r="D809" s="20" t="s">
        <v>1599</v>
      </c>
      <c r="E809" s="21"/>
      <c r="F809" s="21"/>
      <c r="G809" s="21"/>
      <c r="H809" s="21"/>
      <c r="I809" s="21"/>
      <c r="J809" s="21">
        <v>15</v>
      </c>
      <c r="K809" s="21"/>
      <c r="L809" s="21"/>
      <c r="M809" s="21"/>
      <c r="N809" s="21"/>
      <c r="O809" s="21"/>
      <c r="P809" s="21"/>
      <c r="Q809" s="22">
        <f t="shared" si="12"/>
        <v>15</v>
      </c>
    </row>
    <row r="810" spans="1:17" ht="15.75" customHeight="1">
      <c r="A810" s="23">
        <v>808</v>
      </c>
      <c r="B810" s="24" t="s">
        <v>1600</v>
      </c>
      <c r="C810" s="24" t="s">
        <v>283</v>
      </c>
      <c r="D810" s="24" t="s">
        <v>1601</v>
      </c>
      <c r="E810" s="25"/>
      <c r="F810" s="25"/>
      <c r="G810" s="25"/>
      <c r="H810" s="25"/>
      <c r="I810" s="25"/>
      <c r="J810" s="25">
        <v>4</v>
      </c>
      <c r="K810" s="25"/>
      <c r="L810" s="25"/>
      <c r="M810" s="25"/>
      <c r="N810" s="25"/>
      <c r="O810" s="25"/>
      <c r="P810" s="25"/>
      <c r="Q810" s="22">
        <f t="shared" si="12"/>
        <v>4</v>
      </c>
    </row>
    <row r="811" spans="1:17" ht="15.75" customHeight="1">
      <c r="A811" s="19">
        <v>809</v>
      </c>
      <c r="B811" s="20" t="s">
        <v>1602</v>
      </c>
      <c r="C811" s="20" t="s">
        <v>294</v>
      </c>
      <c r="D811" s="20" t="s">
        <v>1603</v>
      </c>
      <c r="E811" s="21"/>
      <c r="F811" s="21"/>
      <c r="G811" s="21">
        <v>30</v>
      </c>
      <c r="H811" s="21">
        <v>10</v>
      </c>
      <c r="I811" s="21"/>
      <c r="J811" s="21"/>
      <c r="K811" s="21">
        <v>100</v>
      </c>
      <c r="L811" s="21"/>
      <c r="M811" s="21">
        <v>40</v>
      </c>
      <c r="N811" s="21"/>
      <c r="O811" s="21"/>
      <c r="P811" s="21"/>
      <c r="Q811" s="22">
        <f t="shared" si="12"/>
        <v>180</v>
      </c>
    </row>
    <row r="812" spans="1:17" ht="15.75" customHeight="1">
      <c r="A812" s="23">
        <v>810</v>
      </c>
      <c r="B812" s="24" t="s">
        <v>1604</v>
      </c>
      <c r="C812" s="24" t="s">
        <v>294</v>
      </c>
      <c r="D812" s="24" t="s">
        <v>1605</v>
      </c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>
        <v>10</v>
      </c>
      <c r="Q812" s="22">
        <f t="shared" si="12"/>
        <v>10</v>
      </c>
    </row>
    <row r="813" spans="1:17" ht="15.75" customHeight="1">
      <c r="A813" s="19">
        <v>811</v>
      </c>
      <c r="B813" s="20" t="s">
        <v>1606</v>
      </c>
      <c r="C813" s="20" t="s">
        <v>180</v>
      </c>
      <c r="D813" s="20" t="s">
        <v>1607</v>
      </c>
      <c r="E813" s="21"/>
      <c r="F813" s="21"/>
      <c r="G813" s="21">
        <v>16</v>
      </c>
      <c r="H813" s="21"/>
      <c r="I813" s="21"/>
      <c r="J813" s="21">
        <v>22</v>
      </c>
      <c r="K813" s="21"/>
      <c r="L813" s="21"/>
      <c r="M813" s="21"/>
      <c r="N813" s="21"/>
      <c r="O813" s="21"/>
      <c r="P813" s="21"/>
      <c r="Q813" s="22">
        <f t="shared" si="12"/>
        <v>38</v>
      </c>
    </row>
    <row r="814" spans="1:17" ht="15.75" customHeight="1">
      <c r="A814" s="23">
        <v>812</v>
      </c>
      <c r="B814" s="24" t="s">
        <v>1608</v>
      </c>
      <c r="C814" s="24" t="s">
        <v>180</v>
      </c>
      <c r="D814" s="24" t="s">
        <v>1609</v>
      </c>
      <c r="E814" s="25"/>
      <c r="F814" s="25"/>
      <c r="G814" s="25">
        <v>4</v>
      </c>
      <c r="H814" s="25">
        <v>15</v>
      </c>
      <c r="I814" s="25"/>
      <c r="J814" s="25">
        <v>12</v>
      </c>
      <c r="K814" s="25"/>
      <c r="L814" s="25">
        <v>4</v>
      </c>
      <c r="M814" s="25">
        <v>30</v>
      </c>
      <c r="N814" s="25"/>
      <c r="O814" s="25"/>
      <c r="P814" s="25"/>
      <c r="Q814" s="22">
        <f t="shared" si="12"/>
        <v>65</v>
      </c>
    </row>
    <row r="815" spans="1:17" ht="15.75" customHeight="1">
      <c r="A815" s="19">
        <v>813</v>
      </c>
      <c r="B815" s="20" t="s">
        <v>1610</v>
      </c>
      <c r="C815" s="20" t="s">
        <v>180</v>
      </c>
      <c r="D815" s="20" t="s">
        <v>1611</v>
      </c>
      <c r="E815" s="21"/>
      <c r="F815" s="21"/>
      <c r="G815" s="21">
        <v>20</v>
      </c>
      <c r="H815" s="21"/>
      <c r="I815" s="21"/>
      <c r="J815" s="21"/>
      <c r="K815" s="21"/>
      <c r="L815" s="21"/>
      <c r="M815" s="21"/>
      <c r="N815" s="21"/>
      <c r="O815" s="21"/>
      <c r="P815" s="21"/>
      <c r="Q815" s="22">
        <f t="shared" si="12"/>
        <v>20</v>
      </c>
    </row>
    <row r="816" spans="1:17" ht="15.75" customHeight="1">
      <c r="A816" s="23">
        <v>814</v>
      </c>
      <c r="B816" s="24" t="s">
        <v>1612</v>
      </c>
      <c r="C816" s="24" t="s">
        <v>180</v>
      </c>
      <c r="D816" s="24" t="s">
        <v>1613</v>
      </c>
      <c r="E816" s="25">
        <v>30</v>
      </c>
      <c r="F816" s="25"/>
      <c r="G816" s="25"/>
      <c r="H816" s="25"/>
      <c r="I816" s="25"/>
      <c r="J816" s="25">
        <v>50</v>
      </c>
      <c r="K816" s="25">
        <v>20</v>
      </c>
      <c r="L816" s="25"/>
      <c r="M816" s="25"/>
      <c r="N816" s="25"/>
      <c r="O816" s="25">
        <v>20</v>
      </c>
      <c r="P816" s="25">
        <v>10</v>
      </c>
      <c r="Q816" s="22">
        <f t="shared" si="12"/>
        <v>130</v>
      </c>
    </row>
    <row r="817" spans="1:17" ht="15.75" customHeight="1">
      <c r="A817" s="19">
        <v>815</v>
      </c>
      <c r="B817" s="20" t="s">
        <v>1614</v>
      </c>
      <c r="C817" s="20" t="s">
        <v>194</v>
      </c>
      <c r="D817" s="20" t="s">
        <v>1615</v>
      </c>
      <c r="E817" s="21"/>
      <c r="F817" s="21"/>
      <c r="G817" s="21">
        <v>23</v>
      </c>
      <c r="H817" s="21"/>
      <c r="I817" s="21"/>
      <c r="J817" s="21">
        <v>5</v>
      </c>
      <c r="K817" s="21"/>
      <c r="L817" s="21"/>
      <c r="M817" s="21">
        <v>30</v>
      </c>
      <c r="N817" s="21"/>
      <c r="O817" s="21">
        <v>1</v>
      </c>
      <c r="P817" s="21"/>
      <c r="Q817" s="22">
        <f t="shared" si="12"/>
        <v>59</v>
      </c>
    </row>
    <row r="818" spans="1:17" ht="15.75" customHeight="1">
      <c r="A818" s="23">
        <v>816</v>
      </c>
      <c r="B818" s="24" t="s">
        <v>1616</v>
      </c>
      <c r="C818" s="24" t="s">
        <v>194</v>
      </c>
      <c r="D818" s="24" t="s">
        <v>1617</v>
      </c>
      <c r="E818" s="25"/>
      <c r="F818" s="25"/>
      <c r="G818" s="25">
        <v>22</v>
      </c>
      <c r="H818" s="25"/>
      <c r="I818" s="25">
        <v>5</v>
      </c>
      <c r="J818" s="25">
        <v>50</v>
      </c>
      <c r="K818" s="25"/>
      <c r="L818" s="25"/>
      <c r="M818" s="25">
        <v>8</v>
      </c>
      <c r="N818" s="25">
        <v>20</v>
      </c>
      <c r="O818" s="25"/>
      <c r="P818" s="25"/>
      <c r="Q818" s="22">
        <f t="shared" si="12"/>
        <v>105</v>
      </c>
    </row>
    <row r="819" spans="1:17" ht="15.75" customHeight="1">
      <c r="A819" s="19">
        <v>817</v>
      </c>
      <c r="B819" s="20" t="s">
        <v>1618</v>
      </c>
      <c r="C819" s="20" t="s">
        <v>194</v>
      </c>
      <c r="D819" s="20" t="s">
        <v>1619</v>
      </c>
      <c r="E819" s="21"/>
      <c r="F819" s="21"/>
      <c r="G819" s="21"/>
      <c r="H819" s="21"/>
      <c r="I819" s="21"/>
      <c r="J819" s="21">
        <v>36</v>
      </c>
      <c r="K819" s="21">
        <v>10</v>
      </c>
      <c r="L819" s="21"/>
      <c r="M819" s="21"/>
      <c r="N819" s="21"/>
      <c r="O819" s="21">
        <v>10</v>
      </c>
      <c r="P819" s="21"/>
      <c r="Q819" s="22">
        <f t="shared" si="12"/>
        <v>56</v>
      </c>
    </row>
    <row r="820" spans="1:17" ht="15.75" customHeight="1">
      <c r="A820" s="23">
        <v>818</v>
      </c>
      <c r="B820" s="24" t="s">
        <v>1620</v>
      </c>
      <c r="C820" s="24" t="s">
        <v>194</v>
      </c>
      <c r="D820" s="24" t="s">
        <v>1621</v>
      </c>
      <c r="E820" s="25"/>
      <c r="F820" s="25"/>
      <c r="G820" s="25">
        <v>5</v>
      </c>
      <c r="H820" s="25"/>
      <c r="I820" s="25"/>
      <c r="J820" s="25">
        <v>8</v>
      </c>
      <c r="K820" s="25"/>
      <c r="L820" s="25"/>
      <c r="M820" s="25"/>
      <c r="N820" s="25"/>
      <c r="O820" s="25"/>
      <c r="P820" s="25"/>
      <c r="Q820" s="22">
        <f t="shared" si="12"/>
        <v>13</v>
      </c>
    </row>
    <row r="821" spans="1:17" ht="15.75" customHeight="1">
      <c r="A821" s="19">
        <v>819</v>
      </c>
      <c r="B821" s="20" t="s">
        <v>1622</v>
      </c>
      <c r="C821" s="20" t="s">
        <v>194</v>
      </c>
      <c r="D821" s="20" t="s">
        <v>1623</v>
      </c>
      <c r="E821" s="21"/>
      <c r="F821" s="21"/>
      <c r="G821" s="21"/>
      <c r="H821" s="21"/>
      <c r="I821" s="21"/>
      <c r="J821" s="21"/>
      <c r="K821" s="21">
        <v>100</v>
      </c>
      <c r="L821" s="21"/>
      <c r="M821" s="21"/>
      <c r="N821" s="21"/>
      <c r="O821" s="21"/>
      <c r="P821" s="21"/>
      <c r="Q821" s="22">
        <f t="shared" si="12"/>
        <v>100</v>
      </c>
    </row>
    <row r="822" spans="1:17" ht="15.75" customHeight="1">
      <c r="A822" s="23">
        <v>820</v>
      </c>
      <c r="B822" s="24" t="s">
        <v>1624</v>
      </c>
      <c r="C822" s="24" t="s">
        <v>194</v>
      </c>
      <c r="D822" s="24" t="s">
        <v>1625</v>
      </c>
      <c r="E822" s="25"/>
      <c r="F822" s="25"/>
      <c r="G822" s="25">
        <v>1</v>
      </c>
      <c r="H822" s="25"/>
      <c r="I822" s="25"/>
      <c r="J822" s="25"/>
      <c r="K822" s="25"/>
      <c r="L822" s="25"/>
      <c r="M822" s="25"/>
      <c r="N822" s="25"/>
      <c r="O822" s="25"/>
      <c r="P822" s="25"/>
      <c r="Q822" s="22">
        <f t="shared" si="12"/>
        <v>1</v>
      </c>
    </row>
    <row r="823" spans="1:17" ht="15.75" customHeight="1">
      <c r="A823" s="19">
        <v>821</v>
      </c>
      <c r="B823" s="20" t="s">
        <v>1626</v>
      </c>
      <c r="C823" s="20" t="s">
        <v>180</v>
      </c>
      <c r="D823" s="20" t="s">
        <v>1627</v>
      </c>
      <c r="E823" s="21"/>
      <c r="F823" s="21"/>
      <c r="G823" s="21"/>
      <c r="H823" s="21">
        <v>5</v>
      </c>
      <c r="I823" s="21"/>
      <c r="J823" s="21"/>
      <c r="K823" s="21"/>
      <c r="L823" s="21"/>
      <c r="M823" s="21"/>
      <c r="N823" s="21"/>
      <c r="O823" s="21"/>
      <c r="P823" s="21"/>
      <c r="Q823" s="22">
        <f t="shared" si="12"/>
        <v>5</v>
      </c>
    </row>
    <row r="824" spans="1:17" ht="15.75" customHeight="1">
      <c r="A824" s="23">
        <v>822</v>
      </c>
      <c r="B824" s="24" t="s">
        <v>1628</v>
      </c>
      <c r="C824" s="24" t="s">
        <v>180</v>
      </c>
      <c r="D824" s="24" t="s">
        <v>1629</v>
      </c>
      <c r="E824" s="25">
        <v>170</v>
      </c>
      <c r="F824" s="25">
        <v>90</v>
      </c>
      <c r="G824" s="25">
        <v>114</v>
      </c>
      <c r="H824" s="25">
        <v>70</v>
      </c>
      <c r="I824" s="25">
        <v>26</v>
      </c>
      <c r="J824" s="25">
        <v>263</v>
      </c>
      <c r="K824" s="25">
        <v>40</v>
      </c>
      <c r="L824" s="25">
        <v>60</v>
      </c>
      <c r="M824" s="25">
        <v>60</v>
      </c>
      <c r="N824" s="25">
        <v>20</v>
      </c>
      <c r="O824" s="25">
        <v>106</v>
      </c>
      <c r="P824" s="25">
        <v>30</v>
      </c>
      <c r="Q824" s="22">
        <f t="shared" si="12"/>
        <v>1049</v>
      </c>
    </row>
    <row r="825" spans="1:17" ht="15.75" customHeight="1">
      <c r="A825" s="19">
        <v>823</v>
      </c>
      <c r="B825" s="20" t="s">
        <v>1630</v>
      </c>
      <c r="C825" s="20" t="s">
        <v>180</v>
      </c>
      <c r="D825" s="20" t="s">
        <v>1629</v>
      </c>
      <c r="E825" s="21"/>
      <c r="F825" s="21"/>
      <c r="G825" s="21"/>
      <c r="H825" s="21"/>
      <c r="I825" s="21"/>
      <c r="J825" s="21"/>
      <c r="K825" s="21">
        <v>20</v>
      </c>
      <c r="L825" s="21"/>
      <c r="M825" s="21"/>
      <c r="N825" s="21"/>
      <c r="O825" s="21"/>
      <c r="P825" s="21"/>
      <c r="Q825" s="22">
        <f t="shared" si="12"/>
        <v>20</v>
      </c>
    </row>
    <row r="826" spans="1:17" ht="15.75" customHeight="1">
      <c r="A826" s="23">
        <v>824</v>
      </c>
      <c r="B826" s="24" t="s">
        <v>1631</v>
      </c>
      <c r="C826" s="24" t="s">
        <v>180</v>
      </c>
      <c r="D826" s="24" t="s">
        <v>1632</v>
      </c>
      <c r="E826" s="25">
        <v>165</v>
      </c>
      <c r="F826" s="25">
        <v>20</v>
      </c>
      <c r="G826" s="25">
        <v>55</v>
      </c>
      <c r="H826" s="25">
        <v>74</v>
      </c>
      <c r="I826" s="25">
        <v>32</v>
      </c>
      <c r="J826" s="25">
        <v>204</v>
      </c>
      <c r="K826" s="25">
        <v>60</v>
      </c>
      <c r="L826" s="25">
        <v>96</v>
      </c>
      <c r="M826" s="25">
        <v>184</v>
      </c>
      <c r="N826" s="25">
        <v>28</v>
      </c>
      <c r="O826" s="25">
        <v>100</v>
      </c>
      <c r="P826" s="25">
        <v>64</v>
      </c>
      <c r="Q826" s="22">
        <f t="shared" si="12"/>
        <v>1082</v>
      </c>
    </row>
    <row r="827" spans="1:17" ht="15.75" customHeight="1">
      <c r="A827" s="19">
        <v>825</v>
      </c>
      <c r="B827" s="20" t="s">
        <v>1633</v>
      </c>
      <c r="C827" s="20" t="s">
        <v>180</v>
      </c>
      <c r="D827" s="20" t="s">
        <v>1634</v>
      </c>
      <c r="E827" s="21">
        <v>30</v>
      </c>
      <c r="F827" s="21">
        <v>10</v>
      </c>
      <c r="G827" s="21">
        <v>10</v>
      </c>
      <c r="H827" s="21">
        <v>10</v>
      </c>
      <c r="I827" s="21"/>
      <c r="J827" s="21">
        <v>84</v>
      </c>
      <c r="K827" s="21">
        <v>50</v>
      </c>
      <c r="L827" s="21"/>
      <c r="M827" s="21">
        <v>70</v>
      </c>
      <c r="N827" s="21"/>
      <c r="O827" s="21">
        <v>20</v>
      </c>
      <c r="P827" s="21"/>
      <c r="Q827" s="22">
        <f t="shared" si="12"/>
        <v>284</v>
      </c>
    </row>
    <row r="828" spans="1:17" ht="15.75" customHeight="1">
      <c r="A828" s="23">
        <v>826</v>
      </c>
      <c r="B828" s="24" t="s">
        <v>1635</v>
      </c>
      <c r="C828" s="24" t="s">
        <v>180</v>
      </c>
      <c r="D828" s="24" t="s">
        <v>1636</v>
      </c>
      <c r="E828" s="25"/>
      <c r="F828" s="25">
        <v>4</v>
      </c>
      <c r="G828" s="25">
        <v>20</v>
      </c>
      <c r="H828" s="25">
        <v>14</v>
      </c>
      <c r="I828" s="25">
        <v>8</v>
      </c>
      <c r="J828" s="25">
        <v>43</v>
      </c>
      <c r="K828" s="25">
        <v>20</v>
      </c>
      <c r="L828" s="25">
        <v>20</v>
      </c>
      <c r="M828" s="25">
        <v>5</v>
      </c>
      <c r="N828" s="25">
        <v>20</v>
      </c>
      <c r="O828" s="25">
        <v>20</v>
      </c>
      <c r="P828" s="25"/>
      <c r="Q828" s="22">
        <f t="shared" si="12"/>
        <v>174</v>
      </c>
    </row>
    <row r="829" spans="1:17" ht="15.75" customHeight="1">
      <c r="A829" s="19">
        <v>827</v>
      </c>
      <c r="B829" s="20" t="s">
        <v>1637</v>
      </c>
      <c r="C829" s="20" t="s">
        <v>180</v>
      </c>
      <c r="D829" s="20" t="s">
        <v>1638</v>
      </c>
      <c r="E829" s="21">
        <v>50</v>
      </c>
      <c r="F829" s="21">
        <v>20</v>
      </c>
      <c r="G829" s="21">
        <v>6</v>
      </c>
      <c r="H829" s="21">
        <v>15</v>
      </c>
      <c r="I829" s="21">
        <v>30</v>
      </c>
      <c r="J829" s="21">
        <v>25</v>
      </c>
      <c r="K829" s="21">
        <v>40</v>
      </c>
      <c r="L829" s="21">
        <v>30</v>
      </c>
      <c r="M829" s="21">
        <v>10</v>
      </c>
      <c r="N829" s="21">
        <v>30</v>
      </c>
      <c r="O829" s="21">
        <v>50</v>
      </c>
      <c r="P829" s="21">
        <v>10</v>
      </c>
      <c r="Q829" s="22">
        <f t="shared" si="12"/>
        <v>316</v>
      </c>
    </row>
    <row r="830" spans="1:17" ht="15.75" customHeight="1">
      <c r="A830" s="23">
        <v>828</v>
      </c>
      <c r="B830" s="24" t="s">
        <v>1639</v>
      </c>
      <c r="C830" s="24" t="s">
        <v>180</v>
      </c>
      <c r="D830" s="24" t="s">
        <v>1640</v>
      </c>
      <c r="E830" s="25">
        <v>30</v>
      </c>
      <c r="F830" s="25"/>
      <c r="G830" s="25">
        <v>10</v>
      </c>
      <c r="H830" s="25"/>
      <c r="I830" s="25"/>
      <c r="J830" s="25">
        <v>105</v>
      </c>
      <c r="K830" s="25">
        <v>30</v>
      </c>
      <c r="L830" s="25"/>
      <c r="M830" s="25">
        <v>62</v>
      </c>
      <c r="N830" s="25"/>
      <c r="O830" s="25"/>
      <c r="P830" s="25"/>
      <c r="Q830" s="22">
        <f t="shared" si="12"/>
        <v>237</v>
      </c>
    </row>
    <row r="831" spans="1:17" ht="15.75" customHeight="1">
      <c r="A831" s="19">
        <v>829</v>
      </c>
      <c r="B831" s="20" t="s">
        <v>1641</v>
      </c>
      <c r="C831" s="20" t="s">
        <v>169</v>
      </c>
      <c r="D831" s="20" t="s">
        <v>20</v>
      </c>
      <c r="E831" s="21">
        <v>2</v>
      </c>
      <c r="F831" s="21"/>
      <c r="G831" s="21">
        <v>38</v>
      </c>
      <c r="H831" s="21"/>
      <c r="I831" s="21"/>
      <c r="J831" s="21">
        <v>9</v>
      </c>
      <c r="K831" s="21">
        <v>38</v>
      </c>
      <c r="L831" s="21"/>
      <c r="M831" s="21"/>
      <c r="N831" s="21">
        <v>60</v>
      </c>
      <c r="O831" s="21"/>
      <c r="P831" s="21">
        <v>12</v>
      </c>
      <c r="Q831" s="22">
        <f t="shared" si="12"/>
        <v>159</v>
      </c>
    </row>
    <row r="832" spans="1:17" ht="15.75" customHeight="1">
      <c r="A832" s="23">
        <v>830</v>
      </c>
      <c r="B832" s="24" t="s">
        <v>1642</v>
      </c>
      <c r="C832" s="24" t="s">
        <v>169</v>
      </c>
      <c r="D832" s="24" t="s">
        <v>32</v>
      </c>
      <c r="E832" s="25">
        <v>2</v>
      </c>
      <c r="F832" s="25">
        <v>12</v>
      </c>
      <c r="G832" s="25">
        <v>10</v>
      </c>
      <c r="H832" s="25"/>
      <c r="I832" s="25"/>
      <c r="J832" s="25">
        <v>1</v>
      </c>
      <c r="K832" s="25">
        <v>10</v>
      </c>
      <c r="L832" s="25"/>
      <c r="M832" s="25">
        <v>1</v>
      </c>
      <c r="N832" s="25">
        <v>50</v>
      </c>
      <c r="O832" s="25"/>
      <c r="P832" s="25">
        <v>22</v>
      </c>
      <c r="Q832" s="22">
        <f t="shared" si="12"/>
        <v>108</v>
      </c>
    </row>
    <row r="833" spans="1:17" ht="15.75" customHeight="1">
      <c r="A833" s="19">
        <v>831</v>
      </c>
      <c r="B833" s="20" t="s">
        <v>1643</v>
      </c>
      <c r="C833" s="20" t="s">
        <v>169</v>
      </c>
      <c r="D833" s="20" t="s">
        <v>22</v>
      </c>
      <c r="E833" s="21">
        <v>2</v>
      </c>
      <c r="F833" s="21"/>
      <c r="G833" s="21"/>
      <c r="H833" s="21"/>
      <c r="I833" s="21">
        <v>3</v>
      </c>
      <c r="J833" s="21"/>
      <c r="K833" s="21"/>
      <c r="L833" s="21"/>
      <c r="M833" s="21"/>
      <c r="N833" s="21">
        <v>20</v>
      </c>
      <c r="O833" s="21">
        <v>4</v>
      </c>
      <c r="P833" s="21">
        <v>20</v>
      </c>
      <c r="Q833" s="22">
        <f t="shared" si="12"/>
        <v>49</v>
      </c>
    </row>
    <row r="834" spans="1:17" ht="15.75" customHeight="1">
      <c r="A834" s="23">
        <v>832</v>
      </c>
      <c r="B834" s="24" t="s">
        <v>1644</v>
      </c>
      <c r="C834" s="24" t="s">
        <v>169</v>
      </c>
      <c r="D834" s="24" t="s">
        <v>121</v>
      </c>
      <c r="E834" s="25"/>
      <c r="F834" s="25"/>
      <c r="G834" s="25"/>
      <c r="H834" s="25"/>
      <c r="I834" s="25">
        <v>3</v>
      </c>
      <c r="J834" s="25"/>
      <c r="K834" s="25"/>
      <c r="L834" s="25"/>
      <c r="M834" s="25"/>
      <c r="N834" s="25">
        <v>20</v>
      </c>
      <c r="O834" s="25"/>
      <c r="P834" s="25">
        <v>3</v>
      </c>
      <c r="Q834" s="22">
        <f t="shared" si="12"/>
        <v>26</v>
      </c>
    </row>
    <row r="835" spans="1:17" ht="15.75" customHeight="1">
      <c r="A835" s="19">
        <v>833</v>
      </c>
      <c r="B835" s="20" t="s">
        <v>1645</v>
      </c>
      <c r="C835" s="20" t="s">
        <v>169</v>
      </c>
      <c r="D835" s="20" t="s">
        <v>26</v>
      </c>
      <c r="E835" s="21">
        <v>2</v>
      </c>
      <c r="F835" s="21"/>
      <c r="G835" s="21">
        <v>40</v>
      </c>
      <c r="H835" s="21">
        <v>70</v>
      </c>
      <c r="I835" s="21"/>
      <c r="J835" s="21">
        <v>12</v>
      </c>
      <c r="K835" s="21">
        <v>90</v>
      </c>
      <c r="L835" s="21"/>
      <c r="M835" s="21">
        <v>5</v>
      </c>
      <c r="N835" s="21">
        <v>31</v>
      </c>
      <c r="O835" s="21"/>
      <c r="P835" s="21">
        <v>30</v>
      </c>
      <c r="Q835" s="22">
        <f t="shared" ref="Q835:Q898" si="13">SUM(E835:P835)</f>
        <v>280</v>
      </c>
    </row>
    <row r="836" spans="1:17" ht="15.75" customHeight="1">
      <c r="A836" s="23">
        <v>834</v>
      </c>
      <c r="B836" s="24" t="s">
        <v>1646</v>
      </c>
      <c r="C836" s="24" t="s">
        <v>169</v>
      </c>
      <c r="D836" s="24" t="s">
        <v>1647</v>
      </c>
      <c r="E836" s="25"/>
      <c r="F836" s="25"/>
      <c r="G836" s="25">
        <v>14</v>
      </c>
      <c r="H836" s="25"/>
      <c r="I836" s="25"/>
      <c r="J836" s="25"/>
      <c r="K836" s="25"/>
      <c r="L836" s="25"/>
      <c r="M836" s="25"/>
      <c r="N836" s="25"/>
      <c r="O836" s="25"/>
      <c r="P836" s="25"/>
      <c r="Q836" s="22">
        <f t="shared" si="13"/>
        <v>14</v>
      </c>
    </row>
    <row r="837" spans="1:17" ht="15.75" customHeight="1">
      <c r="A837" s="19">
        <v>835</v>
      </c>
      <c r="B837" s="20" t="s">
        <v>1648</v>
      </c>
      <c r="C837" s="20" t="s">
        <v>1649</v>
      </c>
      <c r="D837" s="20" t="s">
        <v>1650</v>
      </c>
      <c r="E837" s="21"/>
      <c r="F837" s="21"/>
      <c r="G837" s="21">
        <v>25</v>
      </c>
      <c r="H837" s="21"/>
      <c r="I837" s="21">
        <v>10</v>
      </c>
      <c r="J837" s="21"/>
      <c r="K837" s="21"/>
      <c r="L837" s="21"/>
      <c r="M837" s="21"/>
      <c r="N837" s="21">
        <v>20</v>
      </c>
      <c r="O837" s="21">
        <v>6</v>
      </c>
      <c r="P837" s="21"/>
      <c r="Q837" s="22">
        <f t="shared" si="13"/>
        <v>61</v>
      </c>
    </row>
    <row r="838" spans="1:17" ht="15.75" customHeight="1">
      <c r="A838" s="23">
        <v>836</v>
      </c>
      <c r="B838" s="24" t="s">
        <v>1651</v>
      </c>
      <c r="C838" s="24" t="s">
        <v>1649</v>
      </c>
      <c r="D838" s="24" t="s">
        <v>1652</v>
      </c>
      <c r="E838" s="25"/>
      <c r="F838" s="25">
        <v>10</v>
      </c>
      <c r="G838" s="25">
        <v>25</v>
      </c>
      <c r="H838" s="25"/>
      <c r="I838" s="25"/>
      <c r="J838" s="25"/>
      <c r="K838" s="25"/>
      <c r="L838" s="25"/>
      <c r="M838" s="25"/>
      <c r="N838" s="25">
        <v>20</v>
      </c>
      <c r="O838" s="25"/>
      <c r="P838" s="25"/>
      <c r="Q838" s="22">
        <f t="shared" si="13"/>
        <v>55</v>
      </c>
    </row>
    <row r="839" spans="1:17" ht="15.75" customHeight="1">
      <c r="A839" s="19">
        <v>837</v>
      </c>
      <c r="B839" s="20" t="s">
        <v>1653</v>
      </c>
      <c r="C839" s="20" t="s">
        <v>1649</v>
      </c>
      <c r="D839" s="20" t="s">
        <v>1654</v>
      </c>
      <c r="E839" s="21"/>
      <c r="F839" s="21"/>
      <c r="G839" s="21">
        <v>25</v>
      </c>
      <c r="H839" s="21"/>
      <c r="I839" s="21"/>
      <c r="J839" s="21">
        <v>20</v>
      </c>
      <c r="K839" s="21"/>
      <c r="L839" s="21"/>
      <c r="M839" s="21"/>
      <c r="N839" s="21">
        <v>20</v>
      </c>
      <c r="O839" s="21"/>
      <c r="P839" s="21"/>
      <c r="Q839" s="22">
        <f t="shared" si="13"/>
        <v>65</v>
      </c>
    </row>
    <row r="840" spans="1:17" ht="15.75" customHeight="1">
      <c r="A840" s="23">
        <v>838</v>
      </c>
      <c r="B840" s="24" t="s">
        <v>1655</v>
      </c>
      <c r="C840" s="24" t="s">
        <v>1649</v>
      </c>
      <c r="D840" s="24" t="s">
        <v>1656</v>
      </c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>
        <v>5</v>
      </c>
      <c r="P840" s="25"/>
      <c r="Q840" s="22">
        <f t="shared" si="13"/>
        <v>5</v>
      </c>
    </row>
    <row r="841" spans="1:17" ht="15.75" customHeight="1">
      <c r="A841" s="19">
        <v>839</v>
      </c>
      <c r="B841" s="20" t="s">
        <v>1657</v>
      </c>
      <c r="C841" s="20" t="s">
        <v>1649</v>
      </c>
      <c r="D841" s="20" t="s">
        <v>1658</v>
      </c>
      <c r="E841" s="21"/>
      <c r="F841" s="21">
        <v>4</v>
      </c>
      <c r="G841" s="21">
        <v>1</v>
      </c>
      <c r="H841" s="21"/>
      <c r="I841" s="21"/>
      <c r="J841" s="21"/>
      <c r="K841" s="21"/>
      <c r="L841" s="21"/>
      <c r="M841" s="21"/>
      <c r="N841" s="21"/>
      <c r="O841" s="21">
        <v>5</v>
      </c>
      <c r="P841" s="21"/>
      <c r="Q841" s="22">
        <f t="shared" si="13"/>
        <v>10</v>
      </c>
    </row>
    <row r="842" spans="1:17" ht="15.75" customHeight="1">
      <c r="A842" s="23">
        <v>840</v>
      </c>
      <c r="B842" s="24" t="s">
        <v>1659</v>
      </c>
      <c r="C842" s="24" t="s">
        <v>1649</v>
      </c>
      <c r="D842" s="24" t="s">
        <v>1660</v>
      </c>
      <c r="E842" s="25"/>
      <c r="F842" s="25"/>
      <c r="G842" s="25"/>
      <c r="H842" s="25"/>
      <c r="I842" s="25"/>
      <c r="J842" s="25"/>
      <c r="K842" s="25">
        <v>70</v>
      </c>
      <c r="L842" s="25"/>
      <c r="M842" s="25"/>
      <c r="N842" s="25"/>
      <c r="O842" s="25"/>
      <c r="P842" s="25"/>
      <c r="Q842" s="22">
        <f t="shared" si="13"/>
        <v>70</v>
      </c>
    </row>
    <row r="843" spans="1:17" ht="15.75" customHeight="1">
      <c r="A843" s="19">
        <v>841</v>
      </c>
      <c r="B843" s="20" t="s">
        <v>1661</v>
      </c>
      <c r="C843" s="20" t="s">
        <v>448</v>
      </c>
      <c r="D843" s="20" t="s">
        <v>1662</v>
      </c>
      <c r="E843" s="21"/>
      <c r="F843" s="21"/>
      <c r="G843" s="21"/>
      <c r="H843" s="21"/>
      <c r="I843" s="21"/>
      <c r="J843" s="21"/>
      <c r="K843" s="21">
        <v>10</v>
      </c>
      <c r="L843" s="21"/>
      <c r="M843" s="21"/>
      <c r="N843" s="21">
        <v>30</v>
      </c>
      <c r="O843" s="21">
        <v>20</v>
      </c>
      <c r="P843" s="21"/>
      <c r="Q843" s="22">
        <f t="shared" si="13"/>
        <v>60</v>
      </c>
    </row>
    <row r="844" spans="1:17" ht="15.75" customHeight="1">
      <c r="A844" s="23">
        <v>842</v>
      </c>
      <c r="B844" s="24" t="s">
        <v>1663</v>
      </c>
      <c r="C844" s="24" t="s">
        <v>448</v>
      </c>
      <c r="D844" s="24" t="s">
        <v>1664</v>
      </c>
      <c r="E844" s="25"/>
      <c r="F844" s="25"/>
      <c r="G844" s="25"/>
      <c r="H844" s="25"/>
      <c r="I844" s="25"/>
      <c r="J844" s="25">
        <v>10</v>
      </c>
      <c r="K844" s="25">
        <v>40</v>
      </c>
      <c r="L844" s="25"/>
      <c r="M844" s="25"/>
      <c r="N844" s="25">
        <v>30</v>
      </c>
      <c r="O844" s="25">
        <v>20</v>
      </c>
      <c r="P844" s="25"/>
      <c r="Q844" s="22">
        <f t="shared" si="13"/>
        <v>100</v>
      </c>
    </row>
    <row r="845" spans="1:17" ht="15.75" customHeight="1">
      <c r="A845" s="19">
        <v>843</v>
      </c>
      <c r="B845" s="20" t="s">
        <v>1665</v>
      </c>
      <c r="C845" s="20" t="s">
        <v>206</v>
      </c>
      <c r="D845" s="20" t="s">
        <v>1666</v>
      </c>
      <c r="E845" s="21">
        <v>30</v>
      </c>
      <c r="F845" s="21">
        <v>10</v>
      </c>
      <c r="G845" s="21">
        <v>27</v>
      </c>
      <c r="H845" s="21">
        <v>20</v>
      </c>
      <c r="I845" s="21">
        <v>44</v>
      </c>
      <c r="J845" s="21">
        <v>85</v>
      </c>
      <c r="K845" s="21">
        <v>5</v>
      </c>
      <c r="L845" s="21">
        <v>115</v>
      </c>
      <c r="M845" s="21">
        <v>45</v>
      </c>
      <c r="N845" s="21">
        <v>72</v>
      </c>
      <c r="O845" s="21">
        <v>50</v>
      </c>
      <c r="P845" s="21">
        <v>40</v>
      </c>
      <c r="Q845" s="22">
        <f t="shared" si="13"/>
        <v>543</v>
      </c>
    </row>
    <row r="846" spans="1:17" ht="15.75" customHeight="1">
      <c r="A846" s="23">
        <v>844</v>
      </c>
      <c r="B846" s="24" t="s">
        <v>1667</v>
      </c>
      <c r="C846" s="24" t="s">
        <v>206</v>
      </c>
      <c r="D846" s="24" t="s">
        <v>1668</v>
      </c>
      <c r="E846" s="25"/>
      <c r="F846" s="25"/>
      <c r="G846" s="25"/>
      <c r="H846" s="25"/>
      <c r="I846" s="25"/>
      <c r="J846" s="25"/>
      <c r="K846" s="25"/>
      <c r="L846" s="25">
        <v>2</v>
      </c>
      <c r="M846" s="25"/>
      <c r="N846" s="25"/>
      <c r="O846" s="25"/>
      <c r="P846" s="25"/>
      <c r="Q846" s="22">
        <f t="shared" si="13"/>
        <v>2</v>
      </c>
    </row>
    <row r="847" spans="1:17" ht="15.75" customHeight="1">
      <c r="A847" s="19">
        <v>845</v>
      </c>
      <c r="B847" s="20" t="s">
        <v>1669</v>
      </c>
      <c r="C847" s="20" t="s">
        <v>206</v>
      </c>
      <c r="D847" s="20" t="s">
        <v>1670</v>
      </c>
      <c r="E847" s="21">
        <v>187</v>
      </c>
      <c r="F847" s="21">
        <v>10</v>
      </c>
      <c r="G847" s="21">
        <v>159</v>
      </c>
      <c r="H847" s="21">
        <v>101</v>
      </c>
      <c r="I847" s="21">
        <v>75</v>
      </c>
      <c r="J847" s="21">
        <v>288</v>
      </c>
      <c r="K847" s="21">
        <v>78</v>
      </c>
      <c r="L847" s="21">
        <v>307</v>
      </c>
      <c r="M847" s="21">
        <v>140</v>
      </c>
      <c r="N847" s="21">
        <v>165</v>
      </c>
      <c r="O847" s="21">
        <v>106</v>
      </c>
      <c r="P847" s="21">
        <v>110</v>
      </c>
      <c r="Q847" s="22">
        <f t="shared" si="13"/>
        <v>1726</v>
      </c>
    </row>
    <row r="848" spans="1:17" ht="15.75" customHeight="1">
      <c r="A848" s="23">
        <v>846</v>
      </c>
      <c r="B848" s="24" t="s">
        <v>1671</v>
      </c>
      <c r="C848" s="24" t="s">
        <v>206</v>
      </c>
      <c r="D848" s="24" t="s">
        <v>1672</v>
      </c>
      <c r="E848" s="25">
        <v>62</v>
      </c>
      <c r="F848" s="25">
        <v>35</v>
      </c>
      <c r="G848" s="25">
        <v>30</v>
      </c>
      <c r="H848" s="25">
        <v>35</v>
      </c>
      <c r="I848" s="25">
        <v>10</v>
      </c>
      <c r="J848" s="25">
        <v>275</v>
      </c>
      <c r="K848" s="25">
        <v>45</v>
      </c>
      <c r="L848" s="25">
        <v>200</v>
      </c>
      <c r="M848" s="25">
        <v>40</v>
      </c>
      <c r="N848" s="25">
        <v>40</v>
      </c>
      <c r="O848" s="25">
        <v>50</v>
      </c>
      <c r="P848" s="25">
        <v>10</v>
      </c>
      <c r="Q848" s="22">
        <f t="shared" si="13"/>
        <v>832</v>
      </c>
    </row>
    <row r="849" spans="1:17" ht="15.75" customHeight="1">
      <c r="A849" s="19">
        <v>847</v>
      </c>
      <c r="B849" s="20" t="s">
        <v>1673</v>
      </c>
      <c r="C849" s="20" t="s">
        <v>206</v>
      </c>
      <c r="D849" s="20" t="s">
        <v>1674</v>
      </c>
      <c r="E849" s="21">
        <v>62</v>
      </c>
      <c r="F849" s="21">
        <v>5</v>
      </c>
      <c r="G849" s="21">
        <v>14</v>
      </c>
      <c r="H849" s="21">
        <v>75</v>
      </c>
      <c r="I849" s="21">
        <v>70</v>
      </c>
      <c r="J849" s="21">
        <v>27</v>
      </c>
      <c r="K849" s="21">
        <v>15</v>
      </c>
      <c r="L849" s="21">
        <v>105</v>
      </c>
      <c r="M849" s="21">
        <v>70</v>
      </c>
      <c r="N849" s="21">
        <v>25</v>
      </c>
      <c r="O849" s="21">
        <v>61</v>
      </c>
      <c r="P849" s="21">
        <v>10</v>
      </c>
      <c r="Q849" s="22">
        <f t="shared" si="13"/>
        <v>539</v>
      </c>
    </row>
    <row r="850" spans="1:17" ht="15.75" customHeight="1">
      <c r="A850" s="23">
        <v>848</v>
      </c>
      <c r="B850" s="24" t="s">
        <v>1675</v>
      </c>
      <c r="C850" s="24" t="s">
        <v>206</v>
      </c>
      <c r="D850" s="24" t="s">
        <v>1676</v>
      </c>
      <c r="E850" s="25"/>
      <c r="F850" s="25">
        <v>4</v>
      </c>
      <c r="G850" s="25"/>
      <c r="H850" s="25">
        <v>30</v>
      </c>
      <c r="I850" s="25"/>
      <c r="J850" s="25">
        <v>120</v>
      </c>
      <c r="K850" s="25">
        <v>20</v>
      </c>
      <c r="L850" s="25">
        <v>20</v>
      </c>
      <c r="M850" s="25"/>
      <c r="N850" s="25">
        <v>20</v>
      </c>
      <c r="O850" s="25">
        <v>5</v>
      </c>
      <c r="P850" s="25"/>
      <c r="Q850" s="22">
        <f t="shared" si="13"/>
        <v>219</v>
      </c>
    </row>
    <row r="851" spans="1:17" ht="15.75" customHeight="1">
      <c r="A851" s="19">
        <v>849</v>
      </c>
      <c r="B851" s="20" t="s">
        <v>1677</v>
      </c>
      <c r="C851" s="20" t="s">
        <v>206</v>
      </c>
      <c r="D851" s="20" t="s">
        <v>1678</v>
      </c>
      <c r="E851" s="21"/>
      <c r="F851" s="21">
        <v>6</v>
      </c>
      <c r="G851" s="21"/>
      <c r="H851" s="21">
        <v>4</v>
      </c>
      <c r="I851" s="21"/>
      <c r="J851" s="21">
        <v>30</v>
      </c>
      <c r="K851" s="21"/>
      <c r="L851" s="21"/>
      <c r="M851" s="21">
        <v>10</v>
      </c>
      <c r="N851" s="21"/>
      <c r="O851" s="21"/>
      <c r="P851" s="21">
        <v>10</v>
      </c>
      <c r="Q851" s="22">
        <f t="shared" si="13"/>
        <v>60</v>
      </c>
    </row>
    <row r="852" spans="1:17" ht="15.75" customHeight="1">
      <c r="A852" s="23">
        <v>850</v>
      </c>
      <c r="B852" s="24" t="s">
        <v>1679</v>
      </c>
      <c r="C852" s="24" t="s">
        <v>206</v>
      </c>
      <c r="D852" s="24" t="s">
        <v>1680</v>
      </c>
      <c r="E852" s="25"/>
      <c r="F852" s="25"/>
      <c r="G852" s="25"/>
      <c r="H852" s="25"/>
      <c r="I852" s="25">
        <v>30</v>
      </c>
      <c r="J852" s="25">
        <v>30</v>
      </c>
      <c r="K852" s="25"/>
      <c r="L852" s="25">
        <v>20</v>
      </c>
      <c r="M852" s="25"/>
      <c r="N852" s="25"/>
      <c r="O852" s="25"/>
      <c r="P852" s="25"/>
      <c r="Q852" s="22">
        <f t="shared" si="13"/>
        <v>80</v>
      </c>
    </row>
    <row r="853" spans="1:17" ht="15.75" customHeight="1">
      <c r="A853" s="19">
        <v>851</v>
      </c>
      <c r="B853" s="20" t="s">
        <v>1681</v>
      </c>
      <c r="C853" s="20" t="s">
        <v>206</v>
      </c>
      <c r="D853" s="20" t="s">
        <v>1682</v>
      </c>
      <c r="E853" s="21"/>
      <c r="F853" s="21">
        <v>6</v>
      </c>
      <c r="G853" s="21"/>
      <c r="H853" s="21">
        <v>17</v>
      </c>
      <c r="I853" s="21"/>
      <c r="J853" s="21">
        <v>10</v>
      </c>
      <c r="K853" s="21">
        <v>6</v>
      </c>
      <c r="L853" s="21">
        <v>17</v>
      </c>
      <c r="M853" s="21"/>
      <c r="N853" s="21">
        <v>10</v>
      </c>
      <c r="O853" s="21">
        <v>5</v>
      </c>
      <c r="P853" s="21">
        <v>4</v>
      </c>
      <c r="Q853" s="22">
        <f t="shared" si="13"/>
        <v>75</v>
      </c>
    </row>
    <row r="854" spans="1:17" ht="15.75" customHeight="1">
      <c r="A854" s="23">
        <v>852</v>
      </c>
      <c r="B854" s="24" t="s">
        <v>1683</v>
      </c>
      <c r="C854" s="24" t="s">
        <v>206</v>
      </c>
      <c r="D854" s="24" t="s">
        <v>1578</v>
      </c>
      <c r="E854" s="25"/>
      <c r="F854" s="25">
        <v>10</v>
      </c>
      <c r="G854" s="25"/>
      <c r="H854" s="25">
        <v>4</v>
      </c>
      <c r="I854" s="25"/>
      <c r="J854" s="25"/>
      <c r="K854" s="25"/>
      <c r="L854" s="25">
        <v>5</v>
      </c>
      <c r="M854" s="25"/>
      <c r="N854" s="25">
        <v>5</v>
      </c>
      <c r="O854" s="25"/>
      <c r="P854" s="25"/>
      <c r="Q854" s="22">
        <f t="shared" si="13"/>
        <v>24</v>
      </c>
    </row>
    <row r="855" spans="1:17" ht="15.75" customHeight="1">
      <c r="A855" s="19">
        <v>853</v>
      </c>
      <c r="B855" s="20" t="s">
        <v>1684</v>
      </c>
      <c r="C855" s="20" t="s">
        <v>206</v>
      </c>
      <c r="D855" s="20" t="s">
        <v>1685</v>
      </c>
      <c r="E855" s="21"/>
      <c r="F855" s="21">
        <v>10</v>
      </c>
      <c r="G855" s="21"/>
      <c r="H855" s="21"/>
      <c r="I855" s="21"/>
      <c r="J855" s="21"/>
      <c r="K855" s="21"/>
      <c r="L855" s="21"/>
      <c r="M855" s="21"/>
      <c r="N855" s="21"/>
      <c r="O855" s="21">
        <v>5</v>
      </c>
      <c r="P855" s="21"/>
      <c r="Q855" s="22">
        <f t="shared" si="13"/>
        <v>15</v>
      </c>
    </row>
    <row r="856" spans="1:17" ht="15.75" customHeight="1">
      <c r="A856" s="23">
        <v>854</v>
      </c>
      <c r="B856" s="24" t="s">
        <v>1686</v>
      </c>
      <c r="C856" s="24" t="s">
        <v>206</v>
      </c>
      <c r="D856" s="24" t="s">
        <v>1687</v>
      </c>
      <c r="E856" s="25"/>
      <c r="F856" s="25"/>
      <c r="G856" s="25"/>
      <c r="H856" s="25"/>
      <c r="I856" s="25"/>
      <c r="J856" s="25"/>
      <c r="K856" s="25"/>
      <c r="L856" s="25"/>
      <c r="M856" s="25">
        <v>10</v>
      </c>
      <c r="N856" s="25"/>
      <c r="O856" s="25"/>
      <c r="P856" s="25"/>
      <c r="Q856" s="22">
        <f t="shared" si="13"/>
        <v>10</v>
      </c>
    </row>
    <row r="857" spans="1:17" ht="15.75" customHeight="1">
      <c r="A857" s="19">
        <v>855</v>
      </c>
      <c r="B857" s="20" t="s">
        <v>1688</v>
      </c>
      <c r="C857" s="20" t="s">
        <v>206</v>
      </c>
      <c r="D857" s="20" t="s">
        <v>1689</v>
      </c>
      <c r="E857" s="21"/>
      <c r="F857" s="21"/>
      <c r="G857" s="21"/>
      <c r="H857" s="21">
        <v>2</v>
      </c>
      <c r="I857" s="21"/>
      <c r="J857" s="21"/>
      <c r="K857" s="21"/>
      <c r="L857" s="21"/>
      <c r="M857" s="21"/>
      <c r="N857" s="21"/>
      <c r="O857" s="21"/>
      <c r="P857" s="21"/>
      <c r="Q857" s="22">
        <f t="shared" si="13"/>
        <v>2</v>
      </c>
    </row>
    <row r="858" spans="1:17" ht="15.75" customHeight="1">
      <c r="A858" s="23">
        <v>856</v>
      </c>
      <c r="B858" s="24" t="s">
        <v>1690</v>
      </c>
      <c r="C858" s="24" t="s">
        <v>206</v>
      </c>
      <c r="D858" s="24" t="s">
        <v>1691</v>
      </c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>
        <v>5</v>
      </c>
      <c r="Q858" s="22">
        <f t="shared" si="13"/>
        <v>5</v>
      </c>
    </row>
    <row r="859" spans="1:17" ht="15.75" customHeight="1">
      <c r="A859" s="19">
        <v>857</v>
      </c>
      <c r="B859" s="20" t="s">
        <v>1692</v>
      </c>
      <c r="C859" s="20" t="s">
        <v>206</v>
      </c>
      <c r="D859" s="20" t="s">
        <v>1693</v>
      </c>
      <c r="E859" s="21"/>
      <c r="F859" s="21"/>
      <c r="G859" s="21">
        <v>12</v>
      </c>
      <c r="H859" s="21"/>
      <c r="I859" s="21"/>
      <c r="J859" s="21"/>
      <c r="K859" s="21"/>
      <c r="L859" s="21"/>
      <c r="M859" s="21"/>
      <c r="N859" s="21"/>
      <c r="O859" s="21"/>
      <c r="P859" s="21"/>
      <c r="Q859" s="22">
        <f t="shared" si="13"/>
        <v>12</v>
      </c>
    </row>
    <row r="860" spans="1:17" ht="15.75" customHeight="1">
      <c r="A860" s="23">
        <v>858</v>
      </c>
      <c r="B860" s="24" t="s">
        <v>1694</v>
      </c>
      <c r="C860" s="24" t="s">
        <v>206</v>
      </c>
      <c r="D860" s="24" t="s">
        <v>1695</v>
      </c>
      <c r="E860" s="25"/>
      <c r="F860" s="25"/>
      <c r="G860" s="25">
        <v>10</v>
      </c>
      <c r="H860" s="25"/>
      <c r="I860" s="25"/>
      <c r="J860" s="25"/>
      <c r="K860" s="25">
        <v>5</v>
      </c>
      <c r="L860" s="25">
        <v>10</v>
      </c>
      <c r="M860" s="25"/>
      <c r="N860" s="25"/>
      <c r="O860" s="25"/>
      <c r="P860" s="25"/>
      <c r="Q860" s="22">
        <f t="shared" si="13"/>
        <v>25</v>
      </c>
    </row>
    <row r="861" spans="1:17" ht="15.75" customHeight="1">
      <c r="A861" s="19">
        <v>859</v>
      </c>
      <c r="B861" s="20" t="s">
        <v>1696</v>
      </c>
      <c r="C861" s="20" t="s">
        <v>211</v>
      </c>
      <c r="D861" s="20" t="s">
        <v>1697</v>
      </c>
      <c r="E861" s="21"/>
      <c r="F861" s="21">
        <v>15</v>
      </c>
      <c r="G861" s="21">
        <v>45</v>
      </c>
      <c r="H861" s="21">
        <v>10</v>
      </c>
      <c r="I861" s="21"/>
      <c r="J861" s="21">
        <v>100</v>
      </c>
      <c r="K861" s="21">
        <v>30</v>
      </c>
      <c r="L861" s="21">
        <v>12</v>
      </c>
      <c r="M861" s="21">
        <v>10</v>
      </c>
      <c r="N861" s="21">
        <v>15</v>
      </c>
      <c r="O861" s="21">
        <v>20</v>
      </c>
      <c r="P861" s="21"/>
      <c r="Q861" s="22">
        <f t="shared" si="13"/>
        <v>257</v>
      </c>
    </row>
    <row r="862" spans="1:17" ht="15.75" customHeight="1">
      <c r="A862" s="23">
        <v>860</v>
      </c>
      <c r="B862" s="24" t="s">
        <v>1698</v>
      </c>
      <c r="C862" s="24" t="s">
        <v>211</v>
      </c>
      <c r="D862" s="24" t="s">
        <v>1668</v>
      </c>
      <c r="E862" s="25"/>
      <c r="F862" s="25"/>
      <c r="G862" s="25">
        <v>5</v>
      </c>
      <c r="H862" s="25"/>
      <c r="I862" s="25"/>
      <c r="J862" s="25"/>
      <c r="K862" s="25"/>
      <c r="L862" s="25"/>
      <c r="M862" s="25"/>
      <c r="N862" s="25"/>
      <c r="O862" s="25"/>
      <c r="P862" s="25"/>
      <c r="Q862" s="22">
        <f t="shared" si="13"/>
        <v>5</v>
      </c>
    </row>
    <row r="863" spans="1:17" ht="15.75" customHeight="1">
      <c r="A863" s="19">
        <v>861</v>
      </c>
      <c r="B863" s="20" t="s">
        <v>1699</v>
      </c>
      <c r="C863" s="20" t="s">
        <v>211</v>
      </c>
      <c r="D863" s="20" t="s">
        <v>1700</v>
      </c>
      <c r="E863" s="21"/>
      <c r="F863" s="21"/>
      <c r="G863" s="21"/>
      <c r="H863" s="21"/>
      <c r="I863" s="21">
        <v>10</v>
      </c>
      <c r="J863" s="21"/>
      <c r="K863" s="21"/>
      <c r="L863" s="21"/>
      <c r="M863" s="21"/>
      <c r="N863" s="21"/>
      <c r="O863" s="21">
        <v>10</v>
      </c>
      <c r="P863" s="21"/>
      <c r="Q863" s="22">
        <f t="shared" si="13"/>
        <v>20</v>
      </c>
    </row>
    <row r="864" spans="1:17" ht="15.75" customHeight="1">
      <c r="A864" s="23">
        <v>862</v>
      </c>
      <c r="B864" s="24" t="s">
        <v>1701</v>
      </c>
      <c r="C864" s="24" t="s">
        <v>211</v>
      </c>
      <c r="D864" s="24" t="s">
        <v>1702</v>
      </c>
      <c r="E864" s="25">
        <v>10</v>
      </c>
      <c r="F864" s="25"/>
      <c r="G864" s="25">
        <v>30</v>
      </c>
      <c r="H864" s="25">
        <v>50</v>
      </c>
      <c r="I864" s="25">
        <v>105</v>
      </c>
      <c r="J864" s="25">
        <v>190</v>
      </c>
      <c r="K864" s="25">
        <v>30</v>
      </c>
      <c r="L864" s="25">
        <v>55</v>
      </c>
      <c r="M864" s="25">
        <v>65</v>
      </c>
      <c r="N864" s="25">
        <v>116</v>
      </c>
      <c r="O864" s="25">
        <v>162</v>
      </c>
      <c r="P864" s="25">
        <v>10</v>
      </c>
      <c r="Q864" s="22">
        <f t="shared" si="13"/>
        <v>823</v>
      </c>
    </row>
    <row r="865" spans="1:17" ht="15.75" customHeight="1">
      <c r="A865" s="19">
        <v>863</v>
      </c>
      <c r="B865" s="20" t="s">
        <v>1703</v>
      </c>
      <c r="C865" s="20" t="s">
        <v>211</v>
      </c>
      <c r="D865" s="20" t="s">
        <v>1704</v>
      </c>
      <c r="E865" s="21">
        <v>10</v>
      </c>
      <c r="F865" s="21"/>
      <c r="G865" s="21">
        <v>80</v>
      </c>
      <c r="H865" s="21">
        <v>15</v>
      </c>
      <c r="I865" s="21">
        <v>6</v>
      </c>
      <c r="J865" s="21">
        <v>55</v>
      </c>
      <c r="K865" s="21">
        <v>31</v>
      </c>
      <c r="L865" s="21">
        <v>18</v>
      </c>
      <c r="M865" s="21">
        <v>10</v>
      </c>
      <c r="N865" s="21">
        <v>100</v>
      </c>
      <c r="O865" s="21">
        <v>55</v>
      </c>
      <c r="P865" s="21">
        <v>50</v>
      </c>
      <c r="Q865" s="22">
        <f t="shared" si="13"/>
        <v>430</v>
      </c>
    </row>
    <row r="866" spans="1:17" ht="15.75" customHeight="1">
      <c r="A866" s="23">
        <v>864</v>
      </c>
      <c r="B866" s="24" t="s">
        <v>1705</v>
      </c>
      <c r="C866" s="24" t="s">
        <v>211</v>
      </c>
      <c r="D866" s="24" t="s">
        <v>1706</v>
      </c>
      <c r="E866" s="25">
        <v>24</v>
      </c>
      <c r="F866" s="25"/>
      <c r="G866" s="25">
        <v>25</v>
      </c>
      <c r="H866" s="25"/>
      <c r="I866" s="25">
        <v>20</v>
      </c>
      <c r="J866" s="25">
        <v>50</v>
      </c>
      <c r="K866" s="25"/>
      <c r="L866" s="25">
        <v>3</v>
      </c>
      <c r="M866" s="25">
        <v>5</v>
      </c>
      <c r="N866" s="25">
        <v>5</v>
      </c>
      <c r="O866" s="25">
        <v>20</v>
      </c>
      <c r="P866" s="25">
        <v>15</v>
      </c>
      <c r="Q866" s="22">
        <f t="shared" si="13"/>
        <v>167</v>
      </c>
    </row>
    <row r="867" spans="1:17" ht="15.75" customHeight="1">
      <c r="A867" s="19">
        <v>865</v>
      </c>
      <c r="B867" s="20" t="s">
        <v>1707</v>
      </c>
      <c r="C867" s="20" t="s">
        <v>211</v>
      </c>
      <c r="D867" s="20" t="s">
        <v>1708</v>
      </c>
      <c r="E867" s="21"/>
      <c r="F867" s="21"/>
      <c r="G867" s="21">
        <v>30</v>
      </c>
      <c r="H867" s="21"/>
      <c r="I867" s="21">
        <v>6</v>
      </c>
      <c r="J867" s="21">
        <v>10</v>
      </c>
      <c r="K867" s="21"/>
      <c r="L867" s="21"/>
      <c r="M867" s="21"/>
      <c r="N867" s="21">
        <v>20</v>
      </c>
      <c r="O867" s="21">
        <v>15</v>
      </c>
      <c r="P867" s="21"/>
      <c r="Q867" s="22">
        <f t="shared" si="13"/>
        <v>81</v>
      </c>
    </row>
    <row r="868" spans="1:17" ht="15.75" customHeight="1">
      <c r="A868" s="23">
        <v>866</v>
      </c>
      <c r="B868" s="24" t="s">
        <v>1709</v>
      </c>
      <c r="C868" s="24" t="s">
        <v>211</v>
      </c>
      <c r="D868" s="24" t="s">
        <v>1678</v>
      </c>
      <c r="E868" s="25"/>
      <c r="F868" s="25"/>
      <c r="G868" s="25"/>
      <c r="H868" s="25"/>
      <c r="I868" s="25"/>
      <c r="J868" s="25">
        <v>50</v>
      </c>
      <c r="K868" s="25"/>
      <c r="L868" s="25"/>
      <c r="M868" s="25"/>
      <c r="N868" s="25"/>
      <c r="O868" s="25"/>
      <c r="P868" s="25"/>
      <c r="Q868" s="22">
        <f t="shared" si="13"/>
        <v>50</v>
      </c>
    </row>
    <row r="869" spans="1:17" ht="15.75" customHeight="1">
      <c r="A869" s="19">
        <v>867</v>
      </c>
      <c r="B869" s="20" t="s">
        <v>1710</v>
      </c>
      <c r="C869" s="20" t="s">
        <v>211</v>
      </c>
      <c r="D869" s="20" t="s">
        <v>1682</v>
      </c>
      <c r="E869" s="21"/>
      <c r="F869" s="21"/>
      <c r="G869" s="21"/>
      <c r="H869" s="21"/>
      <c r="I869" s="21"/>
      <c r="J869" s="21">
        <v>2</v>
      </c>
      <c r="K869" s="21"/>
      <c r="L869" s="21"/>
      <c r="M869" s="21">
        <v>5</v>
      </c>
      <c r="N869" s="21"/>
      <c r="O869" s="21"/>
      <c r="P869" s="21"/>
      <c r="Q869" s="22">
        <f t="shared" si="13"/>
        <v>7</v>
      </c>
    </row>
    <row r="870" spans="1:17" ht="15.75" customHeight="1">
      <c r="A870" s="23">
        <v>868</v>
      </c>
      <c r="B870" s="24" t="s">
        <v>1711</v>
      </c>
      <c r="C870" s="24" t="s">
        <v>211</v>
      </c>
      <c r="D870" s="24" t="s">
        <v>1712</v>
      </c>
      <c r="E870" s="25"/>
      <c r="F870" s="25"/>
      <c r="G870" s="25"/>
      <c r="H870" s="25"/>
      <c r="I870" s="25"/>
      <c r="J870" s="25">
        <v>10</v>
      </c>
      <c r="K870" s="25"/>
      <c r="L870" s="25">
        <v>9</v>
      </c>
      <c r="M870" s="25"/>
      <c r="N870" s="25"/>
      <c r="O870" s="25"/>
      <c r="P870" s="25"/>
      <c r="Q870" s="22">
        <f t="shared" si="13"/>
        <v>19</v>
      </c>
    </row>
    <row r="871" spans="1:17" ht="15.75" customHeight="1">
      <c r="A871" s="19">
        <v>869</v>
      </c>
      <c r="B871" s="20" t="s">
        <v>1713</v>
      </c>
      <c r="C871" s="20" t="s">
        <v>203</v>
      </c>
      <c r="D871" s="20" t="s">
        <v>1714</v>
      </c>
      <c r="E871" s="21">
        <v>810</v>
      </c>
      <c r="F871" s="21">
        <v>1465</v>
      </c>
      <c r="G871" s="21">
        <v>3187</v>
      </c>
      <c r="H871" s="21">
        <v>2979</v>
      </c>
      <c r="I871" s="21">
        <v>1107</v>
      </c>
      <c r="J871" s="21">
        <v>597</v>
      </c>
      <c r="K871" s="21">
        <v>690</v>
      </c>
      <c r="L871" s="21">
        <v>1427</v>
      </c>
      <c r="M871" s="21">
        <v>480</v>
      </c>
      <c r="N871" s="21">
        <v>962</v>
      </c>
      <c r="O871" s="21">
        <v>970</v>
      </c>
      <c r="P871" s="21">
        <v>668</v>
      </c>
      <c r="Q871" s="22">
        <f t="shared" si="13"/>
        <v>15342</v>
      </c>
    </row>
    <row r="872" spans="1:17" ht="15.75" customHeight="1">
      <c r="A872" s="23">
        <v>870</v>
      </c>
      <c r="B872" s="24" t="s">
        <v>1715</v>
      </c>
      <c r="C872" s="24" t="s">
        <v>203</v>
      </c>
      <c r="D872" s="24" t="s">
        <v>1716</v>
      </c>
      <c r="E872" s="25">
        <v>35</v>
      </c>
      <c r="F872" s="25"/>
      <c r="G872" s="25">
        <v>5</v>
      </c>
      <c r="H872" s="25">
        <v>20</v>
      </c>
      <c r="I872" s="25">
        <v>30</v>
      </c>
      <c r="J872" s="25">
        <v>21</v>
      </c>
      <c r="K872" s="25">
        <v>24</v>
      </c>
      <c r="L872" s="25">
        <v>15</v>
      </c>
      <c r="M872" s="25"/>
      <c r="N872" s="25"/>
      <c r="O872" s="25"/>
      <c r="P872" s="25"/>
      <c r="Q872" s="22">
        <f t="shared" si="13"/>
        <v>150</v>
      </c>
    </row>
    <row r="873" spans="1:17" ht="15.75" customHeight="1">
      <c r="A873" s="19">
        <v>871</v>
      </c>
      <c r="B873" s="20" t="s">
        <v>1717</v>
      </c>
      <c r="C873" s="20" t="s">
        <v>203</v>
      </c>
      <c r="D873" s="20" t="s">
        <v>1718</v>
      </c>
      <c r="E873" s="21">
        <v>20</v>
      </c>
      <c r="F873" s="21"/>
      <c r="G873" s="21"/>
      <c r="H873" s="21">
        <v>10</v>
      </c>
      <c r="I873" s="21"/>
      <c r="J873" s="21"/>
      <c r="K873" s="21"/>
      <c r="L873" s="21">
        <v>20</v>
      </c>
      <c r="M873" s="21"/>
      <c r="N873" s="21"/>
      <c r="O873" s="21"/>
      <c r="P873" s="21"/>
      <c r="Q873" s="22">
        <f t="shared" si="13"/>
        <v>50</v>
      </c>
    </row>
    <row r="874" spans="1:17" ht="15.75" customHeight="1">
      <c r="A874" s="23">
        <v>872</v>
      </c>
      <c r="B874" s="24" t="s">
        <v>1719</v>
      </c>
      <c r="C874" s="24" t="s">
        <v>203</v>
      </c>
      <c r="D874" s="24" t="s">
        <v>1720</v>
      </c>
      <c r="E874" s="25">
        <v>415</v>
      </c>
      <c r="F874" s="25">
        <v>1032</v>
      </c>
      <c r="G874" s="25">
        <v>1273</v>
      </c>
      <c r="H874" s="25">
        <v>933</v>
      </c>
      <c r="I874" s="25">
        <v>803</v>
      </c>
      <c r="J874" s="25">
        <v>1222</v>
      </c>
      <c r="K874" s="25">
        <v>715</v>
      </c>
      <c r="L874" s="25">
        <v>1426</v>
      </c>
      <c r="M874" s="25">
        <v>683</v>
      </c>
      <c r="N874" s="25">
        <v>1369</v>
      </c>
      <c r="O874" s="25">
        <v>746</v>
      </c>
      <c r="P874" s="25">
        <v>686</v>
      </c>
      <c r="Q874" s="22">
        <f t="shared" si="13"/>
        <v>11303</v>
      </c>
    </row>
    <row r="875" spans="1:17" ht="15.75" customHeight="1">
      <c r="A875" s="19">
        <v>873</v>
      </c>
      <c r="B875" s="20" t="s">
        <v>1721</v>
      </c>
      <c r="C875" s="20" t="s">
        <v>203</v>
      </c>
      <c r="D875" s="20" t="s">
        <v>1722</v>
      </c>
      <c r="E875" s="21"/>
      <c r="F875" s="21"/>
      <c r="G875" s="21"/>
      <c r="H875" s="21"/>
      <c r="I875" s="21"/>
      <c r="J875" s="21"/>
      <c r="K875" s="21"/>
      <c r="L875" s="21">
        <v>3</v>
      </c>
      <c r="M875" s="21"/>
      <c r="N875" s="21"/>
      <c r="O875" s="21"/>
      <c r="P875" s="21"/>
      <c r="Q875" s="22">
        <f t="shared" si="13"/>
        <v>3</v>
      </c>
    </row>
    <row r="876" spans="1:17" ht="15.75" customHeight="1">
      <c r="A876" s="23">
        <v>874</v>
      </c>
      <c r="B876" s="24" t="s">
        <v>1723</v>
      </c>
      <c r="C876" s="24" t="s">
        <v>203</v>
      </c>
      <c r="D876" s="24" t="s">
        <v>1724</v>
      </c>
      <c r="E876" s="25"/>
      <c r="F876" s="25">
        <v>360</v>
      </c>
      <c r="G876" s="25"/>
      <c r="H876" s="25"/>
      <c r="I876" s="25">
        <v>100</v>
      </c>
      <c r="J876" s="25">
        <v>70</v>
      </c>
      <c r="K876" s="25"/>
      <c r="L876" s="25"/>
      <c r="M876" s="25"/>
      <c r="N876" s="25">
        <v>6</v>
      </c>
      <c r="O876" s="25">
        <v>250</v>
      </c>
      <c r="P876" s="25">
        <v>50</v>
      </c>
      <c r="Q876" s="22">
        <f t="shared" si="13"/>
        <v>836</v>
      </c>
    </row>
    <row r="877" spans="1:17" ht="15.75" customHeight="1">
      <c r="A877" s="19">
        <v>875</v>
      </c>
      <c r="B877" s="20" t="s">
        <v>1725</v>
      </c>
      <c r="C877" s="20" t="s">
        <v>203</v>
      </c>
      <c r="D877" s="20" t="s">
        <v>1726</v>
      </c>
      <c r="E877" s="21">
        <v>220</v>
      </c>
      <c r="F877" s="21">
        <v>486</v>
      </c>
      <c r="G877" s="21">
        <v>409</v>
      </c>
      <c r="H877" s="21">
        <v>742</v>
      </c>
      <c r="I877" s="21">
        <v>406</v>
      </c>
      <c r="J877" s="21">
        <v>633</v>
      </c>
      <c r="K877" s="21">
        <v>205</v>
      </c>
      <c r="L877" s="21">
        <v>746</v>
      </c>
      <c r="M877" s="21">
        <v>220</v>
      </c>
      <c r="N877" s="21">
        <v>740</v>
      </c>
      <c r="O877" s="21">
        <v>663</v>
      </c>
      <c r="P877" s="21">
        <v>615</v>
      </c>
      <c r="Q877" s="22">
        <f t="shared" si="13"/>
        <v>6085</v>
      </c>
    </row>
    <row r="878" spans="1:17" ht="15.75" customHeight="1">
      <c r="A878" s="23">
        <v>876</v>
      </c>
      <c r="B878" s="24" t="s">
        <v>1727</v>
      </c>
      <c r="C878" s="24" t="s">
        <v>203</v>
      </c>
      <c r="D878" s="24" t="s">
        <v>1728</v>
      </c>
      <c r="E878" s="25">
        <v>121</v>
      </c>
      <c r="F878" s="25">
        <v>216</v>
      </c>
      <c r="G878" s="25">
        <v>244</v>
      </c>
      <c r="H878" s="25">
        <v>222</v>
      </c>
      <c r="I878" s="25">
        <v>211</v>
      </c>
      <c r="J878" s="25">
        <v>247</v>
      </c>
      <c r="K878" s="25">
        <v>111</v>
      </c>
      <c r="L878" s="25">
        <v>232</v>
      </c>
      <c r="M878" s="25">
        <v>138</v>
      </c>
      <c r="N878" s="25">
        <v>229</v>
      </c>
      <c r="O878" s="25">
        <v>183</v>
      </c>
      <c r="P878" s="25">
        <v>168</v>
      </c>
      <c r="Q878" s="22">
        <f t="shared" si="13"/>
        <v>2322</v>
      </c>
    </row>
    <row r="879" spans="1:17" ht="15.75" customHeight="1">
      <c r="A879" s="19">
        <v>877</v>
      </c>
      <c r="B879" s="20" t="s">
        <v>1729</v>
      </c>
      <c r="C879" s="20" t="s">
        <v>203</v>
      </c>
      <c r="D879" s="20" t="s">
        <v>1730</v>
      </c>
      <c r="E879" s="21">
        <v>30</v>
      </c>
      <c r="F879" s="21">
        <v>30</v>
      </c>
      <c r="G879" s="21">
        <v>80</v>
      </c>
      <c r="H879" s="21">
        <v>6</v>
      </c>
      <c r="I879" s="21">
        <v>130</v>
      </c>
      <c r="J879" s="21">
        <v>50</v>
      </c>
      <c r="K879" s="21">
        <v>60</v>
      </c>
      <c r="L879" s="21">
        <v>140</v>
      </c>
      <c r="M879" s="21">
        <v>40</v>
      </c>
      <c r="N879" s="21"/>
      <c r="O879" s="21"/>
      <c r="P879" s="21">
        <v>30</v>
      </c>
      <c r="Q879" s="22">
        <f t="shared" si="13"/>
        <v>596</v>
      </c>
    </row>
    <row r="880" spans="1:17" ht="15.75" customHeight="1">
      <c r="A880" s="23">
        <v>878</v>
      </c>
      <c r="B880" s="24" t="s">
        <v>1731</v>
      </c>
      <c r="C880" s="24" t="s">
        <v>203</v>
      </c>
      <c r="D880" s="24" t="s">
        <v>1732</v>
      </c>
      <c r="E880" s="25">
        <v>90</v>
      </c>
      <c r="F880" s="25">
        <v>18</v>
      </c>
      <c r="G880" s="25">
        <v>58</v>
      </c>
      <c r="H880" s="25">
        <v>150</v>
      </c>
      <c r="I880" s="25">
        <v>85</v>
      </c>
      <c r="J880" s="25">
        <v>105</v>
      </c>
      <c r="K880" s="25">
        <v>75</v>
      </c>
      <c r="L880" s="25">
        <v>107</v>
      </c>
      <c r="M880" s="25">
        <v>60</v>
      </c>
      <c r="N880" s="25">
        <v>45</v>
      </c>
      <c r="O880" s="25">
        <v>90</v>
      </c>
      <c r="P880" s="25">
        <v>75</v>
      </c>
      <c r="Q880" s="22">
        <f t="shared" si="13"/>
        <v>958</v>
      </c>
    </row>
    <row r="881" spans="1:17" ht="15.75" customHeight="1">
      <c r="A881" s="19">
        <v>879</v>
      </c>
      <c r="B881" s="20" t="s">
        <v>1733</v>
      </c>
      <c r="C881" s="20" t="s">
        <v>203</v>
      </c>
      <c r="D881" s="20" t="s">
        <v>1734</v>
      </c>
      <c r="E881" s="21"/>
      <c r="F881" s="21">
        <v>3</v>
      </c>
      <c r="G881" s="21">
        <v>10</v>
      </c>
      <c r="H881" s="21">
        <v>10</v>
      </c>
      <c r="I881" s="21">
        <v>8</v>
      </c>
      <c r="J881" s="21">
        <v>90</v>
      </c>
      <c r="K881" s="21">
        <v>13</v>
      </c>
      <c r="L881" s="21">
        <v>38</v>
      </c>
      <c r="M881" s="21">
        <v>10</v>
      </c>
      <c r="N881" s="21">
        <v>6</v>
      </c>
      <c r="O881" s="21">
        <v>19</v>
      </c>
      <c r="P881" s="21">
        <v>54</v>
      </c>
      <c r="Q881" s="22">
        <f t="shared" si="13"/>
        <v>261</v>
      </c>
    </row>
    <row r="882" spans="1:17" ht="15.75" customHeight="1">
      <c r="A882" s="23">
        <v>880</v>
      </c>
      <c r="B882" s="24" t="s">
        <v>1735</v>
      </c>
      <c r="C882" s="24" t="s">
        <v>203</v>
      </c>
      <c r="D882" s="24" t="s">
        <v>1736</v>
      </c>
      <c r="E882" s="25">
        <v>160</v>
      </c>
      <c r="F882" s="25">
        <v>315</v>
      </c>
      <c r="G882" s="25">
        <v>699</v>
      </c>
      <c r="H882" s="25">
        <v>240</v>
      </c>
      <c r="I882" s="25">
        <v>620</v>
      </c>
      <c r="J882" s="25">
        <v>390</v>
      </c>
      <c r="K882" s="25">
        <v>460</v>
      </c>
      <c r="L882" s="25">
        <v>390</v>
      </c>
      <c r="M882" s="25">
        <v>211</v>
      </c>
      <c r="N882" s="25">
        <v>501</v>
      </c>
      <c r="O882" s="25">
        <v>235</v>
      </c>
      <c r="P882" s="25">
        <v>285</v>
      </c>
      <c r="Q882" s="22">
        <f t="shared" si="13"/>
        <v>4506</v>
      </c>
    </row>
    <row r="883" spans="1:17" ht="15.75" customHeight="1">
      <c r="A883" s="19">
        <v>881</v>
      </c>
      <c r="B883" s="20" t="s">
        <v>1737</v>
      </c>
      <c r="C883" s="20" t="s">
        <v>203</v>
      </c>
      <c r="D883" s="20" t="s">
        <v>1738</v>
      </c>
      <c r="E883" s="21"/>
      <c r="F883" s="21">
        <v>28</v>
      </c>
      <c r="G883" s="21">
        <v>6</v>
      </c>
      <c r="H883" s="21">
        <v>5</v>
      </c>
      <c r="I883" s="21"/>
      <c r="J883" s="21">
        <v>76</v>
      </c>
      <c r="K883" s="21">
        <v>31</v>
      </c>
      <c r="L883" s="21">
        <v>15</v>
      </c>
      <c r="M883" s="21">
        <v>11</v>
      </c>
      <c r="N883" s="21">
        <v>28</v>
      </c>
      <c r="O883" s="21">
        <v>4</v>
      </c>
      <c r="P883" s="21">
        <v>10</v>
      </c>
      <c r="Q883" s="22">
        <f t="shared" si="13"/>
        <v>214</v>
      </c>
    </row>
    <row r="884" spans="1:17" ht="15.75" customHeight="1">
      <c r="A884" s="23">
        <v>882</v>
      </c>
      <c r="B884" s="24" t="s">
        <v>1739</v>
      </c>
      <c r="C884" s="24" t="s">
        <v>203</v>
      </c>
      <c r="D884" s="24" t="s">
        <v>1578</v>
      </c>
      <c r="E884" s="25"/>
      <c r="F884" s="25"/>
      <c r="G884" s="25">
        <v>10</v>
      </c>
      <c r="H884" s="25"/>
      <c r="I884" s="25"/>
      <c r="J884" s="25">
        <v>10</v>
      </c>
      <c r="K884" s="25"/>
      <c r="L884" s="25">
        <v>15</v>
      </c>
      <c r="M884" s="25">
        <v>6</v>
      </c>
      <c r="N884" s="25">
        <v>20</v>
      </c>
      <c r="O884" s="25">
        <v>4</v>
      </c>
      <c r="P884" s="25">
        <v>25</v>
      </c>
      <c r="Q884" s="22">
        <f t="shared" si="13"/>
        <v>90</v>
      </c>
    </row>
    <row r="885" spans="1:17" ht="15.75" customHeight="1">
      <c r="A885" s="19">
        <v>883</v>
      </c>
      <c r="B885" s="20" t="s">
        <v>1740</v>
      </c>
      <c r="C885" s="20" t="s">
        <v>203</v>
      </c>
      <c r="D885" s="20" t="s">
        <v>1741</v>
      </c>
      <c r="E885" s="21"/>
      <c r="F885" s="21"/>
      <c r="G885" s="21">
        <v>10</v>
      </c>
      <c r="H885" s="21"/>
      <c r="I885" s="21"/>
      <c r="J885" s="21">
        <v>50</v>
      </c>
      <c r="K885" s="21"/>
      <c r="L885" s="21"/>
      <c r="M885" s="21"/>
      <c r="N885" s="21">
        <v>17</v>
      </c>
      <c r="O885" s="21"/>
      <c r="P885" s="21">
        <v>20</v>
      </c>
      <c r="Q885" s="22">
        <f t="shared" si="13"/>
        <v>97</v>
      </c>
    </row>
    <row r="886" spans="1:17" ht="15.75" customHeight="1">
      <c r="A886" s="23">
        <v>884</v>
      </c>
      <c r="B886" s="24" t="s">
        <v>1742</v>
      </c>
      <c r="C886" s="24" t="s">
        <v>203</v>
      </c>
      <c r="D886" s="24" t="s">
        <v>1685</v>
      </c>
      <c r="E886" s="25"/>
      <c r="F886" s="25"/>
      <c r="G886" s="25">
        <v>12</v>
      </c>
      <c r="H886" s="25">
        <v>15</v>
      </c>
      <c r="I886" s="25">
        <v>2</v>
      </c>
      <c r="J886" s="25">
        <v>6</v>
      </c>
      <c r="K886" s="25">
        <v>2</v>
      </c>
      <c r="L886" s="25"/>
      <c r="M886" s="25">
        <v>6</v>
      </c>
      <c r="N886" s="25">
        <v>26</v>
      </c>
      <c r="O886" s="25">
        <v>7</v>
      </c>
      <c r="P886" s="25">
        <v>5</v>
      </c>
      <c r="Q886" s="22">
        <f t="shared" si="13"/>
        <v>81</v>
      </c>
    </row>
    <row r="887" spans="1:17" ht="15.75" customHeight="1">
      <c r="A887" s="19">
        <v>885</v>
      </c>
      <c r="B887" s="20" t="s">
        <v>1743</v>
      </c>
      <c r="C887" s="20" t="s">
        <v>203</v>
      </c>
      <c r="D887" s="20" t="s">
        <v>1744</v>
      </c>
      <c r="E887" s="21"/>
      <c r="F887" s="21"/>
      <c r="G887" s="21"/>
      <c r="H887" s="21"/>
      <c r="I887" s="21"/>
      <c r="J887" s="21">
        <v>1</v>
      </c>
      <c r="K887" s="21"/>
      <c r="L887" s="21"/>
      <c r="M887" s="21"/>
      <c r="N887" s="21"/>
      <c r="O887" s="21">
        <v>2</v>
      </c>
      <c r="P887" s="21"/>
      <c r="Q887" s="22">
        <f t="shared" si="13"/>
        <v>3</v>
      </c>
    </row>
    <row r="888" spans="1:17" ht="15.75" customHeight="1">
      <c r="A888" s="23">
        <v>886</v>
      </c>
      <c r="B888" s="24" t="s">
        <v>1745</v>
      </c>
      <c r="C888" s="24" t="s">
        <v>203</v>
      </c>
      <c r="D888" s="24" t="s">
        <v>1746</v>
      </c>
      <c r="E888" s="25">
        <v>40</v>
      </c>
      <c r="F888" s="25">
        <v>180</v>
      </c>
      <c r="G888" s="25">
        <v>145</v>
      </c>
      <c r="H888" s="25">
        <v>34</v>
      </c>
      <c r="I888" s="25">
        <v>130</v>
      </c>
      <c r="J888" s="25">
        <v>91</v>
      </c>
      <c r="K888" s="25">
        <v>208</v>
      </c>
      <c r="L888" s="25">
        <v>80</v>
      </c>
      <c r="M888" s="25">
        <v>70</v>
      </c>
      <c r="N888" s="25">
        <v>89</v>
      </c>
      <c r="O888" s="25">
        <v>135</v>
      </c>
      <c r="P888" s="25">
        <v>152</v>
      </c>
      <c r="Q888" s="22">
        <f t="shared" si="13"/>
        <v>1354</v>
      </c>
    </row>
    <row r="889" spans="1:17" ht="15.75" customHeight="1">
      <c r="A889" s="19">
        <v>887</v>
      </c>
      <c r="B889" s="20" t="s">
        <v>1747</v>
      </c>
      <c r="C889" s="20" t="s">
        <v>203</v>
      </c>
      <c r="D889" s="20" t="s">
        <v>1689</v>
      </c>
      <c r="E889" s="21"/>
      <c r="F889" s="21"/>
      <c r="G889" s="21"/>
      <c r="H889" s="21">
        <v>3</v>
      </c>
      <c r="I889" s="21"/>
      <c r="J889" s="21"/>
      <c r="K889" s="21"/>
      <c r="L889" s="21"/>
      <c r="M889" s="21"/>
      <c r="N889" s="21">
        <v>3</v>
      </c>
      <c r="O889" s="21">
        <v>1</v>
      </c>
      <c r="P889" s="21"/>
      <c r="Q889" s="22">
        <f t="shared" si="13"/>
        <v>7</v>
      </c>
    </row>
    <row r="890" spans="1:17" ht="15.75" customHeight="1">
      <c r="A890" s="23">
        <v>888</v>
      </c>
      <c r="B890" s="24" t="s">
        <v>1748</v>
      </c>
      <c r="C890" s="24" t="s">
        <v>203</v>
      </c>
      <c r="D890" s="24" t="s">
        <v>1749</v>
      </c>
      <c r="E890" s="25">
        <v>30</v>
      </c>
      <c r="F890" s="25"/>
      <c r="G890" s="25">
        <v>10</v>
      </c>
      <c r="H890" s="25">
        <v>8</v>
      </c>
      <c r="I890" s="25">
        <v>10</v>
      </c>
      <c r="J890" s="25"/>
      <c r="K890" s="25"/>
      <c r="L890" s="25"/>
      <c r="M890" s="25"/>
      <c r="N890" s="25"/>
      <c r="O890" s="25"/>
      <c r="P890" s="25"/>
      <c r="Q890" s="22">
        <f t="shared" si="13"/>
        <v>58</v>
      </c>
    </row>
    <row r="891" spans="1:17" ht="15.75" customHeight="1">
      <c r="A891" s="19">
        <v>889</v>
      </c>
      <c r="B891" s="20" t="s">
        <v>1750</v>
      </c>
      <c r="C891" s="20" t="s">
        <v>203</v>
      </c>
      <c r="D891" s="20" t="s">
        <v>1751</v>
      </c>
      <c r="E891" s="21">
        <v>20</v>
      </c>
      <c r="F891" s="21">
        <v>40</v>
      </c>
      <c r="G891" s="21">
        <v>70</v>
      </c>
      <c r="H891" s="21">
        <v>10</v>
      </c>
      <c r="I891" s="21">
        <v>85</v>
      </c>
      <c r="J891" s="21">
        <v>85</v>
      </c>
      <c r="K891" s="21">
        <v>5</v>
      </c>
      <c r="L891" s="21">
        <v>10</v>
      </c>
      <c r="M891" s="21">
        <v>70</v>
      </c>
      <c r="N891" s="21">
        <v>40</v>
      </c>
      <c r="O891" s="21">
        <v>165</v>
      </c>
      <c r="P891" s="21">
        <v>60</v>
      </c>
      <c r="Q891" s="22">
        <f t="shared" si="13"/>
        <v>660</v>
      </c>
    </row>
    <row r="892" spans="1:17" ht="15.75" customHeight="1">
      <c r="A892" s="23">
        <v>890</v>
      </c>
      <c r="B892" s="24" t="s">
        <v>1752</v>
      </c>
      <c r="C892" s="24" t="s">
        <v>203</v>
      </c>
      <c r="D892" s="24" t="s">
        <v>1753</v>
      </c>
      <c r="E892" s="25">
        <v>21</v>
      </c>
      <c r="F892" s="25">
        <v>6</v>
      </c>
      <c r="G892" s="25"/>
      <c r="H892" s="25"/>
      <c r="I892" s="25"/>
      <c r="J892" s="25">
        <v>15</v>
      </c>
      <c r="K892" s="25">
        <v>70</v>
      </c>
      <c r="L892" s="25"/>
      <c r="M892" s="25"/>
      <c r="N892" s="25"/>
      <c r="O892" s="25"/>
      <c r="P892" s="25">
        <v>30</v>
      </c>
      <c r="Q892" s="22">
        <f t="shared" si="13"/>
        <v>142</v>
      </c>
    </row>
    <row r="893" spans="1:17" ht="15.75" customHeight="1">
      <c r="A893" s="19">
        <v>891</v>
      </c>
      <c r="B893" s="20" t="s">
        <v>1754</v>
      </c>
      <c r="C893" s="20" t="s">
        <v>244</v>
      </c>
      <c r="D893" s="20" t="s">
        <v>1755</v>
      </c>
      <c r="E893" s="21">
        <v>43</v>
      </c>
      <c r="F893" s="21">
        <v>10</v>
      </c>
      <c r="G893" s="21">
        <v>30</v>
      </c>
      <c r="H893" s="21">
        <v>60</v>
      </c>
      <c r="I893" s="21">
        <v>4</v>
      </c>
      <c r="J893" s="21">
        <v>15</v>
      </c>
      <c r="K893" s="21">
        <v>20</v>
      </c>
      <c r="L893" s="21">
        <v>60</v>
      </c>
      <c r="M893" s="21">
        <v>50</v>
      </c>
      <c r="N893" s="21"/>
      <c r="O893" s="21">
        <v>99</v>
      </c>
      <c r="P893" s="21">
        <v>10</v>
      </c>
      <c r="Q893" s="22">
        <f t="shared" si="13"/>
        <v>401</v>
      </c>
    </row>
    <row r="894" spans="1:17" ht="15.75" customHeight="1">
      <c r="A894" s="23">
        <v>892</v>
      </c>
      <c r="B894" s="24" t="s">
        <v>1756</v>
      </c>
      <c r="C894" s="24" t="s">
        <v>244</v>
      </c>
      <c r="D894" s="24" t="s">
        <v>1757</v>
      </c>
      <c r="E894" s="25">
        <v>30</v>
      </c>
      <c r="F894" s="25">
        <v>10</v>
      </c>
      <c r="G894" s="25">
        <v>20</v>
      </c>
      <c r="H894" s="25">
        <v>10</v>
      </c>
      <c r="I894" s="25">
        <v>4</v>
      </c>
      <c r="J894" s="25">
        <v>99</v>
      </c>
      <c r="K894" s="25"/>
      <c r="L894" s="25">
        <v>47</v>
      </c>
      <c r="M894" s="25"/>
      <c r="N894" s="25">
        <v>12</v>
      </c>
      <c r="O894" s="25">
        <v>67</v>
      </c>
      <c r="P894" s="25">
        <v>45</v>
      </c>
      <c r="Q894" s="22">
        <f t="shared" si="13"/>
        <v>344</v>
      </c>
    </row>
    <row r="895" spans="1:17" ht="15.75" customHeight="1">
      <c r="A895" s="19">
        <v>893</v>
      </c>
      <c r="B895" s="20" t="s">
        <v>1758</v>
      </c>
      <c r="C895" s="20" t="s">
        <v>244</v>
      </c>
      <c r="D895" s="20" t="s">
        <v>1759</v>
      </c>
      <c r="E895" s="21">
        <v>30</v>
      </c>
      <c r="F895" s="21">
        <v>10</v>
      </c>
      <c r="G895" s="21"/>
      <c r="H895" s="21"/>
      <c r="I895" s="21"/>
      <c r="J895" s="21">
        <v>30</v>
      </c>
      <c r="K895" s="21"/>
      <c r="L895" s="21"/>
      <c r="M895" s="21"/>
      <c r="N895" s="21">
        <v>50</v>
      </c>
      <c r="O895" s="21"/>
      <c r="P895" s="21"/>
      <c r="Q895" s="22">
        <f t="shared" si="13"/>
        <v>120</v>
      </c>
    </row>
    <row r="896" spans="1:17" ht="15.75" customHeight="1">
      <c r="A896" s="23">
        <v>894</v>
      </c>
      <c r="B896" s="24" t="s">
        <v>1760</v>
      </c>
      <c r="C896" s="24" t="s">
        <v>244</v>
      </c>
      <c r="D896" s="24" t="s">
        <v>1761</v>
      </c>
      <c r="E896" s="25">
        <v>4</v>
      </c>
      <c r="F896" s="25">
        <v>5</v>
      </c>
      <c r="G896" s="25">
        <v>10</v>
      </c>
      <c r="H896" s="25"/>
      <c r="I896" s="25"/>
      <c r="J896" s="25">
        <v>10</v>
      </c>
      <c r="K896" s="25">
        <v>20</v>
      </c>
      <c r="L896" s="25">
        <v>10</v>
      </c>
      <c r="M896" s="25"/>
      <c r="N896" s="25"/>
      <c r="O896" s="25"/>
      <c r="P896" s="25"/>
      <c r="Q896" s="22">
        <f t="shared" si="13"/>
        <v>59</v>
      </c>
    </row>
    <row r="897" spans="1:17" ht="15.75" customHeight="1">
      <c r="A897" s="19">
        <v>895</v>
      </c>
      <c r="B897" s="20" t="s">
        <v>1762</v>
      </c>
      <c r="C897" s="20" t="s">
        <v>244</v>
      </c>
      <c r="D897" s="20" t="s">
        <v>1763</v>
      </c>
      <c r="E897" s="21"/>
      <c r="F897" s="21"/>
      <c r="G897" s="21">
        <v>10</v>
      </c>
      <c r="H897" s="21"/>
      <c r="I897" s="21">
        <v>10</v>
      </c>
      <c r="J897" s="21"/>
      <c r="K897" s="21"/>
      <c r="L897" s="21">
        <v>12</v>
      </c>
      <c r="M897" s="21"/>
      <c r="N897" s="21"/>
      <c r="O897" s="21">
        <v>2</v>
      </c>
      <c r="P897" s="21"/>
      <c r="Q897" s="22">
        <f t="shared" si="13"/>
        <v>34</v>
      </c>
    </row>
    <row r="898" spans="1:17" ht="15.75" customHeight="1">
      <c r="A898" s="23">
        <v>896</v>
      </c>
      <c r="B898" s="24" t="s">
        <v>1764</v>
      </c>
      <c r="C898" s="24" t="s">
        <v>244</v>
      </c>
      <c r="D898" s="24" t="s">
        <v>1765</v>
      </c>
      <c r="E898" s="25">
        <v>150</v>
      </c>
      <c r="F898" s="25"/>
      <c r="G898" s="25">
        <v>70</v>
      </c>
      <c r="H898" s="25">
        <v>20</v>
      </c>
      <c r="I898" s="25">
        <v>80</v>
      </c>
      <c r="J898" s="25">
        <v>60</v>
      </c>
      <c r="K898" s="25">
        <v>20</v>
      </c>
      <c r="L898" s="25">
        <v>130</v>
      </c>
      <c r="M898" s="25">
        <v>20</v>
      </c>
      <c r="N898" s="25"/>
      <c r="O898" s="25">
        <v>270</v>
      </c>
      <c r="P898" s="25"/>
      <c r="Q898" s="22">
        <f t="shared" si="13"/>
        <v>820</v>
      </c>
    </row>
    <row r="899" spans="1:17" ht="15.75" customHeight="1">
      <c r="A899" s="19">
        <v>897</v>
      </c>
      <c r="B899" s="20" t="s">
        <v>1766</v>
      </c>
      <c r="C899" s="20" t="s">
        <v>244</v>
      </c>
      <c r="D899" s="20" t="s">
        <v>1767</v>
      </c>
      <c r="E899" s="21">
        <v>4</v>
      </c>
      <c r="F899" s="21"/>
      <c r="G899" s="21">
        <v>4</v>
      </c>
      <c r="H899" s="21"/>
      <c r="I899" s="21">
        <v>5</v>
      </c>
      <c r="J899" s="21"/>
      <c r="K899" s="21">
        <v>20</v>
      </c>
      <c r="L899" s="21">
        <v>30</v>
      </c>
      <c r="M899" s="21"/>
      <c r="N899" s="21"/>
      <c r="O899" s="21"/>
      <c r="P899" s="21"/>
      <c r="Q899" s="22">
        <f t="shared" ref="Q899:Q962" si="14">SUM(E899:P899)</f>
        <v>63</v>
      </c>
    </row>
    <row r="900" spans="1:17" ht="15.75" customHeight="1">
      <c r="A900" s="23">
        <v>898</v>
      </c>
      <c r="B900" s="24" t="s">
        <v>1768</v>
      </c>
      <c r="C900" s="24" t="s">
        <v>244</v>
      </c>
      <c r="D900" s="24" t="s">
        <v>1678</v>
      </c>
      <c r="E900" s="25"/>
      <c r="F900" s="25"/>
      <c r="G900" s="25">
        <v>4</v>
      </c>
      <c r="H900" s="25"/>
      <c r="I900" s="25">
        <v>5</v>
      </c>
      <c r="J900" s="25"/>
      <c r="K900" s="25"/>
      <c r="L900" s="25">
        <v>1</v>
      </c>
      <c r="M900" s="25"/>
      <c r="N900" s="25"/>
      <c r="O900" s="25"/>
      <c r="P900" s="25"/>
      <c r="Q900" s="22">
        <f t="shared" si="14"/>
        <v>10</v>
      </c>
    </row>
    <row r="901" spans="1:17" ht="15.75" customHeight="1">
      <c r="A901" s="19">
        <v>899</v>
      </c>
      <c r="B901" s="20" t="s">
        <v>1769</v>
      </c>
      <c r="C901" s="20" t="s">
        <v>244</v>
      </c>
      <c r="D901" s="20" t="s">
        <v>1770</v>
      </c>
      <c r="E901" s="21">
        <v>197</v>
      </c>
      <c r="F901" s="21">
        <v>285</v>
      </c>
      <c r="G901" s="21">
        <v>295</v>
      </c>
      <c r="H901" s="21">
        <v>87</v>
      </c>
      <c r="I901" s="21">
        <v>245</v>
      </c>
      <c r="J901" s="21">
        <v>347</v>
      </c>
      <c r="K901" s="21">
        <v>160</v>
      </c>
      <c r="L901" s="21">
        <v>469</v>
      </c>
      <c r="M901" s="21">
        <v>221</v>
      </c>
      <c r="N901" s="21">
        <v>312</v>
      </c>
      <c r="O901" s="21">
        <v>368</v>
      </c>
      <c r="P901" s="21">
        <v>306</v>
      </c>
      <c r="Q901" s="22">
        <f t="shared" si="14"/>
        <v>3292</v>
      </c>
    </row>
    <row r="902" spans="1:17" ht="15.75" customHeight="1">
      <c r="A902" s="23">
        <v>900</v>
      </c>
      <c r="B902" s="24" t="s">
        <v>1771</v>
      </c>
      <c r="C902" s="24" t="s">
        <v>244</v>
      </c>
      <c r="D902" s="24" t="s">
        <v>1772</v>
      </c>
      <c r="E902" s="25">
        <v>80</v>
      </c>
      <c r="F902" s="25"/>
      <c r="G902" s="25"/>
      <c r="H902" s="25"/>
      <c r="I902" s="25">
        <v>70</v>
      </c>
      <c r="J902" s="25">
        <v>10</v>
      </c>
      <c r="K902" s="25"/>
      <c r="L902" s="25">
        <v>20</v>
      </c>
      <c r="M902" s="25"/>
      <c r="N902" s="25"/>
      <c r="O902" s="25"/>
      <c r="P902" s="25"/>
      <c r="Q902" s="22">
        <f t="shared" si="14"/>
        <v>180</v>
      </c>
    </row>
    <row r="903" spans="1:17" ht="15.75" customHeight="1">
      <c r="A903" s="19">
        <v>901</v>
      </c>
      <c r="B903" s="20" t="s">
        <v>1773</v>
      </c>
      <c r="C903" s="20" t="s">
        <v>244</v>
      </c>
      <c r="D903" s="20" t="s">
        <v>1774</v>
      </c>
      <c r="E903" s="21"/>
      <c r="F903" s="21"/>
      <c r="G903" s="21"/>
      <c r="H903" s="21"/>
      <c r="I903" s="21">
        <v>10</v>
      </c>
      <c r="J903" s="21"/>
      <c r="K903" s="21"/>
      <c r="L903" s="21"/>
      <c r="M903" s="21"/>
      <c r="N903" s="21"/>
      <c r="O903" s="21"/>
      <c r="P903" s="21">
        <v>20</v>
      </c>
      <c r="Q903" s="22">
        <f t="shared" si="14"/>
        <v>30</v>
      </c>
    </row>
    <row r="904" spans="1:17" ht="15.75" customHeight="1">
      <c r="A904" s="23">
        <v>902</v>
      </c>
      <c r="B904" s="24" t="s">
        <v>1775</v>
      </c>
      <c r="C904" s="24" t="s">
        <v>253</v>
      </c>
      <c r="D904" s="24" t="s">
        <v>1776</v>
      </c>
      <c r="E904" s="25">
        <v>100</v>
      </c>
      <c r="F904" s="25">
        <v>160</v>
      </c>
      <c r="G904" s="25">
        <v>326</v>
      </c>
      <c r="H904" s="25">
        <v>285</v>
      </c>
      <c r="I904" s="25">
        <v>138</v>
      </c>
      <c r="J904" s="25">
        <v>316</v>
      </c>
      <c r="K904" s="25">
        <v>125</v>
      </c>
      <c r="L904" s="25">
        <v>265</v>
      </c>
      <c r="M904" s="25">
        <v>75</v>
      </c>
      <c r="N904" s="25">
        <v>168</v>
      </c>
      <c r="O904" s="25">
        <v>354</v>
      </c>
      <c r="P904" s="25">
        <v>121</v>
      </c>
      <c r="Q904" s="22">
        <f t="shared" si="14"/>
        <v>2433</v>
      </c>
    </row>
    <row r="905" spans="1:17" ht="15.75" customHeight="1">
      <c r="A905" s="19">
        <v>903</v>
      </c>
      <c r="B905" s="20" t="s">
        <v>1777</v>
      </c>
      <c r="C905" s="20" t="s">
        <v>253</v>
      </c>
      <c r="D905" s="20" t="s">
        <v>1778</v>
      </c>
      <c r="E905" s="21">
        <v>45</v>
      </c>
      <c r="F905" s="21"/>
      <c r="G905" s="21"/>
      <c r="H905" s="21">
        <v>20</v>
      </c>
      <c r="I905" s="21"/>
      <c r="J905" s="21">
        <v>20</v>
      </c>
      <c r="K905" s="21"/>
      <c r="L905" s="21"/>
      <c r="M905" s="21"/>
      <c r="N905" s="21"/>
      <c r="O905" s="21"/>
      <c r="P905" s="21"/>
      <c r="Q905" s="22">
        <f t="shared" si="14"/>
        <v>85</v>
      </c>
    </row>
    <row r="906" spans="1:17" ht="15.75" customHeight="1">
      <c r="A906" s="23">
        <v>904</v>
      </c>
      <c r="B906" s="24" t="s">
        <v>1779</v>
      </c>
      <c r="C906" s="24" t="s">
        <v>253</v>
      </c>
      <c r="D906" s="24" t="s">
        <v>1700</v>
      </c>
      <c r="E906" s="25"/>
      <c r="F906" s="25"/>
      <c r="G906" s="25"/>
      <c r="H906" s="25"/>
      <c r="I906" s="25"/>
      <c r="J906" s="25"/>
      <c r="K906" s="25"/>
      <c r="L906" s="25">
        <v>10</v>
      </c>
      <c r="M906" s="25"/>
      <c r="N906" s="25"/>
      <c r="O906" s="25"/>
      <c r="P906" s="25"/>
      <c r="Q906" s="22">
        <f t="shared" si="14"/>
        <v>10</v>
      </c>
    </row>
    <row r="907" spans="1:17" ht="15.75" customHeight="1">
      <c r="A907" s="19">
        <v>905</v>
      </c>
      <c r="B907" s="20" t="s">
        <v>1780</v>
      </c>
      <c r="C907" s="20" t="s">
        <v>253</v>
      </c>
      <c r="D907" s="20" t="s">
        <v>1781</v>
      </c>
      <c r="E907" s="21">
        <v>242</v>
      </c>
      <c r="F907" s="21">
        <v>360</v>
      </c>
      <c r="G907" s="21">
        <v>233</v>
      </c>
      <c r="H907" s="21">
        <v>318</v>
      </c>
      <c r="I907" s="21">
        <v>160</v>
      </c>
      <c r="J907" s="21">
        <v>405</v>
      </c>
      <c r="K907" s="21">
        <v>120</v>
      </c>
      <c r="L907" s="21">
        <v>509</v>
      </c>
      <c r="M907" s="21">
        <v>190</v>
      </c>
      <c r="N907" s="21">
        <v>363</v>
      </c>
      <c r="O907" s="21">
        <v>296</v>
      </c>
      <c r="P907" s="21">
        <v>122</v>
      </c>
      <c r="Q907" s="22">
        <f t="shared" si="14"/>
        <v>3318</v>
      </c>
    </row>
    <row r="908" spans="1:17" ht="15.75" customHeight="1">
      <c r="A908" s="23">
        <v>906</v>
      </c>
      <c r="B908" s="24" t="s">
        <v>1782</v>
      </c>
      <c r="C908" s="24" t="s">
        <v>253</v>
      </c>
      <c r="D908" s="24" t="s">
        <v>1783</v>
      </c>
      <c r="E908" s="25"/>
      <c r="F908" s="25"/>
      <c r="G908" s="25"/>
      <c r="H908" s="25"/>
      <c r="I908" s="25"/>
      <c r="J908" s="25"/>
      <c r="K908" s="25"/>
      <c r="L908" s="25">
        <v>8</v>
      </c>
      <c r="M908" s="25"/>
      <c r="N908" s="25"/>
      <c r="O908" s="25"/>
      <c r="P908" s="25"/>
      <c r="Q908" s="22">
        <f t="shared" si="14"/>
        <v>8</v>
      </c>
    </row>
    <row r="909" spans="1:17" ht="15.75" customHeight="1">
      <c r="A909" s="19">
        <v>907</v>
      </c>
      <c r="B909" s="20" t="s">
        <v>1784</v>
      </c>
      <c r="C909" s="20" t="s">
        <v>253</v>
      </c>
      <c r="D909" s="20" t="s">
        <v>1722</v>
      </c>
      <c r="E909" s="21"/>
      <c r="F909" s="21"/>
      <c r="G909" s="21">
        <v>19</v>
      </c>
      <c r="H909" s="21"/>
      <c r="I909" s="21"/>
      <c r="J909" s="21">
        <v>20</v>
      </c>
      <c r="K909" s="21"/>
      <c r="L909" s="21"/>
      <c r="M909" s="21"/>
      <c r="N909" s="21"/>
      <c r="O909" s="21"/>
      <c r="P909" s="21"/>
      <c r="Q909" s="22">
        <f t="shared" si="14"/>
        <v>39</v>
      </c>
    </row>
    <row r="910" spans="1:17" ht="15.75" customHeight="1">
      <c r="A910" s="23">
        <v>908</v>
      </c>
      <c r="B910" s="24" t="s">
        <v>1785</v>
      </c>
      <c r="C910" s="24" t="s">
        <v>253</v>
      </c>
      <c r="D910" s="24" t="s">
        <v>1786</v>
      </c>
      <c r="E910" s="25">
        <v>120</v>
      </c>
      <c r="F910" s="25">
        <v>164</v>
      </c>
      <c r="G910" s="25">
        <v>281</v>
      </c>
      <c r="H910" s="25">
        <v>120</v>
      </c>
      <c r="I910" s="25">
        <v>140</v>
      </c>
      <c r="J910" s="25">
        <v>233</v>
      </c>
      <c r="K910" s="25">
        <v>76</v>
      </c>
      <c r="L910" s="25">
        <v>386</v>
      </c>
      <c r="M910" s="25">
        <v>130</v>
      </c>
      <c r="N910" s="25">
        <v>162</v>
      </c>
      <c r="O910" s="25">
        <v>311</v>
      </c>
      <c r="P910" s="25">
        <v>80</v>
      </c>
      <c r="Q910" s="22">
        <f t="shared" si="14"/>
        <v>2203</v>
      </c>
    </row>
    <row r="911" spans="1:17" ht="15.75" customHeight="1">
      <c r="A911" s="19">
        <v>909</v>
      </c>
      <c r="B911" s="20" t="s">
        <v>1787</v>
      </c>
      <c r="C911" s="20" t="s">
        <v>253</v>
      </c>
      <c r="D911" s="20" t="s">
        <v>1788</v>
      </c>
      <c r="E911" s="21">
        <v>23</v>
      </c>
      <c r="F911" s="21">
        <v>106</v>
      </c>
      <c r="G911" s="21">
        <v>120</v>
      </c>
      <c r="H911" s="21">
        <v>65</v>
      </c>
      <c r="I911" s="21">
        <v>123</v>
      </c>
      <c r="J911" s="21">
        <v>52</v>
      </c>
      <c r="K911" s="21">
        <v>24</v>
      </c>
      <c r="L911" s="21">
        <v>88</v>
      </c>
      <c r="M911" s="21">
        <v>45</v>
      </c>
      <c r="N911" s="21">
        <v>76</v>
      </c>
      <c r="O911" s="21">
        <v>37</v>
      </c>
      <c r="P911" s="21">
        <v>30</v>
      </c>
      <c r="Q911" s="22">
        <f t="shared" si="14"/>
        <v>789</v>
      </c>
    </row>
    <row r="912" spans="1:17" ht="15.75" customHeight="1">
      <c r="A912" s="23">
        <v>910</v>
      </c>
      <c r="B912" s="24" t="s">
        <v>1789</v>
      </c>
      <c r="C912" s="24" t="s">
        <v>253</v>
      </c>
      <c r="D912" s="24" t="s">
        <v>1790</v>
      </c>
      <c r="E912" s="25">
        <v>60</v>
      </c>
      <c r="F912" s="25">
        <v>50</v>
      </c>
      <c r="G912" s="25">
        <v>70</v>
      </c>
      <c r="H912" s="25">
        <v>50</v>
      </c>
      <c r="I912" s="25">
        <v>20</v>
      </c>
      <c r="J912" s="25"/>
      <c r="K912" s="25"/>
      <c r="L912" s="25">
        <v>70</v>
      </c>
      <c r="M912" s="25">
        <v>40</v>
      </c>
      <c r="N912" s="25">
        <v>50</v>
      </c>
      <c r="O912" s="25">
        <v>70</v>
      </c>
      <c r="P912" s="25"/>
      <c r="Q912" s="22">
        <f t="shared" si="14"/>
        <v>480</v>
      </c>
    </row>
    <row r="913" spans="1:17" ht="15.75" customHeight="1">
      <c r="A913" s="19">
        <v>911</v>
      </c>
      <c r="B913" s="20" t="s">
        <v>1791</v>
      </c>
      <c r="C913" s="20" t="s">
        <v>253</v>
      </c>
      <c r="D913" s="20" t="s">
        <v>1792</v>
      </c>
      <c r="E913" s="21">
        <v>20</v>
      </c>
      <c r="F913" s="21">
        <v>33</v>
      </c>
      <c r="G913" s="21">
        <v>50</v>
      </c>
      <c r="H913" s="21">
        <v>6</v>
      </c>
      <c r="I913" s="21">
        <v>30</v>
      </c>
      <c r="J913" s="21">
        <v>80</v>
      </c>
      <c r="K913" s="21"/>
      <c r="L913" s="21"/>
      <c r="M913" s="21">
        <v>15</v>
      </c>
      <c r="N913" s="21">
        <v>10</v>
      </c>
      <c r="O913" s="21">
        <v>20</v>
      </c>
      <c r="P913" s="21">
        <v>10</v>
      </c>
      <c r="Q913" s="22">
        <f t="shared" si="14"/>
        <v>274</v>
      </c>
    </row>
    <row r="914" spans="1:17" ht="15.75" customHeight="1">
      <c r="A914" s="23">
        <v>912</v>
      </c>
      <c r="B914" s="24" t="s">
        <v>1793</v>
      </c>
      <c r="C914" s="24" t="s">
        <v>253</v>
      </c>
      <c r="D914" s="24" t="s">
        <v>1794</v>
      </c>
      <c r="E914" s="25">
        <v>80</v>
      </c>
      <c r="F914" s="25">
        <v>351</v>
      </c>
      <c r="G914" s="25">
        <v>121</v>
      </c>
      <c r="H914" s="25">
        <v>91</v>
      </c>
      <c r="I914" s="25">
        <v>234</v>
      </c>
      <c r="J914" s="25">
        <v>263</v>
      </c>
      <c r="K914" s="25">
        <v>65</v>
      </c>
      <c r="L914" s="25">
        <v>90</v>
      </c>
      <c r="M914" s="25">
        <v>111</v>
      </c>
      <c r="N914" s="25">
        <v>275</v>
      </c>
      <c r="O914" s="25">
        <v>152</v>
      </c>
      <c r="P914" s="25">
        <v>57</v>
      </c>
      <c r="Q914" s="22">
        <f t="shared" si="14"/>
        <v>1890</v>
      </c>
    </row>
    <row r="915" spans="1:17" ht="15.75" customHeight="1">
      <c r="A915" s="19">
        <v>913</v>
      </c>
      <c r="B915" s="20" t="s">
        <v>1795</v>
      </c>
      <c r="C915" s="20" t="s">
        <v>253</v>
      </c>
      <c r="D915" s="20" t="s">
        <v>1796</v>
      </c>
      <c r="E915" s="21"/>
      <c r="F915" s="21">
        <v>20</v>
      </c>
      <c r="G915" s="21"/>
      <c r="H915" s="21">
        <v>8</v>
      </c>
      <c r="I915" s="21"/>
      <c r="J915" s="21"/>
      <c r="K915" s="21"/>
      <c r="L915" s="21"/>
      <c r="M915" s="21">
        <v>10</v>
      </c>
      <c r="N915" s="21">
        <v>5</v>
      </c>
      <c r="O915" s="21"/>
      <c r="P915" s="21"/>
      <c r="Q915" s="22">
        <f t="shared" si="14"/>
        <v>43</v>
      </c>
    </row>
    <row r="916" spans="1:17" ht="15.75" customHeight="1">
      <c r="A916" s="23">
        <v>914</v>
      </c>
      <c r="B916" s="24" t="s">
        <v>1797</v>
      </c>
      <c r="C916" s="24" t="s">
        <v>253</v>
      </c>
      <c r="D916" s="24" t="s">
        <v>1798</v>
      </c>
      <c r="E916" s="25"/>
      <c r="F916" s="25"/>
      <c r="G916" s="25">
        <v>30</v>
      </c>
      <c r="H916" s="25"/>
      <c r="I916" s="25"/>
      <c r="J916" s="25">
        <v>30</v>
      </c>
      <c r="K916" s="25"/>
      <c r="L916" s="25">
        <v>50</v>
      </c>
      <c r="M916" s="25"/>
      <c r="N916" s="25">
        <v>50</v>
      </c>
      <c r="O916" s="25"/>
      <c r="P916" s="25"/>
      <c r="Q916" s="22">
        <f t="shared" si="14"/>
        <v>160</v>
      </c>
    </row>
    <row r="917" spans="1:17" ht="15.75" customHeight="1">
      <c r="A917" s="19">
        <v>915</v>
      </c>
      <c r="B917" s="20" t="s">
        <v>1799</v>
      </c>
      <c r="C917" s="20" t="s">
        <v>253</v>
      </c>
      <c r="D917" s="20" t="s">
        <v>1800</v>
      </c>
      <c r="E917" s="21">
        <v>90</v>
      </c>
      <c r="F917" s="21">
        <v>10</v>
      </c>
      <c r="G917" s="21">
        <v>10</v>
      </c>
      <c r="H917" s="21">
        <v>70</v>
      </c>
      <c r="I917" s="21"/>
      <c r="J917" s="21">
        <v>50</v>
      </c>
      <c r="K917" s="21">
        <v>10</v>
      </c>
      <c r="L917" s="21">
        <v>70</v>
      </c>
      <c r="M917" s="21">
        <v>5</v>
      </c>
      <c r="N917" s="21">
        <v>80</v>
      </c>
      <c r="O917" s="21"/>
      <c r="P917" s="21">
        <v>30</v>
      </c>
      <c r="Q917" s="22">
        <f t="shared" si="14"/>
        <v>425</v>
      </c>
    </row>
    <row r="918" spans="1:17" ht="15.75" customHeight="1">
      <c r="A918" s="23">
        <v>916</v>
      </c>
      <c r="B918" s="24" t="s">
        <v>1801</v>
      </c>
      <c r="C918" s="24" t="s">
        <v>253</v>
      </c>
      <c r="D918" s="24" t="s">
        <v>1689</v>
      </c>
      <c r="E918" s="25"/>
      <c r="F918" s="25"/>
      <c r="G918" s="25"/>
      <c r="H918" s="25">
        <v>4</v>
      </c>
      <c r="I918" s="25"/>
      <c r="J918" s="25"/>
      <c r="K918" s="25"/>
      <c r="L918" s="25"/>
      <c r="M918" s="25"/>
      <c r="N918" s="25"/>
      <c r="O918" s="25"/>
      <c r="P918" s="25"/>
      <c r="Q918" s="22">
        <f t="shared" si="14"/>
        <v>4</v>
      </c>
    </row>
    <row r="919" spans="1:17" ht="15.75" customHeight="1">
      <c r="A919" s="19">
        <v>917</v>
      </c>
      <c r="B919" s="20" t="s">
        <v>1802</v>
      </c>
      <c r="C919" s="20" t="s">
        <v>253</v>
      </c>
      <c r="D919" s="20" t="s">
        <v>1803</v>
      </c>
      <c r="E919" s="21"/>
      <c r="F919" s="21"/>
      <c r="G919" s="21"/>
      <c r="H919" s="21">
        <v>26</v>
      </c>
      <c r="I919" s="21"/>
      <c r="J919" s="21"/>
      <c r="K919" s="21"/>
      <c r="L919" s="21"/>
      <c r="M919" s="21"/>
      <c r="N919" s="21"/>
      <c r="O919" s="21"/>
      <c r="P919" s="21"/>
      <c r="Q919" s="22">
        <f t="shared" si="14"/>
        <v>26</v>
      </c>
    </row>
    <row r="920" spans="1:17" ht="15.75" customHeight="1">
      <c r="A920" s="23">
        <v>918</v>
      </c>
      <c r="B920" s="24" t="s">
        <v>1804</v>
      </c>
      <c r="C920" s="24" t="s">
        <v>253</v>
      </c>
      <c r="D920" s="24" t="s">
        <v>1805</v>
      </c>
      <c r="E920" s="25"/>
      <c r="F920" s="25">
        <v>10</v>
      </c>
      <c r="G920" s="25">
        <v>60</v>
      </c>
      <c r="H920" s="25">
        <v>10</v>
      </c>
      <c r="I920" s="25"/>
      <c r="J920" s="25">
        <v>20</v>
      </c>
      <c r="K920" s="25"/>
      <c r="L920" s="25">
        <v>20</v>
      </c>
      <c r="M920" s="25"/>
      <c r="N920" s="25">
        <v>40</v>
      </c>
      <c r="O920" s="25">
        <v>15</v>
      </c>
      <c r="P920" s="25"/>
      <c r="Q920" s="22">
        <f t="shared" si="14"/>
        <v>175</v>
      </c>
    </row>
    <row r="921" spans="1:17" ht="15.75" customHeight="1">
      <c r="A921" s="19">
        <v>919</v>
      </c>
      <c r="B921" s="20" t="s">
        <v>1806</v>
      </c>
      <c r="C921" s="20" t="s">
        <v>253</v>
      </c>
      <c r="D921" s="20" t="s">
        <v>1807</v>
      </c>
      <c r="E921" s="21">
        <v>20</v>
      </c>
      <c r="F921" s="21"/>
      <c r="G921" s="21"/>
      <c r="H921" s="21">
        <v>20</v>
      </c>
      <c r="I921" s="21"/>
      <c r="J921" s="21"/>
      <c r="K921" s="21">
        <v>5</v>
      </c>
      <c r="L921" s="21"/>
      <c r="M921" s="21"/>
      <c r="N921" s="21">
        <v>30</v>
      </c>
      <c r="O921" s="21"/>
      <c r="P921" s="21">
        <v>20</v>
      </c>
      <c r="Q921" s="22">
        <f t="shared" si="14"/>
        <v>95</v>
      </c>
    </row>
    <row r="922" spans="1:17" ht="15.75" customHeight="1">
      <c r="A922" s="23">
        <v>920</v>
      </c>
      <c r="B922" s="24" t="s">
        <v>1808</v>
      </c>
      <c r="C922" s="24" t="s">
        <v>263</v>
      </c>
      <c r="D922" s="24" t="s">
        <v>1809</v>
      </c>
      <c r="E922" s="25">
        <v>40</v>
      </c>
      <c r="F922" s="25">
        <v>5</v>
      </c>
      <c r="G922" s="25"/>
      <c r="H922" s="25">
        <v>30</v>
      </c>
      <c r="I922" s="25">
        <v>10</v>
      </c>
      <c r="J922" s="25">
        <v>20</v>
      </c>
      <c r="K922" s="25"/>
      <c r="L922" s="25"/>
      <c r="M922" s="25"/>
      <c r="N922" s="25"/>
      <c r="O922" s="25">
        <v>20</v>
      </c>
      <c r="P922" s="25">
        <v>10</v>
      </c>
      <c r="Q922" s="22">
        <f t="shared" si="14"/>
        <v>135</v>
      </c>
    </row>
    <row r="923" spans="1:17" ht="15.75" customHeight="1">
      <c r="A923" s="19">
        <v>921</v>
      </c>
      <c r="B923" s="20" t="s">
        <v>1810</v>
      </c>
      <c r="C923" s="20" t="s">
        <v>263</v>
      </c>
      <c r="D923" s="20" t="s">
        <v>1668</v>
      </c>
      <c r="E923" s="21"/>
      <c r="F923" s="21"/>
      <c r="G923" s="21"/>
      <c r="H923" s="21"/>
      <c r="I923" s="21"/>
      <c r="J923" s="21">
        <v>21</v>
      </c>
      <c r="K923" s="21"/>
      <c r="L923" s="21"/>
      <c r="M923" s="21"/>
      <c r="N923" s="21"/>
      <c r="O923" s="21"/>
      <c r="P923" s="21"/>
      <c r="Q923" s="22">
        <f t="shared" si="14"/>
        <v>21</v>
      </c>
    </row>
    <row r="924" spans="1:17" ht="15.75" customHeight="1">
      <c r="A924" s="23">
        <v>922</v>
      </c>
      <c r="B924" s="24" t="s">
        <v>1811</v>
      </c>
      <c r="C924" s="24" t="s">
        <v>263</v>
      </c>
      <c r="D924" s="24" t="s">
        <v>1812</v>
      </c>
      <c r="E924" s="25">
        <v>30</v>
      </c>
      <c r="F924" s="25"/>
      <c r="G924" s="25"/>
      <c r="H924" s="25"/>
      <c r="I924" s="25">
        <v>20</v>
      </c>
      <c r="J924" s="25">
        <v>12</v>
      </c>
      <c r="K924" s="25"/>
      <c r="L924" s="25"/>
      <c r="M924" s="25"/>
      <c r="N924" s="25"/>
      <c r="O924" s="25"/>
      <c r="P924" s="25"/>
      <c r="Q924" s="22">
        <f t="shared" si="14"/>
        <v>62</v>
      </c>
    </row>
    <row r="925" spans="1:17" ht="15.75" customHeight="1">
      <c r="A925" s="19">
        <v>923</v>
      </c>
      <c r="B925" s="20" t="s">
        <v>1813</v>
      </c>
      <c r="C925" s="20" t="s">
        <v>263</v>
      </c>
      <c r="D925" s="20" t="s">
        <v>1814</v>
      </c>
      <c r="E925" s="21"/>
      <c r="F925" s="21"/>
      <c r="G925" s="21"/>
      <c r="H925" s="21"/>
      <c r="I925" s="21"/>
      <c r="J925" s="21">
        <v>20</v>
      </c>
      <c r="K925" s="21"/>
      <c r="L925" s="21"/>
      <c r="M925" s="21"/>
      <c r="N925" s="21"/>
      <c r="O925" s="21"/>
      <c r="P925" s="21"/>
      <c r="Q925" s="22">
        <f t="shared" si="14"/>
        <v>20</v>
      </c>
    </row>
    <row r="926" spans="1:17" ht="15.75" customHeight="1">
      <c r="A926" s="23">
        <v>924</v>
      </c>
      <c r="B926" s="24" t="s">
        <v>1815</v>
      </c>
      <c r="C926" s="24" t="s">
        <v>263</v>
      </c>
      <c r="D926" s="24" t="s">
        <v>1816</v>
      </c>
      <c r="E926" s="25"/>
      <c r="F926" s="25"/>
      <c r="G926" s="25"/>
      <c r="H926" s="25"/>
      <c r="I926" s="25"/>
      <c r="J926" s="25">
        <v>20</v>
      </c>
      <c r="K926" s="25"/>
      <c r="L926" s="25"/>
      <c r="M926" s="25"/>
      <c r="N926" s="25"/>
      <c r="O926" s="25"/>
      <c r="P926" s="25"/>
      <c r="Q926" s="22">
        <f t="shared" si="14"/>
        <v>20</v>
      </c>
    </row>
    <row r="927" spans="1:17" ht="15.75" customHeight="1">
      <c r="A927" s="19">
        <v>925</v>
      </c>
      <c r="B927" s="20" t="s">
        <v>1817</v>
      </c>
      <c r="C927" s="20" t="s">
        <v>263</v>
      </c>
      <c r="D927" s="20" t="s">
        <v>1818</v>
      </c>
      <c r="E927" s="21"/>
      <c r="F927" s="21"/>
      <c r="G927" s="21"/>
      <c r="H927" s="21">
        <v>80</v>
      </c>
      <c r="I927" s="21">
        <v>38</v>
      </c>
      <c r="J927" s="21"/>
      <c r="K927" s="21"/>
      <c r="L927" s="21">
        <v>30</v>
      </c>
      <c r="M927" s="21">
        <v>30</v>
      </c>
      <c r="N927" s="21"/>
      <c r="O927" s="21">
        <v>50</v>
      </c>
      <c r="P927" s="21">
        <v>100</v>
      </c>
      <c r="Q927" s="22">
        <f t="shared" si="14"/>
        <v>328</v>
      </c>
    </row>
    <row r="928" spans="1:17" ht="15.75" customHeight="1">
      <c r="A928" s="23">
        <v>926</v>
      </c>
      <c r="B928" s="24" t="s">
        <v>1819</v>
      </c>
      <c r="C928" s="24" t="s">
        <v>263</v>
      </c>
      <c r="D928" s="24" t="s">
        <v>1682</v>
      </c>
      <c r="E928" s="25"/>
      <c r="F928" s="25"/>
      <c r="G928" s="25"/>
      <c r="H928" s="25"/>
      <c r="I928" s="25"/>
      <c r="J928" s="25">
        <v>10</v>
      </c>
      <c r="K928" s="25"/>
      <c r="L928" s="25"/>
      <c r="M928" s="25"/>
      <c r="N928" s="25"/>
      <c r="O928" s="25"/>
      <c r="P928" s="25"/>
      <c r="Q928" s="22">
        <f t="shared" si="14"/>
        <v>10</v>
      </c>
    </row>
    <row r="929" spans="1:17" ht="15.75" customHeight="1">
      <c r="A929" s="19">
        <v>927</v>
      </c>
      <c r="B929" s="20" t="s">
        <v>1820</v>
      </c>
      <c r="C929" s="20" t="s">
        <v>263</v>
      </c>
      <c r="D929" s="20" t="s">
        <v>1685</v>
      </c>
      <c r="E929" s="21"/>
      <c r="F929" s="21"/>
      <c r="G929" s="21">
        <v>2</v>
      </c>
      <c r="H929" s="21"/>
      <c r="I929" s="21"/>
      <c r="J929" s="21"/>
      <c r="K929" s="21"/>
      <c r="L929" s="21"/>
      <c r="M929" s="21"/>
      <c r="N929" s="21"/>
      <c r="O929" s="21"/>
      <c r="P929" s="21"/>
      <c r="Q929" s="22">
        <f t="shared" si="14"/>
        <v>2</v>
      </c>
    </row>
    <row r="930" spans="1:17" ht="15.75" customHeight="1">
      <c r="A930" s="23">
        <v>928</v>
      </c>
      <c r="B930" s="24" t="s">
        <v>1821</v>
      </c>
      <c r="C930" s="24" t="s">
        <v>263</v>
      </c>
      <c r="D930" s="24" t="s">
        <v>1822</v>
      </c>
      <c r="E930" s="25"/>
      <c r="F930" s="25"/>
      <c r="G930" s="25"/>
      <c r="H930" s="25">
        <v>30</v>
      </c>
      <c r="I930" s="25"/>
      <c r="J930" s="25"/>
      <c r="K930" s="25"/>
      <c r="L930" s="25"/>
      <c r="M930" s="25"/>
      <c r="N930" s="25"/>
      <c r="O930" s="25">
        <v>2</v>
      </c>
      <c r="P930" s="25"/>
      <c r="Q930" s="22">
        <f t="shared" si="14"/>
        <v>32</v>
      </c>
    </row>
    <row r="931" spans="1:17" ht="15.75" customHeight="1">
      <c r="A931" s="19">
        <v>929</v>
      </c>
      <c r="B931" s="20" t="s">
        <v>1823</v>
      </c>
      <c r="C931" s="20" t="s">
        <v>271</v>
      </c>
      <c r="D931" s="20" t="s">
        <v>1824</v>
      </c>
      <c r="E931" s="21">
        <v>20</v>
      </c>
      <c r="F931" s="21">
        <v>30</v>
      </c>
      <c r="G931" s="21">
        <v>12</v>
      </c>
      <c r="H931" s="21">
        <v>30</v>
      </c>
      <c r="I931" s="21">
        <v>50</v>
      </c>
      <c r="J931" s="21">
        <v>39</v>
      </c>
      <c r="K931" s="21">
        <v>10</v>
      </c>
      <c r="L931" s="21">
        <v>60</v>
      </c>
      <c r="M931" s="21">
        <v>55</v>
      </c>
      <c r="N931" s="21">
        <v>10</v>
      </c>
      <c r="O931" s="21">
        <v>25</v>
      </c>
      <c r="P931" s="21">
        <v>20</v>
      </c>
      <c r="Q931" s="22">
        <f t="shared" si="14"/>
        <v>361</v>
      </c>
    </row>
    <row r="932" spans="1:17" ht="15.75" customHeight="1">
      <c r="A932" s="23">
        <v>930</v>
      </c>
      <c r="B932" s="24" t="s">
        <v>1825</v>
      </c>
      <c r="C932" s="24" t="s">
        <v>271</v>
      </c>
      <c r="D932" s="24" t="s">
        <v>1668</v>
      </c>
      <c r="E932" s="25"/>
      <c r="F932" s="25"/>
      <c r="G932" s="25"/>
      <c r="H932" s="25"/>
      <c r="I932" s="25"/>
      <c r="J932" s="25"/>
      <c r="K932" s="25"/>
      <c r="L932" s="25">
        <v>4</v>
      </c>
      <c r="M932" s="25"/>
      <c r="N932" s="25"/>
      <c r="O932" s="25"/>
      <c r="P932" s="25"/>
      <c r="Q932" s="22">
        <f t="shared" si="14"/>
        <v>4</v>
      </c>
    </row>
    <row r="933" spans="1:17" ht="15.75" customHeight="1">
      <c r="A933" s="19">
        <v>931</v>
      </c>
      <c r="B933" s="20" t="s">
        <v>1826</v>
      </c>
      <c r="C933" s="20" t="s">
        <v>271</v>
      </c>
      <c r="D933" s="20" t="s">
        <v>1827</v>
      </c>
      <c r="E933" s="21">
        <v>159</v>
      </c>
      <c r="F933" s="21">
        <v>50</v>
      </c>
      <c r="G933" s="21">
        <v>38</v>
      </c>
      <c r="H933" s="21">
        <v>25</v>
      </c>
      <c r="I933" s="21">
        <v>90</v>
      </c>
      <c r="J933" s="21">
        <v>66</v>
      </c>
      <c r="K933" s="21">
        <v>35</v>
      </c>
      <c r="L933" s="21">
        <v>82</v>
      </c>
      <c r="M933" s="21">
        <v>50</v>
      </c>
      <c r="N933" s="21">
        <v>45</v>
      </c>
      <c r="O933" s="21">
        <v>138</v>
      </c>
      <c r="P933" s="21">
        <v>30</v>
      </c>
      <c r="Q933" s="22">
        <f t="shared" si="14"/>
        <v>808</v>
      </c>
    </row>
    <row r="934" spans="1:17" ht="15.75" customHeight="1">
      <c r="A934" s="23">
        <v>932</v>
      </c>
      <c r="B934" s="24" t="s">
        <v>1828</v>
      </c>
      <c r="C934" s="24" t="s">
        <v>271</v>
      </c>
      <c r="D934" s="24" t="s">
        <v>1722</v>
      </c>
      <c r="E934" s="25"/>
      <c r="F934" s="25"/>
      <c r="G934" s="25"/>
      <c r="H934" s="25"/>
      <c r="I934" s="25"/>
      <c r="J934" s="25"/>
      <c r="K934" s="25">
        <v>30</v>
      </c>
      <c r="L934" s="25"/>
      <c r="M934" s="25"/>
      <c r="N934" s="25"/>
      <c r="O934" s="25"/>
      <c r="P934" s="25"/>
      <c r="Q934" s="22">
        <f t="shared" si="14"/>
        <v>30</v>
      </c>
    </row>
    <row r="935" spans="1:17" ht="15.75" customHeight="1">
      <c r="A935" s="19">
        <v>933</v>
      </c>
      <c r="B935" s="20" t="s">
        <v>1829</v>
      </c>
      <c r="C935" s="20" t="s">
        <v>271</v>
      </c>
      <c r="D935" s="20" t="s">
        <v>1830</v>
      </c>
      <c r="E935" s="21">
        <v>60</v>
      </c>
      <c r="F935" s="21">
        <v>20</v>
      </c>
      <c r="G935" s="21">
        <v>25</v>
      </c>
      <c r="H935" s="21">
        <v>15</v>
      </c>
      <c r="I935" s="21">
        <v>45</v>
      </c>
      <c r="J935" s="21">
        <v>155</v>
      </c>
      <c r="K935" s="21"/>
      <c r="L935" s="21">
        <v>50</v>
      </c>
      <c r="M935" s="21">
        <v>120</v>
      </c>
      <c r="N935" s="21">
        <v>25</v>
      </c>
      <c r="O935" s="21">
        <v>21</v>
      </c>
      <c r="P935" s="21">
        <v>20</v>
      </c>
      <c r="Q935" s="22">
        <f t="shared" si="14"/>
        <v>556</v>
      </c>
    </row>
    <row r="936" spans="1:17" ht="15.75" customHeight="1">
      <c r="A936" s="23">
        <v>934</v>
      </c>
      <c r="B936" s="24" t="s">
        <v>1831</v>
      </c>
      <c r="C936" s="24" t="s">
        <v>271</v>
      </c>
      <c r="D936" s="24" t="s">
        <v>1832</v>
      </c>
      <c r="E936" s="25">
        <v>3</v>
      </c>
      <c r="F936" s="25"/>
      <c r="G936" s="25"/>
      <c r="H936" s="25">
        <v>30</v>
      </c>
      <c r="I936" s="25">
        <v>30</v>
      </c>
      <c r="J936" s="25"/>
      <c r="K936" s="25"/>
      <c r="L936" s="25">
        <v>3</v>
      </c>
      <c r="M936" s="25">
        <v>30</v>
      </c>
      <c r="N936" s="25"/>
      <c r="O936" s="25">
        <v>10</v>
      </c>
      <c r="P936" s="25"/>
      <c r="Q936" s="22">
        <f t="shared" si="14"/>
        <v>106</v>
      </c>
    </row>
    <row r="937" spans="1:17" ht="15.75" customHeight="1">
      <c r="A937" s="19">
        <v>935</v>
      </c>
      <c r="B937" s="20" t="s">
        <v>1833</v>
      </c>
      <c r="C937" s="20" t="s">
        <v>271</v>
      </c>
      <c r="D937" s="20" t="s">
        <v>1834</v>
      </c>
      <c r="E937" s="21"/>
      <c r="F937" s="21"/>
      <c r="G937" s="21"/>
      <c r="H937" s="21">
        <v>20</v>
      </c>
      <c r="I937" s="21"/>
      <c r="J937" s="21">
        <v>10</v>
      </c>
      <c r="K937" s="21"/>
      <c r="L937" s="21">
        <v>55</v>
      </c>
      <c r="M937" s="21"/>
      <c r="N937" s="21"/>
      <c r="O937" s="21">
        <v>8</v>
      </c>
      <c r="P937" s="21">
        <v>10</v>
      </c>
      <c r="Q937" s="22">
        <f t="shared" si="14"/>
        <v>103</v>
      </c>
    </row>
    <row r="938" spans="1:17" ht="15.75" customHeight="1">
      <c r="A938" s="23">
        <v>936</v>
      </c>
      <c r="B938" s="24" t="s">
        <v>1835</v>
      </c>
      <c r="C938" s="24" t="s">
        <v>271</v>
      </c>
      <c r="D938" s="24" t="s">
        <v>1678</v>
      </c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>
        <v>5</v>
      </c>
      <c r="Q938" s="22">
        <f t="shared" si="14"/>
        <v>5</v>
      </c>
    </row>
    <row r="939" spans="1:17" ht="15.75" customHeight="1">
      <c r="A939" s="19">
        <v>937</v>
      </c>
      <c r="B939" s="20" t="s">
        <v>1836</v>
      </c>
      <c r="C939" s="20" t="s">
        <v>271</v>
      </c>
      <c r="D939" s="20" t="s">
        <v>1837</v>
      </c>
      <c r="E939" s="21">
        <v>40</v>
      </c>
      <c r="F939" s="21"/>
      <c r="G939" s="21"/>
      <c r="H939" s="21"/>
      <c r="I939" s="21"/>
      <c r="J939" s="21">
        <v>5</v>
      </c>
      <c r="K939" s="21"/>
      <c r="L939" s="21"/>
      <c r="M939" s="21">
        <v>20</v>
      </c>
      <c r="N939" s="21"/>
      <c r="O939" s="21">
        <v>5</v>
      </c>
      <c r="P939" s="21"/>
      <c r="Q939" s="22">
        <f t="shared" si="14"/>
        <v>70</v>
      </c>
    </row>
    <row r="940" spans="1:17" ht="15.75" customHeight="1">
      <c r="A940" s="23">
        <v>938</v>
      </c>
      <c r="B940" s="24" t="s">
        <v>1838</v>
      </c>
      <c r="C940" s="24" t="s">
        <v>271</v>
      </c>
      <c r="D940" s="24" t="s">
        <v>1682</v>
      </c>
      <c r="E940" s="25"/>
      <c r="F940" s="25"/>
      <c r="G940" s="25"/>
      <c r="H940" s="25"/>
      <c r="I940" s="25"/>
      <c r="J940" s="25"/>
      <c r="K940" s="25"/>
      <c r="L940" s="25">
        <v>5</v>
      </c>
      <c r="M940" s="25"/>
      <c r="N940" s="25">
        <v>5</v>
      </c>
      <c r="O940" s="25"/>
      <c r="P940" s="25">
        <v>5</v>
      </c>
      <c r="Q940" s="22">
        <f t="shared" si="14"/>
        <v>15</v>
      </c>
    </row>
    <row r="941" spans="1:17" ht="15.75" customHeight="1">
      <c r="A941" s="19">
        <v>939</v>
      </c>
      <c r="B941" s="20" t="s">
        <v>1839</v>
      </c>
      <c r="C941" s="20" t="s">
        <v>271</v>
      </c>
      <c r="D941" s="20" t="s">
        <v>1685</v>
      </c>
      <c r="E941" s="21"/>
      <c r="F941" s="21">
        <v>10</v>
      </c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2">
        <f t="shared" si="14"/>
        <v>10</v>
      </c>
    </row>
    <row r="942" spans="1:17" ht="15.75" customHeight="1">
      <c r="A942" s="23">
        <v>940</v>
      </c>
      <c r="B942" s="24" t="s">
        <v>1840</v>
      </c>
      <c r="C942" s="24" t="s">
        <v>271</v>
      </c>
      <c r="D942" s="24" t="s">
        <v>1841</v>
      </c>
      <c r="E942" s="25"/>
      <c r="F942" s="25"/>
      <c r="G942" s="25"/>
      <c r="H942" s="25"/>
      <c r="I942" s="25"/>
      <c r="J942" s="25"/>
      <c r="K942" s="25">
        <v>20</v>
      </c>
      <c r="L942" s="25"/>
      <c r="M942" s="25"/>
      <c r="N942" s="25"/>
      <c r="O942" s="25"/>
      <c r="P942" s="25"/>
      <c r="Q942" s="22">
        <f t="shared" si="14"/>
        <v>20</v>
      </c>
    </row>
    <row r="943" spans="1:17" ht="15.75" customHeight="1">
      <c r="A943" s="19">
        <v>941</v>
      </c>
      <c r="B943" s="20" t="s">
        <v>1842</v>
      </c>
      <c r="C943" s="20" t="s">
        <v>271</v>
      </c>
      <c r="D943" s="20" t="s">
        <v>1691</v>
      </c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>
        <v>5</v>
      </c>
      <c r="Q943" s="22">
        <f t="shared" si="14"/>
        <v>5</v>
      </c>
    </row>
    <row r="944" spans="1:17" ht="15.75" customHeight="1">
      <c r="A944" s="23">
        <v>942</v>
      </c>
      <c r="B944" s="24" t="s">
        <v>1843</v>
      </c>
      <c r="C944" s="24" t="s">
        <v>271</v>
      </c>
      <c r="D944" s="24" t="s">
        <v>1844</v>
      </c>
      <c r="E944" s="25"/>
      <c r="F944" s="25"/>
      <c r="G944" s="25"/>
      <c r="H944" s="25"/>
      <c r="I944" s="25">
        <v>10</v>
      </c>
      <c r="J944" s="25"/>
      <c r="K944" s="25"/>
      <c r="L944" s="25">
        <v>10</v>
      </c>
      <c r="M944" s="25"/>
      <c r="N944" s="25"/>
      <c r="O944" s="25"/>
      <c r="P944" s="25"/>
      <c r="Q944" s="22">
        <f t="shared" si="14"/>
        <v>20</v>
      </c>
    </row>
    <row r="945" spans="1:17" ht="15.75" customHeight="1">
      <c r="A945" s="19">
        <v>943</v>
      </c>
      <c r="B945" s="20" t="s">
        <v>1845</v>
      </c>
      <c r="C945" s="20" t="s">
        <v>278</v>
      </c>
      <c r="D945" s="20" t="s">
        <v>1846</v>
      </c>
      <c r="E945" s="21"/>
      <c r="F945" s="21"/>
      <c r="G945" s="21"/>
      <c r="H945" s="21">
        <v>10</v>
      </c>
      <c r="I945" s="21">
        <v>20</v>
      </c>
      <c r="J945" s="21"/>
      <c r="K945" s="21">
        <v>44</v>
      </c>
      <c r="L945" s="21"/>
      <c r="M945" s="21">
        <v>20</v>
      </c>
      <c r="N945" s="21"/>
      <c r="O945" s="21">
        <v>10</v>
      </c>
      <c r="P945" s="21"/>
      <c r="Q945" s="22">
        <f t="shared" si="14"/>
        <v>104</v>
      </c>
    </row>
    <row r="946" spans="1:17" ht="15.75" customHeight="1">
      <c r="A946" s="23">
        <v>944</v>
      </c>
      <c r="B946" s="24" t="s">
        <v>1847</v>
      </c>
      <c r="C946" s="24" t="s">
        <v>278</v>
      </c>
      <c r="D946" s="24" t="s">
        <v>1700</v>
      </c>
      <c r="E946" s="25"/>
      <c r="F946" s="25"/>
      <c r="G946" s="25"/>
      <c r="H946" s="25">
        <v>10</v>
      </c>
      <c r="I946" s="25"/>
      <c r="J946" s="25"/>
      <c r="K946" s="25"/>
      <c r="L946" s="25"/>
      <c r="M946" s="25"/>
      <c r="N946" s="25"/>
      <c r="O946" s="25"/>
      <c r="P946" s="25"/>
      <c r="Q946" s="22">
        <f t="shared" si="14"/>
        <v>10</v>
      </c>
    </row>
    <row r="947" spans="1:17" ht="15.75" customHeight="1">
      <c r="A947" s="19">
        <v>945</v>
      </c>
      <c r="B947" s="20" t="s">
        <v>1848</v>
      </c>
      <c r="C947" s="20" t="s">
        <v>278</v>
      </c>
      <c r="D947" s="20" t="s">
        <v>1849</v>
      </c>
      <c r="E947" s="21">
        <v>10</v>
      </c>
      <c r="F947" s="21">
        <v>50</v>
      </c>
      <c r="G947" s="21"/>
      <c r="H947" s="21">
        <v>35</v>
      </c>
      <c r="I947" s="21">
        <v>30</v>
      </c>
      <c r="J947" s="21"/>
      <c r="K947" s="21">
        <v>5</v>
      </c>
      <c r="L947" s="21"/>
      <c r="M947" s="21">
        <v>45</v>
      </c>
      <c r="N947" s="21"/>
      <c r="O947" s="21">
        <v>50</v>
      </c>
      <c r="P947" s="21">
        <v>30</v>
      </c>
      <c r="Q947" s="22">
        <f t="shared" si="14"/>
        <v>255</v>
      </c>
    </row>
    <row r="948" spans="1:17" ht="15.75" customHeight="1">
      <c r="A948" s="23">
        <v>946</v>
      </c>
      <c r="B948" s="24" t="s">
        <v>1850</v>
      </c>
      <c r="C948" s="24" t="s">
        <v>278</v>
      </c>
      <c r="D948" s="24" t="s">
        <v>1851</v>
      </c>
      <c r="E948" s="25">
        <v>10</v>
      </c>
      <c r="F948" s="25">
        <v>50</v>
      </c>
      <c r="G948" s="25"/>
      <c r="H948" s="25">
        <v>15</v>
      </c>
      <c r="I948" s="25">
        <v>30</v>
      </c>
      <c r="J948" s="25"/>
      <c r="K948" s="25">
        <v>50</v>
      </c>
      <c r="L948" s="25"/>
      <c r="M948" s="25">
        <v>35</v>
      </c>
      <c r="N948" s="25">
        <v>52</v>
      </c>
      <c r="O948" s="25">
        <v>30</v>
      </c>
      <c r="P948" s="25">
        <v>30</v>
      </c>
      <c r="Q948" s="22">
        <f t="shared" si="14"/>
        <v>302</v>
      </c>
    </row>
    <row r="949" spans="1:17" ht="15.75" customHeight="1">
      <c r="A949" s="19">
        <v>947</v>
      </c>
      <c r="B949" s="20" t="s">
        <v>1852</v>
      </c>
      <c r="C949" s="20" t="s">
        <v>278</v>
      </c>
      <c r="D949" s="20" t="s">
        <v>1853</v>
      </c>
      <c r="E949" s="21">
        <v>10</v>
      </c>
      <c r="F949" s="21">
        <v>50</v>
      </c>
      <c r="G949" s="21">
        <v>30</v>
      </c>
      <c r="H949" s="21">
        <v>20</v>
      </c>
      <c r="I949" s="21"/>
      <c r="J949" s="21"/>
      <c r="K949" s="21"/>
      <c r="L949" s="21">
        <v>20</v>
      </c>
      <c r="M949" s="21"/>
      <c r="N949" s="21"/>
      <c r="O949" s="21">
        <v>56</v>
      </c>
      <c r="P949" s="21"/>
      <c r="Q949" s="22">
        <f t="shared" si="14"/>
        <v>186</v>
      </c>
    </row>
    <row r="950" spans="1:17" ht="15.75" customHeight="1">
      <c r="A950" s="23">
        <v>948</v>
      </c>
      <c r="B950" s="24" t="s">
        <v>1854</v>
      </c>
      <c r="C950" s="24" t="s">
        <v>283</v>
      </c>
      <c r="D950" s="24" t="s">
        <v>1855</v>
      </c>
      <c r="E950" s="25">
        <v>10</v>
      </c>
      <c r="F950" s="25">
        <v>5</v>
      </c>
      <c r="G950" s="25">
        <v>26</v>
      </c>
      <c r="H950" s="25"/>
      <c r="I950" s="25">
        <v>30</v>
      </c>
      <c r="J950" s="25">
        <v>40</v>
      </c>
      <c r="K950" s="25"/>
      <c r="L950" s="25">
        <v>59</v>
      </c>
      <c r="M950" s="25">
        <v>10</v>
      </c>
      <c r="N950" s="25">
        <v>17</v>
      </c>
      <c r="O950" s="25">
        <v>49</v>
      </c>
      <c r="P950" s="25">
        <v>64</v>
      </c>
      <c r="Q950" s="22">
        <f t="shared" si="14"/>
        <v>310</v>
      </c>
    </row>
    <row r="951" spans="1:17" ht="15.75" customHeight="1">
      <c r="A951" s="19">
        <v>949</v>
      </c>
      <c r="B951" s="20" t="s">
        <v>1856</v>
      </c>
      <c r="C951" s="20" t="s">
        <v>283</v>
      </c>
      <c r="D951" s="20" t="s">
        <v>1668</v>
      </c>
      <c r="E951" s="21"/>
      <c r="F951" s="21"/>
      <c r="G951" s="21"/>
      <c r="H951" s="21"/>
      <c r="I951" s="21"/>
      <c r="J951" s="21">
        <v>2</v>
      </c>
      <c r="K951" s="21"/>
      <c r="L951" s="21"/>
      <c r="M951" s="21"/>
      <c r="N951" s="21"/>
      <c r="O951" s="21"/>
      <c r="P951" s="21"/>
      <c r="Q951" s="22">
        <f t="shared" si="14"/>
        <v>2</v>
      </c>
    </row>
    <row r="952" spans="1:17" ht="15.75" customHeight="1">
      <c r="A952" s="23">
        <v>950</v>
      </c>
      <c r="B952" s="24" t="s">
        <v>1857</v>
      </c>
      <c r="C952" s="24" t="s">
        <v>283</v>
      </c>
      <c r="D952" s="24" t="s">
        <v>1858</v>
      </c>
      <c r="E952" s="25">
        <v>20</v>
      </c>
      <c r="F952" s="25"/>
      <c r="G952" s="25"/>
      <c r="H952" s="25"/>
      <c r="I952" s="25">
        <v>55</v>
      </c>
      <c r="J952" s="25"/>
      <c r="K952" s="25">
        <v>2</v>
      </c>
      <c r="L952" s="25">
        <v>20</v>
      </c>
      <c r="M952" s="25"/>
      <c r="N952" s="25">
        <v>12</v>
      </c>
      <c r="O952" s="25">
        <v>10</v>
      </c>
      <c r="P952" s="25">
        <v>40</v>
      </c>
      <c r="Q952" s="22">
        <f t="shared" si="14"/>
        <v>159</v>
      </c>
    </row>
    <row r="953" spans="1:17" ht="15.75" customHeight="1">
      <c r="A953" s="19">
        <v>951</v>
      </c>
      <c r="B953" s="20" t="s">
        <v>1859</v>
      </c>
      <c r="C953" s="20" t="s">
        <v>283</v>
      </c>
      <c r="D953" s="20" t="s">
        <v>1860</v>
      </c>
      <c r="E953" s="21"/>
      <c r="F953" s="21"/>
      <c r="G953" s="21"/>
      <c r="H953" s="21"/>
      <c r="I953" s="21"/>
      <c r="J953" s="21">
        <v>14</v>
      </c>
      <c r="K953" s="21"/>
      <c r="L953" s="21"/>
      <c r="M953" s="21"/>
      <c r="N953" s="21"/>
      <c r="O953" s="21"/>
      <c r="P953" s="21"/>
      <c r="Q953" s="22">
        <f t="shared" si="14"/>
        <v>14</v>
      </c>
    </row>
    <row r="954" spans="1:17" ht="15.75" customHeight="1">
      <c r="A954" s="23">
        <v>952</v>
      </c>
      <c r="B954" s="24" t="s">
        <v>1861</v>
      </c>
      <c r="C954" s="24" t="s">
        <v>283</v>
      </c>
      <c r="D954" s="24" t="s">
        <v>1862</v>
      </c>
      <c r="E954" s="25">
        <v>20</v>
      </c>
      <c r="F954" s="25"/>
      <c r="G954" s="25">
        <v>10</v>
      </c>
      <c r="H954" s="25"/>
      <c r="I954" s="25">
        <v>5</v>
      </c>
      <c r="J954" s="25">
        <v>10</v>
      </c>
      <c r="K954" s="25"/>
      <c r="L954" s="25"/>
      <c r="M954" s="25"/>
      <c r="N954" s="25">
        <v>6</v>
      </c>
      <c r="O954" s="25">
        <v>10</v>
      </c>
      <c r="P954" s="25"/>
      <c r="Q954" s="22">
        <f t="shared" si="14"/>
        <v>61</v>
      </c>
    </row>
    <row r="955" spans="1:17" ht="15.75" customHeight="1">
      <c r="A955" s="19">
        <v>953</v>
      </c>
      <c r="B955" s="20" t="s">
        <v>1863</v>
      </c>
      <c r="C955" s="20" t="s">
        <v>283</v>
      </c>
      <c r="D955" s="20" t="s">
        <v>1864</v>
      </c>
      <c r="E955" s="21">
        <v>30</v>
      </c>
      <c r="F955" s="21">
        <v>50</v>
      </c>
      <c r="G955" s="21"/>
      <c r="H955" s="21"/>
      <c r="I955" s="21">
        <v>10</v>
      </c>
      <c r="J955" s="21">
        <v>46</v>
      </c>
      <c r="K955" s="21"/>
      <c r="L955" s="21">
        <v>30</v>
      </c>
      <c r="M955" s="21"/>
      <c r="N955" s="21">
        <v>51</v>
      </c>
      <c r="O955" s="21">
        <v>100</v>
      </c>
      <c r="P955" s="21"/>
      <c r="Q955" s="22">
        <f t="shared" si="14"/>
        <v>317</v>
      </c>
    </row>
    <row r="956" spans="1:17" ht="15.75" customHeight="1">
      <c r="A956" s="23">
        <v>954</v>
      </c>
      <c r="B956" s="24" t="s">
        <v>1865</v>
      </c>
      <c r="C956" s="24" t="s">
        <v>283</v>
      </c>
      <c r="D956" s="24" t="s">
        <v>1866</v>
      </c>
      <c r="E956" s="25">
        <v>230</v>
      </c>
      <c r="F956" s="25">
        <v>30</v>
      </c>
      <c r="G956" s="25">
        <v>120</v>
      </c>
      <c r="H956" s="25"/>
      <c r="I956" s="25">
        <v>80</v>
      </c>
      <c r="J956" s="25">
        <v>210</v>
      </c>
      <c r="K956" s="25">
        <v>203</v>
      </c>
      <c r="L956" s="25">
        <v>320</v>
      </c>
      <c r="M956" s="25">
        <v>224</v>
      </c>
      <c r="N956" s="25">
        <v>210</v>
      </c>
      <c r="O956" s="25">
        <v>55</v>
      </c>
      <c r="P956" s="25">
        <v>160</v>
      </c>
      <c r="Q956" s="22">
        <f t="shared" si="14"/>
        <v>1842</v>
      </c>
    </row>
    <row r="957" spans="1:17" ht="15.75" customHeight="1">
      <c r="A957" s="19">
        <v>955</v>
      </c>
      <c r="B957" s="20" t="s">
        <v>1867</v>
      </c>
      <c r="C957" s="20" t="s">
        <v>283</v>
      </c>
      <c r="D957" s="20" t="s">
        <v>1868</v>
      </c>
      <c r="E957" s="21"/>
      <c r="F957" s="21"/>
      <c r="G957" s="21"/>
      <c r="H957" s="21">
        <v>200</v>
      </c>
      <c r="I957" s="21"/>
      <c r="J957" s="21">
        <v>20</v>
      </c>
      <c r="K957" s="21"/>
      <c r="L957" s="21"/>
      <c r="M957" s="21"/>
      <c r="N957" s="21">
        <v>20</v>
      </c>
      <c r="O957" s="21"/>
      <c r="P957" s="21">
        <v>30</v>
      </c>
      <c r="Q957" s="22">
        <f t="shared" si="14"/>
        <v>270</v>
      </c>
    </row>
    <row r="958" spans="1:17" ht="15.75" customHeight="1">
      <c r="A958" s="23">
        <v>956</v>
      </c>
      <c r="B958" s="24" t="s">
        <v>1869</v>
      </c>
      <c r="C958" s="24" t="s">
        <v>283</v>
      </c>
      <c r="D958" s="24" t="s">
        <v>1870</v>
      </c>
      <c r="E958" s="25">
        <v>200</v>
      </c>
      <c r="F958" s="25">
        <v>10</v>
      </c>
      <c r="G958" s="25"/>
      <c r="H958" s="25">
        <v>200</v>
      </c>
      <c r="I958" s="25"/>
      <c r="J958" s="25"/>
      <c r="K958" s="25"/>
      <c r="L958" s="25"/>
      <c r="M958" s="25"/>
      <c r="N958" s="25"/>
      <c r="O958" s="25"/>
      <c r="P958" s="25"/>
      <c r="Q958" s="22">
        <f t="shared" si="14"/>
        <v>410</v>
      </c>
    </row>
    <row r="959" spans="1:17" ht="15.75" customHeight="1">
      <c r="A959" s="19">
        <v>957</v>
      </c>
      <c r="B959" s="20" t="s">
        <v>1871</v>
      </c>
      <c r="C959" s="20" t="s">
        <v>283</v>
      </c>
      <c r="D959" s="20" t="s">
        <v>1872</v>
      </c>
      <c r="E959" s="21"/>
      <c r="F959" s="21"/>
      <c r="G959" s="21"/>
      <c r="H959" s="21"/>
      <c r="I959" s="21"/>
      <c r="J959" s="21"/>
      <c r="K959" s="21"/>
      <c r="L959" s="21"/>
      <c r="M959" s="21"/>
      <c r="N959" s="21">
        <v>20</v>
      </c>
      <c r="O959" s="21"/>
      <c r="P959" s="21"/>
      <c r="Q959" s="22">
        <f t="shared" si="14"/>
        <v>20</v>
      </c>
    </row>
    <row r="960" spans="1:17" ht="15.75" customHeight="1">
      <c r="A960" s="23">
        <v>958</v>
      </c>
      <c r="B960" s="24" t="s">
        <v>1873</v>
      </c>
      <c r="C960" s="24" t="s">
        <v>294</v>
      </c>
      <c r="D960" s="24" t="s">
        <v>1874</v>
      </c>
      <c r="E960" s="25">
        <v>30</v>
      </c>
      <c r="F960" s="25">
        <v>45</v>
      </c>
      <c r="G960" s="25">
        <v>30</v>
      </c>
      <c r="H960" s="25">
        <v>60</v>
      </c>
      <c r="I960" s="25">
        <v>20</v>
      </c>
      <c r="J960" s="25">
        <v>10</v>
      </c>
      <c r="K960" s="25">
        <v>102</v>
      </c>
      <c r="L960" s="25">
        <v>30</v>
      </c>
      <c r="M960" s="25">
        <v>30</v>
      </c>
      <c r="N960" s="25">
        <v>65</v>
      </c>
      <c r="O960" s="25">
        <v>150</v>
      </c>
      <c r="P960" s="25">
        <v>30</v>
      </c>
      <c r="Q960" s="22">
        <f t="shared" si="14"/>
        <v>602</v>
      </c>
    </row>
    <row r="961" spans="1:17" ht="15.75" customHeight="1">
      <c r="A961" s="19">
        <v>959</v>
      </c>
      <c r="B961" s="20" t="s">
        <v>1875</v>
      </c>
      <c r="C961" s="20" t="s">
        <v>294</v>
      </c>
      <c r="D961" s="20" t="s">
        <v>1876</v>
      </c>
      <c r="E961" s="21">
        <v>22</v>
      </c>
      <c r="F961" s="21">
        <v>75</v>
      </c>
      <c r="G961" s="21">
        <v>70</v>
      </c>
      <c r="H961" s="21"/>
      <c r="I961" s="21">
        <v>35</v>
      </c>
      <c r="J961" s="21">
        <v>120</v>
      </c>
      <c r="K961" s="21">
        <v>100</v>
      </c>
      <c r="L961" s="21">
        <v>35</v>
      </c>
      <c r="M961" s="21">
        <v>161</v>
      </c>
      <c r="N961" s="21">
        <v>30</v>
      </c>
      <c r="O961" s="21">
        <v>60</v>
      </c>
      <c r="P961" s="21">
        <v>120</v>
      </c>
      <c r="Q961" s="22">
        <f t="shared" si="14"/>
        <v>828</v>
      </c>
    </row>
    <row r="962" spans="1:17" ht="15.75" customHeight="1">
      <c r="A962" s="23">
        <v>960</v>
      </c>
      <c r="B962" s="24" t="s">
        <v>1877</v>
      </c>
      <c r="C962" s="24" t="s">
        <v>294</v>
      </c>
      <c r="D962" s="24" t="s">
        <v>1878</v>
      </c>
      <c r="E962" s="25">
        <v>100</v>
      </c>
      <c r="F962" s="25">
        <v>215</v>
      </c>
      <c r="G962" s="25">
        <v>30</v>
      </c>
      <c r="H962" s="25"/>
      <c r="I962" s="25">
        <v>30</v>
      </c>
      <c r="J962" s="25">
        <v>20</v>
      </c>
      <c r="K962" s="25"/>
      <c r="L962" s="25">
        <v>140</v>
      </c>
      <c r="M962" s="25"/>
      <c r="N962" s="25">
        <v>30</v>
      </c>
      <c r="O962" s="25">
        <v>220</v>
      </c>
      <c r="P962" s="25"/>
      <c r="Q962" s="22">
        <f t="shared" si="14"/>
        <v>785</v>
      </c>
    </row>
    <row r="963" spans="1:17" ht="15.75" customHeight="1">
      <c r="A963" s="19">
        <v>961</v>
      </c>
      <c r="B963" s="20" t="s">
        <v>1879</v>
      </c>
      <c r="C963" s="20" t="s">
        <v>294</v>
      </c>
      <c r="D963" s="20" t="s">
        <v>1880</v>
      </c>
      <c r="E963" s="21"/>
      <c r="F963" s="21">
        <v>25</v>
      </c>
      <c r="G963" s="21">
        <v>20</v>
      </c>
      <c r="H963" s="21">
        <v>5</v>
      </c>
      <c r="I963" s="21"/>
      <c r="J963" s="21">
        <v>20</v>
      </c>
      <c r="K963" s="21">
        <v>10</v>
      </c>
      <c r="L963" s="21">
        <v>20</v>
      </c>
      <c r="M963" s="21">
        <v>5</v>
      </c>
      <c r="N963" s="21">
        <v>20</v>
      </c>
      <c r="O963" s="21">
        <v>10</v>
      </c>
      <c r="P963" s="21">
        <v>20</v>
      </c>
      <c r="Q963" s="22">
        <f t="shared" ref="Q963:Q1026" si="15">SUM(E963:P963)</f>
        <v>155</v>
      </c>
    </row>
    <row r="964" spans="1:17" ht="15.75" customHeight="1">
      <c r="A964" s="23">
        <v>962</v>
      </c>
      <c r="B964" s="24" t="s">
        <v>1881</v>
      </c>
      <c r="C964" s="24" t="s">
        <v>294</v>
      </c>
      <c r="D964" s="24" t="s">
        <v>1882</v>
      </c>
      <c r="E964" s="25"/>
      <c r="F964" s="25">
        <v>20</v>
      </c>
      <c r="G964" s="25">
        <v>5</v>
      </c>
      <c r="H964" s="25"/>
      <c r="I964" s="25"/>
      <c r="J964" s="25"/>
      <c r="K964" s="25"/>
      <c r="L964" s="25"/>
      <c r="M964" s="25"/>
      <c r="N964" s="25"/>
      <c r="O964" s="25">
        <v>10</v>
      </c>
      <c r="P964" s="25">
        <v>100</v>
      </c>
      <c r="Q964" s="22">
        <f t="shared" si="15"/>
        <v>135</v>
      </c>
    </row>
    <row r="965" spans="1:17" ht="15.75" customHeight="1">
      <c r="A965" s="19">
        <v>963</v>
      </c>
      <c r="B965" s="20" t="s">
        <v>1883</v>
      </c>
      <c r="C965" s="20" t="s">
        <v>294</v>
      </c>
      <c r="D965" s="20" t="s">
        <v>1884</v>
      </c>
      <c r="E965" s="21">
        <v>80</v>
      </c>
      <c r="F965" s="21"/>
      <c r="G965" s="21"/>
      <c r="H965" s="21">
        <v>30</v>
      </c>
      <c r="I965" s="21">
        <v>50</v>
      </c>
      <c r="J965" s="21">
        <v>99</v>
      </c>
      <c r="K965" s="21"/>
      <c r="L965" s="21">
        <v>30</v>
      </c>
      <c r="M965" s="21">
        <v>10</v>
      </c>
      <c r="N965" s="21">
        <v>40</v>
      </c>
      <c r="O965" s="21"/>
      <c r="P965" s="21"/>
      <c r="Q965" s="22">
        <f t="shared" si="15"/>
        <v>339</v>
      </c>
    </row>
    <row r="966" spans="1:17" ht="15.75" customHeight="1">
      <c r="A966" s="23">
        <v>964</v>
      </c>
      <c r="B966" s="24" t="s">
        <v>1885</v>
      </c>
      <c r="C966" s="24" t="s">
        <v>294</v>
      </c>
      <c r="D966" s="24" t="s">
        <v>1886</v>
      </c>
      <c r="E966" s="25"/>
      <c r="F966" s="25"/>
      <c r="G966" s="25"/>
      <c r="H966" s="25"/>
      <c r="I966" s="25">
        <v>10</v>
      </c>
      <c r="J966" s="25"/>
      <c r="K966" s="25"/>
      <c r="L966" s="25">
        <v>20</v>
      </c>
      <c r="M966" s="25"/>
      <c r="N966" s="25"/>
      <c r="O966" s="25"/>
      <c r="P966" s="25"/>
      <c r="Q966" s="22">
        <f t="shared" si="15"/>
        <v>30</v>
      </c>
    </row>
    <row r="967" spans="1:17" ht="15.75" customHeight="1">
      <c r="A967" s="19">
        <v>965</v>
      </c>
      <c r="B967" s="20" t="s">
        <v>1887</v>
      </c>
      <c r="C967" s="20" t="s">
        <v>294</v>
      </c>
      <c r="D967" s="20" t="s">
        <v>1888</v>
      </c>
      <c r="E967" s="21">
        <v>320</v>
      </c>
      <c r="F967" s="21">
        <v>299</v>
      </c>
      <c r="G967" s="21">
        <v>50</v>
      </c>
      <c r="H967" s="21">
        <v>280</v>
      </c>
      <c r="I967" s="21">
        <v>270</v>
      </c>
      <c r="J967" s="21">
        <v>255</v>
      </c>
      <c r="K967" s="21">
        <v>220</v>
      </c>
      <c r="L967" s="21">
        <v>55</v>
      </c>
      <c r="M967" s="21">
        <v>366</v>
      </c>
      <c r="N967" s="21">
        <v>300</v>
      </c>
      <c r="O967" s="21">
        <v>170</v>
      </c>
      <c r="P967" s="21">
        <v>60</v>
      </c>
      <c r="Q967" s="22">
        <f t="shared" si="15"/>
        <v>2645</v>
      </c>
    </row>
    <row r="968" spans="1:17" ht="15.75" customHeight="1">
      <c r="A968" s="23">
        <v>966</v>
      </c>
      <c r="B968" s="24" t="s">
        <v>1889</v>
      </c>
      <c r="C968" s="24" t="s">
        <v>294</v>
      </c>
      <c r="D968" s="24" t="s">
        <v>1890</v>
      </c>
      <c r="E968" s="25"/>
      <c r="F968" s="25"/>
      <c r="G968" s="25"/>
      <c r="H968" s="25"/>
      <c r="I968" s="25">
        <v>10</v>
      </c>
      <c r="J968" s="25"/>
      <c r="K968" s="25"/>
      <c r="L968" s="25"/>
      <c r="M968" s="25"/>
      <c r="N968" s="25">
        <v>4</v>
      </c>
      <c r="O968" s="25"/>
      <c r="P968" s="25"/>
      <c r="Q968" s="22">
        <f t="shared" si="15"/>
        <v>14</v>
      </c>
    </row>
    <row r="969" spans="1:17" ht="15.75" customHeight="1">
      <c r="A969" s="19">
        <v>967</v>
      </c>
      <c r="B969" s="20" t="s">
        <v>1891</v>
      </c>
      <c r="C969" s="20" t="s">
        <v>294</v>
      </c>
      <c r="D969" s="20" t="s">
        <v>1892</v>
      </c>
      <c r="E969" s="21">
        <v>200</v>
      </c>
      <c r="F969" s="21"/>
      <c r="G969" s="21"/>
      <c r="H969" s="21">
        <v>500</v>
      </c>
      <c r="I969" s="21"/>
      <c r="J969" s="21"/>
      <c r="K969" s="21"/>
      <c r="L969" s="21"/>
      <c r="M969" s="21"/>
      <c r="N969" s="21">
        <v>155</v>
      </c>
      <c r="O969" s="21"/>
      <c r="P969" s="21">
        <v>50</v>
      </c>
      <c r="Q969" s="22">
        <f t="shared" si="15"/>
        <v>905</v>
      </c>
    </row>
    <row r="970" spans="1:17" ht="15.75" customHeight="1">
      <c r="A970" s="23">
        <v>968</v>
      </c>
      <c r="B970" s="24" t="s">
        <v>1893</v>
      </c>
      <c r="C970" s="24" t="s">
        <v>294</v>
      </c>
      <c r="D970" s="24" t="s">
        <v>1894</v>
      </c>
      <c r="E970" s="25">
        <v>200</v>
      </c>
      <c r="F970" s="25">
        <v>110</v>
      </c>
      <c r="G970" s="25">
        <v>270</v>
      </c>
      <c r="H970" s="25">
        <v>260</v>
      </c>
      <c r="I970" s="25">
        <v>10</v>
      </c>
      <c r="J970" s="25">
        <v>260</v>
      </c>
      <c r="K970" s="25">
        <v>50</v>
      </c>
      <c r="L970" s="25">
        <v>50</v>
      </c>
      <c r="M970" s="25">
        <v>120</v>
      </c>
      <c r="N970" s="25">
        <v>50</v>
      </c>
      <c r="O970" s="25">
        <v>10</v>
      </c>
      <c r="P970" s="25">
        <v>100</v>
      </c>
      <c r="Q970" s="22">
        <f t="shared" si="15"/>
        <v>1490</v>
      </c>
    </row>
    <row r="971" spans="1:17" ht="15.75" customHeight="1">
      <c r="A971" s="19">
        <v>969</v>
      </c>
      <c r="B971" s="20" t="s">
        <v>1895</v>
      </c>
      <c r="C971" s="20" t="s">
        <v>294</v>
      </c>
      <c r="D971" s="20" t="s">
        <v>1896</v>
      </c>
      <c r="E971" s="21"/>
      <c r="F971" s="21"/>
      <c r="G971" s="21">
        <v>200</v>
      </c>
      <c r="H971" s="21">
        <v>210</v>
      </c>
      <c r="I971" s="21"/>
      <c r="J971" s="21"/>
      <c r="K971" s="21"/>
      <c r="L971" s="21">
        <v>10</v>
      </c>
      <c r="M971" s="21">
        <v>300</v>
      </c>
      <c r="N971" s="21"/>
      <c r="O971" s="21"/>
      <c r="P971" s="21"/>
      <c r="Q971" s="22">
        <f t="shared" si="15"/>
        <v>720</v>
      </c>
    </row>
    <row r="972" spans="1:17" ht="15.75" customHeight="1">
      <c r="A972" s="23">
        <v>970</v>
      </c>
      <c r="B972" s="24" t="s">
        <v>1897</v>
      </c>
      <c r="C972" s="24" t="s">
        <v>294</v>
      </c>
      <c r="D972" s="24" t="s">
        <v>1898</v>
      </c>
      <c r="E972" s="25"/>
      <c r="F972" s="25"/>
      <c r="G972" s="25"/>
      <c r="H972" s="25">
        <v>10</v>
      </c>
      <c r="I972" s="25"/>
      <c r="J972" s="25"/>
      <c r="K972" s="25"/>
      <c r="L972" s="25">
        <v>10</v>
      </c>
      <c r="M972" s="25"/>
      <c r="N972" s="25"/>
      <c r="O972" s="25"/>
      <c r="P972" s="25"/>
      <c r="Q972" s="22">
        <f t="shared" si="15"/>
        <v>20</v>
      </c>
    </row>
    <row r="973" spans="1:17" ht="15.75" customHeight="1">
      <c r="A973" s="19">
        <v>971</v>
      </c>
      <c r="B973" s="20" t="s">
        <v>1899</v>
      </c>
      <c r="C973" s="20" t="s">
        <v>362</v>
      </c>
      <c r="D973" s="20" t="s">
        <v>1900</v>
      </c>
      <c r="E973" s="21"/>
      <c r="F973" s="21"/>
      <c r="G973" s="21"/>
      <c r="H973" s="21"/>
      <c r="I973" s="21">
        <v>30</v>
      </c>
      <c r="J973" s="21"/>
      <c r="K973" s="21"/>
      <c r="L973" s="21"/>
      <c r="M973" s="21"/>
      <c r="N973" s="21"/>
      <c r="O973" s="21"/>
      <c r="P973" s="21"/>
      <c r="Q973" s="22">
        <f t="shared" si="15"/>
        <v>30</v>
      </c>
    </row>
    <row r="974" spans="1:17" ht="15.75" customHeight="1">
      <c r="A974" s="23">
        <v>972</v>
      </c>
      <c r="B974" s="24" t="s">
        <v>1901</v>
      </c>
      <c r="C974" s="24" t="s">
        <v>362</v>
      </c>
      <c r="D974" s="24" t="s">
        <v>1902</v>
      </c>
      <c r="E974" s="25"/>
      <c r="F974" s="25"/>
      <c r="G974" s="25"/>
      <c r="H974" s="25"/>
      <c r="I974" s="25">
        <v>20</v>
      </c>
      <c r="J974" s="25"/>
      <c r="K974" s="25"/>
      <c r="L974" s="25"/>
      <c r="M974" s="25"/>
      <c r="N974" s="25">
        <v>16</v>
      </c>
      <c r="O974" s="25"/>
      <c r="P974" s="25">
        <v>5</v>
      </c>
      <c r="Q974" s="22">
        <f t="shared" si="15"/>
        <v>41</v>
      </c>
    </row>
    <row r="975" spans="1:17" ht="15.75" customHeight="1">
      <c r="A975" s="19">
        <v>973</v>
      </c>
      <c r="B975" s="20" t="s">
        <v>1903</v>
      </c>
      <c r="C975" s="20" t="s">
        <v>362</v>
      </c>
      <c r="D975" s="20" t="s">
        <v>1904</v>
      </c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>
        <v>10</v>
      </c>
      <c r="Q975" s="22">
        <f t="shared" si="15"/>
        <v>10</v>
      </c>
    </row>
    <row r="976" spans="1:17" ht="15.75" customHeight="1">
      <c r="A976" s="23">
        <v>974</v>
      </c>
      <c r="B976" s="24" t="s">
        <v>1905</v>
      </c>
      <c r="C976" s="24" t="s">
        <v>203</v>
      </c>
      <c r="D976" s="24" t="s">
        <v>1906</v>
      </c>
      <c r="E976" s="25"/>
      <c r="F976" s="25"/>
      <c r="G976" s="25"/>
      <c r="H976" s="25"/>
      <c r="I976" s="25"/>
      <c r="J976" s="25"/>
      <c r="K976" s="25"/>
      <c r="L976" s="25">
        <v>6</v>
      </c>
      <c r="M976" s="25"/>
      <c r="N976" s="25"/>
      <c r="O976" s="25"/>
      <c r="P976" s="25"/>
      <c r="Q976" s="22">
        <f t="shared" si="15"/>
        <v>6</v>
      </c>
    </row>
    <row r="977" spans="1:17" ht="15.75" customHeight="1">
      <c r="A977" s="19">
        <v>975</v>
      </c>
      <c r="B977" s="20" t="s">
        <v>1907</v>
      </c>
      <c r="C977" s="20" t="s">
        <v>1908</v>
      </c>
      <c r="D977" s="20" t="s">
        <v>1909</v>
      </c>
      <c r="E977" s="21"/>
      <c r="F977" s="21"/>
      <c r="G977" s="21"/>
      <c r="H977" s="21">
        <v>10</v>
      </c>
      <c r="I977" s="21">
        <v>10</v>
      </c>
      <c r="J977" s="21"/>
      <c r="K977" s="21"/>
      <c r="L977" s="21"/>
      <c r="M977" s="21"/>
      <c r="N977" s="21"/>
      <c r="O977" s="21"/>
      <c r="P977" s="21"/>
      <c r="Q977" s="22">
        <f t="shared" si="15"/>
        <v>20</v>
      </c>
    </row>
    <row r="978" spans="1:17" ht="15.75" customHeight="1">
      <c r="A978" s="23">
        <v>976</v>
      </c>
      <c r="B978" s="24" t="s">
        <v>1910</v>
      </c>
      <c r="C978" s="24" t="s">
        <v>1908</v>
      </c>
      <c r="D978" s="24" t="s">
        <v>1911</v>
      </c>
      <c r="E978" s="25"/>
      <c r="F978" s="25"/>
      <c r="G978" s="25"/>
      <c r="H978" s="25">
        <v>20</v>
      </c>
      <c r="I978" s="25">
        <v>10</v>
      </c>
      <c r="J978" s="25"/>
      <c r="K978" s="25"/>
      <c r="L978" s="25"/>
      <c r="M978" s="25"/>
      <c r="N978" s="25"/>
      <c r="O978" s="25"/>
      <c r="P978" s="25"/>
      <c r="Q978" s="22">
        <f t="shared" si="15"/>
        <v>30</v>
      </c>
    </row>
    <row r="979" spans="1:17" ht="15.75" customHeight="1">
      <c r="A979" s="19">
        <v>977</v>
      </c>
      <c r="B979" s="20" t="s">
        <v>1912</v>
      </c>
      <c r="C979" s="20" t="s">
        <v>1908</v>
      </c>
      <c r="D979" s="20" t="s">
        <v>1913</v>
      </c>
      <c r="E979" s="21"/>
      <c r="F979" s="21"/>
      <c r="G979" s="21"/>
      <c r="H979" s="21">
        <v>10</v>
      </c>
      <c r="I979" s="21"/>
      <c r="J979" s="21"/>
      <c r="K979" s="21"/>
      <c r="L979" s="21"/>
      <c r="M979" s="21"/>
      <c r="N979" s="21"/>
      <c r="O979" s="21"/>
      <c r="P979" s="21"/>
      <c r="Q979" s="22">
        <f t="shared" si="15"/>
        <v>10</v>
      </c>
    </row>
    <row r="980" spans="1:17" ht="15.75" customHeight="1">
      <c r="A980" s="23">
        <v>978</v>
      </c>
      <c r="B980" s="24" t="s">
        <v>1914</v>
      </c>
      <c r="C980" s="24" t="s">
        <v>211</v>
      </c>
      <c r="D980" s="24" t="s">
        <v>1783</v>
      </c>
      <c r="E980" s="25"/>
      <c r="F980" s="25"/>
      <c r="G980" s="25"/>
      <c r="H980" s="25"/>
      <c r="I980" s="25"/>
      <c r="J980" s="25"/>
      <c r="K980" s="25"/>
      <c r="L980" s="25">
        <v>3</v>
      </c>
      <c r="M980" s="25"/>
      <c r="N980" s="25"/>
      <c r="O980" s="25"/>
      <c r="P980" s="25"/>
      <c r="Q980" s="22">
        <f t="shared" si="15"/>
        <v>3</v>
      </c>
    </row>
    <row r="981" spans="1:17" ht="15.75" customHeight="1">
      <c r="A981" s="19">
        <v>979</v>
      </c>
      <c r="B981" s="20" t="s">
        <v>1915</v>
      </c>
      <c r="C981" s="20" t="s">
        <v>294</v>
      </c>
      <c r="D981" s="20" t="s">
        <v>1916</v>
      </c>
      <c r="E981" s="21"/>
      <c r="F981" s="21"/>
      <c r="G981" s="21"/>
      <c r="H981" s="21"/>
      <c r="I981" s="21"/>
      <c r="J981" s="21"/>
      <c r="K981" s="21"/>
      <c r="L981" s="21">
        <v>100</v>
      </c>
      <c r="M981" s="21"/>
      <c r="N981" s="21"/>
      <c r="O981" s="21"/>
      <c r="P981" s="21"/>
      <c r="Q981" s="22">
        <f t="shared" si="15"/>
        <v>100</v>
      </c>
    </row>
    <row r="982" spans="1:17" ht="15.75" customHeight="1">
      <c r="A982" s="23">
        <v>980</v>
      </c>
      <c r="B982" s="24" t="s">
        <v>1917</v>
      </c>
      <c r="C982" s="24" t="s">
        <v>271</v>
      </c>
      <c r="D982" s="24" t="s">
        <v>1918</v>
      </c>
      <c r="E982" s="25"/>
      <c r="F982" s="25">
        <v>5</v>
      </c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2">
        <f t="shared" si="15"/>
        <v>5</v>
      </c>
    </row>
    <row r="983" spans="1:17" ht="15.75" customHeight="1">
      <c r="A983" s="19">
        <v>981</v>
      </c>
      <c r="B983" s="20" t="s">
        <v>1919</v>
      </c>
      <c r="C983" s="20" t="s">
        <v>362</v>
      </c>
      <c r="D983" s="20" t="s">
        <v>1920</v>
      </c>
      <c r="E983" s="21"/>
      <c r="F983" s="21"/>
      <c r="G983" s="21"/>
      <c r="H983" s="21">
        <v>20</v>
      </c>
      <c r="I983" s="21"/>
      <c r="J983" s="21"/>
      <c r="K983" s="21"/>
      <c r="L983" s="21"/>
      <c r="M983" s="21"/>
      <c r="N983" s="21"/>
      <c r="O983" s="21"/>
      <c r="P983" s="21"/>
      <c r="Q983" s="22">
        <f t="shared" si="15"/>
        <v>20</v>
      </c>
    </row>
    <row r="984" spans="1:17" ht="15.75" customHeight="1">
      <c r="A984" s="23">
        <v>982</v>
      </c>
      <c r="B984" s="24" t="s">
        <v>1921</v>
      </c>
      <c r="C984" s="24" t="s">
        <v>1908</v>
      </c>
      <c r="D984" s="24" t="s">
        <v>1922</v>
      </c>
      <c r="E984" s="25"/>
      <c r="F984" s="25"/>
      <c r="G984" s="25"/>
      <c r="H984" s="25">
        <v>5</v>
      </c>
      <c r="I984" s="25">
        <v>10</v>
      </c>
      <c r="J984" s="25"/>
      <c r="K984" s="25"/>
      <c r="L984" s="25"/>
      <c r="M984" s="25"/>
      <c r="N984" s="25"/>
      <c r="O984" s="25"/>
      <c r="P984" s="25"/>
      <c r="Q984" s="22">
        <f t="shared" si="15"/>
        <v>15</v>
      </c>
    </row>
    <row r="985" spans="1:17" ht="15.75" customHeight="1">
      <c r="A985" s="19">
        <v>983</v>
      </c>
      <c r="B985" s="20" t="s">
        <v>1923</v>
      </c>
      <c r="C985" s="20" t="s">
        <v>244</v>
      </c>
      <c r="D985" s="20" t="s">
        <v>1722</v>
      </c>
      <c r="E985" s="21"/>
      <c r="F985" s="21"/>
      <c r="G985" s="21"/>
      <c r="H985" s="21">
        <v>20</v>
      </c>
      <c r="I985" s="21"/>
      <c r="J985" s="21"/>
      <c r="K985" s="21"/>
      <c r="L985" s="21"/>
      <c r="M985" s="21"/>
      <c r="N985" s="21"/>
      <c r="O985" s="21"/>
      <c r="P985" s="21"/>
      <c r="Q985" s="22">
        <f t="shared" si="15"/>
        <v>20</v>
      </c>
    </row>
    <row r="986" spans="1:17" ht="15.75" customHeight="1">
      <c r="A986" s="23">
        <v>984</v>
      </c>
      <c r="B986" s="24" t="s">
        <v>1924</v>
      </c>
      <c r="C986" s="24" t="s">
        <v>1925</v>
      </c>
      <c r="D986" s="24" t="s">
        <v>1911</v>
      </c>
      <c r="E986" s="25"/>
      <c r="F986" s="25"/>
      <c r="G986" s="25"/>
      <c r="H986" s="25"/>
      <c r="I986" s="25">
        <v>10</v>
      </c>
      <c r="J986" s="25"/>
      <c r="K986" s="25"/>
      <c r="L986" s="25"/>
      <c r="M986" s="25"/>
      <c r="N986" s="25"/>
      <c r="O986" s="25"/>
      <c r="P986" s="25"/>
      <c r="Q986" s="22">
        <f t="shared" si="15"/>
        <v>10</v>
      </c>
    </row>
    <row r="987" spans="1:17" ht="15.75" customHeight="1">
      <c r="A987" s="19">
        <v>985</v>
      </c>
      <c r="B987" s="20" t="s">
        <v>1926</v>
      </c>
      <c r="C987" s="20" t="s">
        <v>362</v>
      </c>
      <c r="D987" s="20" t="s">
        <v>1927</v>
      </c>
      <c r="E987" s="21"/>
      <c r="F987" s="21"/>
      <c r="G987" s="21"/>
      <c r="H987" s="21"/>
      <c r="I987" s="21"/>
      <c r="J987" s="21"/>
      <c r="K987" s="21"/>
      <c r="L987" s="21"/>
      <c r="M987" s="21">
        <v>5</v>
      </c>
      <c r="N987" s="21"/>
      <c r="O987" s="21"/>
      <c r="P987" s="21"/>
      <c r="Q987" s="22">
        <f t="shared" si="15"/>
        <v>5</v>
      </c>
    </row>
    <row r="988" spans="1:17" ht="15.75" customHeight="1">
      <c r="A988" s="23">
        <v>986</v>
      </c>
      <c r="B988" s="24" t="s">
        <v>1928</v>
      </c>
      <c r="C988" s="24" t="s">
        <v>1929</v>
      </c>
      <c r="D988" s="24" t="s">
        <v>1913</v>
      </c>
      <c r="E988" s="25"/>
      <c r="F988" s="25"/>
      <c r="G988" s="25"/>
      <c r="H988" s="25">
        <v>10</v>
      </c>
      <c r="I988" s="25"/>
      <c r="J988" s="25"/>
      <c r="K988" s="25"/>
      <c r="L988" s="25"/>
      <c r="M988" s="25"/>
      <c r="N988" s="25"/>
      <c r="O988" s="25"/>
      <c r="P988" s="25"/>
      <c r="Q988" s="22">
        <f t="shared" si="15"/>
        <v>10</v>
      </c>
    </row>
    <row r="989" spans="1:17" ht="15.75" customHeight="1">
      <c r="A989" s="19">
        <v>987</v>
      </c>
      <c r="B989" s="20" t="s">
        <v>1930</v>
      </c>
      <c r="C989" s="20" t="s">
        <v>1929</v>
      </c>
      <c r="D989" s="20" t="s">
        <v>1911</v>
      </c>
      <c r="E989" s="21"/>
      <c r="F989" s="21"/>
      <c r="G989" s="21"/>
      <c r="H989" s="21">
        <v>10</v>
      </c>
      <c r="I989" s="21"/>
      <c r="J989" s="21"/>
      <c r="K989" s="21"/>
      <c r="L989" s="21"/>
      <c r="M989" s="21"/>
      <c r="N989" s="21"/>
      <c r="O989" s="21"/>
      <c r="P989" s="21"/>
      <c r="Q989" s="22">
        <f t="shared" si="15"/>
        <v>10</v>
      </c>
    </row>
    <row r="990" spans="1:17" ht="15.75" customHeight="1">
      <c r="A990" s="23">
        <v>988</v>
      </c>
      <c r="B990" s="24" t="s">
        <v>1931</v>
      </c>
      <c r="C990" s="24" t="s">
        <v>362</v>
      </c>
      <c r="D990" s="24" t="s">
        <v>1932</v>
      </c>
      <c r="E990" s="25"/>
      <c r="F990" s="25"/>
      <c r="G990" s="25">
        <v>54</v>
      </c>
      <c r="H990" s="25">
        <v>20</v>
      </c>
      <c r="I990" s="25"/>
      <c r="J990" s="25"/>
      <c r="K990" s="25">
        <v>2</v>
      </c>
      <c r="L990" s="25"/>
      <c r="M990" s="25">
        <v>5</v>
      </c>
      <c r="N990" s="25">
        <v>40</v>
      </c>
      <c r="O990" s="25">
        <v>10</v>
      </c>
      <c r="P990" s="25">
        <v>10</v>
      </c>
      <c r="Q990" s="22">
        <f t="shared" si="15"/>
        <v>141</v>
      </c>
    </row>
    <row r="991" spans="1:17" ht="15.75" customHeight="1">
      <c r="A991" s="19">
        <v>989</v>
      </c>
      <c r="B991" s="20" t="s">
        <v>1933</v>
      </c>
      <c r="C991" s="20" t="s">
        <v>1925</v>
      </c>
      <c r="D991" s="20" t="s">
        <v>1909</v>
      </c>
      <c r="E991" s="21"/>
      <c r="F991" s="21"/>
      <c r="G991" s="21"/>
      <c r="H991" s="21"/>
      <c r="I991" s="21">
        <v>10</v>
      </c>
      <c r="J991" s="21"/>
      <c r="K991" s="21"/>
      <c r="L991" s="21"/>
      <c r="M991" s="21"/>
      <c r="N991" s="21"/>
      <c r="O991" s="21"/>
      <c r="P991" s="21"/>
      <c r="Q991" s="22">
        <f t="shared" si="15"/>
        <v>10</v>
      </c>
    </row>
    <row r="992" spans="1:17" ht="15.75" customHeight="1">
      <c r="A992" s="23">
        <v>990</v>
      </c>
      <c r="B992" s="24" t="s">
        <v>1934</v>
      </c>
      <c r="C992" s="24" t="s">
        <v>362</v>
      </c>
      <c r="D992" s="24" t="s">
        <v>1935</v>
      </c>
      <c r="E992" s="25"/>
      <c r="F992" s="25"/>
      <c r="G992" s="25"/>
      <c r="H992" s="25"/>
      <c r="I992" s="25"/>
      <c r="J992" s="25"/>
      <c r="K992" s="25"/>
      <c r="L992" s="25"/>
      <c r="M992" s="25"/>
      <c r="N992" s="25">
        <v>20</v>
      </c>
      <c r="O992" s="25"/>
      <c r="P992" s="25"/>
      <c r="Q992" s="22">
        <f t="shared" si="15"/>
        <v>20</v>
      </c>
    </row>
    <row r="993" spans="1:17" ht="15.75" customHeight="1">
      <c r="A993" s="19">
        <v>991</v>
      </c>
      <c r="B993" s="20" t="s">
        <v>1936</v>
      </c>
      <c r="C993" s="20" t="s">
        <v>1937</v>
      </c>
      <c r="D993" s="20" t="s">
        <v>1911</v>
      </c>
      <c r="E993" s="21"/>
      <c r="F993" s="21"/>
      <c r="G993" s="21"/>
      <c r="H993" s="21"/>
      <c r="I993" s="21">
        <v>5</v>
      </c>
      <c r="J993" s="21"/>
      <c r="K993" s="21"/>
      <c r="L993" s="21"/>
      <c r="M993" s="21"/>
      <c r="N993" s="21"/>
      <c r="O993" s="21"/>
      <c r="P993" s="21"/>
      <c r="Q993" s="22">
        <f t="shared" si="15"/>
        <v>5</v>
      </c>
    </row>
    <row r="994" spans="1:17" ht="15.75" customHeight="1">
      <c r="A994" s="23">
        <v>992</v>
      </c>
      <c r="B994" s="24" t="s">
        <v>1938</v>
      </c>
      <c r="C994" s="24" t="s">
        <v>1929</v>
      </c>
      <c r="D994" s="24" t="s">
        <v>1909</v>
      </c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>
        <v>5</v>
      </c>
      <c r="Q994" s="22">
        <f t="shared" si="15"/>
        <v>5</v>
      </c>
    </row>
    <row r="995" spans="1:17" ht="15.75" customHeight="1">
      <c r="A995" s="19">
        <v>993</v>
      </c>
      <c r="B995" s="20" t="s">
        <v>1939</v>
      </c>
      <c r="C995" s="20" t="s">
        <v>362</v>
      </c>
      <c r="D995" s="20" t="s">
        <v>1940</v>
      </c>
      <c r="E995" s="21"/>
      <c r="F995" s="21"/>
      <c r="G995" s="21">
        <v>50</v>
      </c>
      <c r="H995" s="21"/>
      <c r="I995" s="21"/>
      <c r="J995" s="21"/>
      <c r="K995" s="21"/>
      <c r="L995" s="21"/>
      <c r="M995" s="21"/>
      <c r="N995" s="21"/>
      <c r="O995" s="21"/>
      <c r="P995" s="21"/>
      <c r="Q995" s="22">
        <f t="shared" si="15"/>
        <v>50</v>
      </c>
    </row>
    <row r="996" spans="1:17" ht="15.75" customHeight="1">
      <c r="A996" s="23">
        <v>994</v>
      </c>
      <c r="B996" s="24" t="s">
        <v>1941</v>
      </c>
      <c r="C996" s="24" t="s">
        <v>1908</v>
      </c>
      <c r="D996" s="24" t="s">
        <v>45</v>
      </c>
      <c r="E996" s="25"/>
      <c r="F996" s="25"/>
      <c r="G996" s="25"/>
      <c r="H996" s="25"/>
      <c r="I996" s="25"/>
      <c r="J996" s="25"/>
      <c r="K996" s="25"/>
      <c r="L996" s="25"/>
      <c r="M996" s="25">
        <v>10</v>
      </c>
      <c r="N996" s="25"/>
      <c r="O996" s="25"/>
      <c r="P996" s="25"/>
      <c r="Q996" s="22">
        <f t="shared" si="15"/>
        <v>10</v>
      </c>
    </row>
    <row r="997" spans="1:17" ht="15.75" customHeight="1">
      <c r="A997" s="19">
        <v>995</v>
      </c>
      <c r="B997" s="20" t="s">
        <v>1942</v>
      </c>
      <c r="C997" s="20" t="s">
        <v>1943</v>
      </c>
      <c r="D997" s="20" t="s">
        <v>45</v>
      </c>
      <c r="E997" s="21"/>
      <c r="F997" s="21"/>
      <c r="G997" s="21"/>
      <c r="H997" s="21"/>
      <c r="I997" s="21"/>
      <c r="J997" s="21"/>
      <c r="K997" s="21"/>
      <c r="L997" s="21"/>
      <c r="M997" s="21">
        <v>10</v>
      </c>
      <c r="N997" s="21"/>
      <c r="O997" s="21"/>
      <c r="P997" s="21"/>
      <c r="Q997" s="22">
        <f t="shared" si="15"/>
        <v>10</v>
      </c>
    </row>
    <row r="998" spans="1:17" ht="15.75" customHeight="1">
      <c r="A998" s="23">
        <v>996</v>
      </c>
      <c r="B998" s="24" t="s">
        <v>1944</v>
      </c>
      <c r="C998" s="24" t="s">
        <v>1943</v>
      </c>
      <c r="D998" s="24" t="s">
        <v>1909</v>
      </c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>
        <v>5</v>
      </c>
      <c r="Q998" s="22">
        <f t="shared" si="15"/>
        <v>5</v>
      </c>
    </row>
    <row r="999" spans="1:17" ht="15.75" customHeight="1">
      <c r="A999" s="19">
        <v>997</v>
      </c>
      <c r="B999" s="20" t="s">
        <v>1945</v>
      </c>
      <c r="C999" s="20" t="s">
        <v>362</v>
      </c>
      <c r="D999" s="20" t="s">
        <v>1946</v>
      </c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>
        <v>130</v>
      </c>
      <c r="Q999" s="22">
        <f t="shared" si="15"/>
        <v>130</v>
      </c>
    </row>
    <row r="1000" spans="1:17" ht="15.75" customHeight="1">
      <c r="A1000" s="23">
        <v>998</v>
      </c>
      <c r="B1000" s="24" t="s">
        <v>1947</v>
      </c>
      <c r="C1000" s="24" t="s">
        <v>1937</v>
      </c>
      <c r="D1000" s="24" t="s">
        <v>45</v>
      </c>
      <c r="E1000" s="25"/>
      <c r="F1000" s="25"/>
      <c r="G1000" s="25"/>
      <c r="H1000" s="25"/>
      <c r="I1000" s="25"/>
      <c r="J1000" s="25"/>
      <c r="K1000" s="25"/>
      <c r="L1000" s="25"/>
      <c r="M1000" s="25">
        <v>10</v>
      </c>
      <c r="N1000" s="25"/>
      <c r="O1000" s="25"/>
      <c r="P1000" s="25"/>
      <c r="Q1000" s="22">
        <f t="shared" si="15"/>
        <v>10</v>
      </c>
    </row>
    <row r="1001" spans="1:17" ht="15.75" customHeight="1">
      <c r="A1001" s="19">
        <v>999</v>
      </c>
      <c r="B1001" s="20" t="s">
        <v>1948</v>
      </c>
      <c r="C1001" s="20" t="s">
        <v>1937</v>
      </c>
      <c r="D1001" s="20" t="s">
        <v>1949</v>
      </c>
      <c r="E1001" s="21"/>
      <c r="F1001" s="21"/>
      <c r="G1001" s="21">
        <v>30</v>
      </c>
      <c r="H1001" s="21"/>
      <c r="I1001" s="21"/>
      <c r="J1001" s="21"/>
      <c r="K1001" s="21"/>
      <c r="L1001" s="21"/>
      <c r="M1001" s="21"/>
      <c r="N1001" s="21"/>
      <c r="O1001" s="21"/>
      <c r="P1001" s="21"/>
      <c r="Q1001" s="22">
        <f t="shared" si="15"/>
        <v>30</v>
      </c>
    </row>
    <row r="1002" spans="1:17" ht="15.75" customHeight="1">
      <c r="A1002" s="23">
        <v>1000</v>
      </c>
      <c r="B1002" s="24" t="s">
        <v>1950</v>
      </c>
      <c r="C1002" s="24" t="s">
        <v>244</v>
      </c>
      <c r="D1002" s="24" t="s">
        <v>1689</v>
      </c>
      <c r="E1002" s="25"/>
      <c r="F1002" s="25"/>
      <c r="G1002" s="25"/>
      <c r="H1002" s="25">
        <v>1</v>
      </c>
      <c r="I1002" s="25"/>
      <c r="J1002" s="25"/>
      <c r="K1002" s="25"/>
      <c r="L1002" s="25"/>
      <c r="M1002" s="25"/>
      <c r="N1002" s="25"/>
      <c r="O1002" s="25"/>
      <c r="P1002" s="25"/>
      <c r="Q1002" s="22">
        <f t="shared" si="15"/>
        <v>1</v>
      </c>
    </row>
    <row r="1003" spans="1:17" ht="15.75" customHeight="1">
      <c r="A1003" s="19">
        <v>1001</v>
      </c>
      <c r="B1003" s="20" t="s">
        <v>1951</v>
      </c>
      <c r="C1003" s="20" t="s">
        <v>263</v>
      </c>
      <c r="D1003" s="20" t="s">
        <v>1689</v>
      </c>
      <c r="E1003" s="21"/>
      <c r="F1003" s="21"/>
      <c r="G1003" s="21"/>
      <c r="H1003" s="21"/>
      <c r="I1003" s="21"/>
      <c r="J1003" s="21">
        <v>1</v>
      </c>
      <c r="K1003" s="21"/>
      <c r="L1003" s="21"/>
      <c r="M1003" s="21"/>
      <c r="N1003" s="21"/>
      <c r="O1003" s="21"/>
      <c r="P1003" s="21"/>
      <c r="Q1003" s="22">
        <f t="shared" si="15"/>
        <v>1</v>
      </c>
    </row>
    <row r="1004" spans="1:17" ht="15.75" customHeight="1">
      <c r="A1004" s="23">
        <v>1002</v>
      </c>
      <c r="B1004" s="24" t="s">
        <v>1952</v>
      </c>
      <c r="C1004" s="24" t="s">
        <v>1937</v>
      </c>
      <c r="D1004" s="24" t="s">
        <v>1953</v>
      </c>
      <c r="E1004" s="25"/>
      <c r="F1004" s="25"/>
      <c r="G1004" s="25">
        <v>10</v>
      </c>
      <c r="H1004" s="25"/>
      <c r="I1004" s="25"/>
      <c r="J1004" s="25"/>
      <c r="K1004" s="25"/>
      <c r="L1004" s="25"/>
      <c r="M1004" s="25"/>
      <c r="N1004" s="25"/>
      <c r="O1004" s="25"/>
      <c r="P1004" s="25"/>
      <c r="Q1004" s="22">
        <f t="shared" si="15"/>
        <v>10</v>
      </c>
    </row>
    <row r="1005" spans="1:17" ht="15.75" customHeight="1">
      <c r="A1005" s="19">
        <v>1003</v>
      </c>
      <c r="B1005" s="20" t="s">
        <v>1954</v>
      </c>
      <c r="C1005" s="20" t="s">
        <v>1955</v>
      </c>
      <c r="D1005" s="20" t="s">
        <v>1956</v>
      </c>
      <c r="E1005" s="21"/>
      <c r="F1005" s="21"/>
      <c r="G1005" s="21"/>
      <c r="H1005" s="21"/>
      <c r="I1005" s="21"/>
      <c r="J1005" s="21"/>
      <c r="K1005" s="21"/>
      <c r="L1005" s="21">
        <v>2</v>
      </c>
      <c r="M1005" s="21"/>
      <c r="N1005" s="21">
        <v>2</v>
      </c>
      <c r="O1005" s="21"/>
      <c r="P1005" s="21"/>
      <c r="Q1005" s="22">
        <f t="shared" si="15"/>
        <v>4</v>
      </c>
    </row>
    <row r="1006" spans="1:17" ht="15.75" customHeight="1">
      <c r="A1006" s="23">
        <v>1004</v>
      </c>
      <c r="B1006" s="24" t="s">
        <v>1957</v>
      </c>
      <c r="C1006" s="24" t="s">
        <v>1955</v>
      </c>
      <c r="D1006" s="24" t="s">
        <v>1958</v>
      </c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>
        <v>2</v>
      </c>
      <c r="Q1006" s="22">
        <f t="shared" si="15"/>
        <v>2</v>
      </c>
    </row>
    <row r="1007" spans="1:17" ht="15.75" customHeight="1">
      <c r="A1007" s="19">
        <v>1005</v>
      </c>
      <c r="B1007" s="20" t="s">
        <v>1959</v>
      </c>
      <c r="C1007" s="20" t="s">
        <v>1370</v>
      </c>
      <c r="D1007" s="20" t="s">
        <v>1960</v>
      </c>
      <c r="E1007" s="21"/>
      <c r="F1007" s="21"/>
      <c r="G1007" s="21"/>
      <c r="H1007" s="21"/>
      <c r="I1007" s="21"/>
      <c r="J1007" s="21"/>
      <c r="K1007" s="21"/>
      <c r="L1007" s="21">
        <v>1</v>
      </c>
      <c r="M1007" s="21"/>
      <c r="N1007" s="21"/>
      <c r="O1007" s="21"/>
      <c r="P1007" s="21"/>
      <c r="Q1007" s="22">
        <f t="shared" si="15"/>
        <v>1</v>
      </c>
    </row>
    <row r="1008" spans="1:17" ht="15.75" customHeight="1">
      <c r="A1008" s="23">
        <v>1006</v>
      </c>
      <c r="B1008" s="24" t="s">
        <v>1961</v>
      </c>
      <c r="C1008" s="24" t="s">
        <v>1370</v>
      </c>
      <c r="D1008" s="24" t="s">
        <v>1962</v>
      </c>
      <c r="E1008" s="25"/>
      <c r="F1008" s="25"/>
      <c r="G1008" s="25"/>
      <c r="H1008" s="25"/>
      <c r="I1008" s="25"/>
      <c r="J1008" s="25"/>
      <c r="K1008" s="25"/>
      <c r="L1008" s="25">
        <v>12</v>
      </c>
      <c r="M1008" s="25"/>
      <c r="N1008" s="25"/>
      <c r="O1008" s="25"/>
      <c r="P1008" s="25"/>
      <c r="Q1008" s="22">
        <f t="shared" si="15"/>
        <v>12</v>
      </c>
    </row>
    <row r="1009" spans="1:17" ht="15.75" customHeight="1">
      <c r="A1009" s="19">
        <v>1007</v>
      </c>
      <c r="B1009" s="20" t="s">
        <v>1963</v>
      </c>
      <c r="C1009" s="20" t="s">
        <v>1370</v>
      </c>
      <c r="D1009" s="20" t="s">
        <v>1964</v>
      </c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>
        <v>7</v>
      </c>
      <c r="Q1009" s="22">
        <f t="shared" si="15"/>
        <v>7</v>
      </c>
    </row>
    <row r="1010" spans="1:17" ht="15.75" customHeight="1">
      <c r="A1010" s="23">
        <v>1008</v>
      </c>
      <c r="B1010" s="24" t="s">
        <v>1965</v>
      </c>
      <c r="C1010" s="24" t="s">
        <v>1370</v>
      </c>
      <c r="D1010" s="24" t="s">
        <v>1966</v>
      </c>
      <c r="E1010" s="25"/>
      <c r="F1010" s="25"/>
      <c r="G1010" s="25"/>
      <c r="H1010" s="25"/>
      <c r="I1010" s="25"/>
      <c r="J1010" s="25">
        <v>3</v>
      </c>
      <c r="K1010" s="25"/>
      <c r="L1010" s="25"/>
      <c r="M1010" s="25"/>
      <c r="N1010" s="25"/>
      <c r="O1010" s="25"/>
      <c r="P1010" s="25"/>
      <c r="Q1010" s="22">
        <f t="shared" si="15"/>
        <v>3</v>
      </c>
    </row>
    <row r="1011" spans="1:17" ht="15.75" customHeight="1">
      <c r="A1011" s="19">
        <v>1009</v>
      </c>
      <c r="B1011" s="20" t="s">
        <v>1967</v>
      </c>
      <c r="C1011" s="20" t="s">
        <v>1355</v>
      </c>
      <c r="D1011" s="20" t="s">
        <v>1968</v>
      </c>
      <c r="E1011" s="21"/>
      <c r="F1011" s="21"/>
      <c r="G1011" s="21"/>
      <c r="H1011" s="21"/>
      <c r="I1011" s="21"/>
      <c r="J1011" s="21">
        <v>3</v>
      </c>
      <c r="K1011" s="21"/>
      <c r="L1011" s="21"/>
      <c r="M1011" s="21"/>
      <c r="N1011" s="21"/>
      <c r="O1011" s="21"/>
      <c r="P1011" s="21"/>
      <c r="Q1011" s="22">
        <f t="shared" si="15"/>
        <v>3</v>
      </c>
    </row>
    <row r="1012" spans="1:17" ht="15.75" customHeight="1">
      <c r="A1012" s="23">
        <v>1010</v>
      </c>
      <c r="B1012" s="24" t="s">
        <v>1969</v>
      </c>
      <c r="C1012" s="24" t="s">
        <v>1357</v>
      </c>
      <c r="D1012" s="24" t="s">
        <v>1970</v>
      </c>
      <c r="E1012" s="25"/>
      <c r="F1012" s="25"/>
      <c r="G1012" s="25"/>
      <c r="H1012" s="25"/>
      <c r="I1012" s="25">
        <v>17</v>
      </c>
      <c r="J1012" s="25"/>
      <c r="K1012" s="25"/>
      <c r="L1012" s="25"/>
      <c r="M1012" s="25"/>
      <c r="N1012" s="25"/>
      <c r="O1012" s="25"/>
      <c r="P1012" s="25"/>
      <c r="Q1012" s="22">
        <f t="shared" si="15"/>
        <v>17</v>
      </c>
    </row>
    <row r="1013" spans="1:17" ht="15.75" customHeight="1">
      <c r="A1013" s="19">
        <v>1011</v>
      </c>
      <c r="B1013" s="20" t="s">
        <v>1971</v>
      </c>
      <c r="C1013" s="20" t="s">
        <v>1357</v>
      </c>
      <c r="D1013" s="20" t="s">
        <v>1972</v>
      </c>
      <c r="E1013" s="21"/>
      <c r="F1013" s="21"/>
      <c r="G1013" s="21"/>
      <c r="H1013" s="21"/>
      <c r="I1013" s="21">
        <v>6</v>
      </c>
      <c r="J1013" s="21"/>
      <c r="K1013" s="21"/>
      <c r="L1013" s="21">
        <v>52</v>
      </c>
      <c r="M1013" s="21"/>
      <c r="N1013" s="21"/>
      <c r="O1013" s="21"/>
      <c r="P1013" s="21">
        <v>2</v>
      </c>
      <c r="Q1013" s="22">
        <f t="shared" si="15"/>
        <v>60</v>
      </c>
    </row>
    <row r="1014" spans="1:17" ht="15.75" customHeight="1">
      <c r="A1014" s="23">
        <v>1012</v>
      </c>
      <c r="B1014" s="24" t="s">
        <v>1973</v>
      </c>
      <c r="C1014" s="24" t="s">
        <v>1357</v>
      </c>
      <c r="D1014" s="24" t="s">
        <v>1974</v>
      </c>
      <c r="E1014" s="25"/>
      <c r="F1014" s="25"/>
      <c r="G1014" s="25"/>
      <c r="H1014" s="25"/>
      <c r="I1014" s="25">
        <v>3</v>
      </c>
      <c r="J1014" s="25"/>
      <c r="K1014" s="25"/>
      <c r="L1014" s="25">
        <v>42</v>
      </c>
      <c r="M1014" s="25"/>
      <c r="N1014" s="25"/>
      <c r="O1014" s="25"/>
      <c r="P1014" s="25"/>
      <c r="Q1014" s="22">
        <f t="shared" si="15"/>
        <v>45</v>
      </c>
    </row>
    <row r="1015" spans="1:17" ht="15.75" customHeight="1">
      <c r="A1015" s="19">
        <v>1013</v>
      </c>
      <c r="B1015" s="20" t="s">
        <v>1975</v>
      </c>
      <c r="C1015" s="20" t="s">
        <v>1357</v>
      </c>
      <c r="D1015" s="20" t="s">
        <v>1976</v>
      </c>
      <c r="E1015" s="21"/>
      <c r="F1015" s="21"/>
      <c r="G1015" s="21"/>
      <c r="H1015" s="21"/>
      <c r="I1015" s="21"/>
      <c r="J1015" s="21"/>
      <c r="K1015" s="21">
        <v>60</v>
      </c>
      <c r="L1015" s="21">
        <v>11</v>
      </c>
      <c r="M1015" s="21"/>
      <c r="N1015" s="21"/>
      <c r="O1015" s="21"/>
      <c r="P1015" s="21"/>
      <c r="Q1015" s="22">
        <f t="shared" si="15"/>
        <v>71</v>
      </c>
    </row>
    <row r="1016" spans="1:17" ht="15.75" customHeight="1">
      <c r="A1016" s="23">
        <v>1014</v>
      </c>
      <c r="B1016" s="24" t="s">
        <v>1977</v>
      </c>
      <c r="C1016" s="24" t="s">
        <v>1357</v>
      </c>
      <c r="D1016" s="24" t="s">
        <v>1978</v>
      </c>
      <c r="E1016" s="25"/>
      <c r="F1016" s="25"/>
      <c r="G1016" s="25"/>
      <c r="H1016" s="25"/>
      <c r="I1016" s="25"/>
      <c r="J1016" s="25">
        <v>58</v>
      </c>
      <c r="K1016" s="25"/>
      <c r="L1016" s="25"/>
      <c r="M1016" s="25"/>
      <c r="N1016" s="25"/>
      <c r="O1016" s="25"/>
      <c r="P1016" s="25">
        <v>6</v>
      </c>
      <c r="Q1016" s="22">
        <f t="shared" si="15"/>
        <v>64</v>
      </c>
    </row>
    <row r="1017" spans="1:17" ht="15.75" customHeight="1">
      <c r="A1017" s="19">
        <v>1015</v>
      </c>
      <c r="B1017" s="20" t="s">
        <v>1979</v>
      </c>
      <c r="C1017" s="20" t="s">
        <v>1357</v>
      </c>
      <c r="D1017" s="20" t="s">
        <v>1980</v>
      </c>
      <c r="E1017" s="21"/>
      <c r="F1017" s="21"/>
      <c r="G1017" s="21"/>
      <c r="H1017" s="21"/>
      <c r="I1017" s="21">
        <v>116</v>
      </c>
      <c r="J1017" s="21">
        <v>16</v>
      </c>
      <c r="K1017" s="21"/>
      <c r="L1017" s="21">
        <v>21</v>
      </c>
      <c r="M1017" s="21"/>
      <c r="N1017" s="21">
        <v>5</v>
      </c>
      <c r="O1017" s="21"/>
      <c r="P1017" s="21">
        <v>50</v>
      </c>
      <c r="Q1017" s="22">
        <f t="shared" si="15"/>
        <v>208</v>
      </c>
    </row>
    <row r="1018" spans="1:17" ht="15.75" customHeight="1">
      <c r="A1018" s="23">
        <v>1016</v>
      </c>
      <c r="B1018" s="24" t="s">
        <v>1981</v>
      </c>
      <c r="C1018" s="24" t="s">
        <v>1357</v>
      </c>
      <c r="D1018" s="24" t="s">
        <v>1982</v>
      </c>
      <c r="E1018" s="25"/>
      <c r="F1018" s="25"/>
      <c r="G1018" s="25"/>
      <c r="H1018" s="25"/>
      <c r="I1018" s="25">
        <v>43</v>
      </c>
      <c r="J1018" s="25"/>
      <c r="K1018" s="25"/>
      <c r="L1018" s="25">
        <v>3</v>
      </c>
      <c r="M1018" s="25"/>
      <c r="N1018" s="25">
        <v>10</v>
      </c>
      <c r="O1018" s="25"/>
      <c r="P1018" s="25"/>
      <c r="Q1018" s="22">
        <f t="shared" si="15"/>
        <v>56</v>
      </c>
    </row>
    <row r="1019" spans="1:17" ht="15.75" customHeight="1">
      <c r="A1019" s="19">
        <v>1017</v>
      </c>
      <c r="B1019" s="20" t="s">
        <v>1983</v>
      </c>
      <c r="C1019" s="20" t="s">
        <v>1357</v>
      </c>
      <c r="D1019" s="20" t="s">
        <v>1984</v>
      </c>
      <c r="E1019" s="21"/>
      <c r="F1019" s="21"/>
      <c r="G1019" s="21"/>
      <c r="H1019" s="21"/>
      <c r="I1019" s="21"/>
      <c r="J1019" s="21">
        <v>2</v>
      </c>
      <c r="K1019" s="21">
        <v>10</v>
      </c>
      <c r="L1019" s="21">
        <v>8</v>
      </c>
      <c r="M1019" s="21"/>
      <c r="N1019" s="21"/>
      <c r="O1019" s="21">
        <v>10</v>
      </c>
      <c r="P1019" s="21">
        <v>15</v>
      </c>
      <c r="Q1019" s="22">
        <f t="shared" si="15"/>
        <v>45</v>
      </c>
    </row>
    <row r="1020" spans="1:17" ht="15.75" customHeight="1">
      <c r="A1020" s="23">
        <v>1018</v>
      </c>
      <c r="B1020" s="24" t="s">
        <v>1985</v>
      </c>
      <c r="C1020" s="24" t="s">
        <v>1357</v>
      </c>
      <c r="D1020" s="24" t="s">
        <v>1986</v>
      </c>
      <c r="E1020" s="25"/>
      <c r="F1020" s="25"/>
      <c r="G1020" s="25"/>
      <c r="H1020" s="25"/>
      <c r="I1020" s="25"/>
      <c r="J1020" s="25"/>
      <c r="K1020" s="25"/>
      <c r="L1020" s="25">
        <v>3</v>
      </c>
      <c r="M1020" s="25"/>
      <c r="N1020" s="25"/>
      <c r="O1020" s="25"/>
      <c r="P1020" s="25"/>
      <c r="Q1020" s="22">
        <f t="shared" si="15"/>
        <v>3</v>
      </c>
    </row>
    <row r="1021" spans="1:17" ht="15.75" customHeight="1">
      <c r="A1021" s="19">
        <v>1019</v>
      </c>
      <c r="B1021" s="20" t="s">
        <v>1987</v>
      </c>
      <c r="C1021" s="20" t="s">
        <v>1390</v>
      </c>
      <c r="D1021" s="20" t="s">
        <v>1988</v>
      </c>
      <c r="E1021" s="21"/>
      <c r="F1021" s="21"/>
      <c r="G1021" s="21"/>
      <c r="H1021" s="21"/>
      <c r="I1021" s="21"/>
      <c r="J1021" s="21"/>
      <c r="K1021" s="21"/>
      <c r="L1021" s="21">
        <v>10</v>
      </c>
      <c r="M1021" s="21"/>
      <c r="N1021" s="21"/>
      <c r="O1021" s="21"/>
      <c r="P1021" s="21"/>
      <c r="Q1021" s="22">
        <f t="shared" si="15"/>
        <v>10</v>
      </c>
    </row>
    <row r="1022" spans="1:17" ht="15.75" customHeight="1">
      <c r="A1022" s="23">
        <v>1020</v>
      </c>
      <c r="B1022" s="24" t="s">
        <v>1989</v>
      </c>
      <c r="C1022" s="24" t="s">
        <v>1363</v>
      </c>
      <c r="D1022" s="24" t="s">
        <v>1990</v>
      </c>
      <c r="E1022" s="25"/>
      <c r="F1022" s="25"/>
      <c r="G1022" s="25"/>
      <c r="H1022" s="25"/>
      <c r="I1022" s="25"/>
      <c r="J1022" s="25"/>
      <c r="K1022" s="25"/>
      <c r="L1022" s="25">
        <v>17</v>
      </c>
      <c r="M1022" s="25"/>
      <c r="N1022" s="25"/>
      <c r="O1022" s="25"/>
      <c r="P1022" s="25">
        <v>1</v>
      </c>
      <c r="Q1022" s="22">
        <f t="shared" si="15"/>
        <v>18</v>
      </c>
    </row>
    <row r="1023" spans="1:17" ht="15.75" customHeight="1">
      <c r="A1023" s="19">
        <v>1021</v>
      </c>
      <c r="B1023" s="20" t="s">
        <v>1991</v>
      </c>
      <c r="C1023" s="20" t="s">
        <v>1363</v>
      </c>
      <c r="D1023" s="20" t="s">
        <v>1992</v>
      </c>
      <c r="E1023" s="21"/>
      <c r="F1023" s="21"/>
      <c r="G1023" s="21"/>
      <c r="H1023" s="21"/>
      <c r="I1023" s="21">
        <v>71</v>
      </c>
      <c r="J1023" s="21">
        <v>3</v>
      </c>
      <c r="K1023" s="21"/>
      <c r="L1023" s="21"/>
      <c r="M1023" s="21"/>
      <c r="N1023" s="21"/>
      <c r="O1023" s="21"/>
      <c r="P1023" s="21"/>
      <c r="Q1023" s="22">
        <f t="shared" si="15"/>
        <v>74</v>
      </c>
    </row>
    <row r="1024" spans="1:17" ht="15.75" customHeight="1">
      <c r="A1024" s="23">
        <v>1022</v>
      </c>
      <c r="B1024" s="24" t="s">
        <v>1993</v>
      </c>
      <c r="C1024" s="24" t="s">
        <v>1363</v>
      </c>
      <c r="D1024" s="24" t="s">
        <v>1994</v>
      </c>
      <c r="E1024" s="25"/>
      <c r="F1024" s="25"/>
      <c r="G1024" s="25"/>
      <c r="H1024" s="25"/>
      <c r="I1024" s="25"/>
      <c r="J1024" s="25"/>
      <c r="K1024" s="25"/>
      <c r="L1024" s="25">
        <v>25</v>
      </c>
      <c r="M1024" s="25"/>
      <c r="N1024" s="25"/>
      <c r="O1024" s="25">
        <v>10</v>
      </c>
      <c r="P1024" s="25">
        <v>20</v>
      </c>
      <c r="Q1024" s="22">
        <f t="shared" si="15"/>
        <v>55</v>
      </c>
    </row>
    <row r="1025" spans="1:17" ht="15.75" customHeight="1">
      <c r="A1025" s="19">
        <v>1023</v>
      </c>
      <c r="B1025" s="20" t="s">
        <v>1995</v>
      </c>
      <c r="C1025" s="20" t="s">
        <v>1363</v>
      </c>
      <c r="D1025" s="20" t="s">
        <v>1996</v>
      </c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>
        <v>25</v>
      </c>
      <c r="Q1025" s="22">
        <f t="shared" si="15"/>
        <v>25</v>
      </c>
    </row>
    <row r="1026" spans="1:17" ht="15.75" customHeight="1">
      <c r="A1026" s="23">
        <v>1024</v>
      </c>
      <c r="B1026" s="24" t="s">
        <v>1997</v>
      </c>
      <c r="C1026" s="24" t="s">
        <v>1363</v>
      </c>
      <c r="D1026" s="24" t="s">
        <v>1998</v>
      </c>
      <c r="E1026" s="25"/>
      <c r="F1026" s="25"/>
      <c r="G1026" s="25"/>
      <c r="H1026" s="25"/>
      <c r="I1026" s="25"/>
      <c r="J1026" s="25"/>
      <c r="K1026" s="25"/>
      <c r="L1026" s="25">
        <v>10</v>
      </c>
      <c r="M1026" s="25"/>
      <c r="N1026" s="25"/>
      <c r="O1026" s="25"/>
      <c r="P1026" s="25"/>
      <c r="Q1026" s="22">
        <f t="shared" si="15"/>
        <v>10</v>
      </c>
    </row>
    <row r="1027" spans="1:17" ht="15.75" customHeight="1">
      <c r="A1027" s="19">
        <v>1025</v>
      </c>
      <c r="B1027" s="20" t="s">
        <v>1999</v>
      </c>
      <c r="C1027" s="20" t="s">
        <v>1363</v>
      </c>
      <c r="D1027" s="20" t="s">
        <v>2000</v>
      </c>
      <c r="E1027" s="21"/>
      <c r="F1027" s="21"/>
      <c r="G1027" s="21"/>
      <c r="H1027" s="21"/>
      <c r="I1027" s="21"/>
      <c r="J1027" s="21"/>
      <c r="K1027" s="21"/>
      <c r="L1027" s="21">
        <v>10</v>
      </c>
      <c r="M1027" s="21"/>
      <c r="N1027" s="21"/>
      <c r="O1027" s="21"/>
      <c r="P1027" s="21"/>
      <c r="Q1027" s="22">
        <f t="shared" ref="Q1027:Q1090" si="16">SUM(E1027:P1027)</f>
        <v>10</v>
      </c>
    </row>
    <row r="1028" spans="1:17" ht="15.75" customHeight="1">
      <c r="A1028" s="23">
        <v>1026</v>
      </c>
      <c r="B1028" s="24" t="s">
        <v>2001</v>
      </c>
      <c r="C1028" s="24" t="s">
        <v>1363</v>
      </c>
      <c r="D1028" s="24" t="s">
        <v>2002</v>
      </c>
      <c r="E1028" s="25"/>
      <c r="F1028" s="25"/>
      <c r="G1028" s="25"/>
      <c r="H1028" s="25"/>
      <c r="I1028" s="25"/>
      <c r="J1028" s="25">
        <v>50</v>
      </c>
      <c r="K1028" s="25"/>
      <c r="L1028" s="25"/>
      <c r="M1028" s="25"/>
      <c r="N1028" s="25"/>
      <c r="O1028" s="25"/>
      <c r="P1028" s="25"/>
      <c r="Q1028" s="22">
        <f t="shared" si="16"/>
        <v>50</v>
      </c>
    </row>
    <row r="1029" spans="1:17" ht="15.75" customHeight="1">
      <c r="A1029" s="19">
        <v>1027</v>
      </c>
      <c r="B1029" s="20" t="s">
        <v>2003</v>
      </c>
      <c r="C1029" s="20" t="s">
        <v>1357</v>
      </c>
      <c r="D1029" s="20" t="s">
        <v>2004</v>
      </c>
      <c r="E1029" s="21"/>
      <c r="F1029" s="21"/>
      <c r="G1029" s="21"/>
      <c r="H1029" s="21"/>
      <c r="I1029" s="21">
        <v>5</v>
      </c>
      <c r="J1029" s="21">
        <v>15</v>
      </c>
      <c r="K1029" s="21">
        <v>22</v>
      </c>
      <c r="L1029" s="21">
        <v>25</v>
      </c>
      <c r="M1029" s="21"/>
      <c r="N1029" s="21">
        <v>20</v>
      </c>
      <c r="O1029" s="21">
        <v>15</v>
      </c>
      <c r="P1029" s="21">
        <v>58</v>
      </c>
      <c r="Q1029" s="22">
        <f t="shared" si="16"/>
        <v>160</v>
      </c>
    </row>
    <row r="1030" spans="1:17" ht="15.75" customHeight="1">
      <c r="A1030" s="23">
        <v>1028</v>
      </c>
      <c r="B1030" s="24" t="s">
        <v>2005</v>
      </c>
      <c r="C1030" s="24" t="s">
        <v>1363</v>
      </c>
      <c r="D1030" s="24" t="s">
        <v>2006</v>
      </c>
      <c r="E1030" s="25"/>
      <c r="F1030" s="25"/>
      <c r="G1030" s="25"/>
      <c r="H1030" s="25"/>
      <c r="I1030" s="25">
        <v>15</v>
      </c>
      <c r="J1030" s="25"/>
      <c r="K1030" s="25"/>
      <c r="L1030" s="25"/>
      <c r="M1030" s="25"/>
      <c r="N1030" s="25"/>
      <c r="O1030" s="25"/>
      <c r="P1030" s="25"/>
      <c r="Q1030" s="22">
        <f t="shared" si="16"/>
        <v>15</v>
      </c>
    </row>
    <row r="1031" spans="1:17" ht="15.75" customHeight="1">
      <c r="A1031" s="19">
        <v>1029</v>
      </c>
      <c r="B1031" s="20" t="s">
        <v>2007</v>
      </c>
      <c r="C1031" s="20" t="s">
        <v>2008</v>
      </c>
      <c r="D1031" s="20" t="s">
        <v>2009</v>
      </c>
      <c r="E1031" s="21"/>
      <c r="F1031" s="21"/>
      <c r="G1031" s="21">
        <v>3</v>
      </c>
      <c r="H1031" s="21"/>
      <c r="I1031" s="21"/>
      <c r="J1031" s="21"/>
      <c r="K1031" s="21"/>
      <c r="L1031" s="21"/>
      <c r="M1031" s="21"/>
      <c r="N1031" s="21"/>
      <c r="O1031" s="21"/>
      <c r="P1031" s="21"/>
      <c r="Q1031" s="22">
        <f t="shared" si="16"/>
        <v>3</v>
      </c>
    </row>
    <row r="1032" spans="1:17" ht="15.75" customHeight="1">
      <c r="A1032" s="23">
        <v>1030</v>
      </c>
      <c r="B1032" s="24" t="s">
        <v>2010</v>
      </c>
      <c r="C1032" s="24" t="s">
        <v>2008</v>
      </c>
      <c r="D1032" s="24" t="s">
        <v>2011</v>
      </c>
      <c r="E1032" s="25"/>
      <c r="F1032" s="25"/>
      <c r="G1032" s="25">
        <v>2</v>
      </c>
      <c r="H1032" s="25"/>
      <c r="I1032" s="25"/>
      <c r="J1032" s="25"/>
      <c r="K1032" s="25"/>
      <c r="L1032" s="25"/>
      <c r="M1032" s="25"/>
      <c r="N1032" s="25"/>
      <c r="O1032" s="25"/>
      <c r="P1032" s="25"/>
      <c r="Q1032" s="22">
        <f t="shared" si="16"/>
        <v>2</v>
      </c>
    </row>
    <row r="1033" spans="1:17" ht="15.75" customHeight="1">
      <c r="A1033" s="19">
        <v>1031</v>
      </c>
      <c r="B1033" s="20" t="s">
        <v>2012</v>
      </c>
      <c r="C1033" s="20" t="s">
        <v>2013</v>
      </c>
      <c r="D1033" s="20" t="s">
        <v>2014</v>
      </c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>
        <v>2</v>
      </c>
      <c r="P1033" s="21"/>
      <c r="Q1033" s="22">
        <f t="shared" si="16"/>
        <v>2</v>
      </c>
    </row>
    <row r="1034" spans="1:17" ht="15.75" customHeight="1">
      <c r="A1034" s="23">
        <v>1032</v>
      </c>
      <c r="B1034" s="24" t="s">
        <v>2015</v>
      </c>
      <c r="C1034" s="24" t="s">
        <v>2013</v>
      </c>
      <c r="D1034" s="24" t="s">
        <v>2016</v>
      </c>
      <c r="E1034" s="25"/>
      <c r="F1034" s="25"/>
      <c r="G1034" s="25"/>
      <c r="H1034" s="25"/>
      <c r="I1034" s="25"/>
      <c r="J1034" s="25"/>
      <c r="K1034" s="25">
        <v>50</v>
      </c>
      <c r="L1034" s="25"/>
      <c r="M1034" s="25"/>
      <c r="N1034" s="25"/>
      <c r="O1034" s="25"/>
      <c r="P1034" s="25"/>
      <c r="Q1034" s="22">
        <f t="shared" si="16"/>
        <v>50</v>
      </c>
    </row>
    <row r="1035" spans="1:17" ht="15.75" customHeight="1">
      <c r="A1035" s="19">
        <v>1033</v>
      </c>
      <c r="B1035" s="20" t="s">
        <v>2017</v>
      </c>
      <c r="C1035" s="20" t="s">
        <v>1460</v>
      </c>
      <c r="D1035" s="20" t="s">
        <v>2018</v>
      </c>
      <c r="E1035" s="21"/>
      <c r="F1035" s="21"/>
      <c r="G1035" s="21"/>
      <c r="H1035" s="21"/>
      <c r="I1035" s="21"/>
      <c r="J1035" s="21"/>
      <c r="K1035" s="21"/>
      <c r="L1035" s="21"/>
      <c r="M1035" s="21">
        <v>30</v>
      </c>
      <c r="N1035" s="21">
        <v>5</v>
      </c>
      <c r="O1035" s="21"/>
      <c r="P1035" s="21"/>
      <c r="Q1035" s="22">
        <f t="shared" si="16"/>
        <v>35</v>
      </c>
    </row>
    <row r="1036" spans="1:17" ht="15.75" customHeight="1">
      <c r="A1036" s="23">
        <v>1034</v>
      </c>
      <c r="B1036" s="24" t="s">
        <v>2019</v>
      </c>
      <c r="C1036" s="24" t="s">
        <v>1460</v>
      </c>
      <c r="D1036" s="24" t="s">
        <v>2020</v>
      </c>
      <c r="E1036" s="25"/>
      <c r="F1036" s="25"/>
      <c r="G1036" s="25"/>
      <c r="H1036" s="25"/>
      <c r="I1036" s="25"/>
      <c r="J1036" s="25">
        <v>40</v>
      </c>
      <c r="K1036" s="25"/>
      <c r="L1036" s="25"/>
      <c r="M1036" s="25"/>
      <c r="N1036" s="25">
        <v>30</v>
      </c>
      <c r="O1036" s="25"/>
      <c r="P1036" s="25"/>
      <c r="Q1036" s="22">
        <f t="shared" si="16"/>
        <v>70</v>
      </c>
    </row>
    <row r="1037" spans="1:17" ht="15.75" customHeight="1">
      <c r="A1037" s="19">
        <v>1035</v>
      </c>
      <c r="B1037" s="20" t="s">
        <v>2021</v>
      </c>
      <c r="C1037" s="20" t="s">
        <v>1460</v>
      </c>
      <c r="D1037" s="20" t="s">
        <v>2022</v>
      </c>
      <c r="E1037" s="21"/>
      <c r="F1037" s="21"/>
      <c r="G1037" s="21"/>
      <c r="H1037" s="21"/>
      <c r="I1037" s="21"/>
      <c r="J1037" s="21"/>
      <c r="K1037" s="21"/>
      <c r="L1037" s="21">
        <v>5</v>
      </c>
      <c r="M1037" s="21"/>
      <c r="N1037" s="21"/>
      <c r="O1037" s="21"/>
      <c r="P1037" s="21"/>
      <c r="Q1037" s="22">
        <f t="shared" si="16"/>
        <v>5</v>
      </c>
    </row>
    <row r="1038" spans="1:17" ht="15.75" customHeight="1">
      <c r="A1038" s="23">
        <v>1036</v>
      </c>
      <c r="B1038" s="24" t="s">
        <v>2023</v>
      </c>
      <c r="C1038" s="24" t="s">
        <v>1460</v>
      </c>
      <c r="D1038" s="24" t="s">
        <v>2024</v>
      </c>
      <c r="E1038" s="25"/>
      <c r="F1038" s="25"/>
      <c r="G1038" s="25">
        <v>10</v>
      </c>
      <c r="H1038" s="25"/>
      <c r="I1038" s="25"/>
      <c r="J1038" s="25"/>
      <c r="K1038" s="25"/>
      <c r="L1038" s="25"/>
      <c r="M1038" s="25"/>
      <c r="N1038" s="25"/>
      <c r="O1038" s="25"/>
      <c r="P1038" s="25"/>
      <c r="Q1038" s="22">
        <f t="shared" si="16"/>
        <v>10</v>
      </c>
    </row>
    <row r="1039" spans="1:17" ht="15.75" customHeight="1">
      <c r="A1039" s="19">
        <v>1037</v>
      </c>
      <c r="B1039" s="20" t="s">
        <v>2025</v>
      </c>
      <c r="C1039" s="20" t="s">
        <v>1460</v>
      </c>
      <c r="D1039" s="20" t="s">
        <v>2026</v>
      </c>
      <c r="E1039" s="21"/>
      <c r="F1039" s="21"/>
      <c r="G1039" s="21">
        <v>10</v>
      </c>
      <c r="H1039" s="21"/>
      <c r="I1039" s="21"/>
      <c r="J1039" s="21"/>
      <c r="K1039" s="21"/>
      <c r="L1039" s="21"/>
      <c r="M1039" s="21"/>
      <c r="N1039" s="21"/>
      <c r="O1039" s="21"/>
      <c r="P1039" s="21"/>
      <c r="Q1039" s="22">
        <f t="shared" si="16"/>
        <v>10</v>
      </c>
    </row>
    <row r="1040" spans="1:17" ht="15.75" customHeight="1">
      <c r="A1040" s="23">
        <v>1038</v>
      </c>
      <c r="B1040" s="24" t="s">
        <v>2027</v>
      </c>
      <c r="C1040" s="24" t="s">
        <v>1463</v>
      </c>
      <c r="D1040" s="24" t="s">
        <v>2028</v>
      </c>
      <c r="E1040" s="25"/>
      <c r="F1040" s="25"/>
      <c r="G1040" s="25"/>
      <c r="H1040" s="25"/>
      <c r="I1040" s="25"/>
      <c r="J1040" s="25"/>
      <c r="K1040" s="25"/>
      <c r="L1040" s="25"/>
      <c r="M1040" s="25"/>
      <c r="N1040" s="25">
        <v>20</v>
      </c>
      <c r="O1040" s="25"/>
      <c r="P1040" s="25"/>
      <c r="Q1040" s="22">
        <f t="shared" si="16"/>
        <v>20</v>
      </c>
    </row>
    <row r="1041" spans="1:17" ht="15.75" customHeight="1">
      <c r="A1041" s="19">
        <v>1039</v>
      </c>
      <c r="B1041" s="20" t="s">
        <v>2029</v>
      </c>
      <c r="C1041" s="20" t="s">
        <v>1463</v>
      </c>
      <c r="D1041" s="20" t="s">
        <v>2030</v>
      </c>
      <c r="E1041" s="21"/>
      <c r="F1041" s="21"/>
      <c r="G1041" s="21"/>
      <c r="H1041" s="21"/>
      <c r="I1041" s="21"/>
      <c r="J1041" s="21"/>
      <c r="K1041" s="21">
        <v>20</v>
      </c>
      <c r="L1041" s="21"/>
      <c r="M1041" s="21"/>
      <c r="N1041" s="21"/>
      <c r="O1041" s="21"/>
      <c r="P1041" s="21"/>
      <c r="Q1041" s="22">
        <f t="shared" si="16"/>
        <v>20</v>
      </c>
    </row>
    <row r="1042" spans="1:17" ht="15.75" customHeight="1">
      <c r="A1042" s="23">
        <v>1040</v>
      </c>
      <c r="B1042" s="24" t="s">
        <v>2031</v>
      </c>
      <c r="C1042" s="24" t="s">
        <v>1463</v>
      </c>
      <c r="D1042" s="24" t="s">
        <v>2032</v>
      </c>
      <c r="E1042" s="25"/>
      <c r="F1042" s="25"/>
      <c r="G1042" s="25"/>
      <c r="H1042" s="25"/>
      <c r="I1042" s="25"/>
      <c r="J1042" s="25"/>
      <c r="K1042" s="25"/>
      <c r="L1042" s="25">
        <v>3</v>
      </c>
      <c r="M1042" s="25"/>
      <c r="N1042" s="25"/>
      <c r="O1042" s="25"/>
      <c r="P1042" s="25"/>
      <c r="Q1042" s="22">
        <f t="shared" si="16"/>
        <v>3</v>
      </c>
    </row>
    <row r="1043" spans="1:17" ht="15.75" customHeight="1">
      <c r="A1043" s="19">
        <v>1041</v>
      </c>
      <c r="B1043" s="20" t="s">
        <v>2033</v>
      </c>
      <c r="C1043" s="20" t="s">
        <v>1463</v>
      </c>
      <c r="D1043" s="20" t="s">
        <v>2034</v>
      </c>
      <c r="E1043" s="21"/>
      <c r="F1043" s="21"/>
      <c r="G1043" s="21"/>
      <c r="H1043" s="21"/>
      <c r="I1043" s="21"/>
      <c r="J1043" s="21"/>
      <c r="K1043" s="21">
        <v>20</v>
      </c>
      <c r="L1043" s="21"/>
      <c r="M1043" s="21"/>
      <c r="N1043" s="21"/>
      <c r="O1043" s="21"/>
      <c r="P1043" s="21"/>
      <c r="Q1043" s="22">
        <f t="shared" si="16"/>
        <v>20</v>
      </c>
    </row>
    <row r="1044" spans="1:17" ht="15.75" customHeight="1">
      <c r="A1044" s="23">
        <v>1042</v>
      </c>
      <c r="B1044" s="24" t="s">
        <v>2035</v>
      </c>
      <c r="C1044" s="24" t="s">
        <v>1466</v>
      </c>
      <c r="D1044" s="24" t="s">
        <v>2036</v>
      </c>
      <c r="E1044" s="25"/>
      <c r="F1044" s="25"/>
      <c r="G1044" s="25"/>
      <c r="H1044" s="25"/>
      <c r="I1044" s="25"/>
      <c r="J1044" s="25"/>
      <c r="K1044" s="25"/>
      <c r="L1044" s="25">
        <v>30</v>
      </c>
      <c r="M1044" s="25"/>
      <c r="N1044" s="25"/>
      <c r="O1044" s="25"/>
      <c r="P1044" s="25"/>
      <c r="Q1044" s="22">
        <f t="shared" si="16"/>
        <v>30</v>
      </c>
    </row>
    <row r="1045" spans="1:17" ht="15.75" customHeight="1">
      <c r="A1045" s="19">
        <v>1043</v>
      </c>
      <c r="B1045" s="20" t="s">
        <v>2037</v>
      </c>
      <c r="C1045" s="20" t="s">
        <v>2038</v>
      </c>
      <c r="D1045" s="20" t="s">
        <v>2039</v>
      </c>
      <c r="E1045" s="21"/>
      <c r="F1045" s="21"/>
      <c r="G1045" s="21"/>
      <c r="H1045" s="21"/>
      <c r="I1045" s="21">
        <v>5</v>
      </c>
      <c r="J1045" s="21"/>
      <c r="K1045" s="21"/>
      <c r="L1045" s="21"/>
      <c r="M1045" s="21"/>
      <c r="N1045" s="21"/>
      <c r="O1045" s="21"/>
      <c r="P1045" s="21"/>
      <c r="Q1045" s="22">
        <f t="shared" si="16"/>
        <v>5</v>
      </c>
    </row>
    <row r="1046" spans="1:17" ht="15.75" customHeight="1">
      <c r="A1046" s="23">
        <v>1044</v>
      </c>
      <c r="B1046" s="24" t="s">
        <v>2040</v>
      </c>
      <c r="C1046" s="24" t="s">
        <v>2041</v>
      </c>
      <c r="D1046" s="24" t="s">
        <v>2042</v>
      </c>
      <c r="E1046" s="25"/>
      <c r="F1046" s="25"/>
      <c r="G1046" s="25">
        <v>16</v>
      </c>
      <c r="H1046" s="25"/>
      <c r="I1046" s="25"/>
      <c r="J1046" s="25"/>
      <c r="K1046" s="25"/>
      <c r="L1046" s="25"/>
      <c r="M1046" s="25"/>
      <c r="N1046" s="25"/>
      <c r="O1046" s="25"/>
      <c r="P1046" s="25"/>
      <c r="Q1046" s="22">
        <f t="shared" si="16"/>
        <v>16</v>
      </c>
    </row>
    <row r="1047" spans="1:17" ht="15.75" customHeight="1">
      <c r="A1047" s="19">
        <v>1045</v>
      </c>
      <c r="B1047" s="20" t="s">
        <v>2043</v>
      </c>
      <c r="C1047" s="20" t="s">
        <v>2041</v>
      </c>
      <c r="D1047" s="20" t="s">
        <v>2044</v>
      </c>
      <c r="E1047" s="21"/>
      <c r="F1047" s="21"/>
      <c r="G1047" s="21">
        <v>45</v>
      </c>
      <c r="H1047" s="21"/>
      <c r="I1047" s="21"/>
      <c r="J1047" s="21"/>
      <c r="K1047" s="21"/>
      <c r="L1047" s="21"/>
      <c r="M1047" s="21"/>
      <c r="N1047" s="21"/>
      <c r="O1047" s="21"/>
      <c r="P1047" s="21"/>
      <c r="Q1047" s="22">
        <f t="shared" si="16"/>
        <v>45</v>
      </c>
    </row>
    <row r="1048" spans="1:17" ht="15.75" customHeight="1">
      <c r="A1048" s="23">
        <v>1046</v>
      </c>
      <c r="B1048" s="24" t="s">
        <v>2045</v>
      </c>
      <c r="C1048" s="24" t="s">
        <v>2041</v>
      </c>
      <c r="D1048" s="24" t="s">
        <v>2046</v>
      </c>
      <c r="E1048" s="25"/>
      <c r="F1048" s="25"/>
      <c r="G1048" s="25">
        <v>2</v>
      </c>
      <c r="H1048" s="25"/>
      <c r="I1048" s="25"/>
      <c r="J1048" s="25"/>
      <c r="K1048" s="25"/>
      <c r="L1048" s="25"/>
      <c r="M1048" s="25"/>
      <c r="N1048" s="25"/>
      <c r="O1048" s="25"/>
      <c r="P1048" s="25"/>
      <c r="Q1048" s="22">
        <f t="shared" si="16"/>
        <v>2</v>
      </c>
    </row>
    <row r="1049" spans="1:17" ht="15.75" customHeight="1">
      <c r="A1049" s="19">
        <v>1047</v>
      </c>
      <c r="B1049" s="20" t="s">
        <v>2047</v>
      </c>
      <c r="C1049" s="20" t="s">
        <v>2041</v>
      </c>
      <c r="D1049" s="20" t="s">
        <v>2048</v>
      </c>
      <c r="E1049" s="21"/>
      <c r="F1049" s="21"/>
      <c r="G1049" s="21">
        <v>7</v>
      </c>
      <c r="H1049" s="21"/>
      <c r="I1049" s="21"/>
      <c r="J1049" s="21"/>
      <c r="K1049" s="21"/>
      <c r="L1049" s="21"/>
      <c r="M1049" s="21"/>
      <c r="N1049" s="21"/>
      <c r="O1049" s="21"/>
      <c r="P1049" s="21"/>
      <c r="Q1049" s="22">
        <f t="shared" si="16"/>
        <v>7</v>
      </c>
    </row>
    <row r="1050" spans="1:17" ht="15.75" customHeight="1">
      <c r="A1050" s="23">
        <v>1048</v>
      </c>
      <c r="B1050" s="24" t="s">
        <v>2049</v>
      </c>
      <c r="C1050" s="24" t="s">
        <v>1481</v>
      </c>
      <c r="D1050" s="24" t="s">
        <v>2050</v>
      </c>
      <c r="E1050" s="25"/>
      <c r="F1050" s="25"/>
      <c r="G1050" s="25"/>
      <c r="H1050" s="25"/>
      <c r="I1050" s="25">
        <v>10</v>
      </c>
      <c r="J1050" s="25"/>
      <c r="K1050" s="25"/>
      <c r="L1050" s="25"/>
      <c r="M1050" s="25"/>
      <c r="N1050" s="25"/>
      <c r="O1050" s="25"/>
      <c r="P1050" s="25"/>
      <c r="Q1050" s="22">
        <f t="shared" si="16"/>
        <v>10</v>
      </c>
    </row>
    <row r="1051" spans="1:17" ht="15.75" customHeight="1">
      <c r="A1051" s="19">
        <v>1049</v>
      </c>
      <c r="B1051" s="20" t="s">
        <v>2051</v>
      </c>
      <c r="C1051" s="20" t="s">
        <v>1481</v>
      </c>
      <c r="D1051" s="20" t="s">
        <v>2052</v>
      </c>
      <c r="E1051" s="21">
        <v>25</v>
      </c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2">
        <f t="shared" si="16"/>
        <v>25</v>
      </c>
    </row>
    <row r="1052" spans="1:17" ht="15.75" customHeight="1">
      <c r="A1052" s="23">
        <v>1050</v>
      </c>
      <c r="B1052" s="24" t="s">
        <v>2053</v>
      </c>
      <c r="C1052" s="24" t="s">
        <v>1481</v>
      </c>
      <c r="D1052" s="24" t="s">
        <v>2054</v>
      </c>
      <c r="E1052" s="25"/>
      <c r="F1052" s="25"/>
      <c r="G1052" s="25"/>
      <c r="H1052" s="25"/>
      <c r="I1052" s="25"/>
      <c r="J1052" s="25"/>
      <c r="K1052" s="25"/>
      <c r="L1052" s="25"/>
      <c r="M1052" s="25"/>
      <c r="N1052" s="25">
        <v>200</v>
      </c>
      <c r="O1052" s="25"/>
      <c r="P1052" s="25"/>
      <c r="Q1052" s="22">
        <f t="shared" si="16"/>
        <v>200</v>
      </c>
    </row>
    <row r="1053" spans="1:17" ht="15.75" customHeight="1">
      <c r="A1053" s="19">
        <v>1051</v>
      </c>
      <c r="B1053" s="20" t="s">
        <v>2055</v>
      </c>
      <c r="C1053" s="20" t="s">
        <v>1481</v>
      </c>
      <c r="D1053" s="20" t="s">
        <v>2056</v>
      </c>
      <c r="E1053" s="21"/>
      <c r="F1053" s="21"/>
      <c r="G1053" s="21">
        <v>6</v>
      </c>
      <c r="H1053" s="21"/>
      <c r="I1053" s="21">
        <v>10</v>
      </c>
      <c r="J1053" s="21"/>
      <c r="K1053" s="21"/>
      <c r="L1053" s="21"/>
      <c r="M1053" s="21"/>
      <c r="N1053" s="21"/>
      <c r="O1053" s="21"/>
      <c r="P1053" s="21"/>
      <c r="Q1053" s="22">
        <f t="shared" si="16"/>
        <v>16</v>
      </c>
    </row>
    <row r="1054" spans="1:17" ht="15.75" customHeight="1">
      <c r="A1054" s="23">
        <v>1052</v>
      </c>
      <c r="B1054" s="24" t="s">
        <v>2057</v>
      </c>
      <c r="C1054" s="24" t="s">
        <v>1489</v>
      </c>
      <c r="D1054" s="24" t="s">
        <v>2058</v>
      </c>
      <c r="E1054" s="25"/>
      <c r="F1054" s="25"/>
      <c r="G1054" s="25"/>
      <c r="H1054" s="25"/>
      <c r="I1054" s="25"/>
      <c r="J1054" s="25"/>
      <c r="K1054" s="25"/>
      <c r="L1054" s="25"/>
      <c r="M1054" s="25">
        <v>15</v>
      </c>
      <c r="N1054" s="25">
        <v>10</v>
      </c>
      <c r="O1054" s="25"/>
      <c r="P1054" s="25"/>
      <c r="Q1054" s="22">
        <f t="shared" si="16"/>
        <v>25</v>
      </c>
    </row>
    <row r="1055" spans="1:17" ht="15.75" customHeight="1">
      <c r="A1055" s="19">
        <v>1053</v>
      </c>
      <c r="B1055" s="20" t="s">
        <v>2059</v>
      </c>
      <c r="C1055" s="20" t="s">
        <v>1491</v>
      </c>
      <c r="D1055" s="20" t="s">
        <v>2060</v>
      </c>
      <c r="E1055" s="21"/>
      <c r="F1055" s="21"/>
      <c r="G1055" s="21"/>
      <c r="H1055" s="21"/>
      <c r="I1055" s="21">
        <v>10</v>
      </c>
      <c r="J1055" s="21"/>
      <c r="K1055" s="21"/>
      <c r="L1055" s="21"/>
      <c r="M1055" s="21"/>
      <c r="N1055" s="21"/>
      <c r="O1055" s="21"/>
      <c r="P1055" s="21"/>
      <c r="Q1055" s="22">
        <f t="shared" si="16"/>
        <v>10</v>
      </c>
    </row>
    <row r="1056" spans="1:17" ht="15.75" customHeight="1">
      <c r="A1056" s="23">
        <v>1054</v>
      </c>
      <c r="B1056" s="24" t="s">
        <v>2061</v>
      </c>
      <c r="C1056" s="24" t="s">
        <v>1493</v>
      </c>
      <c r="D1056" s="24" t="s">
        <v>2062</v>
      </c>
      <c r="E1056" s="25"/>
      <c r="F1056" s="25">
        <v>10</v>
      </c>
      <c r="G1056" s="25"/>
      <c r="H1056" s="25"/>
      <c r="I1056" s="25"/>
      <c r="J1056" s="25"/>
      <c r="K1056" s="25"/>
      <c r="L1056" s="25"/>
      <c r="M1056" s="25"/>
      <c r="N1056" s="25"/>
      <c r="O1056" s="25"/>
      <c r="P1056" s="25"/>
      <c r="Q1056" s="22">
        <f t="shared" si="16"/>
        <v>10</v>
      </c>
    </row>
    <row r="1057" spans="1:17" ht="15.75" customHeight="1">
      <c r="A1057" s="19">
        <v>1055</v>
      </c>
      <c r="B1057" s="20" t="s">
        <v>2063</v>
      </c>
      <c r="C1057" s="20" t="s">
        <v>1493</v>
      </c>
      <c r="D1057" s="20" t="s">
        <v>2064</v>
      </c>
      <c r="E1057" s="21"/>
      <c r="F1057" s="21"/>
      <c r="G1057" s="21"/>
      <c r="H1057" s="21"/>
      <c r="I1057" s="21">
        <v>40</v>
      </c>
      <c r="J1057" s="21"/>
      <c r="K1057" s="21"/>
      <c r="L1057" s="21"/>
      <c r="M1057" s="21"/>
      <c r="N1057" s="21">
        <v>10</v>
      </c>
      <c r="O1057" s="21"/>
      <c r="P1057" s="21"/>
      <c r="Q1057" s="22">
        <f t="shared" si="16"/>
        <v>50</v>
      </c>
    </row>
    <row r="1058" spans="1:17" ht="15.75" customHeight="1">
      <c r="A1058" s="23">
        <v>1056</v>
      </c>
      <c r="B1058" s="24" t="s">
        <v>2065</v>
      </c>
      <c r="C1058" s="24" t="s">
        <v>1493</v>
      </c>
      <c r="D1058" s="24" t="s">
        <v>2066</v>
      </c>
      <c r="E1058" s="25"/>
      <c r="F1058" s="25"/>
      <c r="G1058" s="25"/>
      <c r="H1058" s="25"/>
      <c r="I1058" s="25">
        <v>30</v>
      </c>
      <c r="J1058" s="25"/>
      <c r="K1058" s="25"/>
      <c r="L1058" s="25"/>
      <c r="M1058" s="25"/>
      <c r="N1058" s="25">
        <v>800</v>
      </c>
      <c r="O1058" s="25"/>
      <c r="P1058" s="25"/>
      <c r="Q1058" s="22">
        <f t="shared" si="16"/>
        <v>830</v>
      </c>
    </row>
    <row r="1059" spans="1:17" ht="15.75" customHeight="1">
      <c r="A1059" s="19">
        <v>1057</v>
      </c>
      <c r="B1059" s="20" t="s">
        <v>2067</v>
      </c>
      <c r="C1059" s="20" t="s">
        <v>2068</v>
      </c>
      <c r="D1059" s="20" t="s">
        <v>2069</v>
      </c>
      <c r="E1059" s="21"/>
      <c r="F1059" s="21"/>
      <c r="G1059" s="21"/>
      <c r="H1059" s="21"/>
      <c r="I1059" s="21"/>
      <c r="J1059" s="21">
        <v>40</v>
      </c>
      <c r="K1059" s="21"/>
      <c r="L1059" s="21"/>
      <c r="M1059" s="21"/>
      <c r="N1059" s="21"/>
      <c r="O1059" s="21"/>
      <c r="P1059" s="21"/>
      <c r="Q1059" s="22">
        <f t="shared" si="16"/>
        <v>40</v>
      </c>
    </row>
    <row r="1060" spans="1:17" ht="15.75" customHeight="1">
      <c r="A1060" s="23">
        <v>1058</v>
      </c>
      <c r="B1060" s="24" t="s">
        <v>2070</v>
      </c>
      <c r="C1060" s="24" t="s">
        <v>1504</v>
      </c>
      <c r="D1060" s="24" t="s">
        <v>2071</v>
      </c>
      <c r="E1060" s="25"/>
      <c r="F1060" s="25"/>
      <c r="G1060" s="25"/>
      <c r="H1060" s="25">
        <v>12</v>
      </c>
      <c r="I1060" s="25"/>
      <c r="J1060" s="25">
        <v>2</v>
      </c>
      <c r="K1060" s="25"/>
      <c r="L1060" s="25"/>
      <c r="M1060" s="25"/>
      <c r="N1060" s="25"/>
      <c r="O1060" s="25"/>
      <c r="P1060" s="25"/>
      <c r="Q1060" s="22">
        <f t="shared" si="16"/>
        <v>14</v>
      </c>
    </row>
    <row r="1061" spans="1:17" ht="15.75" customHeight="1">
      <c r="A1061" s="19">
        <v>1059</v>
      </c>
      <c r="B1061" s="20" t="s">
        <v>2072</v>
      </c>
      <c r="C1061" s="20" t="s">
        <v>2068</v>
      </c>
      <c r="D1061" s="20" t="s">
        <v>2073</v>
      </c>
      <c r="E1061" s="21"/>
      <c r="F1061" s="21"/>
      <c r="G1061" s="21"/>
      <c r="H1061" s="21"/>
      <c r="I1061" s="21"/>
      <c r="J1061" s="21"/>
      <c r="K1061" s="21"/>
      <c r="L1061" s="21"/>
      <c r="M1061" s="21">
        <v>30</v>
      </c>
      <c r="N1061" s="21"/>
      <c r="O1061" s="21"/>
      <c r="P1061" s="21"/>
      <c r="Q1061" s="22">
        <f t="shared" si="16"/>
        <v>30</v>
      </c>
    </row>
    <row r="1062" spans="1:17" ht="15.75" customHeight="1">
      <c r="A1062" s="23">
        <v>1060</v>
      </c>
      <c r="B1062" s="24" t="s">
        <v>2074</v>
      </c>
      <c r="C1062" s="24" t="s">
        <v>1460</v>
      </c>
      <c r="D1062" s="24" t="s">
        <v>324</v>
      </c>
      <c r="E1062" s="25">
        <v>50</v>
      </c>
      <c r="F1062" s="25"/>
      <c r="G1062" s="25"/>
      <c r="H1062" s="25"/>
      <c r="I1062" s="25"/>
      <c r="J1062" s="25"/>
      <c r="K1062" s="25"/>
      <c r="L1062" s="25"/>
      <c r="M1062" s="25"/>
      <c r="N1062" s="25"/>
      <c r="O1062" s="25"/>
      <c r="P1062" s="25"/>
      <c r="Q1062" s="22">
        <f t="shared" si="16"/>
        <v>50</v>
      </c>
    </row>
    <row r="1063" spans="1:17" ht="15.75" customHeight="1">
      <c r="A1063" s="19">
        <v>1061</v>
      </c>
      <c r="B1063" s="20" t="s">
        <v>2075</v>
      </c>
      <c r="C1063" s="20" t="s">
        <v>2068</v>
      </c>
      <c r="D1063" s="20" t="s">
        <v>2076</v>
      </c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>
        <v>15</v>
      </c>
      <c r="P1063" s="21"/>
      <c r="Q1063" s="22">
        <f t="shared" si="16"/>
        <v>15</v>
      </c>
    </row>
    <row r="1064" spans="1:17" ht="15.75" customHeight="1">
      <c r="A1064" s="23">
        <v>1062</v>
      </c>
      <c r="B1064" s="24" t="s">
        <v>2077</v>
      </c>
      <c r="C1064" s="24" t="s">
        <v>2008</v>
      </c>
      <c r="D1064" s="24" t="s">
        <v>2078</v>
      </c>
      <c r="E1064" s="25"/>
      <c r="F1064" s="25">
        <v>50</v>
      </c>
      <c r="G1064" s="25">
        <v>29</v>
      </c>
      <c r="H1064" s="25"/>
      <c r="I1064" s="25"/>
      <c r="J1064" s="25"/>
      <c r="K1064" s="25"/>
      <c r="L1064" s="25">
        <v>12</v>
      </c>
      <c r="M1064" s="25"/>
      <c r="N1064" s="25"/>
      <c r="O1064" s="25"/>
      <c r="P1064" s="25"/>
      <c r="Q1064" s="22">
        <f t="shared" si="16"/>
        <v>91</v>
      </c>
    </row>
    <row r="1065" spans="1:17" ht="15.75" customHeight="1">
      <c r="A1065" s="19">
        <v>1063</v>
      </c>
      <c r="B1065" s="20" t="s">
        <v>2079</v>
      </c>
      <c r="C1065" s="20" t="s">
        <v>2008</v>
      </c>
      <c r="D1065" s="20" t="s">
        <v>2080</v>
      </c>
      <c r="E1065" s="21"/>
      <c r="F1065" s="21">
        <v>30</v>
      </c>
      <c r="G1065" s="21"/>
      <c r="H1065" s="21"/>
      <c r="I1065" s="21"/>
      <c r="J1065" s="21"/>
      <c r="K1065" s="21"/>
      <c r="L1065" s="21">
        <v>15</v>
      </c>
      <c r="M1065" s="21"/>
      <c r="N1065" s="21"/>
      <c r="O1065" s="21"/>
      <c r="P1065" s="21"/>
      <c r="Q1065" s="22">
        <f t="shared" si="16"/>
        <v>45</v>
      </c>
    </row>
    <row r="1066" spans="1:17" ht="15.75" customHeight="1">
      <c r="A1066" s="23">
        <v>1064</v>
      </c>
      <c r="B1066" s="24" t="s">
        <v>2081</v>
      </c>
      <c r="C1066" s="24" t="s">
        <v>1523</v>
      </c>
      <c r="D1066" s="24" t="s">
        <v>1949</v>
      </c>
      <c r="E1066" s="25"/>
      <c r="F1066" s="25"/>
      <c r="G1066" s="25"/>
      <c r="H1066" s="25"/>
      <c r="I1066" s="25"/>
      <c r="J1066" s="25"/>
      <c r="K1066" s="25">
        <v>1</v>
      </c>
      <c r="L1066" s="25"/>
      <c r="M1066" s="25"/>
      <c r="N1066" s="25"/>
      <c r="O1066" s="25"/>
      <c r="P1066" s="25"/>
      <c r="Q1066" s="22">
        <f t="shared" si="16"/>
        <v>1</v>
      </c>
    </row>
    <row r="1067" spans="1:17" ht="15.75" customHeight="1">
      <c r="A1067" s="19">
        <v>1065</v>
      </c>
      <c r="B1067" s="20" t="s">
        <v>2082</v>
      </c>
      <c r="C1067" s="20" t="s">
        <v>1460</v>
      </c>
      <c r="D1067" s="20" t="s">
        <v>2083</v>
      </c>
      <c r="E1067" s="21">
        <v>30</v>
      </c>
      <c r="F1067" s="21">
        <v>100</v>
      </c>
      <c r="G1067" s="21">
        <v>9</v>
      </c>
      <c r="H1067" s="21"/>
      <c r="I1067" s="21">
        <v>25</v>
      </c>
      <c r="J1067" s="21"/>
      <c r="K1067" s="21">
        <v>50</v>
      </c>
      <c r="L1067" s="21">
        <v>30</v>
      </c>
      <c r="M1067" s="21">
        <v>20</v>
      </c>
      <c r="N1067" s="21">
        <v>10</v>
      </c>
      <c r="O1067" s="21"/>
      <c r="P1067" s="21"/>
      <c r="Q1067" s="22">
        <f t="shared" si="16"/>
        <v>274</v>
      </c>
    </row>
    <row r="1068" spans="1:17" ht="15.75" customHeight="1">
      <c r="A1068" s="23">
        <v>1066</v>
      </c>
      <c r="B1068" s="24" t="s">
        <v>2084</v>
      </c>
      <c r="C1068" s="24" t="s">
        <v>1460</v>
      </c>
      <c r="D1068" s="24" t="s">
        <v>1668</v>
      </c>
      <c r="E1068" s="25"/>
      <c r="F1068" s="25"/>
      <c r="G1068" s="25">
        <v>5</v>
      </c>
      <c r="H1068" s="25"/>
      <c r="I1068" s="25"/>
      <c r="J1068" s="25"/>
      <c r="K1068" s="25"/>
      <c r="L1068" s="25"/>
      <c r="M1068" s="25"/>
      <c r="N1068" s="25"/>
      <c r="O1068" s="25"/>
      <c r="P1068" s="25"/>
      <c r="Q1068" s="22">
        <f t="shared" si="16"/>
        <v>5</v>
      </c>
    </row>
    <row r="1069" spans="1:17" ht="15.75" customHeight="1">
      <c r="A1069" s="19">
        <v>1067</v>
      </c>
      <c r="B1069" s="20" t="s">
        <v>2085</v>
      </c>
      <c r="C1069" s="20" t="s">
        <v>1460</v>
      </c>
      <c r="D1069" s="20" t="s">
        <v>1700</v>
      </c>
      <c r="E1069" s="21"/>
      <c r="F1069" s="21"/>
      <c r="G1069" s="21">
        <v>10</v>
      </c>
      <c r="H1069" s="21"/>
      <c r="I1069" s="21"/>
      <c r="J1069" s="21"/>
      <c r="K1069" s="21"/>
      <c r="L1069" s="21"/>
      <c r="M1069" s="21"/>
      <c r="N1069" s="21"/>
      <c r="O1069" s="21"/>
      <c r="P1069" s="21"/>
      <c r="Q1069" s="22">
        <f t="shared" si="16"/>
        <v>10</v>
      </c>
    </row>
    <row r="1070" spans="1:17" ht="15.75" customHeight="1">
      <c r="A1070" s="23">
        <v>1068</v>
      </c>
      <c r="B1070" s="24" t="s">
        <v>2086</v>
      </c>
      <c r="C1070" s="24" t="s">
        <v>1460</v>
      </c>
      <c r="D1070" s="24" t="s">
        <v>2087</v>
      </c>
      <c r="E1070" s="25">
        <v>20</v>
      </c>
      <c r="F1070" s="25">
        <v>150</v>
      </c>
      <c r="G1070" s="25">
        <v>140</v>
      </c>
      <c r="H1070" s="25">
        <v>11</v>
      </c>
      <c r="I1070" s="25">
        <v>70</v>
      </c>
      <c r="J1070" s="25">
        <v>60</v>
      </c>
      <c r="K1070" s="25"/>
      <c r="L1070" s="25">
        <v>40</v>
      </c>
      <c r="M1070" s="25">
        <v>15</v>
      </c>
      <c r="N1070" s="25">
        <v>50</v>
      </c>
      <c r="O1070" s="25"/>
      <c r="P1070" s="25"/>
      <c r="Q1070" s="22">
        <f t="shared" si="16"/>
        <v>556</v>
      </c>
    </row>
    <row r="1071" spans="1:17" ht="15.75" customHeight="1">
      <c r="A1071" s="19">
        <v>1069</v>
      </c>
      <c r="B1071" s="20" t="s">
        <v>2088</v>
      </c>
      <c r="C1071" s="20" t="s">
        <v>1460</v>
      </c>
      <c r="D1071" s="20" t="s">
        <v>2089</v>
      </c>
      <c r="E1071" s="21">
        <v>40</v>
      </c>
      <c r="F1071" s="21">
        <v>20</v>
      </c>
      <c r="G1071" s="21"/>
      <c r="H1071" s="21">
        <v>40</v>
      </c>
      <c r="I1071" s="21">
        <v>40</v>
      </c>
      <c r="J1071" s="21">
        <v>100</v>
      </c>
      <c r="K1071" s="21"/>
      <c r="L1071" s="21"/>
      <c r="M1071" s="21">
        <v>20</v>
      </c>
      <c r="N1071" s="21">
        <v>15</v>
      </c>
      <c r="O1071" s="21">
        <v>5</v>
      </c>
      <c r="P1071" s="21">
        <v>50</v>
      </c>
      <c r="Q1071" s="22">
        <f t="shared" si="16"/>
        <v>330</v>
      </c>
    </row>
    <row r="1072" spans="1:17" ht="15.75" customHeight="1">
      <c r="A1072" s="23">
        <v>1070</v>
      </c>
      <c r="B1072" s="24" t="s">
        <v>2090</v>
      </c>
      <c r="C1072" s="24" t="s">
        <v>1460</v>
      </c>
      <c r="D1072" s="24" t="s">
        <v>2091</v>
      </c>
      <c r="E1072" s="25"/>
      <c r="F1072" s="25"/>
      <c r="G1072" s="25">
        <v>10</v>
      </c>
      <c r="H1072" s="25"/>
      <c r="I1072" s="25">
        <v>40</v>
      </c>
      <c r="J1072" s="25"/>
      <c r="K1072" s="25"/>
      <c r="L1072" s="25"/>
      <c r="M1072" s="25"/>
      <c r="N1072" s="25">
        <v>1</v>
      </c>
      <c r="O1072" s="25">
        <v>10</v>
      </c>
      <c r="P1072" s="25"/>
      <c r="Q1072" s="22">
        <f t="shared" si="16"/>
        <v>61</v>
      </c>
    </row>
    <row r="1073" spans="1:17" ht="15.75" customHeight="1">
      <c r="A1073" s="19">
        <v>1071</v>
      </c>
      <c r="B1073" s="20" t="s">
        <v>2092</v>
      </c>
      <c r="C1073" s="20" t="s">
        <v>1460</v>
      </c>
      <c r="D1073" s="20" t="s">
        <v>2093</v>
      </c>
      <c r="E1073" s="21">
        <v>50</v>
      </c>
      <c r="F1073" s="21"/>
      <c r="G1073" s="21"/>
      <c r="H1073" s="21"/>
      <c r="I1073" s="21"/>
      <c r="J1073" s="21"/>
      <c r="K1073" s="21"/>
      <c r="L1073" s="21">
        <v>2</v>
      </c>
      <c r="M1073" s="21"/>
      <c r="N1073" s="21"/>
      <c r="O1073" s="21"/>
      <c r="P1073" s="21"/>
      <c r="Q1073" s="22">
        <f t="shared" si="16"/>
        <v>52</v>
      </c>
    </row>
    <row r="1074" spans="1:17" ht="15.75" customHeight="1">
      <c r="A1074" s="23">
        <v>1072</v>
      </c>
      <c r="B1074" s="24" t="s">
        <v>2094</v>
      </c>
      <c r="C1074" s="24" t="s">
        <v>1460</v>
      </c>
      <c r="D1074" s="24" t="s">
        <v>2095</v>
      </c>
      <c r="E1074" s="25"/>
      <c r="F1074" s="25"/>
      <c r="G1074" s="25">
        <v>5</v>
      </c>
      <c r="H1074" s="25"/>
      <c r="I1074" s="25"/>
      <c r="J1074" s="25"/>
      <c r="K1074" s="25"/>
      <c r="L1074" s="25"/>
      <c r="M1074" s="25"/>
      <c r="N1074" s="25"/>
      <c r="O1074" s="25"/>
      <c r="P1074" s="25">
        <v>30</v>
      </c>
      <c r="Q1074" s="22">
        <f t="shared" si="16"/>
        <v>35</v>
      </c>
    </row>
    <row r="1075" spans="1:17" ht="15.75" customHeight="1">
      <c r="A1075" s="19">
        <v>1073</v>
      </c>
      <c r="B1075" s="20" t="s">
        <v>2096</v>
      </c>
      <c r="C1075" s="20" t="s">
        <v>1463</v>
      </c>
      <c r="D1075" s="20" t="s">
        <v>2097</v>
      </c>
      <c r="E1075" s="21"/>
      <c r="F1075" s="21"/>
      <c r="G1075" s="21">
        <v>50</v>
      </c>
      <c r="H1075" s="21"/>
      <c r="I1075" s="21"/>
      <c r="J1075" s="21">
        <v>20</v>
      </c>
      <c r="K1075" s="21">
        <v>20</v>
      </c>
      <c r="L1075" s="21"/>
      <c r="M1075" s="21"/>
      <c r="N1075" s="21"/>
      <c r="O1075" s="21">
        <v>50</v>
      </c>
      <c r="P1075" s="21"/>
      <c r="Q1075" s="22">
        <f t="shared" si="16"/>
        <v>140</v>
      </c>
    </row>
    <row r="1076" spans="1:17" ht="15.75" customHeight="1">
      <c r="A1076" s="23">
        <v>1074</v>
      </c>
      <c r="B1076" s="24" t="s">
        <v>2098</v>
      </c>
      <c r="C1076" s="24" t="s">
        <v>1463</v>
      </c>
      <c r="D1076" s="24" t="s">
        <v>2099</v>
      </c>
      <c r="E1076" s="25"/>
      <c r="F1076" s="25"/>
      <c r="G1076" s="25">
        <v>50</v>
      </c>
      <c r="H1076" s="25"/>
      <c r="I1076" s="25">
        <v>80</v>
      </c>
      <c r="J1076" s="25"/>
      <c r="K1076" s="25">
        <v>150</v>
      </c>
      <c r="L1076" s="25">
        <v>19</v>
      </c>
      <c r="M1076" s="25"/>
      <c r="N1076" s="25"/>
      <c r="O1076" s="25">
        <v>4</v>
      </c>
      <c r="P1076" s="25"/>
      <c r="Q1076" s="22">
        <f t="shared" si="16"/>
        <v>303</v>
      </c>
    </row>
    <row r="1077" spans="1:17" ht="15.75" customHeight="1">
      <c r="A1077" s="19">
        <v>1075</v>
      </c>
      <c r="B1077" s="20" t="s">
        <v>2100</v>
      </c>
      <c r="C1077" s="20" t="s">
        <v>1463</v>
      </c>
      <c r="D1077" s="20" t="s">
        <v>2101</v>
      </c>
      <c r="E1077" s="21"/>
      <c r="F1077" s="21"/>
      <c r="G1077" s="21">
        <v>50</v>
      </c>
      <c r="H1077" s="21"/>
      <c r="I1077" s="21">
        <v>23</v>
      </c>
      <c r="J1077" s="21"/>
      <c r="K1077" s="21">
        <v>100</v>
      </c>
      <c r="L1077" s="21"/>
      <c r="M1077" s="21"/>
      <c r="N1077" s="21">
        <v>5</v>
      </c>
      <c r="O1077" s="21">
        <v>50</v>
      </c>
      <c r="P1077" s="21"/>
      <c r="Q1077" s="22">
        <f t="shared" si="16"/>
        <v>228</v>
      </c>
    </row>
    <row r="1078" spans="1:17" ht="15.75" customHeight="1">
      <c r="A1078" s="23">
        <v>1076</v>
      </c>
      <c r="B1078" s="24" t="s">
        <v>2102</v>
      </c>
      <c r="C1078" s="24" t="s">
        <v>1463</v>
      </c>
      <c r="D1078" s="24" t="s">
        <v>2103</v>
      </c>
      <c r="E1078" s="25"/>
      <c r="F1078" s="25">
        <v>5</v>
      </c>
      <c r="G1078" s="25"/>
      <c r="H1078" s="25"/>
      <c r="I1078" s="25"/>
      <c r="J1078" s="25"/>
      <c r="K1078" s="25"/>
      <c r="L1078" s="25">
        <v>6</v>
      </c>
      <c r="M1078" s="25"/>
      <c r="N1078" s="25"/>
      <c r="O1078" s="25"/>
      <c r="P1078" s="25">
        <v>5</v>
      </c>
      <c r="Q1078" s="22">
        <f t="shared" si="16"/>
        <v>16</v>
      </c>
    </row>
    <row r="1079" spans="1:17" ht="15.75" customHeight="1">
      <c r="A1079" s="19">
        <v>1077</v>
      </c>
      <c r="B1079" s="20" t="s">
        <v>2104</v>
      </c>
      <c r="C1079" s="20" t="s">
        <v>1466</v>
      </c>
      <c r="D1079" s="20" t="s">
        <v>2105</v>
      </c>
      <c r="E1079" s="21">
        <v>100</v>
      </c>
      <c r="F1079" s="21">
        <v>390</v>
      </c>
      <c r="G1079" s="21"/>
      <c r="H1079" s="21">
        <v>450</v>
      </c>
      <c r="I1079" s="21">
        <v>340</v>
      </c>
      <c r="J1079" s="21">
        <v>80</v>
      </c>
      <c r="K1079" s="21">
        <v>275</v>
      </c>
      <c r="L1079" s="21">
        <v>262</v>
      </c>
      <c r="M1079" s="21">
        <v>100</v>
      </c>
      <c r="N1079" s="21">
        <v>120</v>
      </c>
      <c r="O1079" s="21">
        <v>220</v>
      </c>
      <c r="P1079" s="21">
        <v>130</v>
      </c>
      <c r="Q1079" s="22">
        <f t="shared" si="16"/>
        <v>2467</v>
      </c>
    </row>
    <row r="1080" spans="1:17" ht="15.75" customHeight="1">
      <c r="A1080" s="23">
        <v>1078</v>
      </c>
      <c r="B1080" s="24" t="s">
        <v>2106</v>
      </c>
      <c r="C1080" s="24" t="s">
        <v>1466</v>
      </c>
      <c r="D1080" s="24" t="s">
        <v>1668</v>
      </c>
      <c r="E1080" s="25"/>
      <c r="F1080" s="25"/>
      <c r="G1080" s="25"/>
      <c r="H1080" s="25"/>
      <c r="I1080" s="25"/>
      <c r="J1080" s="25">
        <v>3</v>
      </c>
      <c r="K1080" s="25"/>
      <c r="L1080" s="25">
        <v>30</v>
      </c>
      <c r="M1080" s="25"/>
      <c r="N1080" s="25"/>
      <c r="O1080" s="25"/>
      <c r="P1080" s="25"/>
      <c r="Q1080" s="22">
        <f t="shared" si="16"/>
        <v>33</v>
      </c>
    </row>
    <row r="1081" spans="1:17" ht="15.75" customHeight="1">
      <c r="A1081" s="19">
        <v>1079</v>
      </c>
      <c r="B1081" s="20" t="s">
        <v>2107</v>
      </c>
      <c r="C1081" s="20" t="s">
        <v>1466</v>
      </c>
      <c r="D1081" s="20" t="s">
        <v>2108</v>
      </c>
      <c r="E1081" s="21">
        <v>100</v>
      </c>
      <c r="F1081" s="21">
        <v>220</v>
      </c>
      <c r="G1081" s="21">
        <v>110</v>
      </c>
      <c r="H1081" s="21">
        <v>248</v>
      </c>
      <c r="I1081" s="21">
        <v>280</v>
      </c>
      <c r="J1081" s="21">
        <v>200</v>
      </c>
      <c r="K1081" s="21">
        <v>280</v>
      </c>
      <c r="L1081" s="21">
        <v>65</v>
      </c>
      <c r="M1081" s="21">
        <v>380</v>
      </c>
      <c r="N1081" s="21">
        <v>340</v>
      </c>
      <c r="O1081" s="21">
        <v>220</v>
      </c>
      <c r="P1081" s="21">
        <v>350</v>
      </c>
      <c r="Q1081" s="22">
        <f t="shared" si="16"/>
        <v>2793</v>
      </c>
    </row>
    <row r="1082" spans="1:17" ht="15.75" customHeight="1">
      <c r="A1082" s="23">
        <v>1080</v>
      </c>
      <c r="B1082" s="24" t="s">
        <v>2109</v>
      </c>
      <c r="C1082" s="24" t="s">
        <v>1466</v>
      </c>
      <c r="D1082" s="24" t="s">
        <v>2110</v>
      </c>
      <c r="E1082" s="25"/>
      <c r="F1082" s="25"/>
      <c r="G1082" s="25"/>
      <c r="H1082" s="25"/>
      <c r="I1082" s="25"/>
      <c r="J1082" s="25"/>
      <c r="K1082" s="25"/>
      <c r="L1082" s="25">
        <v>2</v>
      </c>
      <c r="M1082" s="25"/>
      <c r="N1082" s="25"/>
      <c r="O1082" s="25"/>
      <c r="P1082" s="25"/>
      <c r="Q1082" s="22">
        <f t="shared" si="16"/>
        <v>2</v>
      </c>
    </row>
    <row r="1083" spans="1:17" ht="15.75" customHeight="1">
      <c r="A1083" s="19">
        <v>1081</v>
      </c>
      <c r="B1083" s="20" t="s">
        <v>2111</v>
      </c>
      <c r="C1083" s="20" t="s">
        <v>1466</v>
      </c>
      <c r="D1083" s="20" t="s">
        <v>1783</v>
      </c>
      <c r="E1083" s="21"/>
      <c r="F1083" s="21"/>
      <c r="G1083" s="21"/>
      <c r="H1083" s="21"/>
      <c r="I1083" s="21"/>
      <c r="J1083" s="21"/>
      <c r="K1083" s="21"/>
      <c r="L1083" s="21">
        <v>6</v>
      </c>
      <c r="M1083" s="21"/>
      <c r="N1083" s="21"/>
      <c r="O1083" s="21"/>
      <c r="P1083" s="21"/>
      <c r="Q1083" s="22">
        <f t="shared" si="16"/>
        <v>6</v>
      </c>
    </row>
    <row r="1084" spans="1:17" ht="15.75" customHeight="1">
      <c r="A1084" s="23">
        <v>1082</v>
      </c>
      <c r="B1084" s="24" t="s">
        <v>2112</v>
      </c>
      <c r="C1084" s="24" t="s">
        <v>1466</v>
      </c>
      <c r="D1084" s="24" t="s">
        <v>1722</v>
      </c>
      <c r="E1084" s="25"/>
      <c r="F1084" s="25"/>
      <c r="G1084" s="25"/>
      <c r="H1084" s="25"/>
      <c r="I1084" s="25"/>
      <c r="J1084" s="25"/>
      <c r="K1084" s="25"/>
      <c r="L1084" s="25">
        <v>6</v>
      </c>
      <c r="M1084" s="25"/>
      <c r="N1084" s="25"/>
      <c r="O1084" s="25"/>
      <c r="P1084" s="25"/>
      <c r="Q1084" s="22">
        <f t="shared" si="16"/>
        <v>6</v>
      </c>
    </row>
    <row r="1085" spans="1:17" ht="15.75" customHeight="1">
      <c r="A1085" s="19">
        <v>1083</v>
      </c>
      <c r="B1085" s="20" t="s">
        <v>2113</v>
      </c>
      <c r="C1085" s="20" t="s">
        <v>1466</v>
      </c>
      <c r="D1085" s="20" t="s">
        <v>2114</v>
      </c>
      <c r="E1085" s="21"/>
      <c r="F1085" s="21">
        <v>50</v>
      </c>
      <c r="G1085" s="21"/>
      <c r="H1085" s="21"/>
      <c r="I1085" s="21"/>
      <c r="J1085" s="21">
        <v>5</v>
      </c>
      <c r="K1085" s="21"/>
      <c r="L1085" s="21"/>
      <c r="M1085" s="21"/>
      <c r="N1085" s="21">
        <v>30</v>
      </c>
      <c r="O1085" s="21"/>
      <c r="P1085" s="21"/>
      <c r="Q1085" s="22">
        <f t="shared" si="16"/>
        <v>85</v>
      </c>
    </row>
    <row r="1086" spans="1:17" ht="15.75" customHeight="1">
      <c r="A1086" s="23">
        <v>1084</v>
      </c>
      <c r="B1086" s="24" t="s">
        <v>2115</v>
      </c>
      <c r="C1086" s="24" t="s">
        <v>1466</v>
      </c>
      <c r="D1086" s="24" t="s">
        <v>2116</v>
      </c>
      <c r="E1086" s="25">
        <v>60</v>
      </c>
      <c r="F1086" s="25"/>
      <c r="G1086" s="25">
        <v>5</v>
      </c>
      <c r="H1086" s="25">
        <v>423</v>
      </c>
      <c r="I1086" s="25">
        <v>5</v>
      </c>
      <c r="J1086" s="25">
        <v>30</v>
      </c>
      <c r="K1086" s="25">
        <v>40</v>
      </c>
      <c r="L1086" s="25">
        <v>115</v>
      </c>
      <c r="M1086" s="25">
        <v>30</v>
      </c>
      <c r="N1086" s="25">
        <v>310</v>
      </c>
      <c r="O1086" s="25">
        <v>295</v>
      </c>
      <c r="P1086" s="25">
        <v>180</v>
      </c>
      <c r="Q1086" s="22">
        <f t="shared" si="16"/>
        <v>1493</v>
      </c>
    </row>
    <row r="1087" spans="1:17" ht="15.75" customHeight="1">
      <c r="A1087" s="19">
        <v>1085</v>
      </c>
      <c r="B1087" s="20" t="s">
        <v>2117</v>
      </c>
      <c r="C1087" s="20" t="s">
        <v>1466</v>
      </c>
      <c r="D1087" s="20" t="s">
        <v>2118</v>
      </c>
      <c r="E1087" s="21"/>
      <c r="F1087" s="21"/>
      <c r="G1087" s="21"/>
      <c r="H1087" s="21"/>
      <c r="I1087" s="21"/>
      <c r="J1087" s="21"/>
      <c r="K1087" s="21"/>
      <c r="L1087" s="21">
        <v>2</v>
      </c>
      <c r="M1087" s="21"/>
      <c r="N1087" s="21"/>
      <c r="O1087" s="21"/>
      <c r="P1087" s="21"/>
      <c r="Q1087" s="22">
        <f t="shared" si="16"/>
        <v>2</v>
      </c>
    </row>
    <row r="1088" spans="1:17" ht="15.75" customHeight="1">
      <c r="A1088" s="23">
        <v>1086</v>
      </c>
      <c r="B1088" s="24" t="s">
        <v>2119</v>
      </c>
      <c r="C1088" s="24" t="s">
        <v>1466</v>
      </c>
      <c r="D1088" s="24" t="s">
        <v>2120</v>
      </c>
      <c r="E1088" s="25"/>
      <c r="F1088" s="25"/>
      <c r="G1088" s="25"/>
      <c r="H1088" s="25">
        <v>74</v>
      </c>
      <c r="I1088" s="25"/>
      <c r="J1088" s="25"/>
      <c r="K1088" s="25"/>
      <c r="L1088" s="25"/>
      <c r="M1088" s="25"/>
      <c r="N1088" s="25">
        <v>5</v>
      </c>
      <c r="O1088" s="25"/>
      <c r="P1088" s="25"/>
      <c r="Q1088" s="22">
        <f t="shared" si="16"/>
        <v>79</v>
      </c>
    </row>
    <row r="1089" spans="1:17" ht="15.75" customHeight="1">
      <c r="A1089" s="19">
        <v>1087</v>
      </c>
      <c r="B1089" s="20" t="s">
        <v>2121</v>
      </c>
      <c r="C1089" s="20" t="s">
        <v>1466</v>
      </c>
      <c r="D1089" s="20" t="s">
        <v>2122</v>
      </c>
      <c r="E1089" s="21"/>
      <c r="F1089" s="21"/>
      <c r="G1089" s="21"/>
      <c r="H1089" s="21"/>
      <c r="I1089" s="21">
        <v>200</v>
      </c>
      <c r="J1089" s="21">
        <v>8</v>
      </c>
      <c r="K1089" s="21"/>
      <c r="L1089" s="21"/>
      <c r="M1089" s="21"/>
      <c r="N1089" s="21"/>
      <c r="O1089" s="21"/>
      <c r="P1089" s="21"/>
      <c r="Q1089" s="22">
        <f t="shared" si="16"/>
        <v>208</v>
      </c>
    </row>
    <row r="1090" spans="1:17" ht="15.75" customHeight="1">
      <c r="A1090" s="23">
        <v>1088</v>
      </c>
      <c r="B1090" s="24" t="s">
        <v>2123</v>
      </c>
      <c r="C1090" s="24" t="s">
        <v>1466</v>
      </c>
      <c r="D1090" s="24" t="s">
        <v>2124</v>
      </c>
      <c r="E1090" s="25"/>
      <c r="F1090" s="25">
        <v>50</v>
      </c>
      <c r="G1090" s="25"/>
      <c r="H1090" s="25">
        <v>50</v>
      </c>
      <c r="I1090" s="25"/>
      <c r="J1090" s="25"/>
      <c r="K1090" s="25"/>
      <c r="L1090" s="25"/>
      <c r="M1090" s="25">
        <v>30</v>
      </c>
      <c r="N1090" s="25">
        <v>70</v>
      </c>
      <c r="O1090" s="25"/>
      <c r="P1090" s="25">
        <v>3</v>
      </c>
      <c r="Q1090" s="22">
        <f t="shared" si="16"/>
        <v>203</v>
      </c>
    </row>
    <row r="1091" spans="1:17" ht="15.75" customHeight="1">
      <c r="A1091" s="19">
        <v>1089</v>
      </c>
      <c r="B1091" s="20" t="s">
        <v>2125</v>
      </c>
      <c r="C1091" s="20" t="s">
        <v>1466</v>
      </c>
      <c r="D1091" s="20" t="s">
        <v>2126</v>
      </c>
      <c r="E1091" s="21">
        <v>30</v>
      </c>
      <c r="F1091" s="21">
        <v>275</v>
      </c>
      <c r="G1091" s="21">
        <v>190</v>
      </c>
      <c r="H1091" s="21">
        <v>406</v>
      </c>
      <c r="I1091" s="21">
        <v>80</v>
      </c>
      <c r="J1091" s="21">
        <v>370</v>
      </c>
      <c r="K1091" s="21">
        <v>200</v>
      </c>
      <c r="L1091" s="21">
        <v>30</v>
      </c>
      <c r="M1091" s="21">
        <v>171</v>
      </c>
      <c r="N1091" s="21">
        <v>260</v>
      </c>
      <c r="O1091" s="21">
        <v>20</v>
      </c>
      <c r="P1091" s="21">
        <v>150</v>
      </c>
      <c r="Q1091" s="22">
        <f t="shared" ref="Q1091:Q1154" si="17">SUM(E1091:P1091)</f>
        <v>2182</v>
      </c>
    </row>
    <row r="1092" spans="1:17" ht="15.75" customHeight="1">
      <c r="A1092" s="23">
        <v>1090</v>
      </c>
      <c r="B1092" s="24" t="s">
        <v>2127</v>
      </c>
      <c r="C1092" s="24" t="s">
        <v>1466</v>
      </c>
      <c r="D1092" s="24" t="s">
        <v>2128</v>
      </c>
      <c r="E1092" s="25">
        <v>30</v>
      </c>
      <c r="F1092" s="25"/>
      <c r="G1092" s="25"/>
      <c r="H1092" s="25">
        <v>30</v>
      </c>
      <c r="I1092" s="25">
        <v>20</v>
      </c>
      <c r="J1092" s="25"/>
      <c r="K1092" s="25"/>
      <c r="L1092" s="25">
        <v>53</v>
      </c>
      <c r="M1092" s="25">
        <v>10</v>
      </c>
      <c r="N1092" s="25">
        <v>10</v>
      </c>
      <c r="O1092" s="25"/>
      <c r="P1092" s="25"/>
      <c r="Q1092" s="22">
        <f t="shared" si="17"/>
        <v>153</v>
      </c>
    </row>
    <row r="1093" spans="1:17" ht="15.75" customHeight="1">
      <c r="A1093" s="19">
        <v>1091</v>
      </c>
      <c r="B1093" s="20" t="s">
        <v>2129</v>
      </c>
      <c r="C1093" s="20" t="s">
        <v>1466</v>
      </c>
      <c r="D1093" s="20" t="s">
        <v>2130</v>
      </c>
      <c r="E1093" s="21"/>
      <c r="F1093" s="21"/>
      <c r="G1093" s="21"/>
      <c r="H1093" s="21"/>
      <c r="I1093" s="21">
        <v>15</v>
      </c>
      <c r="J1093" s="21">
        <v>20</v>
      </c>
      <c r="K1093" s="21"/>
      <c r="L1093" s="21"/>
      <c r="M1093" s="21"/>
      <c r="N1093" s="21">
        <v>25</v>
      </c>
      <c r="O1093" s="21"/>
      <c r="P1093" s="21"/>
      <c r="Q1093" s="22">
        <f t="shared" si="17"/>
        <v>60</v>
      </c>
    </row>
    <row r="1094" spans="1:17" ht="15.75" customHeight="1">
      <c r="A1094" s="23">
        <v>1092</v>
      </c>
      <c r="B1094" s="24" t="s">
        <v>2131</v>
      </c>
      <c r="C1094" s="24" t="s">
        <v>1466</v>
      </c>
      <c r="D1094" s="24" t="s">
        <v>2132</v>
      </c>
      <c r="E1094" s="25"/>
      <c r="F1094" s="25">
        <v>10</v>
      </c>
      <c r="G1094" s="25"/>
      <c r="H1094" s="25"/>
      <c r="I1094" s="25">
        <v>20</v>
      </c>
      <c r="J1094" s="25"/>
      <c r="K1094" s="25">
        <v>20</v>
      </c>
      <c r="L1094" s="25">
        <v>100</v>
      </c>
      <c r="M1094" s="25"/>
      <c r="N1094" s="25">
        <v>10</v>
      </c>
      <c r="O1094" s="25"/>
      <c r="P1094" s="25"/>
      <c r="Q1094" s="22">
        <f t="shared" si="17"/>
        <v>160</v>
      </c>
    </row>
    <row r="1095" spans="1:17" ht="15.75" customHeight="1">
      <c r="A1095" s="19">
        <v>1093</v>
      </c>
      <c r="B1095" s="20" t="s">
        <v>2133</v>
      </c>
      <c r="C1095" s="20" t="s">
        <v>1466</v>
      </c>
      <c r="D1095" s="20" t="s">
        <v>2134</v>
      </c>
      <c r="E1095" s="21"/>
      <c r="F1095" s="21"/>
      <c r="G1095" s="21"/>
      <c r="H1095" s="21">
        <v>30</v>
      </c>
      <c r="I1095" s="21">
        <v>20</v>
      </c>
      <c r="J1095" s="21"/>
      <c r="K1095" s="21"/>
      <c r="L1095" s="21"/>
      <c r="M1095" s="21"/>
      <c r="N1095" s="21"/>
      <c r="O1095" s="21"/>
      <c r="P1095" s="21"/>
      <c r="Q1095" s="22">
        <f t="shared" si="17"/>
        <v>50</v>
      </c>
    </row>
    <row r="1096" spans="1:17" ht="15.75" customHeight="1">
      <c r="A1096" s="23">
        <v>1094</v>
      </c>
      <c r="B1096" s="24" t="s">
        <v>2135</v>
      </c>
      <c r="C1096" s="24" t="s">
        <v>1471</v>
      </c>
      <c r="D1096" s="24" t="s">
        <v>2136</v>
      </c>
      <c r="E1096" s="25"/>
      <c r="F1096" s="25">
        <v>5</v>
      </c>
      <c r="G1096" s="25">
        <v>9</v>
      </c>
      <c r="H1096" s="25">
        <v>150</v>
      </c>
      <c r="I1096" s="25"/>
      <c r="J1096" s="25">
        <v>25</v>
      </c>
      <c r="K1096" s="25">
        <v>20</v>
      </c>
      <c r="L1096" s="25"/>
      <c r="M1096" s="25"/>
      <c r="N1096" s="25">
        <v>35</v>
      </c>
      <c r="O1096" s="25"/>
      <c r="P1096" s="25">
        <v>50</v>
      </c>
      <c r="Q1096" s="22">
        <f t="shared" si="17"/>
        <v>294</v>
      </c>
    </row>
    <row r="1097" spans="1:17" ht="15.75" customHeight="1">
      <c r="A1097" s="19">
        <v>1095</v>
      </c>
      <c r="B1097" s="20" t="s">
        <v>2137</v>
      </c>
      <c r="C1097" s="20" t="s">
        <v>1471</v>
      </c>
      <c r="D1097" s="20" t="s">
        <v>2138</v>
      </c>
      <c r="E1097" s="21">
        <v>30</v>
      </c>
      <c r="F1097" s="21"/>
      <c r="G1097" s="21">
        <v>200</v>
      </c>
      <c r="H1097" s="21">
        <v>8</v>
      </c>
      <c r="I1097" s="21"/>
      <c r="J1097" s="21">
        <v>10</v>
      </c>
      <c r="K1097" s="21"/>
      <c r="L1097" s="21"/>
      <c r="M1097" s="21">
        <v>32</v>
      </c>
      <c r="N1097" s="21">
        <v>45</v>
      </c>
      <c r="O1097" s="21"/>
      <c r="P1097" s="21"/>
      <c r="Q1097" s="22">
        <f t="shared" si="17"/>
        <v>325</v>
      </c>
    </row>
    <row r="1098" spans="1:17" ht="15.75" customHeight="1">
      <c r="A1098" s="23">
        <v>1096</v>
      </c>
      <c r="B1098" s="24" t="s">
        <v>2139</v>
      </c>
      <c r="C1098" s="24" t="s">
        <v>1471</v>
      </c>
      <c r="D1098" s="24" t="s">
        <v>2140</v>
      </c>
      <c r="E1098" s="25"/>
      <c r="F1098" s="25"/>
      <c r="G1098" s="25"/>
      <c r="H1098" s="25"/>
      <c r="I1098" s="25">
        <v>50</v>
      </c>
      <c r="J1098" s="25">
        <v>130</v>
      </c>
      <c r="K1098" s="25"/>
      <c r="L1098" s="25">
        <v>50</v>
      </c>
      <c r="M1098" s="25"/>
      <c r="N1098" s="25">
        <v>20</v>
      </c>
      <c r="O1098" s="25"/>
      <c r="P1098" s="25"/>
      <c r="Q1098" s="22">
        <f t="shared" si="17"/>
        <v>250</v>
      </c>
    </row>
    <row r="1099" spans="1:17" ht="15.75" customHeight="1">
      <c r="A1099" s="19">
        <v>1097</v>
      </c>
      <c r="B1099" s="20" t="s">
        <v>2141</v>
      </c>
      <c r="C1099" s="20" t="s">
        <v>1471</v>
      </c>
      <c r="D1099" s="20" t="s">
        <v>2142</v>
      </c>
      <c r="E1099" s="21">
        <v>10</v>
      </c>
      <c r="F1099" s="21">
        <v>5</v>
      </c>
      <c r="G1099" s="21"/>
      <c r="H1099" s="21"/>
      <c r="I1099" s="21">
        <v>25</v>
      </c>
      <c r="J1099" s="21"/>
      <c r="K1099" s="21"/>
      <c r="L1099" s="21"/>
      <c r="M1099" s="21"/>
      <c r="N1099" s="21"/>
      <c r="O1099" s="21"/>
      <c r="P1099" s="21"/>
      <c r="Q1099" s="22">
        <f t="shared" si="17"/>
        <v>40</v>
      </c>
    </row>
    <row r="1100" spans="1:17" ht="15.75" customHeight="1">
      <c r="A1100" s="23">
        <v>1098</v>
      </c>
      <c r="B1100" s="24" t="s">
        <v>2143</v>
      </c>
      <c r="C1100" s="24" t="s">
        <v>1471</v>
      </c>
      <c r="D1100" s="24" t="s">
        <v>2144</v>
      </c>
      <c r="E1100" s="25"/>
      <c r="F1100" s="25"/>
      <c r="G1100" s="25"/>
      <c r="H1100" s="25"/>
      <c r="I1100" s="25"/>
      <c r="J1100" s="25">
        <v>45</v>
      </c>
      <c r="K1100" s="25"/>
      <c r="L1100" s="25"/>
      <c r="M1100" s="25"/>
      <c r="N1100" s="25"/>
      <c r="O1100" s="25"/>
      <c r="P1100" s="25"/>
      <c r="Q1100" s="22">
        <f t="shared" si="17"/>
        <v>45</v>
      </c>
    </row>
    <row r="1101" spans="1:17" ht="15.75" customHeight="1">
      <c r="A1101" s="19">
        <v>1099</v>
      </c>
      <c r="B1101" s="20" t="s">
        <v>2145</v>
      </c>
      <c r="C1101" s="20" t="s">
        <v>1471</v>
      </c>
      <c r="D1101" s="20" t="s">
        <v>2146</v>
      </c>
      <c r="E1101" s="21"/>
      <c r="F1101" s="21"/>
      <c r="G1101" s="21"/>
      <c r="H1101" s="21"/>
      <c r="I1101" s="21">
        <v>30</v>
      </c>
      <c r="J1101" s="21"/>
      <c r="K1101" s="21"/>
      <c r="L1101" s="21"/>
      <c r="M1101" s="21"/>
      <c r="N1101" s="21"/>
      <c r="O1101" s="21">
        <v>50</v>
      </c>
      <c r="P1101" s="21">
        <v>8</v>
      </c>
      <c r="Q1101" s="22">
        <f t="shared" si="17"/>
        <v>88</v>
      </c>
    </row>
    <row r="1102" spans="1:17" ht="15.75" customHeight="1">
      <c r="A1102" s="23">
        <v>1100</v>
      </c>
      <c r="B1102" s="24" t="s">
        <v>2147</v>
      </c>
      <c r="C1102" s="24" t="s">
        <v>1471</v>
      </c>
      <c r="D1102" s="24" t="s">
        <v>2148</v>
      </c>
      <c r="E1102" s="25"/>
      <c r="F1102" s="25"/>
      <c r="G1102" s="25"/>
      <c r="H1102" s="25"/>
      <c r="I1102" s="25">
        <v>10</v>
      </c>
      <c r="J1102" s="25">
        <v>4</v>
      </c>
      <c r="K1102" s="25"/>
      <c r="L1102" s="25"/>
      <c r="M1102" s="25"/>
      <c r="N1102" s="25"/>
      <c r="O1102" s="25"/>
      <c r="P1102" s="25">
        <v>3</v>
      </c>
      <c r="Q1102" s="22">
        <f t="shared" si="17"/>
        <v>17</v>
      </c>
    </row>
    <row r="1103" spans="1:17" ht="15.75" customHeight="1">
      <c r="A1103" s="19">
        <v>1101</v>
      </c>
      <c r="B1103" s="20" t="s">
        <v>2149</v>
      </c>
      <c r="C1103" s="20" t="s">
        <v>1471</v>
      </c>
      <c r="D1103" s="20" t="s">
        <v>2150</v>
      </c>
      <c r="E1103" s="21"/>
      <c r="F1103" s="21"/>
      <c r="G1103" s="21"/>
      <c r="H1103" s="21"/>
      <c r="I1103" s="21">
        <v>50</v>
      </c>
      <c r="J1103" s="21"/>
      <c r="K1103" s="21"/>
      <c r="L1103" s="21">
        <v>120</v>
      </c>
      <c r="M1103" s="21">
        <v>50</v>
      </c>
      <c r="N1103" s="21">
        <v>40</v>
      </c>
      <c r="O1103" s="21"/>
      <c r="P1103" s="21">
        <v>90</v>
      </c>
      <c r="Q1103" s="22">
        <f t="shared" si="17"/>
        <v>350</v>
      </c>
    </row>
    <row r="1104" spans="1:17" ht="15.75" customHeight="1">
      <c r="A1104" s="23">
        <v>1102</v>
      </c>
      <c r="B1104" s="24" t="s">
        <v>2151</v>
      </c>
      <c r="C1104" s="24" t="s">
        <v>1471</v>
      </c>
      <c r="D1104" s="24" t="s">
        <v>2152</v>
      </c>
      <c r="E1104" s="25"/>
      <c r="F1104" s="25"/>
      <c r="G1104" s="25"/>
      <c r="H1104" s="25"/>
      <c r="I1104" s="25"/>
      <c r="J1104" s="25"/>
      <c r="K1104" s="25"/>
      <c r="L1104" s="25"/>
      <c r="M1104" s="25"/>
      <c r="N1104" s="25">
        <v>20</v>
      </c>
      <c r="O1104" s="25"/>
      <c r="P1104" s="25">
        <v>50</v>
      </c>
      <c r="Q1104" s="22">
        <f t="shared" si="17"/>
        <v>70</v>
      </c>
    </row>
    <row r="1105" spans="1:17" ht="15.75" customHeight="1">
      <c r="A1105" s="19">
        <v>1103</v>
      </c>
      <c r="B1105" s="20" t="s">
        <v>2153</v>
      </c>
      <c r="C1105" s="20" t="s">
        <v>1475</v>
      </c>
      <c r="D1105" s="20" t="s">
        <v>2154</v>
      </c>
      <c r="E1105" s="21">
        <v>70</v>
      </c>
      <c r="F1105" s="21">
        <v>115</v>
      </c>
      <c r="G1105" s="21">
        <v>30</v>
      </c>
      <c r="H1105" s="21">
        <v>120</v>
      </c>
      <c r="I1105" s="21">
        <v>80</v>
      </c>
      <c r="J1105" s="21">
        <v>127</v>
      </c>
      <c r="K1105" s="21">
        <v>185</v>
      </c>
      <c r="L1105" s="21">
        <v>127</v>
      </c>
      <c r="M1105" s="21">
        <v>110</v>
      </c>
      <c r="N1105" s="21">
        <v>235</v>
      </c>
      <c r="O1105" s="21">
        <v>178</v>
      </c>
      <c r="P1105" s="21">
        <v>510</v>
      </c>
      <c r="Q1105" s="22">
        <f t="shared" si="17"/>
        <v>1887</v>
      </c>
    </row>
    <row r="1106" spans="1:17" ht="15.75" customHeight="1">
      <c r="A1106" s="23">
        <v>1104</v>
      </c>
      <c r="B1106" s="24" t="s">
        <v>2155</v>
      </c>
      <c r="C1106" s="24" t="s">
        <v>1475</v>
      </c>
      <c r="D1106" s="24" t="s">
        <v>1668</v>
      </c>
      <c r="E1106" s="25"/>
      <c r="F1106" s="25"/>
      <c r="G1106" s="25"/>
      <c r="H1106" s="25"/>
      <c r="I1106" s="25"/>
      <c r="J1106" s="25">
        <v>30</v>
      </c>
      <c r="K1106" s="25"/>
      <c r="L1106" s="25">
        <v>30</v>
      </c>
      <c r="M1106" s="25"/>
      <c r="N1106" s="25"/>
      <c r="O1106" s="25"/>
      <c r="P1106" s="25"/>
      <c r="Q1106" s="22">
        <f t="shared" si="17"/>
        <v>60</v>
      </c>
    </row>
    <row r="1107" spans="1:17" ht="15.75" customHeight="1">
      <c r="A1107" s="19">
        <v>1105</v>
      </c>
      <c r="B1107" s="20" t="s">
        <v>2156</v>
      </c>
      <c r="C1107" s="20" t="s">
        <v>1475</v>
      </c>
      <c r="D1107" s="20" t="s">
        <v>1911</v>
      </c>
      <c r="E1107" s="21"/>
      <c r="F1107" s="21">
        <v>485</v>
      </c>
      <c r="G1107" s="21">
        <v>100</v>
      </c>
      <c r="H1107" s="21"/>
      <c r="I1107" s="21">
        <v>140</v>
      </c>
      <c r="J1107" s="21">
        <v>968</v>
      </c>
      <c r="K1107" s="21">
        <v>443</v>
      </c>
      <c r="L1107" s="21">
        <v>188</v>
      </c>
      <c r="M1107" s="21">
        <v>130</v>
      </c>
      <c r="N1107" s="21">
        <v>347</v>
      </c>
      <c r="O1107" s="21">
        <v>237</v>
      </c>
      <c r="P1107" s="21">
        <v>185</v>
      </c>
      <c r="Q1107" s="22">
        <f t="shared" si="17"/>
        <v>3223</v>
      </c>
    </row>
    <row r="1108" spans="1:17" ht="15.75" customHeight="1">
      <c r="A1108" s="23">
        <v>1106</v>
      </c>
      <c r="B1108" s="24" t="s">
        <v>2157</v>
      </c>
      <c r="C1108" s="24" t="s">
        <v>1475</v>
      </c>
      <c r="D1108" s="24" t="s">
        <v>1783</v>
      </c>
      <c r="E1108" s="25"/>
      <c r="F1108" s="25"/>
      <c r="G1108" s="25"/>
      <c r="H1108" s="25"/>
      <c r="I1108" s="25"/>
      <c r="J1108" s="25"/>
      <c r="K1108" s="25"/>
      <c r="L1108" s="25">
        <v>8</v>
      </c>
      <c r="M1108" s="25"/>
      <c r="N1108" s="25"/>
      <c r="O1108" s="25"/>
      <c r="P1108" s="25"/>
      <c r="Q1108" s="22">
        <f t="shared" si="17"/>
        <v>8</v>
      </c>
    </row>
    <row r="1109" spans="1:17" ht="15.75" customHeight="1">
      <c r="A1109" s="19">
        <v>1107</v>
      </c>
      <c r="B1109" s="20" t="s">
        <v>2158</v>
      </c>
      <c r="C1109" s="20" t="s">
        <v>1475</v>
      </c>
      <c r="D1109" s="20" t="s">
        <v>2159</v>
      </c>
      <c r="E1109" s="21"/>
      <c r="F1109" s="21"/>
      <c r="G1109" s="21"/>
      <c r="H1109" s="21"/>
      <c r="I1109" s="21"/>
      <c r="J1109" s="21">
        <v>59</v>
      </c>
      <c r="K1109" s="21"/>
      <c r="L1109" s="21">
        <v>15</v>
      </c>
      <c r="M1109" s="21"/>
      <c r="N1109" s="21">
        <v>10</v>
      </c>
      <c r="O1109" s="21">
        <v>60</v>
      </c>
      <c r="P1109" s="21"/>
      <c r="Q1109" s="22">
        <f t="shared" si="17"/>
        <v>144</v>
      </c>
    </row>
    <row r="1110" spans="1:17" ht="15.75" customHeight="1">
      <c r="A1110" s="23">
        <v>1108</v>
      </c>
      <c r="B1110" s="24" t="s">
        <v>2160</v>
      </c>
      <c r="C1110" s="24" t="s">
        <v>1475</v>
      </c>
      <c r="D1110" s="24" t="s">
        <v>2161</v>
      </c>
      <c r="E1110" s="25">
        <v>45</v>
      </c>
      <c r="F1110" s="25">
        <v>110</v>
      </c>
      <c r="G1110" s="25">
        <v>55</v>
      </c>
      <c r="H1110" s="25">
        <v>325</v>
      </c>
      <c r="I1110" s="25">
        <v>20</v>
      </c>
      <c r="J1110" s="25">
        <v>76</v>
      </c>
      <c r="K1110" s="25">
        <v>188</v>
      </c>
      <c r="L1110" s="25">
        <v>40</v>
      </c>
      <c r="M1110" s="25">
        <v>80</v>
      </c>
      <c r="N1110" s="25">
        <v>110</v>
      </c>
      <c r="O1110" s="25">
        <v>70</v>
      </c>
      <c r="P1110" s="25">
        <v>32</v>
      </c>
      <c r="Q1110" s="22">
        <f t="shared" si="17"/>
        <v>1151</v>
      </c>
    </row>
    <row r="1111" spans="1:17" ht="15.75" customHeight="1">
      <c r="A1111" s="19">
        <v>1109</v>
      </c>
      <c r="B1111" s="20" t="s">
        <v>2162</v>
      </c>
      <c r="C1111" s="20" t="s">
        <v>1475</v>
      </c>
      <c r="D1111" s="20" t="s">
        <v>2163</v>
      </c>
      <c r="E1111" s="21"/>
      <c r="F1111" s="21">
        <v>10</v>
      </c>
      <c r="G1111" s="21">
        <v>20</v>
      </c>
      <c r="H1111" s="21"/>
      <c r="I1111" s="21">
        <v>10</v>
      </c>
      <c r="J1111" s="21">
        <v>8</v>
      </c>
      <c r="K1111" s="21"/>
      <c r="L1111" s="21">
        <v>19</v>
      </c>
      <c r="M1111" s="21">
        <v>40</v>
      </c>
      <c r="N1111" s="21">
        <v>70</v>
      </c>
      <c r="O1111" s="21">
        <v>100</v>
      </c>
      <c r="P1111" s="21">
        <v>5</v>
      </c>
      <c r="Q1111" s="22">
        <f t="shared" si="17"/>
        <v>282</v>
      </c>
    </row>
    <row r="1112" spans="1:17" ht="15.75" customHeight="1">
      <c r="A1112" s="23">
        <v>1110</v>
      </c>
      <c r="B1112" s="24" t="s">
        <v>2164</v>
      </c>
      <c r="C1112" s="24" t="s">
        <v>1475</v>
      </c>
      <c r="D1112" s="24" t="s">
        <v>2165</v>
      </c>
      <c r="E1112" s="25"/>
      <c r="F1112" s="25"/>
      <c r="G1112" s="25"/>
      <c r="H1112" s="25"/>
      <c r="I1112" s="25"/>
      <c r="J1112" s="25">
        <v>130</v>
      </c>
      <c r="K1112" s="25"/>
      <c r="L1112" s="25">
        <v>30</v>
      </c>
      <c r="M1112" s="25"/>
      <c r="N1112" s="25"/>
      <c r="O1112" s="25"/>
      <c r="P1112" s="25">
        <v>8</v>
      </c>
      <c r="Q1112" s="22">
        <f t="shared" si="17"/>
        <v>168</v>
      </c>
    </row>
    <row r="1113" spans="1:17" ht="15.75" customHeight="1">
      <c r="A1113" s="19">
        <v>1111</v>
      </c>
      <c r="B1113" s="20" t="s">
        <v>2166</v>
      </c>
      <c r="C1113" s="20" t="s">
        <v>1475</v>
      </c>
      <c r="D1113" s="20" t="s">
        <v>2167</v>
      </c>
      <c r="E1113" s="21"/>
      <c r="F1113" s="21">
        <v>10</v>
      </c>
      <c r="G1113" s="21">
        <v>20</v>
      </c>
      <c r="H1113" s="21"/>
      <c r="I1113" s="21">
        <v>20</v>
      </c>
      <c r="J1113" s="21"/>
      <c r="K1113" s="21"/>
      <c r="L1113" s="21"/>
      <c r="M1113" s="21">
        <v>8</v>
      </c>
      <c r="N1113" s="21"/>
      <c r="O1113" s="21">
        <v>1</v>
      </c>
      <c r="P1113" s="21"/>
      <c r="Q1113" s="22">
        <f t="shared" si="17"/>
        <v>59</v>
      </c>
    </row>
    <row r="1114" spans="1:17" ht="15.75" customHeight="1">
      <c r="A1114" s="23">
        <v>1112</v>
      </c>
      <c r="B1114" s="24" t="s">
        <v>2168</v>
      </c>
      <c r="C1114" s="24" t="s">
        <v>1475</v>
      </c>
      <c r="D1114" s="24" t="s">
        <v>2169</v>
      </c>
      <c r="E1114" s="25">
        <v>15</v>
      </c>
      <c r="F1114" s="25">
        <v>150</v>
      </c>
      <c r="G1114" s="25"/>
      <c r="H1114" s="25">
        <v>50</v>
      </c>
      <c r="I1114" s="25">
        <v>90</v>
      </c>
      <c r="J1114" s="25">
        <v>40</v>
      </c>
      <c r="K1114" s="25">
        <v>195</v>
      </c>
      <c r="L1114" s="25">
        <v>126</v>
      </c>
      <c r="M1114" s="25">
        <v>51</v>
      </c>
      <c r="N1114" s="25">
        <v>160</v>
      </c>
      <c r="O1114" s="25">
        <v>105</v>
      </c>
      <c r="P1114" s="25"/>
      <c r="Q1114" s="22">
        <f t="shared" si="17"/>
        <v>982</v>
      </c>
    </row>
    <row r="1115" spans="1:17" ht="15.75" customHeight="1">
      <c r="A1115" s="19">
        <v>1113</v>
      </c>
      <c r="B1115" s="20" t="s">
        <v>2170</v>
      </c>
      <c r="C1115" s="20" t="s">
        <v>1475</v>
      </c>
      <c r="D1115" s="20" t="s">
        <v>2171</v>
      </c>
      <c r="E1115" s="21">
        <v>5</v>
      </c>
      <c r="F1115" s="21"/>
      <c r="G1115" s="21">
        <v>20</v>
      </c>
      <c r="H1115" s="21"/>
      <c r="I1115" s="21"/>
      <c r="J1115" s="21"/>
      <c r="K1115" s="21">
        <v>80</v>
      </c>
      <c r="L1115" s="21">
        <v>10</v>
      </c>
      <c r="M1115" s="21"/>
      <c r="N1115" s="21">
        <v>80</v>
      </c>
      <c r="O1115" s="21">
        <v>115</v>
      </c>
      <c r="P1115" s="21"/>
      <c r="Q1115" s="22">
        <f t="shared" si="17"/>
        <v>310</v>
      </c>
    </row>
    <row r="1116" spans="1:17" ht="15.75" customHeight="1">
      <c r="A1116" s="23">
        <v>1114</v>
      </c>
      <c r="B1116" s="24" t="s">
        <v>2172</v>
      </c>
      <c r="C1116" s="24" t="s">
        <v>1475</v>
      </c>
      <c r="D1116" s="24" t="s">
        <v>2173</v>
      </c>
      <c r="E1116" s="25"/>
      <c r="F1116" s="25"/>
      <c r="G1116" s="25"/>
      <c r="H1116" s="25"/>
      <c r="I1116" s="25">
        <v>95</v>
      </c>
      <c r="J1116" s="25">
        <v>30</v>
      </c>
      <c r="K1116" s="25"/>
      <c r="L1116" s="25"/>
      <c r="M1116" s="25"/>
      <c r="N1116" s="25"/>
      <c r="O1116" s="25"/>
      <c r="P1116" s="25"/>
      <c r="Q1116" s="22">
        <f t="shared" si="17"/>
        <v>125</v>
      </c>
    </row>
    <row r="1117" spans="1:17" ht="15.75" customHeight="1">
      <c r="A1117" s="19">
        <v>1115</v>
      </c>
      <c r="B1117" s="20" t="s">
        <v>2174</v>
      </c>
      <c r="C1117" s="20" t="s">
        <v>1475</v>
      </c>
      <c r="D1117" s="20" t="s">
        <v>2175</v>
      </c>
      <c r="E1117" s="21"/>
      <c r="F1117" s="21"/>
      <c r="G1117" s="21">
        <v>20</v>
      </c>
      <c r="H1117" s="21"/>
      <c r="I1117" s="21">
        <v>20</v>
      </c>
      <c r="J1117" s="21">
        <v>55</v>
      </c>
      <c r="K1117" s="21"/>
      <c r="L1117" s="21">
        <v>44</v>
      </c>
      <c r="M1117" s="21"/>
      <c r="N1117" s="21">
        <v>10</v>
      </c>
      <c r="O1117" s="21">
        <v>20</v>
      </c>
      <c r="P1117" s="21"/>
      <c r="Q1117" s="22">
        <f t="shared" si="17"/>
        <v>169</v>
      </c>
    </row>
    <row r="1118" spans="1:17" ht="15.75" customHeight="1">
      <c r="A1118" s="23">
        <v>1116</v>
      </c>
      <c r="B1118" s="24" t="s">
        <v>2176</v>
      </c>
      <c r="C1118" s="24" t="s">
        <v>1475</v>
      </c>
      <c r="D1118" s="24" t="s">
        <v>2177</v>
      </c>
      <c r="E1118" s="25"/>
      <c r="F1118" s="25">
        <v>10</v>
      </c>
      <c r="G1118" s="25"/>
      <c r="H1118" s="25">
        <v>80</v>
      </c>
      <c r="I1118" s="25">
        <v>40</v>
      </c>
      <c r="J1118" s="25">
        <v>7</v>
      </c>
      <c r="K1118" s="25"/>
      <c r="L1118" s="25"/>
      <c r="M1118" s="25"/>
      <c r="N1118" s="25"/>
      <c r="O1118" s="25">
        <v>25</v>
      </c>
      <c r="P1118" s="25"/>
      <c r="Q1118" s="22">
        <f t="shared" si="17"/>
        <v>162</v>
      </c>
    </row>
    <row r="1119" spans="1:17" ht="15.75" customHeight="1">
      <c r="A1119" s="19">
        <v>1117</v>
      </c>
      <c r="B1119" s="20" t="s">
        <v>2178</v>
      </c>
      <c r="C1119" s="20" t="s">
        <v>1475</v>
      </c>
      <c r="D1119" s="20" t="s">
        <v>2179</v>
      </c>
      <c r="E1119" s="21"/>
      <c r="F1119" s="21"/>
      <c r="G1119" s="21"/>
      <c r="H1119" s="21"/>
      <c r="I1119" s="21"/>
      <c r="J1119" s="21">
        <v>10</v>
      </c>
      <c r="K1119" s="21"/>
      <c r="L1119" s="21"/>
      <c r="M1119" s="21"/>
      <c r="N1119" s="21"/>
      <c r="O1119" s="21"/>
      <c r="P1119" s="21"/>
      <c r="Q1119" s="22">
        <f t="shared" si="17"/>
        <v>10</v>
      </c>
    </row>
    <row r="1120" spans="1:17" ht="15.75" customHeight="1">
      <c r="A1120" s="23">
        <v>1118</v>
      </c>
      <c r="B1120" s="24" t="s">
        <v>2180</v>
      </c>
      <c r="C1120" s="24" t="s">
        <v>1481</v>
      </c>
      <c r="D1120" s="24" t="s">
        <v>1946</v>
      </c>
      <c r="E1120" s="25"/>
      <c r="F1120" s="25"/>
      <c r="G1120" s="25"/>
      <c r="H1120" s="25"/>
      <c r="I1120" s="25">
        <v>300</v>
      </c>
      <c r="J1120" s="25"/>
      <c r="K1120" s="25"/>
      <c r="L1120" s="25"/>
      <c r="M1120" s="25"/>
      <c r="N1120" s="25"/>
      <c r="O1120" s="25"/>
      <c r="P1120" s="25"/>
      <c r="Q1120" s="22">
        <f t="shared" si="17"/>
        <v>300</v>
      </c>
    </row>
    <row r="1121" spans="1:17" ht="15.75" customHeight="1">
      <c r="A1121" s="19">
        <v>1119</v>
      </c>
      <c r="B1121" s="20" t="s">
        <v>2181</v>
      </c>
      <c r="C1121" s="20" t="s">
        <v>1481</v>
      </c>
      <c r="D1121" s="20" t="s">
        <v>2182</v>
      </c>
      <c r="E1121" s="21"/>
      <c r="F1121" s="21">
        <v>10</v>
      </c>
      <c r="G1121" s="21"/>
      <c r="H1121" s="21">
        <v>10</v>
      </c>
      <c r="I1121" s="21">
        <v>40</v>
      </c>
      <c r="J1121" s="21"/>
      <c r="K1121" s="21"/>
      <c r="L1121" s="21"/>
      <c r="M1121" s="21"/>
      <c r="N1121" s="21"/>
      <c r="O1121" s="21"/>
      <c r="P1121" s="21"/>
      <c r="Q1121" s="22">
        <f t="shared" si="17"/>
        <v>60</v>
      </c>
    </row>
    <row r="1122" spans="1:17" ht="15.75" customHeight="1">
      <c r="A1122" s="23">
        <v>1120</v>
      </c>
      <c r="B1122" s="24" t="s">
        <v>2183</v>
      </c>
      <c r="C1122" s="24" t="s">
        <v>1481</v>
      </c>
      <c r="D1122" s="24" t="s">
        <v>1668</v>
      </c>
      <c r="E1122" s="25"/>
      <c r="F1122" s="25"/>
      <c r="G1122" s="25">
        <v>7</v>
      </c>
      <c r="H1122" s="25"/>
      <c r="I1122" s="25"/>
      <c r="J1122" s="25"/>
      <c r="K1122" s="25"/>
      <c r="L1122" s="25"/>
      <c r="M1122" s="25"/>
      <c r="N1122" s="25"/>
      <c r="O1122" s="25"/>
      <c r="P1122" s="25"/>
      <c r="Q1122" s="22">
        <f t="shared" si="17"/>
        <v>7</v>
      </c>
    </row>
    <row r="1123" spans="1:17" ht="15.75" customHeight="1">
      <c r="A1123" s="19">
        <v>1121</v>
      </c>
      <c r="B1123" s="20" t="s">
        <v>2184</v>
      </c>
      <c r="C1123" s="20" t="s">
        <v>1481</v>
      </c>
      <c r="D1123" s="20" t="s">
        <v>2185</v>
      </c>
      <c r="E1123" s="21"/>
      <c r="F1123" s="21"/>
      <c r="G1123" s="21"/>
      <c r="H1123" s="21">
        <v>55</v>
      </c>
      <c r="I1123" s="21">
        <v>25</v>
      </c>
      <c r="J1123" s="21"/>
      <c r="K1123" s="21">
        <v>30</v>
      </c>
      <c r="L1123" s="21"/>
      <c r="M1123" s="21"/>
      <c r="N1123" s="21"/>
      <c r="O1123" s="21"/>
      <c r="P1123" s="21"/>
      <c r="Q1123" s="22">
        <f t="shared" si="17"/>
        <v>110</v>
      </c>
    </row>
    <row r="1124" spans="1:17" ht="15.75" customHeight="1">
      <c r="A1124" s="23">
        <v>1122</v>
      </c>
      <c r="B1124" s="24" t="s">
        <v>2186</v>
      </c>
      <c r="C1124" s="24" t="s">
        <v>1481</v>
      </c>
      <c r="D1124" s="24" t="s">
        <v>2187</v>
      </c>
      <c r="E1124" s="25"/>
      <c r="F1124" s="25"/>
      <c r="G1124" s="25"/>
      <c r="H1124" s="25"/>
      <c r="I1124" s="25">
        <v>1</v>
      </c>
      <c r="J1124" s="25"/>
      <c r="K1124" s="25"/>
      <c r="L1124" s="25"/>
      <c r="M1124" s="25"/>
      <c r="N1124" s="25">
        <v>50</v>
      </c>
      <c r="O1124" s="25"/>
      <c r="P1124" s="25"/>
      <c r="Q1124" s="22">
        <f t="shared" si="17"/>
        <v>51</v>
      </c>
    </row>
    <row r="1125" spans="1:17" ht="15.75" customHeight="1">
      <c r="A1125" s="19">
        <v>1123</v>
      </c>
      <c r="B1125" s="20" t="s">
        <v>2188</v>
      </c>
      <c r="C1125" s="20" t="s">
        <v>1481</v>
      </c>
      <c r="D1125" s="20" t="s">
        <v>2189</v>
      </c>
      <c r="E1125" s="21"/>
      <c r="F1125" s="21"/>
      <c r="G1125" s="21"/>
      <c r="H1125" s="21"/>
      <c r="I1125" s="21">
        <v>40</v>
      </c>
      <c r="J1125" s="21"/>
      <c r="K1125" s="21"/>
      <c r="L1125" s="21"/>
      <c r="M1125" s="21"/>
      <c r="N1125" s="21"/>
      <c r="O1125" s="21"/>
      <c r="P1125" s="21"/>
      <c r="Q1125" s="22">
        <f t="shared" si="17"/>
        <v>40</v>
      </c>
    </row>
    <row r="1126" spans="1:17" ht="15.75" customHeight="1">
      <c r="A1126" s="23">
        <v>1124</v>
      </c>
      <c r="B1126" s="24" t="s">
        <v>2190</v>
      </c>
      <c r="C1126" s="24" t="s">
        <v>1481</v>
      </c>
      <c r="D1126" s="24" t="s">
        <v>2191</v>
      </c>
      <c r="E1126" s="25"/>
      <c r="F1126" s="25">
        <v>50</v>
      </c>
      <c r="G1126" s="25"/>
      <c r="H1126" s="25"/>
      <c r="I1126" s="25"/>
      <c r="J1126" s="25">
        <v>20</v>
      </c>
      <c r="K1126" s="25"/>
      <c r="L1126" s="25"/>
      <c r="M1126" s="25"/>
      <c r="N1126" s="25"/>
      <c r="O1126" s="25"/>
      <c r="P1126" s="25">
        <v>38</v>
      </c>
      <c r="Q1126" s="22">
        <f t="shared" si="17"/>
        <v>108</v>
      </c>
    </row>
    <row r="1127" spans="1:17" ht="15.75" customHeight="1">
      <c r="A1127" s="19">
        <v>1125</v>
      </c>
      <c r="B1127" s="20" t="s">
        <v>2192</v>
      </c>
      <c r="C1127" s="20" t="s">
        <v>1481</v>
      </c>
      <c r="D1127" s="20" t="s">
        <v>2193</v>
      </c>
      <c r="E1127" s="21">
        <v>90</v>
      </c>
      <c r="F1127" s="21">
        <v>150</v>
      </c>
      <c r="G1127" s="21">
        <v>210</v>
      </c>
      <c r="H1127" s="21"/>
      <c r="I1127" s="21">
        <v>310</v>
      </c>
      <c r="J1127" s="21">
        <v>223</v>
      </c>
      <c r="K1127" s="21">
        <v>30</v>
      </c>
      <c r="L1127" s="21">
        <v>220</v>
      </c>
      <c r="M1127" s="21">
        <v>31</v>
      </c>
      <c r="N1127" s="21">
        <v>600</v>
      </c>
      <c r="O1127" s="21">
        <v>60</v>
      </c>
      <c r="P1127" s="21">
        <v>350</v>
      </c>
      <c r="Q1127" s="22">
        <f t="shared" si="17"/>
        <v>2274</v>
      </c>
    </row>
    <row r="1128" spans="1:17" ht="15.75" customHeight="1">
      <c r="A1128" s="23">
        <v>1126</v>
      </c>
      <c r="B1128" s="24" t="s">
        <v>2194</v>
      </c>
      <c r="C1128" s="24" t="s">
        <v>1481</v>
      </c>
      <c r="D1128" s="24" t="s">
        <v>2195</v>
      </c>
      <c r="E1128" s="25"/>
      <c r="F1128" s="25"/>
      <c r="G1128" s="25"/>
      <c r="H1128" s="25"/>
      <c r="I1128" s="25"/>
      <c r="J1128" s="25"/>
      <c r="K1128" s="25">
        <v>50</v>
      </c>
      <c r="L1128" s="25"/>
      <c r="M1128" s="25"/>
      <c r="N1128" s="25"/>
      <c r="O1128" s="25"/>
      <c r="P1128" s="25"/>
      <c r="Q1128" s="22">
        <f t="shared" si="17"/>
        <v>50</v>
      </c>
    </row>
    <row r="1129" spans="1:17" ht="15.75" customHeight="1">
      <c r="A1129" s="19">
        <v>1127</v>
      </c>
      <c r="B1129" s="20" t="s">
        <v>2196</v>
      </c>
      <c r="C1129" s="20" t="s">
        <v>1489</v>
      </c>
      <c r="D1129" s="20" t="s">
        <v>2197</v>
      </c>
      <c r="E1129" s="21">
        <v>60</v>
      </c>
      <c r="F1129" s="21"/>
      <c r="G1129" s="21"/>
      <c r="H1129" s="21">
        <v>10</v>
      </c>
      <c r="I1129" s="21"/>
      <c r="J1129" s="21">
        <v>30</v>
      </c>
      <c r="K1129" s="21">
        <v>50</v>
      </c>
      <c r="L1129" s="21"/>
      <c r="M1129" s="21">
        <v>15</v>
      </c>
      <c r="N1129" s="21">
        <v>50</v>
      </c>
      <c r="O1129" s="21"/>
      <c r="P1129" s="21">
        <v>20</v>
      </c>
      <c r="Q1129" s="22">
        <f t="shared" si="17"/>
        <v>235</v>
      </c>
    </row>
    <row r="1130" spans="1:17" ht="15.75" customHeight="1">
      <c r="A1130" s="23">
        <v>1128</v>
      </c>
      <c r="B1130" s="24" t="s">
        <v>2198</v>
      </c>
      <c r="C1130" s="24" t="s">
        <v>1489</v>
      </c>
      <c r="D1130" s="24" t="s">
        <v>2199</v>
      </c>
      <c r="E1130" s="25">
        <v>50</v>
      </c>
      <c r="F1130" s="25">
        <v>70</v>
      </c>
      <c r="G1130" s="25"/>
      <c r="H1130" s="25">
        <v>20</v>
      </c>
      <c r="I1130" s="25">
        <v>35</v>
      </c>
      <c r="J1130" s="25">
        <v>30</v>
      </c>
      <c r="K1130" s="25">
        <v>5</v>
      </c>
      <c r="L1130" s="25">
        <v>90</v>
      </c>
      <c r="M1130" s="25">
        <v>55</v>
      </c>
      <c r="N1130" s="25">
        <v>10</v>
      </c>
      <c r="O1130" s="25">
        <v>55</v>
      </c>
      <c r="P1130" s="25">
        <v>20</v>
      </c>
      <c r="Q1130" s="22">
        <f t="shared" si="17"/>
        <v>440</v>
      </c>
    </row>
    <row r="1131" spans="1:17" ht="15.75" customHeight="1">
      <c r="A1131" s="19">
        <v>1129</v>
      </c>
      <c r="B1131" s="20" t="s">
        <v>2200</v>
      </c>
      <c r="C1131" s="20" t="s">
        <v>1489</v>
      </c>
      <c r="D1131" s="20" t="s">
        <v>2201</v>
      </c>
      <c r="E1131" s="21">
        <v>20</v>
      </c>
      <c r="F1131" s="21"/>
      <c r="G1131" s="21">
        <v>5</v>
      </c>
      <c r="H1131" s="21">
        <v>10</v>
      </c>
      <c r="I1131" s="21"/>
      <c r="J1131" s="21">
        <v>27</v>
      </c>
      <c r="K1131" s="21"/>
      <c r="L1131" s="21"/>
      <c r="M1131" s="21">
        <v>20</v>
      </c>
      <c r="N1131" s="21">
        <v>35</v>
      </c>
      <c r="O1131" s="21">
        <v>35</v>
      </c>
      <c r="P1131" s="21"/>
      <c r="Q1131" s="22">
        <f t="shared" si="17"/>
        <v>152</v>
      </c>
    </row>
    <row r="1132" spans="1:17" ht="15.75" customHeight="1">
      <c r="A1132" s="23">
        <v>1130</v>
      </c>
      <c r="B1132" s="24" t="s">
        <v>2202</v>
      </c>
      <c r="C1132" s="24" t="s">
        <v>1489</v>
      </c>
      <c r="D1132" s="24" t="s">
        <v>2203</v>
      </c>
      <c r="E1132" s="25"/>
      <c r="F1132" s="25"/>
      <c r="G1132" s="25"/>
      <c r="H1132" s="25">
        <v>10</v>
      </c>
      <c r="I1132" s="25"/>
      <c r="J1132" s="25">
        <v>13</v>
      </c>
      <c r="K1132" s="25"/>
      <c r="L1132" s="25"/>
      <c r="M1132" s="25">
        <v>15</v>
      </c>
      <c r="N1132" s="25"/>
      <c r="O1132" s="25"/>
      <c r="P1132" s="25"/>
      <c r="Q1132" s="22">
        <f t="shared" si="17"/>
        <v>38</v>
      </c>
    </row>
    <row r="1133" spans="1:17" ht="15.75" customHeight="1">
      <c r="A1133" s="19">
        <v>1131</v>
      </c>
      <c r="B1133" s="20" t="s">
        <v>2204</v>
      </c>
      <c r="C1133" s="20" t="s">
        <v>1489</v>
      </c>
      <c r="D1133" s="20" t="s">
        <v>2205</v>
      </c>
      <c r="E1133" s="21"/>
      <c r="F1133" s="21"/>
      <c r="G1133" s="21"/>
      <c r="H1133" s="21">
        <v>5</v>
      </c>
      <c r="I1133" s="21"/>
      <c r="J1133" s="21">
        <v>50</v>
      </c>
      <c r="K1133" s="21"/>
      <c r="L1133" s="21"/>
      <c r="M1133" s="21"/>
      <c r="N1133" s="21"/>
      <c r="O1133" s="21"/>
      <c r="P1133" s="21"/>
      <c r="Q1133" s="22">
        <f t="shared" si="17"/>
        <v>55</v>
      </c>
    </row>
    <row r="1134" spans="1:17" ht="15.75" customHeight="1">
      <c r="A1134" s="23">
        <v>1132</v>
      </c>
      <c r="B1134" s="24" t="s">
        <v>2206</v>
      </c>
      <c r="C1134" s="24" t="s">
        <v>1489</v>
      </c>
      <c r="D1134" s="24" t="s">
        <v>2207</v>
      </c>
      <c r="E1134" s="25"/>
      <c r="F1134" s="25"/>
      <c r="G1134" s="25"/>
      <c r="H1134" s="25"/>
      <c r="I1134" s="25"/>
      <c r="J1134" s="25"/>
      <c r="K1134" s="25"/>
      <c r="L1134" s="25"/>
      <c r="M1134" s="25">
        <v>20</v>
      </c>
      <c r="N1134" s="25"/>
      <c r="O1134" s="25"/>
      <c r="P1134" s="25">
        <v>10</v>
      </c>
      <c r="Q1134" s="22">
        <f t="shared" si="17"/>
        <v>30</v>
      </c>
    </row>
    <row r="1135" spans="1:17" ht="15.75" customHeight="1">
      <c r="A1135" s="19">
        <v>1133</v>
      </c>
      <c r="B1135" s="20" t="s">
        <v>2208</v>
      </c>
      <c r="C1135" s="20" t="s">
        <v>1489</v>
      </c>
      <c r="D1135" s="20" t="s">
        <v>2209</v>
      </c>
      <c r="E1135" s="21"/>
      <c r="F1135" s="21"/>
      <c r="G1135" s="21"/>
      <c r="H1135" s="21">
        <v>5</v>
      </c>
      <c r="I1135" s="21">
        <v>20</v>
      </c>
      <c r="J1135" s="21"/>
      <c r="K1135" s="21"/>
      <c r="L1135" s="21"/>
      <c r="M1135" s="21"/>
      <c r="N1135" s="21"/>
      <c r="O1135" s="21"/>
      <c r="P1135" s="21"/>
      <c r="Q1135" s="22">
        <f t="shared" si="17"/>
        <v>25</v>
      </c>
    </row>
    <row r="1136" spans="1:17" ht="15.75" customHeight="1">
      <c r="A1136" s="23">
        <v>1134</v>
      </c>
      <c r="B1136" s="24" t="s">
        <v>2210</v>
      </c>
      <c r="C1136" s="24" t="s">
        <v>1491</v>
      </c>
      <c r="D1136" s="24" t="s">
        <v>2211</v>
      </c>
      <c r="E1136" s="25"/>
      <c r="F1136" s="25"/>
      <c r="G1136" s="25"/>
      <c r="H1136" s="25"/>
      <c r="I1136" s="25">
        <v>20</v>
      </c>
      <c r="J1136" s="25"/>
      <c r="K1136" s="25"/>
      <c r="L1136" s="25"/>
      <c r="M1136" s="25">
        <v>10</v>
      </c>
      <c r="N1136" s="25">
        <v>20</v>
      </c>
      <c r="O1136" s="25"/>
      <c r="P1136" s="25">
        <v>15</v>
      </c>
      <c r="Q1136" s="22">
        <f t="shared" si="17"/>
        <v>65</v>
      </c>
    </row>
    <row r="1137" spans="1:17" ht="15.75" customHeight="1">
      <c r="A1137" s="19">
        <v>1135</v>
      </c>
      <c r="B1137" s="20" t="s">
        <v>2212</v>
      </c>
      <c r="C1137" s="20" t="s">
        <v>1491</v>
      </c>
      <c r="D1137" s="20" t="s">
        <v>1700</v>
      </c>
      <c r="E1137" s="21"/>
      <c r="F1137" s="21"/>
      <c r="G1137" s="21"/>
      <c r="H1137" s="21"/>
      <c r="I1137" s="21"/>
      <c r="J1137" s="21"/>
      <c r="K1137" s="21"/>
      <c r="L1137" s="21">
        <v>20</v>
      </c>
      <c r="M1137" s="21"/>
      <c r="N1137" s="21"/>
      <c r="O1137" s="21"/>
      <c r="P1137" s="21"/>
      <c r="Q1137" s="22">
        <f t="shared" si="17"/>
        <v>20</v>
      </c>
    </row>
    <row r="1138" spans="1:17" ht="15.75" customHeight="1">
      <c r="A1138" s="23">
        <v>1136</v>
      </c>
      <c r="B1138" s="24" t="s">
        <v>2213</v>
      </c>
      <c r="C1138" s="24" t="s">
        <v>1491</v>
      </c>
      <c r="D1138" s="24" t="s">
        <v>2214</v>
      </c>
      <c r="E1138" s="25"/>
      <c r="F1138" s="25">
        <v>5</v>
      </c>
      <c r="G1138" s="25"/>
      <c r="H1138" s="25">
        <v>10</v>
      </c>
      <c r="I1138" s="25">
        <v>20</v>
      </c>
      <c r="J1138" s="25">
        <v>20</v>
      </c>
      <c r="K1138" s="25"/>
      <c r="L1138" s="25">
        <v>20</v>
      </c>
      <c r="M1138" s="25">
        <v>15</v>
      </c>
      <c r="N1138" s="25"/>
      <c r="O1138" s="25">
        <v>6</v>
      </c>
      <c r="P1138" s="25">
        <v>45</v>
      </c>
      <c r="Q1138" s="22">
        <f t="shared" si="17"/>
        <v>141</v>
      </c>
    </row>
    <row r="1139" spans="1:17" ht="15.75" customHeight="1">
      <c r="A1139" s="19">
        <v>1137</v>
      </c>
      <c r="B1139" s="20" t="s">
        <v>2215</v>
      </c>
      <c r="C1139" s="20" t="s">
        <v>1491</v>
      </c>
      <c r="D1139" s="20" t="s">
        <v>2216</v>
      </c>
      <c r="E1139" s="21"/>
      <c r="F1139" s="21"/>
      <c r="G1139" s="21"/>
      <c r="H1139" s="21">
        <v>10</v>
      </c>
      <c r="I1139" s="21">
        <v>20</v>
      </c>
      <c r="J1139" s="21">
        <v>40</v>
      </c>
      <c r="K1139" s="21"/>
      <c r="L1139" s="21"/>
      <c r="M1139" s="21">
        <v>10</v>
      </c>
      <c r="N1139" s="21"/>
      <c r="O1139" s="21"/>
      <c r="P1139" s="21">
        <v>25</v>
      </c>
      <c r="Q1139" s="22">
        <f t="shared" si="17"/>
        <v>105</v>
      </c>
    </row>
    <row r="1140" spans="1:17" ht="15.75" customHeight="1">
      <c r="A1140" s="23">
        <v>1138</v>
      </c>
      <c r="B1140" s="24" t="s">
        <v>2217</v>
      </c>
      <c r="C1140" s="24" t="s">
        <v>1491</v>
      </c>
      <c r="D1140" s="24" t="s">
        <v>2218</v>
      </c>
      <c r="E1140" s="25"/>
      <c r="F1140" s="25"/>
      <c r="G1140" s="25"/>
      <c r="H1140" s="25"/>
      <c r="I1140" s="25">
        <v>30</v>
      </c>
      <c r="J1140" s="25">
        <v>40</v>
      </c>
      <c r="K1140" s="25"/>
      <c r="L1140" s="25"/>
      <c r="M1140" s="25"/>
      <c r="N1140" s="25"/>
      <c r="O1140" s="25">
        <v>4</v>
      </c>
      <c r="P1140" s="25"/>
      <c r="Q1140" s="22">
        <f t="shared" si="17"/>
        <v>74</v>
      </c>
    </row>
    <row r="1141" spans="1:17" ht="15.75" customHeight="1">
      <c r="A1141" s="19">
        <v>1139</v>
      </c>
      <c r="B1141" s="20" t="s">
        <v>2219</v>
      </c>
      <c r="C1141" s="20" t="s">
        <v>1493</v>
      </c>
      <c r="D1141" s="20" t="s">
        <v>2220</v>
      </c>
      <c r="E1141" s="21"/>
      <c r="F1141" s="21"/>
      <c r="G1141" s="21"/>
      <c r="H1141" s="21"/>
      <c r="I1141" s="21"/>
      <c r="J1141" s="21"/>
      <c r="K1141" s="21"/>
      <c r="L1141" s="21"/>
      <c r="M1141" s="21"/>
      <c r="N1141" s="21"/>
      <c r="O1141" s="21">
        <v>225</v>
      </c>
      <c r="P1141" s="21">
        <v>1060</v>
      </c>
      <c r="Q1141" s="22">
        <f t="shared" si="17"/>
        <v>1285</v>
      </c>
    </row>
    <row r="1142" spans="1:17" ht="15.75" customHeight="1">
      <c r="A1142" s="23">
        <v>1140</v>
      </c>
      <c r="B1142" s="24" t="s">
        <v>2221</v>
      </c>
      <c r="C1142" s="24" t="s">
        <v>1493</v>
      </c>
      <c r="D1142" s="24" t="s">
        <v>2222</v>
      </c>
      <c r="E1142" s="25"/>
      <c r="F1142" s="25"/>
      <c r="G1142" s="25">
        <v>300</v>
      </c>
      <c r="H1142" s="25"/>
      <c r="I1142" s="25">
        <v>300</v>
      </c>
      <c r="J1142" s="25"/>
      <c r="K1142" s="25"/>
      <c r="L1142" s="25">
        <v>100</v>
      </c>
      <c r="M1142" s="25"/>
      <c r="N1142" s="25"/>
      <c r="O1142" s="25"/>
      <c r="P1142" s="25"/>
      <c r="Q1142" s="22">
        <f t="shared" si="17"/>
        <v>700</v>
      </c>
    </row>
    <row r="1143" spans="1:17" ht="15.75" customHeight="1">
      <c r="A1143" s="19">
        <v>1141</v>
      </c>
      <c r="B1143" s="20" t="s">
        <v>2223</v>
      </c>
      <c r="C1143" s="20" t="s">
        <v>1493</v>
      </c>
      <c r="D1143" s="20" t="s">
        <v>2224</v>
      </c>
      <c r="E1143" s="21">
        <v>40</v>
      </c>
      <c r="F1143" s="21">
        <v>210</v>
      </c>
      <c r="G1143" s="21"/>
      <c r="H1143" s="21">
        <v>55</v>
      </c>
      <c r="I1143" s="21"/>
      <c r="J1143" s="21">
        <v>20</v>
      </c>
      <c r="K1143" s="21">
        <v>204</v>
      </c>
      <c r="L1143" s="21">
        <v>170</v>
      </c>
      <c r="M1143" s="21">
        <v>10</v>
      </c>
      <c r="N1143" s="21">
        <v>21</v>
      </c>
      <c r="O1143" s="21"/>
      <c r="P1143" s="21">
        <v>95</v>
      </c>
      <c r="Q1143" s="22">
        <f t="shared" si="17"/>
        <v>825</v>
      </c>
    </row>
    <row r="1144" spans="1:17" ht="15.75" customHeight="1">
      <c r="A1144" s="23">
        <v>1142</v>
      </c>
      <c r="B1144" s="24" t="s">
        <v>2225</v>
      </c>
      <c r="C1144" s="24" t="s">
        <v>1493</v>
      </c>
      <c r="D1144" s="24" t="s">
        <v>2226</v>
      </c>
      <c r="E1144" s="25"/>
      <c r="F1144" s="25">
        <v>80</v>
      </c>
      <c r="G1144" s="25">
        <v>90</v>
      </c>
      <c r="H1144" s="25">
        <v>5</v>
      </c>
      <c r="I1144" s="25">
        <v>400</v>
      </c>
      <c r="J1144" s="25">
        <v>15</v>
      </c>
      <c r="K1144" s="25"/>
      <c r="L1144" s="25"/>
      <c r="M1144" s="25"/>
      <c r="N1144" s="25">
        <v>6</v>
      </c>
      <c r="O1144" s="25"/>
      <c r="P1144" s="25"/>
      <c r="Q1144" s="22">
        <f t="shared" si="17"/>
        <v>596</v>
      </c>
    </row>
    <row r="1145" spans="1:17" ht="15.75" customHeight="1">
      <c r="A1145" s="19">
        <v>1143</v>
      </c>
      <c r="B1145" s="20" t="s">
        <v>2227</v>
      </c>
      <c r="C1145" s="20" t="s">
        <v>1493</v>
      </c>
      <c r="D1145" s="20" t="s">
        <v>2228</v>
      </c>
      <c r="E1145" s="21">
        <v>250</v>
      </c>
      <c r="F1145" s="21">
        <v>210</v>
      </c>
      <c r="G1145" s="21">
        <v>200</v>
      </c>
      <c r="H1145" s="21"/>
      <c r="I1145" s="21">
        <v>390</v>
      </c>
      <c r="J1145" s="21"/>
      <c r="K1145" s="21">
        <v>150</v>
      </c>
      <c r="L1145" s="21">
        <v>420</v>
      </c>
      <c r="M1145" s="21">
        <v>30</v>
      </c>
      <c r="N1145" s="21">
        <v>20</v>
      </c>
      <c r="O1145" s="21">
        <v>130</v>
      </c>
      <c r="P1145" s="21">
        <v>660</v>
      </c>
      <c r="Q1145" s="22">
        <f t="shared" si="17"/>
        <v>2460</v>
      </c>
    </row>
    <row r="1146" spans="1:17" ht="15.75" customHeight="1">
      <c r="A1146" s="23">
        <v>1144</v>
      </c>
      <c r="B1146" s="24" t="s">
        <v>2229</v>
      </c>
      <c r="C1146" s="24" t="s">
        <v>1493</v>
      </c>
      <c r="D1146" s="24" t="s">
        <v>2230</v>
      </c>
      <c r="E1146" s="25">
        <v>20</v>
      </c>
      <c r="F1146" s="25">
        <v>5</v>
      </c>
      <c r="G1146" s="25">
        <v>5</v>
      </c>
      <c r="H1146" s="25">
        <v>23</v>
      </c>
      <c r="I1146" s="25">
        <v>35</v>
      </c>
      <c r="J1146" s="25">
        <v>25</v>
      </c>
      <c r="K1146" s="25"/>
      <c r="L1146" s="25"/>
      <c r="M1146" s="25"/>
      <c r="N1146" s="25">
        <v>10</v>
      </c>
      <c r="O1146" s="25"/>
      <c r="P1146" s="25"/>
      <c r="Q1146" s="22">
        <f t="shared" si="17"/>
        <v>123</v>
      </c>
    </row>
    <row r="1147" spans="1:17" ht="15.75" customHeight="1">
      <c r="A1147" s="19">
        <v>1145</v>
      </c>
      <c r="B1147" s="20" t="s">
        <v>2231</v>
      </c>
      <c r="C1147" s="20" t="s">
        <v>1493</v>
      </c>
      <c r="D1147" s="20" t="s">
        <v>2232</v>
      </c>
      <c r="E1147" s="21"/>
      <c r="F1147" s="21">
        <v>308</v>
      </c>
      <c r="G1147" s="21">
        <v>125</v>
      </c>
      <c r="H1147" s="21">
        <v>120</v>
      </c>
      <c r="I1147" s="21">
        <v>270</v>
      </c>
      <c r="J1147" s="21">
        <v>300</v>
      </c>
      <c r="K1147" s="21">
        <v>100</v>
      </c>
      <c r="L1147" s="21">
        <v>540</v>
      </c>
      <c r="M1147" s="21">
        <v>70</v>
      </c>
      <c r="N1147" s="21">
        <v>120</v>
      </c>
      <c r="O1147" s="21">
        <v>70</v>
      </c>
      <c r="P1147" s="21">
        <v>435</v>
      </c>
      <c r="Q1147" s="22">
        <f t="shared" si="17"/>
        <v>2458</v>
      </c>
    </row>
    <row r="1148" spans="1:17" ht="15.75" customHeight="1">
      <c r="A1148" s="23">
        <v>1146</v>
      </c>
      <c r="B1148" s="24" t="s">
        <v>2233</v>
      </c>
      <c r="C1148" s="24" t="s">
        <v>1493</v>
      </c>
      <c r="D1148" s="24" t="s">
        <v>2234</v>
      </c>
      <c r="E1148" s="25">
        <v>150</v>
      </c>
      <c r="F1148" s="25">
        <v>1210</v>
      </c>
      <c r="G1148" s="25">
        <v>410</v>
      </c>
      <c r="H1148" s="25">
        <v>345</v>
      </c>
      <c r="I1148" s="25">
        <v>276</v>
      </c>
      <c r="J1148" s="25">
        <v>198</v>
      </c>
      <c r="K1148" s="25">
        <v>360</v>
      </c>
      <c r="L1148" s="25">
        <v>960</v>
      </c>
      <c r="M1148" s="25">
        <v>710</v>
      </c>
      <c r="N1148" s="25">
        <v>1630</v>
      </c>
      <c r="O1148" s="25">
        <v>286</v>
      </c>
      <c r="P1148" s="25">
        <v>1250</v>
      </c>
      <c r="Q1148" s="22">
        <f t="shared" si="17"/>
        <v>7785</v>
      </c>
    </row>
    <row r="1149" spans="1:17" ht="15.75" customHeight="1">
      <c r="A1149" s="19">
        <v>1147</v>
      </c>
      <c r="B1149" s="20" t="s">
        <v>2235</v>
      </c>
      <c r="C1149" s="20" t="s">
        <v>1493</v>
      </c>
      <c r="D1149" s="20" t="s">
        <v>2236</v>
      </c>
      <c r="E1149" s="21"/>
      <c r="F1149" s="21"/>
      <c r="G1149" s="21"/>
      <c r="H1149" s="21"/>
      <c r="I1149" s="21"/>
      <c r="J1149" s="21"/>
      <c r="K1149" s="21">
        <v>30</v>
      </c>
      <c r="L1149" s="21"/>
      <c r="M1149" s="21">
        <v>20</v>
      </c>
      <c r="N1149" s="21"/>
      <c r="O1149" s="21"/>
      <c r="P1149" s="21">
        <v>200</v>
      </c>
      <c r="Q1149" s="22">
        <f t="shared" si="17"/>
        <v>250</v>
      </c>
    </row>
    <row r="1150" spans="1:17" ht="15.75" customHeight="1">
      <c r="A1150" s="23">
        <v>1148</v>
      </c>
      <c r="B1150" s="24" t="s">
        <v>2237</v>
      </c>
      <c r="C1150" s="24" t="s">
        <v>1493</v>
      </c>
      <c r="D1150" s="24" t="s">
        <v>2238</v>
      </c>
      <c r="E1150" s="25"/>
      <c r="F1150" s="25"/>
      <c r="G1150" s="25"/>
      <c r="H1150" s="25"/>
      <c r="I1150" s="25">
        <v>100</v>
      </c>
      <c r="J1150" s="25">
        <v>50</v>
      </c>
      <c r="K1150" s="25"/>
      <c r="L1150" s="25"/>
      <c r="M1150" s="25"/>
      <c r="N1150" s="25"/>
      <c r="O1150" s="25"/>
      <c r="P1150" s="25"/>
      <c r="Q1150" s="22">
        <f t="shared" si="17"/>
        <v>150</v>
      </c>
    </row>
    <row r="1151" spans="1:17" ht="15.75" customHeight="1">
      <c r="A1151" s="19">
        <v>1149</v>
      </c>
      <c r="B1151" s="20" t="s">
        <v>2239</v>
      </c>
      <c r="C1151" s="20" t="s">
        <v>1504</v>
      </c>
      <c r="D1151" s="20" t="s">
        <v>2240</v>
      </c>
      <c r="E1151" s="21">
        <v>90</v>
      </c>
      <c r="F1151" s="21">
        <v>360</v>
      </c>
      <c r="G1151" s="21">
        <v>440</v>
      </c>
      <c r="H1151" s="21">
        <v>450</v>
      </c>
      <c r="I1151" s="21">
        <v>575</v>
      </c>
      <c r="J1151" s="21">
        <v>472</v>
      </c>
      <c r="K1151" s="21">
        <v>580</v>
      </c>
      <c r="L1151" s="21">
        <v>490</v>
      </c>
      <c r="M1151" s="21">
        <v>270</v>
      </c>
      <c r="N1151" s="21">
        <v>1160</v>
      </c>
      <c r="O1151" s="21">
        <v>210</v>
      </c>
      <c r="P1151" s="21">
        <v>550</v>
      </c>
      <c r="Q1151" s="22">
        <f t="shared" si="17"/>
        <v>5647</v>
      </c>
    </row>
    <row r="1152" spans="1:17" ht="15.75" customHeight="1">
      <c r="A1152" s="23">
        <v>1150</v>
      </c>
      <c r="B1152" s="24" t="s">
        <v>2241</v>
      </c>
      <c r="C1152" s="24" t="s">
        <v>1504</v>
      </c>
      <c r="D1152" s="24" t="s">
        <v>1668</v>
      </c>
      <c r="E1152" s="25">
        <v>10</v>
      </c>
      <c r="F1152" s="25">
        <v>100</v>
      </c>
      <c r="G1152" s="25">
        <v>30</v>
      </c>
      <c r="H1152" s="25"/>
      <c r="I1152" s="25">
        <v>100</v>
      </c>
      <c r="J1152" s="25"/>
      <c r="K1152" s="25"/>
      <c r="L1152" s="25"/>
      <c r="M1152" s="25"/>
      <c r="N1152" s="25"/>
      <c r="O1152" s="25"/>
      <c r="P1152" s="25"/>
      <c r="Q1152" s="22">
        <f t="shared" si="17"/>
        <v>240</v>
      </c>
    </row>
    <row r="1153" spans="1:17" ht="15.75" customHeight="1">
      <c r="A1153" s="19">
        <v>1151</v>
      </c>
      <c r="B1153" s="20" t="s">
        <v>2242</v>
      </c>
      <c r="C1153" s="20" t="s">
        <v>1504</v>
      </c>
      <c r="D1153" s="20" t="s">
        <v>2243</v>
      </c>
      <c r="E1153" s="21">
        <v>90</v>
      </c>
      <c r="F1153" s="21">
        <v>65</v>
      </c>
      <c r="G1153" s="21">
        <v>60</v>
      </c>
      <c r="H1153" s="21">
        <v>96</v>
      </c>
      <c r="I1153" s="21">
        <v>150</v>
      </c>
      <c r="J1153" s="21">
        <v>170</v>
      </c>
      <c r="K1153" s="21">
        <v>128</v>
      </c>
      <c r="L1153" s="21">
        <v>500</v>
      </c>
      <c r="M1153" s="21">
        <v>255</v>
      </c>
      <c r="N1153" s="21">
        <v>180</v>
      </c>
      <c r="O1153" s="21">
        <v>200</v>
      </c>
      <c r="P1153" s="21">
        <v>70</v>
      </c>
      <c r="Q1153" s="22">
        <f t="shared" si="17"/>
        <v>1964</v>
      </c>
    </row>
    <row r="1154" spans="1:17" ht="15.75" customHeight="1">
      <c r="A1154" s="23">
        <v>1152</v>
      </c>
      <c r="B1154" s="24" t="s">
        <v>2244</v>
      </c>
      <c r="C1154" s="24" t="s">
        <v>1504</v>
      </c>
      <c r="D1154" s="24" t="s">
        <v>2245</v>
      </c>
      <c r="E1154" s="25">
        <v>5545</v>
      </c>
      <c r="F1154" s="25">
        <v>6066</v>
      </c>
      <c r="G1154" s="25">
        <v>5460</v>
      </c>
      <c r="H1154" s="25">
        <v>6730</v>
      </c>
      <c r="I1154" s="25">
        <v>8130</v>
      </c>
      <c r="J1154" s="25">
        <v>11560</v>
      </c>
      <c r="K1154" s="25">
        <v>2680</v>
      </c>
      <c r="L1154" s="25">
        <v>7830</v>
      </c>
      <c r="M1154" s="25">
        <v>2140</v>
      </c>
      <c r="N1154" s="25">
        <v>5830</v>
      </c>
      <c r="O1154" s="25">
        <v>8140</v>
      </c>
      <c r="P1154" s="25">
        <v>5350</v>
      </c>
      <c r="Q1154" s="22">
        <f t="shared" si="17"/>
        <v>75461</v>
      </c>
    </row>
    <row r="1155" spans="1:17" ht="15.75" customHeight="1">
      <c r="A1155" s="19">
        <v>1153</v>
      </c>
      <c r="B1155" s="20" t="s">
        <v>2246</v>
      </c>
      <c r="C1155" s="20" t="s">
        <v>1504</v>
      </c>
      <c r="D1155" s="20" t="s">
        <v>2247</v>
      </c>
      <c r="E1155" s="21">
        <v>40</v>
      </c>
      <c r="F1155" s="21">
        <v>70</v>
      </c>
      <c r="G1155" s="21"/>
      <c r="H1155" s="21">
        <v>40</v>
      </c>
      <c r="I1155" s="21">
        <v>30</v>
      </c>
      <c r="J1155" s="21">
        <v>15</v>
      </c>
      <c r="K1155" s="21">
        <v>135</v>
      </c>
      <c r="L1155" s="21">
        <v>12</v>
      </c>
      <c r="M1155" s="21"/>
      <c r="N1155" s="21">
        <v>20</v>
      </c>
      <c r="O1155" s="21">
        <v>10</v>
      </c>
      <c r="P1155" s="21"/>
      <c r="Q1155" s="22">
        <f t="shared" ref="Q1155:Q1218" si="18">SUM(E1155:P1155)</f>
        <v>372</v>
      </c>
    </row>
    <row r="1156" spans="1:17" ht="15.75" customHeight="1">
      <c r="A1156" s="23">
        <v>1154</v>
      </c>
      <c r="B1156" s="24" t="s">
        <v>2248</v>
      </c>
      <c r="C1156" s="24" t="s">
        <v>1504</v>
      </c>
      <c r="D1156" s="24" t="s">
        <v>2249</v>
      </c>
      <c r="E1156" s="25"/>
      <c r="F1156" s="25">
        <v>8</v>
      </c>
      <c r="G1156" s="25"/>
      <c r="H1156" s="25"/>
      <c r="I1156" s="25"/>
      <c r="J1156" s="25"/>
      <c r="K1156" s="25">
        <v>50</v>
      </c>
      <c r="L1156" s="25">
        <v>10</v>
      </c>
      <c r="M1156" s="25"/>
      <c r="N1156" s="25"/>
      <c r="O1156" s="25"/>
      <c r="P1156" s="25"/>
      <c r="Q1156" s="22">
        <f t="shared" si="18"/>
        <v>68</v>
      </c>
    </row>
    <row r="1157" spans="1:17" ht="15.75" customHeight="1">
      <c r="A1157" s="19">
        <v>1155</v>
      </c>
      <c r="B1157" s="20" t="s">
        <v>2250</v>
      </c>
      <c r="C1157" s="20" t="s">
        <v>1504</v>
      </c>
      <c r="D1157" s="20" t="s">
        <v>2251</v>
      </c>
      <c r="E1157" s="21">
        <v>3210</v>
      </c>
      <c r="F1157" s="21">
        <v>2570</v>
      </c>
      <c r="G1157" s="21">
        <v>2700</v>
      </c>
      <c r="H1157" s="21">
        <v>2100</v>
      </c>
      <c r="I1157" s="21">
        <v>1850</v>
      </c>
      <c r="J1157" s="21">
        <v>2200</v>
      </c>
      <c r="K1157" s="21">
        <v>3720</v>
      </c>
      <c r="L1157" s="21">
        <v>3530</v>
      </c>
      <c r="M1157" s="21">
        <v>950</v>
      </c>
      <c r="N1157" s="21">
        <v>830</v>
      </c>
      <c r="O1157" s="21">
        <v>200</v>
      </c>
      <c r="P1157" s="21"/>
      <c r="Q1157" s="22">
        <f t="shared" si="18"/>
        <v>23860</v>
      </c>
    </row>
    <row r="1158" spans="1:17" ht="15.75" customHeight="1">
      <c r="A1158" s="23">
        <v>1156</v>
      </c>
      <c r="B1158" s="24" t="s">
        <v>2252</v>
      </c>
      <c r="C1158" s="24" t="s">
        <v>1504</v>
      </c>
      <c r="D1158" s="24" t="s">
        <v>2253</v>
      </c>
      <c r="E1158" s="25">
        <v>4925</v>
      </c>
      <c r="F1158" s="25">
        <v>4835</v>
      </c>
      <c r="G1158" s="25">
        <v>10165</v>
      </c>
      <c r="H1158" s="25">
        <v>5630</v>
      </c>
      <c r="I1158" s="25">
        <v>5490</v>
      </c>
      <c r="J1158" s="25">
        <v>9445</v>
      </c>
      <c r="K1158" s="25">
        <v>4535</v>
      </c>
      <c r="L1158" s="25">
        <v>7040</v>
      </c>
      <c r="M1158" s="25">
        <v>1871</v>
      </c>
      <c r="N1158" s="25">
        <v>10990</v>
      </c>
      <c r="O1158" s="25">
        <v>7700</v>
      </c>
      <c r="P1158" s="25">
        <v>5665</v>
      </c>
      <c r="Q1158" s="22">
        <f t="shared" si="18"/>
        <v>78291</v>
      </c>
    </row>
    <row r="1159" spans="1:17" ht="15.75" customHeight="1">
      <c r="A1159" s="19">
        <v>1157</v>
      </c>
      <c r="B1159" s="20" t="s">
        <v>2254</v>
      </c>
      <c r="C1159" s="20" t="s">
        <v>1504</v>
      </c>
      <c r="D1159" s="20" t="s">
        <v>2255</v>
      </c>
      <c r="E1159" s="21">
        <v>60</v>
      </c>
      <c r="F1159" s="21"/>
      <c r="G1159" s="21">
        <v>10</v>
      </c>
      <c r="H1159" s="21">
        <v>20</v>
      </c>
      <c r="I1159" s="21">
        <v>20</v>
      </c>
      <c r="J1159" s="21">
        <v>20</v>
      </c>
      <c r="K1159" s="21">
        <v>20</v>
      </c>
      <c r="L1159" s="21">
        <v>70</v>
      </c>
      <c r="M1159" s="21">
        <v>20</v>
      </c>
      <c r="N1159" s="21">
        <v>270</v>
      </c>
      <c r="O1159" s="21">
        <v>20</v>
      </c>
      <c r="P1159" s="21">
        <v>20</v>
      </c>
      <c r="Q1159" s="22">
        <f t="shared" si="18"/>
        <v>550</v>
      </c>
    </row>
    <row r="1160" spans="1:17" ht="15.75" customHeight="1">
      <c r="A1160" s="23">
        <v>1158</v>
      </c>
      <c r="B1160" s="24" t="s">
        <v>2256</v>
      </c>
      <c r="C1160" s="24" t="s">
        <v>1504</v>
      </c>
      <c r="D1160" s="24" t="s">
        <v>2257</v>
      </c>
      <c r="E1160" s="25">
        <v>830</v>
      </c>
      <c r="F1160" s="25">
        <v>2020</v>
      </c>
      <c r="G1160" s="25">
        <v>1000</v>
      </c>
      <c r="H1160" s="25">
        <v>510</v>
      </c>
      <c r="I1160" s="25">
        <v>510</v>
      </c>
      <c r="J1160" s="25">
        <v>500</v>
      </c>
      <c r="K1160" s="25">
        <v>3130</v>
      </c>
      <c r="L1160" s="25">
        <v>580</v>
      </c>
      <c r="M1160" s="25">
        <v>200</v>
      </c>
      <c r="N1160" s="25">
        <v>1385</v>
      </c>
      <c r="O1160" s="25">
        <v>570</v>
      </c>
      <c r="P1160" s="25">
        <v>1100</v>
      </c>
      <c r="Q1160" s="22">
        <f t="shared" si="18"/>
        <v>12335</v>
      </c>
    </row>
    <row r="1161" spans="1:17" ht="15.75" customHeight="1">
      <c r="A1161" s="19">
        <v>1159</v>
      </c>
      <c r="B1161" s="20" t="s">
        <v>2258</v>
      </c>
      <c r="C1161" s="20" t="s">
        <v>1504</v>
      </c>
      <c r="D1161" s="20" t="s">
        <v>2259</v>
      </c>
      <c r="E1161" s="21">
        <v>60</v>
      </c>
      <c r="F1161" s="21">
        <v>450</v>
      </c>
      <c r="G1161" s="21"/>
      <c r="H1161" s="21"/>
      <c r="I1161" s="21">
        <v>40</v>
      </c>
      <c r="J1161" s="21">
        <v>20</v>
      </c>
      <c r="K1161" s="21"/>
      <c r="L1161" s="21"/>
      <c r="M1161" s="21">
        <v>30</v>
      </c>
      <c r="N1161" s="21">
        <v>90</v>
      </c>
      <c r="O1161" s="21">
        <v>200</v>
      </c>
      <c r="P1161" s="21"/>
      <c r="Q1161" s="22">
        <f t="shared" si="18"/>
        <v>890</v>
      </c>
    </row>
    <row r="1162" spans="1:17" ht="15.75" customHeight="1">
      <c r="A1162" s="23">
        <v>1160</v>
      </c>
      <c r="B1162" s="24" t="s">
        <v>2260</v>
      </c>
      <c r="C1162" s="24" t="s">
        <v>1504</v>
      </c>
      <c r="D1162" s="24" t="s">
        <v>2261</v>
      </c>
      <c r="E1162" s="25">
        <v>50</v>
      </c>
      <c r="F1162" s="25">
        <v>8</v>
      </c>
      <c r="G1162" s="25"/>
      <c r="H1162" s="25">
        <v>290</v>
      </c>
      <c r="I1162" s="25">
        <v>150</v>
      </c>
      <c r="J1162" s="25">
        <v>60</v>
      </c>
      <c r="K1162" s="25">
        <v>40</v>
      </c>
      <c r="L1162" s="25">
        <v>100</v>
      </c>
      <c r="M1162" s="25"/>
      <c r="N1162" s="25">
        <v>400</v>
      </c>
      <c r="O1162" s="25"/>
      <c r="P1162" s="25">
        <v>100</v>
      </c>
      <c r="Q1162" s="22">
        <f t="shared" si="18"/>
        <v>1198</v>
      </c>
    </row>
    <row r="1163" spans="1:17" ht="15.75" customHeight="1">
      <c r="A1163" s="19">
        <v>1161</v>
      </c>
      <c r="B1163" s="20" t="s">
        <v>2262</v>
      </c>
      <c r="C1163" s="20" t="s">
        <v>1504</v>
      </c>
      <c r="D1163" s="20" t="s">
        <v>2263</v>
      </c>
      <c r="E1163" s="21">
        <v>10</v>
      </c>
      <c r="F1163" s="21"/>
      <c r="G1163" s="21"/>
      <c r="H1163" s="21"/>
      <c r="I1163" s="21"/>
      <c r="J1163" s="21"/>
      <c r="K1163" s="21"/>
      <c r="L1163" s="21"/>
      <c r="M1163" s="21"/>
      <c r="N1163" s="21"/>
      <c r="O1163" s="21"/>
      <c r="P1163" s="21"/>
      <c r="Q1163" s="22">
        <f t="shared" si="18"/>
        <v>10</v>
      </c>
    </row>
    <row r="1164" spans="1:17" ht="15.75" customHeight="1">
      <c r="A1164" s="23">
        <v>1162</v>
      </c>
      <c r="B1164" s="24" t="s">
        <v>2264</v>
      </c>
      <c r="C1164" s="24" t="s">
        <v>1504</v>
      </c>
      <c r="D1164" s="24" t="s">
        <v>2265</v>
      </c>
      <c r="E1164" s="25">
        <v>5</v>
      </c>
      <c r="F1164" s="25"/>
      <c r="G1164" s="25"/>
      <c r="H1164" s="25">
        <v>50</v>
      </c>
      <c r="I1164" s="25"/>
      <c r="J1164" s="25"/>
      <c r="K1164" s="25"/>
      <c r="L1164" s="25"/>
      <c r="M1164" s="25"/>
      <c r="N1164" s="25"/>
      <c r="O1164" s="25">
        <v>50</v>
      </c>
      <c r="P1164" s="25"/>
      <c r="Q1164" s="22">
        <f t="shared" si="18"/>
        <v>105</v>
      </c>
    </row>
    <row r="1165" spans="1:17" ht="15.75" customHeight="1">
      <c r="A1165" s="19">
        <v>1163</v>
      </c>
      <c r="B1165" s="20" t="s">
        <v>2266</v>
      </c>
      <c r="C1165" s="20" t="s">
        <v>1510</v>
      </c>
      <c r="D1165" s="20" t="s">
        <v>2267</v>
      </c>
      <c r="E1165" s="21"/>
      <c r="F1165" s="21"/>
      <c r="G1165" s="21"/>
      <c r="H1165" s="21"/>
      <c r="I1165" s="21"/>
      <c r="J1165" s="21">
        <v>10</v>
      </c>
      <c r="K1165" s="21"/>
      <c r="L1165" s="21"/>
      <c r="M1165" s="21"/>
      <c r="N1165" s="21">
        <v>50</v>
      </c>
      <c r="O1165" s="21"/>
      <c r="P1165" s="21">
        <v>8</v>
      </c>
      <c r="Q1165" s="22">
        <f t="shared" si="18"/>
        <v>68</v>
      </c>
    </row>
    <row r="1166" spans="1:17" ht="15.75" customHeight="1">
      <c r="A1166" s="23">
        <v>1164</v>
      </c>
      <c r="B1166" s="24" t="s">
        <v>2268</v>
      </c>
      <c r="C1166" s="24" t="s">
        <v>2008</v>
      </c>
      <c r="D1166" s="24" t="s">
        <v>1668</v>
      </c>
      <c r="E1166" s="25"/>
      <c r="F1166" s="25"/>
      <c r="G1166" s="25">
        <v>4</v>
      </c>
      <c r="H1166" s="25"/>
      <c r="I1166" s="25"/>
      <c r="J1166" s="25"/>
      <c r="K1166" s="25"/>
      <c r="L1166" s="25"/>
      <c r="M1166" s="25"/>
      <c r="N1166" s="25"/>
      <c r="O1166" s="25"/>
      <c r="P1166" s="25"/>
      <c r="Q1166" s="22">
        <f t="shared" si="18"/>
        <v>4</v>
      </c>
    </row>
    <row r="1167" spans="1:17" ht="15.75" customHeight="1">
      <c r="A1167" s="19">
        <v>1165</v>
      </c>
      <c r="B1167" s="20" t="s">
        <v>2269</v>
      </c>
      <c r="C1167" s="20" t="s">
        <v>1475</v>
      </c>
      <c r="D1167" s="20" t="s">
        <v>1906</v>
      </c>
      <c r="E1167" s="21"/>
      <c r="F1167" s="21"/>
      <c r="G1167" s="21"/>
      <c r="H1167" s="21"/>
      <c r="I1167" s="21"/>
      <c r="J1167" s="21"/>
      <c r="K1167" s="21"/>
      <c r="L1167" s="21">
        <v>65</v>
      </c>
      <c r="M1167" s="21"/>
      <c r="N1167" s="21"/>
      <c r="O1167" s="21"/>
      <c r="P1167" s="21"/>
      <c r="Q1167" s="22">
        <f t="shared" si="18"/>
        <v>65</v>
      </c>
    </row>
    <row r="1168" spans="1:17" ht="15.75" customHeight="1">
      <c r="A1168" s="23">
        <v>1166</v>
      </c>
      <c r="B1168" s="24" t="s">
        <v>2270</v>
      </c>
      <c r="C1168" s="24" t="s">
        <v>1510</v>
      </c>
      <c r="D1168" s="24" t="s">
        <v>1909</v>
      </c>
      <c r="E1168" s="25"/>
      <c r="F1168" s="25"/>
      <c r="G1168" s="25"/>
      <c r="H1168" s="25">
        <v>150</v>
      </c>
      <c r="I1168" s="25"/>
      <c r="J1168" s="25">
        <v>29</v>
      </c>
      <c r="K1168" s="25">
        <v>20</v>
      </c>
      <c r="L1168" s="25"/>
      <c r="M1168" s="25"/>
      <c r="N1168" s="25"/>
      <c r="O1168" s="25"/>
      <c r="P1168" s="25"/>
      <c r="Q1168" s="22">
        <f t="shared" si="18"/>
        <v>199</v>
      </c>
    </row>
    <row r="1169" spans="1:17" ht="15.75" customHeight="1">
      <c r="A1169" s="19">
        <v>1167</v>
      </c>
      <c r="B1169" s="20" t="s">
        <v>2271</v>
      </c>
      <c r="C1169" s="20" t="s">
        <v>1523</v>
      </c>
      <c r="D1169" s="20" t="s">
        <v>1909</v>
      </c>
      <c r="E1169" s="21"/>
      <c r="F1169" s="21"/>
      <c r="G1169" s="21"/>
      <c r="H1169" s="21"/>
      <c r="I1169" s="21"/>
      <c r="J1169" s="21">
        <v>1</v>
      </c>
      <c r="K1169" s="21"/>
      <c r="L1169" s="21"/>
      <c r="M1169" s="21"/>
      <c r="N1169" s="21"/>
      <c r="O1169" s="21"/>
      <c r="P1169" s="21"/>
      <c r="Q1169" s="22">
        <f t="shared" si="18"/>
        <v>1</v>
      </c>
    </row>
    <row r="1170" spans="1:17" ht="15.75" customHeight="1">
      <c r="A1170" s="23">
        <v>1168</v>
      </c>
      <c r="B1170" s="24" t="s">
        <v>2272</v>
      </c>
      <c r="C1170" s="24" t="s">
        <v>2273</v>
      </c>
      <c r="D1170" s="24" t="s">
        <v>1909</v>
      </c>
      <c r="E1170" s="25"/>
      <c r="F1170" s="25"/>
      <c r="G1170" s="25"/>
      <c r="H1170" s="25"/>
      <c r="I1170" s="25">
        <v>50</v>
      </c>
      <c r="J1170" s="25">
        <v>60</v>
      </c>
      <c r="K1170" s="25">
        <v>10</v>
      </c>
      <c r="L1170" s="25"/>
      <c r="M1170" s="25"/>
      <c r="N1170" s="25"/>
      <c r="O1170" s="25"/>
      <c r="P1170" s="25"/>
      <c r="Q1170" s="22">
        <f t="shared" si="18"/>
        <v>120</v>
      </c>
    </row>
    <row r="1171" spans="1:17" ht="15.75" customHeight="1">
      <c r="A1171" s="19">
        <v>1169</v>
      </c>
      <c r="B1171" s="20" t="s">
        <v>2274</v>
      </c>
      <c r="C1171" s="20" t="s">
        <v>1510</v>
      </c>
      <c r="D1171" s="20" t="s">
        <v>1922</v>
      </c>
      <c r="E1171" s="21">
        <v>15</v>
      </c>
      <c r="F1171" s="21">
        <v>20</v>
      </c>
      <c r="G1171" s="21"/>
      <c r="H1171" s="21"/>
      <c r="I1171" s="21">
        <v>50</v>
      </c>
      <c r="J1171" s="21"/>
      <c r="K1171" s="21"/>
      <c r="L1171" s="21"/>
      <c r="M1171" s="21"/>
      <c r="N1171" s="21"/>
      <c r="O1171" s="21"/>
      <c r="P1171" s="21"/>
      <c r="Q1171" s="22">
        <f t="shared" si="18"/>
        <v>85</v>
      </c>
    </row>
    <row r="1172" spans="1:17" ht="15.75" customHeight="1">
      <c r="A1172" s="23">
        <v>1170</v>
      </c>
      <c r="B1172" s="24" t="s">
        <v>2275</v>
      </c>
      <c r="C1172" s="24" t="s">
        <v>1475</v>
      </c>
      <c r="D1172" s="24" t="s">
        <v>2276</v>
      </c>
      <c r="E1172" s="25"/>
      <c r="F1172" s="25"/>
      <c r="G1172" s="25"/>
      <c r="H1172" s="25"/>
      <c r="I1172" s="25"/>
      <c r="J1172" s="25"/>
      <c r="K1172" s="25"/>
      <c r="L1172" s="25">
        <v>16</v>
      </c>
      <c r="M1172" s="25"/>
      <c r="N1172" s="25"/>
      <c r="O1172" s="25"/>
      <c r="P1172" s="25"/>
      <c r="Q1172" s="22">
        <f t="shared" si="18"/>
        <v>16</v>
      </c>
    </row>
    <row r="1173" spans="1:17" ht="15.75" customHeight="1">
      <c r="A1173" s="19">
        <v>1171</v>
      </c>
      <c r="B1173" s="20" t="s">
        <v>2277</v>
      </c>
      <c r="C1173" s="20" t="s">
        <v>1523</v>
      </c>
      <c r="D1173" s="20" t="s">
        <v>2278</v>
      </c>
      <c r="E1173" s="21"/>
      <c r="F1173" s="21"/>
      <c r="G1173" s="21"/>
      <c r="H1173" s="21"/>
      <c r="I1173" s="21"/>
      <c r="J1173" s="21"/>
      <c r="K1173" s="21"/>
      <c r="L1173" s="21"/>
      <c r="M1173" s="21">
        <v>1</v>
      </c>
      <c r="N1173" s="21"/>
      <c r="O1173" s="21"/>
      <c r="P1173" s="21"/>
      <c r="Q1173" s="22">
        <f t="shared" si="18"/>
        <v>1</v>
      </c>
    </row>
    <row r="1174" spans="1:17" ht="15.75" customHeight="1">
      <c r="A1174" s="23">
        <v>1172</v>
      </c>
      <c r="B1174" s="24" t="s">
        <v>2279</v>
      </c>
      <c r="C1174" s="24" t="s">
        <v>1466</v>
      </c>
      <c r="D1174" s="24" t="s">
        <v>2280</v>
      </c>
      <c r="E1174" s="25"/>
      <c r="F1174" s="25"/>
      <c r="G1174" s="25"/>
      <c r="H1174" s="25"/>
      <c r="I1174" s="25"/>
      <c r="J1174" s="25">
        <v>30</v>
      </c>
      <c r="K1174" s="25"/>
      <c r="L1174" s="25"/>
      <c r="M1174" s="25"/>
      <c r="N1174" s="25"/>
      <c r="O1174" s="25"/>
      <c r="P1174" s="25"/>
      <c r="Q1174" s="22">
        <f t="shared" si="18"/>
        <v>30</v>
      </c>
    </row>
    <row r="1175" spans="1:17" ht="15.75" customHeight="1">
      <c r="A1175" s="19">
        <v>1173</v>
      </c>
      <c r="B1175" s="20" t="s">
        <v>2281</v>
      </c>
      <c r="C1175" s="20" t="s">
        <v>1466</v>
      </c>
      <c r="D1175" s="20" t="s">
        <v>2282</v>
      </c>
      <c r="E1175" s="21"/>
      <c r="F1175" s="21"/>
      <c r="G1175" s="21"/>
      <c r="H1175" s="21"/>
      <c r="I1175" s="21"/>
      <c r="J1175" s="21">
        <v>2</v>
      </c>
      <c r="K1175" s="21"/>
      <c r="L1175" s="21"/>
      <c r="M1175" s="21"/>
      <c r="N1175" s="21"/>
      <c r="O1175" s="21"/>
      <c r="P1175" s="21"/>
      <c r="Q1175" s="22">
        <f t="shared" si="18"/>
        <v>2</v>
      </c>
    </row>
    <row r="1176" spans="1:17" ht="15.75" customHeight="1">
      <c r="A1176" s="23">
        <v>1174</v>
      </c>
      <c r="B1176" s="24" t="s">
        <v>2283</v>
      </c>
      <c r="C1176" s="24" t="s">
        <v>1466</v>
      </c>
      <c r="D1176" s="24" t="s">
        <v>2284</v>
      </c>
      <c r="E1176" s="25"/>
      <c r="F1176" s="25"/>
      <c r="G1176" s="25"/>
      <c r="H1176" s="25"/>
      <c r="I1176" s="25"/>
      <c r="J1176" s="25"/>
      <c r="K1176" s="25"/>
      <c r="L1176" s="25">
        <v>2</v>
      </c>
      <c r="M1176" s="25"/>
      <c r="N1176" s="25"/>
      <c r="O1176" s="25"/>
      <c r="P1176" s="25"/>
      <c r="Q1176" s="22">
        <f t="shared" si="18"/>
        <v>2</v>
      </c>
    </row>
    <row r="1177" spans="1:17" ht="15.75" customHeight="1">
      <c r="A1177" s="19">
        <v>1175</v>
      </c>
      <c r="B1177" s="20" t="s">
        <v>2285</v>
      </c>
      <c r="C1177" s="20" t="s">
        <v>1463</v>
      </c>
      <c r="D1177" s="20" t="s">
        <v>1700</v>
      </c>
      <c r="E1177" s="21"/>
      <c r="F1177" s="21"/>
      <c r="G1177" s="21"/>
      <c r="H1177" s="21"/>
      <c r="I1177" s="21"/>
      <c r="J1177" s="21"/>
      <c r="K1177" s="21">
        <v>20</v>
      </c>
      <c r="L1177" s="21"/>
      <c r="M1177" s="21"/>
      <c r="N1177" s="21"/>
      <c r="O1177" s="21"/>
      <c r="P1177" s="21"/>
      <c r="Q1177" s="22">
        <f t="shared" si="18"/>
        <v>20</v>
      </c>
    </row>
    <row r="1178" spans="1:17" ht="15.75" customHeight="1">
      <c r="A1178" s="23">
        <v>1176</v>
      </c>
      <c r="B1178" s="24" t="s">
        <v>2286</v>
      </c>
      <c r="C1178" s="24" t="s">
        <v>1463</v>
      </c>
      <c r="D1178" s="24" t="s">
        <v>2110</v>
      </c>
      <c r="E1178" s="25"/>
      <c r="F1178" s="25"/>
      <c r="G1178" s="25"/>
      <c r="H1178" s="25"/>
      <c r="I1178" s="25"/>
      <c r="J1178" s="25"/>
      <c r="K1178" s="25"/>
      <c r="L1178" s="25">
        <v>2</v>
      </c>
      <c r="M1178" s="25"/>
      <c r="N1178" s="25"/>
      <c r="O1178" s="25"/>
      <c r="P1178" s="25"/>
      <c r="Q1178" s="22">
        <f t="shared" si="18"/>
        <v>2</v>
      </c>
    </row>
    <row r="1179" spans="1:17" ht="15.75" customHeight="1">
      <c r="A1179" s="19">
        <v>1177</v>
      </c>
      <c r="B1179" s="20" t="s">
        <v>2287</v>
      </c>
      <c r="C1179" s="20" t="s">
        <v>1466</v>
      </c>
      <c r="D1179" s="20" t="s">
        <v>2276</v>
      </c>
      <c r="E1179" s="21"/>
      <c r="F1179" s="21"/>
      <c r="G1179" s="21"/>
      <c r="H1179" s="21"/>
      <c r="I1179" s="21"/>
      <c r="J1179" s="21"/>
      <c r="K1179" s="21"/>
      <c r="L1179" s="21">
        <v>25</v>
      </c>
      <c r="M1179" s="21"/>
      <c r="N1179" s="21"/>
      <c r="O1179" s="21"/>
      <c r="P1179" s="21"/>
      <c r="Q1179" s="22">
        <f t="shared" si="18"/>
        <v>25</v>
      </c>
    </row>
    <row r="1180" spans="1:17" ht="15.75" customHeight="1">
      <c r="A1180" s="23">
        <v>1178</v>
      </c>
      <c r="B1180" s="24" t="s">
        <v>2288</v>
      </c>
      <c r="C1180" s="24" t="s">
        <v>1466</v>
      </c>
      <c r="D1180" s="24" t="s">
        <v>2289</v>
      </c>
      <c r="E1180" s="25"/>
      <c r="F1180" s="25"/>
      <c r="G1180" s="25"/>
      <c r="H1180" s="25"/>
      <c r="I1180" s="25"/>
      <c r="J1180" s="25"/>
      <c r="K1180" s="25"/>
      <c r="L1180" s="25">
        <v>6</v>
      </c>
      <c r="M1180" s="25"/>
      <c r="N1180" s="25"/>
      <c r="O1180" s="25"/>
      <c r="P1180" s="25"/>
      <c r="Q1180" s="22">
        <f t="shared" si="18"/>
        <v>6</v>
      </c>
    </row>
    <row r="1181" spans="1:17" ht="15.75" customHeight="1">
      <c r="A1181" s="19">
        <v>1179</v>
      </c>
      <c r="B1181" s="20" t="s">
        <v>2290</v>
      </c>
      <c r="C1181" s="20" t="s">
        <v>1504</v>
      </c>
      <c r="D1181" s="20" t="s">
        <v>1722</v>
      </c>
      <c r="E1181" s="21">
        <v>5</v>
      </c>
      <c r="F1181" s="21"/>
      <c r="G1181" s="21"/>
      <c r="H1181" s="21"/>
      <c r="I1181" s="21"/>
      <c r="J1181" s="21"/>
      <c r="K1181" s="21"/>
      <c r="L1181" s="21"/>
      <c r="M1181" s="21"/>
      <c r="N1181" s="21"/>
      <c r="O1181" s="21"/>
      <c r="P1181" s="21"/>
      <c r="Q1181" s="22">
        <f t="shared" si="18"/>
        <v>5</v>
      </c>
    </row>
    <row r="1182" spans="1:17" ht="15.75" customHeight="1">
      <c r="A1182" s="23">
        <v>1180</v>
      </c>
      <c r="B1182" s="24" t="s">
        <v>2291</v>
      </c>
      <c r="C1182" s="24" t="s">
        <v>1493</v>
      </c>
      <c r="D1182" s="24" t="s">
        <v>1916</v>
      </c>
      <c r="E1182" s="25"/>
      <c r="F1182" s="25"/>
      <c r="G1182" s="25"/>
      <c r="H1182" s="25"/>
      <c r="I1182" s="25"/>
      <c r="J1182" s="25">
        <v>650</v>
      </c>
      <c r="K1182" s="25"/>
      <c r="L1182" s="25"/>
      <c r="M1182" s="25"/>
      <c r="N1182" s="25"/>
      <c r="O1182" s="25"/>
      <c r="P1182" s="25"/>
      <c r="Q1182" s="22">
        <f t="shared" si="18"/>
        <v>650</v>
      </c>
    </row>
    <row r="1183" spans="1:17" ht="15.75" customHeight="1">
      <c r="A1183" s="19">
        <v>1181</v>
      </c>
      <c r="B1183" s="20" t="s">
        <v>2292</v>
      </c>
      <c r="C1183" s="20" t="s">
        <v>2273</v>
      </c>
      <c r="D1183" s="20" t="s">
        <v>1911</v>
      </c>
      <c r="E1183" s="21"/>
      <c r="F1183" s="21"/>
      <c r="G1183" s="21"/>
      <c r="H1183" s="21"/>
      <c r="I1183" s="21">
        <v>50</v>
      </c>
      <c r="J1183" s="21">
        <v>10</v>
      </c>
      <c r="K1183" s="21"/>
      <c r="L1183" s="21"/>
      <c r="M1183" s="21"/>
      <c r="N1183" s="21"/>
      <c r="O1183" s="21"/>
      <c r="P1183" s="21"/>
      <c r="Q1183" s="22">
        <f t="shared" si="18"/>
        <v>60</v>
      </c>
    </row>
    <row r="1184" spans="1:17" ht="15.75" customHeight="1">
      <c r="A1184" s="23">
        <v>1182</v>
      </c>
      <c r="B1184" s="24" t="s">
        <v>2293</v>
      </c>
      <c r="C1184" s="24" t="s">
        <v>2294</v>
      </c>
      <c r="D1184" s="24" t="s">
        <v>1911</v>
      </c>
      <c r="E1184" s="25"/>
      <c r="F1184" s="25"/>
      <c r="G1184" s="25"/>
      <c r="H1184" s="25">
        <v>15</v>
      </c>
      <c r="I1184" s="25"/>
      <c r="J1184" s="25"/>
      <c r="K1184" s="25"/>
      <c r="L1184" s="25"/>
      <c r="M1184" s="25"/>
      <c r="N1184" s="25"/>
      <c r="O1184" s="25"/>
      <c r="P1184" s="25"/>
      <c r="Q1184" s="22">
        <f t="shared" si="18"/>
        <v>15</v>
      </c>
    </row>
    <row r="1185" spans="1:17" ht="15.75" customHeight="1">
      <c r="A1185" s="19">
        <v>1183</v>
      </c>
      <c r="B1185" s="20" t="s">
        <v>2295</v>
      </c>
      <c r="C1185" s="20" t="s">
        <v>2294</v>
      </c>
      <c r="D1185" s="20" t="s">
        <v>1913</v>
      </c>
      <c r="E1185" s="21"/>
      <c r="F1185" s="21"/>
      <c r="G1185" s="21"/>
      <c r="H1185" s="21">
        <v>5</v>
      </c>
      <c r="I1185" s="21"/>
      <c r="J1185" s="21"/>
      <c r="K1185" s="21"/>
      <c r="L1185" s="21"/>
      <c r="M1185" s="21"/>
      <c r="N1185" s="21"/>
      <c r="O1185" s="21"/>
      <c r="P1185" s="21"/>
      <c r="Q1185" s="22">
        <f t="shared" si="18"/>
        <v>5</v>
      </c>
    </row>
    <row r="1186" spans="1:17" ht="15.75" customHeight="1">
      <c r="A1186" s="23">
        <v>1184</v>
      </c>
      <c r="B1186" s="24" t="s">
        <v>2296</v>
      </c>
      <c r="C1186" s="24" t="s">
        <v>1523</v>
      </c>
      <c r="D1186" s="24" t="s">
        <v>1911</v>
      </c>
      <c r="E1186" s="25"/>
      <c r="F1186" s="25"/>
      <c r="G1186" s="25"/>
      <c r="H1186" s="25">
        <v>100</v>
      </c>
      <c r="I1186" s="25"/>
      <c r="J1186" s="25"/>
      <c r="K1186" s="25"/>
      <c r="L1186" s="25"/>
      <c r="M1186" s="25"/>
      <c r="N1186" s="25"/>
      <c r="O1186" s="25"/>
      <c r="P1186" s="25"/>
      <c r="Q1186" s="22">
        <f t="shared" si="18"/>
        <v>100</v>
      </c>
    </row>
    <row r="1187" spans="1:17" ht="15.75" customHeight="1">
      <c r="A1187" s="19">
        <v>1185</v>
      </c>
      <c r="B1187" s="20" t="s">
        <v>2297</v>
      </c>
      <c r="C1187" s="20" t="s">
        <v>1510</v>
      </c>
      <c r="D1187" s="20" t="s">
        <v>1927</v>
      </c>
      <c r="E1187" s="21"/>
      <c r="F1187" s="21"/>
      <c r="G1187" s="21"/>
      <c r="H1187" s="21"/>
      <c r="I1187" s="21"/>
      <c r="J1187" s="21">
        <v>18</v>
      </c>
      <c r="K1187" s="21"/>
      <c r="L1187" s="21"/>
      <c r="M1187" s="21"/>
      <c r="N1187" s="21"/>
      <c r="O1187" s="21"/>
      <c r="P1187" s="21"/>
      <c r="Q1187" s="22">
        <f t="shared" si="18"/>
        <v>18</v>
      </c>
    </row>
    <row r="1188" spans="1:17" ht="15.75" customHeight="1">
      <c r="A1188" s="23">
        <v>1186</v>
      </c>
      <c r="B1188" s="24" t="s">
        <v>2298</v>
      </c>
      <c r="C1188" s="24" t="s">
        <v>1460</v>
      </c>
      <c r="D1188" s="24" t="s">
        <v>2118</v>
      </c>
      <c r="E1188" s="25"/>
      <c r="F1188" s="25"/>
      <c r="G1188" s="25">
        <v>15</v>
      </c>
      <c r="H1188" s="25"/>
      <c r="I1188" s="25"/>
      <c r="J1188" s="25"/>
      <c r="K1188" s="25"/>
      <c r="L1188" s="25"/>
      <c r="M1188" s="25"/>
      <c r="N1188" s="25"/>
      <c r="O1188" s="25"/>
      <c r="P1188" s="25"/>
      <c r="Q1188" s="22">
        <f t="shared" si="18"/>
        <v>15</v>
      </c>
    </row>
    <row r="1189" spans="1:17" ht="15.75" customHeight="1">
      <c r="A1189" s="19">
        <v>1187</v>
      </c>
      <c r="B1189" s="20" t="s">
        <v>2299</v>
      </c>
      <c r="C1189" s="20" t="s">
        <v>1523</v>
      </c>
      <c r="D1189" s="20" t="s">
        <v>1700</v>
      </c>
      <c r="E1189" s="21"/>
      <c r="F1189" s="21"/>
      <c r="G1189" s="21"/>
      <c r="H1189" s="21">
        <v>100</v>
      </c>
      <c r="I1189" s="21"/>
      <c r="J1189" s="21"/>
      <c r="K1189" s="21"/>
      <c r="L1189" s="21"/>
      <c r="M1189" s="21"/>
      <c r="N1189" s="21"/>
      <c r="O1189" s="21"/>
      <c r="P1189" s="21"/>
      <c r="Q1189" s="22">
        <f t="shared" si="18"/>
        <v>100</v>
      </c>
    </row>
    <row r="1190" spans="1:17" ht="15.75" customHeight="1">
      <c r="A1190" s="23">
        <v>1188</v>
      </c>
      <c r="B1190" s="24" t="s">
        <v>2300</v>
      </c>
      <c r="C1190" s="24" t="s">
        <v>2301</v>
      </c>
      <c r="D1190" s="24" t="s">
        <v>2302</v>
      </c>
      <c r="E1190" s="25"/>
      <c r="F1190" s="25"/>
      <c r="G1190" s="25"/>
      <c r="H1190" s="25"/>
      <c r="I1190" s="25">
        <v>12</v>
      </c>
      <c r="J1190" s="25"/>
      <c r="K1190" s="25"/>
      <c r="L1190" s="25"/>
      <c r="M1190" s="25"/>
      <c r="N1190" s="25"/>
      <c r="O1190" s="25"/>
      <c r="P1190" s="25"/>
      <c r="Q1190" s="22">
        <f t="shared" si="18"/>
        <v>12</v>
      </c>
    </row>
    <row r="1191" spans="1:17" ht="15.75" customHeight="1">
      <c r="A1191" s="19">
        <v>1189</v>
      </c>
      <c r="B1191" s="20" t="s">
        <v>2303</v>
      </c>
      <c r="C1191" s="20" t="s">
        <v>1504</v>
      </c>
      <c r="D1191" s="20" t="s">
        <v>2304</v>
      </c>
      <c r="E1191" s="21"/>
      <c r="F1191" s="21"/>
      <c r="G1191" s="21"/>
      <c r="H1191" s="21"/>
      <c r="I1191" s="21"/>
      <c r="J1191" s="21"/>
      <c r="K1191" s="21"/>
      <c r="L1191" s="21"/>
      <c r="M1191" s="21"/>
      <c r="N1191" s="21"/>
      <c r="O1191" s="21">
        <v>1</v>
      </c>
      <c r="P1191" s="21"/>
      <c r="Q1191" s="22">
        <f t="shared" si="18"/>
        <v>1</v>
      </c>
    </row>
    <row r="1192" spans="1:17" ht="15.75" customHeight="1">
      <c r="A1192" s="23">
        <v>1190</v>
      </c>
      <c r="B1192" s="24" t="s">
        <v>2305</v>
      </c>
      <c r="C1192" s="24" t="s">
        <v>1481</v>
      </c>
      <c r="D1192" s="24" t="s">
        <v>20</v>
      </c>
      <c r="E1192" s="25">
        <v>2</v>
      </c>
      <c r="F1192" s="25"/>
      <c r="G1192" s="25"/>
      <c r="H1192" s="25"/>
      <c r="I1192" s="25"/>
      <c r="J1192" s="25"/>
      <c r="K1192" s="25"/>
      <c r="L1192" s="25"/>
      <c r="M1192" s="25"/>
      <c r="N1192" s="25"/>
      <c r="O1192" s="25">
        <v>1</v>
      </c>
      <c r="P1192" s="25"/>
      <c r="Q1192" s="22">
        <f t="shared" si="18"/>
        <v>3</v>
      </c>
    </row>
    <row r="1193" spans="1:17" ht="15.75" customHeight="1">
      <c r="A1193" s="19">
        <v>1191</v>
      </c>
      <c r="B1193" s="20" t="s">
        <v>2306</v>
      </c>
      <c r="C1193" s="20" t="s">
        <v>1504</v>
      </c>
      <c r="D1193" s="20" t="s">
        <v>24</v>
      </c>
      <c r="E1193" s="21">
        <v>20</v>
      </c>
      <c r="F1193" s="21"/>
      <c r="G1193" s="21"/>
      <c r="H1193" s="21"/>
      <c r="I1193" s="21">
        <v>4</v>
      </c>
      <c r="J1193" s="21"/>
      <c r="K1193" s="21"/>
      <c r="L1193" s="21"/>
      <c r="M1193" s="21"/>
      <c r="N1193" s="21">
        <v>5</v>
      </c>
      <c r="O1193" s="21">
        <v>9</v>
      </c>
      <c r="P1193" s="21">
        <v>5</v>
      </c>
      <c r="Q1193" s="22">
        <f t="shared" si="18"/>
        <v>43</v>
      </c>
    </row>
    <row r="1195" spans="1:17" ht="18" customHeight="1">
      <c r="C1195" s="28" t="s">
        <v>2307</v>
      </c>
      <c r="E1195" s="29">
        <f t="shared" ref="E1195:Q1195" si="19">SUM(E3:E1193)</f>
        <v>39252</v>
      </c>
      <c r="F1195" s="29">
        <f t="shared" si="19"/>
        <v>51303</v>
      </c>
      <c r="G1195" s="29">
        <f t="shared" si="19"/>
        <v>60895</v>
      </c>
      <c r="H1195" s="29">
        <f t="shared" si="19"/>
        <v>59679</v>
      </c>
      <c r="I1195" s="29">
        <f t="shared" si="19"/>
        <v>48689</v>
      </c>
      <c r="J1195" s="29">
        <f t="shared" si="19"/>
        <v>51308</v>
      </c>
      <c r="K1195" s="29">
        <f t="shared" si="19"/>
        <v>48147</v>
      </c>
      <c r="L1195" s="29">
        <f t="shared" si="19"/>
        <v>63207</v>
      </c>
      <c r="M1195" s="29">
        <f t="shared" si="19"/>
        <v>27549</v>
      </c>
      <c r="N1195" s="29">
        <f t="shared" si="19"/>
        <v>54876</v>
      </c>
      <c r="O1195" s="29">
        <f t="shared" si="19"/>
        <v>80162</v>
      </c>
      <c r="P1195" s="29">
        <f t="shared" si="19"/>
        <v>49654</v>
      </c>
      <c r="Q1195" s="29">
        <f t="shared" si="19"/>
        <v>634721</v>
      </c>
    </row>
  </sheetData>
  <mergeCells count="1">
    <mergeCell ref="A1:R1"/>
  </mergeCells>
  <phoneticPr fontId="3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1070"/>
  <sheetViews>
    <sheetView showGridLines="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ColWidth="8.6640625" defaultRowHeight="14.4"/>
  <cols>
    <col min="1" max="1" width="5" customWidth="1"/>
    <col min="2" max="2" width="16" customWidth="1"/>
    <col min="3" max="3" width="38" customWidth="1"/>
    <col min="4" max="4" width="22" customWidth="1"/>
    <col min="5" max="16" width="7" customWidth="1"/>
    <col min="17" max="17" width="10" customWidth="1"/>
  </cols>
  <sheetData>
    <row r="1" spans="1:18" ht="24" customHeight="1">
      <c r="A1" s="14" t="s">
        <v>2308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36" customHeight="1">
      <c r="A2" s="15" t="s">
        <v>1</v>
      </c>
      <c r="B2" s="16" t="s">
        <v>2</v>
      </c>
      <c r="C2" s="16" t="s">
        <v>3</v>
      </c>
      <c r="D2" s="16" t="s">
        <v>4</v>
      </c>
      <c r="E2" s="30" t="s">
        <v>5</v>
      </c>
      <c r="F2" s="30" t="s">
        <v>6</v>
      </c>
      <c r="G2" s="30" t="s">
        <v>7</v>
      </c>
      <c r="H2" s="30" t="s">
        <v>8</v>
      </c>
      <c r="I2" s="30" t="s">
        <v>9</v>
      </c>
      <c r="J2" s="30" t="s">
        <v>10</v>
      </c>
      <c r="K2" s="30" t="s">
        <v>11</v>
      </c>
      <c r="L2" s="30" t="s">
        <v>12</v>
      </c>
      <c r="M2" s="30" t="s">
        <v>13</v>
      </c>
      <c r="N2" s="30" t="s">
        <v>14</v>
      </c>
      <c r="O2" s="30" t="s">
        <v>15</v>
      </c>
      <c r="P2" s="30" t="s">
        <v>16</v>
      </c>
      <c r="Q2" s="18" t="s">
        <v>17</v>
      </c>
    </row>
    <row r="3" spans="1:18" ht="15.75" customHeight="1">
      <c r="A3" s="19">
        <v>1</v>
      </c>
      <c r="B3" s="20" t="s">
        <v>18</v>
      </c>
      <c r="C3" s="20" t="s">
        <v>19</v>
      </c>
      <c r="D3" s="20" t="s">
        <v>20</v>
      </c>
      <c r="E3" s="21"/>
      <c r="F3" s="21"/>
      <c r="G3" s="21">
        <v>20</v>
      </c>
      <c r="H3" s="21">
        <v>30</v>
      </c>
      <c r="I3" s="21"/>
      <c r="J3" s="21">
        <v>110</v>
      </c>
      <c r="K3" s="21"/>
      <c r="L3" s="21">
        <v>150</v>
      </c>
      <c r="M3" s="21"/>
      <c r="N3" s="21"/>
      <c r="O3" s="21"/>
      <c r="P3" s="21">
        <v>50</v>
      </c>
      <c r="Q3" s="22">
        <f t="shared" ref="Q3:Q66" si="0">SUM(E3:P3)</f>
        <v>360</v>
      </c>
    </row>
    <row r="4" spans="1:18" ht="15.75" customHeight="1">
      <c r="A4" s="23">
        <v>2</v>
      </c>
      <c r="B4" s="24" t="s">
        <v>21</v>
      </c>
      <c r="C4" s="24" t="s">
        <v>19</v>
      </c>
      <c r="D4" s="24" t="s">
        <v>22</v>
      </c>
      <c r="E4" s="25"/>
      <c r="F4" s="25"/>
      <c r="G4" s="25"/>
      <c r="H4" s="25"/>
      <c r="I4" s="25">
        <v>100</v>
      </c>
      <c r="J4" s="25">
        <v>100</v>
      </c>
      <c r="K4" s="25"/>
      <c r="L4" s="25"/>
      <c r="M4" s="25"/>
      <c r="N4" s="25"/>
      <c r="O4" s="25"/>
      <c r="P4" s="25">
        <v>30</v>
      </c>
      <c r="Q4" s="22">
        <f t="shared" si="0"/>
        <v>230</v>
      </c>
    </row>
    <row r="5" spans="1:18" ht="15.75" customHeight="1">
      <c r="A5" s="19">
        <v>3</v>
      </c>
      <c r="B5" s="20" t="s">
        <v>23</v>
      </c>
      <c r="C5" s="20" t="s">
        <v>19</v>
      </c>
      <c r="D5" s="20" t="s">
        <v>24</v>
      </c>
      <c r="E5" s="21">
        <v>50</v>
      </c>
      <c r="F5" s="21"/>
      <c r="G5" s="21">
        <v>30</v>
      </c>
      <c r="H5" s="21">
        <v>30</v>
      </c>
      <c r="I5" s="21">
        <v>340</v>
      </c>
      <c r="J5" s="21">
        <v>30</v>
      </c>
      <c r="K5" s="21">
        <v>90</v>
      </c>
      <c r="L5" s="21"/>
      <c r="M5" s="21">
        <v>30</v>
      </c>
      <c r="N5" s="21">
        <v>230</v>
      </c>
      <c r="O5" s="21">
        <v>50</v>
      </c>
      <c r="P5" s="21"/>
      <c r="Q5" s="22">
        <f t="shared" si="0"/>
        <v>880</v>
      </c>
    </row>
    <row r="6" spans="1:18" ht="15.75" customHeight="1">
      <c r="A6" s="23">
        <v>4</v>
      </c>
      <c r="B6" s="24" t="s">
        <v>25</v>
      </c>
      <c r="C6" s="24" t="s">
        <v>19</v>
      </c>
      <c r="D6" s="24" t="s">
        <v>26</v>
      </c>
      <c r="E6" s="25">
        <v>30</v>
      </c>
      <c r="F6" s="25"/>
      <c r="G6" s="25">
        <v>150</v>
      </c>
      <c r="H6" s="25">
        <v>50</v>
      </c>
      <c r="I6" s="25"/>
      <c r="J6" s="25"/>
      <c r="K6" s="25">
        <v>50</v>
      </c>
      <c r="L6" s="25"/>
      <c r="M6" s="25">
        <v>80</v>
      </c>
      <c r="N6" s="25"/>
      <c r="O6" s="25">
        <v>110</v>
      </c>
      <c r="P6" s="25">
        <v>10</v>
      </c>
      <c r="Q6" s="22">
        <f t="shared" si="0"/>
        <v>480</v>
      </c>
    </row>
    <row r="7" spans="1:18" ht="15.75" customHeight="1">
      <c r="A7" s="19">
        <v>5</v>
      </c>
      <c r="B7" s="20" t="s">
        <v>27</v>
      </c>
      <c r="C7" s="20" t="s">
        <v>28</v>
      </c>
      <c r="D7" s="20" t="s">
        <v>20</v>
      </c>
      <c r="E7" s="21"/>
      <c r="F7" s="21"/>
      <c r="G7" s="21"/>
      <c r="H7" s="21"/>
      <c r="I7" s="21"/>
      <c r="J7" s="21">
        <v>30</v>
      </c>
      <c r="K7" s="21">
        <v>100</v>
      </c>
      <c r="L7" s="21"/>
      <c r="M7" s="21"/>
      <c r="N7" s="21"/>
      <c r="O7" s="21"/>
      <c r="P7" s="21"/>
      <c r="Q7" s="22">
        <f t="shared" si="0"/>
        <v>130</v>
      </c>
    </row>
    <row r="8" spans="1:18" ht="15.75" customHeight="1">
      <c r="A8" s="23">
        <v>6</v>
      </c>
      <c r="B8" s="24" t="s">
        <v>2309</v>
      </c>
      <c r="C8" s="24" t="s">
        <v>28</v>
      </c>
      <c r="D8" s="24" t="s">
        <v>22</v>
      </c>
      <c r="E8" s="25"/>
      <c r="F8" s="25"/>
      <c r="G8" s="25"/>
      <c r="H8" s="25"/>
      <c r="I8" s="25">
        <v>30</v>
      </c>
      <c r="J8" s="25"/>
      <c r="K8" s="25"/>
      <c r="L8" s="25"/>
      <c r="M8" s="25"/>
      <c r="N8" s="25"/>
      <c r="O8" s="25"/>
      <c r="P8" s="25"/>
      <c r="Q8" s="22">
        <f t="shared" si="0"/>
        <v>30</v>
      </c>
    </row>
    <row r="9" spans="1:18" ht="15.75" customHeight="1">
      <c r="A9" s="19">
        <v>7</v>
      </c>
      <c r="B9" s="20" t="s">
        <v>29</v>
      </c>
      <c r="C9" s="20" t="s">
        <v>30</v>
      </c>
      <c r="D9" s="20" t="s">
        <v>20</v>
      </c>
      <c r="E9" s="21"/>
      <c r="F9" s="21"/>
      <c r="G9" s="21"/>
      <c r="H9" s="21"/>
      <c r="I9" s="21"/>
      <c r="J9" s="21"/>
      <c r="K9" s="21"/>
      <c r="L9" s="21">
        <v>50</v>
      </c>
      <c r="M9" s="21"/>
      <c r="N9" s="21">
        <v>15</v>
      </c>
      <c r="O9" s="21"/>
      <c r="P9" s="21"/>
      <c r="Q9" s="22">
        <f t="shared" si="0"/>
        <v>65</v>
      </c>
    </row>
    <row r="10" spans="1:18" ht="15.75" customHeight="1">
      <c r="A10" s="23">
        <v>8</v>
      </c>
      <c r="B10" s="24" t="s">
        <v>2310</v>
      </c>
      <c r="C10" s="24" t="s">
        <v>30</v>
      </c>
      <c r="D10" s="24" t="s">
        <v>121</v>
      </c>
      <c r="E10" s="25"/>
      <c r="F10" s="25"/>
      <c r="G10" s="25"/>
      <c r="H10" s="25"/>
      <c r="I10" s="25"/>
      <c r="J10" s="25"/>
      <c r="K10" s="25">
        <v>5</v>
      </c>
      <c r="L10" s="25"/>
      <c r="M10" s="25"/>
      <c r="N10" s="25"/>
      <c r="O10" s="25"/>
      <c r="P10" s="25"/>
      <c r="Q10" s="22">
        <f t="shared" si="0"/>
        <v>5</v>
      </c>
    </row>
    <row r="11" spans="1:18" ht="15.75" customHeight="1">
      <c r="A11" s="19">
        <v>9</v>
      </c>
      <c r="B11" s="20" t="s">
        <v>36</v>
      </c>
      <c r="C11" s="20" t="s">
        <v>30</v>
      </c>
      <c r="D11" s="20" t="s">
        <v>26</v>
      </c>
      <c r="E11" s="21">
        <v>10</v>
      </c>
      <c r="F11" s="21">
        <v>55</v>
      </c>
      <c r="G11" s="21">
        <v>66</v>
      </c>
      <c r="H11" s="21"/>
      <c r="I11" s="21">
        <v>200</v>
      </c>
      <c r="J11" s="21"/>
      <c r="K11" s="21">
        <v>10</v>
      </c>
      <c r="L11" s="21">
        <v>50</v>
      </c>
      <c r="M11" s="21"/>
      <c r="N11" s="21"/>
      <c r="O11" s="21"/>
      <c r="P11" s="21"/>
      <c r="Q11" s="22">
        <f t="shared" si="0"/>
        <v>391</v>
      </c>
    </row>
    <row r="12" spans="1:18" ht="15.75" customHeight="1">
      <c r="A12" s="23">
        <v>10</v>
      </c>
      <c r="B12" s="24" t="s">
        <v>2311</v>
      </c>
      <c r="C12" s="24" t="s">
        <v>30</v>
      </c>
      <c r="D12" s="24" t="s">
        <v>55</v>
      </c>
      <c r="E12" s="25"/>
      <c r="F12" s="25"/>
      <c r="G12" s="25"/>
      <c r="H12" s="25"/>
      <c r="I12" s="25"/>
      <c r="J12" s="25"/>
      <c r="K12" s="25"/>
      <c r="L12" s="25"/>
      <c r="M12" s="25"/>
      <c r="N12" s="25">
        <v>6</v>
      </c>
      <c r="O12" s="25"/>
      <c r="P12" s="25">
        <v>1</v>
      </c>
      <c r="Q12" s="22">
        <f t="shared" si="0"/>
        <v>7</v>
      </c>
    </row>
    <row r="13" spans="1:18" ht="15.75" customHeight="1">
      <c r="A13" s="19">
        <v>11</v>
      </c>
      <c r="B13" s="20" t="s">
        <v>37</v>
      </c>
      <c r="C13" s="20" t="s">
        <v>38</v>
      </c>
      <c r="D13" s="20" t="s">
        <v>39</v>
      </c>
      <c r="E13" s="21"/>
      <c r="F13" s="21"/>
      <c r="G13" s="21"/>
      <c r="H13" s="21"/>
      <c r="I13" s="21"/>
      <c r="J13" s="21"/>
      <c r="K13" s="21"/>
      <c r="L13" s="21">
        <v>10</v>
      </c>
      <c r="M13" s="21"/>
      <c r="N13" s="21"/>
      <c r="O13" s="21"/>
      <c r="P13" s="21"/>
      <c r="Q13" s="22">
        <f t="shared" si="0"/>
        <v>10</v>
      </c>
    </row>
    <row r="14" spans="1:18" ht="15.75" customHeight="1">
      <c r="A14" s="23">
        <v>12</v>
      </c>
      <c r="B14" s="24" t="s">
        <v>41</v>
      </c>
      <c r="C14" s="24" t="s">
        <v>38</v>
      </c>
      <c r="D14" s="24" t="s">
        <v>42</v>
      </c>
      <c r="E14" s="25">
        <v>30</v>
      </c>
      <c r="F14" s="25">
        <v>60</v>
      </c>
      <c r="G14" s="25"/>
      <c r="H14" s="25"/>
      <c r="I14" s="25"/>
      <c r="J14" s="25">
        <v>120</v>
      </c>
      <c r="K14" s="25">
        <v>30</v>
      </c>
      <c r="L14" s="25">
        <v>10</v>
      </c>
      <c r="M14" s="25"/>
      <c r="N14" s="25">
        <v>60</v>
      </c>
      <c r="O14" s="25">
        <v>200</v>
      </c>
      <c r="P14" s="25"/>
      <c r="Q14" s="22">
        <f t="shared" si="0"/>
        <v>510</v>
      </c>
    </row>
    <row r="15" spans="1:18" ht="15.75" customHeight="1">
      <c r="A15" s="19">
        <v>13</v>
      </c>
      <c r="B15" s="20" t="s">
        <v>46</v>
      </c>
      <c r="C15" s="20" t="s">
        <v>38</v>
      </c>
      <c r="D15" s="20" t="s">
        <v>47</v>
      </c>
      <c r="E15" s="21"/>
      <c r="F15" s="21"/>
      <c r="G15" s="21"/>
      <c r="H15" s="21"/>
      <c r="I15" s="21"/>
      <c r="J15" s="21"/>
      <c r="K15" s="21">
        <v>2</v>
      </c>
      <c r="L15" s="21"/>
      <c r="M15" s="21"/>
      <c r="N15" s="21"/>
      <c r="O15" s="21"/>
      <c r="P15" s="21"/>
      <c r="Q15" s="22">
        <f t="shared" si="0"/>
        <v>2</v>
      </c>
    </row>
    <row r="16" spans="1:18" ht="15.75" customHeight="1">
      <c r="A16" s="23">
        <v>14</v>
      </c>
      <c r="B16" s="24" t="s">
        <v>48</v>
      </c>
      <c r="C16" s="24" t="s">
        <v>38</v>
      </c>
      <c r="D16" s="24" t="s">
        <v>24</v>
      </c>
      <c r="E16" s="25">
        <v>10</v>
      </c>
      <c r="F16" s="25"/>
      <c r="G16" s="25">
        <v>10</v>
      </c>
      <c r="H16" s="25"/>
      <c r="I16" s="25"/>
      <c r="J16" s="25"/>
      <c r="K16" s="25"/>
      <c r="L16" s="25"/>
      <c r="M16" s="25">
        <v>10</v>
      </c>
      <c r="N16" s="25"/>
      <c r="O16" s="25"/>
      <c r="P16" s="25"/>
      <c r="Q16" s="22">
        <f t="shared" si="0"/>
        <v>30</v>
      </c>
    </row>
    <row r="17" spans="1:17" ht="15.75" customHeight="1">
      <c r="A17" s="19">
        <v>15</v>
      </c>
      <c r="B17" s="20" t="s">
        <v>49</v>
      </c>
      <c r="C17" s="20" t="s">
        <v>38</v>
      </c>
      <c r="D17" s="20" t="s">
        <v>50</v>
      </c>
      <c r="E17" s="21"/>
      <c r="F17" s="21"/>
      <c r="G17" s="21"/>
      <c r="H17" s="21"/>
      <c r="I17" s="21"/>
      <c r="J17" s="21">
        <v>1</v>
      </c>
      <c r="K17" s="21"/>
      <c r="L17" s="21">
        <v>20</v>
      </c>
      <c r="M17" s="21"/>
      <c r="N17" s="21"/>
      <c r="O17" s="21"/>
      <c r="P17" s="21"/>
      <c r="Q17" s="22">
        <f t="shared" si="0"/>
        <v>21</v>
      </c>
    </row>
    <row r="18" spans="1:17" ht="15.75" customHeight="1">
      <c r="A18" s="23">
        <v>16</v>
      </c>
      <c r="B18" s="24" t="s">
        <v>52</v>
      </c>
      <c r="C18" s="24" t="s">
        <v>38</v>
      </c>
      <c r="D18" s="24" t="s">
        <v>53</v>
      </c>
      <c r="E18" s="25"/>
      <c r="F18" s="25"/>
      <c r="G18" s="25"/>
      <c r="H18" s="25"/>
      <c r="I18" s="25"/>
      <c r="J18" s="25"/>
      <c r="K18" s="25"/>
      <c r="L18" s="25">
        <v>20</v>
      </c>
      <c r="M18" s="25"/>
      <c r="N18" s="25"/>
      <c r="O18" s="25"/>
      <c r="P18" s="25"/>
      <c r="Q18" s="22">
        <f t="shared" si="0"/>
        <v>20</v>
      </c>
    </row>
    <row r="19" spans="1:17" ht="15.75" customHeight="1">
      <c r="A19" s="19">
        <v>17</v>
      </c>
      <c r="B19" s="20" t="s">
        <v>54</v>
      </c>
      <c r="C19" s="20" t="s">
        <v>38</v>
      </c>
      <c r="D19" s="20" t="s">
        <v>55</v>
      </c>
      <c r="E19" s="21"/>
      <c r="F19" s="21"/>
      <c r="G19" s="21">
        <v>10</v>
      </c>
      <c r="H19" s="21"/>
      <c r="I19" s="21"/>
      <c r="J19" s="21"/>
      <c r="K19" s="21"/>
      <c r="L19" s="21">
        <v>20</v>
      </c>
      <c r="M19" s="21"/>
      <c r="N19" s="21"/>
      <c r="O19" s="21"/>
      <c r="P19" s="21"/>
      <c r="Q19" s="22">
        <f t="shared" si="0"/>
        <v>30</v>
      </c>
    </row>
    <row r="20" spans="1:17" ht="15.75" customHeight="1">
      <c r="A20" s="23">
        <v>18</v>
      </c>
      <c r="B20" s="24" t="s">
        <v>56</v>
      </c>
      <c r="C20" s="24" t="s">
        <v>38</v>
      </c>
      <c r="D20" s="24" t="s">
        <v>57</v>
      </c>
      <c r="E20" s="25"/>
      <c r="F20" s="25"/>
      <c r="G20" s="25">
        <v>50</v>
      </c>
      <c r="H20" s="25"/>
      <c r="I20" s="25">
        <v>50</v>
      </c>
      <c r="J20" s="25">
        <v>50</v>
      </c>
      <c r="K20" s="25">
        <v>100</v>
      </c>
      <c r="L20" s="25"/>
      <c r="M20" s="25">
        <v>200</v>
      </c>
      <c r="N20" s="25">
        <v>50</v>
      </c>
      <c r="O20" s="25"/>
      <c r="P20" s="25"/>
      <c r="Q20" s="22">
        <f t="shared" si="0"/>
        <v>500</v>
      </c>
    </row>
    <row r="21" spans="1:17" ht="15.75" customHeight="1">
      <c r="A21" s="19">
        <v>19</v>
      </c>
      <c r="B21" s="20" t="s">
        <v>58</v>
      </c>
      <c r="C21" s="20" t="s">
        <v>38</v>
      </c>
      <c r="D21" s="20" t="s">
        <v>59</v>
      </c>
      <c r="E21" s="21"/>
      <c r="F21" s="21"/>
      <c r="G21" s="21">
        <v>10</v>
      </c>
      <c r="H21" s="21"/>
      <c r="I21" s="21"/>
      <c r="J21" s="21"/>
      <c r="K21" s="21"/>
      <c r="L21" s="21">
        <v>10</v>
      </c>
      <c r="M21" s="21"/>
      <c r="N21" s="21"/>
      <c r="O21" s="21"/>
      <c r="P21" s="21"/>
      <c r="Q21" s="22">
        <f t="shared" si="0"/>
        <v>20</v>
      </c>
    </row>
    <row r="22" spans="1:17" ht="15.75" customHeight="1">
      <c r="A22" s="23">
        <v>20</v>
      </c>
      <c r="B22" s="24" t="s">
        <v>60</v>
      </c>
      <c r="C22" s="24" t="s">
        <v>38</v>
      </c>
      <c r="D22" s="24" t="s">
        <v>61</v>
      </c>
      <c r="E22" s="25"/>
      <c r="F22" s="25"/>
      <c r="G22" s="25">
        <v>10</v>
      </c>
      <c r="H22" s="25"/>
      <c r="I22" s="25"/>
      <c r="J22" s="25"/>
      <c r="K22" s="25"/>
      <c r="L22" s="25">
        <v>10</v>
      </c>
      <c r="M22" s="25"/>
      <c r="N22" s="25"/>
      <c r="O22" s="25"/>
      <c r="P22" s="25"/>
      <c r="Q22" s="22">
        <f t="shared" si="0"/>
        <v>20</v>
      </c>
    </row>
    <row r="23" spans="1:17" ht="15.75" customHeight="1">
      <c r="A23" s="19">
        <v>21</v>
      </c>
      <c r="B23" s="20" t="s">
        <v>2312</v>
      </c>
      <c r="C23" s="20" t="s">
        <v>63</v>
      </c>
      <c r="D23" s="20" t="s">
        <v>87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>
        <v>4</v>
      </c>
      <c r="P23" s="21"/>
      <c r="Q23" s="22">
        <f t="shared" si="0"/>
        <v>4</v>
      </c>
    </row>
    <row r="24" spans="1:17" ht="15.75" customHeight="1">
      <c r="A24" s="23">
        <v>22</v>
      </c>
      <c r="B24" s="24" t="s">
        <v>66</v>
      </c>
      <c r="C24" s="24" t="s">
        <v>30</v>
      </c>
      <c r="D24" s="24" t="s">
        <v>24</v>
      </c>
      <c r="E24" s="25">
        <v>40</v>
      </c>
      <c r="F24" s="25"/>
      <c r="G24" s="25"/>
      <c r="H24" s="25"/>
      <c r="I24" s="25">
        <v>200</v>
      </c>
      <c r="J24" s="25"/>
      <c r="K24" s="25"/>
      <c r="L24" s="25"/>
      <c r="M24" s="25"/>
      <c r="N24" s="25"/>
      <c r="O24" s="25"/>
      <c r="P24" s="25"/>
      <c r="Q24" s="22">
        <f t="shared" si="0"/>
        <v>240</v>
      </c>
    </row>
    <row r="25" spans="1:17" ht="15.75" customHeight="1">
      <c r="A25" s="19">
        <v>23</v>
      </c>
      <c r="B25" s="20" t="s">
        <v>2313</v>
      </c>
      <c r="C25" s="20" t="s">
        <v>30</v>
      </c>
      <c r="D25" s="20" t="s">
        <v>24</v>
      </c>
      <c r="E25" s="21"/>
      <c r="F25" s="21"/>
      <c r="G25" s="21"/>
      <c r="H25" s="21"/>
      <c r="I25" s="21"/>
      <c r="J25" s="21"/>
      <c r="K25" s="21">
        <v>200</v>
      </c>
      <c r="L25" s="21"/>
      <c r="M25" s="21"/>
      <c r="N25" s="21"/>
      <c r="O25" s="21"/>
      <c r="P25" s="21"/>
      <c r="Q25" s="22">
        <f t="shared" si="0"/>
        <v>200</v>
      </c>
    </row>
    <row r="26" spans="1:17" ht="15.75" customHeight="1">
      <c r="A26" s="23">
        <v>24</v>
      </c>
      <c r="B26" s="24" t="s">
        <v>67</v>
      </c>
      <c r="C26" s="24" t="s">
        <v>30</v>
      </c>
      <c r="D26" s="24" t="s">
        <v>57</v>
      </c>
      <c r="E26" s="25">
        <v>10</v>
      </c>
      <c r="F26" s="25"/>
      <c r="G26" s="25"/>
      <c r="H26" s="25"/>
      <c r="I26" s="25"/>
      <c r="J26" s="25"/>
      <c r="K26" s="25"/>
      <c r="L26" s="25">
        <v>70</v>
      </c>
      <c r="M26" s="25"/>
      <c r="N26" s="25"/>
      <c r="O26" s="25"/>
      <c r="P26" s="25"/>
      <c r="Q26" s="22">
        <f t="shared" si="0"/>
        <v>80</v>
      </c>
    </row>
    <row r="27" spans="1:17" ht="15.75" customHeight="1">
      <c r="A27" s="19">
        <v>25</v>
      </c>
      <c r="B27" s="20" t="s">
        <v>2314</v>
      </c>
      <c r="C27" s="20" t="s">
        <v>30</v>
      </c>
      <c r="D27" s="20" t="s">
        <v>170</v>
      </c>
      <c r="E27" s="21">
        <v>10</v>
      </c>
      <c r="F27" s="21"/>
      <c r="G27" s="21"/>
      <c r="H27" s="21">
        <v>3</v>
      </c>
      <c r="I27" s="21"/>
      <c r="J27" s="21"/>
      <c r="K27" s="21"/>
      <c r="L27" s="21"/>
      <c r="M27" s="21"/>
      <c r="N27" s="21"/>
      <c r="O27" s="21"/>
      <c r="P27" s="21"/>
      <c r="Q27" s="22">
        <f t="shared" si="0"/>
        <v>13</v>
      </c>
    </row>
    <row r="28" spans="1:17" ht="15.75" customHeight="1">
      <c r="A28" s="23">
        <v>26</v>
      </c>
      <c r="B28" s="24" t="s">
        <v>2315</v>
      </c>
      <c r="C28" s="24" t="s">
        <v>75</v>
      </c>
      <c r="D28" s="24" t="s">
        <v>24</v>
      </c>
      <c r="E28" s="25"/>
      <c r="F28" s="25"/>
      <c r="G28" s="25"/>
      <c r="H28" s="25"/>
      <c r="I28" s="25"/>
      <c r="J28" s="25">
        <v>30</v>
      </c>
      <c r="K28" s="25"/>
      <c r="L28" s="25"/>
      <c r="M28" s="25"/>
      <c r="N28" s="25"/>
      <c r="O28" s="25"/>
      <c r="P28" s="25"/>
      <c r="Q28" s="22">
        <f t="shared" si="0"/>
        <v>30</v>
      </c>
    </row>
    <row r="29" spans="1:17" ht="15.75" customHeight="1">
      <c r="A29" s="19">
        <v>27</v>
      </c>
      <c r="B29" s="20" t="s">
        <v>2316</v>
      </c>
      <c r="C29" s="20" t="s">
        <v>75</v>
      </c>
      <c r="D29" s="20" t="s">
        <v>240</v>
      </c>
      <c r="E29" s="21"/>
      <c r="F29" s="21"/>
      <c r="G29" s="21"/>
      <c r="H29" s="21"/>
      <c r="I29" s="21">
        <v>30</v>
      </c>
      <c r="J29" s="21">
        <v>30</v>
      </c>
      <c r="K29" s="21"/>
      <c r="L29" s="21"/>
      <c r="M29" s="21"/>
      <c r="N29" s="21"/>
      <c r="O29" s="21"/>
      <c r="P29" s="21"/>
      <c r="Q29" s="22">
        <f t="shared" si="0"/>
        <v>60</v>
      </c>
    </row>
    <row r="30" spans="1:17" ht="15.75" customHeight="1">
      <c r="A30" s="23">
        <v>28</v>
      </c>
      <c r="B30" s="24" t="s">
        <v>2317</v>
      </c>
      <c r="C30" s="24" t="s">
        <v>19</v>
      </c>
      <c r="D30" s="24" t="s">
        <v>42</v>
      </c>
      <c r="E30" s="25"/>
      <c r="F30" s="25">
        <v>100</v>
      </c>
      <c r="G30" s="25"/>
      <c r="H30" s="25"/>
      <c r="I30" s="25">
        <v>100</v>
      </c>
      <c r="J30" s="25"/>
      <c r="K30" s="25"/>
      <c r="L30" s="25"/>
      <c r="M30" s="25"/>
      <c r="N30" s="25">
        <v>200</v>
      </c>
      <c r="O30" s="25">
        <v>50</v>
      </c>
      <c r="P30" s="25"/>
      <c r="Q30" s="22">
        <f t="shared" si="0"/>
        <v>450</v>
      </c>
    </row>
    <row r="31" spans="1:17" ht="15.75" customHeight="1">
      <c r="A31" s="19">
        <v>29</v>
      </c>
      <c r="B31" s="20" t="s">
        <v>2318</v>
      </c>
      <c r="C31" s="20" t="s">
        <v>30</v>
      </c>
      <c r="D31" s="20" t="s">
        <v>259</v>
      </c>
      <c r="E31" s="21"/>
      <c r="F31" s="21"/>
      <c r="G31" s="21"/>
      <c r="H31" s="21">
        <v>2</v>
      </c>
      <c r="I31" s="21"/>
      <c r="J31" s="21"/>
      <c r="K31" s="21"/>
      <c r="L31" s="21"/>
      <c r="M31" s="21"/>
      <c r="N31" s="21"/>
      <c r="O31" s="21"/>
      <c r="P31" s="21"/>
      <c r="Q31" s="22">
        <f t="shared" si="0"/>
        <v>2</v>
      </c>
    </row>
    <row r="32" spans="1:17" ht="15.75" customHeight="1">
      <c r="A32" s="23">
        <v>30</v>
      </c>
      <c r="B32" s="24" t="s">
        <v>70</v>
      </c>
      <c r="C32" s="24" t="s">
        <v>28</v>
      </c>
      <c r="D32" s="24" t="s">
        <v>32</v>
      </c>
      <c r="E32" s="25"/>
      <c r="F32" s="25"/>
      <c r="G32" s="25"/>
      <c r="H32" s="25"/>
      <c r="I32" s="25"/>
      <c r="J32" s="25"/>
      <c r="K32" s="25"/>
      <c r="L32" s="25"/>
      <c r="M32" s="25">
        <v>5</v>
      </c>
      <c r="N32" s="25"/>
      <c r="O32" s="25">
        <v>5</v>
      </c>
      <c r="P32" s="25"/>
      <c r="Q32" s="22">
        <f t="shared" si="0"/>
        <v>10</v>
      </c>
    </row>
    <row r="33" spans="1:17" ht="15.75" customHeight="1">
      <c r="A33" s="19">
        <v>31</v>
      </c>
      <c r="B33" s="20" t="s">
        <v>71</v>
      </c>
      <c r="C33" s="20" t="s">
        <v>19</v>
      </c>
      <c r="D33" s="20" t="s">
        <v>32</v>
      </c>
      <c r="E33" s="21"/>
      <c r="F33" s="21"/>
      <c r="G33" s="21"/>
      <c r="H33" s="21">
        <v>30</v>
      </c>
      <c r="I33" s="21">
        <v>50</v>
      </c>
      <c r="J33" s="21"/>
      <c r="K33" s="21"/>
      <c r="L33" s="21"/>
      <c r="M33" s="21"/>
      <c r="N33" s="21"/>
      <c r="O33" s="21"/>
      <c r="P33" s="21">
        <v>180</v>
      </c>
      <c r="Q33" s="22">
        <f t="shared" si="0"/>
        <v>260</v>
      </c>
    </row>
    <row r="34" spans="1:17" ht="15.75" customHeight="1">
      <c r="A34" s="23">
        <v>32</v>
      </c>
      <c r="B34" s="24" t="s">
        <v>2319</v>
      </c>
      <c r="C34" s="24" t="s">
        <v>69</v>
      </c>
      <c r="D34" s="24" t="s">
        <v>26</v>
      </c>
      <c r="E34" s="25"/>
      <c r="F34" s="25"/>
      <c r="G34" s="25"/>
      <c r="H34" s="25"/>
      <c r="I34" s="25"/>
      <c r="J34" s="25"/>
      <c r="K34" s="25">
        <v>10</v>
      </c>
      <c r="L34" s="25"/>
      <c r="M34" s="25"/>
      <c r="N34" s="25"/>
      <c r="O34" s="25"/>
      <c r="P34" s="25"/>
      <c r="Q34" s="22">
        <f t="shared" si="0"/>
        <v>10</v>
      </c>
    </row>
    <row r="35" spans="1:17" ht="15.75" customHeight="1">
      <c r="A35" s="19">
        <v>33</v>
      </c>
      <c r="B35" s="20" t="s">
        <v>2320</v>
      </c>
      <c r="C35" s="20" t="s">
        <v>69</v>
      </c>
      <c r="D35" s="20" t="s">
        <v>47</v>
      </c>
      <c r="E35" s="21"/>
      <c r="F35" s="21"/>
      <c r="G35" s="21"/>
      <c r="H35" s="21">
        <v>4</v>
      </c>
      <c r="I35" s="21"/>
      <c r="J35" s="21"/>
      <c r="K35" s="21"/>
      <c r="L35" s="21"/>
      <c r="M35" s="21"/>
      <c r="N35" s="21">
        <v>2</v>
      </c>
      <c r="O35" s="21"/>
      <c r="P35" s="21">
        <v>2</v>
      </c>
      <c r="Q35" s="22">
        <f t="shared" si="0"/>
        <v>8</v>
      </c>
    </row>
    <row r="36" spans="1:17" ht="15.75" customHeight="1">
      <c r="A36" s="23">
        <v>34</v>
      </c>
      <c r="B36" s="24" t="s">
        <v>2321</v>
      </c>
      <c r="C36" s="24" t="s">
        <v>28</v>
      </c>
      <c r="D36" s="24" t="s">
        <v>26</v>
      </c>
      <c r="E36" s="25"/>
      <c r="F36" s="25"/>
      <c r="G36" s="25">
        <v>5</v>
      </c>
      <c r="H36" s="25"/>
      <c r="I36" s="25"/>
      <c r="J36" s="25"/>
      <c r="K36" s="25">
        <v>70</v>
      </c>
      <c r="L36" s="25"/>
      <c r="M36" s="25"/>
      <c r="N36" s="25"/>
      <c r="O36" s="25"/>
      <c r="P36" s="25"/>
      <c r="Q36" s="22">
        <f t="shared" si="0"/>
        <v>75</v>
      </c>
    </row>
    <row r="37" spans="1:17" ht="15.75" customHeight="1">
      <c r="A37" s="19">
        <v>35</v>
      </c>
      <c r="B37" s="20" t="s">
        <v>72</v>
      </c>
      <c r="C37" s="20" t="s">
        <v>19</v>
      </c>
      <c r="D37" s="20" t="s">
        <v>47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>
        <v>20</v>
      </c>
      <c r="Q37" s="22">
        <f t="shared" si="0"/>
        <v>20</v>
      </c>
    </row>
    <row r="38" spans="1:17" ht="15.75" customHeight="1">
      <c r="A38" s="23">
        <v>36</v>
      </c>
      <c r="B38" s="24" t="s">
        <v>73</v>
      </c>
      <c r="C38" s="24" t="s">
        <v>69</v>
      </c>
      <c r="D38" s="24" t="s">
        <v>22</v>
      </c>
      <c r="E38" s="25"/>
      <c r="F38" s="25"/>
      <c r="G38" s="25"/>
      <c r="H38" s="25"/>
      <c r="I38" s="25"/>
      <c r="J38" s="25"/>
      <c r="K38" s="25"/>
      <c r="L38" s="25"/>
      <c r="M38" s="25"/>
      <c r="N38" s="25">
        <v>1</v>
      </c>
      <c r="O38" s="25"/>
      <c r="P38" s="25">
        <v>1</v>
      </c>
      <c r="Q38" s="22">
        <f t="shared" si="0"/>
        <v>2</v>
      </c>
    </row>
    <row r="39" spans="1:17" ht="15.75" customHeight="1">
      <c r="A39" s="19">
        <v>37</v>
      </c>
      <c r="B39" s="20" t="s">
        <v>74</v>
      </c>
      <c r="C39" s="20" t="s">
        <v>75</v>
      </c>
      <c r="D39" s="20" t="s">
        <v>47</v>
      </c>
      <c r="E39" s="21"/>
      <c r="F39" s="21"/>
      <c r="G39" s="21"/>
      <c r="H39" s="21">
        <v>6</v>
      </c>
      <c r="I39" s="21"/>
      <c r="J39" s="21"/>
      <c r="K39" s="21">
        <v>20</v>
      </c>
      <c r="L39" s="21">
        <v>20</v>
      </c>
      <c r="M39" s="21"/>
      <c r="N39" s="21"/>
      <c r="O39" s="21">
        <v>2</v>
      </c>
      <c r="P39" s="21">
        <v>20</v>
      </c>
      <c r="Q39" s="22">
        <f t="shared" si="0"/>
        <v>68</v>
      </c>
    </row>
    <row r="40" spans="1:17" ht="15.75" customHeight="1">
      <c r="A40" s="23">
        <v>38</v>
      </c>
      <c r="B40" s="24" t="s">
        <v>2322</v>
      </c>
      <c r="C40" s="24" t="s">
        <v>75</v>
      </c>
      <c r="D40" s="24" t="s">
        <v>87</v>
      </c>
      <c r="E40" s="25"/>
      <c r="F40" s="25"/>
      <c r="G40" s="25"/>
      <c r="H40" s="25"/>
      <c r="I40" s="25"/>
      <c r="J40" s="25"/>
      <c r="K40" s="25"/>
      <c r="L40" s="25">
        <v>10</v>
      </c>
      <c r="M40" s="25"/>
      <c r="N40" s="25"/>
      <c r="O40" s="25">
        <v>20</v>
      </c>
      <c r="P40" s="25"/>
      <c r="Q40" s="22">
        <f t="shared" si="0"/>
        <v>30</v>
      </c>
    </row>
    <row r="41" spans="1:17" ht="15.75" customHeight="1">
      <c r="A41" s="19">
        <v>39</v>
      </c>
      <c r="B41" s="20" t="s">
        <v>76</v>
      </c>
      <c r="C41" s="20" t="s">
        <v>77</v>
      </c>
      <c r="D41" s="20" t="s">
        <v>78</v>
      </c>
      <c r="E41" s="21"/>
      <c r="F41" s="21"/>
      <c r="G41" s="21"/>
      <c r="H41" s="21"/>
      <c r="I41" s="21"/>
      <c r="J41" s="21"/>
      <c r="K41" s="21"/>
      <c r="L41" s="21"/>
      <c r="M41" s="21">
        <v>200</v>
      </c>
      <c r="N41" s="21"/>
      <c r="O41" s="21"/>
      <c r="P41" s="21"/>
      <c r="Q41" s="22">
        <f t="shared" si="0"/>
        <v>200</v>
      </c>
    </row>
    <row r="42" spans="1:17" ht="15.75" customHeight="1">
      <c r="A42" s="23">
        <v>40</v>
      </c>
      <c r="B42" s="24" t="s">
        <v>85</v>
      </c>
      <c r="C42" s="24" t="s">
        <v>28</v>
      </c>
      <c r="D42" s="24" t="s">
        <v>57</v>
      </c>
      <c r="E42" s="25"/>
      <c r="F42" s="25"/>
      <c r="G42" s="25"/>
      <c r="H42" s="25"/>
      <c r="I42" s="25"/>
      <c r="J42" s="25"/>
      <c r="K42" s="25">
        <v>70</v>
      </c>
      <c r="L42" s="25"/>
      <c r="M42" s="25"/>
      <c r="N42" s="25"/>
      <c r="O42" s="25"/>
      <c r="P42" s="25"/>
      <c r="Q42" s="22">
        <f t="shared" si="0"/>
        <v>70</v>
      </c>
    </row>
    <row r="43" spans="1:17" ht="15.75" customHeight="1">
      <c r="A43" s="19">
        <v>41</v>
      </c>
      <c r="B43" s="20" t="s">
        <v>86</v>
      </c>
      <c r="C43" s="20" t="s">
        <v>69</v>
      </c>
      <c r="D43" s="20" t="s">
        <v>87</v>
      </c>
      <c r="E43" s="21"/>
      <c r="F43" s="21"/>
      <c r="G43" s="21"/>
      <c r="H43" s="21">
        <v>1</v>
      </c>
      <c r="I43" s="21"/>
      <c r="J43" s="21"/>
      <c r="K43" s="21"/>
      <c r="L43" s="21"/>
      <c r="M43" s="21"/>
      <c r="N43" s="21"/>
      <c r="O43" s="21"/>
      <c r="P43" s="21"/>
      <c r="Q43" s="22">
        <f t="shared" si="0"/>
        <v>1</v>
      </c>
    </row>
    <row r="44" spans="1:17" ht="15.75" customHeight="1">
      <c r="A44" s="23">
        <v>42</v>
      </c>
      <c r="B44" s="24" t="s">
        <v>2323</v>
      </c>
      <c r="C44" s="24" t="s">
        <v>75</v>
      </c>
      <c r="D44" s="24" t="s">
        <v>53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>
        <v>10</v>
      </c>
      <c r="P44" s="25"/>
      <c r="Q44" s="22">
        <f t="shared" si="0"/>
        <v>10</v>
      </c>
    </row>
    <row r="45" spans="1:17" ht="15.75" customHeight="1">
      <c r="A45" s="19">
        <v>43</v>
      </c>
      <c r="B45" s="20" t="s">
        <v>88</v>
      </c>
      <c r="C45" s="20" t="s">
        <v>89</v>
      </c>
      <c r="D45" s="20" t="s">
        <v>90</v>
      </c>
      <c r="E45" s="21"/>
      <c r="F45" s="21"/>
      <c r="G45" s="21"/>
      <c r="H45" s="21"/>
      <c r="I45" s="21"/>
      <c r="J45" s="21"/>
      <c r="K45" s="21">
        <v>100</v>
      </c>
      <c r="L45" s="21"/>
      <c r="M45" s="21"/>
      <c r="N45" s="21"/>
      <c r="O45" s="21"/>
      <c r="P45" s="21"/>
      <c r="Q45" s="22">
        <f t="shared" si="0"/>
        <v>100</v>
      </c>
    </row>
    <row r="46" spans="1:17" ht="15.75" customHeight="1">
      <c r="A46" s="23">
        <v>44</v>
      </c>
      <c r="B46" s="24" t="s">
        <v>91</v>
      </c>
      <c r="C46" s="24" t="s">
        <v>77</v>
      </c>
      <c r="D46" s="24" t="s">
        <v>90</v>
      </c>
      <c r="E46" s="25"/>
      <c r="F46" s="25"/>
      <c r="G46" s="25">
        <v>30</v>
      </c>
      <c r="H46" s="25"/>
      <c r="I46" s="25"/>
      <c r="J46" s="25">
        <v>1</v>
      </c>
      <c r="K46" s="25"/>
      <c r="L46" s="25"/>
      <c r="M46" s="25">
        <v>30</v>
      </c>
      <c r="N46" s="25">
        <v>20</v>
      </c>
      <c r="O46" s="25"/>
      <c r="P46" s="25"/>
      <c r="Q46" s="22">
        <f t="shared" si="0"/>
        <v>81</v>
      </c>
    </row>
    <row r="47" spans="1:17" ht="15.75" customHeight="1">
      <c r="A47" s="19">
        <v>45</v>
      </c>
      <c r="B47" s="20" t="s">
        <v>92</v>
      </c>
      <c r="C47" s="20" t="s">
        <v>93</v>
      </c>
      <c r="D47" s="20" t="s">
        <v>90</v>
      </c>
      <c r="E47" s="21"/>
      <c r="F47" s="21"/>
      <c r="G47" s="21">
        <v>30</v>
      </c>
      <c r="H47" s="21"/>
      <c r="I47" s="21">
        <v>30</v>
      </c>
      <c r="J47" s="21"/>
      <c r="K47" s="21"/>
      <c r="L47" s="21"/>
      <c r="M47" s="21"/>
      <c r="N47" s="21">
        <v>4</v>
      </c>
      <c r="O47" s="21"/>
      <c r="P47" s="21">
        <v>5</v>
      </c>
      <c r="Q47" s="22">
        <f t="shared" si="0"/>
        <v>69</v>
      </c>
    </row>
    <row r="48" spans="1:17" ht="15.75" customHeight="1">
      <c r="A48" s="23">
        <v>46</v>
      </c>
      <c r="B48" s="24" t="s">
        <v>94</v>
      </c>
      <c r="C48" s="24" t="s">
        <v>95</v>
      </c>
      <c r="D48" s="24" t="s">
        <v>90</v>
      </c>
      <c r="E48" s="25"/>
      <c r="F48" s="25"/>
      <c r="G48" s="25"/>
      <c r="H48" s="25"/>
      <c r="I48" s="25">
        <v>7</v>
      </c>
      <c r="J48" s="25"/>
      <c r="K48" s="25"/>
      <c r="L48" s="25"/>
      <c r="M48" s="25">
        <v>40</v>
      </c>
      <c r="N48" s="25"/>
      <c r="O48" s="25"/>
      <c r="P48" s="25"/>
      <c r="Q48" s="22">
        <f t="shared" si="0"/>
        <v>47</v>
      </c>
    </row>
    <row r="49" spans="1:17" ht="15.75" customHeight="1">
      <c r="A49" s="19">
        <v>47</v>
      </c>
      <c r="B49" s="20" t="s">
        <v>96</v>
      </c>
      <c r="C49" s="20" t="s">
        <v>97</v>
      </c>
      <c r="D49" s="20" t="s">
        <v>90</v>
      </c>
      <c r="E49" s="21"/>
      <c r="F49" s="21"/>
      <c r="G49" s="21"/>
      <c r="H49" s="21"/>
      <c r="I49" s="21"/>
      <c r="J49" s="21"/>
      <c r="K49" s="21"/>
      <c r="L49" s="21">
        <v>1</v>
      </c>
      <c r="M49" s="21"/>
      <c r="N49" s="21"/>
      <c r="O49" s="21"/>
      <c r="P49" s="21"/>
      <c r="Q49" s="22">
        <f t="shared" si="0"/>
        <v>1</v>
      </c>
    </row>
    <row r="50" spans="1:17" ht="15.75" customHeight="1">
      <c r="A50" s="23">
        <v>48</v>
      </c>
      <c r="B50" s="24" t="s">
        <v>2324</v>
      </c>
      <c r="C50" s="24" t="s">
        <v>82</v>
      </c>
      <c r="D50" s="24" t="s">
        <v>2325</v>
      </c>
      <c r="E50" s="25"/>
      <c r="F50" s="25"/>
      <c r="G50" s="25"/>
      <c r="H50" s="25"/>
      <c r="I50" s="25">
        <v>20</v>
      </c>
      <c r="J50" s="25"/>
      <c r="K50" s="25"/>
      <c r="L50" s="25"/>
      <c r="M50" s="25"/>
      <c r="N50" s="25"/>
      <c r="O50" s="25"/>
      <c r="P50" s="25"/>
      <c r="Q50" s="22">
        <f t="shared" si="0"/>
        <v>20</v>
      </c>
    </row>
    <row r="51" spans="1:17" ht="15.75" customHeight="1">
      <c r="A51" s="19">
        <v>49</v>
      </c>
      <c r="B51" s="20" t="s">
        <v>101</v>
      </c>
      <c r="C51" s="20" t="s">
        <v>84</v>
      </c>
      <c r="D51" s="20" t="s">
        <v>90</v>
      </c>
      <c r="E51" s="21"/>
      <c r="F51" s="21"/>
      <c r="G51" s="21">
        <v>30</v>
      </c>
      <c r="H51" s="21"/>
      <c r="I51" s="21"/>
      <c r="J51" s="21"/>
      <c r="K51" s="21"/>
      <c r="L51" s="21"/>
      <c r="M51" s="21">
        <v>50</v>
      </c>
      <c r="N51" s="21"/>
      <c r="O51" s="21"/>
      <c r="P51" s="21"/>
      <c r="Q51" s="22">
        <f t="shared" si="0"/>
        <v>80</v>
      </c>
    </row>
    <row r="52" spans="1:17" ht="15.75" customHeight="1">
      <c r="A52" s="23">
        <v>50</v>
      </c>
      <c r="B52" s="24" t="s">
        <v>102</v>
      </c>
      <c r="C52" s="24" t="s">
        <v>103</v>
      </c>
      <c r="D52" s="24" t="s">
        <v>104</v>
      </c>
      <c r="E52" s="25"/>
      <c r="F52" s="25">
        <v>35</v>
      </c>
      <c r="G52" s="25"/>
      <c r="H52" s="25"/>
      <c r="I52" s="25"/>
      <c r="J52" s="25"/>
      <c r="K52" s="25"/>
      <c r="L52" s="25"/>
      <c r="M52" s="25"/>
      <c r="N52" s="25"/>
      <c r="O52" s="25"/>
      <c r="P52" s="25">
        <v>40</v>
      </c>
      <c r="Q52" s="22">
        <f t="shared" si="0"/>
        <v>75</v>
      </c>
    </row>
    <row r="53" spans="1:17" ht="15.75" customHeight="1">
      <c r="A53" s="19">
        <v>51</v>
      </c>
      <c r="B53" s="20" t="s">
        <v>2326</v>
      </c>
      <c r="C53" s="20" t="s">
        <v>103</v>
      </c>
      <c r="D53" s="20" t="s">
        <v>2327</v>
      </c>
      <c r="E53" s="21"/>
      <c r="F53" s="21"/>
      <c r="G53" s="21"/>
      <c r="H53" s="21">
        <v>30</v>
      </c>
      <c r="I53" s="21"/>
      <c r="J53" s="21"/>
      <c r="K53" s="21"/>
      <c r="L53" s="21"/>
      <c r="M53" s="21"/>
      <c r="N53" s="21"/>
      <c r="O53" s="21"/>
      <c r="P53" s="21">
        <v>30</v>
      </c>
      <c r="Q53" s="22">
        <f t="shared" si="0"/>
        <v>60</v>
      </c>
    </row>
    <row r="54" spans="1:17" ht="15.75" customHeight="1">
      <c r="A54" s="23">
        <v>52</v>
      </c>
      <c r="B54" s="24" t="s">
        <v>107</v>
      </c>
      <c r="C54" s="24" t="s">
        <v>108</v>
      </c>
      <c r="D54" s="24" t="s">
        <v>100</v>
      </c>
      <c r="E54" s="25"/>
      <c r="F54" s="25">
        <v>60</v>
      </c>
      <c r="G54" s="25"/>
      <c r="H54" s="25"/>
      <c r="I54" s="25"/>
      <c r="J54" s="25"/>
      <c r="K54" s="25"/>
      <c r="L54" s="25"/>
      <c r="M54" s="25"/>
      <c r="N54" s="25"/>
      <c r="O54" s="25">
        <v>20</v>
      </c>
      <c r="P54" s="25"/>
      <c r="Q54" s="22">
        <f t="shared" si="0"/>
        <v>80</v>
      </c>
    </row>
    <row r="55" spans="1:17" ht="15.75" customHeight="1">
      <c r="A55" s="19">
        <v>53</v>
      </c>
      <c r="B55" s="20" t="s">
        <v>109</v>
      </c>
      <c r="C55" s="20" t="s">
        <v>110</v>
      </c>
      <c r="D55" s="20" t="s">
        <v>100</v>
      </c>
      <c r="E55" s="21"/>
      <c r="F55" s="21">
        <v>50</v>
      </c>
      <c r="G55" s="21"/>
      <c r="H55" s="21"/>
      <c r="I55" s="21"/>
      <c r="J55" s="21"/>
      <c r="K55" s="21"/>
      <c r="L55" s="21"/>
      <c r="M55" s="21"/>
      <c r="N55" s="21"/>
      <c r="O55" s="21">
        <v>20</v>
      </c>
      <c r="P55" s="21"/>
      <c r="Q55" s="22">
        <f t="shared" si="0"/>
        <v>70</v>
      </c>
    </row>
    <row r="56" spans="1:17" ht="15.75" customHeight="1">
      <c r="A56" s="23">
        <v>54</v>
      </c>
      <c r="B56" s="24" t="s">
        <v>111</v>
      </c>
      <c r="C56" s="24" t="s">
        <v>80</v>
      </c>
      <c r="D56" s="24" t="s">
        <v>100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>
        <v>10</v>
      </c>
      <c r="P56" s="25"/>
      <c r="Q56" s="22">
        <f t="shared" si="0"/>
        <v>10</v>
      </c>
    </row>
    <row r="57" spans="1:17" ht="15.75" customHeight="1">
      <c r="A57" s="19">
        <v>55</v>
      </c>
      <c r="B57" s="20" t="s">
        <v>112</v>
      </c>
      <c r="C57" s="20" t="s">
        <v>113</v>
      </c>
      <c r="D57" s="20" t="s">
        <v>100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>
        <v>4</v>
      </c>
      <c r="P57" s="21"/>
      <c r="Q57" s="22">
        <f t="shared" si="0"/>
        <v>4</v>
      </c>
    </row>
    <row r="58" spans="1:17" ht="15.75" customHeight="1">
      <c r="A58" s="23">
        <v>56</v>
      </c>
      <c r="B58" s="24" t="s">
        <v>2328</v>
      </c>
      <c r="C58" s="24" t="s">
        <v>99</v>
      </c>
      <c r="D58" s="24" t="s">
        <v>100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>
        <v>4</v>
      </c>
      <c r="P58" s="25"/>
      <c r="Q58" s="22">
        <f t="shared" si="0"/>
        <v>4</v>
      </c>
    </row>
    <row r="59" spans="1:17" ht="15.75" customHeight="1">
      <c r="A59" s="19">
        <v>57</v>
      </c>
      <c r="B59" s="20" t="s">
        <v>116</v>
      </c>
      <c r="C59" s="20" t="s">
        <v>75</v>
      </c>
      <c r="D59" s="20" t="s">
        <v>20</v>
      </c>
      <c r="E59" s="21"/>
      <c r="F59" s="21">
        <v>10</v>
      </c>
      <c r="G59" s="21"/>
      <c r="H59" s="21"/>
      <c r="I59" s="21"/>
      <c r="J59" s="21"/>
      <c r="K59" s="21">
        <v>100</v>
      </c>
      <c r="L59" s="21"/>
      <c r="M59" s="21">
        <v>30</v>
      </c>
      <c r="N59" s="21"/>
      <c r="O59" s="21"/>
      <c r="P59" s="21">
        <v>21</v>
      </c>
      <c r="Q59" s="22">
        <f t="shared" si="0"/>
        <v>161</v>
      </c>
    </row>
    <row r="60" spans="1:17" ht="15.75" customHeight="1">
      <c r="A60" s="23">
        <v>58</v>
      </c>
      <c r="B60" s="24" t="s">
        <v>117</v>
      </c>
      <c r="C60" s="24" t="s">
        <v>75</v>
      </c>
      <c r="D60" s="24" t="s">
        <v>118</v>
      </c>
      <c r="E60" s="25">
        <v>100</v>
      </c>
      <c r="F60" s="25"/>
      <c r="G60" s="25"/>
      <c r="H60" s="25"/>
      <c r="I60" s="25"/>
      <c r="J60" s="25"/>
      <c r="K60" s="25"/>
      <c r="L60" s="25"/>
      <c r="M60" s="25"/>
      <c r="N60" s="25">
        <v>30</v>
      </c>
      <c r="O60" s="25">
        <v>100</v>
      </c>
      <c r="P60" s="25">
        <v>20</v>
      </c>
      <c r="Q60" s="22">
        <f t="shared" si="0"/>
        <v>250</v>
      </c>
    </row>
    <row r="61" spans="1:17" ht="15.75" customHeight="1">
      <c r="A61" s="19">
        <v>59</v>
      </c>
      <c r="B61" s="20" t="s">
        <v>2329</v>
      </c>
      <c r="C61" s="20" t="s">
        <v>2330</v>
      </c>
      <c r="D61" s="20" t="s">
        <v>100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>
        <v>18</v>
      </c>
      <c r="Q61" s="22">
        <f t="shared" si="0"/>
        <v>18</v>
      </c>
    </row>
    <row r="62" spans="1:17" ht="15.75" customHeight="1">
      <c r="A62" s="23">
        <v>60</v>
      </c>
      <c r="B62" s="24" t="s">
        <v>120</v>
      </c>
      <c r="C62" s="24" t="s">
        <v>28</v>
      </c>
      <c r="D62" s="24" t="s">
        <v>121</v>
      </c>
      <c r="E62" s="25"/>
      <c r="F62" s="25"/>
      <c r="G62" s="25"/>
      <c r="H62" s="25"/>
      <c r="I62" s="25"/>
      <c r="J62" s="25"/>
      <c r="K62" s="25">
        <v>5</v>
      </c>
      <c r="L62" s="25"/>
      <c r="M62" s="25"/>
      <c r="N62" s="25"/>
      <c r="O62" s="25"/>
      <c r="P62" s="25"/>
      <c r="Q62" s="22">
        <f t="shared" si="0"/>
        <v>5</v>
      </c>
    </row>
    <row r="63" spans="1:17" ht="15.75" customHeight="1">
      <c r="A63" s="19">
        <v>61</v>
      </c>
      <c r="B63" s="20" t="s">
        <v>2331</v>
      </c>
      <c r="C63" s="20" t="s">
        <v>93</v>
      </c>
      <c r="D63" s="20" t="s">
        <v>2332</v>
      </c>
      <c r="E63" s="21"/>
      <c r="F63" s="21"/>
      <c r="G63" s="21"/>
      <c r="H63" s="21"/>
      <c r="I63" s="21"/>
      <c r="J63" s="21"/>
      <c r="K63" s="21"/>
      <c r="L63" s="21"/>
      <c r="M63" s="21"/>
      <c r="N63" s="21">
        <v>50</v>
      </c>
      <c r="O63" s="21">
        <v>50</v>
      </c>
      <c r="P63" s="21"/>
      <c r="Q63" s="22">
        <f t="shared" si="0"/>
        <v>100</v>
      </c>
    </row>
    <row r="64" spans="1:17" ht="15.75" customHeight="1">
      <c r="A64" s="23">
        <v>62</v>
      </c>
      <c r="B64" s="24" t="s">
        <v>122</v>
      </c>
      <c r="C64" s="24" t="s">
        <v>123</v>
      </c>
      <c r="D64" s="24" t="s">
        <v>124</v>
      </c>
      <c r="E64" s="25"/>
      <c r="F64" s="25"/>
      <c r="G64" s="25"/>
      <c r="H64" s="25">
        <v>212</v>
      </c>
      <c r="I64" s="25">
        <v>10</v>
      </c>
      <c r="J64" s="25"/>
      <c r="K64" s="25">
        <v>100</v>
      </c>
      <c r="L64" s="25"/>
      <c r="M64" s="25"/>
      <c r="N64" s="25"/>
      <c r="O64" s="25">
        <v>85</v>
      </c>
      <c r="P64" s="25"/>
      <c r="Q64" s="22">
        <f t="shared" si="0"/>
        <v>407</v>
      </c>
    </row>
    <row r="65" spans="1:17" ht="15.75" customHeight="1">
      <c r="A65" s="19">
        <v>63</v>
      </c>
      <c r="B65" s="20" t="s">
        <v>125</v>
      </c>
      <c r="C65" s="20" t="s">
        <v>123</v>
      </c>
      <c r="D65" s="20" t="s">
        <v>126</v>
      </c>
      <c r="E65" s="21"/>
      <c r="F65" s="21"/>
      <c r="G65" s="21"/>
      <c r="H65" s="21"/>
      <c r="I65" s="21"/>
      <c r="J65" s="21"/>
      <c r="K65" s="21">
        <v>134</v>
      </c>
      <c r="L65" s="21"/>
      <c r="M65" s="21"/>
      <c r="N65" s="21"/>
      <c r="O65" s="21"/>
      <c r="P65" s="21">
        <v>13</v>
      </c>
      <c r="Q65" s="22">
        <f t="shared" si="0"/>
        <v>147</v>
      </c>
    </row>
    <row r="66" spans="1:17" ht="15.75" customHeight="1">
      <c r="A66" s="23">
        <v>64</v>
      </c>
      <c r="B66" s="24" t="s">
        <v>127</v>
      </c>
      <c r="C66" s="24" t="s">
        <v>77</v>
      </c>
      <c r="D66" s="24" t="s">
        <v>128</v>
      </c>
      <c r="E66" s="25"/>
      <c r="F66" s="25"/>
      <c r="G66" s="25"/>
      <c r="H66" s="25"/>
      <c r="I66" s="25"/>
      <c r="J66" s="25">
        <v>50</v>
      </c>
      <c r="K66" s="25"/>
      <c r="L66" s="25"/>
      <c r="M66" s="25"/>
      <c r="N66" s="25"/>
      <c r="O66" s="25"/>
      <c r="P66" s="25"/>
      <c r="Q66" s="22">
        <f t="shared" si="0"/>
        <v>50</v>
      </c>
    </row>
    <row r="67" spans="1:17" ht="15.75" customHeight="1">
      <c r="A67" s="19">
        <v>65</v>
      </c>
      <c r="B67" s="20" t="s">
        <v>129</v>
      </c>
      <c r="C67" s="20" t="s">
        <v>93</v>
      </c>
      <c r="D67" s="20" t="s">
        <v>128</v>
      </c>
      <c r="E67" s="21"/>
      <c r="F67" s="21"/>
      <c r="G67" s="21"/>
      <c r="H67" s="21"/>
      <c r="I67" s="21"/>
      <c r="J67" s="21"/>
      <c r="K67" s="21"/>
      <c r="L67" s="21"/>
      <c r="M67" s="21"/>
      <c r="N67" s="21">
        <v>50</v>
      </c>
      <c r="O67" s="21"/>
      <c r="P67" s="21"/>
      <c r="Q67" s="22">
        <f t="shared" ref="Q67:Q130" si="1">SUM(E67:P67)</f>
        <v>50</v>
      </c>
    </row>
    <row r="68" spans="1:17" ht="15.75" customHeight="1">
      <c r="A68" s="23">
        <v>66</v>
      </c>
      <c r="B68" s="24" t="s">
        <v>130</v>
      </c>
      <c r="C68" s="24" t="s">
        <v>95</v>
      </c>
      <c r="D68" s="24" t="s">
        <v>128</v>
      </c>
      <c r="E68" s="25"/>
      <c r="F68" s="25"/>
      <c r="G68" s="25"/>
      <c r="H68" s="25"/>
      <c r="I68" s="25"/>
      <c r="J68" s="25">
        <v>50</v>
      </c>
      <c r="K68" s="25"/>
      <c r="L68" s="25"/>
      <c r="M68" s="25"/>
      <c r="N68" s="25"/>
      <c r="O68" s="25"/>
      <c r="P68" s="25"/>
      <c r="Q68" s="22">
        <f t="shared" si="1"/>
        <v>50</v>
      </c>
    </row>
    <row r="69" spans="1:17" ht="15.75" customHeight="1">
      <c r="A69" s="19">
        <v>67</v>
      </c>
      <c r="B69" s="20" t="s">
        <v>2333</v>
      </c>
      <c r="C69" s="20" t="s">
        <v>75</v>
      </c>
      <c r="D69" s="20" t="s">
        <v>26</v>
      </c>
      <c r="E69" s="21"/>
      <c r="F69" s="21"/>
      <c r="G69" s="21"/>
      <c r="H69" s="21">
        <v>20</v>
      </c>
      <c r="I69" s="21"/>
      <c r="J69" s="21"/>
      <c r="K69" s="21">
        <v>40</v>
      </c>
      <c r="L69" s="21"/>
      <c r="M69" s="21"/>
      <c r="N69" s="21"/>
      <c r="O69" s="21"/>
      <c r="P69" s="21"/>
      <c r="Q69" s="22">
        <f t="shared" si="1"/>
        <v>60</v>
      </c>
    </row>
    <row r="70" spans="1:17" ht="15.75" customHeight="1">
      <c r="A70" s="23">
        <v>68</v>
      </c>
      <c r="B70" s="24" t="s">
        <v>2334</v>
      </c>
      <c r="C70" s="24" t="s">
        <v>30</v>
      </c>
      <c r="D70" s="24" t="s">
        <v>45</v>
      </c>
      <c r="E70" s="25"/>
      <c r="F70" s="25"/>
      <c r="G70" s="25"/>
      <c r="H70" s="25"/>
      <c r="I70" s="25"/>
      <c r="J70" s="25"/>
      <c r="K70" s="25"/>
      <c r="L70" s="25"/>
      <c r="M70" s="25"/>
      <c r="N70" s="25">
        <v>30</v>
      </c>
      <c r="O70" s="25"/>
      <c r="P70" s="25"/>
      <c r="Q70" s="22">
        <f t="shared" si="1"/>
        <v>30</v>
      </c>
    </row>
    <row r="71" spans="1:17" ht="15.75" customHeight="1">
      <c r="A71" s="19">
        <v>69</v>
      </c>
      <c r="B71" s="20" t="s">
        <v>2335</v>
      </c>
      <c r="C71" s="20" t="s">
        <v>146</v>
      </c>
      <c r="D71" s="20" t="s">
        <v>32</v>
      </c>
      <c r="E71" s="21"/>
      <c r="F71" s="21"/>
      <c r="G71" s="21"/>
      <c r="H71" s="21"/>
      <c r="I71" s="21"/>
      <c r="J71" s="21"/>
      <c r="K71" s="21"/>
      <c r="L71" s="21"/>
      <c r="M71" s="21">
        <v>10</v>
      </c>
      <c r="N71" s="21"/>
      <c r="O71" s="21"/>
      <c r="P71" s="21"/>
      <c r="Q71" s="22">
        <f t="shared" si="1"/>
        <v>10</v>
      </c>
    </row>
    <row r="72" spans="1:17" ht="15.75" customHeight="1">
      <c r="A72" s="23">
        <v>70</v>
      </c>
      <c r="B72" s="24" t="s">
        <v>2336</v>
      </c>
      <c r="C72" s="24" t="s">
        <v>123</v>
      </c>
      <c r="D72" s="24" t="s">
        <v>2337</v>
      </c>
      <c r="E72" s="25"/>
      <c r="F72" s="25"/>
      <c r="G72" s="25"/>
      <c r="H72" s="25"/>
      <c r="I72" s="25"/>
      <c r="J72" s="25"/>
      <c r="K72" s="25"/>
      <c r="L72" s="25">
        <v>53</v>
      </c>
      <c r="M72" s="25">
        <v>27</v>
      </c>
      <c r="N72" s="25"/>
      <c r="O72" s="25"/>
      <c r="P72" s="25"/>
      <c r="Q72" s="22">
        <f t="shared" si="1"/>
        <v>80</v>
      </c>
    </row>
    <row r="73" spans="1:17" ht="15.75" customHeight="1">
      <c r="A73" s="19">
        <v>71</v>
      </c>
      <c r="B73" s="20" t="s">
        <v>2338</v>
      </c>
      <c r="C73" s="20" t="s">
        <v>2339</v>
      </c>
      <c r="D73" s="20" t="s">
        <v>22</v>
      </c>
      <c r="E73" s="21"/>
      <c r="F73" s="21"/>
      <c r="G73" s="21"/>
      <c r="H73" s="21"/>
      <c r="I73" s="21">
        <v>2</v>
      </c>
      <c r="J73" s="21"/>
      <c r="K73" s="21"/>
      <c r="L73" s="21"/>
      <c r="M73" s="21">
        <v>20</v>
      </c>
      <c r="N73" s="21"/>
      <c r="O73" s="21"/>
      <c r="P73" s="21"/>
      <c r="Q73" s="22">
        <f t="shared" si="1"/>
        <v>22</v>
      </c>
    </row>
    <row r="74" spans="1:17" ht="15.75" customHeight="1">
      <c r="A74" s="23">
        <v>72</v>
      </c>
      <c r="B74" s="24" t="s">
        <v>140</v>
      </c>
      <c r="C74" s="24" t="s">
        <v>75</v>
      </c>
      <c r="D74" s="24" t="s">
        <v>141</v>
      </c>
      <c r="E74" s="25"/>
      <c r="F74" s="25"/>
      <c r="G74" s="25"/>
      <c r="H74" s="25"/>
      <c r="I74" s="25"/>
      <c r="J74" s="25"/>
      <c r="K74" s="25">
        <v>50</v>
      </c>
      <c r="L74" s="25"/>
      <c r="M74" s="25">
        <v>20</v>
      </c>
      <c r="N74" s="25"/>
      <c r="O74" s="25"/>
      <c r="P74" s="25"/>
      <c r="Q74" s="22">
        <f t="shared" si="1"/>
        <v>70</v>
      </c>
    </row>
    <row r="75" spans="1:17" ht="15.75" customHeight="1">
      <c r="A75" s="19">
        <v>73</v>
      </c>
      <c r="B75" s="20" t="s">
        <v>150</v>
      </c>
      <c r="C75" s="20" t="s">
        <v>75</v>
      </c>
      <c r="D75" s="20" t="s">
        <v>22</v>
      </c>
      <c r="E75" s="21"/>
      <c r="F75" s="21"/>
      <c r="G75" s="21"/>
      <c r="H75" s="21"/>
      <c r="I75" s="21"/>
      <c r="J75" s="21"/>
      <c r="K75" s="21">
        <v>20</v>
      </c>
      <c r="L75" s="21"/>
      <c r="M75" s="21"/>
      <c r="N75" s="21"/>
      <c r="O75" s="21">
        <v>55</v>
      </c>
      <c r="P75" s="21"/>
      <c r="Q75" s="22">
        <f t="shared" si="1"/>
        <v>75</v>
      </c>
    </row>
    <row r="76" spans="1:17" ht="15.75" customHeight="1">
      <c r="A76" s="23">
        <v>74</v>
      </c>
      <c r="B76" s="24" t="s">
        <v>162</v>
      </c>
      <c r="C76" s="24" t="s">
        <v>77</v>
      </c>
      <c r="D76" s="24" t="s">
        <v>161</v>
      </c>
      <c r="E76" s="25"/>
      <c r="F76" s="25"/>
      <c r="G76" s="25">
        <v>50</v>
      </c>
      <c r="H76" s="25"/>
      <c r="I76" s="25"/>
      <c r="J76" s="25"/>
      <c r="K76" s="25"/>
      <c r="L76" s="25"/>
      <c r="M76" s="25"/>
      <c r="N76" s="25"/>
      <c r="O76" s="25"/>
      <c r="P76" s="25"/>
      <c r="Q76" s="22">
        <f t="shared" si="1"/>
        <v>50</v>
      </c>
    </row>
    <row r="77" spans="1:17" ht="15.75" customHeight="1">
      <c r="A77" s="19">
        <v>75</v>
      </c>
      <c r="B77" s="20" t="s">
        <v>163</v>
      </c>
      <c r="C77" s="20" t="s">
        <v>93</v>
      </c>
      <c r="D77" s="20" t="s">
        <v>161</v>
      </c>
      <c r="E77" s="21"/>
      <c r="F77" s="21"/>
      <c r="G77" s="21">
        <v>50</v>
      </c>
      <c r="H77" s="21"/>
      <c r="I77" s="21"/>
      <c r="J77" s="21"/>
      <c r="K77" s="21"/>
      <c r="L77" s="21"/>
      <c r="M77" s="21"/>
      <c r="N77" s="21"/>
      <c r="O77" s="21"/>
      <c r="P77" s="21"/>
      <c r="Q77" s="22">
        <f t="shared" si="1"/>
        <v>50</v>
      </c>
    </row>
    <row r="78" spans="1:17" ht="15.75" customHeight="1">
      <c r="A78" s="23">
        <v>76</v>
      </c>
      <c r="B78" s="24" t="s">
        <v>2340</v>
      </c>
      <c r="C78" s="24" t="s">
        <v>69</v>
      </c>
      <c r="D78" s="24" t="s">
        <v>55</v>
      </c>
      <c r="E78" s="25">
        <v>1</v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2">
        <f t="shared" si="1"/>
        <v>1</v>
      </c>
    </row>
    <row r="79" spans="1:17" ht="15.75" customHeight="1">
      <c r="A79" s="19">
        <v>77</v>
      </c>
      <c r="B79" s="20" t="s">
        <v>2341</v>
      </c>
      <c r="C79" s="20" t="s">
        <v>157</v>
      </c>
      <c r="D79" s="20" t="s">
        <v>55</v>
      </c>
      <c r="E79" s="21"/>
      <c r="F79" s="21">
        <v>1</v>
      </c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2">
        <f t="shared" si="1"/>
        <v>1</v>
      </c>
    </row>
    <row r="80" spans="1:17" ht="15.75" customHeight="1">
      <c r="A80" s="23">
        <v>78</v>
      </c>
      <c r="B80" s="24" t="s">
        <v>2342</v>
      </c>
      <c r="C80" s="24" t="s">
        <v>2343</v>
      </c>
      <c r="D80" s="24" t="s">
        <v>47</v>
      </c>
      <c r="E80" s="25"/>
      <c r="F80" s="25">
        <v>5</v>
      </c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2">
        <f t="shared" si="1"/>
        <v>5</v>
      </c>
    </row>
    <row r="81" spans="1:17" ht="15.75" customHeight="1">
      <c r="A81" s="19">
        <v>79</v>
      </c>
      <c r="B81" s="20" t="s">
        <v>2344</v>
      </c>
      <c r="C81" s="20" t="s">
        <v>84</v>
      </c>
      <c r="D81" s="20" t="s">
        <v>2332</v>
      </c>
      <c r="E81" s="21"/>
      <c r="F81" s="21"/>
      <c r="G81" s="21">
        <v>100</v>
      </c>
      <c r="H81" s="21"/>
      <c r="I81" s="21"/>
      <c r="J81" s="21">
        <v>50</v>
      </c>
      <c r="K81" s="21"/>
      <c r="L81" s="21"/>
      <c r="M81" s="21"/>
      <c r="N81" s="21"/>
      <c r="O81" s="21">
        <v>50</v>
      </c>
      <c r="P81" s="21"/>
      <c r="Q81" s="22">
        <f t="shared" si="1"/>
        <v>200</v>
      </c>
    </row>
    <row r="82" spans="1:17" ht="15.75" customHeight="1">
      <c r="A82" s="23">
        <v>80</v>
      </c>
      <c r="B82" s="24" t="s">
        <v>2345</v>
      </c>
      <c r="C82" s="24" t="s">
        <v>2339</v>
      </c>
      <c r="D82" s="24" t="s">
        <v>24</v>
      </c>
      <c r="E82" s="25"/>
      <c r="F82" s="25"/>
      <c r="G82" s="25"/>
      <c r="H82" s="25"/>
      <c r="I82" s="25">
        <v>4</v>
      </c>
      <c r="J82" s="25"/>
      <c r="K82" s="25"/>
      <c r="L82" s="25"/>
      <c r="M82" s="25"/>
      <c r="N82" s="25"/>
      <c r="O82" s="25"/>
      <c r="P82" s="25"/>
      <c r="Q82" s="22">
        <f t="shared" si="1"/>
        <v>4</v>
      </c>
    </row>
    <row r="83" spans="1:17" ht="15.75" customHeight="1">
      <c r="A83" s="19">
        <v>81</v>
      </c>
      <c r="B83" s="20" t="s">
        <v>2346</v>
      </c>
      <c r="C83" s="20" t="s">
        <v>103</v>
      </c>
      <c r="D83" s="20" t="s">
        <v>240</v>
      </c>
      <c r="E83" s="21"/>
      <c r="F83" s="21"/>
      <c r="G83" s="21"/>
      <c r="H83" s="21"/>
      <c r="I83" s="21">
        <v>30</v>
      </c>
      <c r="J83" s="21"/>
      <c r="K83" s="21"/>
      <c r="L83" s="21"/>
      <c r="M83" s="21"/>
      <c r="N83" s="21"/>
      <c r="O83" s="21"/>
      <c r="P83" s="21"/>
      <c r="Q83" s="22">
        <f t="shared" si="1"/>
        <v>30</v>
      </c>
    </row>
    <row r="84" spans="1:17" ht="15.75" customHeight="1">
      <c r="A84" s="23">
        <v>82</v>
      </c>
      <c r="B84" s="24" t="s">
        <v>2347</v>
      </c>
      <c r="C84" s="24" t="s">
        <v>2339</v>
      </c>
      <c r="D84" s="24" t="s">
        <v>2348</v>
      </c>
      <c r="E84" s="25"/>
      <c r="F84" s="25"/>
      <c r="G84" s="25"/>
      <c r="H84" s="25"/>
      <c r="I84" s="25">
        <v>1</v>
      </c>
      <c r="J84" s="25"/>
      <c r="K84" s="25"/>
      <c r="L84" s="25"/>
      <c r="M84" s="25"/>
      <c r="N84" s="25"/>
      <c r="O84" s="25"/>
      <c r="P84" s="25"/>
      <c r="Q84" s="22">
        <f t="shared" si="1"/>
        <v>1</v>
      </c>
    </row>
    <row r="85" spans="1:17" ht="15.75" customHeight="1">
      <c r="A85" s="19">
        <v>83</v>
      </c>
      <c r="B85" s="20" t="s">
        <v>2349</v>
      </c>
      <c r="C85" s="20" t="s">
        <v>157</v>
      </c>
      <c r="D85" s="20" t="s">
        <v>26</v>
      </c>
      <c r="E85" s="21"/>
      <c r="F85" s="21"/>
      <c r="G85" s="21"/>
      <c r="H85" s="21"/>
      <c r="I85" s="21"/>
      <c r="J85" s="21">
        <v>20</v>
      </c>
      <c r="K85" s="21"/>
      <c r="L85" s="21"/>
      <c r="M85" s="21"/>
      <c r="N85" s="21"/>
      <c r="O85" s="21"/>
      <c r="P85" s="21"/>
      <c r="Q85" s="22">
        <f t="shared" si="1"/>
        <v>20</v>
      </c>
    </row>
    <row r="86" spans="1:17" ht="15.75" customHeight="1">
      <c r="A86" s="23">
        <v>84</v>
      </c>
      <c r="B86" s="24" t="s">
        <v>2350</v>
      </c>
      <c r="C86" s="24" t="s">
        <v>157</v>
      </c>
      <c r="D86" s="24" t="s">
        <v>20</v>
      </c>
      <c r="E86" s="25"/>
      <c r="F86" s="25"/>
      <c r="G86" s="25"/>
      <c r="H86" s="25"/>
      <c r="I86" s="25"/>
      <c r="J86" s="25">
        <v>10</v>
      </c>
      <c r="K86" s="25"/>
      <c r="L86" s="25"/>
      <c r="M86" s="25"/>
      <c r="N86" s="25"/>
      <c r="O86" s="25"/>
      <c r="P86" s="25"/>
      <c r="Q86" s="22">
        <f t="shared" si="1"/>
        <v>10</v>
      </c>
    </row>
    <row r="87" spans="1:17" ht="15.75" customHeight="1">
      <c r="A87" s="19">
        <v>85</v>
      </c>
      <c r="B87" s="20" t="s">
        <v>2351</v>
      </c>
      <c r="C87" s="20" t="s">
        <v>157</v>
      </c>
      <c r="D87" s="20" t="s">
        <v>32</v>
      </c>
      <c r="E87" s="21"/>
      <c r="F87" s="21"/>
      <c r="G87" s="21"/>
      <c r="H87" s="21"/>
      <c r="I87" s="21"/>
      <c r="J87" s="21">
        <v>10</v>
      </c>
      <c r="K87" s="21"/>
      <c r="L87" s="21">
        <v>1</v>
      </c>
      <c r="M87" s="21"/>
      <c r="N87" s="21"/>
      <c r="O87" s="21"/>
      <c r="P87" s="21"/>
      <c r="Q87" s="22">
        <f t="shared" si="1"/>
        <v>11</v>
      </c>
    </row>
    <row r="88" spans="1:17" ht="15.75" customHeight="1">
      <c r="A88" s="23">
        <v>86</v>
      </c>
      <c r="B88" s="24" t="s">
        <v>2352</v>
      </c>
      <c r="C88" s="24" t="s">
        <v>84</v>
      </c>
      <c r="D88" s="24" t="s">
        <v>128</v>
      </c>
      <c r="E88" s="25"/>
      <c r="F88" s="25"/>
      <c r="G88" s="25"/>
      <c r="H88" s="25"/>
      <c r="I88" s="25"/>
      <c r="J88" s="25">
        <v>50</v>
      </c>
      <c r="K88" s="25"/>
      <c r="L88" s="25"/>
      <c r="M88" s="25"/>
      <c r="N88" s="25"/>
      <c r="O88" s="25"/>
      <c r="P88" s="25"/>
      <c r="Q88" s="22">
        <f t="shared" si="1"/>
        <v>50</v>
      </c>
    </row>
    <row r="89" spans="1:17" ht="15.75" customHeight="1">
      <c r="A89" s="19">
        <v>87</v>
      </c>
      <c r="B89" s="20" t="s">
        <v>2353</v>
      </c>
      <c r="C89" s="20" t="s">
        <v>75</v>
      </c>
      <c r="D89" s="20" t="s">
        <v>121</v>
      </c>
      <c r="E89" s="21"/>
      <c r="F89" s="21"/>
      <c r="G89" s="21"/>
      <c r="H89" s="21"/>
      <c r="I89" s="21"/>
      <c r="J89" s="21"/>
      <c r="K89" s="21">
        <v>20</v>
      </c>
      <c r="L89" s="21"/>
      <c r="M89" s="21"/>
      <c r="N89" s="21"/>
      <c r="O89" s="21"/>
      <c r="P89" s="21"/>
      <c r="Q89" s="22">
        <f t="shared" si="1"/>
        <v>20</v>
      </c>
    </row>
    <row r="90" spans="1:17" ht="15.75" customHeight="1">
      <c r="A90" s="23">
        <v>88</v>
      </c>
      <c r="B90" s="24" t="s">
        <v>2354</v>
      </c>
      <c r="C90" s="24" t="s">
        <v>75</v>
      </c>
      <c r="D90" s="24" t="s">
        <v>50</v>
      </c>
      <c r="E90" s="25"/>
      <c r="F90" s="25"/>
      <c r="G90" s="25"/>
      <c r="H90" s="25"/>
      <c r="I90" s="25"/>
      <c r="J90" s="25"/>
      <c r="K90" s="25"/>
      <c r="L90" s="25">
        <v>10</v>
      </c>
      <c r="M90" s="25"/>
      <c r="N90" s="25"/>
      <c r="O90" s="25"/>
      <c r="P90" s="25"/>
      <c r="Q90" s="22">
        <f t="shared" si="1"/>
        <v>10</v>
      </c>
    </row>
    <row r="91" spans="1:17" ht="15.75" customHeight="1">
      <c r="A91" s="19">
        <v>89</v>
      </c>
      <c r="B91" s="20" t="s">
        <v>2355</v>
      </c>
      <c r="C91" s="20" t="s">
        <v>75</v>
      </c>
      <c r="D91" s="20" t="s">
        <v>20</v>
      </c>
      <c r="E91" s="21"/>
      <c r="F91" s="21"/>
      <c r="G91" s="21"/>
      <c r="H91" s="21"/>
      <c r="I91" s="21"/>
      <c r="J91" s="21"/>
      <c r="K91" s="21"/>
      <c r="L91" s="21">
        <v>50</v>
      </c>
      <c r="M91" s="21"/>
      <c r="N91" s="21"/>
      <c r="O91" s="21"/>
      <c r="P91" s="21"/>
      <c r="Q91" s="22">
        <f t="shared" si="1"/>
        <v>50</v>
      </c>
    </row>
    <row r="92" spans="1:17" ht="15.75" customHeight="1">
      <c r="A92" s="23">
        <v>90</v>
      </c>
      <c r="B92" s="24" t="s">
        <v>2355</v>
      </c>
      <c r="C92" s="24" t="s">
        <v>2339</v>
      </c>
      <c r="D92" s="24" t="s">
        <v>20</v>
      </c>
      <c r="E92" s="25"/>
      <c r="F92" s="25"/>
      <c r="G92" s="25"/>
      <c r="H92" s="25"/>
      <c r="I92" s="25"/>
      <c r="J92" s="25"/>
      <c r="K92" s="25"/>
      <c r="L92" s="25">
        <v>50</v>
      </c>
      <c r="M92" s="25">
        <v>50</v>
      </c>
      <c r="N92" s="25"/>
      <c r="O92" s="25"/>
      <c r="P92" s="25"/>
      <c r="Q92" s="22">
        <f t="shared" si="1"/>
        <v>100</v>
      </c>
    </row>
    <row r="93" spans="1:17" ht="15.75" customHeight="1">
      <c r="A93" s="19">
        <v>91</v>
      </c>
      <c r="B93" s="20" t="s">
        <v>2356</v>
      </c>
      <c r="C93" s="20" t="s">
        <v>103</v>
      </c>
      <c r="D93" s="20" t="s">
        <v>2357</v>
      </c>
      <c r="E93" s="21"/>
      <c r="F93" s="21"/>
      <c r="G93" s="21"/>
      <c r="H93" s="21"/>
      <c r="I93" s="21"/>
      <c r="J93" s="21"/>
      <c r="K93" s="21"/>
      <c r="L93" s="21">
        <v>1</v>
      </c>
      <c r="M93" s="21"/>
      <c r="N93" s="21"/>
      <c r="O93" s="21"/>
      <c r="P93" s="21"/>
      <c r="Q93" s="22">
        <f t="shared" si="1"/>
        <v>1</v>
      </c>
    </row>
    <row r="94" spans="1:17" ht="15.75" customHeight="1">
      <c r="A94" s="23">
        <v>92</v>
      </c>
      <c r="B94" s="24" t="s">
        <v>2358</v>
      </c>
      <c r="C94" s="24" t="s">
        <v>2339</v>
      </c>
      <c r="D94" s="24" t="s">
        <v>32</v>
      </c>
      <c r="E94" s="25"/>
      <c r="F94" s="25"/>
      <c r="G94" s="25"/>
      <c r="H94" s="25"/>
      <c r="I94" s="25"/>
      <c r="J94" s="25"/>
      <c r="K94" s="25"/>
      <c r="L94" s="25"/>
      <c r="M94" s="25">
        <v>20</v>
      </c>
      <c r="N94" s="25">
        <v>50</v>
      </c>
      <c r="O94" s="25"/>
      <c r="P94" s="25"/>
      <c r="Q94" s="22">
        <f t="shared" si="1"/>
        <v>70</v>
      </c>
    </row>
    <row r="95" spans="1:17" ht="15.75" customHeight="1">
      <c r="A95" s="19">
        <v>93</v>
      </c>
      <c r="B95" s="20" t="s">
        <v>2359</v>
      </c>
      <c r="C95" s="20" t="s">
        <v>103</v>
      </c>
      <c r="D95" s="20" t="s">
        <v>45</v>
      </c>
      <c r="E95" s="21"/>
      <c r="F95" s="21"/>
      <c r="G95" s="21"/>
      <c r="H95" s="21"/>
      <c r="I95" s="21"/>
      <c r="J95" s="21"/>
      <c r="K95" s="21"/>
      <c r="L95" s="21"/>
      <c r="M95" s="21"/>
      <c r="N95" s="21">
        <v>65</v>
      </c>
      <c r="O95" s="21"/>
      <c r="P95" s="21"/>
      <c r="Q95" s="22">
        <f t="shared" si="1"/>
        <v>65</v>
      </c>
    </row>
    <row r="96" spans="1:17" ht="15.75" customHeight="1">
      <c r="A96" s="23">
        <v>94</v>
      </c>
      <c r="B96" s="24" t="s">
        <v>2360</v>
      </c>
      <c r="C96" s="24" t="s">
        <v>2339</v>
      </c>
      <c r="D96" s="24" t="s">
        <v>57</v>
      </c>
      <c r="E96" s="25"/>
      <c r="F96" s="25"/>
      <c r="G96" s="25"/>
      <c r="H96" s="25"/>
      <c r="I96" s="25"/>
      <c r="J96" s="25"/>
      <c r="K96" s="25"/>
      <c r="L96" s="25"/>
      <c r="M96" s="25"/>
      <c r="N96" s="25">
        <v>50</v>
      </c>
      <c r="O96" s="25"/>
      <c r="P96" s="25"/>
      <c r="Q96" s="22">
        <f t="shared" si="1"/>
        <v>50</v>
      </c>
    </row>
    <row r="97" spans="1:17" ht="15.75" customHeight="1">
      <c r="A97" s="19">
        <v>95</v>
      </c>
      <c r="B97" s="20" t="s">
        <v>2361</v>
      </c>
      <c r="C97" s="20" t="s">
        <v>75</v>
      </c>
      <c r="D97" s="20" t="s">
        <v>2362</v>
      </c>
      <c r="E97" s="21"/>
      <c r="F97" s="21"/>
      <c r="G97" s="21"/>
      <c r="H97" s="21"/>
      <c r="I97" s="21"/>
      <c r="J97" s="21"/>
      <c r="K97" s="21"/>
      <c r="L97" s="21"/>
      <c r="M97" s="21"/>
      <c r="N97" s="21">
        <v>1</v>
      </c>
      <c r="O97" s="21"/>
      <c r="P97" s="21"/>
      <c r="Q97" s="22">
        <f t="shared" si="1"/>
        <v>1</v>
      </c>
    </row>
    <row r="98" spans="1:17" ht="15.75" customHeight="1">
      <c r="A98" s="23">
        <v>96</v>
      </c>
      <c r="B98" s="24" t="s">
        <v>2363</v>
      </c>
      <c r="C98" s="24" t="s">
        <v>77</v>
      </c>
      <c r="D98" s="24" t="s">
        <v>2332</v>
      </c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>
        <v>50</v>
      </c>
      <c r="P98" s="25"/>
      <c r="Q98" s="22">
        <f t="shared" si="1"/>
        <v>50</v>
      </c>
    </row>
    <row r="99" spans="1:17" ht="15.75" customHeight="1">
      <c r="A99" s="19">
        <v>97</v>
      </c>
      <c r="B99" s="20" t="s">
        <v>2364</v>
      </c>
      <c r="C99" s="20" t="s">
        <v>103</v>
      </c>
      <c r="D99" s="20" t="s">
        <v>24</v>
      </c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>
        <v>10</v>
      </c>
      <c r="Q99" s="22">
        <f t="shared" si="1"/>
        <v>10</v>
      </c>
    </row>
    <row r="100" spans="1:17" ht="15.75" customHeight="1">
      <c r="A100" s="23">
        <v>98</v>
      </c>
      <c r="B100" s="24" t="s">
        <v>168</v>
      </c>
      <c r="C100" s="24" t="s">
        <v>169</v>
      </c>
      <c r="D100" s="24" t="s">
        <v>170</v>
      </c>
      <c r="E100" s="25"/>
      <c r="F100" s="25"/>
      <c r="G100" s="25"/>
      <c r="H100" s="25"/>
      <c r="I100" s="25"/>
      <c r="J100" s="25"/>
      <c r="K100" s="25">
        <v>16</v>
      </c>
      <c r="L100" s="25"/>
      <c r="M100" s="25"/>
      <c r="N100" s="25"/>
      <c r="O100" s="25"/>
      <c r="P100" s="25"/>
      <c r="Q100" s="22">
        <f t="shared" si="1"/>
        <v>16</v>
      </c>
    </row>
    <row r="101" spans="1:17" ht="15.75" customHeight="1">
      <c r="A101" s="19">
        <v>99</v>
      </c>
      <c r="B101" s="20" t="s">
        <v>171</v>
      </c>
      <c r="C101" s="20" t="s">
        <v>169</v>
      </c>
      <c r="D101" s="20" t="s">
        <v>47</v>
      </c>
      <c r="E101" s="21">
        <v>4</v>
      </c>
      <c r="F101" s="21">
        <v>1</v>
      </c>
      <c r="G101" s="21"/>
      <c r="H101" s="21"/>
      <c r="I101" s="21"/>
      <c r="J101" s="21"/>
      <c r="K101" s="21"/>
      <c r="L101" s="21"/>
      <c r="M101" s="21"/>
      <c r="N101" s="21">
        <v>13</v>
      </c>
      <c r="O101" s="21"/>
      <c r="P101" s="21">
        <v>10</v>
      </c>
      <c r="Q101" s="22">
        <f t="shared" si="1"/>
        <v>28</v>
      </c>
    </row>
    <row r="102" spans="1:17" ht="15.75" customHeight="1">
      <c r="A102" s="23">
        <v>100</v>
      </c>
      <c r="B102" s="24" t="s">
        <v>174</v>
      </c>
      <c r="C102" s="24" t="s">
        <v>169</v>
      </c>
      <c r="D102" s="24" t="s">
        <v>24</v>
      </c>
      <c r="E102" s="25">
        <v>23</v>
      </c>
      <c r="F102" s="25">
        <v>7</v>
      </c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2">
        <f t="shared" si="1"/>
        <v>30</v>
      </c>
    </row>
    <row r="103" spans="1:17" ht="15.75" customHeight="1">
      <c r="A103" s="19">
        <v>101</v>
      </c>
      <c r="B103" s="20" t="s">
        <v>175</v>
      </c>
      <c r="C103" s="20" t="s">
        <v>169</v>
      </c>
      <c r="D103" s="20" t="s">
        <v>87</v>
      </c>
      <c r="E103" s="21"/>
      <c r="F103" s="21">
        <v>2</v>
      </c>
      <c r="G103" s="21"/>
      <c r="H103" s="21">
        <v>5</v>
      </c>
      <c r="I103" s="21"/>
      <c r="J103" s="21"/>
      <c r="K103" s="21"/>
      <c r="L103" s="21"/>
      <c r="M103" s="21"/>
      <c r="N103" s="21"/>
      <c r="O103" s="21"/>
      <c r="P103" s="21">
        <v>10</v>
      </c>
      <c r="Q103" s="22">
        <f t="shared" si="1"/>
        <v>17</v>
      </c>
    </row>
    <row r="104" spans="1:17" ht="15.75" customHeight="1">
      <c r="A104" s="23">
        <v>102</v>
      </c>
      <c r="B104" s="24" t="s">
        <v>177</v>
      </c>
      <c r="C104" s="24" t="s">
        <v>169</v>
      </c>
      <c r="D104" s="24" t="s">
        <v>50</v>
      </c>
      <c r="E104" s="25"/>
      <c r="F104" s="25"/>
      <c r="G104" s="25"/>
      <c r="H104" s="25"/>
      <c r="I104" s="25"/>
      <c r="J104" s="25"/>
      <c r="K104" s="25"/>
      <c r="L104" s="25">
        <v>2</v>
      </c>
      <c r="M104" s="25"/>
      <c r="N104" s="25">
        <v>2</v>
      </c>
      <c r="O104" s="25"/>
      <c r="P104" s="25"/>
      <c r="Q104" s="22">
        <f t="shared" si="1"/>
        <v>4</v>
      </c>
    </row>
    <row r="105" spans="1:17" ht="15.75" customHeight="1">
      <c r="A105" s="19">
        <v>103</v>
      </c>
      <c r="B105" s="20" t="s">
        <v>178</v>
      </c>
      <c r="C105" s="20" t="s">
        <v>169</v>
      </c>
      <c r="D105" s="20" t="s">
        <v>57</v>
      </c>
      <c r="E105" s="21"/>
      <c r="F105" s="21"/>
      <c r="G105" s="21"/>
      <c r="H105" s="21"/>
      <c r="I105" s="21"/>
      <c r="J105" s="21"/>
      <c r="K105" s="21"/>
      <c r="L105" s="21"/>
      <c r="M105" s="21"/>
      <c r="N105" s="21">
        <v>10</v>
      </c>
      <c r="O105" s="21"/>
      <c r="P105" s="21">
        <v>30</v>
      </c>
      <c r="Q105" s="22">
        <f t="shared" si="1"/>
        <v>40</v>
      </c>
    </row>
    <row r="106" spans="1:17" ht="15.75" customHeight="1">
      <c r="A106" s="23">
        <v>104</v>
      </c>
      <c r="B106" s="24" t="s">
        <v>2365</v>
      </c>
      <c r="C106" s="24" t="s">
        <v>2366</v>
      </c>
      <c r="D106" s="24" t="s">
        <v>20</v>
      </c>
      <c r="E106" s="25">
        <v>2</v>
      </c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2">
        <f t="shared" si="1"/>
        <v>2</v>
      </c>
    </row>
    <row r="107" spans="1:17" ht="15.75" customHeight="1">
      <c r="A107" s="19">
        <v>105</v>
      </c>
      <c r="B107" s="20" t="s">
        <v>179</v>
      </c>
      <c r="C107" s="20" t="s">
        <v>180</v>
      </c>
      <c r="D107" s="20" t="s">
        <v>170</v>
      </c>
      <c r="E107" s="21"/>
      <c r="F107" s="21"/>
      <c r="G107" s="21"/>
      <c r="H107" s="21"/>
      <c r="I107" s="21"/>
      <c r="J107" s="21">
        <v>6</v>
      </c>
      <c r="K107" s="21"/>
      <c r="L107" s="21"/>
      <c r="M107" s="21">
        <v>10</v>
      </c>
      <c r="N107" s="21"/>
      <c r="O107" s="21"/>
      <c r="P107" s="21"/>
      <c r="Q107" s="22">
        <f t="shared" si="1"/>
        <v>16</v>
      </c>
    </row>
    <row r="108" spans="1:17" ht="15.75" customHeight="1">
      <c r="A108" s="23">
        <v>106</v>
      </c>
      <c r="B108" s="24" t="s">
        <v>181</v>
      </c>
      <c r="C108" s="24" t="s">
        <v>180</v>
      </c>
      <c r="D108" s="24" t="s">
        <v>182</v>
      </c>
      <c r="E108" s="25"/>
      <c r="F108" s="25"/>
      <c r="G108" s="25"/>
      <c r="H108" s="25"/>
      <c r="I108" s="25">
        <v>4</v>
      </c>
      <c r="J108" s="25"/>
      <c r="K108" s="25"/>
      <c r="L108" s="25"/>
      <c r="M108" s="25">
        <v>6</v>
      </c>
      <c r="N108" s="25"/>
      <c r="O108" s="25"/>
      <c r="P108" s="25"/>
      <c r="Q108" s="22">
        <f t="shared" si="1"/>
        <v>10</v>
      </c>
    </row>
    <row r="109" spans="1:17" ht="15.75" customHeight="1">
      <c r="A109" s="19">
        <v>107</v>
      </c>
      <c r="B109" s="20" t="s">
        <v>183</v>
      </c>
      <c r="C109" s="20" t="s">
        <v>180</v>
      </c>
      <c r="D109" s="20" t="s">
        <v>184</v>
      </c>
      <c r="E109" s="21"/>
      <c r="F109" s="21"/>
      <c r="G109" s="21">
        <v>84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2">
        <f t="shared" si="1"/>
        <v>84</v>
      </c>
    </row>
    <row r="110" spans="1:17" ht="15.75" customHeight="1">
      <c r="A110" s="23">
        <v>108</v>
      </c>
      <c r="B110" s="24" t="s">
        <v>187</v>
      </c>
      <c r="C110" s="24" t="s">
        <v>180</v>
      </c>
      <c r="D110" s="24" t="s">
        <v>173</v>
      </c>
      <c r="E110" s="25"/>
      <c r="F110" s="25"/>
      <c r="G110" s="25">
        <v>2</v>
      </c>
      <c r="H110" s="25"/>
      <c r="I110" s="25"/>
      <c r="J110" s="25"/>
      <c r="K110" s="25">
        <v>10</v>
      </c>
      <c r="L110" s="25"/>
      <c r="M110" s="25"/>
      <c r="N110" s="25"/>
      <c r="O110" s="25"/>
      <c r="P110" s="25"/>
      <c r="Q110" s="22">
        <f t="shared" si="1"/>
        <v>12</v>
      </c>
    </row>
    <row r="111" spans="1:17" ht="15.75" customHeight="1">
      <c r="A111" s="19">
        <v>109</v>
      </c>
      <c r="B111" s="20" t="s">
        <v>2367</v>
      </c>
      <c r="C111" s="20" t="s">
        <v>180</v>
      </c>
      <c r="D111" s="20" t="s">
        <v>35</v>
      </c>
      <c r="E111" s="21"/>
      <c r="F111" s="21"/>
      <c r="G111" s="21"/>
      <c r="H111" s="21"/>
      <c r="I111" s="21"/>
      <c r="J111" s="21"/>
      <c r="K111" s="21"/>
      <c r="L111" s="21"/>
      <c r="M111" s="21">
        <v>1</v>
      </c>
      <c r="N111" s="21"/>
      <c r="O111" s="21"/>
      <c r="P111" s="21"/>
      <c r="Q111" s="22">
        <f t="shared" si="1"/>
        <v>1</v>
      </c>
    </row>
    <row r="112" spans="1:17" ht="15.75" customHeight="1">
      <c r="A112" s="23">
        <v>110</v>
      </c>
      <c r="B112" s="24" t="s">
        <v>2368</v>
      </c>
      <c r="C112" s="24" t="s">
        <v>180</v>
      </c>
      <c r="D112" s="24" t="s">
        <v>50</v>
      </c>
      <c r="E112" s="25"/>
      <c r="F112" s="25"/>
      <c r="G112" s="25"/>
      <c r="H112" s="25">
        <v>4</v>
      </c>
      <c r="I112" s="25"/>
      <c r="J112" s="25"/>
      <c r="K112" s="25"/>
      <c r="L112" s="25"/>
      <c r="M112" s="25"/>
      <c r="N112" s="25">
        <v>12</v>
      </c>
      <c r="O112" s="25"/>
      <c r="P112" s="25"/>
      <c r="Q112" s="22">
        <f t="shared" si="1"/>
        <v>16</v>
      </c>
    </row>
    <row r="113" spans="1:17" ht="15.75" customHeight="1">
      <c r="A113" s="19">
        <v>111</v>
      </c>
      <c r="B113" s="20" t="s">
        <v>191</v>
      </c>
      <c r="C113" s="20" t="s">
        <v>180</v>
      </c>
      <c r="D113" s="20" t="s">
        <v>53</v>
      </c>
      <c r="E113" s="21"/>
      <c r="F113" s="21"/>
      <c r="G113" s="21">
        <v>1</v>
      </c>
      <c r="H113" s="21"/>
      <c r="I113" s="21"/>
      <c r="J113" s="21"/>
      <c r="K113" s="21"/>
      <c r="L113" s="21"/>
      <c r="M113" s="21"/>
      <c r="N113" s="21"/>
      <c r="O113" s="21"/>
      <c r="P113" s="21"/>
      <c r="Q113" s="22">
        <f t="shared" si="1"/>
        <v>1</v>
      </c>
    </row>
    <row r="114" spans="1:17" ht="15.75" customHeight="1">
      <c r="A114" s="23">
        <v>112</v>
      </c>
      <c r="B114" s="24" t="s">
        <v>2369</v>
      </c>
      <c r="C114" s="24" t="s">
        <v>194</v>
      </c>
      <c r="D114" s="24" t="s">
        <v>170</v>
      </c>
      <c r="E114" s="25"/>
      <c r="F114" s="25"/>
      <c r="G114" s="25"/>
      <c r="H114" s="25"/>
      <c r="I114" s="25"/>
      <c r="J114" s="25"/>
      <c r="K114" s="25"/>
      <c r="L114" s="25">
        <v>3</v>
      </c>
      <c r="M114" s="25"/>
      <c r="N114" s="25"/>
      <c r="O114" s="25"/>
      <c r="P114" s="25"/>
      <c r="Q114" s="22">
        <f t="shared" si="1"/>
        <v>3</v>
      </c>
    </row>
    <row r="115" spans="1:17" ht="15.75" customHeight="1">
      <c r="A115" s="19">
        <v>113</v>
      </c>
      <c r="B115" s="20" t="s">
        <v>2370</v>
      </c>
      <c r="C115" s="20" t="s">
        <v>194</v>
      </c>
      <c r="D115" s="20" t="s">
        <v>182</v>
      </c>
      <c r="E115" s="21"/>
      <c r="F115" s="21"/>
      <c r="G115" s="21"/>
      <c r="H115" s="21"/>
      <c r="I115" s="21"/>
      <c r="J115" s="21"/>
      <c r="K115" s="21"/>
      <c r="L115" s="21"/>
      <c r="M115" s="21">
        <v>1</v>
      </c>
      <c r="N115" s="21"/>
      <c r="O115" s="21"/>
      <c r="P115" s="21"/>
      <c r="Q115" s="22">
        <f t="shared" si="1"/>
        <v>1</v>
      </c>
    </row>
    <row r="116" spans="1:17" ht="15.75" customHeight="1">
      <c r="A116" s="23">
        <v>114</v>
      </c>
      <c r="B116" s="24" t="s">
        <v>2371</v>
      </c>
      <c r="C116" s="24" t="s">
        <v>198</v>
      </c>
      <c r="D116" s="24" t="s">
        <v>20</v>
      </c>
      <c r="E116" s="25"/>
      <c r="F116" s="25"/>
      <c r="G116" s="25"/>
      <c r="H116" s="25"/>
      <c r="I116" s="25"/>
      <c r="J116" s="25">
        <v>2</v>
      </c>
      <c r="K116" s="25"/>
      <c r="L116" s="25"/>
      <c r="M116" s="25"/>
      <c r="N116" s="25"/>
      <c r="O116" s="25"/>
      <c r="P116" s="25"/>
      <c r="Q116" s="22">
        <f t="shared" si="1"/>
        <v>2</v>
      </c>
    </row>
    <row r="117" spans="1:17" ht="15.75" customHeight="1">
      <c r="A117" s="19">
        <v>115</v>
      </c>
      <c r="B117" s="20" t="s">
        <v>200</v>
      </c>
      <c r="C117" s="20" t="s">
        <v>198</v>
      </c>
      <c r="D117" s="20" t="s">
        <v>45</v>
      </c>
      <c r="E117" s="21"/>
      <c r="F117" s="21"/>
      <c r="G117" s="21"/>
      <c r="H117" s="21"/>
      <c r="I117" s="21"/>
      <c r="J117" s="21"/>
      <c r="K117" s="21"/>
      <c r="L117" s="21">
        <v>4</v>
      </c>
      <c r="M117" s="21"/>
      <c r="N117" s="21"/>
      <c r="O117" s="21"/>
      <c r="P117" s="21"/>
      <c r="Q117" s="22">
        <f t="shared" si="1"/>
        <v>4</v>
      </c>
    </row>
    <row r="118" spans="1:17" ht="15.75" customHeight="1">
      <c r="A118" s="23">
        <v>116</v>
      </c>
      <c r="B118" s="24" t="s">
        <v>202</v>
      </c>
      <c r="C118" s="24" t="s">
        <v>203</v>
      </c>
      <c r="D118" s="24" t="s">
        <v>204</v>
      </c>
      <c r="E118" s="25"/>
      <c r="F118" s="25"/>
      <c r="G118" s="25"/>
      <c r="H118" s="25">
        <v>100</v>
      </c>
      <c r="I118" s="25"/>
      <c r="J118" s="25"/>
      <c r="K118" s="25"/>
      <c r="L118" s="25"/>
      <c r="M118" s="25"/>
      <c r="N118" s="25"/>
      <c r="O118" s="25"/>
      <c r="P118" s="25"/>
      <c r="Q118" s="22">
        <f t="shared" si="1"/>
        <v>100</v>
      </c>
    </row>
    <row r="119" spans="1:17" ht="15.75" customHeight="1">
      <c r="A119" s="19">
        <v>117</v>
      </c>
      <c r="B119" s="20" t="s">
        <v>2372</v>
      </c>
      <c r="C119" s="20" t="s">
        <v>206</v>
      </c>
      <c r="D119" s="20" t="s">
        <v>20</v>
      </c>
      <c r="E119" s="21"/>
      <c r="F119" s="21"/>
      <c r="G119" s="21"/>
      <c r="H119" s="21"/>
      <c r="I119" s="21"/>
      <c r="J119" s="21"/>
      <c r="K119" s="21">
        <v>20</v>
      </c>
      <c r="L119" s="21"/>
      <c r="M119" s="21"/>
      <c r="N119" s="21"/>
      <c r="O119" s="21"/>
      <c r="P119" s="21"/>
      <c r="Q119" s="22">
        <f t="shared" si="1"/>
        <v>20</v>
      </c>
    </row>
    <row r="120" spans="1:17" ht="15.75" customHeight="1">
      <c r="A120" s="23">
        <v>118</v>
      </c>
      <c r="B120" s="24" t="s">
        <v>205</v>
      </c>
      <c r="C120" s="24" t="s">
        <v>206</v>
      </c>
      <c r="D120" s="24" t="s">
        <v>32</v>
      </c>
      <c r="E120" s="25"/>
      <c r="F120" s="25"/>
      <c r="G120" s="25"/>
      <c r="H120" s="25"/>
      <c r="I120" s="25"/>
      <c r="J120" s="25"/>
      <c r="K120" s="25">
        <v>20</v>
      </c>
      <c r="L120" s="25"/>
      <c r="M120" s="25"/>
      <c r="N120" s="25"/>
      <c r="O120" s="25"/>
      <c r="P120" s="25"/>
      <c r="Q120" s="22">
        <f t="shared" si="1"/>
        <v>20</v>
      </c>
    </row>
    <row r="121" spans="1:17" ht="15.75" customHeight="1">
      <c r="A121" s="19">
        <v>119</v>
      </c>
      <c r="B121" s="20" t="s">
        <v>2373</v>
      </c>
      <c r="C121" s="20" t="s">
        <v>206</v>
      </c>
      <c r="D121" s="20" t="s">
        <v>53</v>
      </c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>
        <v>1</v>
      </c>
      <c r="Q121" s="22">
        <f t="shared" si="1"/>
        <v>1</v>
      </c>
    </row>
    <row r="122" spans="1:17" ht="15.75" customHeight="1">
      <c r="A122" s="23">
        <v>120</v>
      </c>
      <c r="B122" s="24" t="s">
        <v>2374</v>
      </c>
      <c r="C122" s="24" t="s">
        <v>211</v>
      </c>
      <c r="D122" s="24" t="s">
        <v>24</v>
      </c>
      <c r="E122" s="25"/>
      <c r="F122" s="25"/>
      <c r="G122" s="25"/>
      <c r="H122" s="25"/>
      <c r="I122" s="25"/>
      <c r="J122" s="25"/>
      <c r="K122" s="25"/>
      <c r="L122" s="25">
        <v>2</v>
      </c>
      <c r="M122" s="25"/>
      <c r="N122" s="25"/>
      <c r="O122" s="25"/>
      <c r="P122" s="25"/>
      <c r="Q122" s="22">
        <f t="shared" si="1"/>
        <v>2</v>
      </c>
    </row>
    <row r="123" spans="1:17" ht="15.75" customHeight="1">
      <c r="A123" s="19">
        <v>121</v>
      </c>
      <c r="B123" s="20" t="s">
        <v>219</v>
      </c>
      <c r="C123" s="20" t="s">
        <v>203</v>
      </c>
      <c r="D123" s="20" t="s">
        <v>20</v>
      </c>
      <c r="E123" s="21"/>
      <c r="F123" s="21"/>
      <c r="G123" s="21"/>
      <c r="H123" s="21">
        <v>50</v>
      </c>
      <c r="I123" s="21"/>
      <c r="J123" s="21">
        <v>50</v>
      </c>
      <c r="K123" s="21">
        <v>70</v>
      </c>
      <c r="L123" s="21"/>
      <c r="M123" s="21"/>
      <c r="N123" s="21"/>
      <c r="O123" s="21"/>
      <c r="P123" s="21"/>
      <c r="Q123" s="22">
        <f t="shared" si="1"/>
        <v>170</v>
      </c>
    </row>
    <row r="124" spans="1:17" ht="15.75" customHeight="1">
      <c r="A124" s="23">
        <v>122</v>
      </c>
      <c r="B124" s="24" t="s">
        <v>220</v>
      </c>
      <c r="C124" s="24" t="s">
        <v>203</v>
      </c>
      <c r="D124" s="24" t="s">
        <v>32</v>
      </c>
      <c r="E124" s="25">
        <v>30</v>
      </c>
      <c r="F124" s="25"/>
      <c r="G124" s="25"/>
      <c r="H124" s="25"/>
      <c r="I124" s="25"/>
      <c r="J124" s="25">
        <v>10</v>
      </c>
      <c r="K124" s="25">
        <v>10</v>
      </c>
      <c r="L124" s="25"/>
      <c r="M124" s="25"/>
      <c r="N124" s="25"/>
      <c r="O124" s="25"/>
      <c r="P124" s="25"/>
      <c r="Q124" s="22">
        <f t="shared" si="1"/>
        <v>50</v>
      </c>
    </row>
    <row r="125" spans="1:17" ht="15.75" customHeight="1">
      <c r="A125" s="19">
        <v>123</v>
      </c>
      <c r="B125" s="20" t="s">
        <v>221</v>
      </c>
      <c r="C125" s="20" t="s">
        <v>203</v>
      </c>
      <c r="D125" s="20" t="s">
        <v>222</v>
      </c>
      <c r="E125" s="21"/>
      <c r="F125" s="21">
        <v>5</v>
      </c>
      <c r="G125" s="21">
        <v>20</v>
      </c>
      <c r="H125" s="21"/>
      <c r="I125" s="21"/>
      <c r="J125" s="21"/>
      <c r="K125" s="21"/>
      <c r="L125" s="21"/>
      <c r="M125" s="21"/>
      <c r="N125" s="21"/>
      <c r="O125" s="21"/>
      <c r="P125" s="21"/>
      <c r="Q125" s="22">
        <f t="shared" si="1"/>
        <v>25</v>
      </c>
    </row>
    <row r="126" spans="1:17" ht="15.75" customHeight="1">
      <c r="A126" s="23">
        <v>124</v>
      </c>
      <c r="B126" s="24" t="s">
        <v>2375</v>
      </c>
      <c r="C126" s="24" t="s">
        <v>203</v>
      </c>
      <c r="D126" s="24" t="s">
        <v>42</v>
      </c>
      <c r="E126" s="25"/>
      <c r="F126" s="25"/>
      <c r="G126" s="25">
        <v>95</v>
      </c>
      <c r="H126" s="25"/>
      <c r="I126" s="25"/>
      <c r="J126" s="25"/>
      <c r="K126" s="25"/>
      <c r="L126" s="25"/>
      <c r="M126" s="25"/>
      <c r="N126" s="25"/>
      <c r="O126" s="25"/>
      <c r="P126" s="25"/>
      <c r="Q126" s="22">
        <f t="shared" si="1"/>
        <v>95</v>
      </c>
    </row>
    <row r="127" spans="1:17" ht="15.75" customHeight="1">
      <c r="A127" s="19">
        <v>125</v>
      </c>
      <c r="B127" s="20" t="s">
        <v>223</v>
      </c>
      <c r="C127" s="20" t="s">
        <v>203</v>
      </c>
      <c r="D127" s="20" t="s">
        <v>22</v>
      </c>
      <c r="E127" s="21">
        <v>100</v>
      </c>
      <c r="F127" s="21"/>
      <c r="G127" s="21"/>
      <c r="H127" s="21">
        <v>50</v>
      </c>
      <c r="I127" s="21"/>
      <c r="J127" s="21"/>
      <c r="K127" s="21">
        <v>50</v>
      </c>
      <c r="L127" s="21"/>
      <c r="M127" s="21"/>
      <c r="N127" s="21"/>
      <c r="O127" s="21"/>
      <c r="P127" s="21"/>
      <c r="Q127" s="22">
        <f t="shared" si="1"/>
        <v>200</v>
      </c>
    </row>
    <row r="128" spans="1:17" ht="15.75" customHeight="1">
      <c r="A128" s="23">
        <v>126</v>
      </c>
      <c r="B128" s="24" t="s">
        <v>224</v>
      </c>
      <c r="C128" s="24" t="s">
        <v>203</v>
      </c>
      <c r="D128" s="24" t="s">
        <v>225</v>
      </c>
      <c r="E128" s="25"/>
      <c r="F128" s="25">
        <v>5</v>
      </c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2">
        <f t="shared" si="1"/>
        <v>5</v>
      </c>
    </row>
    <row r="129" spans="1:17" ht="15.75" customHeight="1">
      <c r="A129" s="19">
        <v>127</v>
      </c>
      <c r="B129" s="20" t="s">
        <v>226</v>
      </c>
      <c r="C129" s="20" t="s">
        <v>203</v>
      </c>
      <c r="D129" s="20" t="s">
        <v>121</v>
      </c>
      <c r="E129" s="21">
        <v>50</v>
      </c>
      <c r="F129" s="21"/>
      <c r="G129" s="21"/>
      <c r="H129" s="21">
        <v>50</v>
      </c>
      <c r="I129" s="21"/>
      <c r="J129" s="21"/>
      <c r="K129" s="21"/>
      <c r="L129" s="21"/>
      <c r="M129" s="21"/>
      <c r="N129" s="21"/>
      <c r="O129" s="21"/>
      <c r="P129" s="21"/>
      <c r="Q129" s="22">
        <f t="shared" si="1"/>
        <v>100</v>
      </c>
    </row>
    <row r="130" spans="1:17" ht="15.75" customHeight="1">
      <c r="A130" s="23">
        <v>128</v>
      </c>
      <c r="B130" s="24" t="s">
        <v>227</v>
      </c>
      <c r="C130" s="24" t="s">
        <v>203</v>
      </c>
      <c r="D130" s="24" t="s">
        <v>45</v>
      </c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>
        <v>10</v>
      </c>
      <c r="Q130" s="22">
        <f t="shared" si="1"/>
        <v>10</v>
      </c>
    </row>
    <row r="131" spans="1:17" ht="15.75" customHeight="1">
      <c r="A131" s="19">
        <v>129</v>
      </c>
      <c r="B131" s="20" t="s">
        <v>228</v>
      </c>
      <c r="C131" s="20" t="s">
        <v>203</v>
      </c>
      <c r="D131" s="20" t="s">
        <v>47</v>
      </c>
      <c r="E131" s="21">
        <v>70</v>
      </c>
      <c r="F131" s="21"/>
      <c r="G131" s="21"/>
      <c r="H131" s="21">
        <v>20</v>
      </c>
      <c r="I131" s="21"/>
      <c r="J131" s="21"/>
      <c r="K131" s="21"/>
      <c r="L131" s="21"/>
      <c r="M131" s="21"/>
      <c r="N131" s="21"/>
      <c r="O131" s="21"/>
      <c r="P131" s="21"/>
      <c r="Q131" s="22">
        <f t="shared" ref="Q131:Q194" si="2">SUM(E131:P131)</f>
        <v>90</v>
      </c>
    </row>
    <row r="132" spans="1:17" ht="15.75" customHeight="1">
      <c r="A132" s="23">
        <v>130</v>
      </c>
      <c r="B132" s="24" t="s">
        <v>229</v>
      </c>
      <c r="C132" s="24" t="s">
        <v>203</v>
      </c>
      <c r="D132" s="24" t="s">
        <v>173</v>
      </c>
      <c r="E132" s="25">
        <v>50</v>
      </c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2">
        <f t="shared" si="2"/>
        <v>50</v>
      </c>
    </row>
    <row r="133" spans="1:17" ht="15.75" customHeight="1">
      <c r="A133" s="19">
        <v>131</v>
      </c>
      <c r="B133" s="20" t="s">
        <v>230</v>
      </c>
      <c r="C133" s="20" t="s">
        <v>203</v>
      </c>
      <c r="D133" s="20" t="s">
        <v>24</v>
      </c>
      <c r="E133" s="21">
        <v>70</v>
      </c>
      <c r="F133" s="21"/>
      <c r="G133" s="21"/>
      <c r="H133" s="21"/>
      <c r="I133" s="21"/>
      <c r="J133" s="21">
        <v>20</v>
      </c>
      <c r="K133" s="21">
        <v>30</v>
      </c>
      <c r="L133" s="21"/>
      <c r="M133" s="21"/>
      <c r="N133" s="21">
        <v>50</v>
      </c>
      <c r="O133" s="21">
        <v>30</v>
      </c>
      <c r="P133" s="21"/>
      <c r="Q133" s="22">
        <f t="shared" si="2"/>
        <v>200</v>
      </c>
    </row>
    <row r="134" spans="1:17" ht="15.75" customHeight="1">
      <c r="A134" s="23">
        <v>132</v>
      </c>
      <c r="B134" s="24" t="s">
        <v>231</v>
      </c>
      <c r="C134" s="24" t="s">
        <v>203</v>
      </c>
      <c r="D134" s="24" t="s">
        <v>87</v>
      </c>
      <c r="E134" s="25"/>
      <c r="F134" s="25"/>
      <c r="G134" s="25"/>
      <c r="H134" s="25">
        <v>10</v>
      </c>
      <c r="I134" s="25"/>
      <c r="J134" s="25">
        <v>10</v>
      </c>
      <c r="K134" s="25"/>
      <c r="L134" s="25"/>
      <c r="M134" s="25"/>
      <c r="N134" s="25"/>
      <c r="O134" s="25"/>
      <c r="P134" s="25"/>
      <c r="Q134" s="22">
        <f t="shared" si="2"/>
        <v>20</v>
      </c>
    </row>
    <row r="135" spans="1:17" ht="15.75" customHeight="1">
      <c r="A135" s="19">
        <v>133</v>
      </c>
      <c r="B135" s="20" t="s">
        <v>232</v>
      </c>
      <c r="C135" s="20" t="s">
        <v>203</v>
      </c>
      <c r="D135" s="20" t="s">
        <v>35</v>
      </c>
      <c r="E135" s="21"/>
      <c r="F135" s="21"/>
      <c r="G135" s="21"/>
      <c r="H135" s="21">
        <v>10</v>
      </c>
      <c r="I135" s="21"/>
      <c r="J135" s="21">
        <v>10</v>
      </c>
      <c r="K135" s="21"/>
      <c r="L135" s="21"/>
      <c r="M135" s="21"/>
      <c r="N135" s="21"/>
      <c r="O135" s="21"/>
      <c r="P135" s="21"/>
      <c r="Q135" s="22">
        <f t="shared" si="2"/>
        <v>20</v>
      </c>
    </row>
    <row r="136" spans="1:17" ht="15.75" customHeight="1">
      <c r="A136" s="23">
        <v>134</v>
      </c>
      <c r="B136" s="24" t="s">
        <v>233</v>
      </c>
      <c r="C136" s="24" t="s">
        <v>203</v>
      </c>
      <c r="D136" s="24" t="s">
        <v>50</v>
      </c>
      <c r="E136" s="25"/>
      <c r="F136" s="25"/>
      <c r="G136" s="25"/>
      <c r="H136" s="25">
        <v>10</v>
      </c>
      <c r="I136" s="25"/>
      <c r="J136" s="25">
        <v>6</v>
      </c>
      <c r="K136" s="25"/>
      <c r="L136" s="25"/>
      <c r="M136" s="25"/>
      <c r="N136" s="25"/>
      <c r="O136" s="25"/>
      <c r="P136" s="25"/>
      <c r="Q136" s="22">
        <f t="shared" si="2"/>
        <v>16</v>
      </c>
    </row>
    <row r="137" spans="1:17" ht="15.75" customHeight="1">
      <c r="A137" s="19">
        <v>135</v>
      </c>
      <c r="B137" s="20" t="s">
        <v>234</v>
      </c>
      <c r="C137" s="20" t="s">
        <v>203</v>
      </c>
      <c r="D137" s="20" t="s">
        <v>190</v>
      </c>
      <c r="E137" s="21"/>
      <c r="F137" s="21"/>
      <c r="G137" s="21"/>
      <c r="H137" s="21">
        <v>20</v>
      </c>
      <c r="I137" s="21"/>
      <c r="J137" s="21">
        <v>10</v>
      </c>
      <c r="K137" s="21"/>
      <c r="L137" s="21"/>
      <c r="M137" s="21"/>
      <c r="N137" s="21"/>
      <c r="O137" s="21"/>
      <c r="P137" s="21"/>
      <c r="Q137" s="22">
        <f t="shared" si="2"/>
        <v>30</v>
      </c>
    </row>
    <row r="138" spans="1:17" ht="15.75" customHeight="1">
      <c r="A138" s="23">
        <v>136</v>
      </c>
      <c r="B138" s="24" t="s">
        <v>235</v>
      </c>
      <c r="C138" s="24" t="s">
        <v>203</v>
      </c>
      <c r="D138" s="24" t="s">
        <v>26</v>
      </c>
      <c r="E138" s="25"/>
      <c r="F138" s="25"/>
      <c r="G138" s="25">
        <v>30</v>
      </c>
      <c r="H138" s="25"/>
      <c r="I138" s="25"/>
      <c r="J138" s="25"/>
      <c r="K138" s="25">
        <v>10</v>
      </c>
      <c r="L138" s="25">
        <v>50</v>
      </c>
      <c r="M138" s="25"/>
      <c r="N138" s="25"/>
      <c r="O138" s="25"/>
      <c r="P138" s="25"/>
      <c r="Q138" s="22">
        <f t="shared" si="2"/>
        <v>90</v>
      </c>
    </row>
    <row r="139" spans="1:17" ht="15.75" customHeight="1">
      <c r="A139" s="19">
        <v>137</v>
      </c>
      <c r="B139" s="20" t="s">
        <v>236</v>
      </c>
      <c r="C139" s="20" t="s">
        <v>203</v>
      </c>
      <c r="D139" s="20" t="s">
        <v>53</v>
      </c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>
        <v>27</v>
      </c>
      <c r="Q139" s="22">
        <f t="shared" si="2"/>
        <v>27</v>
      </c>
    </row>
    <row r="140" spans="1:17" ht="15.75" customHeight="1">
      <c r="A140" s="23">
        <v>138</v>
      </c>
      <c r="B140" s="24" t="s">
        <v>239</v>
      </c>
      <c r="C140" s="24" t="s">
        <v>203</v>
      </c>
      <c r="D140" s="24" t="s">
        <v>240</v>
      </c>
      <c r="E140" s="25">
        <v>100</v>
      </c>
      <c r="F140" s="25"/>
      <c r="G140" s="25">
        <v>150</v>
      </c>
      <c r="H140" s="25">
        <v>100</v>
      </c>
      <c r="I140" s="25"/>
      <c r="J140" s="25">
        <v>50</v>
      </c>
      <c r="K140" s="25">
        <v>150</v>
      </c>
      <c r="L140" s="25"/>
      <c r="M140" s="25"/>
      <c r="N140" s="25">
        <v>150</v>
      </c>
      <c r="O140" s="25"/>
      <c r="P140" s="25">
        <v>250</v>
      </c>
      <c r="Q140" s="22">
        <f t="shared" si="2"/>
        <v>950</v>
      </c>
    </row>
    <row r="141" spans="1:17" ht="15.75" customHeight="1">
      <c r="A141" s="19">
        <v>139</v>
      </c>
      <c r="B141" s="20" t="s">
        <v>2376</v>
      </c>
      <c r="C141" s="20" t="s">
        <v>244</v>
      </c>
      <c r="D141" s="20" t="s">
        <v>121</v>
      </c>
      <c r="E141" s="21"/>
      <c r="F141" s="21"/>
      <c r="G141" s="21"/>
      <c r="H141" s="21"/>
      <c r="I141" s="21"/>
      <c r="J141" s="21"/>
      <c r="K141" s="21"/>
      <c r="L141" s="21"/>
      <c r="M141" s="21">
        <v>4</v>
      </c>
      <c r="N141" s="21"/>
      <c r="O141" s="21"/>
      <c r="P141" s="21"/>
      <c r="Q141" s="22">
        <f t="shared" si="2"/>
        <v>4</v>
      </c>
    </row>
    <row r="142" spans="1:17" ht="15.75" customHeight="1">
      <c r="A142" s="23">
        <v>140</v>
      </c>
      <c r="B142" s="24" t="s">
        <v>2377</v>
      </c>
      <c r="C142" s="24" t="s">
        <v>244</v>
      </c>
      <c r="D142" s="24" t="s">
        <v>47</v>
      </c>
      <c r="E142" s="25"/>
      <c r="F142" s="25"/>
      <c r="G142" s="25"/>
      <c r="H142" s="25"/>
      <c r="I142" s="25"/>
      <c r="J142" s="25">
        <v>10</v>
      </c>
      <c r="K142" s="25"/>
      <c r="L142" s="25"/>
      <c r="M142" s="25"/>
      <c r="N142" s="25"/>
      <c r="O142" s="25"/>
      <c r="P142" s="25"/>
      <c r="Q142" s="22">
        <f t="shared" si="2"/>
        <v>10</v>
      </c>
    </row>
    <row r="143" spans="1:17" ht="15.75" customHeight="1">
      <c r="A143" s="19">
        <v>141</v>
      </c>
      <c r="B143" s="20" t="s">
        <v>249</v>
      </c>
      <c r="C143" s="20" t="s">
        <v>244</v>
      </c>
      <c r="D143" s="20" t="s">
        <v>24</v>
      </c>
      <c r="E143" s="21"/>
      <c r="F143" s="21"/>
      <c r="G143" s="21">
        <v>50</v>
      </c>
      <c r="H143" s="21"/>
      <c r="I143" s="21"/>
      <c r="J143" s="21"/>
      <c r="K143" s="21">
        <v>30</v>
      </c>
      <c r="L143" s="21"/>
      <c r="M143" s="21"/>
      <c r="N143" s="21"/>
      <c r="O143" s="21"/>
      <c r="P143" s="21">
        <v>30</v>
      </c>
      <c r="Q143" s="22">
        <f t="shared" si="2"/>
        <v>110</v>
      </c>
    </row>
    <row r="144" spans="1:17" ht="15.75" customHeight="1">
      <c r="A144" s="23">
        <v>142</v>
      </c>
      <c r="B144" s="24" t="s">
        <v>250</v>
      </c>
      <c r="C144" s="24" t="s">
        <v>244</v>
      </c>
      <c r="D144" s="24" t="s">
        <v>87</v>
      </c>
      <c r="E144" s="25"/>
      <c r="F144" s="25"/>
      <c r="G144" s="25"/>
      <c r="H144" s="25"/>
      <c r="I144" s="25"/>
      <c r="J144" s="25"/>
      <c r="K144" s="25"/>
      <c r="L144" s="25">
        <v>2</v>
      </c>
      <c r="M144" s="25"/>
      <c r="N144" s="25"/>
      <c r="O144" s="25"/>
      <c r="P144" s="25"/>
      <c r="Q144" s="22">
        <f t="shared" si="2"/>
        <v>2</v>
      </c>
    </row>
    <row r="145" spans="1:17" ht="15.75" customHeight="1">
      <c r="A145" s="19">
        <v>143</v>
      </c>
      <c r="B145" s="20" t="s">
        <v>254</v>
      </c>
      <c r="C145" s="20" t="s">
        <v>253</v>
      </c>
      <c r="D145" s="20" t="s">
        <v>22</v>
      </c>
      <c r="E145" s="21"/>
      <c r="F145" s="21"/>
      <c r="G145" s="21"/>
      <c r="H145" s="21"/>
      <c r="I145" s="21"/>
      <c r="J145" s="21"/>
      <c r="K145" s="21">
        <v>10</v>
      </c>
      <c r="L145" s="21"/>
      <c r="M145" s="21"/>
      <c r="N145" s="21"/>
      <c r="O145" s="21"/>
      <c r="P145" s="21"/>
      <c r="Q145" s="22">
        <f t="shared" si="2"/>
        <v>10</v>
      </c>
    </row>
    <row r="146" spans="1:17" ht="15.75" customHeight="1">
      <c r="A146" s="23">
        <v>144</v>
      </c>
      <c r="B146" s="24" t="s">
        <v>255</v>
      </c>
      <c r="C146" s="24" t="s">
        <v>253</v>
      </c>
      <c r="D146" s="24" t="s">
        <v>45</v>
      </c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>
        <v>26</v>
      </c>
      <c r="Q146" s="22">
        <f t="shared" si="2"/>
        <v>26</v>
      </c>
    </row>
    <row r="147" spans="1:17" ht="15.75" customHeight="1">
      <c r="A147" s="19">
        <v>145</v>
      </c>
      <c r="B147" s="20" t="s">
        <v>2378</v>
      </c>
      <c r="C147" s="20" t="s">
        <v>253</v>
      </c>
      <c r="D147" s="20" t="s">
        <v>47</v>
      </c>
      <c r="E147" s="21"/>
      <c r="F147" s="21"/>
      <c r="G147" s="21"/>
      <c r="H147" s="21"/>
      <c r="I147" s="21"/>
      <c r="J147" s="21"/>
      <c r="K147" s="21">
        <v>10</v>
      </c>
      <c r="L147" s="21"/>
      <c r="M147" s="21"/>
      <c r="N147" s="21"/>
      <c r="O147" s="21"/>
      <c r="P147" s="21"/>
      <c r="Q147" s="22">
        <f t="shared" si="2"/>
        <v>10</v>
      </c>
    </row>
    <row r="148" spans="1:17" ht="15.75" customHeight="1">
      <c r="A148" s="23">
        <v>146</v>
      </c>
      <c r="B148" s="24" t="s">
        <v>256</v>
      </c>
      <c r="C148" s="24" t="s">
        <v>253</v>
      </c>
      <c r="D148" s="24" t="s">
        <v>24</v>
      </c>
      <c r="E148" s="25"/>
      <c r="F148" s="25"/>
      <c r="G148" s="25"/>
      <c r="H148" s="25"/>
      <c r="I148" s="25"/>
      <c r="J148" s="25"/>
      <c r="K148" s="25">
        <v>80</v>
      </c>
      <c r="L148" s="25"/>
      <c r="M148" s="25"/>
      <c r="N148" s="25"/>
      <c r="O148" s="25"/>
      <c r="P148" s="25">
        <v>30</v>
      </c>
      <c r="Q148" s="22">
        <f t="shared" si="2"/>
        <v>110</v>
      </c>
    </row>
    <row r="149" spans="1:17" ht="15.75" customHeight="1">
      <c r="A149" s="19">
        <v>147</v>
      </c>
      <c r="B149" s="20" t="s">
        <v>2379</v>
      </c>
      <c r="C149" s="20" t="s">
        <v>253</v>
      </c>
      <c r="D149" s="20" t="s">
        <v>26</v>
      </c>
      <c r="E149" s="21"/>
      <c r="F149" s="21"/>
      <c r="G149" s="21"/>
      <c r="H149" s="21"/>
      <c r="I149" s="21"/>
      <c r="J149" s="21"/>
      <c r="K149" s="21">
        <v>50</v>
      </c>
      <c r="L149" s="21"/>
      <c r="M149" s="21"/>
      <c r="N149" s="21"/>
      <c r="O149" s="21"/>
      <c r="P149" s="21"/>
      <c r="Q149" s="22">
        <f t="shared" si="2"/>
        <v>50</v>
      </c>
    </row>
    <row r="150" spans="1:17" ht="15.75" customHeight="1">
      <c r="A150" s="23">
        <v>148</v>
      </c>
      <c r="B150" s="24" t="s">
        <v>2380</v>
      </c>
      <c r="C150" s="24" t="s">
        <v>253</v>
      </c>
      <c r="D150" s="24" t="s">
        <v>53</v>
      </c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>
        <v>71</v>
      </c>
      <c r="Q150" s="22">
        <f t="shared" si="2"/>
        <v>71</v>
      </c>
    </row>
    <row r="151" spans="1:17" ht="15.75" customHeight="1">
      <c r="A151" s="19">
        <v>149</v>
      </c>
      <c r="B151" s="20" t="s">
        <v>258</v>
      </c>
      <c r="C151" s="20" t="s">
        <v>253</v>
      </c>
      <c r="D151" s="20" t="s">
        <v>259</v>
      </c>
      <c r="E151" s="21"/>
      <c r="F151" s="21"/>
      <c r="G151" s="21"/>
      <c r="H151" s="21"/>
      <c r="I151" s="21"/>
      <c r="J151" s="21"/>
      <c r="K151" s="21"/>
      <c r="L151" s="21"/>
      <c r="M151" s="21"/>
      <c r="N151" s="21">
        <v>4</v>
      </c>
      <c r="O151" s="21"/>
      <c r="P151" s="21"/>
      <c r="Q151" s="22">
        <f t="shared" si="2"/>
        <v>4</v>
      </c>
    </row>
    <row r="152" spans="1:17" ht="15.75" customHeight="1">
      <c r="A152" s="23">
        <v>150</v>
      </c>
      <c r="B152" s="24" t="s">
        <v>266</v>
      </c>
      <c r="C152" s="24" t="s">
        <v>263</v>
      </c>
      <c r="D152" s="24" t="s">
        <v>45</v>
      </c>
      <c r="E152" s="25"/>
      <c r="F152" s="25"/>
      <c r="G152" s="25"/>
      <c r="H152" s="25"/>
      <c r="I152" s="25"/>
      <c r="J152" s="25"/>
      <c r="K152" s="25"/>
      <c r="L152" s="25"/>
      <c r="M152" s="25"/>
      <c r="N152" s="25">
        <v>3</v>
      </c>
      <c r="O152" s="25"/>
      <c r="P152" s="25"/>
      <c r="Q152" s="22">
        <f t="shared" si="2"/>
        <v>3</v>
      </c>
    </row>
    <row r="153" spans="1:17" ht="15.75" customHeight="1">
      <c r="A153" s="19">
        <v>151</v>
      </c>
      <c r="B153" s="20" t="s">
        <v>268</v>
      </c>
      <c r="C153" s="20" t="s">
        <v>263</v>
      </c>
      <c r="D153" s="20" t="s">
        <v>24</v>
      </c>
      <c r="E153" s="21"/>
      <c r="F153" s="21"/>
      <c r="G153" s="21"/>
      <c r="H153" s="21"/>
      <c r="I153" s="21"/>
      <c r="J153" s="21"/>
      <c r="K153" s="21"/>
      <c r="L153" s="21"/>
      <c r="M153" s="21">
        <v>4</v>
      </c>
      <c r="N153" s="21"/>
      <c r="O153" s="21"/>
      <c r="P153" s="21"/>
      <c r="Q153" s="22">
        <f t="shared" si="2"/>
        <v>4</v>
      </c>
    </row>
    <row r="154" spans="1:17" ht="15.75" customHeight="1">
      <c r="A154" s="23">
        <v>152</v>
      </c>
      <c r="B154" s="24" t="s">
        <v>276</v>
      </c>
      <c r="C154" s="24" t="s">
        <v>271</v>
      </c>
      <c r="D154" s="24" t="s">
        <v>24</v>
      </c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>
        <v>6</v>
      </c>
      <c r="P154" s="25"/>
      <c r="Q154" s="22">
        <f t="shared" si="2"/>
        <v>6</v>
      </c>
    </row>
    <row r="155" spans="1:17" ht="15.75" customHeight="1">
      <c r="A155" s="19">
        <v>153</v>
      </c>
      <c r="B155" s="20" t="s">
        <v>281</v>
      </c>
      <c r="C155" s="20" t="s">
        <v>278</v>
      </c>
      <c r="D155" s="20" t="s">
        <v>24</v>
      </c>
      <c r="E155" s="21">
        <v>2</v>
      </c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>
        <v>4</v>
      </c>
      <c r="Q155" s="22">
        <f t="shared" si="2"/>
        <v>6</v>
      </c>
    </row>
    <row r="156" spans="1:17" ht="15.75" customHeight="1">
      <c r="A156" s="23">
        <v>154</v>
      </c>
      <c r="B156" s="24" t="s">
        <v>288</v>
      </c>
      <c r="C156" s="24" t="s">
        <v>283</v>
      </c>
      <c r="D156" s="24" t="s">
        <v>22</v>
      </c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>
        <v>6</v>
      </c>
      <c r="Q156" s="22">
        <f t="shared" si="2"/>
        <v>6</v>
      </c>
    </row>
    <row r="157" spans="1:17" ht="15.75" customHeight="1">
      <c r="A157" s="19">
        <v>155</v>
      </c>
      <c r="B157" s="20" t="s">
        <v>291</v>
      </c>
      <c r="C157" s="20" t="s">
        <v>283</v>
      </c>
      <c r="D157" s="20" t="s">
        <v>24</v>
      </c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>
        <v>30</v>
      </c>
      <c r="P157" s="21">
        <v>120</v>
      </c>
      <c r="Q157" s="22">
        <f t="shared" si="2"/>
        <v>150</v>
      </c>
    </row>
    <row r="158" spans="1:17" ht="15.75" customHeight="1">
      <c r="A158" s="23">
        <v>156</v>
      </c>
      <c r="B158" s="24" t="s">
        <v>2381</v>
      </c>
      <c r="C158" s="24" t="s">
        <v>283</v>
      </c>
      <c r="D158" s="24" t="s">
        <v>118</v>
      </c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>
        <v>200</v>
      </c>
      <c r="P158" s="25"/>
      <c r="Q158" s="22">
        <f t="shared" si="2"/>
        <v>200</v>
      </c>
    </row>
    <row r="159" spans="1:17" ht="15.75" customHeight="1">
      <c r="A159" s="19">
        <v>157</v>
      </c>
      <c r="B159" s="20" t="s">
        <v>2382</v>
      </c>
      <c r="C159" s="20" t="s">
        <v>294</v>
      </c>
      <c r="D159" s="20" t="s">
        <v>32</v>
      </c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>
        <v>17</v>
      </c>
      <c r="Q159" s="22">
        <f t="shared" si="2"/>
        <v>17</v>
      </c>
    </row>
    <row r="160" spans="1:17" ht="15.75" customHeight="1">
      <c r="A160" s="23">
        <v>158</v>
      </c>
      <c r="B160" s="24" t="s">
        <v>2383</v>
      </c>
      <c r="C160" s="24" t="s">
        <v>294</v>
      </c>
      <c r="D160" s="24" t="s">
        <v>45</v>
      </c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>
        <v>40</v>
      </c>
      <c r="P160" s="25">
        <v>10</v>
      </c>
      <c r="Q160" s="22">
        <f t="shared" si="2"/>
        <v>50</v>
      </c>
    </row>
    <row r="161" spans="1:17" ht="15.75" customHeight="1">
      <c r="A161" s="19">
        <v>159</v>
      </c>
      <c r="B161" s="20" t="s">
        <v>2384</v>
      </c>
      <c r="C161" s="20" t="s">
        <v>294</v>
      </c>
      <c r="D161" s="20" t="s">
        <v>55</v>
      </c>
      <c r="E161" s="21"/>
      <c r="F161" s="21"/>
      <c r="G161" s="21"/>
      <c r="H161" s="21"/>
      <c r="I161" s="21"/>
      <c r="J161" s="21"/>
      <c r="K161" s="21"/>
      <c r="L161" s="21"/>
      <c r="M161" s="21"/>
      <c r="N161" s="21">
        <v>1</v>
      </c>
      <c r="O161" s="21"/>
      <c r="P161" s="21"/>
      <c r="Q161" s="22">
        <f t="shared" si="2"/>
        <v>1</v>
      </c>
    </row>
    <row r="162" spans="1:17" ht="15.75" customHeight="1">
      <c r="A162" s="23">
        <v>160</v>
      </c>
      <c r="B162" s="24" t="s">
        <v>2385</v>
      </c>
      <c r="C162" s="24" t="s">
        <v>169</v>
      </c>
      <c r="D162" s="24" t="s">
        <v>45</v>
      </c>
      <c r="E162" s="25"/>
      <c r="F162" s="25"/>
      <c r="G162" s="25">
        <v>2</v>
      </c>
      <c r="H162" s="25"/>
      <c r="I162" s="25"/>
      <c r="J162" s="25"/>
      <c r="K162" s="25"/>
      <c r="L162" s="25"/>
      <c r="M162" s="25"/>
      <c r="N162" s="25"/>
      <c r="O162" s="25"/>
      <c r="P162" s="25"/>
      <c r="Q162" s="22">
        <f t="shared" si="2"/>
        <v>2</v>
      </c>
    </row>
    <row r="163" spans="1:17" ht="15.75" customHeight="1">
      <c r="A163" s="19">
        <v>161</v>
      </c>
      <c r="B163" s="20" t="s">
        <v>2386</v>
      </c>
      <c r="C163" s="20" t="s">
        <v>2366</v>
      </c>
      <c r="D163" s="20" t="s">
        <v>121</v>
      </c>
      <c r="E163" s="21"/>
      <c r="F163" s="21"/>
      <c r="G163" s="21">
        <v>4</v>
      </c>
      <c r="H163" s="21"/>
      <c r="I163" s="21"/>
      <c r="J163" s="21"/>
      <c r="K163" s="21"/>
      <c r="L163" s="21"/>
      <c r="M163" s="21"/>
      <c r="N163" s="21"/>
      <c r="O163" s="21"/>
      <c r="P163" s="21"/>
      <c r="Q163" s="22">
        <f t="shared" si="2"/>
        <v>4</v>
      </c>
    </row>
    <row r="164" spans="1:17" ht="15.75" customHeight="1">
      <c r="A164" s="23">
        <v>162</v>
      </c>
      <c r="B164" s="24" t="s">
        <v>2387</v>
      </c>
      <c r="C164" s="24" t="s">
        <v>253</v>
      </c>
      <c r="D164" s="24" t="s">
        <v>1515</v>
      </c>
      <c r="E164" s="25">
        <v>5</v>
      </c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2">
        <f t="shared" si="2"/>
        <v>5</v>
      </c>
    </row>
    <row r="165" spans="1:17" ht="15.75" customHeight="1">
      <c r="A165" s="19">
        <v>163</v>
      </c>
      <c r="B165" s="20" t="s">
        <v>313</v>
      </c>
      <c r="C165" s="20" t="s">
        <v>169</v>
      </c>
      <c r="D165" s="20" t="s">
        <v>259</v>
      </c>
      <c r="E165" s="21"/>
      <c r="F165" s="21">
        <v>4</v>
      </c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2">
        <f t="shared" si="2"/>
        <v>4</v>
      </c>
    </row>
    <row r="166" spans="1:17" ht="15.75" customHeight="1">
      <c r="A166" s="23">
        <v>164</v>
      </c>
      <c r="B166" s="24" t="s">
        <v>2388</v>
      </c>
      <c r="C166" s="24" t="s">
        <v>180</v>
      </c>
      <c r="D166" s="24" t="s">
        <v>2389</v>
      </c>
      <c r="E166" s="25"/>
      <c r="F166" s="25"/>
      <c r="G166" s="25">
        <v>18</v>
      </c>
      <c r="H166" s="25"/>
      <c r="I166" s="25"/>
      <c r="J166" s="25"/>
      <c r="K166" s="25"/>
      <c r="L166" s="25"/>
      <c r="M166" s="25"/>
      <c r="N166" s="25"/>
      <c r="O166" s="25"/>
      <c r="P166" s="25"/>
      <c r="Q166" s="22">
        <f t="shared" si="2"/>
        <v>18</v>
      </c>
    </row>
    <row r="167" spans="1:17" ht="15.75" customHeight="1">
      <c r="A167" s="19">
        <v>165</v>
      </c>
      <c r="B167" s="20" t="s">
        <v>2390</v>
      </c>
      <c r="C167" s="20" t="s">
        <v>304</v>
      </c>
      <c r="D167" s="20" t="s">
        <v>45</v>
      </c>
      <c r="E167" s="21"/>
      <c r="F167" s="21"/>
      <c r="G167" s="21"/>
      <c r="H167" s="21"/>
      <c r="I167" s="21"/>
      <c r="J167" s="21"/>
      <c r="K167" s="21">
        <v>30</v>
      </c>
      <c r="L167" s="21"/>
      <c r="M167" s="21"/>
      <c r="N167" s="21"/>
      <c r="O167" s="21"/>
      <c r="P167" s="21"/>
      <c r="Q167" s="22">
        <f t="shared" si="2"/>
        <v>30</v>
      </c>
    </row>
    <row r="168" spans="1:17" ht="15.75" customHeight="1">
      <c r="A168" s="23">
        <v>166</v>
      </c>
      <c r="B168" s="24" t="s">
        <v>316</v>
      </c>
      <c r="C168" s="24" t="s">
        <v>203</v>
      </c>
      <c r="D168" s="24" t="s">
        <v>225</v>
      </c>
      <c r="E168" s="25"/>
      <c r="F168" s="25"/>
      <c r="G168" s="25">
        <v>20</v>
      </c>
      <c r="H168" s="25"/>
      <c r="I168" s="25"/>
      <c r="J168" s="25"/>
      <c r="K168" s="25"/>
      <c r="L168" s="25"/>
      <c r="M168" s="25"/>
      <c r="N168" s="25"/>
      <c r="O168" s="25"/>
      <c r="P168" s="25"/>
      <c r="Q168" s="22">
        <f t="shared" si="2"/>
        <v>20</v>
      </c>
    </row>
    <row r="169" spans="1:17" ht="15.75" customHeight="1">
      <c r="A169" s="19">
        <v>167</v>
      </c>
      <c r="B169" s="20" t="s">
        <v>2391</v>
      </c>
      <c r="C169" s="20" t="s">
        <v>304</v>
      </c>
      <c r="D169" s="20" t="s">
        <v>47</v>
      </c>
      <c r="E169" s="21"/>
      <c r="F169" s="21"/>
      <c r="G169" s="21"/>
      <c r="H169" s="21">
        <v>2</v>
      </c>
      <c r="I169" s="21"/>
      <c r="J169" s="21"/>
      <c r="K169" s="21"/>
      <c r="L169" s="21"/>
      <c r="M169" s="21"/>
      <c r="N169" s="21"/>
      <c r="O169" s="21"/>
      <c r="P169" s="21"/>
      <c r="Q169" s="22">
        <f t="shared" si="2"/>
        <v>2</v>
      </c>
    </row>
    <row r="170" spans="1:17" ht="15.75" customHeight="1">
      <c r="A170" s="23">
        <v>168</v>
      </c>
      <c r="B170" s="24" t="s">
        <v>322</v>
      </c>
      <c r="C170" s="24" t="s">
        <v>169</v>
      </c>
      <c r="D170" s="24" t="s">
        <v>42</v>
      </c>
      <c r="E170" s="25"/>
      <c r="F170" s="25"/>
      <c r="G170" s="25">
        <v>10</v>
      </c>
      <c r="H170" s="25"/>
      <c r="I170" s="25"/>
      <c r="J170" s="25"/>
      <c r="K170" s="25"/>
      <c r="L170" s="25"/>
      <c r="M170" s="25"/>
      <c r="N170" s="25"/>
      <c r="O170" s="25"/>
      <c r="P170" s="25"/>
      <c r="Q170" s="22">
        <f t="shared" si="2"/>
        <v>10</v>
      </c>
    </row>
    <row r="171" spans="1:17" ht="15.75" customHeight="1">
      <c r="A171" s="19">
        <v>169</v>
      </c>
      <c r="B171" s="20" t="s">
        <v>2392</v>
      </c>
      <c r="C171" s="20" t="s">
        <v>2366</v>
      </c>
      <c r="D171" s="20" t="s">
        <v>24</v>
      </c>
      <c r="E171" s="21"/>
      <c r="F171" s="21">
        <v>124</v>
      </c>
      <c r="G171" s="21">
        <v>200</v>
      </c>
      <c r="H171" s="21"/>
      <c r="I171" s="21"/>
      <c r="J171" s="21"/>
      <c r="K171" s="21"/>
      <c r="L171" s="21"/>
      <c r="M171" s="21"/>
      <c r="N171" s="21"/>
      <c r="O171" s="21"/>
      <c r="P171" s="21"/>
      <c r="Q171" s="22">
        <f t="shared" si="2"/>
        <v>324</v>
      </c>
    </row>
    <row r="172" spans="1:17" ht="15.75" customHeight="1">
      <c r="A172" s="23">
        <v>170</v>
      </c>
      <c r="B172" s="24" t="s">
        <v>2393</v>
      </c>
      <c r="C172" s="24" t="s">
        <v>206</v>
      </c>
      <c r="D172" s="24" t="s">
        <v>225</v>
      </c>
      <c r="E172" s="25"/>
      <c r="F172" s="25"/>
      <c r="G172" s="25">
        <v>10</v>
      </c>
      <c r="H172" s="25"/>
      <c r="I172" s="25"/>
      <c r="J172" s="25"/>
      <c r="K172" s="25"/>
      <c r="L172" s="25"/>
      <c r="M172" s="25"/>
      <c r="N172" s="25"/>
      <c r="O172" s="25"/>
      <c r="P172" s="25"/>
      <c r="Q172" s="22">
        <f t="shared" si="2"/>
        <v>10</v>
      </c>
    </row>
    <row r="173" spans="1:17" ht="15.75" customHeight="1">
      <c r="A173" s="19">
        <v>171</v>
      </c>
      <c r="B173" s="20" t="s">
        <v>2394</v>
      </c>
      <c r="C173" s="20" t="s">
        <v>294</v>
      </c>
      <c r="D173" s="20" t="s">
        <v>2395</v>
      </c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>
        <v>12</v>
      </c>
      <c r="Q173" s="22">
        <f t="shared" si="2"/>
        <v>12</v>
      </c>
    </row>
    <row r="174" spans="1:17" ht="15.75" customHeight="1">
      <c r="A174" s="23">
        <v>172</v>
      </c>
      <c r="B174" s="24" t="s">
        <v>2396</v>
      </c>
      <c r="C174" s="24" t="s">
        <v>203</v>
      </c>
      <c r="D174" s="24" t="s">
        <v>2397</v>
      </c>
      <c r="E174" s="25"/>
      <c r="F174" s="25">
        <v>20</v>
      </c>
      <c r="G174" s="25">
        <v>20</v>
      </c>
      <c r="H174" s="25"/>
      <c r="I174" s="25"/>
      <c r="J174" s="25"/>
      <c r="K174" s="25">
        <v>30</v>
      </c>
      <c r="L174" s="25"/>
      <c r="M174" s="25"/>
      <c r="N174" s="25"/>
      <c r="O174" s="25"/>
      <c r="P174" s="25"/>
      <c r="Q174" s="22">
        <f t="shared" si="2"/>
        <v>70</v>
      </c>
    </row>
    <row r="175" spans="1:17" ht="15.75" customHeight="1">
      <c r="A175" s="19">
        <v>173</v>
      </c>
      <c r="B175" s="20" t="s">
        <v>326</v>
      </c>
      <c r="C175" s="20" t="s">
        <v>203</v>
      </c>
      <c r="D175" s="20" t="s">
        <v>327</v>
      </c>
      <c r="E175" s="21">
        <v>30</v>
      </c>
      <c r="F175" s="21">
        <v>20</v>
      </c>
      <c r="G175" s="21">
        <v>20</v>
      </c>
      <c r="H175" s="21"/>
      <c r="I175" s="21"/>
      <c r="J175" s="21"/>
      <c r="K175" s="21">
        <v>30</v>
      </c>
      <c r="L175" s="21"/>
      <c r="M175" s="21"/>
      <c r="N175" s="21"/>
      <c r="O175" s="21"/>
      <c r="P175" s="21"/>
      <c r="Q175" s="22">
        <f t="shared" si="2"/>
        <v>100</v>
      </c>
    </row>
    <row r="176" spans="1:17" ht="15.75" customHeight="1">
      <c r="A176" s="23">
        <v>174</v>
      </c>
      <c r="B176" s="24" t="s">
        <v>328</v>
      </c>
      <c r="C176" s="24" t="s">
        <v>203</v>
      </c>
      <c r="D176" s="24" t="s">
        <v>329</v>
      </c>
      <c r="E176" s="25">
        <v>30</v>
      </c>
      <c r="F176" s="25"/>
      <c r="G176" s="25"/>
      <c r="H176" s="25"/>
      <c r="I176" s="25"/>
      <c r="J176" s="25"/>
      <c r="K176" s="25">
        <v>30</v>
      </c>
      <c r="L176" s="25"/>
      <c r="M176" s="25"/>
      <c r="N176" s="25"/>
      <c r="O176" s="25"/>
      <c r="P176" s="25"/>
      <c r="Q176" s="22">
        <f t="shared" si="2"/>
        <v>60</v>
      </c>
    </row>
    <row r="177" spans="1:17" ht="15.75" customHeight="1">
      <c r="A177" s="19">
        <v>175</v>
      </c>
      <c r="B177" s="20" t="s">
        <v>330</v>
      </c>
      <c r="C177" s="20" t="s">
        <v>203</v>
      </c>
      <c r="D177" s="20" t="s">
        <v>331</v>
      </c>
      <c r="E177" s="21">
        <v>10</v>
      </c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2">
        <f t="shared" si="2"/>
        <v>10</v>
      </c>
    </row>
    <row r="178" spans="1:17" ht="15.75" customHeight="1">
      <c r="A178" s="23">
        <v>176</v>
      </c>
      <c r="B178" s="24" t="s">
        <v>348</v>
      </c>
      <c r="C178" s="24" t="s">
        <v>203</v>
      </c>
      <c r="D178" s="24" t="s">
        <v>349</v>
      </c>
      <c r="E178" s="25"/>
      <c r="F178" s="25"/>
      <c r="G178" s="25">
        <v>20</v>
      </c>
      <c r="H178" s="25"/>
      <c r="I178" s="25"/>
      <c r="J178" s="25"/>
      <c r="K178" s="25">
        <v>30</v>
      </c>
      <c r="L178" s="25"/>
      <c r="M178" s="25"/>
      <c r="N178" s="25"/>
      <c r="O178" s="25"/>
      <c r="P178" s="25"/>
      <c r="Q178" s="22">
        <f t="shared" si="2"/>
        <v>50</v>
      </c>
    </row>
    <row r="179" spans="1:17" ht="15.75" customHeight="1">
      <c r="A179" s="19">
        <v>177</v>
      </c>
      <c r="B179" s="20" t="s">
        <v>350</v>
      </c>
      <c r="C179" s="20" t="s">
        <v>351</v>
      </c>
      <c r="D179" s="20" t="s">
        <v>352</v>
      </c>
      <c r="E179" s="21"/>
      <c r="F179" s="21"/>
      <c r="G179" s="21"/>
      <c r="H179" s="21">
        <v>35</v>
      </c>
      <c r="I179" s="21"/>
      <c r="J179" s="21">
        <v>4</v>
      </c>
      <c r="K179" s="21">
        <v>12</v>
      </c>
      <c r="L179" s="21"/>
      <c r="M179" s="21"/>
      <c r="N179" s="21"/>
      <c r="O179" s="21">
        <v>8</v>
      </c>
      <c r="P179" s="21">
        <v>120</v>
      </c>
      <c r="Q179" s="22">
        <f t="shared" si="2"/>
        <v>179</v>
      </c>
    </row>
    <row r="180" spans="1:17" ht="15.75" customHeight="1">
      <c r="A180" s="23">
        <v>178</v>
      </c>
      <c r="B180" s="24" t="s">
        <v>353</v>
      </c>
      <c r="C180" s="24" t="s">
        <v>354</v>
      </c>
      <c r="D180" s="24" t="s">
        <v>355</v>
      </c>
      <c r="E180" s="25"/>
      <c r="F180" s="25"/>
      <c r="G180" s="25"/>
      <c r="H180" s="25">
        <v>5</v>
      </c>
      <c r="I180" s="25"/>
      <c r="J180" s="25">
        <v>5</v>
      </c>
      <c r="K180" s="25">
        <v>36</v>
      </c>
      <c r="L180" s="25"/>
      <c r="M180" s="25"/>
      <c r="N180" s="25"/>
      <c r="O180" s="25">
        <v>26</v>
      </c>
      <c r="P180" s="25">
        <v>6</v>
      </c>
      <c r="Q180" s="22">
        <f t="shared" si="2"/>
        <v>78</v>
      </c>
    </row>
    <row r="181" spans="1:17" ht="15.75" customHeight="1">
      <c r="A181" s="19">
        <v>179</v>
      </c>
      <c r="B181" s="20" t="s">
        <v>356</v>
      </c>
      <c r="C181" s="20" t="s">
        <v>357</v>
      </c>
      <c r="D181" s="20" t="s">
        <v>358</v>
      </c>
      <c r="E181" s="21"/>
      <c r="F181" s="21"/>
      <c r="G181" s="21"/>
      <c r="H181" s="21">
        <v>5</v>
      </c>
      <c r="I181" s="21"/>
      <c r="J181" s="21">
        <v>4</v>
      </c>
      <c r="K181" s="21">
        <v>12</v>
      </c>
      <c r="L181" s="21"/>
      <c r="M181" s="21"/>
      <c r="N181" s="21"/>
      <c r="O181" s="21">
        <v>7</v>
      </c>
      <c r="P181" s="21"/>
      <c r="Q181" s="22">
        <f t="shared" si="2"/>
        <v>28</v>
      </c>
    </row>
    <row r="182" spans="1:17" ht="15.75" customHeight="1">
      <c r="A182" s="23">
        <v>180</v>
      </c>
      <c r="B182" s="24" t="s">
        <v>2398</v>
      </c>
      <c r="C182" s="24" t="s">
        <v>203</v>
      </c>
      <c r="D182" s="24" t="s">
        <v>2399</v>
      </c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>
        <v>10</v>
      </c>
      <c r="Q182" s="22">
        <f t="shared" si="2"/>
        <v>10</v>
      </c>
    </row>
    <row r="183" spans="1:17" ht="15.75" customHeight="1">
      <c r="A183" s="19">
        <v>181</v>
      </c>
      <c r="B183" s="20" t="s">
        <v>366</v>
      </c>
      <c r="C183" s="20" t="s">
        <v>367</v>
      </c>
      <c r="D183" s="20" t="s">
        <v>368</v>
      </c>
      <c r="E183" s="21"/>
      <c r="F183" s="21"/>
      <c r="G183" s="21"/>
      <c r="H183" s="21">
        <v>5</v>
      </c>
      <c r="I183" s="21"/>
      <c r="J183" s="21"/>
      <c r="K183" s="21"/>
      <c r="L183" s="21"/>
      <c r="M183" s="21"/>
      <c r="N183" s="21"/>
      <c r="O183" s="21"/>
      <c r="P183" s="21">
        <v>1</v>
      </c>
      <c r="Q183" s="22">
        <f t="shared" si="2"/>
        <v>6</v>
      </c>
    </row>
    <row r="184" spans="1:17" ht="15.75" customHeight="1">
      <c r="A184" s="23">
        <v>182</v>
      </c>
      <c r="B184" s="24" t="s">
        <v>369</v>
      </c>
      <c r="C184" s="24" t="s">
        <v>370</v>
      </c>
      <c r="D184" s="24" t="s">
        <v>371</v>
      </c>
      <c r="E184" s="25"/>
      <c r="F184" s="25"/>
      <c r="G184" s="25"/>
      <c r="H184" s="25">
        <v>20</v>
      </c>
      <c r="I184" s="25"/>
      <c r="J184" s="25"/>
      <c r="K184" s="25"/>
      <c r="L184" s="25"/>
      <c r="M184" s="25"/>
      <c r="N184" s="25"/>
      <c r="O184" s="25">
        <v>20</v>
      </c>
      <c r="P184" s="25">
        <v>300</v>
      </c>
      <c r="Q184" s="22">
        <f t="shared" si="2"/>
        <v>340</v>
      </c>
    </row>
    <row r="185" spans="1:17" ht="15.75" customHeight="1">
      <c r="A185" s="19">
        <v>183</v>
      </c>
      <c r="B185" s="20" t="s">
        <v>2400</v>
      </c>
      <c r="C185" s="20" t="s">
        <v>2401</v>
      </c>
      <c r="D185" s="20" t="s">
        <v>2402</v>
      </c>
      <c r="E185" s="21"/>
      <c r="F185" s="21"/>
      <c r="G185" s="21"/>
      <c r="H185" s="21"/>
      <c r="I185" s="21"/>
      <c r="J185" s="21"/>
      <c r="K185" s="21"/>
      <c r="L185" s="21"/>
      <c r="M185" s="21"/>
      <c r="N185" s="21">
        <v>1</v>
      </c>
      <c r="O185" s="21"/>
      <c r="P185" s="21"/>
      <c r="Q185" s="22">
        <f t="shared" si="2"/>
        <v>1</v>
      </c>
    </row>
    <row r="186" spans="1:17" ht="15.75" customHeight="1">
      <c r="A186" s="23">
        <v>184</v>
      </c>
      <c r="B186" s="24" t="s">
        <v>2403</v>
      </c>
      <c r="C186" s="24" t="s">
        <v>2404</v>
      </c>
      <c r="D186" s="24" t="s">
        <v>2405</v>
      </c>
      <c r="E186" s="25"/>
      <c r="F186" s="25"/>
      <c r="G186" s="25"/>
      <c r="H186" s="25"/>
      <c r="I186" s="25"/>
      <c r="J186" s="25"/>
      <c r="K186" s="25"/>
      <c r="L186" s="25"/>
      <c r="M186" s="25"/>
      <c r="N186" s="25">
        <v>1</v>
      </c>
      <c r="O186" s="25"/>
      <c r="P186" s="25"/>
      <c r="Q186" s="22">
        <f t="shared" si="2"/>
        <v>1</v>
      </c>
    </row>
    <row r="187" spans="1:17" ht="15.75" customHeight="1">
      <c r="A187" s="19">
        <v>185</v>
      </c>
      <c r="B187" s="20" t="s">
        <v>2406</v>
      </c>
      <c r="C187" s="20" t="s">
        <v>2407</v>
      </c>
      <c r="D187" s="20" t="s">
        <v>2408</v>
      </c>
      <c r="E187" s="21"/>
      <c r="F187" s="21"/>
      <c r="G187" s="21"/>
      <c r="H187" s="21"/>
      <c r="I187" s="21"/>
      <c r="J187" s="21"/>
      <c r="K187" s="21"/>
      <c r="L187" s="21"/>
      <c r="M187" s="21"/>
      <c r="N187" s="21">
        <v>1</v>
      </c>
      <c r="O187" s="21"/>
      <c r="P187" s="21"/>
      <c r="Q187" s="22">
        <f t="shared" si="2"/>
        <v>1</v>
      </c>
    </row>
    <row r="188" spans="1:17" ht="15.75" customHeight="1">
      <c r="A188" s="23">
        <v>186</v>
      </c>
      <c r="B188" s="24" t="s">
        <v>372</v>
      </c>
      <c r="C188" s="24" t="s">
        <v>169</v>
      </c>
      <c r="D188" s="24" t="s">
        <v>182</v>
      </c>
      <c r="E188" s="25">
        <v>10</v>
      </c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2">
        <f t="shared" si="2"/>
        <v>10</v>
      </c>
    </row>
    <row r="189" spans="1:17" ht="15.75" customHeight="1">
      <c r="A189" s="19">
        <v>187</v>
      </c>
      <c r="B189" s="20" t="s">
        <v>2409</v>
      </c>
      <c r="C189" s="20" t="s">
        <v>294</v>
      </c>
      <c r="D189" s="20" t="s">
        <v>222</v>
      </c>
      <c r="E189" s="21"/>
      <c r="F189" s="21"/>
      <c r="G189" s="21"/>
      <c r="H189" s="21"/>
      <c r="I189" s="21"/>
      <c r="J189" s="21"/>
      <c r="K189" s="21">
        <v>20</v>
      </c>
      <c r="L189" s="21"/>
      <c r="M189" s="21"/>
      <c r="N189" s="21"/>
      <c r="O189" s="21"/>
      <c r="P189" s="21"/>
      <c r="Q189" s="22">
        <f t="shared" si="2"/>
        <v>20</v>
      </c>
    </row>
    <row r="190" spans="1:17" ht="15.75" customHeight="1">
      <c r="A190" s="23">
        <v>188</v>
      </c>
      <c r="B190" s="24" t="s">
        <v>373</v>
      </c>
      <c r="C190" s="24" t="s">
        <v>294</v>
      </c>
      <c r="D190" s="24" t="s">
        <v>374</v>
      </c>
      <c r="E190" s="25"/>
      <c r="F190" s="25"/>
      <c r="G190" s="25"/>
      <c r="H190" s="25"/>
      <c r="I190" s="25"/>
      <c r="J190" s="25"/>
      <c r="K190" s="25">
        <v>20</v>
      </c>
      <c r="L190" s="25"/>
      <c r="M190" s="25"/>
      <c r="N190" s="25"/>
      <c r="O190" s="25"/>
      <c r="P190" s="25"/>
      <c r="Q190" s="22">
        <f t="shared" si="2"/>
        <v>20</v>
      </c>
    </row>
    <row r="191" spans="1:17" ht="15.75" customHeight="1">
      <c r="A191" s="19">
        <v>189</v>
      </c>
      <c r="B191" s="20" t="s">
        <v>377</v>
      </c>
      <c r="C191" s="20" t="s">
        <v>203</v>
      </c>
      <c r="D191" s="20" t="s">
        <v>378</v>
      </c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>
        <v>60</v>
      </c>
      <c r="Q191" s="22">
        <f t="shared" si="2"/>
        <v>60</v>
      </c>
    </row>
    <row r="192" spans="1:17" ht="15.75" customHeight="1">
      <c r="A192" s="23">
        <v>190</v>
      </c>
      <c r="B192" s="24" t="s">
        <v>379</v>
      </c>
      <c r="C192" s="24" t="s">
        <v>203</v>
      </c>
      <c r="D192" s="24" t="s">
        <v>380</v>
      </c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>
        <v>10</v>
      </c>
      <c r="Q192" s="22">
        <f t="shared" si="2"/>
        <v>10</v>
      </c>
    </row>
    <row r="193" spans="1:17" ht="15.75" customHeight="1">
      <c r="A193" s="19">
        <v>191</v>
      </c>
      <c r="B193" s="20" t="s">
        <v>2410</v>
      </c>
      <c r="C193" s="20" t="s">
        <v>294</v>
      </c>
      <c r="D193" s="20" t="s">
        <v>2411</v>
      </c>
      <c r="E193" s="21"/>
      <c r="F193" s="21"/>
      <c r="G193" s="21"/>
      <c r="H193" s="21"/>
      <c r="I193" s="21">
        <v>8</v>
      </c>
      <c r="J193" s="21"/>
      <c r="K193" s="21"/>
      <c r="L193" s="21"/>
      <c r="M193" s="21"/>
      <c r="N193" s="21"/>
      <c r="O193" s="21"/>
      <c r="P193" s="21">
        <v>179</v>
      </c>
      <c r="Q193" s="22">
        <f t="shared" si="2"/>
        <v>187</v>
      </c>
    </row>
    <row r="194" spans="1:17" ht="15.75" customHeight="1">
      <c r="A194" s="23">
        <v>192</v>
      </c>
      <c r="B194" s="24" t="s">
        <v>2412</v>
      </c>
      <c r="C194" s="24" t="s">
        <v>294</v>
      </c>
      <c r="D194" s="24" t="s">
        <v>2413</v>
      </c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>
        <v>5</v>
      </c>
      <c r="Q194" s="22">
        <f t="shared" si="2"/>
        <v>5</v>
      </c>
    </row>
    <row r="195" spans="1:17" ht="15.75" customHeight="1">
      <c r="A195" s="19">
        <v>193</v>
      </c>
      <c r="B195" s="20" t="s">
        <v>387</v>
      </c>
      <c r="C195" s="20" t="s">
        <v>169</v>
      </c>
      <c r="D195" s="20" t="s">
        <v>240</v>
      </c>
      <c r="E195" s="21"/>
      <c r="F195" s="21"/>
      <c r="G195" s="21"/>
      <c r="H195" s="21">
        <v>20</v>
      </c>
      <c r="I195" s="21"/>
      <c r="J195" s="21"/>
      <c r="K195" s="21"/>
      <c r="L195" s="21"/>
      <c r="M195" s="21"/>
      <c r="N195" s="21"/>
      <c r="O195" s="21"/>
      <c r="P195" s="21">
        <v>50</v>
      </c>
      <c r="Q195" s="22">
        <f t="shared" ref="Q195:Q258" si="3">SUM(E195:P195)</f>
        <v>70</v>
      </c>
    </row>
    <row r="196" spans="1:17" ht="15.75" customHeight="1">
      <c r="A196" s="23">
        <v>194</v>
      </c>
      <c r="B196" s="24" t="s">
        <v>388</v>
      </c>
      <c r="C196" s="24" t="s">
        <v>389</v>
      </c>
      <c r="D196" s="24"/>
      <c r="E196" s="25"/>
      <c r="F196" s="25"/>
      <c r="G196" s="25">
        <v>30</v>
      </c>
      <c r="H196" s="25"/>
      <c r="I196" s="25"/>
      <c r="J196" s="25"/>
      <c r="K196" s="25"/>
      <c r="L196" s="25"/>
      <c r="M196" s="25">
        <v>50</v>
      </c>
      <c r="N196" s="25"/>
      <c r="O196" s="25"/>
      <c r="P196" s="25"/>
      <c r="Q196" s="22">
        <f t="shared" si="3"/>
        <v>80</v>
      </c>
    </row>
    <row r="197" spans="1:17" ht="15.75" customHeight="1">
      <c r="A197" s="19">
        <v>195</v>
      </c>
      <c r="B197" s="20" t="s">
        <v>2414</v>
      </c>
      <c r="C197" s="20" t="s">
        <v>169</v>
      </c>
      <c r="D197" s="20" t="s">
        <v>2415</v>
      </c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>
        <v>1</v>
      </c>
      <c r="Q197" s="22">
        <f t="shared" si="3"/>
        <v>1</v>
      </c>
    </row>
    <row r="198" spans="1:17" ht="15.75" customHeight="1">
      <c r="A198" s="23">
        <v>196</v>
      </c>
      <c r="B198" s="24" t="s">
        <v>2416</v>
      </c>
      <c r="C198" s="24" t="s">
        <v>169</v>
      </c>
      <c r="D198" s="24" t="s">
        <v>2417</v>
      </c>
      <c r="E198" s="25">
        <v>2</v>
      </c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2">
        <f t="shared" si="3"/>
        <v>2</v>
      </c>
    </row>
    <row r="199" spans="1:17" ht="15.75" customHeight="1">
      <c r="A199" s="19">
        <v>197</v>
      </c>
      <c r="B199" s="20" t="s">
        <v>2418</v>
      </c>
      <c r="C199" s="20" t="s">
        <v>1937</v>
      </c>
      <c r="D199" s="20" t="s">
        <v>42</v>
      </c>
      <c r="E199" s="21"/>
      <c r="F199" s="21"/>
      <c r="G199" s="21">
        <v>5</v>
      </c>
      <c r="H199" s="21">
        <v>2</v>
      </c>
      <c r="I199" s="21"/>
      <c r="J199" s="21"/>
      <c r="K199" s="21"/>
      <c r="L199" s="21">
        <v>1</v>
      </c>
      <c r="M199" s="21">
        <v>3</v>
      </c>
      <c r="N199" s="21"/>
      <c r="O199" s="21"/>
      <c r="P199" s="21"/>
      <c r="Q199" s="22">
        <f t="shared" si="3"/>
        <v>11</v>
      </c>
    </row>
    <row r="200" spans="1:17" ht="15.75" customHeight="1">
      <c r="A200" s="23">
        <v>198</v>
      </c>
      <c r="B200" s="24" t="s">
        <v>2419</v>
      </c>
      <c r="C200" s="24" t="s">
        <v>294</v>
      </c>
      <c r="D200" s="24" t="s">
        <v>2420</v>
      </c>
      <c r="E200" s="25"/>
      <c r="F200" s="25"/>
      <c r="G200" s="25"/>
      <c r="H200" s="25"/>
      <c r="I200" s="25"/>
      <c r="J200" s="25"/>
      <c r="K200" s="25">
        <v>20</v>
      </c>
      <c r="L200" s="25"/>
      <c r="M200" s="25"/>
      <c r="N200" s="25"/>
      <c r="O200" s="25"/>
      <c r="P200" s="25"/>
      <c r="Q200" s="22">
        <f t="shared" si="3"/>
        <v>20</v>
      </c>
    </row>
    <row r="201" spans="1:17" ht="15.75" customHeight="1">
      <c r="A201" s="19">
        <v>199</v>
      </c>
      <c r="B201" s="20" t="s">
        <v>2421</v>
      </c>
      <c r="C201" s="20" t="s">
        <v>669</v>
      </c>
      <c r="D201" s="27" t="s">
        <v>431</v>
      </c>
      <c r="E201" s="21"/>
      <c r="F201" s="21"/>
      <c r="G201" s="21"/>
      <c r="H201" s="21"/>
      <c r="I201" s="21">
        <v>4</v>
      </c>
      <c r="J201" s="21"/>
      <c r="K201" s="21"/>
      <c r="L201" s="21"/>
      <c r="M201" s="21"/>
      <c r="N201" s="21"/>
      <c r="O201" s="21"/>
      <c r="P201" s="21"/>
      <c r="Q201" s="22">
        <f t="shared" si="3"/>
        <v>4</v>
      </c>
    </row>
    <row r="202" spans="1:17" ht="15.75" customHeight="1">
      <c r="A202" s="23">
        <v>200</v>
      </c>
      <c r="B202" s="24" t="s">
        <v>2422</v>
      </c>
      <c r="C202" s="24" t="s">
        <v>1239</v>
      </c>
      <c r="D202" s="26" t="s">
        <v>431</v>
      </c>
      <c r="E202" s="25"/>
      <c r="F202" s="25"/>
      <c r="G202" s="25"/>
      <c r="H202" s="25"/>
      <c r="I202" s="25">
        <v>1</v>
      </c>
      <c r="J202" s="25"/>
      <c r="K202" s="25"/>
      <c r="L202" s="25"/>
      <c r="M202" s="25"/>
      <c r="N202" s="25"/>
      <c r="O202" s="25"/>
      <c r="P202" s="25"/>
      <c r="Q202" s="22">
        <f t="shared" si="3"/>
        <v>1</v>
      </c>
    </row>
    <row r="203" spans="1:17" ht="15.75" customHeight="1">
      <c r="A203" s="19">
        <v>201</v>
      </c>
      <c r="B203" s="20" t="s">
        <v>392</v>
      </c>
      <c r="C203" s="20" t="s">
        <v>294</v>
      </c>
      <c r="D203" s="20" t="s">
        <v>393</v>
      </c>
      <c r="E203" s="21"/>
      <c r="F203" s="21"/>
      <c r="G203" s="21"/>
      <c r="H203" s="21"/>
      <c r="I203" s="21"/>
      <c r="J203" s="21"/>
      <c r="K203" s="21">
        <v>20</v>
      </c>
      <c r="L203" s="21"/>
      <c r="M203" s="21"/>
      <c r="N203" s="21"/>
      <c r="O203" s="21"/>
      <c r="P203" s="21"/>
      <c r="Q203" s="22">
        <f t="shared" si="3"/>
        <v>20</v>
      </c>
    </row>
    <row r="204" spans="1:17" ht="15.75" customHeight="1">
      <c r="A204" s="23">
        <v>202</v>
      </c>
      <c r="B204" s="24" t="s">
        <v>2423</v>
      </c>
      <c r="C204" s="24" t="s">
        <v>203</v>
      </c>
      <c r="D204" s="24" t="s">
        <v>407</v>
      </c>
      <c r="E204" s="25"/>
      <c r="F204" s="25"/>
      <c r="G204" s="25">
        <v>10</v>
      </c>
      <c r="H204" s="25"/>
      <c r="I204" s="25"/>
      <c r="J204" s="25"/>
      <c r="K204" s="25"/>
      <c r="L204" s="25"/>
      <c r="M204" s="25"/>
      <c r="N204" s="25"/>
      <c r="O204" s="25"/>
      <c r="P204" s="25"/>
      <c r="Q204" s="22">
        <f t="shared" si="3"/>
        <v>10</v>
      </c>
    </row>
    <row r="205" spans="1:17" ht="15.75" customHeight="1">
      <c r="A205" s="19">
        <v>203</v>
      </c>
      <c r="B205" s="20" t="s">
        <v>2424</v>
      </c>
      <c r="C205" s="20" t="s">
        <v>430</v>
      </c>
      <c r="D205" s="27" t="s">
        <v>1154</v>
      </c>
      <c r="E205" s="21"/>
      <c r="F205" s="21"/>
      <c r="G205" s="21">
        <v>2</v>
      </c>
      <c r="H205" s="21"/>
      <c r="I205" s="21"/>
      <c r="J205" s="21"/>
      <c r="K205" s="21"/>
      <c r="L205" s="21"/>
      <c r="M205" s="21"/>
      <c r="N205" s="21"/>
      <c r="O205" s="21"/>
      <c r="P205" s="21"/>
      <c r="Q205" s="22">
        <f t="shared" si="3"/>
        <v>2</v>
      </c>
    </row>
    <row r="206" spans="1:17" ht="15.75" customHeight="1">
      <c r="A206" s="23">
        <v>204</v>
      </c>
      <c r="B206" s="24" t="s">
        <v>434</v>
      </c>
      <c r="C206" s="24" t="s">
        <v>206</v>
      </c>
      <c r="D206" s="24" t="s">
        <v>435</v>
      </c>
      <c r="E206" s="25"/>
      <c r="F206" s="25"/>
      <c r="G206" s="25"/>
      <c r="H206" s="25"/>
      <c r="I206" s="25"/>
      <c r="J206" s="25"/>
      <c r="K206" s="25">
        <v>20</v>
      </c>
      <c r="L206" s="25"/>
      <c r="M206" s="25"/>
      <c r="N206" s="25"/>
      <c r="O206" s="25"/>
      <c r="P206" s="25"/>
      <c r="Q206" s="22">
        <f t="shared" si="3"/>
        <v>20</v>
      </c>
    </row>
    <row r="207" spans="1:17" ht="15.75" customHeight="1">
      <c r="A207" s="19">
        <v>205</v>
      </c>
      <c r="B207" s="20" t="s">
        <v>2425</v>
      </c>
      <c r="C207" s="20" t="s">
        <v>428</v>
      </c>
      <c r="D207" s="20" t="s">
        <v>20</v>
      </c>
      <c r="E207" s="21">
        <v>1</v>
      </c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2">
        <f t="shared" si="3"/>
        <v>1</v>
      </c>
    </row>
    <row r="208" spans="1:17" ht="15.75" customHeight="1">
      <c r="A208" s="23">
        <v>206</v>
      </c>
      <c r="B208" s="24" t="s">
        <v>2426</v>
      </c>
      <c r="C208" s="24" t="s">
        <v>180</v>
      </c>
      <c r="D208" s="24" t="s">
        <v>312</v>
      </c>
      <c r="E208" s="25"/>
      <c r="F208" s="25"/>
      <c r="G208" s="25">
        <v>4</v>
      </c>
      <c r="H208" s="25"/>
      <c r="I208" s="25"/>
      <c r="J208" s="25"/>
      <c r="K208" s="25"/>
      <c r="L208" s="25"/>
      <c r="M208" s="25"/>
      <c r="N208" s="25"/>
      <c r="O208" s="25"/>
      <c r="P208" s="25"/>
      <c r="Q208" s="22">
        <f t="shared" si="3"/>
        <v>4</v>
      </c>
    </row>
    <row r="209" spans="1:17" ht="15.75" customHeight="1">
      <c r="A209" s="19">
        <v>207</v>
      </c>
      <c r="B209" s="20" t="s">
        <v>2427</v>
      </c>
      <c r="C209" s="20" t="s">
        <v>206</v>
      </c>
      <c r="D209" s="20" t="s">
        <v>321</v>
      </c>
      <c r="E209" s="21"/>
      <c r="F209" s="21"/>
      <c r="G209" s="21">
        <v>10</v>
      </c>
      <c r="H209" s="21"/>
      <c r="I209" s="21"/>
      <c r="J209" s="21"/>
      <c r="K209" s="21"/>
      <c r="L209" s="21"/>
      <c r="M209" s="21"/>
      <c r="N209" s="21"/>
      <c r="O209" s="21"/>
      <c r="P209" s="21"/>
      <c r="Q209" s="22">
        <f t="shared" si="3"/>
        <v>10</v>
      </c>
    </row>
    <row r="210" spans="1:17" ht="15.75" customHeight="1">
      <c r="A210" s="23">
        <v>208</v>
      </c>
      <c r="B210" s="24" t="s">
        <v>2428</v>
      </c>
      <c r="C210" s="24" t="s">
        <v>283</v>
      </c>
      <c r="D210" s="24" t="s">
        <v>376</v>
      </c>
      <c r="E210" s="25"/>
      <c r="F210" s="25"/>
      <c r="G210" s="25"/>
      <c r="H210" s="25"/>
      <c r="I210" s="25"/>
      <c r="J210" s="25"/>
      <c r="K210" s="25">
        <v>10</v>
      </c>
      <c r="L210" s="25"/>
      <c r="M210" s="25"/>
      <c r="N210" s="25"/>
      <c r="O210" s="25"/>
      <c r="P210" s="25"/>
      <c r="Q210" s="22">
        <f t="shared" si="3"/>
        <v>10</v>
      </c>
    </row>
    <row r="211" spans="1:17" ht="15.75" customHeight="1">
      <c r="A211" s="19">
        <v>209</v>
      </c>
      <c r="B211" s="20" t="s">
        <v>2429</v>
      </c>
      <c r="C211" s="20" t="s">
        <v>283</v>
      </c>
      <c r="D211" s="20" t="s">
        <v>374</v>
      </c>
      <c r="E211" s="21"/>
      <c r="F211" s="21"/>
      <c r="G211" s="21"/>
      <c r="H211" s="21"/>
      <c r="I211" s="21"/>
      <c r="J211" s="21"/>
      <c r="K211" s="21">
        <v>10</v>
      </c>
      <c r="L211" s="21"/>
      <c r="M211" s="21"/>
      <c r="N211" s="21"/>
      <c r="O211" s="21"/>
      <c r="P211" s="21"/>
      <c r="Q211" s="22">
        <f t="shared" si="3"/>
        <v>10</v>
      </c>
    </row>
    <row r="212" spans="1:17" ht="15.75" customHeight="1">
      <c r="A212" s="23">
        <v>210</v>
      </c>
      <c r="B212" s="24" t="s">
        <v>2430</v>
      </c>
      <c r="C212" s="24" t="s">
        <v>2431</v>
      </c>
      <c r="D212" s="24"/>
      <c r="E212" s="25"/>
      <c r="F212" s="25"/>
      <c r="G212" s="25"/>
      <c r="H212" s="25"/>
      <c r="I212" s="25"/>
      <c r="J212" s="25"/>
      <c r="K212" s="25"/>
      <c r="L212" s="25"/>
      <c r="M212" s="25">
        <v>1</v>
      </c>
      <c r="N212" s="25"/>
      <c r="O212" s="25"/>
      <c r="P212" s="25"/>
      <c r="Q212" s="22">
        <f t="shared" si="3"/>
        <v>1</v>
      </c>
    </row>
    <row r="213" spans="1:17" ht="15.75" customHeight="1">
      <c r="A213" s="19">
        <v>211</v>
      </c>
      <c r="B213" s="20" t="s">
        <v>2432</v>
      </c>
      <c r="C213" s="20" t="s">
        <v>2433</v>
      </c>
      <c r="D213" s="20"/>
      <c r="E213" s="21"/>
      <c r="F213" s="21"/>
      <c r="G213" s="21"/>
      <c r="H213" s="21"/>
      <c r="I213" s="21"/>
      <c r="J213" s="21"/>
      <c r="K213" s="21"/>
      <c r="L213" s="21"/>
      <c r="M213" s="21">
        <v>1</v>
      </c>
      <c r="N213" s="21"/>
      <c r="O213" s="21"/>
      <c r="P213" s="21"/>
      <c r="Q213" s="22">
        <f t="shared" si="3"/>
        <v>1</v>
      </c>
    </row>
    <row r="214" spans="1:17" ht="15.75" customHeight="1">
      <c r="A214" s="23">
        <v>212</v>
      </c>
      <c r="B214" s="24" t="s">
        <v>2434</v>
      </c>
      <c r="C214" s="24" t="s">
        <v>2435</v>
      </c>
      <c r="D214" s="24"/>
      <c r="E214" s="25"/>
      <c r="F214" s="25"/>
      <c r="G214" s="25"/>
      <c r="H214" s="25"/>
      <c r="I214" s="25"/>
      <c r="J214" s="25"/>
      <c r="K214" s="25"/>
      <c r="L214" s="25"/>
      <c r="M214" s="25">
        <v>1</v>
      </c>
      <c r="N214" s="25"/>
      <c r="O214" s="25"/>
      <c r="P214" s="25"/>
      <c r="Q214" s="22">
        <f t="shared" si="3"/>
        <v>1</v>
      </c>
    </row>
    <row r="215" spans="1:17" ht="15.75" customHeight="1">
      <c r="A215" s="19">
        <v>213</v>
      </c>
      <c r="B215" s="20" t="s">
        <v>2436</v>
      </c>
      <c r="C215" s="20" t="s">
        <v>198</v>
      </c>
      <c r="D215" s="20" t="s">
        <v>324</v>
      </c>
      <c r="E215" s="21"/>
      <c r="F215" s="21"/>
      <c r="G215" s="21"/>
      <c r="H215" s="21"/>
      <c r="I215" s="21"/>
      <c r="J215" s="21"/>
      <c r="K215" s="21"/>
      <c r="L215" s="21"/>
      <c r="M215" s="21">
        <v>200</v>
      </c>
      <c r="N215" s="21"/>
      <c r="O215" s="21"/>
      <c r="P215" s="21"/>
      <c r="Q215" s="22">
        <f t="shared" si="3"/>
        <v>200</v>
      </c>
    </row>
    <row r="216" spans="1:17" ht="15.75" customHeight="1">
      <c r="A216" s="23">
        <v>214</v>
      </c>
      <c r="B216" s="24" t="s">
        <v>2437</v>
      </c>
      <c r="C216" s="24" t="s">
        <v>278</v>
      </c>
      <c r="D216" s="24" t="s">
        <v>87</v>
      </c>
      <c r="E216" s="25"/>
      <c r="F216" s="25"/>
      <c r="G216" s="25"/>
      <c r="H216" s="25"/>
      <c r="I216" s="25"/>
      <c r="J216" s="25"/>
      <c r="K216" s="25"/>
      <c r="L216" s="25"/>
      <c r="M216" s="25"/>
      <c r="N216" s="25">
        <v>2</v>
      </c>
      <c r="O216" s="25"/>
      <c r="P216" s="25"/>
      <c r="Q216" s="22">
        <f t="shared" si="3"/>
        <v>2</v>
      </c>
    </row>
    <row r="217" spans="1:17" ht="15.75" customHeight="1">
      <c r="A217" s="19">
        <v>215</v>
      </c>
      <c r="B217" s="20" t="s">
        <v>2438</v>
      </c>
      <c r="C217" s="20" t="s">
        <v>169</v>
      </c>
      <c r="D217" s="20" t="s">
        <v>2439</v>
      </c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>
        <v>1</v>
      </c>
      <c r="Q217" s="22">
        <f t="shared" si="3"/>
        <v>1</v>
      </c>
    </row>
    <row r="218" spans="1:17" ht="15.75" customHeight="1">
      <c r="A218" s="23">
        <v>216</v>
      </c>
      <c r="B218" s="24" t="s">
        <v>2440</v>
      </c>
      <c r="C218" s="24" t="s">
        <v>169</v>
      </c>
      <c r="D218" s="24" t="s">
        <v>2441</v>
      </c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>
        <v>1</v>
      </c>
      <c r="Q218" s="22">
        <f t="shared" si="3"/>
        <v>1</v>
      </c>
    </row>
    <row r="219" spans="1:17" ht="15.75" customHeight="1">
      <c r="A219" s="19">
        <v>217</v>
      </c>
      <c r="B219" s="20" t="s">
        <v>2442</v>
      </c>
      <c r="C219" s="20" t="s">
        <v>169</v>
      </c>
      <c r="D219" s="20" t="s">
        <v>2443</v>
      </c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>
        <v>1</v>
      </c>
      <c r="Q219" s="22">
        <f t="shared" si="3"/>
        <v>1</v>
      </c>
    </row>
    <row r="220" spans="1:17" ht="15.75" customHeight="1">
      <c r="A220" s="23">
        <v>218</v>
      </c>
      <c r="B220" s="24" t="s">
        <v>470</v>
      </c>
      <c r="C220" s="24" t="s">
        <v>169</v>
      </c>
      <c r="D220" s="24" t="s">
        <v>184</v>
      </c>
      <c r="E220" s="25"/>
      <c r="F220" s="25"/>
      <c r="G220" s="25">
        <v>16</v>
      </c>
      <c r="H220" s="25"/>
      <c r="I220" s="25"/>
      <c r="J220" s="25"/>
      <c r="K220" s="25"/>
      <c r="L220" s="25"/>
      <c r="M220" s="25"/>
      <c r="N220" s="25"/>
      <c r="O220" s="25"/>
      <c r="P220" s="25"/>
      <c r="Q220" s="22">
        <f t="shared" si="3"/>
        <v>16</v>
      </c>
    </row>
    <row r="221" spans="1:17" ht="15.75" customHeight="1">
      <c r="A221" s="19">
        <v>219</v>
      </c>
      <c r="B221" s="20" t="s">
        <v>471</v>
      </c>
      <c r="C221" s="20" t="s">
        <v>203</v>
      </c>
      <c r="D221" s="20" t="s">
        <v>472</v>
      </c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>
        <v>90</v>
      </c>
      <c r="Q221" s="22">
        <f t="shared" si="3"/>
        <v>90</v>
      </c>
    </row>
    <row r="222" spans="1:17" ht="15.75" customHeight="1">
      <c r="A222" s="23">
        <v>220</v>
      </c>
      <c r="B222" s="24" t="s">
        <v>479</v>
      </c>
      <c r="C222" s="24" t="s">
        <v>480</v>
      </c>
      <c r="D222" s="24" t="s">
        <v>481</v>
      </c>
      <c r="E222" s="25"/>
      <c r="F222" s="25"/>
      <c r="G222" s="25"/>
      <c r="H222" s="25"/>
      <c r="I222" s="25"/>
      <c r="J222" s="25">
        <v>6</v>
      </c>
      <c r="K222" s="25"/>
      <c r="L222" s="25"/>
      <c r="M222" s="25"/>
      <c r="N222" s="25"/>
      <c r="O222" s="25"/>
      <c r="P222" s="25"/>
      <c r="Q222" s="22">
        <f t="shared" si="3"/>
        <v>6</v>
      </c>
    </row>
    <row r="223" spans="1:17" ht="15.75" customHeight="1">
      <c r="A223" s="19">
        <v>221</v>
      </c>
      <c r="B223" s="20" t="s">
        <v>482</v>
      </c>
      <c r="C223" s="20" t="s">
        <v>483</v>
      </c>
      <c r="D223" s="20"/>
      <c r="E223" s="21"/>
      <c r="F223" s="21">
        <v>10</v>
      </c>
      <c r="G223" s="21">
        <v>5</v>
      </c>
      <c r="H223" s="21">
        <v>3</v>
      </c>
      <c r="I223" s="21">
        <v>20</v>
      </c>
      <c r="J223" s="21"/>
      <c r="K223" s="21">
        <v>5</v>
      </c>
      <c r="L223" s="21">
        <v>42</v>
      </c>
      <c r="M223" s="21">
        <v>20</v>
      </c>
      <c r="N223" s="21"/>
      <c r="O223" s="21"/>
      <c r="P223" s="21">
        <v>43</v>
      </c>
      <c r="Q223" s="22">
        <f t="shared" si="3"/>
        <v>148</v>
      </c>
    </row>
    <row r="224" spans="1:17" ht="15.75" customHeight="1">
      <c r="A224" s="23">
        <v>222</v>
      </c>
      <c r="B224" s="24" t="s">
        <v>484</v>
      </c>
      <c r="C224" s="24" t="s">
        <v>485</v>
      </c>
      <c r="D224" s="24"/>
      <c r="E224" s="25">
        <v>2</v>
      </c>
      <c r="F224" s="25">
        <v>50</v>
      </c>
      <c r="G224" s="25">
        <v>25</v>
      </c>
      <c r="H224" s="25">
        <v>10</v>
      </c>
      <c r="I224" s="25">
        <v>20</v>
      </c>
      <c r="J224" s="25"/>
      <c r="K224" s="25">
        <v>4</v>
      </c>
      <c r="L224" s="25">
        <v>30</v>
      </c>
      <c r="M224" s="25">
        <v>10</v>
      </c>
      <c r="N224" s="25"/>
      <c r="O224" s="25"/>
      <c r="P224" s="25">
        <v>47</v>
      </c>
      <c r="Q224" s="22">
        <f t="shared" si="3"/>
        <v>198</v>
      </c>
    </row>
    <row r="225" spans="1:17" ht="15.75" customHeight="1">
      <c r="A225" s="19">
        <v>223</v>
      </c>
      <c r="B225" s="20" t="s">
        <v>486</v>
      </c>
      <c r="C225" s="20" t="s">
        <v>487</v>
      </c>
      <c r="D225" s="20" t="s">
        <v>22</v>
      </c>
      <c r="E225" s="21">
        <v>10</v>
      </c>
      <c r="F225" s="21">
        <v>20</v>
      </c>
      <c r="G225" s="21">
        <v>45</v>
      </c>
      <c r="H225" s="21">
        <v>16</v>
      </c>
      <c r="I225" s="21">
        <v>20</v>
      </c>
      <c r="J225" s="21"/>
      <c r="K225" s="21"/>
      <c r="L225" s="21">
        <v>10</v>
      </c>
      <c r="M225" s="21">
        <v>3</v>
      </c>
      <c r="N225" s="21">
        <v>16</v>
      </c>
      <c r="O225" s="21"/>
      <c r="P225" s="21">
        <v>20</v>
      </c>
      <c r="Q225" s="22">
        <f t="shared" si="3"/>
        <v>160</v>
      </c>
    </row>
    <row r="226" spans="1:17" ht="15.75" customHeight="1">
      <c r="A226" s="23">
        <v>224</v>
      </c>
      <c r="B226" s="24" t="s">
        <v>488</v>
      </c>
      <c r="C226" s="24" t="s">
        <v>489</v>
      </c>
      <c r="D226" s="24"/>
      <c r="E226" s="25"/>
      <c r="F226" s="25">
        <v>10</v>
      </c>
      <c r="G226" s="25">
        <v>5</v>
      </c>
      <c r="H226" s="25"/>
      <c r="I226" s="25"/>
      <c r="J226" s="25"/>
      <c r="K226" s="25"/>
      <c r="L226" s="25">
        <v>28</v>
      </c>
      <c r="M226" s="25"/>
      <c r="N226" s="25">
        <v>6</v>
      </c>
      <c r="O226" s="25"/>
      <c r="P226" s="25"/>
      <c r="Q226" s="22">
        <f t="shared" si="3"/>
        <v>49</v>
      </c>
    </row>
    <row r="227" spans="1:17" ht="15.75" customHeight="1">
      <c r="A227" s="19">
        <v>225</v>
      </c>
      <c r="B227" s="20" t="s">
        <v>490</v>
      </c>
      <c r="C227" s="20" t="s">
        <v>491</v>
      </c>
      <c r="D227" s="20"/>
      <c r="E227" s="21"/>
      <c r="F227" s="21"/>
      <c r="G227" s="21">
        <v>10</v>
      </c>
      <c r="H227" s="21">
        <v>4</v>
      </c>
      <c r="I227" s="21">
        <v>2</v>
      </c>
      <c r="J227" s="21"/>
      <c r="K227" s="21"/>
      <c r="L227" s="21"/>
      <c r="M227" s="21">
        <v>3</v>
      </c>
      <c r="N227" s="21"/>
      <c r="O227" s="21">
        <v>20</v>
      </c>
      <c r="P227" s="21"/>
      <c r="Q227" s="22">
        <f t="shared" si="3"/>
        <v>39</v>
      </c>
    </row>
    <row r="228" spans="1:17" ht="15.75" customHeight="1">
      <c r="A228" s="23">
        <v>226</v>
      </c>
      <c r="B228" s="24" t="s">
        <v>492</v>
      </c>
      <c r="C228" s="24" t="s">
        <v>493</v>
      </c>
      <c r="D228" s="24"/>
      <c r="E228" s="25"/>
      <c r="F228" s="25"/>
      <c r="G228" s="25">
        <v>5</v>
      </c>
      <c r="H228" s="25"/>
      <c r="I228" s="25"/>
      <c r="J228" s="25"/>
      <c r="K228" s="25"/>
      <c r="L228" s="25"/>
      <c r="M228" s="25"/>
      <c r="N228" s="25"/>
      <c r="O228" s="25"/>
      <c r="P228" s="25">
        <v>24</v>
      </c>
      <c r="Q228" s="22">
        <f t="shared" si="3"/>
        <v>29</v>
      </c>
    </row>
    <row r="229" spans="1:17" ht="15.75" customHeight="1">
      <c r="A229" s="19">
        <v>227</v>
      </c>
      <c r="B229" s="20" t="s">
        <v>494</v>
      </c>
      <c r="C229" s="20" t="s">
        <v>495</v>
      </c>
      <c r="D229" s="20"/>
      <c r="E229" s="21">
        <v>249</v>
      </c>
      <c r="F229" s="21">
        <v>4</v>
      </c>
      <c r="G229" s="21">
        <v>6</v>
      </c>
      <c r="H229" s="21">
        <v>6</v>
      </c>
      <c r="I229" s="21"/>
      <c r="J229" s="21"/>
      <c r="K229" s="21"/>
      <c r="L229" s="21">
        <v>40</v>
      </c>
      <c r="M229" s="21">
        <v>30</v>
      </c>
      <c r="N229" s="21">
        <v>6</v>
      </c>
      <c r="O229" s="21"/>
      <c r="P229" s="21"/>
      <c r="Q229" s="22">
        <f t="shared" si="3"/>
        <v>341</v>
      </c>
    </row>
    <row r="230" spans="1:17" ht="15.75" customHeight="1">
      <c r="A230" s="23">
        <v>228</v>
      </c>
      <c r="B230" s="24" t="s">
        <v>2444</v>
      </c>
      <c r="C230" s="24" t="s">
        <v>2445</v>
      </c>
      <c r="D230" s="24"/>
      <c r="E230" s="25"/>
      <c r="F230" s="25"/>
      <c r="G230" s="25"/>
      <c r="H230" s="25"/>
      <c r="I230" s="25"/>
      <c r="J230" s="25">
        <v>8</v>
      </c>
      <c r="K230" s="25"/>
      <c r="L230" s="25"/>
      <c r="M230" s="25"/>
      <c r="N230" s="25"/>
      <c r="O230" s="25"/>
      <c r="P230" s="25"/>
      <c r="Q230" s="22">
        <f t="shared" si="3"/>
        <v>8</v>
      </c>
    </row>
    <row r="231" spans="1:17" ht="15.75" customHeight="1">
      <c r="A231" s="19">
        <v>229</v>
      </c>
      <c r="B231" s="20" t="s">
        <v>496</v>
      </c>
      <c r="C231" s="20" t="s">
        <v>497</v>
      </c>
      <c r="D231" s="20"/>
      <c r="E231" s="21"/>
      <c r="F231" s="21">
        <v>20</v>
      </c>
      <c r="G231" s="21">
        <v>10</v>
      </c>
      <c r="H231" s="21">
        <v>23</v>
      </c>
      <c r="I231" s="21"/>
      <c r="J231" s="21"/>
      <c r="K231" s="21">
        <v>20</v>
      </c>
      <c r="L231" s="21">
        <v>22</v>
      </c>
      <c r="M231" s="21"/>
      <c r="N231" s="21">
        <v>16</v>
      </c>
      <c r="O231" s="21">
        <v>30</v>
      </c>
      <c r="P231" s="21"/>
      <c r="Q231" s="22">
        <f t="shared" si="3"/>
        <v>141</v>
      </c>
    </row>
    <row r="232" spans="1:17" ht="15.75" customHeight="1">
      <c r="A232" s="23">
        <v>230</v>
      </c>
      <c r="B232" s="24" t="s">
        <v>2446</v>
      </c>
      <c r="C232" s="24" t="s">
        <v>2447</v>
      </c>
      <c r="D232" s="24"/>
      <c r="E232" s="25"/>
      <c r="F232" s="25"/>
      <c r="G232" s="25">
        <v>25</v>
      </c>
      <c r="H232" s="25"/>
      <c r="I232" s="25"/>
      <c r="J232" s="25"/>
      <c r="K232" s="25"/>
      <c r="L232" s="25"/>
      <c r="M232" s="25"/>
      <c r="N232" s="25"/>
      <c r="O232" s="25"/>
      <c r="P232" s="25"/>
      <c r="Q232" s="22">
        <f t="shared" si="3"/>
        <v>25</v>
      </c>
    </row>
    <row r="233" spans="1:17" ht="15.75" customHeight="1">
      <c r="A233" s="19">
        <v>231</v>
      </c>
      <c r="B233" s="20" t="s">
        <v>500</v>
      </c>
      <c r="C233" s="20" t="s">
        <v>501</v>
      </c>
      <c r="D233" s="20" t="s">
        <v>502</v>
      </c>
      <c r="E233" s="21"/>
      <c r="F233" s="21">
        <v>20</v>
      </c>
      <c r="G233" s="21"/>
      <c r="H233" s="21">
        <v>4</v>
      </c>
      <c r="I233" s="21">
        <v>30</v>
      </c>
      <c r="J233" s="21">
        <v>10</v>
      </c>
      <c r="K233" s="21">
        <v>4</v>
      </c>
      <c r="L233" s="21">
        <v>90</v>
      </c>
      <c r="M233" s="21">
        <v>20</v>
      </c>
      <c r="N233" s="21"/>
      <c r="O233" s="21">
        <v>120</v>
      </c>
      <c r="P233" s="21"/>
      <c r="Q233" s="22">
        <f t="shared" si="3"/>
        <v>298</v>
      </c>
    </row>
    <row r="234" spans="1:17" ht="15.75" customHeight="1">
      <c r="A234" s="23">
        <v>232</v>
      </c>
      <c r="B234" s="24" t="s">
        <v>506</v>
      </c>
      <c r="C234" s="24" t="s">
        <v>507</v>
      </c>
      <c r="D234" s="24" t="s">
        <v>508</v>
      </c>
      <c r="E234" s="25">
        <v>1</v>
      </c>
      <c r="F234" s="25"/>
      <c r="G234" s="25">
        <v>10</v>
      </c>
      <c r="H234" s="25"/>
      <c r="I234" s="25">
        <v>20</v>
      </c>
      <c r="J234" s="25">
        <v>10</v>
      </c>
      <c r="K234" s="25"/>
      <c r="L234" s="25">
        <v>20</v>
      </c>
      <c r="M234" s="25"/>
      <c r="N234" s="25"/>
      <c r="O234" s="25"/>
      <c r="P234" s="25"/>
      <c r="Q234" s="22">
        <f t="shared" si="3"/>
        <v>61</v>
      </c>
    </row>
    <row r="235" spans="1:17" ht="15.75" customHeight="1">
      <c r="A235" s="19">
        <v>233</v>
      </c>
      <c r="B235" s="20" t="s">
        <v>2448</v>
      </c>
      <c r="C235" s="20" t="s">
        <v>2449</v>
      </c>
      <c r="D235" s="20"/>
      <c r="E235" s="21">
        <v>1</v>
      </c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2">
        <f t="shared" si="3"/>
        <v>1</v>
      </c>
    </row>
    <row r="236" spans="1:17" ht="15.75" customHeight="1">
      <c r="A236" s="23">
        <v>234</v>
      </c>
      <c r="B236" s="24" t="s">
        <v>515</v>
      </c>
      <c r="C236" s="24" t="s">
        <v>516</v>
      </c>
      <c r="D236" s="24" t="s">
        <v>517</v>
      </c>
      <c r="E236" s="25">
        <v>3</v>
      </c>
      <c r="F236" s="25">
        <v>2</v>
      </c>
      <c r="G236" s="25">
        <v>10</v>
      </c>
      <c r="H236" s="25"/>
      <c r="I236" s="25">
        <v>25</v>
      </c>
      <c r="J236" s="25">
        <v>5</v>
      </c>
      <c r="K236" s="25"/>
      <c r="L236" s="25">
        <v>20</v>
      </c>
      <c r="M236" s="25"/>
      <c r="N236" s="25">
        <v>936</v>
      </c>
      <c r="O236" s="25">
        <v>24</v>
      </c>
      <c r="P236" s="25"/>
      <c r="Q236" s="22">
        <f t="shared" si="3"/>
        <v>1025</v>
      </c>
    </row>
    <row r="237" spans="1:17" ht="15.75" customHeight="1">
      <c r="A237" s="19">
        <v>235</v>
      </c>
      <c r="B237" s="20" t="s">
        <v>2450</v>
      </c>
      <c r="C237" s="20" t="s">
        <v>2451</v>
      </c>
      <c r="D237" s="20" t="s">
        <v>2452</v>
      </c>
      <c r="E237" s="21"/>
      <c r="F237" s="21"/>
      <c r="G237" s="21">
        <v>3</v>
      </c>
      <c r="H237" s="21"/>
      <c r="I237" s="21"/>
      <c r="J237" s="21"/>
      <c r="K237" s="21"/>
      <c r="L237" s="21"/>
      <c r="M237" s="21"/>
      <c r="N237" s="21"/>
      <c r="O237" s="21"/>
      <c r="P237" s="21"/>
      <c r="Q237" s="22">
        <f t="shared" si="3"/>
        <v>3</v>
      </c>
    </row>
    <row r="238" spans="1:17" ht="15.75" customHeight="1">
      <c r="A238" s="23">
        <v>236</v>
      </c>
      <c r="B238" s="24" t="s">
        <v>518</v>
      </c>
      <c r="C238" s="24" t="s">
        <v>519</v>
      </c>
      <c r="D238" s="24" t="s">
        <v>520</v>
      </c>
      <c r="E238" s="25"/>
      <c r="F238" s="25"/>
      <c r="G238" s="25">
        <v>15</v>
      </c>
      <c r="H238" s="25"/>
      <c r="I238" s="25">
        <v>30</v>
      </c>
      <c r="J238" s="25">
        <v>11</v>
      </c>
      <c r="K238" s="25"/>
      <c r="L238" s="25"/>
      <c r="M238" s="25"/>
      <c r="N238" s="25"/>
      <c r="O238" s="25">
        <v>20</v>
      </c>
      <c r="P238" s="25">
        <v>12</v>
      </c>
      <c r="Q238" s="22">
        <f t="shared" si="3"/>
        <v>88</v>
      </c>
    </row>
    <row r="239" spans="1:17" ht="15.75" customHeight="1">
      <c r="A239" s="19">
        <v>237</v>
      </c>
      <c r="B239" s="20" t="s">
        <v>2453</v>
      </c>
      <c r="C239" s="20" t="s">
        <v>2454</v>
      </c>
      <c r="D239" s="20"/>
      <c r="E239" s="21"/>
      <c r="F239" s="21"/>
      <c r="G239" s="21"/>
      <c r="H239" s="21"/>
      <c r="I239" s="21">
        <v>3</v>
      </c>
      <c r="J239" s="21"/>
      <c r="K239" s="21"/>
      <c r="L239" s="21"/>
      <c r="M239" s="21"/>
      <c r="N239" s="21"/>
      <c r="O239" s="21"/>
      <c r="P239" s="21"/>
      <c r="Q239" s="22">
        <f t="shared" si="3"/>
        <v>3</v>
      </c>
    </row>
    <row r="240" spans="1:17" ht="15.75" customHeight="1">
      <c r="A240" s="23">
        <v>238</v>
      </c>
      <c r="B240" s="24" t="s">
        <v>523</v>
      </c>
      <c r="C240" s="24" t="s">
        <v>524</v>
      </c>
      <c r="D240" s="24" t="s">
        <v>525</v>
      </c>
      <c r="E240" s="25"/>
      <c r="F240" s="25">
        <v>80</v>
      </c>
      <c r="G240" s="25"/>
      <c r="H240" s="25"/>
      <c r="I240" s="25"/>
      <c r="J240" s="25"/>
      <c r="K240" s="25">
        <v>20</v>
      </c>
      <c r="L240" s="25"/>
      <c r="M240" s="25"/>
      <c r="N240" s="25"/>
      <c r="O240" s="25"/>
      <c r="P240" s="25">
        <v>11</v>
      </c>
      <c r="Q240" s="22">
        <f t="shared" si="3"/>
        <v>111</v>
      </c>
    </row>
    <row r="241" spans="1:17" ht="15.75" customHeight="1">
      <c r="A241" s="19">
        <v>239</v>
      </c>
      <c r="B241" s="20" t="s">
        <v>526</v>
      </c>
      <c r="C241" s="20" t="s">
        <v>527</v>
      </c>
      <c r="D241" s="20" t="s">
        <v>528</v>
      </c>
      <c r="E241" s="21"/>
      <c r="F241" s="21"/>
      <c r="G241" s="21"/>
      <c r="H241" s="21"/>
      <c r="I241" s="21">
        <v>20</v>
      </c>
      <c r="J241" s="21">
        <v>55</v>
      </c>
      <c r="K241" s="21"/>
      <c r="L241" s="21"/>
      <c r="M241" s="21"/>
      <c r="N241" s="21"/>
      <c r="O241" s="21">
        <v>20</v>
      </c>
      <c r="P241" s="21"/>
      <c r="Q241" s="22">
        <f t="shared" si="3"/>
        <v>95</v>
      </c>
    </row>
    <row r="242" spans="1:17" ht="15.75" customHeight="1">
      <c r="A242" s="23">
        <v>240</v>
      </c>
      <c r="B242" s="24" t="s">
        <v>529</v>
      </c>
      <c r="C242" s="24" t="s">
        <v>530</v>
      </c>
      <c r="D242" s="24" t="s">
        <v>531</v>
      </c>
      <c r="E242" s="25"/>
      <c r="F242" s="25"/>
      <c r="G242" s="25"/>
      <c r="H242" s="25"/>
      <c r="I242" s="25"/>
      <c r="J242" s="25">
        <v>11</v>
      </c>
      <c r="K242" s="25">
        <v>2</v>
      </c>
      <c r="L242" s="25"/>
      <c r="M242" s="25"/>
      <c r="N242" s="25"/>
      <c r="O242" s="25"/>
      <c r="P242" s="25"/>
      <c r="Q242" s="22">
        <f t="shared" si="3"/>
        <v>13</v>
      </c>
    </row>
    <row r="243" spans="1:17" ht="15.75" customHeight="1">
      <c r="A243" s="19">
        <v>241</v>
      </c>
      <c r="B243" s="20" t="s">
        <v>532</v>
      </c>
      <c r="C243" s="20" t="s">
        <v>533</v>
      </c>
      <c r="D243" s="20" t="s">
        <v>534</v>
      </c>
      <c r="E243" s="21">
        <v>2</v>
      </c>
      <c r="F243" s="21">
        <v>80</v>
      </c>
      <c r="G243" s="21"/>
      <c r="H243" s="21"/>
      <c r="I243" s="21"/>
      <c r="J243" s="21"/>
      <c r="K243" s="21">
        <v>5</v>
      </c>
      <c r="L243" s="21">
        <v>1</v>
      </c>
      <c r="M243" s="21"/>
      <c r="N243" s="21"/>
      <c r="O243" s="21">
        <v>8</v>
      </c>
      <c r="P243" s="21">
        <v>7</v>
      </c>
      <c r="Q243" s="22">
        <f t="shared" si="3"/>
        <v>103</v>
      </c>
    </row>
    <row r="244" spans="1:17" ht="15.75" customHeight="1">
      <c r="A244" s="23">
        <v>242</v>
      </c>
      <c r="B244" s="24" t="s">
        <v>538</v>
      </c>
      <c r="C244" s="24" t="s">
        <v>539</v>
      </c>
      <c r="D244" s="24" t="s">
        <v>540</v>
      </c>
      <c r="E244" s="25"/>
      <c r="F244" s="25"/>
      <c r="G244" s="25"/>
      <c r="H244" s="25"/>
      <c r="I244" s="25"/>
      <c r="J244" s="25">
        <v>5</v>
      </c>
      <c r="K244" s="25"/>
      <c r="L244" s="25"/>
      <c r="M244" s="25"/>
      <c r="N244" s="25"/>
      <c r="O244" s="25"/>
      <c r="P244" s="25"/>
      <c r="Q244" s="22">
        <f t="shared" si="3"/>
        <v>5</v>
      </c>
    </row>
    <row r="245" spans="1:17" ht="15.75" customHeight="1">
      <c r="A245" s="19">
        <v>243</v>
      </c>
      <c r="B245" s="20" t="s">
        <v>543</v>
      </c>
      <c r="C245" s="20" t="s">
        <v>544</v>
      </c>
      <c r="D245" s="20" t="s">
        <v>540</v>
      </c>
      <c r="E245" s="21"/>
      <c r="F245" s="21"/>
      <c r="G245" s="21">
        <v>5</v>
      </c>
      <c r="H245" s="21"/>
      <c r="I245" s="21"/>
      <c r="J245" s="21"/>
      <c r="K245" s="21"/>
      <c r="L245" s="21"/>
      <c r="M245" s="21"/>
      <c r="N245" s="21"/>
      <c r="O245" s="21"/>
      <c r="P245" s="21"/>
      <c r="Q245" s="22">
        <f t="shared" si="3"/>
        <v>5</v>
      </c>
    </row>
    <row r="246" spans="1:17" ht="15.75" customHeight="1">
      <c r="A246" s="23">
        <v>244</v>
      </c>
      <c r="B246" s="24" t="s">
        <v>547</v>
      </c>
      <c r="C246" s="24" t="s">
        <v>548</v>
      </c>
      <c r="D246" s="24" t="s">
        <v>549</v>
      </c>
      <c r="E246" s="25">
        <v>1</v>
      </c>
      <c r="F246" s="25"/>
      <c r="G246" s="25"/>
      <c r="H246" s="25"/>
      <c r="I246" s="25"/>
      <c r="J246" s="25"/>
      <c r="K246" s="25"/>
      <c r="L246" s="25">
        <v>20</v>
      </c>
      <c r="M246" s="25">
        <v>50</v>
      </c>
      <c r="N246" s="25"/>
      <c r="O246" s="25">
        <v>20</v>
      </c>
      <c r="P246" s="25"/>
      <c r="Q246" s="22">
        <f t="shared" si="3"/>
        <v>91</v>
      </c>
    </row>
    <row r="247" spans="1:17" ht="15.75" customHeight="1">
      <c r="A247" s="19">
        <v>245</v>
      </c>
      <c r="B247" s="20" t="s">
        <v>2455</v>
      </c>
      <c r="C247" s="20" t="s">
        <v>2456</v>
      </c>
      <c r="D247" s="20"/>
      <c r="E247" s="21"/>
      <c r="F247" s="21"/>
      <c r="G247" s="21"/>
      <c r="H247" s="21"/>
      <c r="I247" s="21">
        <v>35</v>
      </c>
      <c r="J247" s="21"/>
      <c r="K247" s="21"/>
      <c r="L247" s="21"/>
      <c r="M247" s="21"/>
      <c r="N247" s="21"/>
      <c r="O247" s="21"/>
      <c r="P247" s="21"/>
      <c r="Q247" s="22">
        <f t="shared" si="3"/>
        <v>35</v>
      </c>
    </row>
    <row r="248" spans="1:17" ht="15.75" customHeight="1">
      <c r="A248" s="23">
        <v>246</v>
      </c>
      <c r="B248" s="24" t="s">
        <v>555</v>
      </c>
      <c r="C248" s="24" t="s">
        <v>556</v>
      </c>
      <c r="D248" s="24"/>
      <c r="E248" s="25"/>
      <c r="F248" s="25"/>
      <c r="G248" s="25"/>
      <c r="H248" s="25"/>
      <c r="I248" s="25">
        <v>35</v>
      </c>
      <c r="J248" s="25"/>
      <c r="K248" s="25"/>
      <c r="L248" s="25"/>
      <c r="M248" s="25"/>
      <c r="N248" s="25"/>
      <c r="O248" s="25"/>
      <c r="P248" s="25"/>
      <c r="Q248" s="22">
        <f t="shared" si="3"/>
        <v>35</v>
      </c>
    </row>
    <row r="249" spans="1:17" ht="15.75" customHeight="1">
      <c r="A249" s="19">
        <v>247</v>
      </c>
      <c r="B249" s="20" t="s">
        <v>2457</v>
      </c>
      <c r="C249" s="20" t="s">
        <v>2458</v>
      </c>
      <c r="D249" s="20"/>
      <c r="E249" s="21"/>
      <c r="F249" s="21"/>
      <c r="G249" s="21"/>
      <c r="H249" s="21"/>
      <c r="I249" s="21">
        <v>35</v>
      </c>
      <c r="J249" s="21"/>
      <c r="K249" s="21"/>
      <c r="L249" s="21"/>
      <c r="M249" s="21"/>
      <c r="N249" s="21"/>
      <c r="O249" s="21"/>
      <c r="P249" s="21"/>
      <c r="Q249" s="22">
        <f t="shared" si="3"/>
        <v>35</v>
      </c>
    </row>
    <row r="250" spans="1:17" ht="15.75" customHeight="1">
      <c r="A250" s="23">
        <v>248</v>
      </c>
      <c r="B250" s="24" t="s">
        <v>2459</v>
      </c>
      <c r="C250" s="24" t="s">
        <v>2460</v>
      </c>
      <c r="D250" s="24"/>
      <c r="E250" s="25"/>
      <c r="F250" s="25"/>
      <c r="G250" s="25"/>
      <c r="H250" s="25"/>
      <c r="I250" s="25"/>
      <c r="J250" s="25">
        <v>2</v>
      </c>
      <c r="K250" s="25"/>
      <c r="L250" s="25"/>
      <c r="M250" s="25"/>
      <c r="N250" s="25"/>
      <c r="O250" s="25"/>
      <c r="P250" s="25"/>
      <c r="Q250" s="22">
        <f t="shared" si="3"/>
        <v>2</v>
      </c>
    </row>
    <row r="251" spans="1:17" ht="15.75" customHeight="1">
      <c r="A251" s="19">
        <v>249</v>
      </c>
      <c r="B251" s="20" t="s">
        <v>557</v>
      </c>
      <c r="C251" s="20" t="s">
        <v>558</v>
      </c>
      <c r="D251" s="20" t="s">
        <v>559</v>
      </c>
      <c r="E251" s="21">
        <v>150</v>
      </c>
      <c r="F251" s="21"/>
      <c r="G251" s="21">
        <v>65</v>
      </c>
      <c r="H251" s="21">
        <v>360</v>
      </c>
      <c r="I251" s="21">
        <v>120</v>
      </c>
      <c r="J251" s="21">
        <v>130</v>
      </c>
      <c r="K251" s="21">
        <v>279</v>
      </c>
      <c r="L251" s="21"/>
      <c r="M251" s="21">
        <v>37</v>
      </c>
      <c r="N251" s="21">
        <v>201</v>
      </c>
      <c r="O251" s="21">
        <v>68</v>
      </c>
      <c r="P251" s="21">
        <v>241</v>
      </c>
      <c r="Q251" s="22">
        <f t="shared" si="3"/>
        <v>1651</v>
      </c>
    </row>
    <row r="252" spans="1:17" ht="15.75" customHeight="1">
      <c r="A252" s="23">
        <v>250</v>
      </c>
      <c r="B252" s="24" t="s">
        <v>560</v>
      </c>
      <c r="C252" s="24" t="s">
        <v>561</v>
      </c>
      <c r="D252" s="24" t="s">
        <v>562</v>
      </c>
      <c r="E252" s="25"/>
      <c r="F252" s="25">
        <v>20</v>
      </c>
      <c r="G252" s="25"/>
      <c r="H252" s="25"/>
      <c r="I252" s="25"/>
      <c r="J252" s="25"/>
      <c r="K252" s="25"/>
      <c r="L252" s="25">
        <v>20</v>
      </c>
      <c r="M252" s="25">
        <v>20</v>
      </c>
      <c r="N252" s="25"/>
      <c r="O252" s="25"/>
      <c r="P252" s="25"/>
      <c r="Q252" s="22">
        <f t="shared" si="3"/>
        <v>60</v>
      </c>
    </row>
    <row r="253" spans="1:17" ht="15.75" customHeight="1">
      <c r="A253" s="19">
        <v>251</v>
      </c>
      <c r="B253" s="20" t="s">
        <v>563</v>
      </c>
      <c r="C253" s="20" t="s">
        <v>564</v>
      </c>
      <c r="D253" s="20"/>
      <c r="E253" s="21"/>
      <c r="F253" s="21"/>
      <c r="G253" s="21"/>
      <c r="H253" s="21"/>
      <c r="I253" s="21">
        <v>3</v>
      </c>
      <c r="J253" s="21"/>
      <c r="K253" s="21"/>
      <c r="L253" s="21"/>
      <c r="M253" s="21"/>
      <c r="N253" s="21"/>
      <c r="O253" s="21"/>
      <c r="P253" s="21">
        <v>11</v>
      </c>
      <c r="Q253" s="22">
        <f t="shared" si="3"/>
        <v>14</v>
      </c>
    </row>
    <row r="254" spans="1:17" ht="15.75" customHeight="1">
      <c r="A254" s="23">
        <v>252</v>
      </c>
      <c r="B254" s="24" t="s">
        <v>565</v>
      </c>
      <c r="C254" s="24" t="s">
        <v>566</v>
      </c>
      <c r="D254" s="24"/>
      <c r="E254" s="25"/>
      <c r="F254" s="25">
        <v>5</v>
      </c>
      <c r="G254" s="25"/>
      <c r="H254" s="25"/>
      <c r="I254" s="25">
        <v>4</v>
      </c>
      <c r="J254" s="25"/>
      <c r="K254" s="25"/>
      <c r="L254" s="25"/>
      <c r="M254" s="25"/>
      <c r="N254" s="25"/>
      <c r="O254" s="25"/>
      <c r="P254" s="25">
        <v>22</v>
      </c>
      <c r="Q254" s="22">
        <f t="shared" si="3"/>
        <v>31</v>
      </c>
    </row>
    <row r="255" spans="1:17" ht="15.75" customHeight="1">
      <c r="A255" s="19">
        <v>253</v>
      </c>
      <c r="B255" s="20" t="s">
        <v>567</v>
      </c>
      <c r="C255" s="20" t="s">
        <v>568</v>
      </c>
      <c r="D255" s="20" t="s">
        <v>569</v>
      </c>
      <c r="E255" s="21">
        <v>292</v>
      </c>
      <c r="F255" s="21">
        <v>52</v>
      </c>
      <c r="G255" s="21">
        <v>50</v>
      </c>
      <c r="H255" s="21">
        <v>231</v>
      </c>
      <c r="I255" s="21">
        <v>110</v>
      </c>
      <c r="J255" s="21">
        <v>141</v>
      </c>
      <c r="K255" s="21">
        <v>185</v>
      </c>
      <c r="L255" s="21"/>
      <c r="M255" s="21">
        <v>26</v>
      </c>
      <c r="N255" s="21">
        <v>137</v>
      </c>
      <c r="O255" s="21">
        <v>170</v>
      </c>
      <c r="P255" s="21">
        <v>148</v>
      </c>
      <c r="Q255" s="22">
        <f t="shared" si="3"/>
        <v>1542</v>
      </c>
    </row>
    <row r="256" spans="1:17" ht="15.75" customHeight="1">
      <c r="A256" s="23">
        <v>254</v>
      </c>
      <c r="B256" s="24" t="s">
        <v>570</v>
      </c>
      <c r="C256" s="24" t="s">
        <v>571</v>
      </c>
      <c r="D256" s="24" t="s">
        <v>572</v>
      </c>
      <c r="E256" s="25"/>
      <c r="F256" s="25"/>
      <c r="G256" s="25"/>
      <c r="H256" s="25"/>
      <c r="I256" s="25"/>
      <c r="J256" s="25"/>
      <c r="K256" s="25"/>
      <c r="L256" s="25">
        <v>10</v>
      </c>
      <c r="M256" s="25">
        <v>5</v>
      </c>
      <c r="N256" s="25"/>
      <c r="O256" s="25"/>
      <c r="P256" s="25"/>
      <c r="Q256" s="22">
        <f t="shared" si="3"/>
        <v>15</v>
      </c>
    </row>
    <row r="257" spans="1:17" ht="15.75" customHeight="1">
      <c r="A257" s="19">
        <v>255</v>
      </c>
      <c r="B257" s="20" t="s">
        <v>573</v>
      </c>
      <c r="C257" s="20" t="s">
        <v>574</v>
      </c>
      <c r="D257" s="20" t="s">
        <v>575</v>
      </c>
      <c r="E257" s="21">
        <v>300</v>
      </c>
      <c r="F257" s="21"/>
      <c r="G257" s="21"/>
      <c r="H257" s="21"/>
      <c r="I257" s="21"/>
      <c r="J257" s="21">
        <v>4</v>
      </c>
      <c r="K257" s="21">
        <v>280</v>
      </c>
      <c r="L257" s="21"/>
      <c r="M257" s="21">
        <v>84</v>
      </c>
      <c r="N257" s="21">
        <v>20</v>
      </c>
      <c r="O257" s="21">
        <v>250</v>
      </c>
      <c r="P257" s="21">
        <v>68</v>
      </c>
      <c r="Q257" s="22">
        <f t="shared" si="3"/>
        <v>1006</v>
      </c>
    </row>
    <row r="258" spans="1:17" ht="15.75" customHeight="1">
      <c r="A258" s="23">
        <v>256</v>
      </c>
      <c r="B258" s="24" t="s">
        <v>2461</v>
      </c>
      <c r="C258" s="24" t="s">
        <v>2462</v>
      </c>
      <c r="D258" s="24" t="s">
        <v>2463</v>
      </c>
      <c r="E258" s="25"/>
      <c r="F258" s="25">
        <v>10</v>
      </c>
      <c r="G258" s="25"/>
      <c r="H258" s="25"/>
      <c r="I258" s="25"/>
      <c r="J258" s="25"/>
      <c r="K258" s="25"/>
      <c r="L258" s="25"/>
      <c r="M258" s="25"/>
      <c r="N258" s="25">
        <v>5</v>
      </c>
      <c r="O258" s="25"/>
      <c r="P258" s="25"/>
      <c r="Q258" s="22">
        <f t="shared" si="3"/>
        <v>15</v>
      </c>
    </row>
    <row r="259" spans="1:17" ht="15.75" customHeight="1">
      <c r="A259" s="19">
        <v>257</v>
      </c>
      <c r="B259" s="20" t="s">
        <v>576</v>
      </c>
      <c r="C259" s="20" t="s">
        <v>354</v>
      </c>
      <c r="D259" s="20" t="s">
        <v>577</v>
      </c>
      <c r="E259" s="21">
        <v>220</v>
      </c>
      <c r="F259" s="21">
        <v>50</v>
      </c>
      <c r="G259" s="21">
        <v>53</v>
      </c>
      <c r="H259" s="21">
        <v>162</v>
      </c>
      <c r="I259" s="21">
        <v>146</v>
      </c>
      <c r="J259" s="21">
        <v>135</v>
      </c>
      <c r="K259" s="21">
        <v>156</v>
      </c>
      <c r="L259" s="21">
        <v>2</v>
      </c>
      <c r="M259" s="21">
        <v>23</v>
      </c>
      <c r="N259" s="21">
        <v>449</v>
      </c>
      <c r="O259" s="21">
        <v>130</v>
      </c>
      <c r="P259" s="21">
        <v>161</v>
      </c>
      <c r="Q259" s="22">
        <f t="shared" ref="Q259:Q322" si="4">SUM(E259:P259)</f>
        <v>1687</v>
      </c>
    </row>
    <row r="260" spans="1:17" ht="15.75" customHeight="1">
      <c r="A260" s="23">
        <v>258</v>
      </c>
      <c r="B260" s="24" t="s">
        <v>578</v>
      </c>
      <c r="C260" s="24" t="s">
        <v>579</v>
      </c>
      <c r="D260" s="24" t="s">
        <v>580</v>
      </c>
      <c r="E260" s="25"/>
      <c r="F260" s="25"/>
      <c r="G260" s="25"/>
      <c r="H260" s="25"/>
      <c r="I260" s="25"/>
      <c r="J260" s="25"/>
      <c r="K260" s="25"/>
      <c r="L260" s="25">
        <v>10</v>
      </c>
      <c r="M260" s="25"/>
      <c r="N260" s="25"/>
      <c r="O260" s="25"/>
      <c r="P260" s="25"/>
      <c r="Q260" s="22">
        <f t="shared" si="4"/>
        <v>10</v>
      </c>
    </row>
    <row r="261" spans="1:17" ht="15.75" customHeight="1">
      <c r="A261" s="19">
        <v>259</v>
      </c>
      <c r="B261" s="20" t="s">
        <v>2464</v>
      </c>
      <c r="C261" s="20" t="s">
        <v>2465</v>
      </c>
      <c r="D261" s="20"/>
      <c r="E261" s="21"/>
      <c r="F261" s="21"/>
      <c r="G261" s="21"/>
      <c r="H261" s="21"/>
      <c r="I261" s="21">
        <v>78</v>
      </c>
      <c r="J261" s="21"/>
      <c r="K261" s="21"/>
      <c r="L261" s="21"/>
      <c r="M261" s="21">
        <v>3</v>
      </c>
      <c r="N261" s="21"/>
      <c r="O261" s="21"/>
      <c r="P261" s="21"/>
      <c r="Q261" s="22">
        <f t="shared" si="4"/>
        <v>81</v>
      </c>
    </row>
    <row r="262" spans="1:17" ht="15.75" customHeight="1">
      <c r="A262" s="23">
        <v>260</v>
      </c>
      <c r="B262" s="24" t="s">
        <v>2466</v>
      </c>
      <c r="C262" s="24" t="s">
        <v>1343</v>
      </c>
      <c r="D262" s="24"/>
      <c r="E262" s="25"/>
      <c r="F262" s="25"/>
      <c r="G262" s="25"/>
      <c r="H262" s="25"/>
      <c r="I262" s="25"/>
      <c r="J262" s="25"/>
      <c r="K262" s="25"/>
      <c r="L262" s="25"/>
      <c r="M262" s="25">
        <v>5</v>
      </c>
      <c r="N262" s="25"/>
      <c r="O262" s="25"/>
      <c r="P262" s="25">
        <v>12</v>
      </c>
      <c r="Q262" s="22">
        <f t="shared" si="4"/>
        <v>17</v>
      </c>
    </row>
    <row r="263" spans="1:17" ht="15.75" customHeight="1">
      <c r="A263" s="19">
        <v>261</v>
      </c>
      <c r="B263" s="20" t="s">
        <v>581</v>
      </c>
      <c r="C263" s="20" t="s">
        <v>582</v>
      </c>
      <c r="D263" s="20" t="s">
        <v>583</v>
      </c>
      <c r="E263" s="21">
        <v>160</v>
      </c>
      <c r="F263" s="21">
        <v>50</v>
      </c>
      <c r="G263" s="21">
        <v>15</v>
      </c>
      <c r="H263" s="21">
        <v>5</v>
      </c>
      <c r="I263" s="21">
        <v>90</v>
      </c>
      <c r="J263" s="21">
        <v>60</v>
      </c>
      <c r="K263" s="21">
        <v>74</v>
      </c>
      <c r="L263" s="21">
        <v>7</v>
      </c>
      <c r="M263" s="21">
        <v>5</v>
      </c>
      <c r="N263" s="21">
        <v>38</v>
      </c>
      <c r="O263" s="21">
        <v>40</v>
      </c>
      <c r="P263" s="21">
        <v>25</v>
      </c>
      <c r="Q263" s="22">
        <f t="shared" si="4"/>
        <v>569</v>
      </c>
    </row>
    <row r="264" spans="1:17" ht="15.75" customHeight="1">
      <c r="A264" s="23">
        <v>262</v>
      </c>
      <c r="B264" s="24" t="s">
        <v>587</v>
      </c>
      <c r="C264" s="24" t="s">
        <v>588</v>
      </c>
      <c r="D264" s="24" t="s">
        <v>589</v>
      </c>
      <c r="E264" s="25">
        <v>250</v>
      </c>
      <c r="F264" s="25">
        <v>60</v>
      </c>
      <c r="G264" s="25">
        <v>21</v>
      </c>
      <c r="H264" s="25">
        <v>415</v>
      </c>
      <c r="I264" s="25"/>
      <c r="J264" s="25">
        <v>70</v>
      </c>
      <c r="K264" s="25">
        <v>70</v>
      </c>
      <c r="L264" s="25">
        <v>40</v>
      </c>
      <c r="M264" s="25">
        <v>10</v>
      </c>
      <c r="N264" s="25">
        <v>60</v>
      </c>
      <c r="O264" s="25">
        <v>20</v>
      </c>
      <c r="P264" s="25">
        <v>1</v>
      </c>
      <c r="Q264" s="22">
        <f t="shared" si="4"/>
        <v>1017</v>
      </c>
    </row>
    <row r="265" spans="1:17" ht="15.75" customHeight="1">
      <c r="A265" s="19">
        <v>263</v>
      </c>
      <c r="B265" s="20" t="s">
        <v>590</v>
      </c>
      <c r="C265" s="20" t="s">
        <v>591</v>
      </c>
      <c r="D265" s="20" t="s">
        <v>592</v>
      </c>
      <c r="E265" s="21">
        <v>2</v>
      </c>
      <c r="F265" s="21"/>
      <c r="G265" s="21">
        <v>10</v>
      </c>
      <c r="H265" s="21">
        <v>60</v>
      </c>
      <c r="I265" s="21">
        <v>40</v>
      </c>
      <c r="J265" s="21">
        <v>43</v>
      </c>
      <c r="K265" s="21">
        <v>28</v>
      </c>
      <c r="L265" s="21">
        <v>50</v>
      </c>
      <c r="M265" s="21">
        <v>21</v>
      </c>
      <c r="N265" s="21">
        <v>75</v>
      </c>
      <c r="O265" s="21">
        <v>20</v>
      </c>
      <c r="P265" s="21">
        <v>30</v>
      </c>
      <c r="Q265" s="22">
        <f t="shared" si="4"/>
        <v>379</v>
      </c>
    </row>
    <row r="266" spans="1:17" ht="15.75" customHeight="1">
      <c r="A266" s="23">
        <v>264</v>
      </c>
      <c r="B266" s="24" t="s">
        <v>593</v>
      </c>
      <c r="C266" s="24" t="s">
        <v>594</v>
      </c>
      <c r="D266" s="24" t="s">
        <v>595</v>
      </c>
      <c r="E266" s="25"/>
      <c r="F266" s="25"/>
      <c r="G266" s="25"/>
      <c r="H266" s="25"/>
      <c r="I266" s="25"/>
      <c r="J266" s="25"/>
      <c r="K266" s="25"/>
      <c r="L266" s="25">
        <v>10</v>
      </c>
      <c r="M266" s="25"/>
      <c r="N266" s="25"/>
      <c r="O266" s="25"/>
      <c r="P266" s="25"/>
      <c r="Q266" s="22">
        <f t="shared" si="4"/>
        <v>10</v>
      </c>
    </row>
    <row r="267" spans="1:17" ht="15.75" customHeight="1">
      <c r="A267" s="19">
        <v>265</v>
      </c>
      <c r="B267" s="20" t="s">
        <v>596</v>
      </c>
      <c r="C267" s="20" t="s">
        <v>597</v>
      </c>
      <c r="D267" s="20" t="s">
        <v>598</v>
      </c>
      <c r="E267" s="21"/>
      <c r="F267" s="21"/>
      <c r="G267" s="21"/>
      <c r="H267" s="21"/>
      <c r="I267" s="21">
        <v>20</v>
      </c>
      <c r="J267" s="21">
        <v>4</v>
      </c>
      <c r="K267" s="21">
        <v>6</v>
      </c>
      <c r="L267" s="21">
        <v>5</v>
      </c>
      <c r="M267" s="21">
        <v>1</v>
      </c>
      <c r="N267" s="21">
        <v>10</v>
      </c>
      <c r="O267" s="21">
        <v>16</v>
      </c>
      <c r="P267" s="21"/>
      <c r="Q267" s="22">
        <f t="shared" si="4"/>
        <v>62</v>
      </c>
    </row>
    <row r="268" spans="1:17" ht="15.75" customHeight="1">
      <c r="A268" s="23">
        <v>266</v>
      </c>
      <c r="B268" s="24" t="s">
        <v>599</v>
      </c>
      <c r="C268" s="24" t="s">
        <v>600</v>
      </c>
      <c r="D268" s="24" t="s">
        <v>601</v>
      </c>
      <c r="E268" s="25">
        <v>70</v>
      </c>
      <c r="F268" s="25">
        <v>80</v>
      </c>
      <c r="G268" s="25"/>
      <c r="H268" s="25">
        <v>14</v>
      </c>
      <c r="I268" s="25">
        <v>180</v>
      </c>
      <c r="J268" s="25">
        <v>10</v>
      </c>
      <c r="K268" s="25">
        <v>10</v>
      </c>
      <c r="L268" s="25">
        <v>24</v>
      </c>
      <c r="M268" s="25">
        <v>30</v>
      </c>
      <c r="N268" s="25">
        <v>170</v>
      </c>
      <c r="O268" s="25">
        <v>15</v>
      </c>
      <c r="P268" s="25">
        <v>18</v>
      </c>
      <c r="Q268" s="22">
        <f t="shared" si="4"/>
        <v>621</v>
      </c>
    </row>
    <row r="269" spans="1:17" ht="15.75" customHeight="1">
      <c r="A269" s="19">
        <v>267</v>
      </c>
      <c r="B269" s="20" t="s">
        <v>602</v>
      </c>
      <c r="C269" s="20" t="s">
        <v>603</v>
      </c>
      <c r="D269" s="20" t="s">
        <v>604</v>
      </c>
      <c r="E269" s="21"/>
      <c r="F269" s="21">
        <v>10</v>
      </c>
      <c r="G269" s="21"/>
      <c r="H269" s="21">
        <v>60</v>
      </c>
      <c r="I269" s="21">
        <v>50</v>
      </c>
      <c r="J269" s="21"/>
      <c r="K269" s="21"/>
      <c r="L269" s="21">
        <v>10</v>
      </c>
      <c r="M269" s="21"/>
      <c r="N269" s="21">
        <v>20</v>
      </c>
      <c r="O269" s="21">
        <v>100</v>
      </c>
      <c r="P269" s="21"/>
      <c r="Q269" s="22">
        <f t="shared" si="4"/>
        <v>250</v>
      </c>
    </row>
    <row r="270" spans="1:17" ht="15.75" customHeight="1">
      <c r="A270" s="23">
        <v>268</v>
      </c>
      <c r="B270" s="24" t="s">
        <v>605</v>
      </c>
      <c r="C270" s="24" t="s">
        <v>606</v>
      </c>
      <c r="D270" s="24" t="s">
        <v>607</v>
      </c>
      <c r="E270" s="25"/>
      <c r="F270" s="25"/>
      <c r="G270" s="25"/>
      <c r="H270" s="25">
        <v>12</v>
      </c>
      <c r="I270" s="25">
        <v>22</v>
      </c>
      <c r="J270" s="25"/>
      <c r="K270" s="25">
        <v>10</v>
      </c>
      <c r="L270" s="25"/>
      <c r="M270" s="25"/>
      <c r="N270" s="25">
        <v>25</v>
      </c>
      <c r="O270" s="25"/>
      <c r="P270" s="25"/>
      <c r="Q270" s="22">
        <f t="shared" si="4"/>
        <v>69</v>
      </c>
    </row>
    <row r="271" spans="1:17" ht="15.75" customHeight="1">
      <c r="A271" s="19">
        <v>269</v>
      </c>
      <c r="B271" s="20" t="s">
        <v>608</v>
      </c>
      <c r="C271" s="20" t="s">
        <v>609</v>
      </c>
      <c r="D271" s="20" t="s">
        <v>610</v>
      </c>
      <c r="E271" s="21"/>
      <c r="F271" s="21"/>
      <c r="G271" s="21"/>
      <c r="H271" s="21"/>
      <c r="I271" s="21">
        <v>6</v>
      </c>
      <c r="J271" s="21">
        <v>2</v>
      </c>
      <c r="K271" s="21"/>
      <c r="L271" s="21">
        <v>8</v>
      </c>
      <c r="M271" s="21"/>
      <c r="N271" s="21"/>
      <c r="O271" s="21"/>
      <c r="P271" s="21"/>
      <c r="Q271" s="22">
        <f t="shared" si="4"/>
        <v>16</v>
      </c>
    </row>
    <row r="272" spans="1:17" ht="15.75" customHeight="1">
      <c r="A272" s="23">
        <v>270</v>
      </c>
      <c r="B272" s="24" t="s">
        <v>611</v>
      </c>
      <c r="C272" s="24" t="s">
        <v>612</v>
      </c>
      <c r="D272" s="24" t="s">
        <v>613</v>
      </c>
      <c r="E272" s="25"/>
      <c r="F272" s="25"/>
      <c r="G272" s="25"/>
      <c r="H272" s="25">
        <v>8</v>
      </c>
      <c r="I272" s="25"/>
      <c r="J272" s="25"/>
      <c r="K272" s="25">
        <v>35</v>
      </c>
      <c r="L272" s="25">
        <v>8</v>
      </c>
      <c r="M272" s="25">
        <v>10</v>
      </c>
      <c r="N272" s="25">
        <v>15</v>
      </c>
      <c r="O272" s="25">
        <v>10</v>
      </c>
      <c r="P272" s="25"/>
      <c r="Q272" s="22">
        <f t="shared" si="4"/>
        <v>86</v>
      </c>
    </row>
    <row r="273" spans="1:17" ht="15.75" customHeight="1">
      <c r="A273" s="19">
        <v>271</v>
      </c>
      <c r="B273" s="20" t="s">
        <v>619</v>
      </c>
      <c r="C273" s="20" t="s">
        <v>620</v>
      </c>
      <c r="D273" s="20" t="s">
        <v>621</v>
      </c>
      <c r="E273" s="21">
        <v>70</v>
      </c>
      <c r="F273" s="21">
        <v>25</v>
      </c>
      <c r="G273" s="21">
        <v>186</v>
      </c>
      <c r="H273" s="21">
        <v>104</v>
      </c>
      <c r="I273" s="21">
        <v>80</v>
      </c>
      <c r="J273" s="21">
        <v>80</v>
      </c>
      <c r="K273" s="21">
        <v>189</v>
      </c>
      <c r="L273" s="21">
        <v>70</v>
      </c>
      <c r="M273" s="21">
        <v>130</v>
      </c>
      <c r="N273" s="21">
        <v>220</v>
      </c>
      <c r="O273" s="21">
        <v>9</v>
      </c>
      <c r="P273" s="21">
        <v>109</v>
      </c>
      <c r="Q273" s="22">
        <f t="shared" si="4"/>
        <v>1272</v>
      </c>
    </row>
    <row r="274" spans="1:17" ht="15.75" customHeight="1">
      <c r="A274" s="23">
        <v>272</v>
      </c>
      <c r="B274" s="24" t="s">
        <v>622</v>
      </c>
      <c r="C274" s="24" t="s">
        <v>623</v>
      </c>
      <c r="D274" s="24" t="s">
        <v>624</v>
      </c>
      <c r="E274" s="25"/>
      <c r="F274" s="25"/>
      <c r="G274" s="25"/>
      <c r="H274" s="25"/>
      <c r="I274" s="25"/>
      <c r="J274" s="25"/>
      <c r="K274" s="25"/>
      <c r="L274" s="25">
        <v>10</v>
      </c>
      <c r="M274" s="25"/>
      <c r="N274" s="25"/>
      <c r="O274" s="25"/>
      <c r="P274" s="25"/>
      <c r="Q274" s="22">
        <f t="shared" si="4"/>
        <v>10</v>
      </c>
    </row>
    <row r="275" spans="1:17" ht="15.75" customHeight="1">
      <c r="A275" s="19">
        <v>273</v>
      </c>
      <c r="B275" s="20" t="s">
        <v>625</v>
      </c>
      <c r="C275" s="20" t="s">
        <v>626</v>
      </c>
      <c r="D275" s="20"/>
      <c r="E275" s="21"/>
      <c r="F275" s="21"/>
      <c r="G275" s="21">
        <v>52</v>
      </c>
      <c r="H275" s="21"/>
      <c r="I275" s="21">
        <v>50</v>
      </c>
      <c r="J275" s="21"/>
      <c r="K275" s="21"/>
      <c r="L275" s="21"/>
      <c r="M275" s="21"/>
      <c r="N275" s="21">
        <v>50</v>
      </c>
      <c r="O275" s="21"/>
      <c r="P275" s="21">
        <v>10</v>
      </c>
      <c r="Q275" s="22">
        <f t="shared" si="4"/>
        <v>162</v>
      </c>
    </row>
    <row r="276" spans="1:17" ht="15.75" customHeight="1">
      <c r="A276" s="23">
        <v>274</v>
      </c>
      <c r="B276" s="24" t="s">
        <v>627</v>
      </c>
      <c r="C276" s="24" t="s">
        <v>628</v>
      </c>
      <c r="D276" s="24"/>
      <c r="E276" s="25"/>
      <c r="F276" s="25"/>
      <c r="G276" s="25"/>
      <c r="H276" s="25"/>
      <c r="I276" s="25">
        <v>54</v>
      </c>
      <c r="J276" s="25"/>
      <c r="K276" s="25"/>
      <c r="L276" s="25"/>
      <c r="M276" s="25"/>
      <c r="N276" s="25"/>
      <c r="O276" s="25"/>
      <c r="P276" s="25"/>
      <c r="Q276" s="22">
        <f t="shared" si="4"/>
        <v>54</v>
      </c>
    </row>
    <row r="277" spans="1:17" ht="15.75" customHeight="1">
      <c r="A277" s="19">
        <v>275</v>
      </c>
      <c r="B277" s="20" t="s">
        <v>2467</v>
      </c>
      <c r="C277" s="20" t="s">
        <v>2468</v>
      </c>
      <c r="D277" s="20"/>
      <c r="E277" s="21"/>
      <c r="F277" s="21"/>
      <c r="G277" s="21"/>
      <c r="H277" s="21">
        <v>1</v>
      </c>
      <c r="I277" s="21"/>
      <c r="J277" s="21"/>
      <c r="K277" s="21"/>
      <c r="L277" s="21"/>
      <c r="M277" s="21"/>
      <c r="N277" s="21"/>
      <c r="O277" s="21"/>
      <c r="P277" s="21"/>
      <c r="Q277" s="22">
        <f t="shared" si="4"/>
        <v>1</v>
      </c>
    </row>
    <row r="278" spans="1:17" ht="15.75" customHeight="1">
      <c r="A278" s="23">
        <v>276</v>
      </c>
      <c r="B278" s="24" t="s">
        <v>2469</v>
      </c>
      <c r="C278" s="24" t="s">
        <v>2470</v>
      </c>
      <c r="D278" s="24"/>
      <c r="E278" s="25"/>
      <c r="F278" s="25"/>
      <c r="G278" s="25"/>
      <c r="H278" s="25">
        <v>50</v>
      </c>
      <c r="I278" s="25"/>
      <c r="J278" s="25"/>
      <c r="K278" s="25"/>
      <c r="L278" s="25"/>
      <c r="M278" s="25"/>
      <c r="N278" s="25"/>
      <c r="O278" s="25"/>
      <c r="P278" s="25"/>
      <c r="Q278" s="22">
        <f t="shared" si="4"/>
        <v>50</v>
      </c>
    </row>
    <row r="279" spans="1:17" ht="15.75" customHeight="1">
      <c r="A279" s="19">
        <v>277</v>
      </c>
      <c r="B279" s="20" t="s">
        <v>631</v>
      </c>
      <c r="C279" s="20" t="s">
        <v>632</v>
      </c>
      <c r="D279" s="20" t="s">
        <v>633</v>
      </c>
      <c r="E279" s="21"/>
      <c r="F279" s="21"/>
      <c r="G279" s="21">
        <v>50</v>
      </c>
      <c r="H279" s="21"/>
      <c r="I279" s="21"/>
      <c r="J279" s="21"/>
      <c r="K279" s="21"/>
      <c r="L279" s="21"/>
      <c r="M279" s="21"/>
      <c r="N279" s="21"/>
      <c r="O279" s="21"/>
      <c r="P279" s="21"/>
      <c r="Q279" s="22">
        <f t="shared" si="4"/>
        <v>50</v>
      </c>
    </row>
    <row r="280" spans="1:17" ht="15.75" customHeight="1">
      <c r="A280" s="23">
        <v>278</v>
      </c>
      <c r="B280" s="24" t="s">
        <v>637</v>
      </c>
      <c r="C280" s="24" t="s">
        <v>638</v>
      </c>
      <c r="D280" s="24" t="s">
        <v>639</v>
      </c>
      <c r="E280" s="25"/>
      <c r="F280" s="25"/>
      <c r="G280" s="25">
        <v>50</v>
      </c>
      <c r="H280" s="25"/>
      <c r="I280" s="25"/>
      <c r="J280" s="25"/>
      <c r="K280" s="25"/>
      <c r="L280" s="25"/>
      <c r="M280" s="25"/>
      <c r="N280" s="25"/>
      <c r="O280" s="25"/>
      <c r="P280" s="25"/>
      <c r="Q280" s="22">
        <f t="shared" si="4"/>
        <v>50</v>
      </c>
    </row>
    <row r="281" spans="1:17" ht="15.75" customHeight="1">
      <c r="A281" s="19">
        <v>279</v>
      </c>
      <c r="B281" s="20" t="s">
        <v>640</v>
      </c>
      <c r="C281" s="20" t="s">
        <v>641</v>
      </c>
      <c r="D281" s="20" t="s">
        <v>642</v>
      </c>
      <c r="E281" s="21"/>
      <c r="F281" s="21"/>
      <c r="G281" s="21">
        <v>50</v>
      </c>
      <c r="H281" s="21"/>
      <c r="I281" s="21"/>
      <c r="J281" s="21"/>
      <c r="K281" s="21"/>
      <c r="L281" s="21"/>
      <c r="M281" s="21"/>
      <c r="N281" s="21"/>
      <c r="O281" s="21"/>
      <c r="P281" s="21"/>
      <c r="Q281" s="22">
        <f t="shared" si="4"/>
        <v>50</v>
      </c>
    </row>
    <row r="282" spans="1:17" ht="15.75" customHeight="1">
      <c r="A282" s="23">
        <v>280</v>
      </c>
      <c r="B282" s="24" t="s">
        <v>643</v>
      </c>
      <c r="C282" s="24" t="s">
        <v>644</v>
      </c>
      <c r="D282" s="24" t="s">
        <v>645</v>
      </c>
      <c r="E282" s="25"/>
      <c r="F282" s="25"/>
      <c r="G282" s="25">
        <v>50</v>
      </c>
      <c r="H282" s="25">
        <v>18</v>
      </c>
      <c r="I282" s="25"/>
      <c r="J282" s="25"/>
      <c r="K282" s="25"/>
      <c r="L282" s="25"/>
      <c r="M282" s="25"/>
      <c r="N282" s="25"/>
      <c r="O282" s="25">
        <v>60</v>
      </c>
      <c r="P282" s="25"/>
      <c r="Q282" s="22">
        <f t="shared" si="4"/>
        <v>128</v>
      </c>
    </row>
    <row r="283" spans="1:17" ht="15.75" customHeight="1">
      <c r="A283" s="19">
        <v>281</v>
      </c>
      <c r="B283" s="20" t="s">
        <v>652</v>
      </c>
      <c r="C283" s="20" t="s">
        <v>653</v>
      </c>
      <c r="D283" s="20" t="s">
        <v>654</v>
      </c>
      <c r="E283" s="21"/>
      <c r="F283" s="21"/>
      <c r="G283" s="21"/>
      <c r="H283" s="21"/>
      <c r="I283" s="21"/>
      <c r="J283" s="21"/>
      <c r="K283" s="21"/>
      <c r="L283" s="21"/>
      <c r="M283" s="21"/>
      <c r="N283" s="21">
        <v>184</v>
      </c>
      <c r="O283" s="21"/>
      <c r="P283" s="21"/>
      <c r="Q283" s="22">
        <f t="shared" si="4"/>
        <v>184</v>
      </c>
    </row>
    <row r="284" spans="1:17" ht="15.75" customHeight="1">
      <c r="A284" s="23">
        <v>282</v>
      </c>
      <c r="B284" s="24" t="s">
        <v>2471</v>
      </c>
      <c r="C284" s="24" t="s">
        <v>2472</v>
      </c>
      <c r="D284" s="24" t="s">
        <v>2473</v>
      </c>
      <c r="E284" s="25"/>
      <c r="F284" s="25"/>
      <c r="G284" s="25">
        <v>16</v>
      </c>
      <c r="H284" s="25"/>
      <c r="I284" s="25"/>
      <c r="J284" s="25"/>
      <c r="K284" s="25"/>
      <c r="L284" s="25"/>
      <c r="M284" s="25"/>
      <c r="N284" s="25"/>
      <c r="O284" s="25"/>
      <c r="P284" s="25"/>
      <c r="Q284" s="22">
        <f t="shared" si="4"/>
        <v>16</v>
      </c>
    </row>
    <row r="285" spans="1:17" ht="15.75" customHeight="1">
      <c r="A285" s="19">
        <v>283</v>
      </c>
      <c r="B285" s="20" t="s">
        <v>2474</v>
      </c>
      <c r="C285" s="20" t="s">
        <v>2475</v>
      </c>
      <c r="D285" s="20"/>
      <c r="E285" s="21"/>
      <c r="F285" s="21"/>
      <c r="G285" s="21">
        <v>50</v>
      </c>
      <c r="H285" s="21"/>
      <c r="I285" s="21"/>
      <c r="J285" s="21"/>
      <c r="K285" s="21"/>
      <c r="L285" s="21"/>
      <c r="M285" s="21">
        <v>66</v>
      </c>
      <c r="N285" s="21">
        <v>30</v>
      </c>
      <c r="O285" s="21"/>
      <c r="P285" s="21"/>
      <c r="Q285" s="22">
        <f t="shared" si="4"/>
        <v>146</v>
      </c>
    </row>
    <row r="286" spans="1:17" ht="15.75" customHeight="1">
      <c r="A286" s="23">
        <v>284</v>
      </c>
      <c r="B286" s="24" t="s">
        <v>660</v>
      </c>
      <c r="C286" s="24" t="s">
        <v>661</v>
      </c>
      <c r="D286" s="24" t="s">
        <v>662</v>
      </c>
      <c r="E286" s="25">
        <v>4</v>
      </c>
      <c r="F286" s="25">
        <v>4</v>
      </c>
      <c r="G286" s="25"/>
      <c r="H286" s="25"/>
      <c r="I286" s="25"/>
      <c r="J286" s="25"/>
      <c r="K286" s="25"/>
      <c r="L286" s="25"/>
      <c r="M286" s="25">
        <v>4</v>
      </c>
      <c r="N286" s="25"/>
      <c r="O286" s="25"/>
      <c r="P286" s="25"/>
      <c r="Q286" s="22">
        <f t="shared" si="4"/>
        <v>12</v>
      </c>
    </row>
    <row r="287" spans="1:17" ht="15.75" customHeight="1">
      <c r="A287" s="19">
        <v>285</v>
      </c>
      <c r="B287" s="20" t="s">
        <v>663</v>
      </c>
      <c r="C287" s="20" t="s">
        <v>367</v>
      </c>
      <c r="D287" s="20" t="s">
        <v>664</v>
      </c>
      <c r="E287" s="21">
        <v>370</v>
      </c>
      <c r="F287" s="21">
        <v>350</v>
      </c>
      <c r="G287" s="21">
        <v>86</v>
      </c>
      <c r="H287" s="21">
        <v>304</v>
      </c>
      <c r="I287" s="21">
        <v>200</v>
      </c>
      <c r="J287" s="21">
        <v>78</v>
      </c>
      <c r="K287" s="21">
        <v>690</v>
      </c>
      <c r="L287" s="21">
        <v>244</v>
      </c>
      <c r="M287" s="21">
        <v>70</v>
      </c>
      <c r="N287" s="21">
        <v>448</v>
      </c>
      <c r="O287" s="21">
        <v>102</v>
      </c>
      <c r="P287" s="21">
        <v>4005</v>
      </c>
      <c r="Q287" s="22">
        <f t="shared" si="4"/>
        <v>6947</v>
      </c>
    </row>
    <row r="288" spans="1:17" ht="15.75" customHeight="1">
      <c r="A288" s="23">
        <v>286</v>
      </c>
      <c r="B288" s="24" t="s">
        <v>665</v>
      </c>
      <c r="C288" s="24" t="s">
        <v>666</v>
      </c>
      <c r="D288" s="24" t="s">
        <v>667</v>
      </c>
      <c r="E288" s="25">
        <v>197</v>
      </c>
      <c r="F288" s="25">
        <v>20</v>
      </c>
      <c r="G288" s="25">
        <v>70</v>
      </c>
      <c r="H288" s="25"/>
      <c r="I288" s="25">
        <v>10</v>
      </c>
      <c r="J288" s="25"/>
      <c r="K288" s="25">
        <v>21</v>
      </c>
      <c r="L288" s="25">
        <v>223</v>
      </c>
      <c r="M288" s="25"/>
      <c r="N288" s="25">
        <v>60</v>
      </c>
      <c r="O288" s="25"/>
      <c r="P288" s="25">
        <v>170</v>
      </c>
      <c r="Q288" s="22">
        <f t="shared" si="4"/>
        <v>771</v>
      </c>
    </row>
    <row r="289" spans="1:17" ht="15.75" customHeight="1">
      <c r="A289" s="19">
        <v>287</v>
      </c>
      <c r="B289" s="20" t="s">
        <v>2476</v>
      </c>
      <c r="C289" s="20" t="s">
        <v>2477</v>
      </c>
      <c r="D289" s="20"/>
      <c r="E289" s="21"/>
      <c r="F289" s="21"/>
      <c r="G289" s="21"/>
      <c r="H289" s="21"/>
      <c r="I289" s="21"/>
      <c r="J289" s="21"/>
      <c r="K289" s="21"/>
      <c r="L289" s="21"/>
      <c r="M289" s="21"/>
      <c r="N289" s="21">
        <v>4</v>
      </c>
      <c r="O289" s="21">
        <v>10</v>
      </c>
      <c r="P289" s="21"/>
      <c r="Q289" s="22">
        <f t="shared" si="4"/>
        <v>14</v>
      </c>
    </row>
    <row r="290" spans="1:17" ht="15.75" customHeight="1">
      <c r="A290" s="23">
        <v>288</v>
      </c>
      <c r="B290" s="24" t="s">
        <v>675</v>
      </c>
      <c r="C290" s="24" t="s">
        <v>370</v>
      </c>
      <c r="D290" s="24" t="s">
        <v>676</v>
      </c>
      <c r="E290" s="25">
        <v>262</v>
      </c>
      <c r="F290" s="25">
        <v>50</v>
      </c>
      <c r="G290" s="25">
        <v>30</v>
      </c>
      <c r="H290" s="25"/>
      <c r="I290" s="25">
        <v>20</v>
      </c>
      <c r="J290" s="25">
        <v>2</v>
      </c>
      <c r="K290" s="25">
        <v>80</v>
      </c>
      <c r="L290" s="25">
        <v>15</v>
      </c>
      <c r="M290" s="25">
        <v>1030</v>
      </c>
      <c r="N290" s="25">
        <v>14</v>
      </c>
      <c r="O290" s="25"/>
      <c r="P290" s="25">
        <v>4004</v>
      </c>
      <c r="Q290" s="22">
        <f t="shared" si="4"/>
        <v>5507</v>
      </c>
    </row>
    <row r="291" spans="1:17" ht="15.75" customHeight="1">
      <c r="A291" s="19">
        <v>289</v>
      </c>
      <c r="B291" s="20" t="s">
        <v>677</v>
      </c>
      <c r="C291" s="20" t="s">
        <v>678</v>
      </c>
      <c r="D291" s="20" t="s">
        <v>679</v>
      </c>
      <c r="E291" s="21">
        <v>80</v>
      </c>
      <c r="F291" s="21">
        <v>20</v>
      </c>
      <c r="G291" s="21">
        <v>20</v>
      </c>
      <c r="H291" s="21">
        <v>30</v>
      </c>
      <c r="I291" s="21"/>
      <c r="J291" s="21">
        <v>100</v>
      </c>
      <c r="K291" s="21">
        <v>110</v>
      </c>
      <c r="L291" s="21">
        <v>150</v>
      </c>
      <c r="M291" s="21">
        <v>20</v>
      </c>
      <c r="N291" s="21">
        <v>50</v>
      </c>
      <c r="O291" s="21">
        <v>70</v>
      </c>
      <c r="P291" s="21">
        <v>250</v>
      </c>
      <c r="Q291" s="22">
        <f t="shared" si="4"/>
        <v>900</v>
      </c>
    </row>
    <row r="292" spans="1:17" ht="15.75" customHeight="1">
      <c r="A292" s="23">
        <v>290</v>
      </c>
      <c r="B292" s="24" t="s">
        <v>2478</v>
      </c>
      <c r="C292" s="24" t="s">
        <v>2479</v>
      </c>
      <c r="D292" s="24"/>
      <c r="E292" s="25"/>
      <c r="F292" s="25"/>
      <c r="G292" s="25"/>
      <c r="H292" s="25"/>
      <c r="I292" s="25">
        <v>4</v>
      </c>
      <c r="J292" s="25"/>
      <c r="K292" s="25"/>
      <c r="L292" s="25"/>
      <c r="M292" s="25"/>
      <c r="N292" s="25"/>
      <c r="O292" s="25"/>
      <c r="P292" s="25"/>
      <c r="Q292" s="22">
        <f t="shared" si="4"/>
        <v>4</v>
      </c>
    </row>
    <row r="293" spans="1:17" ht="15.75" customHeight="1">
      <c r="A293" s="19">
        <v>291</v>
      </c>
      <c r="B293" s="20" t="s">
        <v>2480</v>
      </c>
      <c r="C293" s="20" t="s">
        <v>2481</v>
      </c>
      <c r="D293" s="20"/>
      <c r="E293" s="21"/>
      <c r="F293" s="21"/>
      <c r="G293" s="21"/>
      <c r="H293" s="21"/>
      <c r="I293" s="21">
        <v>3</v>
      </c>
      <c r="J293" s="21"/>
      <c r="K293" s="21"/>
      <c r="L293" s="21"/>
      <c r="M293" s="21"/>
      <c r="N293" s="21"/>
      <c r="O293" s="21"/>
      <c r="P293" s="21"/>
      <c r="Q293" s="22">
        <f t="shared" si="4"/>
        <v>3</v>
      </c>
    </row>
    <row r="294" spans="1:17" ht="15.75" customHeight="1">
      <c r="A294" s="23">
        <v>292</v>
      </c>
      <c r="B294" s="24" t="s">
        <v>2482</v>
      </c>
      <c r="C294" s="24" t="s">
        <v>2483</v>
      </c>
      <c r="D294" s="24"/>
      <c r="E294" s="25"/>
      <c r="F294" s="25"/>
      <c r="G294" s="25"/>
      <c r="H294" s="25"/>
      <c r="I294" s="25"/>
      <c r="J294" s="25"/>
      <c r="K294" s="25"/>
      <c r="L294" s="25"/>
      <c r="M294" s="25"/>
      <c r="N294" s="25">
        <v>100</v>
      </c>
      <c r="O294" s="25"/>
      <c r="P294" s="25"/>
      <c r="Q294" s="22">
        <f t="shared" si="4"/>
        <v>100</v>
      </c>
    </row>
    <row r="295" spans="1:17" ht="15.75" customHeight="1">
      <c r="A295" s="19">
        <v>293</v>
      </c>
      <c r="B295" s="20" t="s">
        <v>680</v>
      </c>
      <c r="C295" s="20" t="s">
        <v>681</v>
      </c>
      <c r="D295" s="20" t="s">
        <v>682</v>
      </c>
      <c r="E295" s="21">
        <v>50</v>
      </c>
      <c r="F295" s="21"/>
      <c r="G295" s="21">
        <v>115</v>
      </c>
      <c r="H295" s="21">
        <v>60</v>
      </c>
      <c r="I295" s="21">
        <v>42</v>
      </c>
      <c r="J295" s="21">
        <v>100</v>
      </c>
      <c r="K295" s="21">
        <v>770</v>
      </c>
      <c r="L295" s="21">
        <v>46</v>
      </c>
      <c r="M295" s="21">
        <v>28</v>
      </c>
      <c r="N295" s="21">
        <v>39</v>
      </c>
      <c r="O295" s="21">
        <v>48</v>
      </c>
      <c r="P295" s="21">
        <v>2</v>
      </c>
      <c r="Q295" s="22">
        <f t="shared" si="4"/>
        <v>1300</v>
      </c>
    </row>
    <row r="296" spans="1:17" ht="15.75" customHeight="1">
      <c r="A296" s="23">
        <v>294</v>
      </c>
      <c r="B296" s="24" t="s">
        <v>683</v>
      </c>
      <c r="C296" s="24" t="s">
        <v>684</v>
      </c>
      <c r="D296" s="24" t="s">
        <v>685</v>
      </c>
      <c r="E296" s="25">
        <v>34</v>
      </c>
      <c r="F296" s="25">
        <v>362</v>
      </c>
      <c r="G296" s="25">
        <v>101</v>
      </c>
      <c r="H296" s="25">
        <v>340</v>
      </c>
      <c r="I296" s="25">
        <v>20</v>
      </c>
      <c r="J296" s="25">
        <v>359</v>
      </c>
      <c r="K296" s="25">
        <v>285</v>
      </c>
      <c r="L296" s="25">
        <v>1250</v>
      </c>
      <c r="M296" s="25">
        <v>41</v>
      </c>
      <c r="N296" s="25"/>
      <c r="O296" s="25">
        <v>50</v>
      </c>
      <c r="P296" s="25">
        <v>580</v>
      </c>
      <c r="Q296" s="22">
        <f t="shared" si="4"/>
        <v>3422</v>
      </c>
    </row>
    <row r="297" spans="1:17" ht="15.75" customHeight="1">
      <c r="A297" s="19">
        <v>295</v>
      </c>
      <c r="B297" s="20" t="s">
        <v>2484</v>
      </c>
      <c r="C297" s="20" t="s">
        <v>2485</v>
      </c>
      <c r="D297" s="20"/>
      <c r="E297" s="21"/>
      <c r="F297" s="21"/>
      <c r="G297" s="21"/>
      <c r="H297" s="21"/>
      <c r="I297" s="21"/>
      <c r="J297" s="21">
        <v>50</v>
      </c>
      <c r="K297" s="21"/>
      <c r="L297" s="21"/>
      <c r="M297" s="21"/>
      <c r="N297" s="21"/>
      <c r="O297" s="21"/>
      <c r="P297" s="21"/>
      <c r="Q297" s="22">
        <f t="shared" si="4"/>
        <v>50</v>
      </c>
    </row>
    <row r="298" spans="1:17" ht="15.75" customHeight="1">
      <c r="A298" s="23">
        <v>296</v>
      </c>
      <c r="B298" s="24" t="s">
        <v>689</v>
      </c>
      <c r="C298" s="24" t="s">
        <v>351</v>
      </c>
      <c r="D298" s="24" t="s">
        <v>690</v>
      </c>
      <c r="E298" s="25">
        <v>432</v>
      </c>
      <c r="F298" s="25">
        <v>150</v>
      </c>
      <c r="G298" s="25">
        <v>100</v>
      </c>
      <c r="H298" s="25">
        <v>55</v>
      </c>
      <c r="I298" s="25">
        <v>1</v>
      </c>
      <c r="J298" s="25">
        <v>200</v>
      </c>
      <c r="K298" s="25">
        <v>485</v>
      </c>
      <c r="L298" s="25">
        <v>105</v>
      </c>
      <c r="M298" s="25">
        <v>77</v>
      </c>
      <c r="N298" s="25">
        <v>266</v>
      </c>
      <c r="O298" s="25">
        <v>160</v>
      </c>
      <c r="P298" s="25">
        <v>400</v>
      </c>
      <c r="Q298" s="22">
        <f t="shared" si="4"/>
        <v>2431</v>
      </c>
    </row>
    <row r="299" spans="1:17" ht="15.75" customHeight="1">
      <c r="A299" s="19">
        <v>297</v>
      </c>
      <c r="B299" s="20" t="s">
        <v>691</v>
      </c>
      <c r="C299" s="20" t="s">
        <v>692</v>
      </c>
      <c r="D299" s="20" t="s">
        <v>693</v>
      </c>
      <c r="E299" s="21">
        <v>73</v>
      </c>
      <c r="F299" s="21">
        <v>20</v>
      </c>
      <c r="G299" s="21">
        <v>70</v>
      </c>
      <c r="H299" s="21">
        <v>20</v>
      </c>
      <c r="I299" s="21"/>
      <c r="J299" s="21">
        <v>100</v>
      </c>
      <c r="K299" s="21">
        <v>107</v>
      </c>
      <c r="L299" s="21">
        <v>123</v>
      </c>
      <c r="M299" s="21">
        <v>32</v>
      </c>
      <c r="N299" s="21">
        <v>164</v>
      </c>
      <c r="O299" s="21">
        <v>10</v>
      </c>
      <c r="P299" s="21">
        <v>590</v>
      </c>
      <c r="Q299" s="22">
        <f t="shared" si="4"/>
        <v>1309</v>
      </c>
    </row>
    <row r="300" spans="1:17" ht="15.75" customHeight="1">
      <c r="A300" s="23">
        <v>298</v>
      </c>
      <c r="B300" s="24" t="s">
        <v>2486</v>
      </c>
      <c r="C300" s="24" t="s">
        <v>2487</v>
      </c>
      <c r="D300" s="24"/>
      <c r="E300" s="25"/>
      <c r="F300" s="25"/>
      <c r="G300" s="25"/>
      <c r="H300" s="25"/>
      <c r="I300" s="25">
        <v>22</v>
      </c>
      <c r="J300" s="25"/>
      <c r="K300" s="25"/>
      <c r="L300" s="25"/>
      <c r="M300" s="25"/>
      <c r="N300" s="25"/>
      <c r="O300" s="25"/>
      <c r="P300" s="25"/>
      <c r="Q300" s="22">
        <f t="shared" si="4"/>
        <v>22</v>
      </c>
    </row>
    <row r="301" spans="1:17" ht="15.75" customHeight="1">
      <c r="A301" s="19">
        <v>299</v>
      </c>
      <c r="B301" s="20" t="s">
        <v>694</v>
      </c>
      <c r="C301" s="20" t="s">
        <v>357</v>
      </c>
      <c r="D301" s="20" t="s">
        <v>695</v>
      </c>
      <c r="E301" s="21">
        <v>150</v>
      </c>
      <c r="F301" s="21">
        <v>50</v>
      </c>
      <c r="G301" s="21">
        <v>91</v>
      </c>
      <c r="H301" s="21"/>
      <c r="I301" s="21">
        <v>1</v>
      </c>
      <c r="J301" s="21">
        <v>160</v>
      </c>
      <c r="K301" s="21">
        <v>130</v>
      </c>
      <c r="L301" s="21">
        <v>39</v>
      </c>
      <c r="M301" s="21">
        <v>40</v>
      </c>
      <c r="N301" s="21">
        <v>343</v>
      </c>
      <c r="O301" s="21">
        <v>91</v>
      </c>
      <c r="P301" s="21">
        <v>404</v>
      </c>
      <c r="Q301" s="22">
        <f t="shared" si="4"/>
        <v>1499</v>
      </c>
    </row>
    <row r="302" spans="1:17" ht="15.75" customHeight="1">
      <c r="A302" s="23">
        <v>300</v>
      </c>
      <c r="B302" s="24" t="s">
        <v>696</v>
      </c>
      <c r="C302" s="24" t="s">
        <v>697</v>
      </c>
      <c r="D302" s="24" t="s">
        <v>698</v>
      </c>
      <c r="E302" s="25">
        <v>10</v>
      </c>
      <c r="F302" s="25">
        <v>20</v>
      </c>
      <c r="G302" s="25">
        <v>15</v>
      </c>
      <c r="H302" s="25"/>
      <c r="I302" s="25"/>
      <c r="J302" s="25">
        <v>100</v>
      </c>
      <c r="K302" s="25">
        <v>20</v>
      </c>
      <c r="L302" s="25">
        <v>30</v>
      </c>
      <c r="M302" s="25">
        <v>40</v>
      </c>
      <c r="N302" s="25">
        <v>48</v>
      </c>
      <c r="O302" s="25"/>
      <c r="P302" s="25">
        <v>2050</v>
      </c>
      <c r="Q302" s="22">
        <f t="shared" si="4"/>
        <v>2333</v>
      </c>
    </row>
    <row r="303" spans="1:17" ht="15.75" customHeight="1">
      <c r="A303" s="19">
        <v>301</v>
      </c>
      <c r="B303" s="20" t="s">
        <v>2488</v>
      </c>
      <c r="C303" s="20" t="s">
        <v>2489</v>
      </c>
      <c r="D303" s="20"/>
      <c r="E303" s="21"/>
      <c r="F303" s="21"/>
      <c r="G303" s="21"/>
      <c r="H303" s="21"/>
      <c r="I303" s="21">
        <v>9</v>
      </c>
      <c r="J303" s="21"/>
      <c r="K303" s="21"/>
      <c r="L303" s="21"/>
      <c r="M303" s="21"/>
      <c r="N303" s="21"/>
      <c r="O303" s="21"/>
      <c r="P303" s="21"/>
      <c r="Q303" s="22">
        <f t="shared" si="4"/>
        <v>9</v>
      </c>
    </row>
    <row r="304" spans="1:17" ht="15.75" customHeight="1">
      <c r="A304" s="23">
        <v>302</v>
      </c>
      <c r="B304" s="24" t="s">
        <v>2490</v>
      </c>
      <c r="C304" s="24" t="s">
        <v>2491</v>
      </c>
      <c r="D304" s="24"/>
      <c r="E304" s="25"/>
      <c r="F304" s="25"/>
      <c r="G304" s="25"/>
      <c r="H304" s="25"/>
      <c r="I304" s="25"/>
      <c r="J304" s="25"/>
      <c r="K304" s="25"/>
      <c r="L304" s="25"/>
      <c r="M304" s="25"/>
      <c r="N304" s="25">
        <v>70</v>
      </c>
      <c r="O304" s="25"/>
      <c r="P304" s="25">
        <v>29</v>
      </c>
      <c r="Q304" s="22">
        <f t="shared" si="4"/>
        <v>99</v>
      </c>
    </row>
    <row r="305" spans="1:17" ht="15.75" customHeight="1">
      <c r="A305" s="19">
        <v>303</v>
      </c>
      <c r="B305" s="20" t="s">
        <v>699</v>
      </c>
      <c r="C305" s="20" t="s">
        <v>700</v>
      </c>
      <c r="D305" s="20" t="s">
        <v>701</v>
      </c>
      <c r="E305" s="21">
        <v>25</v>
      </c>
      <c r="F305" s="21">
        <v>340</v>
      </c>
      <c r="G305" s="21">
        <v>70</v>
      </c>
      <c r="H305" s="21">
        <v>200</v>
      </c>
      <c r="I305" s="21">
        <v>204</v>
      </c>
      <c r="J305" s="21"/>
      <c r="K305" s="21">
        <v>260</v>
      </c>
      <c r="L305" s="21">
        <v>454</v>
      </c>
      <c r="M305" s="21">
        <v>2</v>
      </c>
      <c r="N305" s="21">
        <v>355</v>
      </c>
      <c r="O305" s="21">
        <v>241</v>
      </c>
      <c r="P305" s="21">
        <v>4100</v>
      </c>
      <c r="Q305" s="22">
        <f t="shared" si="4"/>
        <v>6251</v>
      </c>
    </row>
    <row r="306" spans="1:17" ht="15.75" customHeight="1">
      <c r="A306" s="23">
        <v>304</v>
      </c>
      <c r="B306" s="24" t="s">
        <v>702</v>
      </c>
      <c r="C306" s="24" t="s">
        <v>703</v>
      </c>
      <c r="D306" s="24" t="s">
        <v>704</v>
      </c>
      <c r="E306" s="25">
        <v>68</v>
      </c>
      <c r="F306" s="25"/>
      <c r="G306" s="25">
        <v>16</v>
      </c>
      <c r="H306" s="25">
        <v>50</v>
      </c>
      <c r="I306" s="25"/>
      <c r="J306" s="25"/>
      <c r="K306" s="25">
        <v>30</v>
      </c>
      <c r="L306" s="25">
        <v>150</v>
      </c>
      <c r="M306" s="25">
        <v>58</v>
      </c>
      <c r="N306" s="25"/>
      <c r="O306" s="25">
        <v>18</v>
      </c>
      <c r="P306" s="25">
        <v>120</v>
      </c>
      <c r="Q306" s="22">
        <f t="shared" si="4"/>
        <v>510</v>
      </c>
    </row>
    <row r="307" spans="1:17" ht="15.75" customHeight="1">
      <c r="A307" s="19">
        <v>305</v>
      </c>
      <c r="B307" s="20" t="s">
        <v>705</v>
      </c>
      <c r="C307" s="20" t="s">
        <v>480</v>
      </c>
      <c r="D307" s="20" t="s">
        <v>706</v>
      </c>
      <c r="E307" s="21">
        <v>90</v>
      </c>
      <c r="F307" s="21">
        <v>5</v>
      </c>
      <c r="G307" s="21">
        <v>1</v>
      </c>
      <c r="H307" s="21">
        <v>24</v>
      </c>
      <c r="I307" s="21">
        <v>4</v>
      </c>
      <c r="J307" s="21">
        <v>52</v>
      </c>
      <c r="K307" s="21">
        <v>36</v>
      </c>
      <c r="L307" s="21">
        <v>49</v>
      </c>
      <c r="M307" s="21">
        <v>12</v>
      </c>
      <c r="N307" s="21">
        <v>300</v>
      </c>
      <c r="O307" s="21">
        <v>95</v>
      </c>
      <c r="P307" s="21"/>
      <c r="Q307" s="22">
        <f t="shared" si="4"/>
        <v>668</v>
      </c>
    </row>
    <row r="308" spans="1:17" ht="15.75" customHeight="1">
      <c r="A308" s="23">
        <v>306</v>
      </c>
      <c r="B308" s="24" t="s">
        <v>707</v>
      </c>
      <c r="C308" s="24" t="s">
        <v>708</v>
      </c>
      <c r="D308" s="24" t="s">
        <v>709</v>
      </c>
      <c r="E308" s="25"/>
      <c r="F308" s="25">
        <v>110</v>
      </c>
      <c r="G308" s="25"/>
      <c r="H308" s="25"/>
      <c r="I308" s="25"/>
      <c r="J308" s="25"/>
      <c r="K308" s="25">
        <v>20</v>
      </c>
      <c r="L308" s="25">
        <v>40</v>
      </c>
      <c r="M308" s="25"/>
      <c r="N308" s="25"/>
      <c r="O308" s="25"/>
      <c r="P308" s="25"/>
      <c r="Q308" s="22">
        <f t="shared" si="4"/>
        <v>170</v>
      </c>
    </row>
    <row r="309" spans="1:17" ht="15.75" customHeight="1">
      <c r="A309" s="19">
        <v>307</v>
      </c>
      <c r="B309" s="20" t="s">
        <v>710</v>
      </c>
      <c r="C309" s="20" t="s">
        <v>711</v>
      </c>
      <c r="D309" s="20" t="s">
        <v>712</v>
      </c>
      <c r="E309" s="21"/>
      <c r="F309" s="21"/>
      <c r="G309" s="21"/>
      <c r="H309" s="21">
        <v>18</v>
      </c>
      <c r="I309" s="21">
        <v>22</v>
      </c>
      <c r="J309" s="21">
        <v>10</v>
      </c>
      <c r="K309" s="21"/>
      <c r="L309" s="21">
        <v>6</v>
      </c>
      <c r="M309" s="21"/>
      <c r="N309" s="21">
        <v>222</v>
      </c>
      <c r="O309" s="21"/>
      <c r="P309" s="21"/>
      <c r="Q309" s="22">
        <f t="shared" si="4"/>
        <v>278</v>
      </c>
    </row>
    <row r="310" spans="1:17" ht="15.75" customHeight="1">
      <c r="A310" s="23">
        <v>308</v>
      </c>
      <c r="B310" s="24" t="s">
        <v>713</v>
      </c>
      <c r="C310" s="24" t="s">
        <v>714</v>
      </c>
      <c r="D310" s="24" t="s">
        <v>715</v>
      </c>
      <c r="E310" s="25"/>
      <c r="F310" s="25"/>
      <c r="G310" s="25"/>
      <c r="H310" s="25"/>
      <c r="I310" s="25"/>
      <c r="J310" s="25"/>
      <c r="K310" s="25"/>
      <c r="L310" s="25"/>
      <c r="M310" s="25"/>
      <c r="N310" s="25">
        <v>56</v>
      </c>
      <c r="O310" s="25">
        <v>8</v>
      </c>
      <c r="P310" s="25"/>
      <c r="Q310" s="22">
        <f t="shared" si="4"/>
        <v>64</v>
      </c>
    </row>
    <row r="311" spans="1:17" ht="15.75" customHeight="1">
      <c r="A311" s="19">
        <v>309</v>
      </c>
      <c r="B311" s="20" t="s">
        <v>2492</v>
      </c>
      <c r="C311" s="20" t="s">
        <v>2493</v>
      </c>
      <c r="D311" s="20"/>
      <c r="E311" s="21"/>
      <c r="F311" s="21"/>
      <c r="G311" s="21"/>
      <c r="H311" s="21"/>
      <c r="I311" s="21"/>
      <c r="J311" s="21">
        <v>60</v>
      </c>
      <c r="K311" s="21">
        <v>30</v>
      </c>
      <c r="L311" s="21"/>
      <c r="M311" s="21">
        <v>120</v>
      </c>
      <c r="N311" s="21"/>
      <c r="O311" s="21"/>
      <c r="P311" s="21"/>
      <c r="Q311" s="22">
        <f t="shared" si="4"/>
        <v>210</v>
      </c>
    </row>
    <row r="312" spans="1:17" ht="15.75" customHeight="1">
      <c r="A312" s="23">
        <v>310</v>
      </c>
      <c r="B312" s="24" t="s">
        <v>719</v>
      </c>
      <c r="C312" s="24" t="s">
        <v>720</v>
      </c>
      <c r="D312" s="24" t="s">
        <v>721</v>
      </c>
      <c r="E312" s="25">
        <v>50</v>
      </c>
      <c r="F312" s="25"/>
      <c r="G312" s="25">
        <v>76</v>
      </c>
      <c r="H312" s="25">
        <v>92</v>
      </c>
      <c r="I312" s="25">
        <v>20</v>
      </c>
      <c r="J312" s="25">
        <v>20</v>
      </c>
      <c r="K312" s="25"/>
      <c r="L312" s="25">
        <v>24</v>
      </c>
      <c r="M312" s="25">
        <v>15</v>
      </c>
      <c r="N312" s="25">
        <v>2</v>
      </c>
      <c r="O312" s="25">
        <v>73</v>
      </c>
      <c r="P312" s="25">
        <v>12</v>
      </c>
      <c r="Q312" s="22">
        <f t="shared" si="4"/>
        <v>384</v>
      </c>
    </row>
    <row r="313" spans="1:17" ht="15.75" customHeight="1">
      <c r="A313" s="19">
        <v>311</v>
      </c>
      <c r="B313" s="20" t="s">
        <v>722</v>
      </c>
      <c r="C313" s="20" t="s">
        <v>723</v>
      </c>
      <c r="D313" s="20" t="s">
        <v>724</v>
      </c>
      <c r="E313" s="21"/>
      <c r="F313" s="21">
        <v>15</v>
      </c>
      <c r="G313" s="21">
        <v>140</v>
      </c>
      <c r="H313" s="21"/>
      <c r="I313" s="21">
        <v>315</v>
      </c>
      <c r="J313" s="21"/>
      <c r="K313" s="21">
        <v>50</v>
      </c>
      <c r="L313" s="21">
        <v>26</v>
      </c>
      <c r="M313" s="21">
        <v>30</v>
      </c>
      <c r="N313" s="21">
        <v>674</v>
      </c>
      <c r="O313" s="21">
        <v>54</v>
      </c>
      <c r="P313" s="21"/>
      <c r="Q313" s="22">
        <f t="shared" si="4"/>
        <v>1304</v>
      </c>
    </row>
    <row r="314" spans="1:17" ht="15.75" customHeight="1">
      <c r="A314" s="23">
        <v>312</v>
      </c>
      <c r="B314" s="24" t="s">
        <v>725</v>
      </c>
      <c r="C314" s="24" t="s">
        <v>726</v>
      </c>
      <c r="D314" s="24" t="s">
        <v>727</v>
      </c>
      <c r="E314" s="25">
        <v>32</v>
      </c>
      <c r="F314" s="25"/>
      <c r="G314" s="25">
        <v>2</v>
      </c>
      <c r="H314" s="25"/>
      <c r="I314" s="25"/>
      <c r="J314" s="25"/>
      <c r="K314" s="25">
        <v>10</v>
      </c>
      <c r="L314" s="25">
        <v>41</v>
      </c>
      <c r="M314" s="25"/>
      <c r="N314" s="25">
        <v>100</v>
      </c>
      <c r="O314" s="25"/>
      <c r="P314" s="25"/>
      <c r="Q314" s="22">
        <f t="shared" si="4"/>
        <v>185</v>
      </c>
    </row>
    <row r="315" spans="1:17" ht="15.75" customHeight="1">
      <c r="A315" s="19">
        <v>313</v>
      </c>
      <c r="B315" s="20" t="s">
        <v>728</v>
      </c>
      <c r="C315" s="20" t="s">
        <v>729</v>
      </c>
      <c r="D315" s="20" t="s">
        <v>730</v>
      </c>
      <c r="E315" s="21"/>
      <c r="F315" s="21"/>
      <c r="G315" s="21"/>
      <c r="H315" s="21"/>
      <c r="I315" s="21"/>
      <c r="J315" s="21"/>
      <c r="K315" s="21"/>
      <c r="L315" s="21">
        <v>30</v>
      </c>
      <c r="M315" s="21">
        <v>50</v>
      </c>
      <c r="N315" s="21"/>
      <c r="O315" s="21">
        <v>4</v>
      </c>
      <c r="P315" s="21"/>
      <c r="Q315" s="22">
        <f t="shared" si="4"/>
        <v>84</v>
      </c>
    </row>
    <row r="316" spans="1:17" ht="15.75" customHeight="1">
      <c r="A316" s="23">
        <v>314</v>
      </c>
      <c r="B316" s="24" t="s">
        <v>731</v>
      </c>
      <c r="C316" s="24" t="s">
        <v>732</v>
      </c>
      <c r="D316" s="24" t="s">
        <v>733</v>
      </c>
      <c r="E316" s="25">
        <v>10</v>
      </c>
      <c r="F316" s="25"/>
      <c r="G316" s="25"/>
      <c r="H316" s="25"/>
      <c r="I316" s="25"/>
      <c r="J316" s="25"/>
      <c r="K316" s="25"/>
      <c r="L316" s="25">
        <v>5</v>
      </c>
      <c r="M316" s="25"/>
      <c r="N316" s="25"/>
      <c r="O316" s="25"/>
      <c r="P316" s="25"/>
      <c r="Q316" s="22">
        <f t="shared" si="4"/>
        <v>15</v>
      </c>
    </row>
    <row r="317" spans="1:17" ht="15.75" customHeight="1">
      <c r="A317" s="19">
        <v>315</v>
      </c>
      <c r="B317" s="20" t="s">
        <v>737</v>
      </c>
      <c r="C317" s="20" t="s">
        <v>738</v>
      </c>
      <c r="D317" s="20" t="s">
        <v>739</v>
      </c>
      <c r="E317" s="21"/>
      <c r="F317" s="21"/>
      <c r="G317" s="21"/>
      <c r="H317" s="21"/>
      <c r="I317" s="21"/>
      <c r="J317" s="21"/>
      <c r="K317" s="21"/>
      <c r="L317" s="21">
        <v>10</v>
      </c>
      <c r="M317" s="21"/>
      <c r="N317" s="21">
        <v>200</v>
      </c>
      <c r="O317" s="21"/>
      <c r="P317" s="21"/>
      <c r="Q317" s="22">
        <f t="shared" si="4"/>
        <v>210</v>
      </c>
    </row>
    <row r="318" spans="1:17" ht="15.75" customHeight="1">
      <c r="A318" s="23">
        <v>316</v>
      </c>
      <c r="B318" s="24" t="s">
        <v>740</v>
      </c>
      <c r="C318" s="24" t="s">
        <v>741</v>
      </c>
      <c r="D318" s="24" t="s">
        <v>742</v>
      </c>
      <c r="E318" s="25">
        <v>20</v>
      </c>
      <c r="F318" s="25"/>
      <c r="G318" s="25">
        <v>2</v>
      </c>
      <c r="H318" s="25">
        <v>54</v>
      </c>
      <c r="I318" s="25">
        <v>8</v>
      </c>
      <c r="J318" s="25"/>
      <c r="K318" s="25">
        <v>20</v>
      </c>
      <c r="L318" s="25">
        <v>4</v>
      </c>
      <c r="M318" s="25">
        <v>10</v>
      </c>
      <c r="N318" s="25">
        <v>80</v>
      </c>
      <c r="O318" s="25"/>
      <c r="P318" s="25"/>
      <c r="Q318" s="22">
        <f t="shared" si="4"/>
        <v>198</v>
      </c>
    </row>
    <row r="319" spans="1:17" ht="15.75" customHeight="1">
      <c r="A319" s="19">
        <v>317</v>
      </c>
      <c r="B319" s="20" t="s">
        <v>2494</v>
      </c>
      <c r="C319" s="20" t="s">
        <v>2495</v>
      </c>
      <c r="D319" s="20" t="s">
        <v>2496</v>
      </c>
      <c r="E319" s="21"/>
      <c r="F319" s="21"/>
      <c r="G319" s="21"/>
      <c r="H319" s="21"/>
      <c r="I319" s="21"/>
      <c r="J319" s="21"/>
      <c r="K319" s="21"/>
      <c r="L319" s="21"/>
      <c r="M319" s="21">
        <v>50</v>
      </c>
      <c r="N319" s="21"/>
      <c r="O319" s="21"/>
      <c r="P319" s="21"/>
      <c r="Q319" s="22">
        <f t="shared" si="4"/>
        <v>50</v>
      </c>
    </row>
    <row r="320" spans="1:17" ht="15.75" customHeight="1">
      <c r="A320" s="23">
        <v>318</v>
      </c>
      <c r="B320" s="24" t="s">
        <v>2497</v>
      </c>
      <c r="C320" s="24" t="s">
        <v>2498</v>
      </c>
      <c r="D320" s="24"/>
      <c r="E320" s="25"/>
      <c r="F320" s="25"/>
      <c r="G320" s="25"/>
      <c r="H320" s="25"/>
      <c r="I320" s="25"/>
      <c r="J320" s="25"/>
      <c r="K320" s="25">
        <v>50</v>
      </c>
      <c r="L320" s="25"/>
      <c r="M320" s="25"/>
      <c r="N320" s="25"/>
      <c r="O320" s="25"/>
      <c r="P320" s="25"/>
      <c r="Q320" s="22">
        <f t="shared" si="4"/>
        <v>50</v>
      </c>
    </row>
    <row r="321" spans="1:17" ht="15.75" customHeight="1">
      <c r="A321" s="19">
        <v>319</v>
      </c>
      <c r="B321" s="20" t="s">
        <v>743</v>
      </c>
      <c r="C321" s="20" t="s">
        <v>744</v>
      </c>
      <c r="D321" s="20" t="s">
        <v>745</v>
      </c>
      <c r="E321" s="21">
        <v>142</v>
      </c>
      <c r="F321" s="21"/>
      <c r="G321" s="21">
        <v>70</v>
      </c>
      <c r="H321" s="21">
        <v>9</v>
      </c>
      <c r="I321" s="21">
        <v>13</v>
      </c>
      <c r="J321" s="21">
        <v>4</v>
      </c>
      <c r="K321" s="21">
        <v>195</v>
      </c>
      <c r="L321" s="21">
        <v>120</v>
      </c>
      <c r="M321" s="21">
        <v>33</v>
      </c>
      <c r="N321" s="21">
        <v>142</v>
      </c>
      <c r="O321" s="21">
        <v>28</v>
      </c>
      <c r="P321" s="21">
        <v>484</v>
      </c>
      <c r="Q321" s="22">
        <f t="shared" si="4"/>
        <v>1240</v>
      </c>
    </row>
    <row r="322" spans="1:17" ht="15.75" customHeight="1">
      <c r="A322" s="23">
        <v>320</v>
      </c>
      <c r="B322" s="24" t="s">
        <v>746</v>
      </c>
      <c r="C322" s="24" t="s">
        <v>747</v>
      </c>
      <c r="D322" s="24" t="s">
        <v>748</v>
      </c>
      <c r="E322" s="25">
        <v>20</v>
      </c>
      <c r="F322" s="25"/>
      <c r="G322" s="25"/>
      <c r="H322" s="25"/>
      <c r="I322" s="25">
        <v>15</v>
      </c>
      <c r="J322" s="25"/>
      <c r="K322" s="25">
        <v>35</v>
      </c>
      <c r="L322" s="25">
        <v>23</v>
      </c>
      <c r="M322" s="25">
        <v>12</v>
      </c>
      <c r="N322" s="25">
        <v>30</v>
      </c>
      <c r="O322" s="25"/>
      <c r="P322" s="25"/>
      <c r="Q322" s="22">
        <f t="shared" si="4"/>
        <v>135</v>
      </c>
    </row>
    <row r="323" spans="1:17" ht="15.75" customHeight="1">
      <c r="A323" s="19">
        <v>321</v>
      </c>
      <c r="B323" s="20" t="s">
        <v>749</v>
      </c>
      <c r="C323" s="20" t="s">
        <v>430</v>
      </c>
      <c r="D323" s="20"/>
      <c r="E323" s="21"/>
      <c r="F323" s="21"/>
      <c r="G323" s="21"/>
      <c r="H323" s="21"/>
      <c r="I323" s="21"/>
      <c r="J323" s="21"/>
      <c r="K323" s="21"/>
      <c r="L323" s="21"/>
      <c r="M323" s="21"/>
      <c r="N323" s="21">
        <v>50</v>
      </c>
      <c r="O323" s="21"/>
      <c r="P323" s="21"/>
      <c r="Q323" s="22">
        <f t="shared" ref="Q323:Q386" si="5">SUM(E323:P323)</f>
        <v>50</v>
      </c>
    </row>
    <row r="324" spans="1:17" ht="15.75" customHeight="1">
      <c r="A324" s="23">
        <v>322</v>
      </c>
      <c r="B324" s="24" t="s">
        <v>2499</v>
      </c>
      <c r="C324" s="24" t="s">
        <v>2500</v>
      </c>
      <c r="D324" s="24"/>
      <c r="E324" s="25"/>
      <c r="F324" s="25"/>
      <c r="G324" s="25"/>
      <c r="H324" s="25"/>
      <c r="I324" s="25">
        <v>1</v>
      </c>
      <c r="J324" s="25">
        <v>10</v>
      </c>
      <c r="K324" s="25"/>
      <c r="L324" s="25"/>
      <c r="M324" s="25"/>
      <c r="N324" s="25"/>
      <c r="O324" s="25">
        <v>2</v>
      </c>
      <c r="P324" s="25"/>
      <c r="Q324" s="22">
        <f t="shared" si="5"/>
        <v>13</v>
      </c>
    </row>
    <row r="325" spans="1:17" ht="15.75" customHeight="1">
      <c r="A325" s="19">
        <v>323</v>
      </c>
      <c r="B325" s="20" t="s">
        <v>752</v>
      </c>
      <c r="C325" s="20" t="s">
        <v>753</v>
      </c>
      <c r="D325" s="20"/>
      <c r="E325" s="21"/>
      <c r="F325" s="21"/>
      <c r="G325" s="21"/>
      <c r="H325" s="21"/>
      <c r="I325" s="21">
        <v>1</v>
      </c>
      <c r="J325" s="21"/>
      <c r="K325" s="21"/>
      <c r="L325" s="21"/>
      <c r="M325" s="21"/>
      <c r="N325" s="21">
        <v>5</v>
      </c>
      <c r="O325" s="21"/>
      <c r="P325" s="21"/>
      <c r="Q325" s="22">
        <f t="shared" si="5"/>
        <v>6</v>
      </c>
    </row>
    <row r="326" spans="1:17" ht="15.75" customHeight="1">
      <c r="A326" s="23">
        <v>324</v>
      </c>
      <c r="B326" s="24" t="s">
        <v>754</v>
      </c>
      <c r="C326" s="24" t="s">
        <v>755</v>
      </c>
      <c r="D326" s="24"/>
      <c r="E326" s="25"/>
      <c r="F326" s="25"/>
      <c r="G326" s="25"/>
      <c r="H326" s="25"/>
      <c r="I326" s="25"/>
      <c r="J326" s="25"/>
      <c r="K326" s="25"/>
      <c r="L326" s="25">
        <v>32</v>
      </c>
      <c r="M326" s="25"/>
      <c r="N326" s="25">
        <v>2</v>
      </c>
      <c r="O326" s="25"/>
      <c r="P326" s="25"/>
      <c r="Q326" s="22">
        <f t="shared" si="5"/>
        <v>34</v>
      </c>
    </row>
    <row r="327" spans="1:17" ht="15.75" customHeight="1">
      <c r="A327" s="19">
        <v>325</v>
      </c>
      <c r="B327" s="20" t="s">
        <v>2501</v>
      </c>
      <c r="C327" s="20" t="s">
        <v>2502</v>
      </c>
      <c r="D327" s="20"/>
      <c r="E327" s="21"/>
      <c r="F327" s="21"/>
      <c r="G327" s="21"/>
      <c r="H327" s="21">
        <v>200</v>
      </c>
      <c r="I327" s="21"/>
      <c r="J327" s="21"/>
      <c r="K327" s="21"/>
      <c r="L327" s="21"/>
      <c r="M327" s="21"/>
      <c r="N327" s="21"/>
      <c r="O327" s="21"/>
      <c r="P327" s="21"/>
      <c r="Q327" s="22">
        <f t="shared" si="5"/>
        <v>200</v>
      </c>
    </row>
    <row r="328" spans="1:17" ht="15.75" customHeight="1">
      <c r="A328" s="23">
        <v>326</v>
      </c>
      <c r="B328" s="24" t="s">
        <v>759</v>
      </c>
      <c r="C328" s="24" t="s">
        <v>760</v>
      </c>
      <c r="D328" s="24" t="s">
        <v>761</v>
      </c>
      <c r="E328" s="25"/>
      <c r="F328" s="25"/>
      <c r="G328" s="25"/>
      <c r="H328" s="25">
        <v>8</v>
      </c>
      <c r="I328" s="25"/>
      <c r="J328" s="25"/>
      <c r="K328" s="25"/>
      <c r="L328" s="25"/>
      <c r="M328" s="25"/>
      <c r="N328" s="25"/>
      <c r="O328" s="25"/>
      <c r="P328" s="25"/>
      <c r="Q328" s="22">
        <f t="shared" si="5"/>
        <v>8</v>
      </c>
    </row>
    <row r="329" spans="1:17" ht="15.75" customHeight="1">
      <c r="A329" s="19">
        <v>327</v>
      </c>
      <c r="B329" s="20" t="s">
        <v>2503</v>
      </c>
      <c r="C329" s="20" t="s">
        <v>2504</v>
      </c>
      <c r="D329" s="20"/>
      <c r="E329" s="21"/>
      <c r="F329" s="21"/>
      <c r="G329" s="21"/>
      <c r="H329" s="21"/>
      <c r="I329" s="21"/>
      <c r="J329" s="21"/>
      <c r="K329" s="21">
        <v>5</v>
      </c>
      <c r="L329" s="21"/>
      <c r="M329" s="21"/>
      <c r="N329" s="21"/>
      <c r="O329" s="21"/>
      <c r="P329" s="21"/>
      <c r="Q329" s="22">
        <f t="shared" si="5"/>
        <v>5</v>
      </c>
    </row>
    <row r="330" spans="1:17" ht="15.75" customHeight="1">
      <c r="A330" s="23">
        <v>328</v>
      </c>
      <c r="B330" s="24" t="s">
        <v>2505</v>
      </c>
      <c r="C330" s="24" t="s">
        <v>2506</v>
      </c>
      <c r="D330" s="24"/>
      <c r="E330" s="25"/>
      <c r="F330" s="25"/>
      <c r="G330" s="25">
        <v>74</v>
      </c>
      <c r="H330" s="25"/>
      <c r="I330" s="25"/>
      <c r="J330" s="25"/>
      <c r="K330" s="25"/>
      <c r="L330" s="25"/>
      <c r="M330" s="25"/>
      <c r="N330" s="25"/>
      <c r="O330" s="25"/>
      <c r="P330" s="25"/>
      <c r="Q330" s="22">
        <f t="shared" si="5"/>
        <v>74</v>
      </c>
    </row>
    <row r="331" spans="1:17" ht="15.75" customHeight="1">
      <c r="A331" s="19">
        <v>329</v>
      </c>
      <c r="B331" s="20" t="s">
        <v>2507</v>
      </c>
      <c r="C331" s="20" t="s">
        <v>2508</v>
      </c>
      <c r="D331" s="20"/>
      <c r="E331" s="21"/>
      <c r="F331" s="21"/>
      <c r="G331" s="21"/>
      <c r="H331" s="21"/>
      <c r="I331" s="21">
        <v>20</v>
      </c>
      <c r="J331" s="21">
        <v>200</v>
      </c>
      <c r="K331" s="21"/>
      <c r="L331" s="21"/>
      <c r="M331" s="21">
        <v>200</v>
      </c>
      <c r="N331" s="21">
        <v>200</v>
      </c>
      <c r="O331" s="21"/>
      <c r="P331" s="21"/>
      <c r="Q331" s="22">
        <f t="shared" si="5"/>
        <v>620</v>
      </c>
    </row>
    <row r="332" spans="1:17" ht="15.75" customHeight="1">
      <c r="A332" s="23">
        <v>330</v>
      </c>
      <c r="B332" s="24" t="s">
        <v>2509</v>
      </c>
      <c r="C332" s="24" t="s">
        <v>2510</v>
      </c>
      <c r="D332" s="24"/>
      <c r="E332" s="25"/>
      <c r="F332" s="25"/>
      <c r="G332" s="25"/>
      <c r="H332" s="25"/>
      <c r="I332" s="25"/>
      <c r="J332" s="25">
        <v>90</v>
      </c>
      <c r="K332" s="25"/>
      <c r="L332" s="25"/>
      <c r="M332" s="25"/>
      <c r="N332" s="25"/>
      <c r="O332" s="25"/>
      <c r="P332" s="25">
        <v>40</v>
      </c>
      <c r="Q332" s="22">
        <f t="shared" si="5"/>
        <v>130</v>
      </c>
    </row>
    <row r="333" spans="1:17" ht="15.75" customHeight="1">
      <c r="A333" s="19">
        <v>331</v>
      </c>
      <c r="B333" s="20" t="s">
        <v>767</v>
      </c>
      <c r="C333" s="20" t="s">
        <v>768</v>
      </c>
      <c r="D333" s="20"/>
      <c r="E333" s="21"/>
      <c r="F333" s="21"/>
      <c r="G333" s="21"/>
      <c r="H333" s="21">
        <v>45</v>
      </c>
      <c r="I333" s="21"/>
      <c r="J333" s="21">
        <v>140</v>
      </c>
      <c r="K333" s="21"/>
      <c r="L333" s="21">
        <v>110</v>
      </c>
      <c r="M333" s="21">
        <v>103</v>
      </c>
      <c r="N333" s="21">
        <v>31</v>
      </c>
      <c r="O333" s="21"/>
      <c r="P333" s="21">
        <v>30</v>
      </c>
      <c r="Q333" s="22">
        <f t="shared" si="5"/>
        <v>459</v>
      </c>
    </row>
    <row r="334" spans="1:17" ht="15.75" customHeight="1">
      <c r="A334" s="23">
        <v>332</v>
      </c>
      <c r="B334" s="24" t="s">
        <v>769</v>
      </c>
      <c r="C334" s="24" t="s">
        <v>770</v>
      </c>
      <c r="D334" s="24" t="s">
        <v>771</v>
      </c>
      <c r="E334" s="25"/>
      <c r="F334" s="25"/>
      <c r="G334" s="25"/>
      <c r="H334" s="25"/>
      <c r="I334" s="25"/>
      <c r="J334" s="25"/>
      <c r="K334" s="25"/>
      <c r="L334" s="25"/>
      <c r="M334" s="25"/>
      <c r="N334" s="25">
        <v>3</v>
      </c>
      <c r="O334" s="25"/>
      <c r="P334" s="25"/>
      <c r="Q334" s="22">
        <f t="shared" si="5"/>
        <v>3</v>
      </c>
    </row>
    <row r="335" spans="1:17" ht="15.75" customHeight="1">
      <c r="A335" s="19">
        <v>333</v>
      </c>
      <c r="B335" s="20" t="s">
        <v>772</v>
      </c>
      <c r="C335" s="20" t="s">
        <v>773</v>
      </c>
      <c r="D335" s="20" t="s">
        <v>774</v>
      </c>
      <c r="E335" s="21"/>
      <c r="F335" s="21">
        <v>5</v>
      </c>
      <c r="G335" s="21">
        <v>132</v>
      </c>
      <c r="H335" s="21">
        <v>10</v>
      </c>
      <c r="I335" s="21"/>
      <c r="J335" s="21">
        <v>31</v>
      </c>
      <c r="K335" s="21">
        <v>100</v>
      </c>
      <c r="L335" s="21"/>
      <c r="M335" s="21">
        <v>7</v>
      </c>
      <c r="N335" s="21">
        <v>52</v>
      </c>
      <c r="O335" s="21">
        <v>30</v>
      </c>
      <c r="P335" s="21"/>
      <c r="Q335" s="22">
        <f t="shared" si="5"/>
        <v>367</v>
      </c>
    </row>
    <row r="336" spans="1:17" ht="15.75" customHeight="1">
      <c r="A336" s="23">
        <v>334</v>
      </c>
      <c r="B336" s="24" t="s">
        <v>775</v>
      </c>
      <c r="C336" s="24" t="s">
        <v>776</v>
      </c>
      <c r="D336" s="24" t="s">
        <v>777</v>
      </c>
      <c r="E336" s="25">
        <v>70</v>
      </c>
      <c r="F336" s="25">
        <v>250</v>
      </c>
      <c r="G336" s="25">
        <v>120</v>
      </c>
      <c r="H336" s="25">
        <v>100</v>
      </c>
      <c r="I336" s="25">
        <v>53</v>
      </c>
      <c r="J336" s="25">
        <v>264</v>
      </c>
      <c r="K336" s="25">
        <v>250</v>
      </c>
      <c r="L336" s="25">
        <v>62</v>
      </c>
      <c r="M336" s="25">
        <v>169</v>
      </c>
      <c r="N336" s="25">
        <v>352</v>
      </c>
      <c r="O336" s="25">
        <v>194</v>
      </c>
      <c r="P336" s="25">
        <v>34</v>
      </c>
      <c r="Q336" s="22">
        <f t="shared" si="5"/>
        <v>1918</v>
      </c>
    </row>
    <row r="337" spans="1:17" ht="15.75" customHeight="1">
      <c r="A337" s="19">
        <v>335</v>
      </c>
      <c r="B337" s="20" t="s">
        <v>778</v>
      </c>
      <c r="C337" s="20" t="s">
        <v>779</v>
      </c>
      <c r="D337" s="20" t="s">
        <v>780</v>
      </c>
      <c r="E337" s="21">
        <v>15</v>
      </c>
      <c r="F337" s="21">
        <v>24</v>
      </c>
      <c r="G337" s="21">
        <v>5</v>
      </c>
      <c r="H337" s="21"/>
      <c r="I337" s="21">
        <v>100</v>
      </c>
      <c r="J337" s="21">
        <v>273</v>
      </c>
      <c r="K337" s="21">
        <v>436</v>
      </c>
      <c r="L337" s="21">
        <v>530</v>
      </c>
      <c r="M337" s="21">
        <v>61</v>
      </c>
      <c r="N337" s="21">
        <v>120</v>
      </c>
      <c r="O337" s="21">
        <v>260</v>
      </c>
      <c r="P337" s="21">
        <v>300</v>
      </c>
      <c r="Q337" s="22">
        <f t="shared" si="5"/>
        <v>2124</v>
      </c>
    </row>
    <row r="338" spans="1:17" ht="15.75" customHeight="1">
      <c r="A338" s="23">
        <v>336</v>
      </c>
      <c r="B338" s="24" t="s">
        <v>790</v>
      </c>
      <c r="C338" s="24" t="s">
        <v>791</v>
      </c>
      <c r="D338" s="24"/>
      <c r="E338" s="25"/>
      <c r="F338" s="25"/>
      <c r="G338" s="25"/>
      <c r="H338" s="25">
        <v>10</v>
      </c>
      <c r="I338" s="25"/>
      <c r="J338" s="25"/>
      <c r="K338" s="25"/>
      <c r="L338" s="25"/>
      <c r="M338" s="25">
        <v>50</v>
      </c>
      <c r="N338" s="25">
        <v>20</v>
      </c>
      <c r="O338" s="25"/>
      <c r="P338" s="25">
        <v>90</v>
      </c>
      <c r="Q338" s="22">
        <f t="shared" si="5"/>
        <v>170</v>
      </c>
    </row>
    <row r="339" spans="1:17" ht="15.75" customHeight="1">
      <c r="A339" s="19">
        <v>337</v>
      </c>
      <c r="B339" s="20" t="s">
        <v>795</v>
      </c>
      <c r="C339" s="20" t="s">
        <v>796</v>
      </c>
      <c r="D339" s="20" t="s">
        <v>797</v>
      </c>
      <c r="E339" s="21"/>
      <c r="F339" s="21"/>
      <c r="G339" s="21"/>
      <c r="H339" s="21"/>
      <c r="I339" s="21"/>
      <c r="J339" s="21">
        <v>1</v>
      </c>
      <c r="K339" s="21">
        <v>3</v>
      </c>
      <c r="L339" s="21"/>
      <c r="M339" s="21">
        <v>2</v>
      </c>
      <c r="N339" s="21">
        <v>30</v>
      </c>
      <c r="O339" s="21"/>
      <c r="P339" s="21"/>
      <c r="Q339" s="22">
        <f t="shared" si="5"/>
        <v>36</v>
      </c>
    </row>
    <row r="340" spans="1:17" ht="15.75" customHeight="1">
      <c r="A340" s="23">
        <v>338</v>
      </c>
      <c r="B340" s="24" t="s">
        <v>798</v>
      </c>
      <c r="C340" s="24" t="s">
        <v>799</v>
      </c>
      <c r="D340" s="24" t="s">
        <v>800</v>
      </c>
      <c r="E340" s="25">
        <v>50</v>
      </c>
      <c r="F340" s="25"/>
      <c r="G340" s="25">
        <v>102</v>
      </c>
      <c r="H340" s="25"/>
      <c r="I340" s="25">
        <v>53</v>
      </c>
      <c r="J340" s="25">
        <v>162</v>
      </c>
      <c r="K340" s="25">
        <v>150</v>
      </c>
      <c r="L340" s="25">
        <v>24</v>
      </c>
      <c r="M340" s="25">
        <v>196</v>
      </c>
      <c r="N340" s="25">
        <v>154</v>
      </c>
      <c r="O340" s="25">
        <v>151</v>
      </c>
      <c r="P340" s="25">
        <v>38</v>
      </c>
      <c r="Q340" s="22">
        <f t="shared" si="5"/>
        <v>1080</v>
      </c>
    </row>
    <row r="341" spans="1:17" ht="15.75" customHeight="1">
      <c r="A341" s="19">
        <v>339</v>
      </c>
      <c r="B341" s="20" t="s">
        <v>801</v>
      </c>
      <c r="C341" s="20" t="s">
        <v>802</v>
      </c>
      <c r="D341" s="20" t="s">
        <v>803</v>
      </c>
      <c r="E341" s="21">
        <v>2</v>
      </c>
      <c r="F341" s="21">
        <v>20</v>
      </c>
      <c r="G341" s="21">
        <v>805</v>
      </c>
      <c r="H341" s="21">
        <v>50</v>
      </c>
      <c r="I341" s="21">
        <v>56</v>
      </c>
      <c r="J341" s="21">
        <v>160</v>
      </c>
      <c r="K341" s="21">
        <v>441</v>
      </c>
      <c r="L341" s="21">
        <v>270</v>
      </c>
      <c r="M341" s="21">
        <v>50</v>
      </c>
      <c r="N341" s="21">
        <v>350</v>
      </c>
      <c r="O341" s="21">
        <v>271</v>
      </c>
      <c r="P341" s="21">
        <v>110</v>
      </c>
      <c r="Q341" s="22">
        <f t="shared" si="5"/>
        <v>2585</v>
      </c>
    </row>
    <row r="342" spans="1:17" ht="15.75" customHeight="1">
      <c r="A342" s="23">
        <v>340</v>
      </c>
      <c r="B342" s="24" t="s">
        <v>804</v>
      </c>
      <c r="C342" s="24" t="s">
        <v>805</v>
      </c>
      <c r="D342" s="24" t="s">
        <v>806</v>
      </c>
      <c r="E342" s="25"/>
      <c r="F342" s="25"/>
      <c r="G342" s="25"/>
      <c r="H342" s="25"/>
      <c r="I342" s="25"/>
      <c r="J342" s="25">
        <v>50</v>
      </c>
      <c r="K342" s="25"/>
      <c r="L342" s="25"/>
      <c r="M342" s="25"/>
      <c r="N342" s="25">
        <v>100</v>
      </c>
      <c r="O342" s="25"/>
      <c r="P342" s="25"/>
      <c r="Q342" s="22">
        <f t="shared" si="5"/>
        <v>150</v>
      </c>
    </row>
    <row r="343" spans="1:17" ht="15.75" customHeight="1">
      <c r="A343" s="19">
        <v>341</v>
      </c>
      <c r="B343" s="20" t="s">
        <v>807</v>
      </c>
      <c r="C343" s="20" t="s">
        <v>808</v>
      </c>
      <c r="D343" s="20" t="s">
        <v>809</v>
      </c>
      <c r="E343" s="21"/>
      <c r="F343" s="21">
        <v>300</v>
      </c>
      <c r="G343" s="21"/>
      <c r="H343" s="21"/>
      <c r="I343" s="21">
        <v>30</v>
      </c>
      <c r="J343" s="21"/>
      <c r="K343" s="21"/>
      <c r="L343" s="21"/>
      <c r="M343" s="21"/>
      <c r="N343" s="21"/>
      <c r="O343" s="21"/>
      <c r="P343" s="21"/>
      <c r="Q343" s="22">
        <f t="shared" si="5"/>
        <v>330</v>
      </c>
    </row>
    <row r="344" spans="1:17" ht="15.75" customHeight="1">
      <c r="A344" s="23">
        <v>342</v>
      </c>
      <c r="B344" s="24" t="s">
        <v>810</v>
      </c>
      <c r="C344" s="24" t="s">
        <v>811</v>
      </c>
      <c r="D344" s="24" t="s">
        <v>812</v>
      </c>
      <c r="E344" s="25">
        <v>50</v>
      </c>
      <c r="F344" s="25">
        <v>100</v>
      </c>
      <c r="G344" s="25">
        <v>5</v>
      </c>
      <c r="H344" s="25"/>
      <c r="I344" s="25">
        <v>20</v>
      </c>
      <c r="J344" s="25">
        <v>14</v>
      </c>
      <c r="K344" s="25">
        <v>10</v>
      </c>
      <c r="L344" s="25"/>
      <c r="M344" s="25"/>
      <c r="N344" s="25">
        <v>149</v>
      </c>
      <c r="O344" s="25"/>
      <c r="P344" s="25"/>
      <c r="Q344" s="22">
        <f t="shared" si="5"/>
        <v>348</v>
      </c>
    </row>
    <row r="345" spans="1:17" ht="15.75" customHeight="1">
      <c r="A345" s="19">
        <v>343</v>
      </c>
      <c r="B345" s="20" t="s">
        <v>813</v>
      </c>
      <c r="C345" s="20" t="s">
        <v>814</v>
      </c>
      <c r="D345" s="20" t="s">
        <v>815</v>
      </c>
      <c r="E345" s="21">
        <v>13</v>
      </c>
      <c r="F345" s="21"/>
      <c r="G345" s="21"/>
      <c r="H345" s="21"/>
      <c r="I345" s="21">
        <v>153</v>
      </c>
      <c r="J345" s="21">
        <v>50</v>
      </c>
      <c r="K345" s="21">
        <v>1</v>
      </c>
      <c r="L345" s="21"/>
      <c r="M345" s="21">
        <v>16</v>
      </c>
      <c r="N345" s="21"/>
      <c r="O345" s="21">
        <v>2</v>
      </c>
      <c r="P345" s="21">
        <v>40</v>
      </c>
      <c r="Q345" s="22">
        <f t="shared" si="5"/>
        <v>275</v>
      </c>
    </row>
    <row r="346" spans="1:17" ht="15.75" customHeight="1">
      <c r="A346" s="23">
        <v>344</v>
      </c>
      <c r="B346" s="24" t="s">
        <v>2511</v>
      </c>
      <c r="C346" s="24" t="s">
        <v>2512</v>
      </c>
      <c r="D346" s="24"/>
      <c r="E346" s="25"/>
      <c r="F346" s="25"/>
      <c r="G346" s="25">
        <v>5</v>
      </c>
      <c r="H346" s="25"/>
      <c r="I346" s="25"/>
      <c r="J346" s="25"/>
      <c r="K346" s="25"/>
      <c r="L346" s="25"/>
      <c r="M346" s="25">
        <v>20</v>
      </c>
      <c r="N346" s="25"/>
      <c r="O346" s="25"/>
      <c r="P346" s="25"/>
      <c r="Q346" s="22">
        <f t="shared" si="5"/>
        <v>25</v>
      </c>
    </row>
    <row r="347" spans="1:17" ht="15.75" customHeight="1">
      <c r="A347" s="19">
        <v>345</v>
      </c>
      <c r="B347" s="20" t="s">
        <v>2513</v>
      </c>
      <c r="C347" s="20" t="s">
        <v>2514</v>
      </c>
      <c r="D347" s="20" t="s">
        <v>2515</v>
      </c>
      <c r="E347" s="21"/>
      <c r="F347" s="21"/>
      <c r="G347" s="21"/>
      <c r="H347" s="21">
        <v>2</v>
      </c>
      <c r="I347" s="21"/>
      <c r="J347" s="21"/>
      <c r="K347" s="21"/>
      <c r="L347" s="21"/>
      <c r="M347" s="21"/>
      <c r="N347" s="21"/>
      <c r="O347" s="21"/>
      <c r="P347" s="21"/>
      <c r="Q347" s="22">
        <f t="shared" si="5"/>
        <v>2</v>
      </c>
    </row>
    <row r="348" spans="1:17" ht="15.75" customHeight="1">
      <c r="A348" s="23">
        <v>346</v>
      </c>
      <c r="B348" s="24" t="s">
        <v>816</v>
      </c>
      <c r="C348" s="24" t="s">
        <v>817</v>
      </c>
      <c r="D348" s="24" t="s">
        <v>818</v>
      </c>
      <c r="E348" s="25"/>
      <c r="F348" s="25"/>
      <c r="G348" s="25">
        <v>1</v>
      </c>
      <c r="H348" s="25">
        <v>1</v>
      </c>
      <c r="I348" s="25"/>
      <c r="J348" s="25"/>
      <c r="K348" s="25">
        <v>5</v>
      </c>
      <c r="L348" s="25"/>
      <c r="M348" s="25"/>
      <c r="N348" s="25"/>
      <c r="O348" s="25"/>
      <c r="P348" s="25">
        <v>2</v>
      </c>
      <c r="Q348" s="22">
        <f t="shared" si="5"/>
        <v>9</v>
      </c>
    </row>
    <row r="349" spans="1:17" ht="15.75" customHeight="1">
      <c r="A349" s="19">
        <v>347</v>
      </c>
      <c r="B349" s="20" t="s">
        <v>819</v>
      </c>
      <c r="C349" s="20" t="s">
        <v>820</v>
      </c>
      <c r="D349" s="20" t="s">
        <v>821</v>
      </c>
      <c r="E349" s="21">
        <v>62</v>
      </c>
      <c r="F349" s="21">
        <v>27</v>
      </c>
      <c r="G349" s="21">
        <v>325</v>
      </c>
      <c r="H349" s="21"/>
      <c r="I349" s="21"/>
      <c r="J349" s="21">
        <v>225</v>
      </c>
      <c r="K349" s="21">
        <v>134</v>
      </c>
      <c r="L349" s="21">
        <v>128</v>
      </c>
      <c r="M349" s="21">
        <v>289</v>
      </c>
      <c r="N349" s="21">
        <v>2</v>
      </c>
      <c r="O349" s="21">
        <v>175</v>
      </c>
      <c r="P349" s="21">
        <v>39</v>
      </c>
      <c r="Q349" s="22">
        <f t="shared" si="5"/>
        <v>1406</v>
      </c>
    </row>
    <row r="350" spans="1:17" ht="15.75" customHeight="1">
      <c r="A350" s="23">
        <v>348</v>
      </c>
      <c r="B350" s="24" t="s">
        <v>822</v>
      </c>
      <c r="C350" s="24" t="s">
        <v>823</v>
      </c>
      <c r="D350" s="24" t="s">
        <v>824</v>
      </c>
      <c r="E350" s="25">
        <v>330</v>
      </c>
      <c r="F350" s="25">
        <v>68</v>
      </c>
      <c r="G350" s="25">
        <v>550</v>
      </c>
      <c r="H350" s="25"/>
      <c r="I350" s="25">
        <v>50</v>
      </c>
      <c r="J350" s="25">
        <v>139</v>
      </c>
      <c r="K350" s="25">
        <v>608</v>
      </c>
      <c r="L350" s="25">
        <v>100</v>
      </c>
      <c r="M350" s="25">
        <v>110</v>
      </c>
      <c r="N350" s="25">
        <v>30</v>
      </c>
      <c r="O350" s="25">
        <v>323</v>
      </c>
      <c r="P350" s="25">
        <v>33</v>
      </c>
      <c r="Q350" s="22">
        <f t="shared" si="5"/>
        <v>2341</v>
      </c>
    </row>
    <row r="351" spans="1:17" ht="15.75" customHeight="1">
      <c r="A351" s="19">
        <v>349</v>
      </c>
      <c r="B351" s="20" t="s">
        <v>2516</v>
      </c>
      <c r="C351" s="20" t="s">
        <v>2517</v>
      </c>
      <c r="D351" s="20"/>
      <c r="E351" s="21"/>
      <c r="F351" s="21"/>
      <c r="G351" s="21"/>
      <c r="H351" s="21"/>
      <c r="I351" s="21"/>
      <c r="J351" s="21"/>
      <c r="K351" s="21"/>
      <c r="L351" s="21"/>
      <c r="M351" s="21">
        <v>20</v>
      </c>
      <c r="N351" s="21"/>
      <c r="O351" s="21"/>
      <c r="P351" s="21"/>
      <c r="Q351" s="22">
        <f t="shared" si="5"/>
        <v>20</v>
      </c>
    </row>
    <row r="352" spans="1:17" ht="15.75" customHeight="1">
      <c r="A352" s="23">
        <v>350</v>
      </c>
      <c r="B352" s="24" t="s">
        <v>831</v>
      </c>
      <c r="C352" s="24" t="s">
        <v>832</v>
      </c>
      <c r="D352" s="24" t="s">
        <v>833</v>
      </c>
      <c r="E352" s="25">
        <v>102</v>
      </c>
      <c r="F352" s="25">
        <v>2</v>
      </c>
      <c r="G352" s="25">
        <v>42</v>
      </c>
      <c r="H352" s="25"/>
      <c r="I352" s="25"/>
      <c r="J352" s="25"/>
      <c r="K352" s="25"/>
      <c r="L352" s="25">
        <v>43</v>
      </c>
      <c r="M352" s="25">
        <v>82</v>
      </c>
      <c r="N352" s="25">
        <v>50</v>
      </c>
      <c r="O352" s="25">
        <v>50</v>
      </c>
      <c r="P352" s="25">
        <v>30</v>
      </c>
      <c r="Q352" s="22">
        <f t="shared" si="5"/>
        <v>401</v>
      </c>
    </row>
    <row r="353" spans="1:17" ht="15.75" customHeight="1">
      <c r="A353" s="19">
        <v>351</v>
      </c>
      <c r="B353" s="20" t="s">
        <v>834</v>
      </c>
      <c r="C353" s="20" t="s">
        <v>835</v>
      </c>
      <c r="D353" s="20" t="s">
        <v>836</v>
      </c>
      <c r="E353" s="21"/>
      <c r="F353" s="21"/>
      <c r="G353" s="21"/>
      <c r="H353" s="21">
        <v>30</v>
      </c>
      <c r="I353" s="21">
        <v>50</v>
      </c>
      <c r="J353" s="21">
        <v>308</v>
      </c>
      <c r="K353" s="21">
        <v>40</v>
      </c>
      <c r="L353" s="21">
        <v>50</v>
      </c>
      <c r="M353" s="21"/>
      <c r="N353" s="21"/>
      <c r="O353" s="21"/>
      <c r="P353" s="21"/>
      <c r="Q353" s="22">
        <f t="shared" si="5"/>
        <v>478</v>
      </c>
    </row>
    <row r="354" spans="1:17" ht="15.75" customHeight="1">
      <c r="A354" s="23">
        <v>352</v>
      </c>
      <c r="B354" s="24" t="s">
        <v>2518</v>
      </c>
      <c r="C354" s="24" t="s">
        <v>2519</v>
      </c>
      <c r="D354" s="24"/>
      <c r="E354" s="25"/>
      <c r="F354" s="25"/>
      <c r="G354" s="25"/>
      <c r="H354" s="25"/>
      <c r="I354" s="25">
        <v>10</v>
      </c>
      <c r="J354" s="25"/>
      <c r="K354" s="25"/>
      <c r="L354" s="25"/>
      <c r="M354" s="25"/>
      <c r="N354" s="25">
        <v>90</v>
      </c>
      <c r="O354" s="25"/>
      <c r="P354" s="25"/>
      <c r="Q354" s="22">
        <f t="shared" si="5"/>
        <v>100</v>
      </c>
    </row>
    <row r="355" spans="1:17" ht="15.75" customHeight="1">
      <c r="A355" s="19">
        <v>353</v>
      </c>
      <c r="B355" s="20" t="s">
        <v>837</v>
      </c>
      <c r="C355" s="20" t="s">
        <v>838</v>
      </c>
      <c r="D355" s="20" t="s">
        <v>839</v>
      </c>
      <c r="E355" s="21"/>
      <c r="F355" s="21"/>
      <c r="G355" s="21">
        <v>20</v>
      </c>
      <c r="H355" s="21"/>
      <c r="I355" s="21">
        <v>20</v>
      </c>
      <c r="J355" s="21">
        <v>2</v>
      </c>
      <c r="K355" s="21">
        <v>8</v>
      </c>
      <c r="L355" s="21">
        <v>3</v>
      </c>
      <c r="M355" s="21"/>
      <c r="N355" s="21">
        <v>100</v>
      </c>
      <c r="O355" s="21"/>
      <c r="P355" s="21"/>
      <c r="Q355" s="22">
        <f t="shared" si="5"/>
        <v>153</v>
      </c>
    </row>
    <row r="356" spans="1:17" ht="15.75" customHeight="1">
      <c r="A356" s="23">
        <v>354</v>
      </c>
      <c r="B356" s="24" t="s">
        <v>840</v>
      </c>
      <c r="C356" s="24" t="s">
        <v>841</v>
      </c>
      <c r="D356" s="24" t="s">
        <v>842</v>
      </c>
      <c r="E356" s="25">
        <v>27</v>
      </c>
      <c r="F356" s="25"/>
      <c r="G356" s="25"/>
      <c r="H356" s="25"/>
      <c r="I356" s="25">
        <v>430</v>
      </c>
      <c r="J356" s="25"/>
      <c r="K356" s="25">
        <v>100</v>
      </c>
      <c r="L356" s="25">
        <v>560</v>
      </c>
      <c r="M356" s="25"/>
      <c r="N356" s="25">
        <v>50</v>
      </c>
      <c r="O356" s="25">
        <v>212</v>
      </c>
      <c r="P356" s="25">
        <v>40</v>
      </c>
      <c r="Q356" s="22">
        <f t="shared" si="5"/>
        <v>1419</v>
      </c>
    </row>
    <row r="357" spans="1:17" ht="15.75" customHeight="1">
      <c r="A357" s="19">
        <v>355</v>
      </c>
      <c r="B357" s="20" t="s">
        <v>2520</v>
      </c>
      <c r="C357" s="20" t="s">
        <v>2521</v>
      </c>
      <c r="D357" s="20"/>
      <c r="E357" s="21"/>
      <c r="F357" s="21"/>
      <c r="G357" s="21"/>
      <c r="H357" s="21">
        <v>10</v>
      </c>
      <c r="I357" s="21"/>
      <c r="J357" s="21"/>
      <c r="K357" s="21"/>
      <c r="L357" s="21"/>
      <c r="M357" s="21"/>
      <c r="N357" s="21"/>
      <c r="O357" s="21"/>
      <c r="P357" s="21"/>
      <c r="Q357" s="22">
        <f t="shared" si="5"/>
        <v>10</v>
      </c>
    </row>
    <row r="358" spans="1:17" ht="15.75" customHeight="1">
      <c r="A358" s="23">
        <v>356</v>
      </c>
      <c r="B358" s="24" t="s">
        <v>843</v>
      </c>
      <c r="C358" s="24" t="s">
        <v>844</v>
      </c>
      <c r="D358" s="24"/>
      <c r="E358" s="25"/>
      <c r="F358" s="25"/>
      <c r="G358" s="25">
        <v>2</v>
      </c>
      <c r="H358" s="25"/>
      <c r="I358" s="25"/>
      <c r="J358" s="25"/>
      <c r="K358" s="25"/>
      <c r="L358" s="25"/>
      <c r="M358" s="25"/>
      <c r="N358" s="25"/>
      <c r="O358" s="25"/>
      <c r="P358" s="25"/>
      <c r="Q358" s="22">
        <f t="shared" si="5"/>
        <v>2</v>
      </c>
    </row>
    <row r="359" spans="1:17" ht="15.75" customHeight="1">
      <c r="A359" s="19">
        <v>357</v>
      </c>
      <c r="B359" s="20" t="s">
        <v>2522</v>
      </c>
      <c r="C359" s="20" t="s">
        <v>1287</v>
      </c>
      <c r="D359" s="20" t="s">
        <v>2523</v>
      </c>
      <c r="E359" s="21"/>
      <c r="F359" s="21"/>
      <c r="G359" s="21"/>
      <c r="H359" s="21"/>
      <c r="I359" s="21">
        <v>4</v>
      </c>
      <c r="J359" s="21"/>
      <c r="K359" s="21"/>
      <c r="L359" s="21"/>
      <c r="M359" s="21">
        <v>30</v>
      </c>
      <c r="N359" s="21"/>
      <c r="O359" s="21"/>
      <c r="P359" s="21"/>
      <c r="Q359" s="22">
        <f t="shared" si="5"/>
        <v>34</v>
      </c>
    </row>
    <row r="360" spans="1:17" ht="15.75" customHeight="1">
      <c r="A360" s="23">
        <v>358</v>
      </c>
      <c r="B360" s="24" t="s">
        <v>845</v>
      </c>
      <c r="C360" s="24" t="s">
        <v>846</v>
      </c>
      <c r="D360" s="24" t="s">
        <v>847</v>
      </c>
      <c r="E360" s="25">
        <v>12</v>
      </c>
      <c r="F360" s="25">
        <v>7</v>
      </c>
      <c r="G360" s="25">
        <v>25</v>
      </c>
      <c r="H360" s="25">
        <v>5</v>
      </c>
      <c r="I360" s="25"/>
      <c r="J360" s="25">
        <v>15</v>
      </c>
      <c r="K360" s="25"/>
      <c r="L360" s="25">
        <v>30</v>
      </c>
      <c r="M360" s="25">
        <v>14</v>
      </c>
      <c r="N360" s="25"/>
      <c r="O360" s="25">
        <v>45</v>
      </c>
      <c r="P360" s="25"/>
      <c r="Q360" s="22">
        <f t="shared" si="5"/>
        <v>153</v>
      </c>
    </row>
    <row r="361" spans="1:17" ht="15.75" customHeight="1">
      <c r="A361" s="19">
        <v>359</v>
      </c>
      <c r="B361" s="20" t="s">
        <v>848</v>
      </c>
      <c r="C361" s="20" t="s">
        <v>849</v>
      </c>
      <c r="D361" s="20" t="s">
        <v>850</v>
      </c>
      <c r="E361" s="21">
        <v>37</v>
      </c>
      <c r="F361" s="21"/>
      <c r="G361" s="21"/>
      <c r="H361" s="21"/>
      <c r="I361" s="21"/>
      <c r="J361" s="21">
        <v>70</v>
      </c>
      <c r="K361" s="21"/>
      <c r="L361" s="21">
        <v>60</v>
      </c>
      <c r="M361" s="21">
        <v>60</v>
      </c>
      <c r="N361" s="21">
        <v>30</v>
      </c>
      <c r="O361" s="21">
        <v>1</v>
      </c>
      <c r="P361" s="21"/>
      <c r="Q361" s="22">
        <f t="shared" si="5"/>
        <v>258</v>
      </c>
    </row>
    <row r="362" spans="1:17" ht="15.75" customHeight="1">
      <c r="A362" s="23">
        <v>360</v>
      </c>
      <c r="B362" s="24" t="s">
        <v>851</v>
      </c>
      <c r="C362" s="24" t="s">
        <v>852</v>
      </c>
      <c r="D362" s="24" t="s">
        <v>853</v>
      </c>
      <c r="E362" s="25"/>
      <c r="F362" s="25"/>
      <c r="G362" s="25">
        <v>20</v>
      </c>
      <c r="H362" s="25">
        <v>44</v>
      </c>
      <c r="I362" s="25"/>
      <c r="J362" s="25"/>
      <c r="K362" s="25">
        <v>40</v>
      </c>
      <c r="L362" s="25"/>
      <c r="M362" s="25"/>
      <c r="N362" s="25"/>
      <c r="O362" s="25"/>
      <c r="P362" s="25"/>
      <c r="Q362" s="22">
        <f t="shared" si="5"/>
        <v>104</v>
      </c>
    </row>
    <row r="363" spans="1:17" ht="15.75" customHeight="1">
      <c r="A363" s="19">
        <v>361</v>
      </c>
      <c r="B363" s="20" t="s">
        <v>854</v>
      </c>
      <c r="C363" s="20" t="s">
        <v>855</v>
      </c>
      <c r="D363" s="20" t="s">
        <v>856</v>
      </c>
      <c r="E363" s="21"/>
      <c r="F363" s="21"/>
      <c r="G363" s="21"/>
      <c r="H363" s="21"/>
      <c r="I363" s="21"/>
      <c r="J363" s="21">
        <v>80</v>
      </c>
      <c r="K363" s="21"/>
      <c r="L363" s="21"/>
      <c r="M363" s="21"/>
      <c r="N363" s="21"/>
      <c r="O363" s="21"/>
      <c r="P363" s="21"/>
      <c r="Q363" s="22">
        <f t="shared" si="5"/>
        <v>80</v>
      </c>
    </row>
    <row r="364" spans="1:17" ht="15.75" customHeight="1">
      <c r="A364" s="23">
        <v>362</v>
      </c>
      <c r="B364" s="24" t="s">
        <v>857</v>
      </c>
      <c r="C364" s="24" t="s">
        <v>858</v>
      </c>
      <c r="D364" s="24"/>
      <c r="E364" s="25"/>
      <c r="F364" s="25"/>
      <c r="G364" s="25"/>
      <c r="H364" s="25">
        <v>2</v>
      </c>
      <c r="I364" s="25"/>
      <c r="J364" s="25">
        <v>100</v>
      </c>
      <c r="K364" s="25">
        <v>20</v>
      </c>
      <c r="L364" s="25"/>
      <c r="M364" s="25"/>
      <c r="N364" s="25"/>
      <c r="O364" s="25"/>
      <c r="P364" s="25">
        <v>8</v>
      </c>
      <c r="Q364" s="22">
        <f t="shared" si="5"/>
        <v>130</v>
      </c>
    </row>
    <row r="365" spans="1:17" ht="15.75" customHeight="1">
      <c r="A365" s="19">
        <v>363</v>
      </c>
      <c r="B365" s="20" t="s">
        <v>859</v>
      </c>
      <c r="C365" s="20" t="s">
        <v>860</v>
      </c>
      <c r="D365" s="20" t="s">
        <v>861</v>
      </c>
      <c r="E365" s="21">
        <v>200</v>
      </c>
      <c r="F365" s="21">
        <v>400</v>
      </c>
      <c r="G365" s="21">
        <v>250</v>
      </c>
      <c r="H365" s="21">
        <v>630</v>
      </c>
      <c r="I365" s="21">
        <v>200</v>
      </c>
      <c r="J365" s="21">
        <v>2862</v>
      </c>
      <c r="K365" s="21">
        <v>550</v>
      </c>
      <c r="L365" s="21">
        <v>100</v>
      </c>
      <c r="M365" s="21">
        <v>930</v>
      </c>
      <c r="N365" s="21">
        <v>50</v>
      </c>
      <c r="O365" s="21">
        <v>551</v>
      </c>
      <c r="P365" s="21">
        <v>825</v>
      </c>
      <c r="Q365" s="22">
        <f t="shared" si="5"/>
        <v>7548</v>
      </c>
    </row>
    <row r="366" spans="1:17" ht="15.75" customHeight="1">
      <c r="A366" s="23">
        <v>364</v>
      </c>
      <c r="B366" s="24" t="s">
        <v>862</v>
      </c>
      <c r="C366" s="24" t="s">
        <v>863</v>
      </c>
      <c r="D366" s="24" t="s">
        <v>864</v>
      </c>
      <c r="E366" s="25"/>
      <c r="F366" s="25">
        <v>5</v>
      </c>
      <c r="G366" s="25">
        <v>200</v>
      </c>
      <c r="H366" s="25"/>
      <c r="I366" s="25">
        <v>60</v>
      </c>
      <c r="J366" s="25">
        <v>12</v>
      </c>
      <c r="K366" s="25">
        <v>200</v>
      </c>
      <c r="L366" s="25"/>
      <c r="M366" s="25">
        <v>105</v>
      </c>
      <c r="N366" s="25">
        <v>30</v>
      </c>
      <c r="O366" s="25">
        <v>30</v>
      </c>
      <c r="P366" s="25"/>
      <c r="Q366" s="22">
        <f t="shared" si="5"/>
        <v>642</v>
      </c>
    </row>
    <row r="367" spans="1:17" ht="15.75" customHeight="1">
      <c r="A367" s="19">
        <v>365</v>
      </c>
      <c r="B367" s="20" t="s">
        <v>865</v>
      </c>
      <c r="C367" s="20" t="s">
        <v>866</v>
      </c>
      <c r="D367" s="20" t="s">
        <v>867</v>
      </c>
      <c r="E367" s="21">
        <v>154</v>
      </c>
      <c r="F367" s="21">
        <v>102</v>
      </c>
      <c r="G367" s="21">
        <v>51</v>
      </c>
      <c r="H367" s="21"/>
      <c r="I367" s="21">
        <v>20</v>
      </c>
      <c r="J367" s="21">
        <v>130</v>
      </c>
      <c r="K367" s="21">
        <v>200</v>
      </c>
      <c r="L367" s="21">
        <v>5</v>
      </c>
      <c r="M367" s="21">
        <v>2</v>
      </c>
      <c r="N367" s="21">
        <v>100</v>
      </c>
      <c r="O367" s="21">
        <v>20</v>
      </c>
      <c r="P367" s="21">
        <v>50</v>
      </c>
      <c r="Q367" s="22">
        <f t="shared" si="5"/>
        <v>834</v>
      </c>
    </row>
    <row r="368" spans="1:17" ht="15.75" customHeight="1">
      <c r="A368" s="23">
        <v>366</v>
      </c>
      <c r="B368" s="24" t="s">
        <v>868</v>
      </c>
      <c r="C368" s="24" t="s">
        <v>869</v>
      </c>
      <c r="D368" s="24" t="s">
        <v>870</v>
      </c>
      <c r="E368" s="25">
        <v>3107</v>
      </c>
      <c r="F368" s="25">
        <v>1290</v>
      </c>
      <c r="G368" s="25">
        <v>2362</v>
      </c>
      <c r="H368" s="25">
        <v>7753</v>
      </c>
      <c r="I368" s="25">
        <v>2103</v>
      </c>
      <c r="J368" s="25">
        <v>6385</v>
      </c>
      <c r="K368" s="25">
        <v>2120</v>
      </c>
      <c r="L368" s="25">
        <v>1520</v>
      </c>
      <c r="M368" s="25">
        <v>3200</v>
      </c>
      <c r="N368" s="25">
        <v>1124</v>
      </c>
      <c r="O368" s="25">
        <v>3850</v>
      </c>
      <c r="P368" s="25">
        <v>5550</v>
      </c>
      <c r="Q368" s="22">
        <f t="shared" si="5"/>
        <v>40364</v>
      </c>
    </row>
    <row r="369" spans="1:17" ht="15.75" customHeight="1">
      <c r="A369" s="19">
        <v>367</v>
      </c>
      <c r="B369" s="20" t="s">
        <v>871</v>
      </c>
      <c r="C369" s="20" t="s">
        <v>872</v>
      </c>
      <c r="D369" s="20" t="s">
        <v>873</v>
      </c>
      <c r="E369" s="21"/>
      <c r="F369" s="21"/>
      <c r="G369" s="21">
        <v>10</v>
      </c>
      <c r="H369" s="21"/>
      <c r="I369" s="21"/>
      <c r="J369" s="21"/>
      <c r="K369" s="21"/>
      <c r="L369" s="21">
        <v>30</v>
      </c>
      <c r="M369" s="21"/>
      <c r="N369" s="21">
        <v>8</v>
      </c>
      <c r="O369" s="21"/>
      <c r="P369" s="21"/>
      <c r="Q369" s="22">
        <f t="shared" si="5"/>
        <v>48</v>
      </c>
    </row>
    <row r="370" spans="1:17" ht="15.75" customHeight="1">
      <c r="A370" s="23">
        <v>368</v>
      </c>
      <c r="B370" s="24" t="s">
        <v>874</v>
      </c>
      <c r="C370" s="24" t="s">
        <v>875</v>
      </c>
      <c r="D370" s="24" t="s">
        <v>876</v>
      </c>
      <c r="E370" s="25"/>
      <c r="F370" s="25">
        <v>30</v>
      </c>
      <c r="G370" s="25"/>
      <c r="H370" s="25">
        <v>1</v>
      </c>
      <c r="I370" s="25">
        <v>3</v>
      </c>
      <c r="J370" s="25">
        <v>100</v>
      </c>
      <c r="K370" s="25"/>
      <c r="L370" s="25">
        <v>2</v>
      </c>
      <c r="M370" s="25">
        <v>50</v>
      </c>
      <c r="N370" s="25"/>
      <c r="O370" s="25">
        <v>1</v>
      </c>
      <c r="P370" s="25">
        <v>4</v>
      </c>
      <c r="Q370" s="22">
        <f t="shared" si="5"/>
        <v>191</v>
      </c>
    </row>
    <row r="371" spans="1:17" ht="15.75" customHeight="1">
      <c r="A371" s="19">
        <v>369</v>
      </c>
      <c r="B371" s="20" t="s">
        <v>877</v>
      </c>
      <c r="C371" s="20" t="s">
        <v>878</v>
      </c>
      <c r="D371" s="20" t="s">
        <v>879</v>
      </c>
      <c r="E371" s="21"/>
      <c r="F371" s="21"/>
      <c r="G371" s="21"/>
      <c r="H371" s="21"/>
      <c r="I371" s="21"/>
      <c r="J371" s="21"/>
      <c r="K371" s="21"/>
      <c r="L371" s="21">
        <v>5</v>
      </c>
      <c r="M371" s="21"/>
      <c r="N371" s="21"/>
      <c r="O371" s="21"/>
      <c r="P371" s="21"/>
      <c r="Q371" s="22">
        <f t="shared" si="5"/>
        <v>5</v>
      </c>
    </row>
    <row r="372" spans="1:17" ht="15.75" customHeight="1">
      <c r="A372" s="23">
        <v>370</v>
      </c>
      <c r="B372" s="24" t="s">
        <v>880</v>
      </c>
      <c r="C372" s="24" t="s">
        <v>881</v>
      </c>
      <c r="D372" s="24" t="s">
        <v>882</v>
      </c>
      <c r="E372" s="25"/>
      <c r="F372" s="25">
        <v>30</v>
      </c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2">
        <f t="shared" si="5"/>
        <v>30</v>
      </c>
    </row>
    <row r="373" spans="1:17" ht="15.75" customHeight="1">
      <c r="A373" s="19">
        <v>371</v>
      </c>
      <c r="B373" s="20" t="s">
        <v>883</v>
      </c>
      <c r="C373" s="20" t="s">
        <v>884</v>
      </c>
      <c r="D373" s="20" t="s">
        <v>885</v>
      </c>
      <c r="E373" s="21"/>
      <c r="F373" s="21"/>
      <c r="G373" s="21"/>
      <c r="H373" s="21"/>
      <c r="I373" s="21">
        <v>200</v>
      </c>
      <c r="J373" s="21"/>
      <c r="K373" s="21"/>
      <c r="L373" s="21"/>
      <c r="M373" s="21"/>
      <c r="N373" s="21"/>
      <c r="O373" s="21"/>
      <c r="P373" s="21"/>
      <c r="Q373" s="22">
        <f t="shared" si="5"/>
        <v>200</v>
      </c>
    </row>
    <row r="374" spans="1:17" ht="15.75" customHeight="1">
      <c r="A374" s="23">
        <v>372</v>
      </c>
      <c r="B374" s="24" t="s">
        <v>886</v>
      </c>
      <c r="C374" s="24" t="s">
        <v>887</v>
      </c>
      <c r="D374" s="24" t="s">
        <v>888</v>
      </c>
      <c r="E374" s="25"/>
      <c r="F374" s="25"/>
      <c r="G374" s="25"/>
      <c r="H374" s="25"/>
      <c r="I374" s="25"/>
      <c r="J374" s="25"/>
      <c r="K374" s="25"/>
      <c r="L374" s="25"/>
      <c r="M374" s="25"/>
      <c r="N374" s="25">
        <v>2</v>
      </c>
      <c r="O374" s="25"/>
      <c r="P374" s="25"/>
      <c r="Q374" s="22">
        <f t="shared" si="5"/>
        <v>2</v>
      </c>
    </row>
    <row r="375" spans="1:17" ht="15.75" customHeight="1">
      <c r="A375" s="19">
        <v>373</v>
      </c>
      <c r="B375" s="20" t="s">
        <v>889</v>
      </c>
      <c r="C375" s="20" t="s">
        <v>890</v>
      </c>
      <c r="D375" s="20" t="s">
        <v>891</v>
      </c>
      <c r="E375" s="21"/>
      <c r="F375" s="21"/>
      <c r="G375" s="21"/>
      <c r="H375" s="21"/>
      <c r="I375" s="21"/>
      <c r="J375" s="21"/>
      <c r="K375" s="21"/>
      <c r="L375" s="21"/>
      <c r="M375" s="21">
        <v>50</v>
      </c>
      <c r="N375" s="21"/>
      <c r="O375" s="21"/>
      <c r="P375" s="21"/>
      <c r="Q375" s="22">
        <f t="shared" si="5"/>
        <v>50</v>
      </c>
    </row>
    <row r="376" spans="1:17" ht="15.75" customHeight="1">
      <c r="A376" s="23">
        <v>374</v>
      </c>
      <c r="B376" s="24" t="s">
        <v>2524</v>
      </c>
      <c r="C376" s="24" t="s">
        <v>2525</v>
      </c>
      <c r="D376" s="24"/>
      <c r="E376" s="25">
        <v>55</v>
      </c>
      <c r="F376" s="25"/>
      <c r="G376" s="25"/>
      <c r="H376" s="25">
        <v>30</v>
      </c>
      <c r="I376" s="25">
        <v>4</v>
      </c>
      <c r="J376" s="25">
        <v>16</v>
      </c>
      <c r="K376" s="25"/>
      <c r="L376" s="25">
        <v>10</v>
      </c>
      <c r="M376" s="25">
        <v>130</v>
      </c>
      <c r="N376" s="25"/>
      <c r="O376" s="25"/>
      <c r="P376" s="25">
        <v>56</v>
      </c>
      <c r="Q376" s="22">
        <f t="shared" si="5"/>
        <v>301</v>
      </c>
    </row>
    <row r="377" spans="1:17" ht="15.75" customHeight="1">
      <c r="A377" s="19">
        <v>375</v>
      </c>
      <c r="B377" s="20" t="s">
        <v>2526</v>
      </c>
      <c r="C377" s="20" t="s">
        <v>2527</v>
      </c>
      <c r="D377" s="20" t="s">
        <v>2528</v>
      </c>
      <c r="E377" s="21"/>
      <c r="F377" s="21"/>
      <c r="G377" s="21"/>
      <c r="H377" s="21"/>
      <c r="I377" s="21">
        <v>2</v>
      </c>
      <c r="J377" s="21"/>
      <c r="K377" s="21"/>
      <c r="L377" s="21"/>
      <c r="M377" s="21"/>
      <c r="N377" s="21"/>
      <c r="O377" s="21"/>
      <c r="P377" s="21"/>
      <c r="Q377" s="22">
        <f t="shared" si="5"/>
        <v>2</v>
      </c>
    </row>
    <row r="378" spans="1:17" ht="15.75" customHeight="1">
      <c r="A378" s="23">
        <v>376</v>
      </c>
      <c r="B378" s="24" t="s">
        <v>892</v>
      </c>
      <c r="C378" s="24" t="s">
        <v>893</v>
      </c>
      <c r="D378" s="24" t="s">
        <v>894</v>
      </c>
      <c r="E378" s="25"/>
      <c r="F378" s="25"/>
      <c r="G378" s="25">
        <v>30</v>
      </c>
      <c r="H378" s="25"/>
      <c r="I378" s="25"/>
      <c r="J378" s="25">
        <v>1</v>
      </c>
      <c r="K378" s="25">
        <v>3</v>
      </c>
      <c r="L378" s="25"/>
      <c r="M378" s="25"/>
      <c r="N378" s="25">
        <v>20</v>
      </c>
      <c r="O378" s="25"/>
      <c r="P378" s="25"/>
      <c r="Q378" s="22">
        <f t="shared" si="5"/>
        <v>54</v>
      </c>
    </row>
    <row r="379" spans="1:17" ht="15.75" customHeight="1">
      <c r="A379" s="19">
        <v>377</v>
      </c>
      <c r="B379" s="20" t="s">
        <v>895</v>
      </c>
      <c r="C379" s="20" t="s">
        <v>896</v>
      </c>
      <c r="D379" s="20" t="s">
        <v>897</v>
      </c>
      <c r="E379" s="21">
        <v>140</v>
      </c>
      <c r="F379" s="21">
        <v>20</v>
      </c>
      <c r="G379" s="21">
        <v>22</v>
      </c>
      <c r="H379" s="21"/>
      <c r="I379" s="21">
        <v>206</v>
      </c>
      <c r="J379" s="21"/>
      <c r="K379" s="21">
        <v>20</v>
      </c>
      <c r="L379" s="21">
        <v>6</v>
      </c>
      <c r="M379" s="21">
        <v>82</v>
      </c>
      <c r="N379" s="21">
        <v>100</v>
      </c>
      <c r="O379" s="21">
        <v>50</v>
      </c>
      <c r="P379" s="21"/>
      <c r="Q379" s="22">
        <f t="shared" si="5"/>
        <v>646</v>
      </c>
    </row>
    <row r="380" spans="1:17" ht="15.75" customHeight="1">
      <c r="A380" s="23">
        <v>378</v>
      </c>
      <c r="B380" s="24" t="s">
        <v>898</v>
      </c>
      <c r="C380" s="24" t="s">
        <v>899</v>
      </c>
      <c r="D380" s="24" t="s">
        <v>900</v>
      </c>
      <c r="E380" s="25">
        <v>8</v>
      </c>
      <c r="F380" s="25">
        <v>20</v>
      </c>
      <c r="G380" s="25">
        <v>35</v>
      </c>
      <c r="H380" s="25">
        <v>270</v>
      </c>
      <c r="I380" s="25">
        <v>30</v>
      </c>
      <c r="J380" s="25">
        <v>10</v>
      </c>
      <c r="K380" s="25">
        <v>86</v>
      </c>
      <c r="L380" s="25">
        <v>20</v>
      </c>
      <c r="M380" s="25">
        <v>170</v>
      </c>
      <c r="N380" s="25">
        <v>527</v>
      </c>
      <c r="O380" s="25">
        <v>310</v>
      </c>
      <c r="P380" s="25">
        <v>100</v>
      </c>
      <c r="Q380" s="22">
        <f t="shared" si="5"/>
        <v>1586</v>
      </c>
    </row>
    <row r="381" spans="1:17" ht="15.75" customHeight="1">
      <c r="A381" s="19">
        <v>379</v>
      </c>
      <c r="B381" s="20" t="s">
        <v>901</v>
      </c>
      <c r="C381" s="20" t="s">
        <v>902</v>
      </c>
      <c r="D381" s="20" t="s">
        <v>812</v>
      </c>
      <c r="E381" s="21"/>
      <c r="F381" s="21"/>
      <c r="G381" s="21"/>
      <c r="H381" s="21"/>
      <c r="I381" s="21"/>
      <c r="J381" s="21"/>
      <c r="K381" s="21"/>
      <c r="L381" s="21"/>
      <c r="M381" s="21"/>
      <c r="N381" s="21">
        <v>3</v>
      </c>
      <c r="O381" s="21"/>
      <c r="P381" s="21"/>
      <c r="Q381" s="22">
        <f t="shared" si="5"/>
        <v>3</v>
      </c>
    </row>
    <row r="382" spans="1:17" ht="15.75" customHeight="1">
      <c r="A382" s="23">
        <v>380</v>
      </c>
      <c r="B382" s="24" t="s">
        <v>2529</v>
      </c>
      <c r="C382" s="24" t="s">
        <v>2530</v>
      </c>
      <c r="D382" s="24"/>
      <c r="E382" s="25"/>
      <c r="F382" s="25"/>
      <c r="G382" s="25"/>
      <c r="H382" s="25"/>
      <c r="I382" s="25"/>
      <c r="J382" s="25"/>
      <c r="K382" s="25"/>
      <c r="L382" s="25"/>
      <c r="M382" s="25">
        <v>28</v>
      </c>
      <c r="N382" s="25"/>
      <c r="O382" s="25"/>
      <c r="P382" s="25"/>
      <c r="Q382" s="22">
        <f t="shared" si="5"/>
        <v>28</v>
      </c>
    </row>
    <row r="383" spans="1:17" ht="15.75" customHeight="1">
      <c r="A383" s="19">
        <v>381</v>
      </c>
      <c r="B383" s="20" t="s">
        <v>903</v>
      </c>
      <c r="C383" s="20" t="s">
        <v>904</v>
      </c>
      <c r="D383" s="20" t="s">
        <v>905</v>
      </c>
      <c r="E383" s="21">
        <v>32</v>
      </c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2">
        <f t="shared" si="5"/>
        <v>32</v>
      </c>
    </row>
    <row r="384" spans="1:17" ht="15.75" customHeight="1">
      <c r="A384" s="23">
        <v>382</v>
      </c>
      <c r="B384" s="24" t="s">
        <v>2531</v>
      </c>
      <c r="C384" s="24" t="s">
        <v>2532</v>
      </c>
      <c r="D384" s="24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>
        <v>20</v>
      </c>
      <c r="Q384" s="22">
        <f t="shared" si="5"/>
        <v>20</v>
      </c>
    </row>
    <row r="385" spans="1:17" ht="15.75" customHeight="1">
      <c r="A385" s="19">
        <v>383</v>
      </c>
      <c r="B385" s="20" t="s">
        <v>906</v>
      </c>
      <c r="C385" s="20" t="s">
        <v>907</v>
      </c>
      <c r="D385" s="20" t="s">
        <v>908</v>
      </c>
      <c r="E385" s="21"/>
      <c r="F385" s="21"/>
      <c r="G385" s="21"/>
      <c r="H385" s="21"/>
      <c r="I385" s="21">
        <v>50</v>
      </c>
      <c r="J385" s="21"/>
      <c r="K385" s="21"/>
      <c r="L385" s="21"/>
      <c r="M385" s="21">
        <v>5</v>
      </c>
      <c r="N385" s="21">
        <v>1</v>
      </c>
      <c r="O385" s="21"/>
      <c r="P385" s="21"/>
      <c r="Q385" s="22">
        <f t="shared" si="5"/>
        <v>56</v>
      </c>
    </row>
    <row r="386" spans="1:17" ht="15.75" customHeight="1">
      <c r="A386" s="23">
        <v>384</v>
      </c>
      <c r="B386" s="24" t="s">
        <v>909</v>
      </c>
      <c r="C386" s="24" t="s">
        <v>910</v>
      </c>
      <c r="D386" s="24" t="s">
        <v>911</v>
      </c>
      <c r="E386" s="25"/>
      <c r="F386" s="25"/>
      <c r="G386" s="25"/>
      <c r="H386" s="25"/>
      <c r="I386" s="25">
        <v>60</v>
      </c>
      <c r="J386" s="25"/>
      <c r="K386" s="25"/>
      <c r="L386" s="25"/>
      <c r="M386" s="25"/>
      <c r="N386" s="25"/>
      <c r="O386" s="25"/>
      <c r="P386" s="25"/>
      <c r="Q386" s="22">
        <f t="shared" si="5"/>
        <v>60</v>
      </c>
    </row>
    <row r="387" spans="1:17" ht="15.75" customHeight="1">
      <c r="A387" s="19">
        <v>385</v>
      </c>
      <c r="B387" s="20" t="s">
        <v>2533</v>
      </c>
      <c r="C387" s="20" t="s">
        <v>2534</v>
      </c>
      <c r="D387" s="20"/>
      <c r="E387" s="21"/>
      <c r="F387" s="21"/>
      <c r="G387" s="21"/>
      <c r="H387" s="21"/>
      <c r="I387" s="21"/>
      <c r="J387" s="21"/>
      <c r="K387" s="21"/>
      <c r="L387" s="21"/>
      <c r="M387" s="21">
        <v>30</v>
      </c>
      <c r="N387" s="21"/>
      <c r="O387" s="21"/>
      <c r="P387" s="21"/>
      <c r="Q387" s="22">
        <f t="shared" ref="Q387:Q450" si="6">SUM(E387:P387)</f>
        <v>30</v>
      </c>
    </row>
    <row r="388" spans="1:17" ht="15.75" customHeight="1">
      <c r="A388" s="23">
        <v>386</v>
      </c>
      <c r="B388" s="24" t="s">
        <v>2535</v>
      </c>
      <c r="C388" s="24" t="s">
        <v>2536</v>
      </c>
      <c r="D388" s="24" t="s">
        <v>2537</v>
      </c>
      <c r="E388" s="25"/>
      <c r="F388" s="25"/>
      <c r="G388" s="25"/>
      <c r="H388" s="25"/>
      <c r="I388" s="25"/>
      <c r="J388" s="25">
        <v>100</v>
      </c>
      <c r="K388" s="25"/>
      <c r="L388" s="25"/>
      <c r="M388" s="25"/>
      <c r="N388" s="25"/>
      <c r="O388" s="25"/>
      <c r="P388" s="25"/>
      <c r="Q388" s="22">
        <f t="shared" si="6"/>
        <v>100</v>
      </c>
    </row>
    <row r="389" spans="1:17" ht="15.75" customHeight="1">
      <c r="A389" s="19">
        <v>387</v>
      </c>
      <c r="B389" s="20" t="s">
        <v>915</v>
      </c>
      <c r="C389" s="20" t="s">
        <v>916</v>
      </c>
      <c r="D389" s="20"/>
      <c r="E389" s="21"/>
      <c r="F389" s="21">
        <v>15</v>
      </c>
      <c r="G389" s="21"/>
      <c r="H389" s="21"/>
      <c r="I389" s="21"/>
      <c r="J389" s="21">
        <v>80</v>
      </c>
      <c r="K389" s="21"/>
      <c r="L389" s="21"/>
      <c r="M389" s="21"/>
      <c r="N389" s="21">
        <v>80</v>
      </c>
      <c r="O389" s="21"/>
      <c r="P389" s="21"/>
      <c r="Q389" s="22">
        <f t="shared" si="6"/>
        <v>175</v>
      </c>
    </row>
    <row r="390" spans="1:17" ht="15.75" customHeight="1">
      <c r="A390" s="23">
        <v>388</v>
      </c>
      <c r="B390" s="24" t="s">
        <v>927</v>
      </c>
      <c r="C390" s="24" t="s">
        <v>928</v>
      </c>
      <c r="D390" s="24" t="s">
        <v>929</v>
      </c>
      <c r="E390" s="25"/>
      <c r="F390" s="25"/>
      <c r="G390" s="25">
        <v>10</v>
      </c>
      <c r="H390" s="25"/>
      <c r="I390" s="25"/>
      <c r="J390" s="25"/>
      <c r="K390" s="25"/>
      <c r="L390" s="25"/>
      <c r="M390" s="25">
        <v>10</v>
      </c>
      <c r="N390" s="25"/>
      <c r="O390" s="25">
        <v>10</v>
      </c>
      <c r="P390" s="25">
        <v>20</v>
      </c>
      <c r="Q390" s="22">
        <f t="shared" si="6"/>
        <v>50</v>
      </c>
    </row>
    <row r="391" spans="1:17" ht="15.75" customHeight="1">
      <c r="A391" s="19">
        <v>389</v>
      </c>
      <c r="B391" s="20" t="s">
        <v>2538</v>
      </c>
      <c r="C391" s="20" t="s">
        <v>1245</v>
      </c>
      <c r="D391" s="20" t="s">
        <v>2539</v>
      </c>
      <c r="E391" s="21"/>
      <c r="F391" s="21"/>
      <c r="G391" s="21"/>
      <c r="H391" s="21"/>
      <c r="I391" s="21"/>
      <c r="J391" s="21"/>
      <c r="K391" s="21"/>
      <c r="L391" s="21">
        <v>20</v>
      </c>
      <c r="M391" s="21"/>
      <c r="N391" s="21"/>
      <c r="O391" s="21"/>
      <c r="P391" s="21"/>
      <c r="Q391" s="22">
        <f t="shared" si="6"/>
        <v>20</v>
      </c>
    </row>
    <row r="392" spans="1:17" ht="15.75" customHeight="1">
      <c r="A392" s="23">
        <v>390</v>
      </c>
      <c r="B392" s="24" t="s">
        <v>933</v>
      </c>
      <c r="C392" s="24" t="s">
        <v>934</v>
      </c>
      <c r="D392" s="24" t="s">
        <v>935</v>
      </c>
      <c r="E392" s="25"/>
      <c r="F392" s="25">
        <v>5</v>
      </c>
      <c r="G392" s="25"/>
      <c r="H392" s="25"/>
      <c r="I392" s="25"/>
      <c r="J392" s="25"/>
      <c r="K392" s="25">
        <v>45</v>
      </c>
      <c r="L392" s="25">
        <v>10</v>
      </c>
      <c r="M392" s="25"/>
      <c r="N392" s="25">
        <v>11</v>
      </c>
      <c r="O392" s="25">
        <v>40</v>
      </c>
      <c r="P392" s="25">
        <v>20</v>
      </c>
      <c r="Q392" s="22">
        <f t="shared" si="6"/>
        <v>131</v>
      </c>
    </row>
    <row r="393" spans="1:17" ht="15.75" customHeight="1">
      <c r="A393" s="19">
        <v>391</v>
      </c>
      <c r="B393" s="20" t="s">
        <v>2540</v>
      </c>
      <c r="C393" s="20" t="s">
        <v>928</v>
      </c>
      <c r="D393" s="20" t="s">
        <v>929</v>
      </c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>
        <v>10</v>
      </c>
      <c r="P393" s="21"/>
      <c r="Q393" s="22">
        <f t="shared" si="6"/>
        <v>10</v>
      </c>
    </row>
    <row r="394" spans="1:17" ht="15.75" customHeight="1">
      <c r="A394" s="23">
        <v>392</v>
      </c>
      <c r="B394" s="24" t="s">
        <v>2541</v>
      </c>
      <c r="C394" s="24" t="s">
        <v>2542</v>
      </c>
      <c r="D394" s="24" t="s">
        <v>935</v>
      </c>
      <c r="E394" s="25"/>
      <c r="F394" s="25"/>
      <c r="G394" s="25"/>
      <c r="H394" s="25"/>
      <c r="I394" s="25"/>
      <c r="J394" s="25"/>
      <c r="K394" s="25">
        <v>1</v>
      </c>
      <c r="L394" s="25"/>
      <c r="M394" s="25"/>
      <c r="N394" s="25"/>
      <c r="O394" s="25"/>
      <c r="P394" s="25"/>
      <c r="Q394" s="22">
        <f t="shared" si="6"/>
        <v>1</v>
      </c>
    </row>
    <row r="395" spans="1:17" ht="15.75" customHeight="1">
      <c r="A395" s="19">
        <v>393</v>
      </c>
      <c r="B395" s="20" t="s">
        <v>2543</v>
      </c>
      <c r="C395" s="20" t="s">
        <v>2544</v>
      </c>
      <c r="D395" s="20" t="s">
        <v>929</v>
      </c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>
        <v>10</v>
      </c>
      <c r="P395" s="21"/>
      <c r="Q395" s="22">
        <f t="shared" si="6"/>
        <v>10</v>
      </c>
    </row>
    <row r="396" spans="1:17" ht="15.75" customHeight="1">
      <c r="A396" s="23">
        <v>394</v>
      </c>
      <c r="B396" s="24" t="s">
        <v>936</v>
      </c>
      <c r="C396" s="24" t="s">
        <v>937</v>
      </c>
      <c r="D396" s="24" t="s">
        <v>929</v>
      </c>
      <c r="E396" s="25"/>
      <c r="F396" s="25"/>
      <c r="G396" s="25">
        <v>20</v>
      </c>
      <c r="H396" s="25"/>
      <c r="I396" s="25"/>
      <c r="J396" s="25"/>
      <c r="K396" s="25"/>
      <c r="L396" s="25"/>
      <c r="M396" s="25"/>
      <c r="N396" s="25"/>
      <c r="O396" s="25"/>
      <c r="P396" s="25">
        <v>20</v>
      </c>
      <c r="Q396" s="22">
        <f t="shared" si="6"/>
        <v>40</v>
      </c>
    </row>
    <row r="397" spans="1:17" ht="15.75" customHeight="1">
      <c r="A397" s="19">
        <v>395</v>
      </c>
      <c r="B397" s="20" t="s">
        <v>2545</v>
      </c>
      <c r="C397" s="20" t="s">
        <v>1304</v>
      </c>
      <c r="D397" s="20" t="s">
        <v>2546</v>
      </c>
      <c r="E397" s="21"/>
      <c r="F397" s="21"/>
      <c r="G397" s="21"/>
      <c r="H397" s="21"/>
      <c r="I397" s="21"/>
      <c r="J397" s="21"/>
      <c r="K397" s="21"/>
      <c r="L397" s="21">
        <v>10</v>
      </c>
      <c r="M397" s="21"/>
      <c r="N397" s="21"/>
      <c r="O397" s="21"/>
      <c r="P397" s="21"/>
      <c r="Q397" s="22">
        <f t="shared" si="6"/>
        <v>10</v>
      </c>
    </row>
    <row r="398" spans="1:17" ht="15.75" customHeight="1">
      <c r="A398" s="23">
        <v>396</v>
      </c>
      <c r="B398" s="24" t="s">
        <v>938</v>
      </c>
      <c r="C398" s="24" t="s">
        <v>939</v>
      </c>
      <c r="D398" s="24" t="s">
        <v>935</v>
      </c>
      <c r="E398" s="25"/>
      <c r="F398" s="25">
        <v>5</v>
      </c>
      <c r="G398" s="25"/>
      <c r="H398" s="25"/>
      <c r="I398" s="25"/>
      <c r="J398" s="25"/>
      <c r="K398" s="25">
        <v>10</v>
      </c>
      <c r="L398" s="25">
        <v>5</v>
      </c>
      <c r="M398" s="25"/>
      <c r="N398" s="25"/>
      <c r="O398" s="25">
        <v>10</v>
      </c>
      <c r="P398" s="25">
        <v>20</v>
      </c>
      <c r="Q398" s="22">
        <f t="shared" si="6"/>
        <v>50</v>
      </c>
    </row>
    <row r="399" spans="1:17" ht="15.75" customHeight="1">
      <c r="A399" s="19">
        <v>397</v>
      </c>
      <c r="B399" s="20" t="s">
        <v>2547</v>
      </c>
      <c r="C399" s="20" t="s">
        <v>2548</v>
      </c>
      <c r="D399" s="20" t="s">
        <v>929</v>
      </c>
      <c r="E399" s="21"/>
      <c r="F399" s="21"/>
      <c r="G399" s="21"/>
      <c r="H399" s="21"/>
      <c r="I399" s="21"/>
      <c r="J399" s="21"/>
      <c r="K399" s="21">
        <v>10</v>
      </c>
      <c r="L399" s="21"/>
      <c r="M399" s="21"/>
      <c r="N399" s="21"/>
      <c r="O399" s="21"/>
      <c r="P399" s="21"/>
      <c r="Q399" s="22">
        <f t="shared" si="6"/>
        <v>10</v>
      </c>
    </row>
    <row r="400" spans="1:17" ht="15.75" customHeight="1">
      <c r="A400" s="23">
        <v>398</v>
      </c>
      <c r="B400" s="24" t="s">
        <v>942</v>
      </c>
      <c r="C400" s="24" t="s">
        <v>943</v>
      </c>
      <c r="D400" s="24" t="s">
        <v>932</v>
      </c>
      <c r="E400" s="25"/>
      <c r="F400" s="25"/>
      <c r="G400" s="25"/>
      <c r="H400" s="25"/>
      <c r="I400" s="25"/>
      <c r="J400" s="25"/>
      <c r="K400" s="25"/>
      <c r="L400" s="25"/>
      <c r="M400" s="25"/>
      <c r="N400" s="25">
        <v>100</v>
      </c>
      <c r="O400" s="25"/>
      <c r="P400" s="25"/>
      <c r="Q400" s="22">
        <f t="shared" si="6"/>
        <v>100</v>
      </c>
    </row>
    <row r="401" spans="1:17" ht="15.75" customHeight="1">
      <c r="A401" s="19">
        <v>399</v>
      </c>
      <c r="B401" s="20" t="s">
        <v>944</v>
      </c>
      <c r="C401" s="20" t="s">
        <v>945</v>
      </c>
      <c r="D401" s="20" t="s">
        <v>946</v>
      </c>
      <c r="E401" s="21"/>
      <c r="F401" s="21"/>
      <c r="G401" s="21"/>
      <c r="H401" s="21"/>
      <c r="I401" s="21"/>
      <c r="J401" s="21"/>
      <c r="K401" s="21"/>
      <c r="L401" s="21">
        <v>2</v>
      </c>
      <c r="M401" s="21"/>
      <c r="N401" s="21">
        <v>4</v>
      </c>
      <c r="O401" s="21"/>
      <c r="P401" s="21"/>
      <c r="Q401" s="22">
        <f t="shared" si="6"/>
        <v>6</v>
      </c>
    </row>
    <row r="402" spans="1:17" ht="15.75" customHeight="1">
      <c r="A402" s="23">
        <v>400</v>
      </c>
      <c r="B402" s="24" t="s">
        <v>2549</v>
      </c>
      <c r="C402" s="24" t="s">
        <v>1332</v>
      </c>
      <c r="D402" s="24" t="s">
        <v>929</v>
      </c>
      <c r="E402" s="25"/>
      <c r="F402" s="25"/>
      <c r="G402" s="25">
        <v>3</v>
      </c>
      <c r="H402" s="25">
        <v>8</v>
      </c>
      <c r="I402" s="25"/>
      <c r="J402" s="25"/>
      <c r="K402" s="25"/>
      <c r="L402" s="25"/>
      <c r="M402" s="25"/>
      <c r="N402" s="25">
        <v>2</v>
      </c>
      <c r="O402" s="25"/>
      <c r="P402" s="25"/>
      <c r="Q402" s="22">
        <f t="shared" si="6"/>
        <v>13</v>
      </c>
    </row>
    <row r="403" spans="1:17" ht="15.75" customHeight="1">
      <c r="A403" s="19">
        <v>401</v>
      </c>
      <c r="B403" s="20" t="s">
        <v>2550</v>
      </c>
      <c r="C403" s="20" t="s">
        <v>2551</v>
      </c>
      <c r="D403" s="20" t="s">
        <v>1142</v>
      </c>
      <c r="E403" s="21"/>
      <c r="F403" s="21"/>
      <c r="G403" s="21"/>
      <c r="H403" s="21"/>
      <c r="I403" s="21"/>
      <c r="J403" s="21"/>
      <c r="K403" s="21"/>
      <c r="L403" s="21"/>
      <c r="M403" s="21"/>
      <c r="N403" s="21">
        <v>3</v>
      </c>
      <c r="O403" s="21"/>
      <c r="P403" s="21"/>
      <c r="Q403" s="22">
        <f t="shared" si="6"/>
        <v>3</v>
      </c>
    </row>
    <row r="404" spans="1:17" ht="15.75" customHeight="1">
      <c r="A404" s="23">
        <v>402</v>
      </c>
      <c r="B404" s="24" t="s">
        <v>2552</v>
      </c>
      <c r="C404" s="24" t="s">
        <v>2553</v>
      </c>
      <c r="D404" s="24" t="s">
        <v>929</v>
      </c>
      <c r="E404" s="25"/>
      <c r="F404" s="25"/>
      <c r="G404" s="25"/>
      <c r="H404" s="25"/>
      <c r="I404" s="25"/>
      <c r="J404" s="25"/>
      <c r="K404" s="25">
        <v>10</v>
      </c>
      <c r="L404" s="25"/>
      <c r="M404" s="25"/>
      <c r="N404" s="25">
        <v>1</v>
      </c>
      <c r="O404" s="25"/>
      <c r="P404" s="25"/>
      <c r="Q404" s="22">
        <f t="shared" si="6"/>
        <v>11</v>
      </c>
    </row>
    <row r="405" spans="1:17" ht="15.75" customHeight="1">
      <c r="A405" s="19">
        <v>403</v>
      </c>
      <c r="B405" s="20" t="s">
        <v>2554</v>
      </c>
      <c r="C405" s="20" t="s">
        <v>2555</v>
      </c>
      <c r="D405" s="20" t="s">
        <v>946</v>
      </c>
      <c r="E405" s="21"/>
      <c r="F405" s="21"/>
      <c r="G405" s="21"/>
      <c r="H405" s="21"/>
      <c r="I405" s="21"/>
      <c r="J405" s="21">
        <v>1</v>
      </c>
      <c r="K405" s="21"/>
      <c r="L405" s="21"/>
      <c r="M405" s="21"/>
      <c r="N405" s="21"/>
      <c r="O405" s="21"/>
      <c r="P405" s="21"/>
      <c r="Q405" s="22">
        <f t="shared" si="6"/>
        <v>1</v>
      </c>
    </row>
    <row r="406" spans="1:17" ht="15.75" customHeight="1">
      <c r="A406" s="23">
        <v>404</v>
      </c>
      <c r="B406" s="24" t="s">
        <v>954</v>
      </c>
      <c r="C406" s="24" t="s">
        <v>955</v>
      </c>
      <c r="D406" s="24" t="s">
        <v>932</v>
      </c>
      <c r="E406" s="25">
        <v>400</v>
      </c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2">
        <f t="shared" si="6"/>
        <v>400</v>
      </c>
    </row>
    <row r="407" spans="1:17" ht="15.75" customHeight="1">
      <c r="A407" s="19">
        <v>405</v>
      </c>
      <c r="B407" s="20" t="s">
        <v>2556</v>
      </c>
      <c r="C407" s="20" t="s">
        <v>2557</v>
      </c>
      <c r="D407" s="20" t="s">
        <v>935</v>
      </c>
      <c r="E407" s="21">
        <v>300</v>
      </c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2">
        <f t="shared" si="6"/>
        <v>300</v>
      </c>
    </row>
    <row r="408" spans="1:17" ht="15.75" customHeight="1">
      <c r="A408" s="23">
        <v>406</v>
      </c>
      <c r="B408" s="24" t="s">
        <v>956</v>
      </c>
      <c r="C408" s="24" t="s">
        <v>957</v>
      </c>
      <c r="D408" s="24" t="s">
        <v>946</v>
      </c>
      <c r="E408" s="25"/>
      <c r="F408" s="25"/>
      <c r="G408" s="25">
        <v>2</v>
      </c>
      <c r="H408" s="25"/>
      <c r="I408" s="25"/>
      <c r="J408" s="25"/>
      <c r="K408" s="25"/>
      <c r="L408" s="25"/>
      <c r="M408" s="25">
        <v>4</v>
      </c>
      <c r="N408" s="25"/>
      <c r="O408" s="25"/>
      <c r="P408" s="25"/>
      <c r="Q408" s="22">
        <f t="shared" si="6"/>
        <v>6</v>
      </c>
    </row>
    <row r="409" spans="1:17" ht="15.75" customHeight="1">
      <c r="A409" s="19">
        <v>407</v>
      </c>
      <c r="B409" s="20" t="s">
        <v>958</v>
      </c>
      <c r="C409" s="20" t="s">
        <v>959</v>
      </c>
      <c r="D409" s="20" t="s">
        <v>932</v>
      </c>
      <c r="E409" s="21"/>
      <c r="F409" s="21">
        <v>100</v>
      </c>
      <c r="G409" s="21"/>
      <c r="H409" s="21"/>
      <c r="I409" s="21"/>
      <c r="J409" s="21"/>
      <c r="K409" s="21"/>
      <c r="L409" s="21"/>
      <c r="M409" s="21"/>
      <c r="N409" s="21">
        <v>100</v>
      </c>
      <c r="O409" s="21"/>
      <c r="P409" s="21"/>
      <c r="Q409" s="22">
        <f t="shared" si="6"/>
        <v>200</v>
      </c>
    </row>
    <row r="410" spans="1:17" ht="15.75" customHeight="1">
      <c r="A410" s="23">
        <v>408</v>
      </c>
      <c r="B410" s="24" t="s">
        <v>2558</v>
      </c>
      <c r="C410" s="24" t="s">
        <v>2559</v>
      </c>
      <c r="D410" s="24" t="s">
        <v>1142</v>
      </c>
      <c r="E410" s="25">
        <v>200</v>
      </c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2">
        <f t="shared" si="6"/>
        <v>200</v>
      </c>
    </row>
    <row r="411" spans="1:17" ht="15.75" customHeight="1">
      <c r="A411" s="19">
        <v>409</v>
      </c>
      <c r="B411" s="20" t="s">
        <v>2560</v>
      </c>
      <c r="C411" s="20" t="s">
        <v>2561</v>
      </c>
      <c r="D411" s="20" t="s">
        <v>935</v>
      </c>
      <c r="E411" s="21">
        <v>300</v>
      </c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2">
        <f t="shared" si="6"/>
        <v>300</v>
      </c>
    </row>
    <row r="412" spans="1:17" ht="15.75" customHeight="1">
      <c r="A412" s="23">
        <v>410</v>
      </c>
      <c r="B412" s="24" t="s">
        <v>960</v>
      </c>
      <c r="C412" s="24" t="s">
        <v>961</v>
      </c>
      <c r="D412" s="24" t="s">
        <v>929</v>
      </c>
      <c r="E412" s="25"/>
      <c r="F412" s="25"/>
      <c r="G412" s="25">
        <v>13</v>
      </c>
      <c r="H412" s="25"/>
      <c r="I412" s="25"/>
      <c r="J412" s="25"/>
      <c r="K412" s="25"/>
      <c r="L412" s="25">
        <v>50</v>
      </c>
      <c r="M412" s="25"/>
      <c r="N412" s="25"/>
      <c r="O412" s="25"/>
      <c r="P412" s="25"/>
      <c r="Q412" s="22">
        <f t="shared" si="6"/>
        <v>63</v>
      </c>
    </row>
    <row r="413" spans="1:17" ht="15.75" customHeight="1">
      <c r="A413" s="19">
        <v>411</v>
      </c>
      <c r="B413" s="20" t="s">
        <v>2562</v>
      </c>
      <c r="C413" s="20" t="s">
        <v>2563</v>
      </c>
      <c r="D413" s="20" t="s">
        <v>946</v>
      </c>
      <c r="E413" s="21"/>
      <c r="F413" s="21"/>
      <c r="G413" s="21"/>
      <c r="H413" s="21"/>
      <c r="I413" s="21"/>
      <c r="J413" s="21"/>
      <c r="K413" s="21"/>
      <c r="L413" s="21">
        <v>30</v>
      </c>
      <c r="M413" s="21"/>
      <c r="N413" s="21">
        <v>10</v>
      </c>
      <c r="O413" s="21"/>
      <c r="P413" s="21"/>
      <c r="Q413" s="22">
        <f t="shared" si="6"/>
        <v>40</v>
      </c>
    </row>
    <row r="414" spans="1:17" ht="15.75" customHeight="1">
      <c r="A414" s="23">
        <v>412</v>
      </c>
      <c r="B414" s="24" t="s">
        <v>2564</v>
      </c>
      <c r="C414" s="24" t="s">
        <v>2565</v>
      </c>
      <c r="D414" s="24" t="s">
        <v>935</v>
      </c>
      <c r="E414" s="25"/>
      <c r="F414" s="25"/>
      <c r="G414" s="25"/>
      <c r="H414" s="25"/>
      <c r="I414" s="25"/>
      <c r="J414" s="25"/>
      <c r="K414" s="25"/>
      <c r="L414" s="25">
        <v>20</v>
      </c>
      <c r="M414" s="25"/>
      <c r="N414" s="25"/>
      <c r="O414" s="25"/>
      <c r="P414" s="25"/>
      <c r="Q414" s="22">
        <f t="shared" si="6"/>
        <v>20</v>
      </c>
    </row>
    <row r="415" spans="1:17" ht="15.75" customHeight="1">
      <c r="A415" s="19">
        <v>413</v>
      </c>
      <c r="B415" s="20" t="s">
        <v>2566</v>
      </c>
      <c r="C415" s="20" t="s">
        <v>2567</v>
      </c>
      <c r="D415" s="20" t="s">
        <v>2568</v>
      </c>
      <c r="E415" s="21"/>
      <c r="F415" s="21"/>
      <c r="G415" s="21"/>
      <c r="H415" s="21"/>
      <c r="I415" s="21"/>
      <c r="J415" s="21"/>
      <c r="K415" s="21"/>
      <c r="L415" s="21"/>
      <c r="M415" s="21"/>
      <c r="N415" s="21">
        <v>10</v>
      </c>
      <c r="O415" s="21">
        <v>5</v>
      </c>
      <c r="P415" s="21"/>
      <c r="Q415" s="22">
        <f t="shared" si="6"/>
        <v>15</v>
      </c>
    </row>
    <row r="416" spans="1:17" ht="15.75" customHeight="1">
      <c r="A416" s="23">
        <v>414</v>
      </c>
      <c r="B416" s="24" t="s">
        <v>2569</v>
      </c>
      <c r="C416" s="24" t="s">
        <v>2570</v>
      </c>
      <c r="D416" s="24"/>
      <c r="E416" s="25"/>
      <c r="F416" s="25"/>
      <c r="G416" s="25"/>
      <c r="H416" s="25"/>
      <c r="I416" s="25"/>
      <c r="J416" s="25"/>
      <c r="K416" s="25"/>
      <c r="L416" s="25"/>
      <c r="M416" s="25"/>
      <c r="N416" s="25">
        <v>5</v>
      </c>
      <c r="O416" s="25">
        <v>10</v>
      </c>
      <c r="P416" s="25"/>
      <c r="Q416" s="22">
        <f t="shared" si="6"/>
        <v>15</v>
      </c>
    </row>
    <row r="417" spans="1:17" ht="15.75" customHeight="1">
      <c r="A417" s="19">
        <v>415</v>
      </c>
      <c r="B417" s="20" t="s">
        <v>2571</v>
      </c>
      <c r="C417" s="20" t="s">
        <v>2572</v>
      </c>
      <c r="D417" s="20" t="s">
        <v>935</v>
      </c>
      <c r="E417" s="21"/>
      <c r="F417" s="21"/>
      <c r="G417" s="21"/>
      <c r="H417" s="21"/>
      <c r="I417" s="21"/>
      <c r="J417" s="21"/>
      <c r="K417" s="21">
        <v>42</v>
      </c>
      <c r="L417" s="21"/>
      <c r="M417" s="21"/>
      <c r="N417" s="21"/>
      <c r="O417" s="21"/>
      <c r="P417" s="21"/>
      <c r="Q417" s="22">
        <f t="shared" si="6"/>
        <v>42</v>
      </c>
    </row>
    <row r="418" spans="1:17" ht="15.75" customHeight="1">
      <c r="A418" s="23">
        <v>416</v>
      </c>
      <c r="B418" s="24" t="s">
        <v>2573</v>
      </c>
      <c r="C418" s="24" t="s">
        <v>2574</v>
      </c>
      <c r="D418" s="24" t="s">
        <v>2575</v>
      </c>
      <c r="E418" s="25">
        <v>3</v>
      </c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2">
        <f t="shared" si="6"/>
        <v>3</v>
      </c>
    </row>
    <row r="419" spans="1:17" ht="15.75" customHeight="1">
      <c r="A419" s="19">
        <v>417</v>
      </c>
      <c r="B419" s="20" t="s">
        <v>2576</v>
      </c>
      <c r="C419" s="20" t="s">
        <v>2577</v>
      </c>
      <c r="D419" s="20"/>
      <c r="E419" s="21">
        <v>114</v>
      </c>
      <c r="F419" s="21">
        <v>14</v>
      </c>
      <c r="G419" s="21">
        <v>20</v>
      </c>
      <c r="H419" s="21"/>
      <c r="I419" s="21"/>
      <c r="J419" s="21"/>
      <c r="K419" s="21"/>
      <c r="L419" s="21"/>
      <c r="M419" s="21"/>
      <c r="N419" s="21"/>
      <c r="O419" s="21"/>
      <c r="P419" s="21">
        <v>30</v>
      </c>
      <c r="Q419" s="22">
        <f t="shared" si="6"/>
        <v>178</v>
      </c>
    </row>
    <row r="420" spans="1:17" ht="15.75" customHeight="1">
      <c r="A420" s="23">
        <v>418</v>
      </c>
      <c r="B420" s="24" t="s">
        <v>966</v>
      </c>
      <c r="C420" s="24" t="s">
        <v>967</v>
      </c>
      <c r="D420" s="24"/>
      <c r="E420" s="25"/>
      <c r="F420" s="25"/>
      <c r="G420" s="25"/>
      <c r="H420" s="25"/>
      <c r="I420" s="25">
        <v>50</v>
      </c>
      <c r="J420" s="25"/>
      <c r="K420" s="25"/>
      <c r="L420" s="25"/>
      <c r="M420" s="25"/>
      <c r="N420" s="25"/>
      <c r="O420" s="25"/>
      <c r="P420" s="25">
        <v>20</v>
      </c>
      <c r="Q420" s="22">
        <f t="shared" si="6"/>
        <v>70</v>
      </c>
    </row>
    <row r="421" spans="1:17" ht="15.75" customHeight="1">
      <c r="A421" s="19">
        <v>419</v>
      </c>
      <c r="B421" s="20" t="s">
        <v>2578</v>
      </c>
      <c r="C421" s="20" t="s">
        <v>1233</v>
      </c>
      <c r="D421" s="20"/>
      <c r="E421" s="21"/>
      <c r="F421" s="21"/>
      <c r="G421" s="21"/>
      <c r="H421" s="21"/>
      <c r="I421" s="21"/>
      <c r="J421" s="21"/>
      <c r="K421" s="21"/>
      <c r="L421" s="21"/>
      <c r="M421" s="21">
        <v>4</v>
      </c>
      <c r="N421" s="21"/>
      <c r="O421" s="21"/>
      <c r="P421" s="21">
        <v>22</v>
      </c>
      <c r="Q421" s="22">
        <f t="shared" si="6"/>
        <v>26</v>
      </c>
    </row>
    <row r="422" spans="1:17" ht="15.75" customHeight="1">
      <c r="A422" s="23">
        <v>420</v>
      </c>
      <c r="B422" s="24" t="s">
        <v>2579</v>
      </c>
      <c r="C422" s="24" t="s">
        <v>2580</v>
      </c>
      <c r="D422" s="24"/>
      <c r="E422" s="25">
        <v>1</v>
      </c>
      <c r="F422" s="25"/>
      <c r="G422" s="25"/>
      <c r="H422" s="25"/>
      <c r="I422" s="25"/>
      <c r="J422" s="25"/>
      <c r="K422" s="25"/>
      <c r="L422" s="25"/>
      <c r="M422" s="25">
        <v>6</v>
      </c>
      <c r="N422" s="25"/>
      <c r="O422" s="25"/>
      <c r="P422" s="25">
        <v>11</v>
      </c>
      <c r="Q422" s="22">
        <f t="shared" si="6"/>
        <v>18</v>
      </c>
    </row>
    <row r="423" spans="1:17" ht="15.75" customHeight="1">
      <c r="A423" s="19">
        <v>421</v>
      </c>
      <c r="B423" s="20" t="s">
        <v>2581</v>
      </c>
      <c r="C423" s="20" t="s">
        <v>1153</v>
      </c>
      <c r="D423" s="20"/>
      <c r="E423" s="21">
        <v>2</v>
      </c>
      <c r="F423" s="21"/>
      <c r="G423" s="21"/>
      <c r="H423" s="21"/>
      <c r="I423" s="21"/>
      <c r="J423" s="21"/>
      <c r="K423" s="21"/>
      <c r="L423" s="21"/>
      <c r="M423" s="21">
        <v>5</v>
      </c>
      <c r="N423" s="21"/>
      <c r="O423" s="21"/>
      <c r="P423" s="21"/>
      <c r="Q423" s="22">
        <f t="shared" si="6"/>
        <v>7</v>
      </c>
    </row>
    <row r="424" spans="1:17" ht="15.75" customHeight="1">
      <c r="A424" s="23">
        <v>422</v>
      </c>
      <c r="B424" s="24" t="s">
        <v>2582</v>
      </c>
      <c r="C424" s="24" t="s">
        <v>2583</v>
      </c>
      <c r="D424" s="24"/>
      <c r="E424" s="25"/>
      <c r="F424" s="25"/>
      <c r="G424" s="25"/>
      <c r="H424" s="25"/>
      <c r="I424" s="25"/>
      <c r="J424" s="25"/>
      <c r="K424" s="25"/>
      <c r="L424" s="25"/>
      <c r="M424" s="25">
        <v>9</v>
      </c>
      <c r="N424" s="25"/>
      <c r="O424" s="25">
        <v>12</v>
      </c>
      <c r="P424" s="25"/>
      <c r="Q424" s="22">
        <f t="shared" si="6"/>
        <v>21</v>
      </c>
    </row>
    <row r="425" spans="1:17" ht="15.75" customHeight="1">
      <c r="A425" s="19">
        <v>423</v>
      </c>
      <c r="B425" s="20" t="s">
        <v>2584</v>
      </c>
      <c r="C425" s="20" t="s">
        <v>2585</v>
      </c>
      <c r="D425" s="20"/>
      <c r="E425" s="21">
        <v>2</v>
      </c>
      <c r="F425" s="21"/>
      <c r="G425" s="21"/>
      <c r="H425" s="21"/>
      <c r="I425" s="21"/>
      <c r="J425" s="21"/>
      <c r="K425" s="21"/>
      <c r="L425" s="21"/>
      <c r="M425" s="21"/>
      <c r="N425" s="21">
        <v>10</v>
      </c>
      <c r="O425" s="21"/>
      <c r="P425" s="21"/>
      <c r="Q425" s="22">
        <f t="shared" si="6"/>
        <v>12</v>
      </c>
    </row>
    <row r="426" spans="1:17" ht="15.75" customHeight="1">
      <c r="A426" s="23">
        <v>424</v>
      </c>
      <c r="B426" s="24" t="s">
        <v>2586</v>
      </c>
      <c r="C426" s="24" t="s">
        <v>2587</v>
      </c>
      <c r="D426" s="24"/>
      <c r="E426" s="25">
        <v>4</v>
      </c>
      <c r="F426" s="25"/>
      <c r="G426" s="25">
        <v>14</v>
      </c>
      <c r="H426" s="25"/>
      <c r="I426" s="25"/>
      <c r="J426" s="25"/>
      <c r="K426" s="25"/>
      <c r="L426" s="25"/>
      <c r="M426" s="25"/>
      <c r="N426" s="25"/>
      <c r="O426" s="25"/>
      <c r="P426" s="25"/>
      <c r="Q426" s="22">
        <f t="shared" si="6"/>
        <v>18</v>
      </c>
    </row>
    <row r="427" spans="1:17" ht="15.75" customHeight="1">
      <c r="A427" s="19">
        <v>425</v>
      </c>
      <c r="B427" s="20" t="s">
        <v>2588</v>
      </c>
      <c r="C427" s="20" t="s">
        <v>2589</v>
      </c>
      <c r="D427" s="20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>
        <v>23</v>
      </c>
      <c r="Q427" s="22">
        <f t="shared" si="6"/>
        <v>23</v>
      </c>
    </row>
    <row r="428" spans="1:17" ht="15.75" customHeight="1">
      <c r="A428" s="23">
        <v>426</v>
      </c>
      <c r="B428" s="24" t="s">
        <v>2590</v>
      </c>
      <c r="C428" s="24" t="s">
        <v>2591</v>
      </c>
      <c r="D428" s="24" t="s">
        <v>2592</v>
      </c>
      <c r="E428" s="25"/>
      <c r="F428" s="25"/>
      <c r="G428" s="25"/>
      <c r="H428" s="25"/>
      <c r="I428" s="25"/>
      <c r="J428" s="25">
        <v>3</v>
      </c>
      <c r="K428" s="25"/>
      <c r="L428" s="25"/>
      <c r="M428" s="25"/>
      <c r="N428" s="25"/>
      <c r="O428" s="25"/>
      <c r="P428" s="25"/>
      <c r="Q428" s="22">
        <f t="shared" si="6"/>
        <v>3</v>
      </c>
    </row>
    <row r="429" spans="1:17" ht="15.75" customHeight="1">
      <c r="A429" s="19">
        <v>427</v>
      </c>
      <c r="B429" s="20" t="s">
        <v>978</v>
      </c>
      <c r="C429" s="20" t="s">
        <v>979</v>
      </c>
      <c r="D429" s="20"/>
      <c r="E429" s="21">
        <v>4</v>
      </c>
      <c r="F429" s="21"/>
      <c r="G429" s="21"/>
      <c r="H429" s="21"/>
      <c r="I429" s="21"/>
      <c r="J429" s="21"/>
      <c r="K429" s="21">
        <v>2</v>
      </c>
      <c r="L429" s="21"/>
      <c r="M429" s="21"/>
      <c r="N429" s="21"/>
      <c r="O429" s="21"/>
      <c r="P429" s="21"/>
      <c r="Q429" s="22">
        <f t="shared" si="6"/>
        <v>6</v>
      </c>
    </row>
    <row r="430" spans="1:17" ht="15.75" customHeight="1">
      <c r="A430" s="23">
        <v>428</v>
      </c>
      <c r="B430" s="24" t="s">
        <v>984</v>
      </c>
      <c r="C430" s="24" t="s">
        <v>367</v>
      </c>
      <c r="D430" s="24" t="s">
        <v>985</v>
      </c>
      <c r="E430" s="25"/>
      <c r="F430" s="25">
        <v>60</v>
      </c>
      <c r="G430" s="25"/>
      <c r="H430" s="25"/>
      <c r="I430" s="25">
        <v>50</v>
      </c>
      <c r="J430" s="25"/>
      <c r="K430" s="25"/>
      <c r="L430" s="25"/>
      <c r="M430" s="25"/>
      <c r="N430" s="25"/>
      <c r="O430" s="25"/>
      <c r="P430" s="25"/>
      <c r="Q430" s="22">
        <f t="shared" si="6"/>
        <v>110</v>
      </c>
    </row>
    <row r="431" spans="1:17" ht="15.75" customHeight="1">
      <c r="A431" s="19">
        <v>429</v>
      </c>
      <c r="B431" s="20" t="s">
        <v>986</v>
      </c>
      <c r="C431" s="20" t="s">
        <v>370</v>
      </c>
      <c r="D431" s="20" t="s">
        <v>987</v>
      </c>
      <c r="E431" s="21"/>
      <c r="F431" s="21"/>
      <c r="G431" s="21"/>
      <c r="H431" s="21"/>
      <c r="I431" s="21">
        <v>50</v>
      </c>
      <c r="J431" s="21"/>
      <c r="K431" s="21"/>
      <c r="L431" s="21"/>
      <c r="M431" s="21"/>
      <c r="N431" s="21"/>
      <c r="O431" s="21"/>
      <c r="P431" s="21"/>
      <c r="Q431" s="22">
        <f t="shared" si="6"/>
        <v>50</v>
      </c>
    </row>
    <row r="432" spans="1:17" ht="15.75" customHeight="1">
      <c r="A432" s="23">
        <v>430</v>
      </c>
      <c r="B432" s="24" t="s">
        <v>988</v>
      </c>
      <c r="C432" s="24" t="s">
        <v>351</v>
      </c>
      <c r="D432" s="24" t="s">
        <v>989</v>
      </c>
      <c r="E432" s="25"/>
      <c r="F432" s="25">
        <v>60</v>
      </c>
      <c r="G432" s="25"/>
      <c r="H432" s="25"/>
      <c r="I432" s="25">
        <v>50</v>
      </c>
      <c r="J432" s="25"/>
      <c r="K432" s="25"/>
      <c r="L432" s="25"/>
      <c r="M432" s="25"/>
      <c r="N432" s="25">
        <v>100</v>
      </c>
      <c r="O432" s="25"/>
      <c r="P432" s="25"/>
      <c r="Q432" s="22">
        <f t="shared" si="6"/>
        <v>210</v>
      </c>
    </row>
    <row r="433" spans="1:17" ht="15.75" customHeight="1">
      <c r="A433" s="19">
        <v>431</v>
      </c>
      <c r="B433" s="20" t="s">
        <v>2593</v>
      </c>
      <c r="C433" s="20" t="s">
        <v>357</v>
      </c>
      <c r="D433" s="20" t="s">
        <v>2594</v>
      </c>
      <c r="E433" s="21"/>
      <c r="F433" s="21">
        <v>60</v>
      </c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2">
        <f t="shared" si="6"/>
        <v>60</v>
      </c>
    </row>
    <row r="434" spans="1:17" ht="15.75" customHeight="1">
      <c r="A434" s="23">
        <v>432</v>
      </c>
      <c r="B434" s="24" t="s">
        <v>2595</v>
      </c>
      <c r="C434" s="24" t="s">
        <v>480</v>
      </c>
      <c r="D434" s="24" t="s">
        <v>2596</v>
      </c>
      <c r="E434" s="25"/>
      <c r="F434" s="25">
        <v>40</v>
      </c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2">
        <f t="shared" si="6"/>
        <v>40</v>
      </c>
    </row>
    <row r="435" spans="1:17" ht="15.75" customHeight="1">
      <c r="A435" s="19">
        <v>433</v>
      </c>
      <c r="B435" s="20" t="s">
        <v>990</v>
      </c>
      <c r="C435" s="20" t="s">
        <v>991</v>
      </c>
      <c r="D435" s="20"/>
      <c r="E435" s="21"/>
      <c r="F435" s="21"/>
      <c r="G435" s="21">
        <v>7</v>
      </c>
      <c r="H435" s="21"/>
      <c r="I435" s="21">
        <v>4</v>
      </c>
      <c r="J435" s="21">
        <v>2</v>
      </c>
      <c r="K435" s="21"/>
      <c r="L435" s="21"/>
      <c r="M435" s="21"/>
      <c r="N435" s="21"/>
      <c r="O435" s="21"/>
      <c r="P435" s="21"/>
      <c r="Q435" s="22">
        <f t="shared" si="6"/>
        <v>13</v>
      </c>
    </row>
    <row r="436" spans="1:17" ht="15.75" customHeight="1">
      <c r="A436" s="23">
        <v>434</v>
      </c>
      <c r="B436" s="24" t="s">
        <v>2597</v>
      </c>
      <c r="C436" s="24" t="s">
        <v>820</v>
      </c>
      <c r="D436" s="24" t="s">
        <v>2598</v>
      </c>
      <c r="E436" s="25"/>
      <c r="F436" s="25"/>
      <c r="G436" s="25"/>
      <c r="H436" s="25"/>
      <c r="I436" s="25"/>
      <c r="J436" s="25">
        <v>50</v>
      </c>
      <c r="K436" s="25">
        <v>105</v>
      </c>
      <c r="L436" s="25"/>
      <c r="M436" s="25"/>
      <c r="N436" s="25"/>
      <c r="O436" s="25">
        <v>150</v>
      </c>
      <c r="P436" s="25">
        <v>6</v>
      </c>
      <c r="Q436" s="22">
        <f t="shared" si="6"/>
        <v>311</v>
      </c>
    </row>
    <row r="437" spans="1:17" ht="15.75" customHeight="1">
      <c r="A437" s="19">
        <v>435</v>
      </c>
      <c r="B437" s="20" t="s">
        <v>992</v>
      </c>
      <c r="C437" s="20" t="s">
        <v>832</v>
      </c>
      <c r="D437" s="20" t="s">
        <v>993</v>
      </c>
      <c r="E437" s="21"/>
      <c r="F437" s="21"/>
      <c r="G437" s="21"/>
      <c r="H437" s="21"/>
      <c r="I437" s="21"/>
      <c r="J437" s="21">
        <v>150</v>
      </c>
      <c r="K437" s="21">
        <v>119</v>
      </c>
      <c r="L437" s="21"/>
      <c r="M437" s="21">
        <v>100</v>
      </c>
      <c r="N437" s="21"/>
      <c r="O437" s="21">
        <v>20</v>
      </c>
      <c r="P437" s="21">
        <v>200</v>
      </c>
      <c r="Q437" s="22">
        <f t="shared" si="6"/>
        <v>589</v>
      </c>
    </row>
    <row r="438" spans="1:17" ht="15.75" customHeight="1">
      <c r="A438" s="23">
        <v>436</v>
      </c>
      <c r="B438" s="24" t="s">
        <v>2599</v>
      </c>
      <c r="C438" s="24" t="s">
        <v>776</v>
      </c>
      <c r="D438" s="24" t="s">
        <v>2600</v>
      </c>
      <c r="E438" s="25"/>
      <c r="F438" s="25"/>
      <c r="G438" s="25"/>
      <c r="H438" s="25"/>
      <c r="I438" s="25"/>
      <c r="J438" s="25">
        <v>50</v>
      </c>
      <c r="K438" s="25">
        <v>50</v>
      </c>
      <c r="L438" s="25"/>
      <c r="M438" s="25"/>
      <c r="N438" s="25"/>
      <c r="O438" s="25">
        <v>180</v>
      </c>
      <c r="P438" s="25"/>
      <c r="Q438" s="22">
        <f t="shared" si="6"/>
        <v>280</v>
      </c>
    </row>
    <row r="439" spans="1:17" ht="15.75" customHeight="1">
      <c r="A439" s="19">
        <v>437</v>
      </c>
      <c r="B439" s="20" t="s">
        <v>994</v>
      </c>
      <c r="C439" s="20" t="s">
        <v>799</v>
      </c>
      <c r="D439" s="20" t="s">
        <v>995</v>
      </c>
      <c r="E439" s="21">
        <v>100</v>
      </c>
      <c r="F439" s="21"/>
      <c r="G439" s="21"/>
      <c r="H439" s="21"/>
      <c r="I439" s="21"/>
      <c r="J439" s="21">
        <v>354</v>
      </c>
      <c r="K439" s="21">
        <v>120</v>
      </c>
      <c r="L439" s="21"/>
      <c r="M439" s="21"/>
      <c r="N439" s="21"/>
      <c r="O439" s="21">
        <v>40</v>
      </c>
      <c r="P439" s="21">
        <v>300</v>
      </c>
      <c r="Q439" s="22">
        <f t="shared" si="6"/>
        <v>914</v>
      </c>
    </row>
    <row r="440" spans="1:17" ht="15.75" customHeight="1">
      <c r="A440" s="23">
        <v>438</v>
      </c>
      <c r="B440" s="24" t="s">
        <v>996</v>
      </c>
      <c r="C440" s="24" t="s">
        <v>823</v>
      </c>
      <c r="D440" s="24" t="s">
        <v>997</v>
      </c>
      <c r="E440" s="25"/>
      <c r="F440" s="25"/>
      <c r="G440" s="25"/>
      <c r="H440" s="25"/>
      <c r="I440" s="25"/>
      <c r="J440" s="25"/>
      <c r="K440" s="25">
        <v>242</v>
      </c>
      <c r="L440" s="25"/>
      <c r="M440" s="25">
        <v>62</v>
      </c>
      <c r="N440" s="25">
        <v>42</v>
      </c>
      <c r="O440" s="25">
        <v>4</v>
      </c>
      <c r="P440" s="25">
        <v>400</v>
      </c>
      <c r="Q440" s="22">
        <f t="shared" si="6"/>
        <v>750</v>
      </c>
    </row>
    <row r="441" spans="1:17" ht="15.75" customHeight="1">
      <c r="A441" s="19">
        <v>439</v>
      </c>
      <c r="B441" s="20" t="s">
        <v>2601</v>
      </c>
      <c r="C441" s="20" t="s">
        <v>860</v>
      </c>
      <c r="D441" s="20" t="s">
        <v>2602</v>
      </c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>
        <v>200</v>
      </c>
      <c r="Q441" s="22">
        <f t="shared" si="6"/>
        <v>200</v>
      </c>
    </row>
    <row r="442" spans="1:17" ht="15.75" customHeight="1">
      <c r="A442" s="23">
        <v>440</v>
      </c>
      <c r="B442" s="24" t="s">
        <v>2603</v>
      </c>
      <c r="C442" s="24" t="s">
        <v>846</v>
      </c>
      <c r="D442" s="24" t="s">
        <v>2604</v>
      </c>
      <c r="E442" s="25"/>
      <c r="F442" s="25"/>
      <c r="G442" s="25"/>
      <c r="H442" s="25"/>
      <c r="I442" s="25"/>
      <c r="J442" s="25">
        <v>106</v>
      </c>
      <c r="K442" s="25"/>
      <c r="L442" s="25"/>
      <c r="M442" s="25"/>
      <c r="N442" s="25"/>
      <c r="O442" s="25"/>
      <c r="P442" s="25"/>
      <c r="Q442" s="22">
        <f t="shared" si="6"/>
        <v>106</v>
      </c>
    </row>
    <row r="443" spans="1:17" ht="15.75" customHeight="1">
      <c r="A443" s="19">
        <v>441</v>
      </c>
      <c r="B443" s="20" t="s">
        <v>998</v>
      </c>
      <c r="C443" s="20" t="s">
        <v>852</v>
      </c>
      <c r="D443" s="20" t="s">
        <v>999</v>
      </c>
      <c r="E443" s="21"/>
      <c r="F443" s="21"/>
      <c r="G443" s="21"/>
      <c r="H443" s="21"/>
      <c r="I443" s="21"/>
      <c r="J443" s="21"/>
      <c r="K443" s="21"/>
      <c r="L443" s="21"/>
      <c r="M443" s="21">
        <v>200</v>
      </c>
      <c r="N443" s="21"/>
      <c r="O443" s="21"/>
      <c r="P443" s="21"/>
      <c r="Q443" s="22">
        <f t="shared" si="6"/>
        <v>200</v>
      </c>
    </row>
    <row r="444" spans="1:17" ht="15.75" customHeight="1">
      <c r="A444" s="23">
        <v>442</v>
      </c>
      <c r="B444" s="24" t="s">
        <v>1000</v>
      </c>
      <c r="C444" s="24" t="s">
        <v>832</v>
      </c>
      <c r="D444" s="24" t="s">
        <v>1001</v>
      </c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>
        <v>30</v>
      </c>
      <c r="P444" s="25">
        <v>100</v>
      </c>
      <c r="Q444" s="22">
        <f t="shared" si="6"/>
        <v>130</v>
      </c>
    </row>
    <row r="445" spans="1:17" ht="15.75" customHeight="1">
      <c r="A445" s="19">
        <v>443</v>
      </c>
      <c r="B445" s="20" t="s">
        <v>2605</v>
      </c>
      <c r="C445" s="20" t="s">
        <v>896</v>
      </c>
      <c r="D445" s="20" t="s">
        <v>2606</v>
      </c>
      <c r="E445" s="21"/>
      <c r="F445" s="21"/>
      <c r="G445" s="21"/>
      <c r="H445" s="21"/>
      <c r="I445" s="21"/>
      <c r="J445" s="21">
        <v>300</v>
      </c>
      <c r="K445" s="21"/>
      <c r="L445" s="21"/>
      <c r="M445" s="21"/>
      <c r="N445" s="21"/>
      <c r="O445" s="21"/>
      <c r="P445" s="21"/>
      <c r="Q445" s="22">
        <f t="shared" si="6"/>
        <v>300</v>
      </c>
    </row>
    <row r="446" spans="1:17" ht="15.75" customHeight="1">
      <c r="A446" s="23">
        <v>444</v>
      </c>
      <c r="B446" s="24" t="s">
        <v>1008</v>
      </c>
      <c r="C446" s="24" t="s">
        <v>779</v>
      </c>
      <c r="D446" s="24" t="s">
        <v>1009</v>
      </c>
      <c r="E446" s="25"/>
      <c r="F446" s="25"/>
      <c r="G446" s="25"/>
      <c r="H446" s="25"/>
      <c r="I446" s="25"/>
      <c r="J446" s="25"/>
      <c r="K446" s="25">
        <v>110</v>
      </c>
      <c r="L446" s="25">
        <v>50</v>
      </c>
      <c r="M446" s="25">
        <v>31</v>
      </c>
      <c r="N446" s="25">
        <v>192</v>
      </c>
      <c r="O446" s="25"/>
      <c r="P446" s="25"/>
      <c r="Q446" s="22">
        <f t="shared" si="6"/>
        <v>383</v>
      </c>
    </row>
    <row r="447" spans="1:17" ht="15.75" customHeight="1">
      <c r="A447" s="19">
        <v>445</v>
      </c>
      <c r="B447" s="20" t="s">
        <v>1010</v>
      </c>
      <c r="C447" s="20" t="s">
        <v>802</v>
      </c>
      <c r="D447" s="20" t="s">
        <v>1011</v>
      </c>
      <c r="E447" s="21"/>
      <c r="F447" s="21"/>
      <c r="G447" s="21"/>
      <c r="H447" s="21"/>
      <c r="I447" s="21"/>
      <c r="J447" s="21"/>
      <c r="K447" s="21">
        <v>250</v>
      </c>
      <c r="L447" s="21"/>
      <c r="M447" s="21">
        <v>8</v>
      </c>
      <c r="N447" s="21"/>
      <c r="O447" s="21"/>
      <c r="P447" s="21"/>
      <c r="Q447" s="22">
        <f t="shared" si="6"/>
        <v>258</v>
      </c>
    </row>
    <row r="448" spans="1:17" ht="15.75" customHeight="1">
      <c r="A448" s="23">
        <v>446</v>
      </c>
      <c r="B448" s="24" t="s">
        <v>2607</v>
      </c>
      <c r="C448" s="24" t="s">
        <v>732</v>
      </c>
      <c r="D448" s="24" t="s">
        <v>2608</v>
      </c>
      <c r="E448" s="25"/>
      <c r="F448" s="25"/>
      <c r="G448" s="25"/>
      <c r="H448" s="25"/>
      <c r="I448" s="25"/>
      <c r="J448" s="25"/>
      <c r="K448" s="25"/>
      <c r="L448" s="25"/>
      <c r="M448" s="25"/>
      <c r="N448" s="25">
        <v>10</v>
      </c>
      <c r="O448" s="25"/>
      <c r="P448" s="25"/>
      <c r="Q448" s="22">
        <f t="shared" si="6"/>
        <v>10</v>
      </c>
    </row>
    <row r="449" spans="1:17" ht="15.75" customHeight="1">
      <c r="A449" s="19">
        <v>447</v>
      </c>
      <c r="B449" s="20" t="s">
        <v>1014</v>
      </c>
      <c r="C449" s="20" t="s">
        <v>776</v>
      </c>
      <c r="D449" s="20" t="s">
        <v>1015</v>
      </c>
      <c r="E449" s="21"/>
      <c r="F449" s="21">
        <v>60</v>
      </c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2">
        <f t="shared" si="6"/>
        <v>60</v>
      </c>
    </row>
    <row r="450" spans="1:17" ht="15.75" customHeight="1">
      <c r="A450" s="23">
        <v>448</v>
      </c>
      <c r="B450" s="24" t="s">
        <v>1016</v>
      </c>
      <c r="C450" s="24" t="s">
        <v>799</v>
      </c>
      <c r="D450" s="24" t="s">
        <v>1017</v>
      </c>
      <c r="E450" s="25"/>
      <c r="F450" s="25">
        <v>70</v>
      </c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2">
        <f t="shared" si="6"/>
        <v>70</v>
      </c>
    </row>
    <row r="451" spans="1:17" ht="15.75" customHeight="1">
      <c r="A451" s="19">
        <v>449</v>
      </c>
      <c r="B451" s="20" t="s">
        <v>1018</v>
      </c>
      <c r="C451" s="20" t="s">
        <v>820</v>
      </c>
      <c r="D451" s="20" t="s">
        <v>1019</v>
      </c>
      <c r="E451" s="21"/>
      <c r="F451" s="21">
        <v>60</v>
      </c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2">
        <f t="shared" ref="Q451:Q514" si="7">SUM(E451:P451)</f>
        <v>60</v>
      </c>
    </row>
    <row r="452" spans="1:17" ht="15.75" customHeight="1">
      <c r="A452" s="23">
        <v>450</v>
      </c>
      <c r="B452" s="24" t="s">
        <v>1020</v>
      </c>
      <c r="C452" s="24" t="s">
        <v>832</v>
      </c>
      <c r="D452" s="24" t="s">
        <v>1021</v>
      </c>
      <c r="E452" s="25"/>
      <c r="F452" s="25">
        <v>60</v>
      </c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2">
        <f t="shared" si="7"/>
        <v>60</v>
      </c>
    </row>
    <row r="453" spans="1:17" ht="15.75" customHeight="1">
      <c r="A453" s="19">
        <v>451</v>
      </c>
      <c r="B453" s="20" t="s">
        <v>1022</v>
      </c>
      <c r="C453" s="20" t="s">
        <v>846</v>
      </c>
      <c r="D453" s="20" t="s">
        <v>1023</v>
      </c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>
        <v>30</v>
      </c>
      <c r="P453" s="21"/>
      <c r="Q453" s="22">
        <f t="shared" si="7"/>
        <v>30</v>
      </c>
    </row>
    <row r="454" spans="1:17" ht="15.75" customHeight="1">
      <c r="A454" s="23">
        <v>452</v>
      </c>
      <c r="B454" s="24" t="s">
        <v>2609</v>
      </c>
      <c r="C454" s="24" t="s">
        <v>597</v>
      </c>
      <c r="D454" s="24" t="s">
        <v>2610</v>
      </c>
      <c r="E454" s="25"/>
      <c r="F454" s="25"/>
      <c r="G454" s="25"/>
      <c r="H454" s="25"/>
      <c r="I454" s="25">
        <v>50</v>
      </c>
      <c r="J454" s="25"/>
      <c r="K454" s="25"/>
      <c r="L454" s="25"/>
      <c r="M454" s="25"/>
      <c r="N454" s="25"/>
      <c r="O454" s="25"/>
      <c r="P454" s="25"/>
      <c r="Q454" s="22">
        <f t="shared" si="7"/>
        <v>50</v>
      </c>
    </row>
    <row r="455" spans="1:17" ht="15.75" customHeight="1">
      <c r="A455" s="19">
        <v>453</v>
      </c>
      <c r="B455" s="20" t="s">
        <v>2611</v>
      </c>
      <c r="C455" s="20" t="s">
        <v>591</v>
      </c>
      <c r="D455" s="20" t="s">
        <v>2612</v>
      </c>
      <c r="E455" s="21"/>
      <c r="F455" s="21"/>
      <c r="G455" s="21"/>
      <c r="H455" s="21"/>
      <c r="I455" s="21">
        <v>50</v>
      </c>
      <c r="J455" s="21"/>
      <c r="K455" s="21"/>
      <c r="L455" s="21"/>
      <c r="M455" s="21"/>
      <c r="N455" s="21"/>
      <c r="O455" s="21"/>
      <c r="P455" s="21"/>
      <c r="Q455" s="22">
        <f t="shared" si="7"/>
        <v>50</v>
      </c>
    </row>
    <row r="456" spans="1:17" ht="15.75" customHeight="1">
      <c r="A456" s="23">
        <v>454</v>
      </c>
      <c r="B456" s="24" t="s">
        <v>2613</v>
      </c>
      <c r="C456" s="24" t="s">
        <v>582</v>
      </c>
      <c r="D456" s="24" t="s">
        <v>2614</v>
      </c>
      <c r="E456" s="25"/>
      <c r="F456" s="25"/>
      <c r="G456" s="25"/>
      <c r="H456" s="25"/>
      <c r="I456" s="25">
        <v>50</v>
      </c>
      <c r="J456" s="25"/>
      <c r="K456" s="25"/>
      <c r="L456" s="25"/>
      <c r="M456" s="25"/>
      <c r="N456" s="25"/>
      <c r="O456" s="25"/>
      <c r="P456" s="25"/>
      <c r="Q456" s="22">
        <f t="shared" si="7"/>
        <v>50</v>
      </c>
    </row>
    <row r="457" spans="1:17" ht="15.75" customHeight="1">
      <c r="A457" s="19">
        <v>455</v>
      </c>
      <c r="B457" s="20" t="s">
        <v>1024</v>
      </c>
      <c r="C457" s="20" t="s">
        <v>354</v>
      </c>
      <c r="D457" s="20" t="s">
        <v>1025</v>
      </c>
      <c r="E457" s="21"/>
      <c r="F457" s="21">
        <v>30</v>
      </c>
      <c r="G457" s="21"/>
      <c r="H457" s="21"/>
      <c r="I457" s="21">
        <v>50</v>
      </c>
      <c r="J457" s="21"/>
      <c r="K457" s="21"/>
      <c r="L457" s="21"/>
      <c r="M457" s="21"/>
      <c r="N457" s="21"/>
      <c r="O457" s="21"/>
      <c r="P457" s="21"/>
      <c r="Q457" s="22">
        <f t="shared" si="7"/>
        <v>80</v>
      </c>
    </row>
    <row r="458" spans="1:17" ht="15.75" customHeight="1">
      <c r="A458" s="23">
        <v>456</v>
      </c>
      <c r="B458" s="24" t="s">
        <v>1026</v>
      </c>
      <c r="C458" s="24" t="s">
        <v>568</v>
      </c>
      <c r="D458" s="24" t="s">
        <v>1027</v>
      </c>
      <c r="E458" s="25"/>
      <c r="F458" s="25">
        <v>30</v>
      </c>
      <c r="G458" s="25"/>
      <c r="H458" s="25"/>
      <c r="I458" s="25">
        <v>50</v>
      </c>
      <c r="J458" s="25"/>
      <c r="K458" s="25"/>
      <c r="L458" s="25"/>
      <c r="M458" s="25"/>
      <c r="N458" s="25"/>
      <c r="O458" s="25"/>
      <c r="P458" s="25"/>
      <c r="Q458" s="22">
        <f t="shared" si="7"/>
        <v>80</v>
      </c>
    </row>
    <row r="459" spans="1:17" ht="15.75" customHeight="1">
      <c r="A459" s="19">
        <v>457</v>
      </c>
      <c r="B459" s="20" t="s">
        <v>1028</v>
      </c>
      <c r="C459" s="20" t="s">
        <v>558</v>
      </c>
      <c r="D459" s="20" t="s">
        <v>1029</v>
      </c>
      <c r="E459" s="21"/>
      <c r="F459" s="21">
        <v>30</v>
      </c>
      <c r="G459" s="21"/>
      <c r="H459" s="21"/>
      <c r="I459" s="21">
        <v>50</v>
      </c>
      <c r="J459" s="21"/>
      <c r="K459" s="21"/>
      <c r="L459" s="21"/>
      <c r="M459" s="21"/>
      <c r="N459" s="21"/>
      <c r="O459" s="21"/>
      <c r="P459" s="21"/>
      <c r="Q459" s="22">
        <f t="shared" si="7"/>
        <v>80</v>
      </c>
    </row>
    <row r="460" spans="1:17" ht="15.75" customHeight="1">
      <c r="A460" s="23">
        <v>458</v>
      </c>
      <c r="B460" s="24" t="s">
        <v>1030</v>
      </c>
      <c r="C460" s="24" t="s">
        <v>835</v>
      </c>
      <c r="D460" s="24" t="s">
        <v>1031</v>
      </c>
      <c r="E460" s="25"/>
      <c r="F460" s="25"/>
      <c r="G460" s="25"/>
      <c r="H460" s="25"/>
      <c r="I460" s="25"/>
      <c r="J460" s="25"/>
      <c r="K460" s="25">
        <v>150</v>
      </c>
      <c r="L460" s="25"/>
      <c r="M460" s="25"/>
      <c r="N460" s="25"/>
      <c r="O460" s="25"/>
      <c r="P460" s="25"/>
      <c r="Q460" s="22">
        <f t="shared" si="7"/>
        <v>150</v>
      </c>
    </row>
    <row r="461" spans="1:17" ht="15.75" customHeight="1">
      <c r="A461" s="19">
        <v>459</v>
      </c>
      <c r="B461" s="20" t="s">
        <v>1032</v>
      </c>
      <c r="C461" s="20" t="s">
        <v>1033</v>
      </c>
      <c r="D461" s="20" t="s">
        <v>932</v>
      </c>
      <c r="E461" s="21">
        <v>5</v>
      </c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2">
        <f t="shared" si="7"/>
        <v>5</v>
      </c>
    </row>
    <row r="462" spans="1:17" ht="15.75" customHeight="1">
      <c r="A462" s="23">
        <v>460</v>
      </c>
      <c r="B462" s="24" t="s">
        <v>2615</v>
      </c>
      <c r="C462" s="24" t="s">
        <v>606</v>
      </c>
      <c r="D462" s="24" t="s">
        <v>2616</v>
      </c>
      <c r="E462" s="25"/>
      <c r="F462" s="25"/>
      <c r="G462" s="25"/>
      <c r="H462" s="25"/>
      <c r="I462" s="25">
        <v>50</v>
      </c>
      <c r="J462" s="25"/>
      <c r="K462" s="25"/>
      <c r="L462" s="25"/>
      <c r="M462" s="25"/>
      <c r="N462" s="25"/>
      <c r="O462" s="25"/>
      <c r="P462" s="25"/>
      <c r="Q462" s="22">
        <f t="shared" si="7"/>
        <v>50</v>
      </c>
    </row>
    <row r="463" spans="1:17" ht="15.75" customHeight="1">
      <c r="A463" s="19">
        <v>461</v>
      </c>
      <c r="B463" s="20" t="s">
        <v>2617</v>
      </c>
      <c r="C463" s="20" t="s">
        <v>2618</v>
      </c>
      <c r="D463" s="20"/>
      <c r="E463" s="21"/>
      <c r="F463" s="21"/>
      <c r="G463" s="21"/>
      <c r="H463" s="21"/>
      <c r="I463" s="21"/>
      <c r="J463" s="21"/>
      <c r="K463" s="21">
        <v>50</v>
      </c>
      <c r="L463" s="21"/>
      <c r="M463" s="21"/>
      <c r="N463" s="21"/>
      <c r="O463" s="21"/>
      <c r="P463" s="21"/>
      <c r="Q463" s="22">
        <f t="shared" si="7"/>
        <v>50</v>
      </c>
    </row>
    <row r="464" spans="1:17" ht="15.75" customHeight="1">
      <c r="A464" s="23">
        <v>462</v>
      </c>
      <c r="B464" s="24" t="s">
        <v>1036</v>
      </c>
      <c r="C464" s="24" t="s">
        <v>1037</v>
      </c>
      <c r="D464" s="24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>
        <v>100</v>
      </c>
      <c r="Q464" s="22">
        <f t="shared" si="7"/>
        <v>100</v>
      </c>
    </row>
    <row r="465" spans="1:17" ht="15.75" customHeight="1">
      <c r="A465" s="19">
        <v>463</v>
      </c>
      <c r="B465" s="20" t="s">
        <v>2619</v>
      </c>
      <c r="C465" s="20" t="s">
        <v>866</v>
      </c>
      <c r="D465" s="20" t="s">
        <v>2620</v>
      </c>
      <c r="E465" s="21"/>
      <c r="F465" s="21">
        <v>60</v>
      </c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2">
        <f t="shared" si="7"/>
        <v>60</v>
      </c>
    </row>
    <row r="466" spans="1:17" ht="15.75" customHeight="1">
      <c r="A466" s="23">
        <v>464</v>
      </c>
      <c r="B466" s="24" t="s">
        <v>2621</v>
      </c>
      <c r="C466" s="24" t="s">
        <v>2622</v>
      </c>
      <c r="D466" s="24"/>
      <c r="E466" s="25"/>
      <c r="F466" s="25"/>
      <c r="G466" s="25"/>
      <c r="H466" s="25">
        <v>10</v>
      </c>
      <c r="I466" s="25"/>
      <c r="J466" s="25"/>
      <c r="K466" s="25"/>
      <c r="L466" s="25"/>
      <c r="M466" s="25"/>
      <c r="N466" s="25"/>
      <c r="O466" s="25"/>
      <c r="P466" s="25"/>
      <c r="Q466" s="22">
        <f t="shared" si="7"/>
        <v>10</v>
      </c>
    </row>
    <row r="467" spans="1:17" ht="15.75" customHeight="1">
      <c r="A467" s="19">
        <v>465</v>
      </c>
      <c r="B467" s="20" t="s">
        <v>1042</v>
      </c>
      <c r="C467" s="20" t="s">
        <v>351</v>
      </c>
      <c r="D467" s="20" t="s">
        <v>1043</v>
      </c>
      <c r="E467" s="21"/>
      <c r="F467" s="21"/>
      <c r="G467" s="21"/>
      <c r="H467" s="21"/>
      <c r="I467" s="21"/>
      <c r="J467" s="21"/>
      <c r="K467" s="21">
        <v>20</v>
      </c>
      <c r="L467" s="21"/>
      <c r="M467" s="21"/>
      <c r="N467" s="21">
        <v>12</v>
      </c>
      <c r="O467" s="21"/>
      <c r="P467" s="21"/>
      <c r="Q467" s="22">
        <f t="shared" si="7"/>
        <v>32</v>
      </c>
    </row>
    <row r="468" spans="1:17" ht="15.75" customHeight="1">
      <c r="A468" s="23">
        <v>466</v>
      </c>
      <c r="B468" s="24" t="s">
        <v>1044</v>
      </c>
      <c r="C468" s="24" t="s">
        <v>357</v>
      </c>
      <c r="D468" s="24" t="s">
        <v>1045</v>
      </c>
      <c r="E468" s="25"/>
      <c r="F468" s="25"/>
      <c r="G468" s="25"/>
      <c r="H468" s="25"/>
      <c r="I468" s="25"/>
      <c r="J468" s="25"/>
      <c r="K468" s="25">
        <v>20</v>
      </c>
      <c r="L468" s="25"/>
      <c r="M468" s="25"/>
      <c r="N468" s="25">
        <v>80</v>
      </c>
      <c r="O468" s="25"/>
      <c r="P468" s="25"/>
      <c r="Q468" s="22">
        <f t="shared" si="7"/>
        <v>100</v>
      </c>
    </row>
    <row r="469" spans="1:17" ht="15.75" customHeight="1">
      <c r="A469" s="19">
        <v>467</v>
      </c>
      <c r="B469" s="20" t="s">
        <v>1046</v>
      </c>
      <c r="C469" s="20" t="s">
        <v>354</v>
      </c>
      <c r="D469" s="20" t="s">
        <v>1047</v>
      </c>
      <c r="E469" s="21"/>
      <c r="F469" s="21"/>
      <c r="G469" s="21"/>
      <c r="H469" s="21"/>
      <c r="I469" s="21">
        <v>26</v>
      </c>
      <c r="J469" s="21"/>
      <c r="K469" s="21"/>
      <c r="L469" s="21"/>
      <c r="M469" s="21"/>
      <c r="N469" s="21">
        <v>4</v>
      </c>
      <c r="O469" s="21"/>
      <c r="P469" s="21"/>
      <c r="Q469" s="22">
        <f t="shared" si="7"/>
        <v>30</v>
      </c>
    </row>
    <row r="470" spans="1:17" ht="15.75" customHeight="1">
      <c r="A470" s="23">
        <v>468</v>
      </c>
      <c r="B470" s="24" t="s">
        <v>1048</v>
      </c>
      <c r="C470" s="24" t="s">
        <v>582</v>
      </c>
      <c r="D470" s="24" t="s">
        <v>1049</v>
      </c>
      <c r="E470" s="25"/>
      <c r="F470" s="25"/>
      <c r="G470" s="25"/>
      <c r="H470" s="25"/>
      <c r="I470" s="25">
        <v>7</v>
      </c>
      <c r="J470" s="25"/>
      <c r="K470" s="25">
        <v>20</v>
      </c>
      <c r="L470" s="25"/>
      <c r="M470" s="25"/>
      <c r="N470" s="25"/>
      <c r="O470" s="25"/>
      <c r="P470" s="25"/>
      <c r="Q470" s="22">
        <f t="shared" si="7"/>
        <v>27</v>
      </c>
    </row>
    <row r="471" spans="1:17" ht="15.75" customHeight="1">
      <c r="A471" s="19">
        <v>469</v>
      </c>
      <c r="B471" s="20" t="s">
        <v>1050</v>
      </c>
      <c r="C471" s="20" t="s">
        <v>591</v>
      </c>
      <c r="D471" s="20" t="s">
        <v>1051</v>
      </c>
      <c r="E471" s="21"/>
      <c r="F471" s="21"/>
      <c r="G471" s="21"/>
      <c r="H471" s="21"/>
      <c r="I471" s="21">
        <v>11</v>
      </c>
      <c r="J471" s="21"/>
      <c r="K471" s="21">
        <v>20</v>
      </c>
      <c r="L471" s="21"/>
      <c r="M471" s="21"/>
      <c r="N471" s="21"/>
      <c r="O471" s="21"/>
      <c r="P471" s="21"/>
      <c r="Q471" s="22">
        <f t="shared" si="7"/>
        <v>31</v>
      </c>
    </row>
    <row r="472" spans="1:17" ht="15.75" customHeight="1">
      <c r="A472" s="23">
        <v>470</v>
      </c>
      <c r="B472" s="24" t="s">
        <v>1052</v>
      </c>
      <c r="C472" s="24" t="s">
        <v>480</v>
      </c>
      <c r="D472" s="24" t="s">
        <v>1053</v>
      </c>
      <c r="E472" s="25"/>
      <c r="F472" s="25"/>
      <c r="G472" s="25"/>
      <c r="H472" s="25"/>
      <c r="I472" s="25"/>
      <c r="J472" s="25"/>
      <c r="K472" s="25">
        <v>10</v>
      </c>
      <c r="L472" s="25"/>
      <c r="M472" s="25"/>
      <c r="N472" s="25">
        <v>10</v>
      </c>
      <c r="O472" s="25"/>
      <c r="P472" s="25"/>
      <c r="Q472" s="22">
        <f t="shared" si="7"/>
        <v>20</v>
      </c>
    </row>
    <row r="473" spans="1:17" ht="15.75" customHeight="1">
      <c r="A473" s="19">
        <v>471</v>
      </c>
      <c r="B473" s="20" t="s">
        <v>1054</v>
      </c>
      <c r="C473" s="20" t="s">
        <v>1055</v>
      </c>
      <c r="D473" s="20"/>
      <c r="E473" s="21"/>
      <c r="F473" s="21"/>
      <c r="G473" s="21"/>
      <c r="H473" s="21"/>
      <c r="I473" s="21"/>
      <c r="J473" s="21"/>
      <c r="K473" s="21">
        <v>14</v>
      </c>
      <c r="L473" s="21"/>
      <c r="M473" s="21">
        <v>50</v>
      </c>
      <c r="N473" s="21"/>
      <c r="O473" s="21"/>
      <c r="P473" s="21"/>
      <c r="Q473" s="22">
        <f t="shared" si="7"/>
        <v>64</v>
      </c>
    </row>
    <row r="474" spans="1:17" ht="15.75" customHeight="1">
      <c r="A474" s="23">
        <v>472</v>
      </c>
      <c r="B474" s="24" t="s">
        <v>1056</v>
      </c>
      <c r="C474" s="24" t="s">
        <v>1057</v>
      </c>
      <c r="D474" s="24"/>
      <c r="E474" s="25"/>
      <c r="F474" s="25"/>
      <c r="G474" s="25"/>
      <c r="H474" s="25"/>
      <c r="I474" s="25"/>
      <c r="J474" s="25"/>
      <c r="K474" s="25"/>
      <c r="L474" s="25"/>
      <c r="M474" s="25"/>
      <c r="N474" s="25">
        <v>2</v>
      </c>
      <c r="O474" s="25"/>
      <c r="P474" s="25"/>
      <c r="Q474" s="22">
        <f t="shared" si="7"/>
        <v>2</v>
      </c>
    </row>
    <row r="475" spans="1:17" ht="15.75" customHeight="1">
      <c r="A475" s="19">
        <v>473</v>
      </c>
      <c r="B475" s="20" t="s">
        <v>2623</v>
      </c>
      <c r="C475" s="20" t="s">
        <v>2624</v>
      </c>
      <c r="D475" s="20"/>
      <c r="E475" s="21"/>
      <c r="F475" s="21"/>
      <c r="G475" s="21"/>
      <c r="H475" s="21"/>
      <c r="I475" s="21"/>
      <c r="J475" s="21"/>
      <c r="K475" s="21"/>
      <c r="L475" s="21"/>
      <c r="M475" s="21">
        <v>1</v>
      </c>
      <c r="N475" s="21"/>
      <c r="O475" s="21"/>
      <c r="P475" s="21"/>
      <c r="Q475" s="22">
        <f t="shared" si="7"/>
        <v>1</v>
      </c>
    </row>
    <row r="476" spans="1:17" ht="15.75" customHeight="1">
      <c r="A476" s="23">
        <v>474</v>
      </c>
      <c r="B476" s="24" t="s">
        <v>1058</v>
      </c>
      <c r="C476" s="24" t="s">
        <v>1059</v>
      </c>
      <c r="D476" s="24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>
        <v>10</v>
      </c>
      <c r="P476" s="25"/>
      <c r="Q476" s="22">
        <f t="shared" si="7"/>
        <v>10</v>
      </c>
    </row>
    <row r="477" spans="1:17" ht="15.75" customHeight="1">
      <c r="A477" s="19">
        <v>475</v>
      </c>
      <c r="B477" s="20" t="s">
        <v>1060</v>
      </c>
      <c r="C477" s="20" t="s">
        <v>744</v>
      </c>
      <c r="D477" s="20" t="s">
        <v>1061</v>
      </c>
      <c r="E477" s="21"/>
      <c r="F477" s="21"/>
      <c r="G477" s="21"/>
      <c r="H477" s="21"/>
      <c r="I477" s="21">
        <v>50</v>
      </c>
      <c r="J477" s="21"/>
      <c r="K477" s="21"/>
      <c r="L477" s="21"/>
      <c r="M477" s="21"/>
      <c r="N477" s="21"/>
      <c r="O477" s="21"/>
      <c r="P477" s="21"/>
      <c r="Q477" s="22">
        <f t="shared" si="7"/>
        <v>50</v>
      </c>
    </row>
    <row r="478" spans="1:17" ht="15.75" customHeight="1">
      <c r="A478" s="23">
        <v>476</v>
      </c>
      <c r="B478" s="24" t="s">
        <v>1062</v>
      </c>
      <c r="C478" s="24" t="s">
        <v>1063</v>
      </c>
      <c r="D478" s="24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>
        <v>200</v>
      </c>
      <c r="P478" s="25"/>
      <c r="Q478" s="22">
        <f t="shared" si="7"/>
        <v>200</v>
      </c>
    </row>
    <row r="479" spans="1:17" ht="15.75" customHeight="1">
      <c r="A479" s="19">
        <v>477</v>
      </c>
      <c r="B479" s="20" t="s">
        <v>1066</v>
      </c>
      <c r="C479" s="20" t="s">
        <v>899</v>
      </c>
      <c r="D479" s="20" t="s">
        <v>1067</v>
      </c>
      <c r="E479" s="21"/>
      <c r="F479" s="21"/>
      <c r="G479" s="21"/>
      <c r="H479" s="21"/>
      <c r="I479" s="21"/>
      <c r="J479" s="21">
        <v>4</v>
      </c>
      <c r="K479" s="21">
        <v>28</v>
      </c>
      <c r="L479" s="21"/>
      <c r="M479" s="21">
        <v>50</v>
      </c>
      <c r="N479" s="21">
        <v>42</v>
      </c>
      <c r="O479" s="21"/>
      <c r="P479" s="21">
        <v>3</v>
      </c>
      <c r="Q479" s="22">
        <f t="shared" si="7"/>
        <v>127</v>
      </c>
    </row>
    <row r="480" spans="1:17" ht="15.75" customHeight="1">
      <c r="A480" s="23">
        <v>478</v>
      </c>
      <c r="B480" s="24" t="s">
        <v>2625</v>
      </c>
      <c r="C480" s="24" t="s">
        <v>2626</v>
      </c>
      <c r="D480" s="24"/>
      <c r="E480" s="25"/>
      <c r="F480" s="25"/>
      <c r="G480" s="25"/>
      <c r="H480" s="25"/>
      <c r="I480" s="25"/>
      <c r="J480" s="25">
        <v>2</v>
      </c>
      <c r="K480" s="25"/>
      <c r="L480" s="25"/>
      <c r="M480" s="25"/>
      <c r="N480" s="25"/>
      <c r="O480" s="25"/>
      <c r="P480" s="25"/>
      <c r="Q480" s="22">
        <f t="shared" si="7"/>
        <v>2</v>
      </c>
    </row>
    <row r="481" spans="1:17" ht="15.75" customHeight="1">
      <c r="A481" s="19">
        <v>479</v>
      </c>
      <c r="B481" s="20" t="s">
        <v>1068</v>
      </c>
      <c r="C481" s="20" t="s">
        <v>1069</v>
      </c>
      <c r="D481" s="20"/>
      <c r="E481" s="21">
        <v>2</v>
      </c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2">
        <f t="shared" si="7"/>
        <v>2</v>
      </c>
    </row>
    <row r="482" spans="1:17" ht="15.75" customHeight="1">
      <c r="A482" s="23">
        <v>480</v>
      </c>
      <c r="B482" s="24" t="s">
        <v>1072</v>
      </c>
      <c r="C482" s="24" t="s">
        <v>1073</v>
      </c>
      <c r="D482" s="24"/>
      <c r="E482" s="25"/>
      <c r="F482" s="25"/>
      <c r="G482" s="25"/>
      <c r="H482" s="25"/>
      <c r="I482" s="25">
        <v>4</v>
      </c>
      <c r="J482" s="25"/>
      <c r="K482" s="25"/>
      <c r="L482" s="25"/>
      <c r="M482" s="25"/>
      <c r="N482" s="25"/>
      <c r="O482" s="25"/>
      <c r="P482" s="25"/>
      <c r="Q482" s="22">
        <f t="shared" si="7"/>
        <v>4</v>
      </c>
    </row>
    <row r="483" spans="1:17" ht="15.75" customHeight="1">
      <c r="A483" s="19">
        <v>481</v>
      </c>
      <c r="B483" s="20" t="s">
        <v>1083</v>
      </c>
      <c r="C483" s="20" t="s">
        <v>841</v>
      </c>
      <c r="D483" s="20" t="s">
        <v>1084</v>
      </c>
      <c r="E483" s="21">
        <v>1480</v>
      </c>
      <c r="F483" s="21"/>
      <c r="G483" s="21">
        <v>16</v>
      </c>
      <c r="H483" s="21"/>
      <c r="I483" s="21"/>
      <c r="J483" s="21"/>
      <c r="K483" s="21"/>
      <c r="L483" s="21"/>
      <c r="M483" s="21"/>
      <c r="N483" s="21"/>
      <c r="O483" s="21"/>
      <c r="P483" s="21"/>
      <c r="Q483" s="22">
        <f t="shared" si="7"/>
        <v>1496</v>
      </c>
    </row>
    <row r="484" spans="1:17" ht="15.75" customHeight="1">
      <c r="A484" s="23">
        <v>482</v>
      </c>
      <c r="B484" s="24" t="s">
        <v>1087</v>
      </c>
      <c r="C484" s="24" t="s">
        <v>814</v>
      </c>
      <c r="D484" s="24" t="s">
        <v>1088</v>
      </c>
      <c r="E484" s="25"/>
      <c r="F484" s="25">
        <v>1000</v>
      </c>
      <c r="G484" s="25"/>
      <c r="H484" s="25"/>
      <c r="I484" s="25"/>
      <c r="J484" s="25"/>
      <c r="K484" s="25">
        <v>1500</v>
      </c>
      <c r="L484" s="25"/>
      <c r="M484" s="25">
        <v>1000</v>
      </c>
      <c r="N484" s="25"/>
      <c r="O484" s="25"/>
      <c r="P484" s="25">
        <v>1000</v>
      </c>
      <c r="Q484" s="22">
        <f t="shared" si="7"/>
        <v>4500</v>
      </c>
    </row>
    <row r="485" spans="1:17" ht="15.75" customHeight="1">
      <c r="A485" s="19">
        <v>483</v>
      </c>
      <c r="B485" s="20" t="s">
        <v>1089</v>
      </c>
      <c r="C485" s="20" t="s">
        <v>841</v>
      </c>
      <c r="D485" s="20" t="s">
        <v>1090</v>
      </c>
      <c r="E485" s="21">
        <v>1000</v>
      </c>
      <c r="F485" s="21"/>
      <c r="G485" s="21"/>
      <c r="H485" s="21"/>
      <c r="I485" s="21"/>
      <c r="J485" s="21"/>
      <c r="K485" s="21">
        <v>1000</v>
      </c>
      <c r="L485" s="21"/>
      <c r="M485" s="21"/>
      <c r="N485" s="21"/>
      <c r="O485" s="21">
        <v>1000</v>
      </c>
      <c r="P485" s="21">
        <v>1000</v>
      </c>
      <c r="Q485" s="22">
        <f t="shared" si="7"/>
        <v>4000</v>
      </c>
    </row>
    <row r="486" spans="1:17" ht="15.75" customHeight="1">
      <c r="A486" s="23">
        <v>484</v>
      </c>
      <c r="B486" s="24" t="s">
        <v>1091</v>
      </c>
      <c r="C486" s="24" t="s">
        <v>869</v>
      </c>
      <c r="D486" s="24" t="s">
        <v>1092</v>
      </c>
      <c r="E486" s="25">
        <v>3500</v>
      </c>
      <c r="F486" s="25">
        <v>1000</v>
      </c>
      <c r="G486" s="25">
        <v>1000</v>
      </c>
      <c r="H486" s="25">
        <v>1000</v>
      </c>
      <c r="I486" s="25">
        <v>100</v>
      </c>
      <c r="J486" s="25">
        <v>1000</v>
      </c>
      <c r="K486" s="25">
        <v>1500</v>
      </c>
      <c r="L486" s="25">
        <v>2000</v>
      </c>
      <c r="M486" s="25">
        <v>1900</v>
      </c>
      <c r="N486" s="25"/>
      <c r="O486" s="25">
        <v>2700</v>
      </c>
      <c r="P486" s="25">
        <v>3000</v>
      </c>
      <c r="Q486" s="22">
        <f t="shared" si="7"/>
        <v>18700</v>
      </c>
    </row>
    <row r="487" spans="1:17" ht="15.75" customHeight="1">
      <c r="A487" s="19">
        <v>485</v>
      </c>
      <c r="B487" s="20" t="s">
        <v>2627</v>
      </c>
      <c r="C487" s="20" t="s">
        <v>2628</v>
      </c>
      <c r="D487" s="20"/>
      <c r="E487" s="21">
        <v>36</v>
      </c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>
        <v>56</v>
      </c>
      <c r="Q487" s="22">
        <f t="shared" si="7"/>
        <v>92</v>
      </c>
    </row>
    <row r="488" spans="1:17" ht="15.75" customHeight="1">
      <c r="A488" s="23">
        <v>486</v>
      </c>
      <c r="B488" s="24" t="s">
        <v>1093</v>
      </c>
      <c r="C488" s="24" t="s">
        <v>841</v>
      </c>
      <c r="D488" s="24" t="s">
        <v>1094</v>
      </c>
      <c r="E488" s="25">
        <v>500</v>
      </c>
      <c r="F488" s="25"/>
      <c r="G488" s="25"/>
      <c r="H488" s="25">
        <v>1000</v>
      </c>
      <c r="I488" s="25"/>
      <c r="J488" s="25"/>
      <c r="K488" s="25"/>
      <c r="L488" s="25"/>
      <c r="M488" s="25"/>
      <c r="N488" s="25"/>
      <c r="O488" s="25"/>
      <c r="P488" s="25"/>
      <c r="Q488" s="22">
        <f t="shared" si="7"/>
        <v>1500</v>
      </c>
    </row>
    <row r="489" spans="1:17" ht="15.75" customHeight="1">
      <c r="A489" s="19">
        <v>487</v>
      </c>
      <c r="B489" s="20" t="s">
        <v>1095</v>
      </c>
      <c r="C489" s="20" t="s">
        <v>814</v>
      </c>
      <c r="D489" s="20" t="s">
        <v>1096</v>
      </c>
      <c r="E489" s="21">
        <v>500</v>
      </c>
      <c r="F489" s="21"/>
      <c r="G489" s="21"/>
      <c r="H489" s="21">
        <v>1000</v>
      </c>
      <c r="I489" s="21"/>
      <c r="J489" s="21"/>
      <c r="K489" s="21"/>
      <c r="L489" s="21"/>
      <c r="M489" s="21"/>
      <c r="N489" s="21"/>
      <c r="O489" s="21"/>
      <c r="P489" s="21"/>
      <c r="Q489" s="22">
        <f t="shared" si="7"/>
        <v>1500</v>
      </c>
    </row>
    <row r="490" spans="1:17" ht="15.75" customHeight="1">
      <c r="A490" s="23">
        <v>488</v>
      </c>
      <c r="B490" s="24" t="s">
        <v>1097</v>
      </c>
      <c r="C490" s="24" t="s">
        <v>869</v>
      </c>
      <c r="D490" s="24" t="s">
        <v>1098</v>
      </c>
      <c r="E490" s="25"/>
      <c r="F490" s="25"/>
      <c r="G490" s="25"/>
      <c r="H490" s="25">
        <v>1000</v>
      </c>
      <c r="I490" s="25"/>
      <c r="J490" s="25"/>
      <c r="K490" s="25"/>
      <c r="L490" s="25"/>
      <c r="M490" s="25"/>
      <c r="N490" s="25"/>
      <c r="O490" s="25"/>
      <c r="P490" s="25"/>
      <c r="Q490" s="22">
        <f t="shared" si="7"/>
        <v>1000</v>
      </c>
    </row>
    <row r="491" spans="1:17" ht="15.75" customHeight="1">
      <c r="A491" s="19">
        <v>489</v>
      </c>
      <c r="B491" s="20" t="s">
        <v>2629</v>
      </c>
      <c r="C491" s="20" t="s">
        <v>2630</v>
      </c>
      <c r="D491" s="20" t="s">
        <v>2631</v>
      </c>
      <c r="E491" s="21"/>
      <c r="F491" s="21"/>
      <c r="G491" s="21"/>
      <c r="H491" s="21">
        <v>10</v>
      </c>
      <c r="I491" s="21"/>
      <c r="J491" s="21"/>
      <c r="K491" s="21"/>
      <c r="L491" s="21"/>
      <c r="M491" s="21"/>
      <c r="N491" s="21"/>
      <c r="O491" s="21"/>
      <c r="P491" s="21"/>
      <c r="Q491" s="22">
        <f t="shared" si="7"/>
        <v>10</v>
      </c>
    </row>
    <row r="492" spans="1:17" ht="15.75" customHeight="1">
      <c r="A492" s="23">
        <v>490</v>
      </c>
      <c r="B492" s="24" t="s">
        <v>2632</v>
      </c>
      <c r="C492" s="24" t="s">
        <v>2633</v>
      </c>
      <c r="D492" s="24" t="s">
        <v>922</v>
      </c>
      <c r="E492" s="25"/>
      <c r="F492" s="25"/>
      <c r="G492" s="25"/>
      <c r="H492" s="25"/>
      <c r="I492" s="25"/>
      <c r="J492" s="25"/>
      <c r="K492" s="25"/>
      <c r="L492" s="25"/>
      <c r="M492" s="25"/>
      <c r="N492" s="25">
        <v>2</v>
      </c>
      <c r="O492" s="25"/>
      <c r="P492" s="25"/>
      <c r="Q492" s="22">
        <f t="shared" si="7"/>
        <v>2</v>
      </c>
    </row>
    <row r="493" spans="1:17" ht="15.75" customHeight="1">
      <c r="A493" s="19">
        <v>491</v>
      </c>
      <c r="B493" s="20" t="s">
        <v>2634</v>
      </c>
      <c r="C493" s="20" t="s">
        <v>866</v>
      </c>
      <c r="D493" s="20" t="s">
        <v>2635</v>
      </c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>
        <v>60</v>
      </c>
      <c r="P493" s="21"/>
      <c r="Q493" s="22">
        <f t="shared" si="7"/>
        <v>60</v>
      </c>
    </row>
    <row r="494" spans="1:17" ht="15.75" customHeight="1">
      <c r="A494" s="23">
        <v>492</v>
      </c>
      <c r="B494" s="24" t="s">
        <v>1099</v>
      </c>
      <c r="C494" s="24" t="s">
        <v>370</v>
      </c>
      <c r="D494" s="24" t="s">
        <v>1100</v>
      </c>
      <c r="E494" s="25"/>
      <c r="F494" s="25"/>
      <c r="G494" s="25">
        <v>1000</v>
      </c>
      <c r="H494" s="25"/>
      <c r="I494" s="25"/>
      <c r="J494" s="25"/>
      <c r="K494" s="25">
        <v>1003</v>
      </c>
      <c r="L494" s="25"/>
      <c r="M494" s="25"/>
      <c r="N494" s="25"/>
      <c r="O494" s="25"/>
      <c r="P494" s="25">
        <v>700</v>
      </c>
      <c r="Q494" s="22">
        <f t="shared" si="7"/>
        <v>2703</v>
      </c>
    </row>
    <row r="495" spans="1:17" ht="15.75" customHeight="1">
      <c r="A495" s="19">
        <v>493</v>
      </c>
      <c r="B495" s="20" t="s">
        <v>2636</v>
      </c>
      <c r="C495" s="20" t="s">
        <v>2637</v>
      </c>
      <c r="D495" s="20"/>
      <c r="E495" s="21"/>
      <c r="F495" s="21"/>
      <c r="G495" s="21"/>
      <c r="H495" s="21"/>
      <c r="I495" s="21">
        <v>16</v>
      </c>
      <c r="J495" s="21"/>
      <c r="K495" s="21"/>
      <c r="L495" s="21"/>
      <c r="M495" s="21"/>
      <c r="N495" s="21"/>
      <c r="O495" s="21"/>
      <c r="P495" s="21"/>
      <c r="Q495" s="22">
        <f t="shared" si="7"/>
        <v>16</v>
      </c>
    </row>
    <row r="496" spans="1:17" ht="15.75" customHeight="1">
      <c r="A496" s="23">
        <v>494</v>
      </c>
      <c r="B496" s="24" t="s">
        <v>2638</v>
      </c>
      <c r="C496" s="24" t="s">
        <v>2639</v>
      </c>
      <c r="D496" s="24"/>
      <c r="E496" s="25"/>
      <c r="F496" s="25"/>
      <c r="G496" s="25"/>
      <c r="H496" s="25"/>
      <c r="I496" s="25">
        <v>10</v>
      </c>
      <c r="J496" s="25"/>
      <c r="K496" s="25"/>
      <c r="L496" s="25"/>
      <c r="M496" s="25">
        <v>2</v>
      </c>
      <c r="N496" s="25">
        <v>1</v>
      </c>
      <c r="O496" s="25"/>
      <c r="P496" s="25"/>
      <c r="Q496" s="22">
        <f t="shared" si="7"/>
        <v>13</v>
      </c>
    </row>
    <row r="497" spans="1:17" ht="15.75" customHeight="1">
      <c r="A497" s="19">
        <v>495</v>
      </c>
      <c r="B497" s="20" t="s">
        <v>2640</v>
      </c>
      <c r="C497" s="20" t="s">
        <v>2641</v>
      </c>
      <c r="D497" s="20"/>
      <c r="E497" s="21"/>
      <c r="F497" s="21"/>
      <c r="G497" s="21"/>
      <c r="H497" s="21"/>
      <c r="I497" s="21">
        <v>11</v>
      </c>
      <c r="J497" s="21"/>
      <c r="K497" s="21"/>
      <c r="L497" s="21"/>
      <c r="M497" s="21"/>
      <c r="N497" s="21"/>
      <c r="O497" s="21"/>
      <c r="P497" s="21"/>
      <c r="Q497" s="22">
        <f t="shared" si="7"/>
        <v>11</v>
      </c>
    </row>
    <row r="498" spans="1:17" ht="15.75" customHeight="1">
      <c r="A498" s="23">
        <v>496</v>
      </c>
      <c r="B498" s="24" t="s">
        <v>1101</v>
      </c>
      <c r="C498" s="24" t="s">
        <v>600</v>
      </c>
      <c r="D498" s="24" t="s">
        <v>1102</v>
      </c>
      <c r="E498" s="25"/>
      <c r="F498" s="25">
        <v>20</v>
      </c>
      <c r="G498" s="25"/>
      <c r="H498" s="25"/>
      <c r="I498" s="25"/>
      <c r="J498" s="25"/>
      <c r="K498" s="25"/>
      <c r="L498" s="25"/>
      <c r="M498" s="25"/>
      <c r="N498" s="25"/>
      <c r="O498" s="25"/>
      <c r="P498" s="25">
        <v>60</v>
      </c>
      <c r="Q498" s="22">
        <f t="shared" si="7"/>
        <v>80</v>
      </c>
    </row>
    <row r="499" spans="1:17" ht="15.75" customHeight="1">
      <c r="A499" s="19">
        <v>497</v>
      </c>
      <c r="B499" s="20" t="s">
        <v>2642</v>
      </c>
      <c r="C499" s="20" t="s">
        <v>2643</v>
      </c>
      <c r="D499" s="20"/>
      <c r="E499" s="21"/>
      <c r="F499" s="21"/>
      <c r="G499" s="21"/>
      <c r="H499" s="21"/>
      <c r="I499" s="21">
        <v>3</v>
      </c>
      <c r="J499" s="21"/>
      <c r="K499" s="21"/>
      <c r="L499" s="21"/>
      <c r="M499" s="21"/>
      <c r="N499" s="21"/>
      <c r="O499" s="21"/>
      <c r="P499" s="21"/>
      <c r="Q499" s="22">
        <f t="shared" si="7"/>
        <v>3</v>
      </c>
    </row>
    <row r="500" spans="1:17" ht="15.75" customHeight="1">
      <c r="A500" s="23">
        <v>498</v>
      </c>
      <c r="B500" s="24" t="s">
        <v>2644</v>
      </c>
      <c r="C500" s="24" t="s">
        <v>2645</v>
      </c>
      <c r="D500" s="24"/>
      <c r="E500" s="25"/>
      <c r="F500" s="25"/>
      <c r="G500" s="25"/>
      <c r="H500" s="25"/>
      <c r="I500" s="25"/>
      <c r="J500" s="25"/>
      <c r="K500" s="25"/>
      <c r="L500" s="25">
        <v>3</v>
      </c>
      <c r="M500" s="25"/>
      <c r="N500" s="25">
        <v>3</v>
      </c>
      <c r="O500" s="25"/>
      <c r="P500" s="25"/>
      <c r="Q500" s="22">
        <f t="shared" si="7"/>
        <v>6</v>
      </c>
    </row>
    <row r="501" spans="1:17" ht="15.75" customHeight="1">
      <c r="A501" s="19">
        <v>499</v>
      </c>
      <c r="B501" s="20" t="s">
        <v>2646</v>
      </c>
      <c r="C501" s="20" t="s">
        <v>2647</v>
      </c>
      <c r="D501" s="20" t="s">
        <v>2592</v>
      </c>
      <c r="E501" s="21"/>
      <c r="F501" s="21"/>
      <c r="G501" s="21">
        <v>10</v>
      </c>
      <c r="H501" s="21"/>
      <c r="I501" s="21"/>
      <c r="J501" s="21">
        <v>3</v>
      </c>
      <c r="K501" s="21"/>
      <c r="L501" s="21"/>
      <c r="M501" s="21"/>
      <c r="N501" s="21"/>
      <c r="O501" s="21"/>
      <c r="P501" s="21"/>
      <c r="Q501" s="22">
        <f t="shared" si="7"/>
        <v>13</v>
      </c>
    </row>
    <row r="502" spans="1:17" ht="15.75" customHeight="1">
      <c r="A502" s="23">
        <v>500</v>
      </c>
      <c r="B502" s="24" t="s">
        <v>1103</v>
      </c>
      <c r="C502" s="24" t="s">
        <v>720</v>
      </c>
      <c r="D502" s="26" t="s">
        <v>1104</v>
      </c>
      <c r="E502" s="25"/>
      <c r="F502" s="25">
        <v>60</v>
      </c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2">
        <f t="shared" si="7"/>
        <v>60</v>
      </c>
    </row>
    <row r="503" spans="1:17" ht="15.75" customHeight="1">
      <c r="A503" s="19">
        <v>501</v>
      </c>
      <c r="B503" s="20" t="s">
        <v>2648</v>
      </c>
      <c r="C503" s="20" t="s">
        <v>2649</v>
      </c>
      <c r="D503" s="20" t="s">
        <v>922</v>
      </c>
      <c r="E503" s="21"/>
      <c r="F503" s="21"/>
      <c r="G503" s="21"/>
      <c r="H503" s="21"/>
      <c r="I503" s="21"/>
      <c r="J503" s="21"/>
      <c r="K503" s="21"/>
      <c r="L503" s="21"/>
      <c r="M503" s="21"/>
      <c r="N503" s="21">
        <v>2</v>
      </c>
      <c r="O503" s="21"/>
      <c r="P503" s="21"/>
      <c r="Q503" s="22">
        <f t="shared" si="7"/>
        <v>2</v>
      </c>
    </row>
    <row r="504" spans="1:17" ht="15.75" customHeight="1">
      <c r="A504" s="23">
        <v>502</v>
      </c>
      <c r="B504" s="24" t="s">
        <v>1112</v>
      </c>
      <c r="C504" s="24" t="s">
        <v>574</v>
      </c>
      <c r="D504" s="24" t="s">
        <v>1113</v>
      </c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>
        <v>10</v>
      </c>
      <c r="Q504" s="22">
        <f t="shared" si="7"/>
        <v>10</v>
      </c>
    </row>
    <row r="505" spans="1:17" ht="15.75" customHeight="1">
      <c r="A505" s="19">
        <v>503</v>
      </c>
      <c r="B505" s="20" t="s">
        <v>2650</v>
      </c>
      <c r="C505" s="20" t="s">
        <v>866</v>
      </c>
      <c r="D505" s="27" t="s">
        <v>1154</v>
      </c>
      <c r="E505" s="21"/>
      <c r="F505" s="21">
        <v>10</v>
      </c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2">
        <f t="shared" si="7"/>
        <v>10</v>
      </c>
    </row>
    <row r="506" spans="1:17" ht="15.75" customHeight="1">
      <c r="A506" s="23">
        <v>504</v>
      </c>
      <c r="B506" s="24" t="s">
        <v>2651</v>
      </c>
      <c r="C506" s="24" t="s">
        <v>2652</v>
      </c>
      <c r="D506" s="24" t="s">
        <v>2592</v>
      </c>
      <c r="E506" s="25"/>
      <c r="F506" s="25"/>
      <c r="G506" s="25">
        <v>10</v>
      </c>
      <c r="H506" s="25"/>
      <c r="I506" s="25"/>
      <c r="J506" s="25">
        <v>3</v>
      </c>
      <c r="K506" s="25"/>
      <c r="L506" s="25"/>
      <c r="M506" s="25"/>
      <c r="N506" s="25"/>
      <c r="O506" s="25"/>
      <c r="P506" s="25"/>
      <c r="Q506" s="22">
        <f t="shared" si="7"/>
        <v>13</v>
      </c>
    </row>
    <row r="507" spans="1:17" ht="15.75" customHeight="1">
      <c r="A507" s="19">
        <v>505</v>
      </c>
      <c r="B507" s="20" t="s">
        <v>1114</v>
      </c>
      <c r="C507" s="20" t="s">
        <v>558</v>
      </c>
      <c r="D507" s="20" t="s">
        <v>1115</v>
      </c>
      <c r="E507" s="21"/>
      <c r="F507" s="21"/>
      <c r="G507" s="21"/>
      <c r="H507" s="21"/>
      <c r="I507" s="21"/>
      <c r="J507" s="21"/>
      <c r="K507" s="21"/>
      <c r="L507" s="21"/>
      <c r="M507" s="21"/>
      <c r="N507" s="21">
        <v>3</v>
      </c>
      <c r="O507" s="21"/>
      <c r="P507" s="21"/>
      <c r="Q507" s="22">
        <f t="shared" si="7"/>
        <v>3</v>
      </c>
    </row>
    <row r="508" spans="1:17" ht="15.75" customHeight="1">
      <c r="A508" s="23">
        <v>506</v>
      </c>
      <c r="B508" s="24" t="s">
        <v>1116</v>
      </c>
      <c r="C508" s="24" t="s">
        <v>1117</v>
      </c>
      <c r="D508" s="24"/>
      <c r="E508" s="25">
        <v>100</v>
      </c>
      <c r="F508" s="25"/>
      <c r="G508" s="25"/>
      <c r="H508" s="25"/>
      <c r="I508" s="25"/>
      <c r="J508" s="25">
        <v>28</v>
      </c>
      <c r="K508" s="25"/>
      <c r="L508" s="25"/>
      <c r="M508" s="25">
        <v>210</v>
      </c>
      <c r="N508" s="25"/>
      <c r="O508" s="25"/>
      <c r="P508" s="25">
        <v>10</v>
      </c>
      <c r="Q508" s="22">
        <f t="shared" si="7"/>
        <v>348</v>
      </c>
    </row>
    <row r="509" spans="1:17" ht="15.75" customHeight="1">
      <c r="A509" s="19">
        <v>507</v>
      </c>
      <c r="B509" s="20" t="s">
        <v>2653</v>
      </c>
      <c r="C509" s="20" t="s">
        <v>2654</v>
      </c>
      <c r="D509" s="20"/>
      <c r="E509" s="21"/>
      <c r="F509" s="21"/>
      <c r="G509" s="21">
        <v>75</v>
      </c>
      <c r="H509" s="21"/>
      <c r="I509" s="21"/>
      <c r="J509" s="21"/>
      <c r="K509" s="21"/>
      <c r="L509" s="21"/>
      <c r="M509" s="21"/>
      <c r="N509" s="21"/>
      <c r="O509" s="21"/>
      <c r="P509" s="21"/>
      <c r="Q509" s="22">
        <f t="shared" si="7"/>
        <v>75</v>
      </c>
    </row>
    <row r="510" spans="1:17" ht="15.75" customHeight="1">
      <c r="A510" s="23">
        <v>508</v>
      </c>
      <c r="B510" s="24" t="s">
        <v>1118</v>
      </c>
      <c r="C510" s="24" t="s">
        <v>370</v>
      </c>
      <c r="D510" s="24" t="s">
        <v>1115</v>
      </c>
      <c r="E510" s="25">
        <v>2</v>
      </c>
      <c r="F510" s="25"/>
      <c r="G510" s="25"/>
      <c r="H510" s="25"/>
      <c r="I510" s="25"/>
      <c r="J510" s="25">
        <v>3</v>
      </c>
      <c r="K510" s="25"/>
      <c r="L510" s="25"/>
      <c r="M510" s="25"/>
      <c r="N510" s="25">
        <v>4</v>
      </c>
      <c r="O510" s="25"/>
      <c r="P510" s="25">
        <v>10</v>
      </c>
      <c r="Q510" s="22">
        <f t="shared" si="7"/>
        <v>19</v>
      </c>
    </row>
    <row r="511" spans="1:17" ht="15.75" customHeight="1">
      <c r="A511" s="19">
        <v>509</v>
      </c>
      <c r="B511" s="20" t="s">
        <v>1119</v>
      </c>
      <c r="C511" s="20" t="s">
        <v>351</v>
      </c>
      <c r="D511" s="20" t="s">
        <v>1115</v>
      </c>
      <c r="E511" s="21"/>
      <c r="F511" s="21"/>
      <c r="G511" s="21"/>
      <c r="H511" s="21"/>
      <c r="I511" s="21"/>
      <c r="J511" s="21"/>
      <c r="K511" s="21"/>
      <c r="L511" s="21"/>
      <c r="M511" s="21"/>
      <c r="N511" s="21">
        <v>2</v>
      </c>
      <c r="O511" s="21"/>
      <c r="P511" s="21"/>
      <c r="Q511" s="22">
        <f t="shared" si="7"/>
        <v>2</v>
      </c>
    </row>
    <row r="512" spans="1:17" ht="15.75" customHeight="1">
      <c r="A512" s="23">
        <v>510</v>
      </c>
      <c r="B512" s="24" t="s">
        <v>1120</v>
      </c>
      <c r="C512" s="24" t="s">
        <v>568</v>
      </c>
      <c r="D512" s="24" t="s">
        <v>1115</v>
      </c>
      <c r="E512" s="25"/>
      <c r="F512" s="25"/>
      <c r="G512" s="25"/>
      <c r="H512" s="25"/>
      <c r="I512" s="25"/>
      <c r="J512" s="25"/>
      <c r="K512" s="25"/>
      <c r="L512" s="25">
        <v>40</v>
      </c>
      <c r="M512" s="25"/>
      <c r="N512" s="25"/>
      <c r="O512" s="25"/>
      <c r="P512" s="25"/>
      <c r="Q512" s="22">
        <f t="shared" si="7"/>
        <v>40</v>
      </c>
    </row>
    <row r="513" spans="1:17" ht="15.75" customHeight="1">
      <c r="A513" s="19">
        <v>511</v>
      </c>
      <c r="B513" s="20" t="s">
        <v>2655</v>
      </c>
      <c r="C513" s="20" t="s">
        <v>2656</v>
      </c>
      <c r="D513" s="20"/>
      <c r="E513" s="21"/>
      <c r="F513" s="21"/>
      <c r="G513" s="21"/>
      <c r="H513" s="21">
        <v>10</v>
      </c>
      <c r="I513" s="21"/>
      <c r="J513" s="21"/>
      <c r="K513" s="21"/>
      <c r="L513" s="21"/>
      <c r="M513" s="21"/>
      <c r="N513" s="21"/>
      <c r="O513" s="21"/>
      <c r="P513" s="21"/>
      <c r="Q513" s="22">
        <f t="shared" si="7"/>
        <v>10</v>
      </c>
    </row>
    <row r="514" spans="1:17" ht="15.75" customHeight="1">
      <c r="A514" s="23">
        <v>512</v>
      </c>
      <c r="B514" s="24" t="s">
        <v>2657</v>
      </c>
      <c r="C514" s="24" t="s">
        <v>354</v>
      </c>
      <c r="D514" s="24" t="s">
        <v>1115</v>
      </c>
      <c r="E514" s="25"/>
      <c r="F514" s="25"/>
      <c r="G514" s="25"/>
      <c r="H514" s="25"/>
      <c r="I514" s="25"/>
      <c r="J514" s="25"/>
      <c r="K514" s="25"/>
      <c r="L514" s="25">
        <v>10</v>
      </c>
      <c r="M514" s="25"/>
      <c r="N514" s="25"/>
      <c r="O514" s="25"/>
      <c r="P514" s="25"/>
      <c r="Q514" s="22">
        <f t="shared" si="7"/>
        <v>10</v>
      </c>
    </row>
    <row r="515" spans="1:17" ht="15.75" customHeight="1">
      <c r="A515" s="19">
        <v>513</v>
      </c>
      <c r="B515" s="20" t="s">
        <v>2658</v>
      </c>
      <c r="C515" s="20" t="s">
        <v>872</v>
      </c>
      <c r="D515" s="20" t="s">
        <v>2659</v>
      </c>
      <c r="E515" s="21"/>
      <c r="F515" s="21"/>
      <c r="G515" s="21"/>
      <c r="H515" s="21"/>
      <c r="I515" s="21"/>
      <c r="J515" s="21"/>
      <c r="K515" s="21"/>
      <c r="L515" s="21"/>
      <c r="M515" s="21"/>
      <c r="N515" s="21">
        <v>20</v>
      </c>
      <c r="O515" s="21"/>
      <c r="P515" s="21"/>
      <c r="Q515" s="22">
        <f t="shared" ref="Q515:Q578" si="8">SUM(E515:P515)</f>
        <v>20</v>
      </c>
    </row>
    <row r="516" spans="1:17" ht="15.75" customHeight="1">
      <c r="A516" s="23">
        <v>514</v>
      </c>
      <c r="B516" s="24" t="s">
        <v>1121</v>
      </c>
      <c r="C516" s="24" t="s">
        <v>568</v>
      </c>
      <c r="D516" s="24" t="s">
        <v>1122</v>
      </c>
      <c r="E516" s="25"/>
      <c r="F516" s="25"/>
      <c r="G516" s="25"/>
      <c r="H516" s="25">
        <v>5</v>
      </c>
      <c r="I516" s="25"/>
      <c r="J516" s="25">
        <v>5</v>
      </c>
      <c r="K516" s="25">
        <v>25</v>
      </c>
      <c r="L516" s="25"/>
      <c r="M516" s="25"/>
      <c r="N516" s="25"/>
      <c r="O516" s="25">
        <v>12</v>
      </c>
      <c r="P516" s="25">
        <v>2</v>
      </c>
      <c r="Q516" s="22">
        <f t="shared" si="8"/>
        <v>49</v>
      </c>
    </row>
    <row r="517" spans="1:17" ht="15.75" customHeight="1">
      <c r="A517" s="19">
        <v>515</v>
      </c>
      <c r="B517" s="20" t="s">
        <v>1123</v>
      </c>
      <c r="C517" s="20" t="s">
        <v>666</v>
      </c>
      <c r="D517" s="20" t="s">
        <v>1124</v>
      </c>
      <c r="E517" s="21"/>
      <c r="F517" s="21"/>
      <c r="G517" s="21"/>
      <c r="H517" s="21"/>
      <c r="I517" s="21"/>
      <c r="J517" s="21"/>
      <c r="K517" s="21"/>
      <c r="L517" s="21"/>
      <c r="M517" s="21"/>
      <c r="N517" s="21">
        <v>3</v>
      </c>
      <c r="O517" s="21"/>
      <c r="P517" s="21"/>
      <c r="Q517" s="22">
        <f t="shared" si="8"/>
        <v>3</v>
      </c>
    </row>
    <row r="518" spans="1:17" ht="15.75" customHeight="1">
      <c r="A518" s="23">
        <v>516</v>
      </c>
      <c r="B518" s="24" t="s">
        <v>1125</v>
      </c>
      <c r="C518" s="24" t="s">
        <v>678</v>
      </c>
      <c r="D518" s="24" t="s">
        <v>1126</v>
      </c>
      <c r="E518" s="25"/>
      <c r="F518" s="25"/>
      <c r="G518" s="25"/>
      <c r="H518" s="25"/>
      <c r="I518" s="25"/>
      <c r="J518" s="25">
        <v>6</v>
      </c>
      <c r="K518" s="25"/>
      <c r="L518" s="25">
        <v>6</v>
      </c>
      <c r="M518" s="25"/>
      <c r="N518" s="25">
        <v>3</v>
      </c>
      <c r="O518" s="25"/>
      <c r="P518" s="25"/>
      <c r="Q518" s="22">
        <f t="shared" si="8"/>
        <v>15</v>
      </c>
    </row>
    <row r="519" spans="1:17" ht="15.75" customHeight="1">
      <c r="A519" s="19">
        <v>517</v>
      </c>
      <c r="B519" s="20" t="s">
        <v>1127</v>
      </c>
      <c r="C519" s="20" t="s">
        <v>692</v>
      </c>
      <c r="D519" s="20" t="s">
        <v>1128</v>
      </c>
      <c r="E519" s="21"/>
      <c r="F519" s="21"/>
      <c r="G519" s="21"/>
      <c r="H519" s="21"/>
      <c r="I519" s="21"/>
      <c r="J519" s="21">
        <v>21</v>
      </c>
      <c r="K519" s="21">
        <v>28</v>
      </c>
      <c r="L519" s="21"/>
      <c r="M519" s="21"/>
      <c r="N519" s="21">
        <v>17</v>
      </c>
      <c r="O519" s="21">
        <v>9</v>
      </c>
      <c r="P519" s="21"/>
      <c r="Q519" s="22">
        <f t="shared" si="8"/>
        <v>75</v>
      </c>
    </row>
    <row r="520" spans="1:17" ht="15.75" customHeight="1">
      <c r="A520" s="23">
        <v>518</v>
      </c>
      <c r="B520" s="24" t="s">
        <v>1129</v>
      </c>
      <c r="C520" s="24" t="s">
        <v>723</v>
      </c>
      <c r="D520" s="24" t="s">
        <v>1130</v>
      </c>
      <c r="E520" s="25"/>
      <c r="F520" s="25"/>
      <c r="G520" s="25"/>
      <c r="H520" s="25"/>
      <c r="I520" s="25"/>
      <c r="J520" s="25">
        <v>48</v>
      </c>
      <c r="K520" s="25">
        <v>14</v>
      </c>
      <c r="L520" s="25">
        <v>40</v>
      </c>
      <c r="M520" s="25">
        <v>10</v>
      </c>
      <c r="N520" s="25">
        <v>15</v>
      </c>
      <c r="O520" s="25"/>
      <c r="P520" s="25"/>
      <c r="Q520" s="22">
        <f t="shared" si="8"/>
        <v>127</v>
      </c>
    </row>
    <row r="521" spans="1:17" ht="15.75" customHeight="1">
      <c r="A521" s="19">
        <v>519</v>
      </c>
      <c r="B521" s="20" t="s">
        <v>1133</v>
      </c>
      <c r="C521" s="20" t="s">
        <v>708</v>
      </c>
      <c r="D521" s="20" t="s">
        <v>1134</v>
      </c>
      <c r="E521" s="21"/>
      <c r="F521" s="21"/>
      <c r="G521" s="21"/>
      <c r="H521" s="21"/>
      <c r="I521" s="21"/>
      <c r="J521" s="21">
        <v>6</v>
      </c>
      <c r="K521" s="21"/>
      <c r="L521" s="21"/>
      <c r="M521" s="21"/>
      <c r="N521" s="21"/>
      <c r="O521" s="21"/>
      <c r="P521" s="21"/>
      <c r="Q521" s="22">
        <f t="shared" si="8"/>
        <v>6</v>
      </c>
    </row>
    <row r="522" spans="1:17" ht="15.75" customHeight="1">
      <c r="A522" s="23">
        <v>520</v>
      </c>
      <c r="B522" s="24" t="s">
        <v>2660</v>
      </c>
      <c r="C522" s="24" t="s">
        <v>588</v>
      </c>
      <c r="D522" s="26" t="s">
        <v>2661</v>
      </c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>
        <v>60</v>
      </c>
      <c r="Q522" s="22">
        <f t="shared" si="8"/>
        <v>60</v>
      </c>
    </row>
    <row r="523" spans="1:17" ht="15.75" customHeight="1">
      <c r="A523" s="19">
        <v>521</v>
      </c>
      <c r="B523" s="20" t="s">
        <v>2662</v>
      </c>
      <c r="C523" s="20" t="s">
        <v>1237</v>
      </c>
      <c r="D523" s="20"/>
      <c r="E523" s="21"/>
      <c r="F523" s="21"/>
      <c r="G523" s="21"/>
      <c r="H523" s="21"/>
      <c r="I523" s="21">
        <v>1</v>
      </c>
      <c r="J523" s="21"/>
      <c r="K523" s="21"/>
      <c r="L523" s="21"/>
      <c r="M523" s="21">
        <v>16</v>
      </c>
      <c r="N523" s="21"/>
      <c r="O523" s="21"/>
      <c r="P523" s="21"/>
      <c r="Q523" s="22">
        <f t="shared" si="8"/>
        <v>17</v>
      </c>
    </row>
    <row r="524" spans="1:17" ht="15.75" customHeight="1">
      <c r="A524" s="23">
        <v>522</v>
      </c>
      <c r="B524" s="24" t="s">
        <v>2663</v>
      </c>
      <c r="C524" s="24" t="s">
        <v>747</v>
      </c>
      <c r="D524" s="24" t="s">
        <v>2664</v>
      </c>
      <c r="E524" s="25"/>
      <c r="F524" s="25"/>
      <c r="G524" s="25"/>
      <c r="H524" s="25"/>
      <c r="I524" s="25"/>
      <c r="J524" s="25">
        <v>3</v>
      </c>
      <c r="K524" s="25"/>
      <c r="L524" s="25">
        <v>6</v>
      </c>
      <c r="M524" s="25"/>
      <c r="N524" s="25"/>
      <c r="O524" s="25"/>
      <c r="P524" s="25"/>
      <c r="Q524" s="22">
        <f t="shared" si="8"/>
        <v>9</v>
      </c>
    </row>
    <row r="525" spans="1:17" ht="15.75" customHeight="1">
      <c r="A525" s="19">
        <v>523</v>
      </c>
      <c r="B525" s="20" t="s">
        <v>2665</v>
      </c>
      <c r="C525" s="20" t="s">
        <v>2666</v>
      </c>
      <c r="D525" s="20"/>
      <c r="E525" s="21"/>
      <c r="F525" s="21"/>
      <c r="G525" s="21"/>
      <c r="H525" s="21">
        <v>10</v>
      </c>
      <c r="I525" s="21"/>
      <c r="J525" s="21"/>
      <c r="K525" s="21"/>
      <c r="L525" s="21"/>
      <c r="M525" s="21"/>
      <c r="N525" s="21"/>
      <c r="O525" s="21"/>
      <c r="P525" s="21"/>
      <c r="Q525" s="22">
        <f t="shared" si="8"/>
        <v>10</v>
      </c>
    </row>
    <row r="526" spans="1:17" ht="15.75" customHeight="1">
      <c r="A526" s="23">
        <v>524</v>
      </c>
      <c r="B526" s="24" t="s">
        <v>1137</v>
      </c>
      <c r="C526" s="24" t="s">
        <v>1138</v>
      </c>
      <c r="D526" s="24" t="s">
        <v>1139</v>
      </c>
      <c r="E526" s="25"/>
      <c r="F526" s="25"/>
      <c r="G526" s="25"/>
      <c r="H526" s="25"/>
      <c r="I526" s="25"/>
      <c r="J526" s="25"/>
      <c r="K526" s="25"/>
      <c r="L526" s="25"/>
      <c r="M526" s="25">
        <v>680</v>
      </c>
      <c r="N526" s="25"/>
      <c r="O526" s="25"/>
      <c r="P526" s="25"/>
      <c r="Q526" s="22">
        <f t="shared" si="8"/>
        <v>680</v>
      </c>
    </row>
    <row r="527" spans="1:17" ht="15.75" customHeight="1">
      <c r="A527" s="19">
        <v>525</v>
      </c>
      <c r="B527" s="20" t="s">
        <v>1145</v>
      </c>
      <c r="C527" s="20" t="s">
        <v>1146</v>
      </c>
      <c r="D527" s="20"/>
      <c r="E527" s="21">
        <v>36</v>
      </c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>
        <v>32</v>
      </c>
      <c r="Q527" s="22">
        <f t="shared" si="8"/>
        <v>68</v>
      </c>
    </row>
    <row r="528" spans="1:17" ht="15.75" customHeight="1">
      <c r="A528" s="23">
        <v>526</v>
      </c>
      <c r="B528" s="24" t="s">
        <v>1147</v>
      </c>
      <c r="C528" s="24" t="s">
        <v>697</v>
      </c>
      <c r="D528" s="24" t="s">
        <v>1148</v>
      </c>
      <c r="E528" s="25"/>
      <c r="F528" s="25"/>
      <c r="G528" s="25"/>
      <c r="H528" s="25"/>
      <c r="I528" s="25"/>
      <c r="J528" s="25"/>
      <c r="K528" s="25"/>
      <c r="L528" s="25">
        <v>6</v>
      </c>
      <c r="M528" s="25"/>
      <c r="N528" s="25"/>
      <c r="O528" s="25"/>
      <c r="P528" s="25"/>
      <c r="Q528" s="22">
        <f t="shared" si="8"/>
        <v>6</v>
      </c>
    </row>
    <row r="529" spans="1:17" ht="15.75" customHeight="1">
      <c r="A529" s="19">
        <v>527</v>
      </c>
      <c r="B529" s="20" t="s">
        <v>1152</v>
      </c>
      <c r="C529" s="20" t="s">
        <v>1153</v>
      </c>
      <c r="D529" s="27" t="s">
        <v>1154</v>
      </c>
      <c r="E529" s="21"/>
      <c r="F529" s="21"/>
      <c r="G529" s="21"/>
      <c r="H529" s="21"/>
      <c r="I529" s="21">
        <v>10</v>
      </c>
      <c r="J529" s="21"/>
      <c r="K529" s="21"/>
      <c r="L529" s="21"/>
      <c r="M529" s="21"/>
      <c r="N529" s="21"/>
      <c r="O529" s="21"/>
      <c r="P529" s="21"/>
      <c r="Q529" s="22">
        <f t="shared" si="8"/>
        <v>10</v>
      </c>
    </row>
    <row r="530" spans="1:17" ht="15.75" customHeight="1">
      <c r="A530" s="23">
        <v>528</v>
      </c>
      <c r="B530" s="24" t="s">
        <v>2667</v>
      </c>
      <c r="C530" s="24" t="s">
        <v>2668</v>
      </c>
      <c r="D530" s="24"/>
      <c r="E530" s="25"/>
      <c r="F530" s="25"/>
      <c r="G530" s="25"/>
      <c r="H530" s="25"/>
      <c r="I530" s="25">
        <v>6</v>
      </c>
      <c r="J530" s="25"/>
      <c r="K530" s="25"/>
      <c r="L530" s="25"/>
      <c r="M530" s="25">
        <v>4</v>
      </c>
      <c r="N530" s="25"/>
      <c r="O530" s="25"/>
      <c r="P530" s="25"/>
      <c r="Q530" s="22">
        <f t="shared" si="8"/>
        <v>10</v>
      </c>
    </row>
    <row r="531" spans="1:17" ht="15.75" customHeight="1">
      <c r="A531" s="19">
        <v>529</v>
      </c>
      <c r="B531" s="20" t="s">
        <v>1157</v>
      </c>
      <c r="C531" s="20" t="s">
        <v>582</v>
      </c>
      <c r="D531" s="20" t="s">
        <v>1158</v>
      </c>
      <c r="E531" s="21"/>
      <c r="F531" s="21"/>
      <c r="G531" s="21"/>
      <c r="H531" s="21"/>
      <c r="I531" s="21"/>
      <c r="J531" s="21"/>
      <c r="K531" s="21">
        <v>26</v>
      </c>
      <c r="L531" s="21"/>
      <c r="M531" s="21"/>
      <c r="N531" s="21"/>
      <c r="O531" s="21"/>
      <c r="P531" s="21">
        <v>5</v>
      </c>
      <c r="Q531" s="22">
        <f t="shared" si="8"/>
        <v>31</v>
      </c>
    </row>
    <row r="532" spans="1:17" ht="15.75" customHeight="1">
      <c r="A532" s="23">
        <v>530</v>
      </c>
      <c r="B532" s="24" t="s">
        <v>2669</v>
      </c>
      <c r="C532" s="24" t="s">
        <v>2670</v>
      </c>
      <c r="D532" s="24"/>
      <c r="E532" s="25"/>
      <c r="F532" s="25"/>
      <c r="G532" s="25"/>
      <c r="H532" s="25"/>
      <c r="I532" s="25">
        <v>11</v>
      </c>
      <c r="J532" s="25"/>
      <c r="K532" s="25"/>
      <c r="L532" s="25"/>
      <c r="M532" s="25"/>
      <c r="N532" s="25"/>
      <c r="O532" s="25"/>
      <c r="P532" s="25"/>
      <c r="Q532" s="22">
        <f t="shared" si="8"/>
        <v>11</v>
      </c>
    </row>
    <row r="533" spans="1:17" ht="15.75" customHeight="1">
      <c r="A533" s="19">
        <v>531</v>
      </c>
      <c r="B533" s="20" t="s">
        <v>2671</v>
      </c>
      <c r="C533" s="20" t="s">
        <v>2672</v>
      </c>
      <c r="D533" s="20"/>
      <c r="E533" s="21">
        <v>2</v>
      </c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2">
        <f t="shared" si="8"/>
        <v>2</v>
      </c>
    </row>
    <row r="534" spans="1:17" ht="15.75" customHeight="1">
      <c r="A534" s="23">
        <v>532</v>
      </c>
      <c r="B534" s="24" t="s">
        <v>2673</v>
      </c>
      <c r="C534" s="24" t="s">
        <v>597</v>
      </c>
      <c r="D534" s="26" t="s">
        <v>1154</v>
      </c>
      <c r="E534" s="25"/>
      <c r="F534" s="25"/>
      <c r="G534" s="25"/>
      <c r="H534" s="25"/>
      <c r="I534" s="25"/>
      <c r="J534" s="25"/>
      <c r="K534" s="25">
        <v>10</v>
      </c>
      <c r="L534" s="25"/>
      <c r="M534" s="25"/>
      <c r="N534" s="25"/>
      <c r="O534" s="25"/>
      <c r="P534" s="25"/>
      <c r="Q534" s="22">
        <f t="shared" si="8"/>
        <v>10</v>
      </c>
    </row>
    <row r="535" spans="1:17" ht="15.75" customHeight="1">
      <c r="A535" s="19">
        <v>533</v>
      </c>
      <c r="B535" s="20" t="s">
        <v>2674</v>
      </c>
      <c r="C535" s="20" t="s">
        <v>597</v>
      </c>
      <c r="D535" s="27" t="s">
        <v>1226</v>
      </c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>
        <v>3</v>
      </c>
      <c r="P535" s="21"/>
      <c r="Q535" s="22">
        <f t="shared" si="8"/>
        <v>3</v>
      </c>
    </row>
    <row r="536" spans="1:17" ht="15.75" customHeight="1">
      <c r="A536" s="23">
        <v>534</v>
      </c>
      <c r="B536" s="24" t="s">
        <v>1159</v>
      </c>
      <c r="C536" s="24" t="s">
        <v>1160</v>
      </c>
      <c r="D536" s="24"/>
      <c r="E536" s="25">
        <v>203</v>
      </c>
      <c r="F536" s="25">
        <v>10</v>
      </c>
      <c r="G536" s="25"/>
      <c r="H536" s="25"/>
      <c r="I536" s="25"/>
      <c r="J536" s="25"/>
      <c r="K536" s="25"/>
      <c r="L536" s="25"/>
      <c r="M536" s="25"/>
      <c r="N536" s="25"/>
      <c r="O536" s="25"/>
      <c r="P536" s="25">
        <v>24</v>
      </c>
      <c r="Q536" s="22">
        <f t="shared" si="8"/>
        <v>237</v>
      </c>
    </row>
    <row r="537" spans="1:17" ht="15.75" customHeight="1">
      <c r="A537" s="19">
        <v>535</v>
      </c>
      <c r="B537" s="20" t="s">
        <v>2675</v>
      </c>
      <c r="C537" s="20" t="s">
        <v>1235</v>
      </c>
      <c r="D537" s="20"/>
      <c r="E537" s="21"/>
      <c r="F537" s="21"/>
      <c r="G537" s="21"/>
      <c r="H537" s="21"/>
      <c r="I537" s="21"/>
      <c r="J537" s="21"/>
      <c r="K537" s="21"/>
      <c r="L537" s="21"/>
      <c r="M537" s="21">
        <v>1</v>
      </c>
      <c r="N537" s="21"/>
      <c r="O537" s="21"/>
      <c r="P537" s="21"/>
      <c r="Q537" s="22">
        <f t="shared" si="8"/>
        <v>1</v>
      </c>
    </row>
    <row r="538" spans="1:17" ht="15.75" customHeight="1">
      <c r="A538" s="23">
        <v>536</v>
      </c>
      <c r="B538" s="24" t="s">
        <v>2676</v>
      </c>
      <c r="C538" s="24" t="s">
        <v>483</v>
      </c>
      <c r="D538" s="24" t="s">
        <v>1162</v>
      </c>
      <c r="E538" s="25"/>
      <c r="F538" s="25">
        <v>110</v>
      </c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2">
        <f t="shared" si="8"/>
        <v>110</v>
      </c>
    </row>
    <row r="539" spans="1:17" ht="15.75" customHeight="1">
      <c r="A539" s="19">
        <v>537</v>
      </c>
      <c r="B539" s="20" t="s">
        <v>2677</v>
      </c>
      <c r="C539" s="20" t="s">
        <v>2678</v>
      </c>
      <c r="D539" s="20"/>
      <c r="E539" s="21"/>
      <c r="F539" s="21"/>
      <c r="G539" s="21"/>
      <c r="H539" s="21"/>
      <c r="I539" s="21">
        <v>8</v>
      </c>
      <c r="J539" s="21"/>
      <c r="K539" s="21"/>
      <c r="L539" s="21"/>
      <c r="M539" s="21"/>
      <c r="N539" s="21"/>
      <c r="O539" s="21"/>
      <c r="P539" s="21"/>
      <c r="Q539" s="22">
        <f t="shared" si="8"/>
        <v>8</v>
      </c>
    </row>
    <row r="540" spans="1:17" ht="15.75" customHeight="1">
      <c r="A540" s="23">
        <v>538</v>
      </c>
      <c r="B540" s="24" t="s">
        <v>1163</v>
      </c>
      <c r="C540" s="24" t="s">
        <v>1164</v>
      </c>
      <c r="D540" s="24"/>
      <c r="E540" s="25"/>
      <c r="F540" s="25"/>
      <c r="G540" s="25"/>
      <c r="H540" s="25"/>
      <c r="I540" s="25"/>
      <c r="J540" s="25">
        <v>2</v>
      </c>
      <c r="K540" s="25"/>
      <c r="L540" s="25"/>
      <c r="M540" s="25"/>
      <c r="N540" s="25"/>
      <c r="O540" s="25"/>
      <c r="P540" s="25"/>
      <c r="Q540" s="22">
        <f t="shared" si="8"/>
        <v>2</v>
      </c>
    </row>
    <row r="541" spans="1:17" ht="15.75" customHeight="1">
      <c r="A541" s="19">
        <v>539</v>
      </c>
      <c r="B541" s="20" t="s">
        <v>2679</v>
      </c>
      <c r="C541" s="20" t="s">
        <v>1260</v>
      </c>
      <c r="D541" s="20" t="s">
        <v>613</v>
      </c>
      <c r="E541" s="21"/>
      <c r="F541" s="21"/>
      <c r="G541" s="21"/>
      <c r="H541" s="21"/>
      <c r="I541" s="21"/>
      <c r="J541" s="21"/>
      <c r="K541" s="21"/>
      <c r="L541" s="21"/>
      <c r="M541" s="21"/>
      <c r="N541" s="21">
        <v>3</v>
      </c>
      <c r="O541" s="21"/>
      <c r="P541" s="21"/>
      <c r="Q541" s="22">
        <f t="shared" si="8"/>
        <v>3</v>
      </c>
    </row>
    <row r="542" spans="1:17" ht="15.75" customHeight="1">
      <c r="A542" s="23">
        <v>540</v>
      </c>
      <c r="B542" s="24" t="s">
        <v>1208</v>
      </c>
      <c r="C542" s="24" t="s">
        <v>568</v>
      </c>
      <c r="D542" s="26" t="s">
        <v>1154</v>
      </c>
      <c r="E542" s="25"/>
      <c r="F542" s="25"/>
      <c r="G542" s="25"/>
      <c r="H542" s="25"/>
      <c r="I542" s="25"/>
      <c r="J542" s="25"/>
      <c r="K542" s="25">
        <v>20</v>
      </c>
      <c r="L542" s="25"/>
      <c r="M542" s="25"/>
      <c r="N542" s="25"/>
      <c r="O542" s="25"/>
      <c r="P542" s="25"/>
      <c r="Q542" s="22">
        <f t="shared" si="8"/>
        <v>20</v>
      </c>
    </row>
    <row r="543" spans="1:17" ht="15.75" customHeight="1">
      <c r="A543" s="19">
        <v>541</v>
      </c>
      <c r="B543" s="20" t="s">
        <v>1212</v>
      </c>
      <c r="C543" s="20" t="s">
        <v>558</v>
      </c>
      <c r="D543" s="27" t="s">
        <v>1154</v>
      </c>
      <c r="E543" s="21">
        <v>10</v>
      </c>
      <c r="F543" s="21"/>
      <c r="G543" s="21"/>
      <c r="H543" s="21"/>
      <c r="I543" s="21"/>
      <c r="J543" s="21"/>
      <c r="K543" s="21">
        <v>20</v>
      </c>
      <c r="L543" s="21"/>
      <c r="M543" s="21"/>
      <c r="N543" s="21"/>
      <c r="O543" s="21">
        <v>20</v>
      </c>
      <c r="P543" s="21"/>
      <c r="Q543" s="22">
        <f t="shared" si="8"/>
        <v>50</v>
      </c>
    </row>
    <row r="544" spans="1:17" ht="15.75" customHeight="1">
      <c r="A544" s="23">
        <v>542</v>
      </c>
      <c r="B544" s="24" t="s">
        <v>2680</v>
      </c>
      <c r="C544" s="24" t="s">
        <v>2681</v>
      </c>
      <c r="D544" s="26" t="s">
        <v>1154</v>
      </c>
      <c r="E544" s="25"/>
      <c r="F544" s="25"/>
      <c r="G544" s="25"/>
      <c r="H544" s="25"/>
      <c r="I544" s="25">
        <v>1</v>
      </c>
      <c r="J544" s="25"/>
      <c r="K544" s="25"/>
      <c r="L544" s="25"/>
      <c r="M544" s="25"/>
      <c r="N544" s="25"/>
      <c r="O544" s="25"/>
      <c r="P544" s="25"/>
      <c r="Q544" s="22">
        <f t="shared" si="8"/>
        <v>1</v>
      </c>
    </row>
    <row r="545" spans="1:17" ht="15.75" customHeight="1">
      <c r="A545" s="19">
        <v>543</v>
      </c>
      <c r="B545" s="20" t="s">
        <v>2682</v>
      </c>
      <c r="C545" s="20" t="s">
        <v>588</v>
      </c>
      <c r="D545" s="27" t="s">
        <v>1154</v>
      </c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>
        <v>20</v>
      </c>
      <c r="P545" s="21"/>
      <c r="Q545" s="22">
        <f t="shared" si="8"/>
        <v>20</v>
      </c>
    </row>
    <row r="546" spans="1:17" ht="15.75" customHeight="1">
      <c r="A546" s="23">
        <v>544</v>
      </c>
      <c r="B546" s="24" t="s">
        <v>1222</v>
      </c>
      <c r="C546" s="24" t="s">
        <v>711</v>
      </c>
      <c r="D546" s="26" t="s">
        <v>1154</v>
      </c>
      <c r="E546" s="25"/>
      <c r="F546" s="25"/>
      <c r="G546" s="25"/>
      <c r="H546" s="25"/>
      <c r="I546" s="25"/>
      <c r="J546" s="25"/>
      <c r="K546" s="25">
        <v>5</v>
      </c>
      <c r="L546" s="25"/>
      <c r="M546" s="25"/>
      <c r="N546" s="25">
        <v>14</v>
      </c>
      <c r="O546" s="25"/>
      <c r="P546" s="25"/>
      <c r="Q546" s="22">
        <f t="shared" si="8"/>
        <v>19</v>
      </c>
    </row>
    <row r="547" spans="1:17" ht="15.75" customHeight="1">
      <c r="A547" s="19">
        <v>545</v>
      </c>
      <c r="B547" s="20" t="s">
        <v>2683</v>
      </c>
      <c r="C547" s="20" t="s">
        <v>2670</v>
      </c>
      <c r="D547" s="27" t="s">
        <v>431</v>
      </c>
      <c r="E547" s="21"/>
      <c r="F547" s="21"/>
      <c r="G547" s="21"/>
      <c r="H547" s="21"/>
      <c r="I547" s="21">
        <v>2</v>
      </c>
      <c r="J547" s="21"/>
      <c r="K547" s="21"/>
      <c r="L547" s="21"/>
      <c r="M547" s="21"/>
      <c r="N547" s="21"/>
      <c r="O547" s="21"/>
      <c r="P547" s="21"/>
      <c r="Q547" s="22">
        <f t="shared" si="8"/>
        <v>2</v>
      </c>
    </row>
    <row r="548" spans="1:17" ht="15.75" customHeight="1">
      <c r="A548" s="23">
        <v>546</v>
      </c>
      <c r="B548" s="24" t="s">
        <v>2684</v>
      </c>
      <c r="C548" s="24" t="s">
        <v>620</v>
      </c>
      <c r="D548" s="26" t="s">
        <v>1154</v>
      </c>
      <c r="E548" s="25">
        <v>15</v>
      </c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2">
        <f t="shared" si="8"/>
        <v>15</v>
      </c>
    </row>
    <row r="549" spans="1:17" ht="15.75" customHeight="1">
      <c r="A549" s="19">
        <v>547</v>
      </c>
      <c r="B549" s="20" t="s">
        <v>2685</v>
      </c>
      <c r="C549" s="20" t="s">
        <v>2686</v>
      </c>
      <c r="D549" s="27" t="s">
        <v>1154</v>
      </c>
      <c r="E549" s="21"/>
      <c r="F549" s="21"/>
      <c r="G549" s="21"/>
      <c r="H549" s="21"/>
      <c r="I549" s="21"/>
      <c r="J549" s="21"/>
      <c r="K549" s="21"/>
      <c r="L549" s="21"/>
      <c r="M549" s="21">
        <v>4</v>
      </c>
      <c r="N549" s="21"/>
      <c r="O549" s="21"/>
      <c r="P549" s="21"/>
      <c r="Q549" s="22">
        <f t="shared" si="8"/>
        <v>4</v>
      </c>
    </row>
    <row r="550" spans="1:17" ht="15.75" customHeight="1">
      <c r="A550" s="23">
        <v>548</v>
      </c>
      <c r="B550" s="24" t="s">
        <v>1225</v>
      </c>
      <c r="C550" s="24" t="s">
        <v>591</v>
      </c>
      <c r="D550" s="26" t="s">
        <v>1226</v>
      </c>
      <c r="E550" s="25"/>
      <c r="F550" s="25"/>
      <c r="G550" s="25"/>
      <c r="H550" s="25">
        <v>5</v>
      </c>
      <c r="I550" s="25"/>
      <c r="J550" s="25"/>
      <c r="K550" s="25"/>
      <c r="L550" s="25"/>
      <c r="M550" s="25"/>
      <c r="N550" s="25"/>
      <c r="O550" s="25"/>
      <c r="P550" s="25"/>
      <c r="Q550" s="22">
        <f t="shared" si="8"/>
        <v>5</v>
      </c>
    </row>
    <row r="551" spans="1:17" ht="15.75" customHeight="1">
      <c r="A551" s="19">
        <v>549</v>
      </c>
      <c r="B551" s="20" t="s">
        <v>2687</v>
      </c>
      <c r="C551" s="20" t="s">
        <v>937</v>
      </c>
      <c r="D551" s="27" t="s">
        <v>2688</v>
      </c>
      <c r="E551" s="21"/>
      <c r="F551" s="21">
        <v>20</v>
      </c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2">
        <f t="shared" si="8"/>
        <v>20</v>
      </c>
    </row>
    <row r="552" spans="1:17" ht="15.75" customHeight="1">
      <c r="A552" s="23">
        <v>550</v>
      </c>
      <c r="B552" s="24" t="s">
        <v>2689</v>
      </c>
      <c r="C552" s="24" t="s">
        <v>2690</v>
      </c>
      <c r="D552" s="24"/>
      <c r="E552" s="25"/>
      <c r="F552" s="25"/>
      <c r="G552" s="25"/>
      <c r="H552" s="25"/>
      <c r="I552" s="25"/>
      <c r="J552" s="25"/>
      <c r="K552" s="25"/>
      <c r="L552" s="25"/>
      <c r="M552" s="25">
        <v>1</v>
      </c>
      <c r="N552" s="25"/>
      <c r="O552" s="25"/>
      <c r="P552" s="25"/>
      <c r="Q552" s="22">
        <f t="shared" si="8"/>
        <v>1</v>
      </c>
    </row>
    <row r="553" spans="1:17" ht="15.75" customHeight="1">
      <c r="A553" s="19">
        <v>551</v>
      </c>
      <c r="B553" s="20" t="s">
        <v>1261</v>
      </c>
      <c r="C553" s="20" t="s">
        <v>558</v>
      </c>
      <c r="D553" s="20" t="s">
        <v>1262</v>
      </c>
      <c r="E553" s="21"/>
      <c r="F553" s="21"/>
      <c r="G553" s="21"/>
      <c r="H553" s="21"/>
      <c r="I553" s="21"/>
      <c r="J553" s="21"/>
      <c r="K553" s="21">
        <v>12</v>
      </c>
      <c r="L553" s="21"/>
      <c r="M553" s="21"/>
      <c r="N553" s="21"/>
      <c r="O553" s="21"/>
      <c r="P553" s="21"/>
      <c r="Q553" s="22">
        <f t="shared" si="8"/>
        <v>12</v>
      </c>
    </row>
    <row r="554" spans="1:17" ht="15.75" customHeight="1">
      <c r="A554" s="23">
        <v>552</v>
      </c>
      <c r="B554" s="24" t="s">
        <v>2691</v>
      </c>
      <c r="C554" s="24" t="s">
        <v>620</v>
      </c>
      <c r="D554" s="24" t="s">
        <v>2692</v>
      </c>
      <c r="E554" s="25"/>
      <c r="F554" s="25"/>
      <c r="G554" s="25"/>
      <c r="H554" s="25"/>
      <c r="I554" s="25"/>
      <c r="J554" s="25"/>
      <c r="K554" s="25">
        <v>9</v>
      </c>
      <c r="L554" s="25"/>
      <c r="M554" s="25"/>
      <c r="N554" s="25"/>
      <c r="O554" s="25"/>
      <c r="P554" s="25"/>
      <c r="Q554" s="22">
        <f t="shared" si="8"/>
        <v>9</v>
      </c>
    </row>
    <row r="555" spans="1:17" ht="15.75" customHeight="1">
      <c r="A555" s="19">
        <v>553</v>
      </c>
      <c r="B555" s="20" t="s">
        <v>1279</v>
      </c>
      <c r="C555" s="20" t="s">
        <v>959</v>
      </c>
      <c r="D555" s="20" t="s">
        <v>1270</v>
      </c>
      <c r="E555" s="21">
        <v>400</v>
      </c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2">
        <f t="shared" si="8"/>
        <v>400</v>
      </c>
    </row>
    <row r="556" spans="1:17" ht="15.75" customHeight="1">
      <c r="A556" s="23">
        <v>554</v>
      </c>
      <c r="B556" s="24" t="s">
        <v>1334</v>
      </c>
      <c r="C556" s="24" t="s">
        <v>1335</v>
      </c>
      <c r="D556" s="24"/>
      <c r="E556" s="25">
        <v>1</v>
      </c>
      <c r="F556" s="25"/>
      <c r="G556" s="25"/>
      <c r="H556" s="25"/>
      <c r="I556" s="25">
        <v>9</v>
      </c>
      <c r="J556" s="25"/>
      <c r="K556" s="25"/>
      <c r="L556" s="25"/>
      <c r="M556" s="25"/>
      <c r="N556" s="25"/>
      <c r="O556" s="25"/>
      <c r="P556" s="25"/>
      <c r="Q556" s="22">
        <f t="shared" si="8"/>
        <v>10</v>
      </c>
    </row>
    <row r="557" spans="1:17" ht="15.75" customHeight="1">
      <c r="A557" s="19">
        <v>555</v>
      </c>
      <c r="B557" s="20" t="s">
        <v>1342</v>
      </c>
      <c r="C557" s="20" t="s">
        <v>1343</v>
      </c>
      <c r="D557" s="20" t="s">
        <v>1344</v>
      </c>
      <c r="E557" s="21"/>
      <c r="F557" s="21"/>
      <c r="G557" s="21"/>
      <c r="H557" s="21"/>
      <c r="I557" s="21">
        <v>10</v>
      </c>
      <c r="J557" s="21"/>
      <c r="K557" s="21"/>
      <c r="L557" s="21"/>
      <c r="M557" s="21"/>
      <c r="N557" s="21"/>
      <c r="O557" s="21"/>
      <c r="P557" s="21"/>
      <c r="Q557" s="22">
        <f t="shared" si="8"/>
        <v>10</v>
      </c>
    </row>
    <row r="558" spans="1:17" ht="15.75" customHeight="1">
      <c r="A558" s="23">
        <v>556</v>
      </c>
      <c r="B558" s="24" t="s">
        <v>2693</v>
      </c>
      <c r="C558" s="24" t="s">
        <v>2694</v>
      </c>
      <c r="D558" s="24"/>
      <c r="E558" s="25">
        <v>11</v>
      </c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>
        <v>63</v>
      </c>
      <c r="Q558" s="22">
        <f t="shared" si="8"/>
        <v>74</v>
      </c>
    </row>
    <row r="559" spans="1:17" ht="15.75" customHeight="1">
      <c r="A559" s="19">
        <v>557</v>
      </c>
      <c r="B559" s="20" t="s">
        <v>2695</v>
      </c>
      <c r="C559" s="20" t="s">
        <v>2696</v>
      </c>
      <c r="D559" s="20"/>
      <c r="E559" s="21">
        <v>5</v>
      </c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>
        <v>32</v>
      </c>
      <c r="Q559" s="22">
        <f t="shared" si="8"/>
        <v>37</v>
      </c>
    </row>
    <row r="560" spans="1:17" ht="15.75" customHeight="1">
      <c r="A560" s="23">
        <v>558</v>
      </c>
      <c r="B560" s="24" t="s">
        <v>2697</v>
      </c>
      <c r="C560" s="24" t="s">
        <v>2698</v>
      </c>
      <c r="D560" s="24"/>
      <c r="E560" s="25">
        <v>12</v>
      </c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2">
        <f t="shared" si="8"/>
        <v>12</v>
      </c>
    </row>
    <row r="561" spans="1:17" ht="15.75" customHeight="1">
      <c r="A561" s="19">
        <v>559</v>
      </c>
      <c r="B561" s="20" t="s">
        <v>2699</v>
      </c>
      <c r="C561" s="20" t="s">
        <v>2700</v>
      </c>
      <c r="D561" s="20"/>
      <c r="E561" s="21">
        <v>67</v>
      </c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2">
        <f t="shared" si="8"/>
        <v>67</v>
      </c>
    </row>
    <row r="562" spans="1:17" ht="15.75" customHeight="1">
      <c r="A562" s="23">
        <v>560</v>
      </c>
      <c r="B562" s="24" t="s">
        <v>2701</v>
      </c>
      <c r="C562" s="24" t="s">
        <v>2702</v>
      </c>
      <c r="D562" s="24"/>
      <c r="E562" s="25">
        <v>5</v>
      </c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2">
        <f t="shared" si="8"/>
        <v>5</v>
      </c>
    </row>
    <row r="563" spans="1:17" ht="15.75" customHeight="1">
      <c r="A563" s="19">
        <v>561</v>
      </c>
      <c r="B563" s="20" t="s">
        <v>2703</v>
      </c>
      <c r="C563" s="20" t="s">
        <v>2704</v>
      </c>
      <c r="D563" s="20"/>
      <c r="E563" s="21">
        <v>1</v>
      </c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2">
        <f t="shared" si="8"/>
        <v>1</v>
      </c>
    </row>
    <row r="564" spans="1:17" ht="15.75" customHeight="1">
      <c r="A564" s="23">
        <v>562</v>
      </c>
      <c r="B564" s="24" t="s">
        <v>2705</v>
      </c>
      <c r="C564" s="24" t="s">
        <v>2706</v>
      </c>
      <c r="D564" s="24"/>
      <c r="E564" s="25">
        <v>188</v>
      </c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2">
        <f t="shared" si="8"/>
        <v>188</v>
      </c>
    </row>
    <row r="565" spans="1:17" ht="15.75" customHeight="1">
      <c r="A565" s="19">
        <v>563</v>
      </c>
      <c r="B565" s="20" t="s">
        <v>2707</v>
      </c>
      <c r="C565" s="20" t="s">
        <v>703</v>
      </c>
      <c r="D565" s="27" t="s">
        <v>1154</v>
      </c>
      <c r="E565" s="21"/>
      <c r="F565" s="21">
        <v>11</v>
      </c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2">
        <f t="shared" si="8"/>
        <v>11</v>
      </c>
    </row>
    <row r="566" spans="1:17" ht="15.75" customHeight="1">
      <c r="A566" s="23">
        <v>564</v>
      </c>
      <c r="B566" s="24" t="s">
        <v>2708</v>
      </c>
      <c r="C566" s="24" t="s">
        <v>2709</v>
      </c>
      <c r="D566" s="26" t="s">
        <v>1154</v>
      </c>
      <c r="E566" s="25"/>
      <c r="F566" s="25">
        <v>20</v>
      </c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2">
        <f t="shared" si="8"/>
        <v>20</v>
      </c>
    </row>
    <row r="567" spans="1:17" ht="15.75" customHeight="1">
      <c r="A567" s="19">
        <v>565</v>
      </c>
      <c r="B567" s="20" t="s">
        <v>2710</v>
      </c>
      <c r="C567" s="20" t="s">
        <v>2711</v>
      </c>
      <c r="D567" s="20"/>
      <c r="E567" s="21"/>
      <c r="F567" s="21"/>
      <c r="G567" s="21">
        <v>55</v>
      </c>
      <c r="H567" s="21"/>
      <c r="I567" s="21"/>
      <c r="J567" s="21"/>
      <c r="K567" s="21"/>
      <c r="L567" s="21"/>
      <c r="M567" s="21"/>
      <c r="N567" s="21"/>
      <c r="O567" s="21"/>
      <c r="P567" s="21"/>
      <c r="Q567" s="22">
        <f t="shared" si="8"/>
        <v>55</v>
      </c>
    </row>
    <row r="568" spans="1:17" ht="15.75" customHeight="1">
      <c r="A568" s="23">
        <v>566</v>
      </c>
      <c r="B568" s="24" t="s">
        <v>2712</v>
      </c>
      <c r="C568" s="24" t="s">
        <v>2713</v>
      </c>
      <c r="D568" s="24"/>
      <c r="E568" s="25"/>
      <c r="F568" s="25"/>
      <c r="G568" s="25"/>
      <c r="H568" s="25">
        <v>6</v>
      </c>
      <c r="I568" s="25"/>
      <c r="J568" s="25"/>
      <c r="K568" s="25"/>
      <c r="L568" s="25"/>
      <c r="M568" s="25"/>
      <c r="N568" s="25"/>
      <c r="O568" s="25"/>
      <c r="P568" s="25"/>
      <c r="Q568" s="22">
        <f t="shared" si="8"/>
        <v>6</v>
      </c>
    </row>
    <row r="569" spans="1:17" ht="15.75" customHeight="1">
      <c r="A569" s="19">
        <v>567</v>
      </c>
      <c r="B569" s="20" t="s">
        <v>2714</v>
      </c>
      <c r="C569" s="20" t="s">
        <v>2431</v>
      </c>
      <c r="D569" s="27" t="s">
        <v>431</v>
      </c>
      <c r="E569" s="21"/>
      <c r="F569" s="21"/>
      <c r="G569" s="21"/>
      <c r="H569" s="21"/>
      <c r="I569" s="21">
        <v>3</v>
      </c>
      <c r="J569" s="21"/>
      <c r="K569" s="21"/>
      <c r="L569" s="21"/>
      <c r="M569" s="21"/>
      <c r="N569" s="21"/>
      <c r="O569" s="21"/>
      <c r="P569" s="21"/>
      <c r="Q569" s="22">
        <f t="shared" si="8"/>
        <v>3</v>
      </c>
    </row>
    <row r="570" spans="1:17" ht="15.75" customHeight="1">
      <c r="A570" s="23">
        <v>568</v>
      </c>
      <c r="B570" s="24" t="s">
        <v>2715</v>
      </c>
      <c r="C570" s="24" t="s">
        <v>934</v>
      </c>
      <c r="D570" s="26" t="s">
        <v>2716</v>
      </c>
      <c r="E570" s="25"/>
      <c r="F570" s="25"/>
      <c r="G570" s="25"/>
      <c r="H570" s="25"/>
      <c r="I570" s="25"/>
      <c r="J570" s="25"/>
      <c r="K570" s="25">
        <v>100</v>
      </c>
      <c r="L570" s="25"/>
      <c r="M570" s="25"/>
      <c r="N570" s="25"/>
      <c r="O570" s="25"/>
      <c r="P570" s="25"/>
      <c r="Q570" s="22">
        <f t="shared" si="8"/>
        <v>100</v>
      </c>
    </row>
    <row r="571" spans="1:17" ht="15.75" customHeight="1">
      <c r="A571" s="19">
        <v>569</v>
      </c>
      <c r="B571" s="20" t="s">
        <v>2717</v>
      </c>
      <c r="C571" s="20" t="s">
        <v>2565</v>
      </c>
      <c r="D571" s="27" t="s">
        <v>2716</v>
      </c>
      <c r="E571" s="21"/>
      <c r="F571" s="21"/>
      <c r="G571" s="21"/>
      <c r="H571" s="21"/>
      <c r="I571" s="21"/>
      <c r="J571" s="21"/>
      <c r="K571" s="21">
        <v>105</v>
      </c>
      <c r="L571" s="21"/>
      <c r="M571" s="21"/>
      <c r="N571" s="21"/>
      <c r="O571" s="21"/>
      <c r="P571" s="21"/>
      <c r="Q571" s="22">
        <f t="shared" si="8"/>
        <v>105</v>
      </c>
    </row>
    <row r="572" spans="1:17" ht="15.75" customHeight="1">
      <c r="A572" s="23">
        <v>570</v>
      </c>
      <c r="B572" s="24" t="s">
        <v>2718</v>
      </c>
      <c r="C572" s="24" t="s">
        <v>939</v>
      </c>
      <c r="D572" s="26" t="s">
        <v>2716</v>
      </c>
      <c r="E572" s="25"/>
      <c r="F572" s="25"/>
      <c r="G572" s="25"/>
      <c r="H572" s="25"/>
      <c r="I572" s="25"/>
      <c r="J572" s="25"/>
      <c r="K572" s="25">
        <v>100</v>
      </c>
      <c r="L572" s="25"/>
      <c r="M572" s="25"/>
      <c r="N572" s="25"/>
      <c r="O572" s="25"/>
      <c r="P572" s="25"/>
      <c r="Q572" s="22">
        <f t="shared" si="8"/>
        <v>100</v>
      </c>
    </row>
    <row r="573" spans="1:17" ht="15.75" customHeight="1">
      <c r="A573" s="19">
        <v>571</v>
      </c>
      <c r="B573" s="20" t="s">
        <v>2719</v>
      </c>
      <c r="C573" s="20" t="s">
        <v>934</v>
      </c>
      <c r="D573" s="27" t="s">
        <v>2720</v>
      </c>
      <c r="E573" s="21"/>
      <c r="F573" s="21"/>
      <c r="G573" s="21"/>
      <c r="H573" s="21"/>
      <c r="I573" s="21"/>
      <c r="J573" s="21"/>
      <c r="K573" s="21">
        <v>100</v>
      </c>
      <c r="L573" s="21"/>
      <c r="M573" s="21"/>
      <c r="N573" s="21"/>
      <c r="O573" s="21"/>
      <c r="P573" s="21"/>
      <c r="Q573" s="22">
        <f t="shared" si="8"/>
        <v>100</v>
      </c>
    </row>
    <row r="574" spans="1:17" ht="15.75" customHeight="1">
      <c r="A574" s="23">
        <v>572</v>
      </c>
      <c r="B574" s="24" t="s">
        <v>2721</v>
      </c>
      <c r="C574" s="24" t="s">
        <v>2565</v>
      </c>
      <c r="D574" s="26" t="s">
        <v>2720</v>
      </c>
      <c r="E574" s="25"/>
      <c r="F574" s="25"/>
      <c r="G574" s="25"/>
      <c r="H574" s="25"/>
      <c r="I574" s="25"/>
      <c r="J574" s="25"/>
      <c r="K574" s="25">
        <v>105</v>
      </c>
      <c r="L574" s="25"/>
      <c r="M574" s="25"/>
      <c r="N574" s="25"/>
      <c r="O574" s="25"/>
      <c r="P574" s="25"/>
      <c r="Q574" s="22">
        <f t="shared" si="8"/>
        <v>105</v>
      </c>
    </row>
    <row r="575" spans="1:17" ht="15.75" customHeight="1">
      <c r="A575" s="19">
        <v>573</v>
      </c>
      <c r="B575" s="20" t="s">
        <v>2722</v>
      </c>
      <c r="C575" s="20" t="s">
        <v>939</v>
      </c>
      <c r="D575" s="27" t="s">
        <v>2720</v>
      </c>
      <c r="E575" s="21"/>
      <c r="F575" s="21"/>
      <c r="G575" s="21"/>
      <c r="H575" s="21"/>
      <c r="I575" s="21"/>
      <c r="J575" s="21"/>
      <c r="K575" s="21">
        <v>100</v>
      </c>
      <c r="L575" s="21"/>
      <c r="M575" s="21"/>
      <c r="N575" s="21"/>
      <c r="O575" s="21"/>
      <c r="P575" s="21"/>
      <c r="Q575" s="22">
        <f t="shared" si="8"/>
        <v>100</v>
      </c>
    </row>
    <row r="576" spans="1:17" ht="15.75" customHeight="1">
      <c r="A576" s="23">
        <v>574</v>
      </c>
      <c r="B576" s="24" t="s">
        <v>2723</v>
      </c>
      <c r="C576" s="24" t="s">
        <v>934</v>
      </c>
      <c r="D576" s="26" t="s">
        <v>2724</v>
      </c>
      <c r="E576" s="25"/>
      <c r="F576" s="25"/>
      <c r="G576" s="25"/>
      <c r="H576" s="25"/>
      <c r="I576" s="25"/>
      <c r="J576" s="25"/>
      <c r="K576" s="25">
        <v>100</v>
      </c>
      <c r="L576" s="25"/>
      <c r="M576" s="25"/>
      <c r="N576" s="25"/>
      <c r="O576" s="25"/>
      <c r="P576" s="25"/>
      <c r="Q576" s="22">
        <f t="shared" si="8"/>
        <v>100</v>
      </c>
    </row>
    <row r="577" spans="1:17" ht="15.75" customHeight="1">
      <c r="A577" s="19">
        <v>575</v>
      </c>
      <c r="B577" s="20" t="s">
        <v>2725</v>
      </c>
      <c r="C577" s="20" t="s">
        <v>2565</v>
      </c>
      <c r="D577" s="27" t="s">
        <v>2724</v>
      </c>
      <c r="E577" s="21"/>
      <c r="F577" s="21"/>
      <c r="G577" s="21"/>
      <c r="H577" s="21"/>
      <c r="I577" s="21"/>
      <c r="J577" s="21"/>
      <c r="K577" s="21">
        <v>105</v>
      </c>
      <c r="L577" s="21"/>
      <c r="M577" s="21"/>
      <c r="N577" s="21"/>
      <c r="O577" s="21"/>
      <c r="P577" s="21"/>
      <c r="Q577" s="22">
        <f t="shared" si="8"/>
        <v>105</v>
      </c>
    </row>
    <row r="578" spans="1:17" ht="15.75" customHeight="1">
      <c r="A578" s="23">
        <v>576</v>
      </c>
      <c r="B578" s="24" t="s">
        <v>2726</v>
      </c>
      <c r="C578" s="24" t="s">
        <v>939</v>
      </c>
      <c r="D578" s="26" t="s">
        <v>2724</v>
      </c>
      <c r="E578" s="25"/>
      <c r="F578" s="25"/>
      <c r="G578" s="25"/>
      <c r="H578" s="25"/>
      <c r="I578" s="25"/>
      <c r="J578" s="25"/>
      <c r="K578" s="25">
        <v>100</v>
      </c>
      <c r="L578" s="25"/>
      <c r="M578" s="25"/>
      <c r="N578" s="25"/>
      <c r="O578" s="25"/>
      <c r="P578" s="25"/>
      <c r="Q578" s="22">
        <f t="shared" si="8"/>
        <v>100</v>
      </c>
    </row>
    <row r="579" spans="1:17" ht="15.75" customHeight="1">
      <c r="A579" s="19">
        <v>577</v>
      </c>
      <c r="B579" s="20" t="s">
        <v>2727</v>
      </c>
      <c r="C579" s="20" t="s">
        <v>934</v>
      </c>
      <c r="D579" s="27" t="s">
        <v>2728</v>
      </c>
      <c r="E579" s="21"/>
      <c r="F579" s="21"/>
      <c r="G579" s="21"/>
      <c r="H579" s="21"/>
      <c r="I579" s="21"/>
      <c r="J579" s="21"/>
      <c r="K579" s="21">
        <v>100</v>
      </c>
      <c r="L579" s="21"/>
      <c r="M579" s="21"/>
      <c r="N579" s="21"/>
      <c r="O579" s="21"/>
      <c r="P579" s="21"/>
      <c r="Q579" s="22">
        <f t="shared" ref="Q579:Q642" si="9">SUM(E579:P579)</f>
        <v>100</v>
      </c>
    </row>
    <row r="580" spans="1:17" ht="15.75" customHeight="1">
      <c r="A580" s="23">
        <v>578</v>
      </c>
      <c r="B580" s="24" t="s">
        <v>2729</v>
      </c>
      <c r="C580" s="24" t="s">
        <v>2565</v>
      </c>
      <c r="D580" s="26" t="s">
        <v>2728</v>
      </c>
      <c r="E580" s="25"/>
      <c r="F580" s="25"/>
      <c r="G580" s="25"/>
      <c r="H580" s="25"/>
      <c r="I580" s="25"/>
      <c r="J580" s="25"/>
      <c r="K580" s="25">
        <v>105</v>
      </c>
      <c r="L580" s="25"/>
      <c r="M580" s="25"/>
      <c r="N580" s="25"/>
      <c r="O580" s="25"/>
      <c r="P580" s="25"/>
      <c r="Q580" s="22">
        <f t="shared" si="9"/>
        <v>105</v>
      </c>
    </row>
    <row r="581" spans="1:17" ht="15.75" customHeight="1">
      <c r="A581" s="19">
        <v>579</v>
      </c>
      <c r="B581" s="20" t="s">
        <v>2730</v>
      </c>
      <c r="C581" s="20" t="s">
        <v>939</v>
      </c>
      <c r="D581" s="27" t="s">
        <v>2728</v>
      </c>
      <c r="E581" s="21"/>
      <c r="F581" s="21"/>
      <c r="G581" s="21"/>
      <c r="H581" s="21"/>
      <c r="I581" s="21"/>
      <c r="J581" s="21"/>
      <c r="K581" s="21">
        <v>100</v>
      </c>
      <c r="L581" s="21"/>
      <c r="M581" s="21"/>
      <c r="N581" s="21"/>
      <c r="O581" s="21"/>
      <c r="P581" s="21"/>
      <c r="Q581" s="22">
        <f t="shared" si="9"/>
        <v>100</v>
      </c>
    </row>
    <row r="582" spans="1:17" ht="15.75" customHeight="1">
      <c r="A582" s="23">
        <v>580</v>
      </c>
      <c r="B582" s="24" t="s">
        <v>2731</v>
      </c>
      <c r="C582" s="24" t="s">
        <v>2732</v>
      </c>
      <c r="D582" s="24"/>
      <c r="E582" s="25"/>
      <c r="F582" s="25"/>
      <c r="G582" s="25"/>
      <c r="H582" s="25"/>
      <c r="I582" s="25"/>
      <c r="J582" s="25">
        <v>50</v>
      </c>
      <c r="K582" s="25"/>
      <c r="L582" s="25"/>
      <c r="M582" s="25"/>
      <c r="N582" s="25"/>
      <c r="O582" s="25"/>
      <c r="P582" s="25"/>
      <c r="Q582" s="22">
        <f t="shared" si="9"/>
        <v>50</v>
      </c>
    </row>
    <row r="583" spans="1:17" ht="15.75" customHeight="1">
      <c r="A583" s="19">
        <v>581</v>
      </c>
      <c r="B583" s="20" t="s">
        <v>2733</v>
      </c>
      <c r="C583" s="20" t="s">
        <v>2734</v>
      </c>
      <c r="D583" s="27" t="s">
        <v>1264</v>
      </c>
      <c r="E583" s="21"/>
      <c r="F583" s="21"/>
      <c r="G583" s="21"/>
      <c r="H583" s="21"/>
      <c r="I583" s="21"/>
      <c r="J583" s="21"/>
      <c r="K583" s="21">
        <v>5</v>
      </c>
      <c r="L583" s="21"/>
      <c r="M583" s="21"/>
      <c r="N583" s="21"/>
      <c r="O583" s="21"/>
      <c r="P583" s="21"/>
      <c r="Q583" s="22">
        <f t="shared" si="9"/>
        <v>5</v>
      </c>
    </row>
    <row r="584" spans="1:17" ht="15.75" customHeight="1">
      <c r="A584" s="23">
        <v>582</v>
      </c>
      <c r="B584" s="24" t="s">
        <v>2735</v>
      </c>
      <c r="C584" s="24" t="s">
        <v>1291</v>
      </c>
      <c r="D584" s="26" t="s">
        <v>2688</v>
      </c>
      <c r="E584" s="25"/>
      <c r="F584" s="25"/>
      <c r="G584" s="25"/>
      <c r="H584" s="25"/>
      <c r="I584" s="25"/>
      <c r="J584" s="25"/>
      <c r="K584" s="25">
        <v>5</v>
      </c>
      <c r="L584" s="25"/>
      <c r="M584" s="25"/>
      <c r="N584" s="25"/>
      <c r="O584" s="25"/>
      <c r="P584" s="25"/>
      <c r="Q584" s="22">
        <f t="shared" si="9"/>
        <v>5</v>
      </c>
    </row>
    <row r="585" spans="1:17" ht="15.75" customHeight="1">
      <c r="A585" s="19">
        <v>583</v>
      </c>
      <c r="B585" s="20" t="s">
        <v>2736</v>
      </c>
      <c r="C585" s="20" t="s">
        <v>1150</v>
      </c>
      <c r="D585" s="27" t="s">
        <v>2688</v>
      </c>
      <c r="E585" s="21"/>
      <c r="F585" s="21"/>
      <c r="G585" s="21"/>
      <c r="H585" s="21"/>
      <c r="I585" s="21"/>
      <c r="J585" s="21"/>
      <c r="K585" s="21">
        <v>5</v>
      </c>
      <c r="L585" s="21"/>
      <c r="M585" s="21"/>
      <c r="N585" s="21"/>
      <c r="O585" s="21"/>
      <c r="P585" s="21"/>
      <c r="Q585" s="22">
        <f t="shared" si="9"/>
        <v>5</v>
      </c>
    </row>
    <row r="586" spans="1:17" ht="15.75" customHeight="1">
      <c r="A586" s="23">
        <v>584</v>
      </c>
      <c r="B586" s="24" t="s">
        <v>2737</v>
      </c>
      <c r="C586" s="24" t="s">
        <v>1033</v>
      </c>
      <c r="D586" s="26" t="s">
        <v>2688</v>
      </c>
      <c r="E586" s="25"/>
      <c r="F586" s="25"/>
      <c r="G586" s="25"/>
      <c r="H586" s="25"/>
      <c r="I586" s="25"/>
      <c r="J586" s="25"/>
      <c r="K586" s="25">
        <v>5</v>
      </c>
      <c r="L586" s="25"/>
      <c r="M586" s="25"/>
      <c r="N586" s="25"/>
      <c r="O586" s="25"/>
      <c r="P586" s="25"/>
      <c r="Q586" s="22">
        <f t="shared" si="9"/>
        <v>5</v>
      </c>
    </row>
    <row r="587" spans="1:17" ht="15.75" customHeight="1">
      <c r="A587" s="19">
        <v>585</v>
      </c>
      <c r="B587" s="20" t="s">
        <v>2738</v>
      </c>
      <c r="C587" s="20" t="s">
        <v>1273</v>
      </c>
      <c r="D587" s="27" t="s">
        <v>2688</v>
      </c>
      <c r="E587" s="21"/>
      <c r="F587" s="21"/>
      <c r="G587" s="21"/>
      <c r="H587" s="21"/>
      <c r="I587" s="21"/>
      <c r="J587" s="21"/>
      <c r="K587" s="21">
        <v>5</v>
      </c>
      <c r="L587" s="21"/>
      <c r="M587" s="21"/>
      <c r="N587" s="21"/>
      <c r="O587" s="21"/>
      <c r="P587" s="21"/>
      <c r="Q587" s="22">
        <f t="shared" si="9"/>
        <v>5</v>
      </c>
    </row>
    <row r="588" spans="1:17" ht="15.75" customHeight="1">
      <c r="A588" s="23">
        <v>586</v>
      </c>
      <c r="B588" s="24" t="s">
        <v>2739</v>
      </c>
      <c r="C588" s="24" t="s">
        <v>1282</v>
      </c>
      <c r="D588" s="26" t="s">
        <v>2688</v>
      </c>
      <c r="E588" s="25"/>
      <c r="F588" s="25"/>
      <c r="G588" s="25"/>
      <c r="H588" s="25"/>
      <c r="I588" s="25"/>
      <c r="J588" s="25"/>
      <c r="K588" s="25">
        <v>5</v>
      </c>
      <c r="L588" s="25"/>
      <c r="M588" s="25"/>
      <c r="N588" s="25"/>
      <c r="O588" s="25"/>
      <c r="P588" s="25"/>
      <c r="Q588" s="22">
        <f t="shared" si="9"/>
        <v>5</v>
      </c>
    </row>
    <row r="589" spans="1:17" ht="15.75" customHeight="1">
      <c r="A589" s="19">
        <v>587</v>
      </c>
      <c r="B589" s="20" t="s">
        <v>2740</v>
      </c>
      <c r="C589" s="20" t="s">
        <v>785</v>
      </c>
      <c r="D589" s="20" t="s">
        <v>2741</v>
      </c>
      <c r="E589" s="21"/>
      <c r="F589" s="21"/>
      <c r="G589" s="21"/>
      <c r="H589" s="21"/>
      <c r="I589" s="21"/>
      <c r="J589" s="21"/>
      <c r="K589" s="21">
        <v>11</v>
      </c>
      <c r="L589" s="21"/>
      <c r="M589" s="21"/>
      <c r="N589" s="21"/>
      <c r="O589" s="21">
        <v>1</v>
      </c>
      <c r="P589" s="21"/>
      <c r="Q589" s="22">
        <f t="shared" si="9"/>
        <v>12</v>
      </c>
    </row>
    <row r="590" spans="1:17" ht="15.75" customHeight="1">
      <c r="A590" s="23">
        <v>588</v>
      </c>
      <c r="B590" s="24" t="s">
        <v>2742</v>
      </c>
      <c r="C590" s="24" t="s">
        <v>2743</v>
      </c>
      <c r="D590" s="24"/>
      <c r="E590" s="25"/>
      <c r="F590" s="25"/>
      <c r="G590" s="25"/>
      <c r="H590" s="25"/>
      <c r="I590" s="25"/>
      <c r="J590" s="25"/>
      <c r="K590" s="25">
        <v>5</v>
      </c>
      <c r="L590" s="25"/>
      <c r="M590" s="25"/>
      <c r="N590" s="25"/>
      <c r="O590" s="25"/>
      <c r="P590" s="25"/>
      <c r="Q590" s="22">
        <f t="shared" si="9"/>
        <v>5</v>
      </c>
    </row>
    <row r="591" spans="1:17" ht="15.75" customHeight="1">
      <c r="A591" s="19">
        <v>589</v>
      </c>
      <c r="B591" s="20" t="s">
        <v>2744</v>
      </c>
      <c r="C591" s="20" t="s">
        <v>2745</v>
      </c>
      <c r="D591" s="20"/>
      <c r="E591" s="21"/>
      <c r="F591" s="21"/>
      <c r="G591" s="21"/>
      <c r="H591" s="21"/>
      <c r="I591" s="21"/>
      <c r="J591" s="21"/>
      <c r="K591" s="21"/>
      <c r="L591" s="21"/>
      <c r="M591" s="21">
        <v>50</v>
      </c>
      <c r="N591" s="21"/>
      <c r="O591" s="21"/>
      <c r="P591" s="21"/>
      <c r="Q591" s="22">
        <f t="shared" si="9"/>
        <v>50</v>
      </c>
    </row>
    <row r="592" spans="1:17" ht="15.75" customHeight="1">
      <c r="A592" s="23">
        <v>590</v>
      </c>
      <c r="B592" s="24" t="s">
        <v>2746</v>
      </c>
      <c r="C592" s="24" t="s">
        <v>606</v>
      </c>
      <c r="D592" s="26" t="s">
        <v>1226</v>
      </c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>
        <v>4</v>
      </c>
      <c r="P592" s="25"/>
      <c r="Q592" s="22">
        <f t="shared" si="9"/>
        <v>4</v>
      </c>
    </row>
    <row r="593" spans="1:17" ht="15.75" customHeight="1">
      <c r="A593" s="19">
        <v>591</v>
      </c>
      <c r="B593" s="20" t="s">
        <v>2747</v>
      </c>
      <c r="C593" s="20" t="s">
        <v>612</v>
      </c>
      <c r="D593" s="27" t="s">
        <v>1226</v>
      </c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>
        <v>4</v>
      </c>
      <c r="P593" s="21"/>
      <c r="Q593" s="22">
        <f t="shared" si="9"/>
        <v>4</v>
      </c>
    </row>
    <row r="594" spans="1:17" ht="15.75" customHeight="1">
      <c r="A594" s="23">
        <v>592</v>
      </c>
      <c r="B594" s="24" t="s">
        <v>2748</v>
      </c>
      <c r="C594" s="24" t="s">
        <v>574</v>
      </c>
      <c r="D594" s="26" t="s">
        <v>1154</v>
      </c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>
        <v>20</v>
      </c>
      <c r="P594" s="25"/>
      <c r="Q594" s="22">
        <f t="shared" si="9"/>
        <v>20</v>
      </c>
    </row>
    <row r="595" spans="1:17" ht="15.75" customHeight="1">
      <c r="A595" s="19">
        <v>593</v>
      </c>
      <c r="B595" s="20" t="s">
        <v>2749</v>
      </c>
      <c r="C595" s="20" t="s">
        <v>2750</v>
      </c>
      <c r="D595" s="20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>
        <v>1</v>
      </c>
      <c r="Q595" s="22">
        <f t="shared" si="9"/>
        <v>1</v>
      </c>
    </row>
    <row r="596" spans="1:17" ht="15.75" customHeight="1">
      <c r="A596" s="23">
        <v>594</v>
      </c>
      <c r="B596" s="24" t="s">
        <v>2751</v>
      </c>
      <c r="C596" s="24" t="s">
        <v>2752</v>
      </c>
      <c r="D596" s="24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>
        <v>3</v>
      </c>
      <c r="Q596" s="22">
        <f t="shared" si="9"/>
        <v>3</v>
      </c>
    </row>
    <row r="597" spans="1:17" ht="15.75" customHeight="1">
      <c r="A597" s="19">
        <v>595</v>
      </c>
      <c r="B597" s="20" t="s">
        <v>2753</v>
      </c>
      <c r="C597" s="20" t="s">
        <v>2754</v>
      </c>
      <c r="D597" s="20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>
        <v>2</v>
      </c>
      <c r="Q597" s="22">
        <f t="shared" si="9"/>
        <v>2</v>
      </c>
    </row>
    <row r="598" spans="1:17" ht="15.75" customHeight="1">
      <c r="A598" s="23">
        <v>596</v>
      </c>
      <c r="B598" s="24" t="s">
        <v>2755</v>
      </c>
      <c r="C598" s="24" t="s">
        <v>2756</v>
      </c>
      <c r="D598" s="24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>
        <v>220</v>
      </c>
      <c r="Q598" s="22">
        <f t="shared" si="9"/>
        <v>220</v>
      </c>
    </row>
    <row r="599" spans="1:17" ht="15.75" customHeight="1">
      <c r="A599" s="19">
        <v>597</v>
      </c>
      <c r="B599" s="20" t="s">
        <v>2757</v>
      </c>
      <c r="C599" s="20" t="s">
        <v>2758</v>
      </c>
      <c r="D599" s="20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>
        <v>100</v>
      </c>
      <c r="Q599" s="22">
        <f t="shared" si="9"/>
        <v>100</v>
      </c>
    </row>
    <row r="600" spans="1:17" ht="15.75" customHeight="1">
      <c r="A600" s="23">
        <v>598</v>
      </c>
      <c r="B600" s="24" t="s">
        <v>2759</v>
      </c>
      <c r="C600" s="24" t="s">
        <v>1357</v>
      </c>
      <c r="D600" s="24" t="s">
        <v>186</v>
      </c>
      <c r="E600" s="25"/>
      <c r="F600" s="25"/>
      <c r="G600" s="25"/>
      <c r="H600" s="25"/>
      <c r="I600" s="25"/>
      <c r="J600" s="25">
        <v>5</v>
      </c>
      <c r="K600" s="25"/>
      <c r="L600" s="25"/>
      <c r="M600" s="25"/>
      <c r="N600" s="25"/>
      <c r="O600" s="25"/>
      <c r="P600" s="25"/>
      <c r="Q600" s="22">
        <f t="shared" si="9"/>
        <v>5</v>
      </c>
    </row>
    <row r="601" spans="1:17" ht="15.75" customHeight="1">
      <c r="A601" s="19">
        <v>599</v>
      </c>
      <c r="B601" s="20" t="s">
        <v>2760</v>
      </c>
      <c r="C601" s="20" t="s">
        <v>1357</v>
      </c>
      <c r="D601" s="20" t="s">
        <v>22</v>
      </c>
      <c r="E601" s="21">
        <v>30</v>
      </c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2">
        <f t="shared" si="9"/>
        <v>30</v>
      </c>
    </row>
    <row r="602" spans="1:17" ht="15.75" customHeight="1">
      <c r="A602" s="23">
        <v>600</v>
      </c>
      <c r="B602" s="24" t="s">
        <v>2761</v>
      </c>
      <c r="C602" s="24" t="s">
        <v>1357</v>
      </c>
      <c r="D602" s="24" t="s">
        <v>259</v>
      </c>
      <c r="E602" s="25">
        <v>40</v>
      </c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2">
        <f t="shared" si="9"/>
        <v>40</v>
      </c>
    </row>
    <row r="603" spans="1:17" ht="15.75" customHeight="1">
      <c r="A603" s="19">
        <v>601</v>
      </c>
      <c r="B603" s="20" t="s">
        <v>1374</v>
      </c>
      <c r="C603" s="20" t="s">
        <v>1363</v>
      </c>
      <c r="D603" s="20" t="s">
        <v>118</v>
      </c>
      <c r="E603" s="21"/>
      <c r="F603" s="21"/>
      <c r="G603" s="21"/>
      <c r="H603" s="21">
        <v>49</v>
      </c>
      <c r="I603" s="21"/>
      <c r="J603" s="21"/>
      <c r="K603" s="21"/>
      <c r="L603" s="21"/>
      <c r="M603" s="21"/>
      <c r="N603" s="21"/>
      <c r="O603" s="21"/>
      <c r="P603" s="21"/>
      <c r="Q603" s="22">
        <f t="shared" si="9"/>
        <v>49</v>
      </c>
    </row>
    <row r="604" spans="1:17" ht="15.75" customHeight="1">
      <c r="A604" s="23">
        <v>602</v>
      </c>
      <c r="B604" s="24" t="s">
        <v>2762</v>
      </c>
      <c r="C604" s="24" t="s">
        <v>1382</v>
      </c>
      <c r="D604" s="24" t="s">
        <v>24</v>
      </c>
      <c r="E604" s="25">
        <v>2</v>
      </c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2">
        <f t="shared" si="9"/>
        <v>2</v>
      </c>
    </row>
    <row r="605" spans="1:17" ht="15.75" customHeight="1">
      <c r="A605" s="19">
        <v>603</v>
      </c>
      <c r="B605" s="20" t="s">
        <v>2763</v>
      </c>
      <c r="C605" s="20" t="s">
        <v>1390</v>
      </c>
      <c r="D605" s="20" t="s">
        <v>20</v>
      </c>
      <c r="E605" s="21"/>
      <c r="F605" s="21"/>
      <c r="G605" s="21"/>
      <c r="H605" s="21"/>
      <c r="I605" s="21"/>
      <c r="J605" s="21"/>
      <c r="K605" s="21"/>
      <c r="L605" s="21"/>
      <c r="M605" s="21"/>
      <c r="N605" s="21">
        <v>2</v>
      </c>
      <c r="O605" s="21"/>
      <c r="P605" s="21"/>
      <c r="Q605" s="22">
        <f t="shared" si="9"/>
        <v>2</v>
      </c>
    </row>
    <row r="606" spans="1:17" ht="15.75" customHeight="1">
      <c r="A606" s="23">
        <v>604</v>
      </c>
      <c r="B606" s="24" t="s">
        <v>2764</v>
      </c>
      <c r="C606" s="24" t="s">
        <v>1392</v>
      </c>
      <c r="D606" s="24" t="s">
        <v>47</v>
      </c>
      <c r="E606" s="25"/>
      <c r="F606" s="25"/>
      <c r="G606" s="25"/>
      <c r="H606" s="25"/>
      <c r="I606" s="25"/>
      <c r="J606" s="25"/>
      <c r="K606" s="25"/>
      <c r="L606" s="25">
        <v>6</v>
      </c>
      <c r="M606" s="25"/>
      <c r="N606" s="25"/>
      <c r="O606" s="25"/>
      <c r="P606" s="25"/>
      <c r="Q606" s="22">
        <f t="shared" si="9"/>
        <v>6</v>
      </c>
    </row>
    <row r="607" spans="1:17" ht="15.75" customHeight="1">
      <c r="A607" s="19">
        <v>605</v>
      </c>
      <c r="B607" s="20" t="s">
        <v>2765</v>
      </c>
      <c r="C607" s="20" t="s">
        <v>1382</v>
      </c>
      <c r="D607" s="20" t="s">
        <v>47</v>
      </c>
      <c r="E607" s="21"/>
      <c r="F607" s="21"/>
      <c r="G607" s="21"/>
      <c r="H607" s="21"/>
      <c r="I607" s="21"/>
      <c r="J607" s="21"/>
      <c r="K607" s="21"/>
      <c r="L607" s="21">
        <v>4</v>
      </c>
      <c r="M607" s="21"/>
      <c r="N607" s="21"/>
      <c r="O607" s="21"/>
      <c r="P607" s="21"/>
      <c r="Q607" s="22">
        <f t="shared" si="9"/>
        <v>4</v>
      </c>
    </row>
    <row r="608" spans="1:17" ht="15.75" customHeight="1">
      <c r="A608" s="23">
        <v>606</v>
      </c>
      <c r="B608" s="24" t="s">
        <v>1394</v>
      </c>
      <c r="C608" s="24" t="s">
        <v>1395</v>
      </c>
      <c r="D608" s="24" t="s">
        <v>1396</v>
      </c>
      <c r="E608" s="25">
        <v>1</v>
      </c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2">
        <f t="shared" si="9"/>
        <v>1</v>
      </c>
    </row>
    <row r="609" spans="1:17" ht="15.75" customHeight="1">
      <c r="A609" s="19">
        <v>607</v>
      </c>
      <c r="B609" s="20" t="s">
        <v>1397</v>
      </c>
      <c r="C609" s="20" t="s">
        <v>1398</v>
      </c>
      <c r="D609" s="20" t="s">
        <v>1396</v>
      </c>
      <c r="E609" s="21"/>
      <c r="F609" s="21"/>
      <c r="G609" s="21"/>
      <c r="H609" s="21"/>
      <c r="I609" s="21"/>
      <c r="J609" s="21">
        <v>30</v>
      </c>
      <c r="K609" s="21">
        <v>25</v>
      </c>
      <c r="L609" s="21"/>
      <c r="M609" s="21"/>
      <c r="N609" s="21"/>
      <c r="O609" s="21"/>
      <c r="P609" s="21"/>
      <c r="Q609" s="22">
        <f t="shared" si="9"/>
        <v>55</v>
      </c>
    </row>
    <row r="610" spans="1:17" ht="15.75" customHeight="1">
      <c r="A610" s="23">
        <v>608</v>
      </c>
      <c r="B610" s="24" t="s">
        <v>1401</v>
      </c>
      <c r="C610" s="24" t="s">
        <v>1402</v>
      </c>
      <c r="D610" s="24" t="s">
        <v>1396</v>
      </c>
      <c r="E610" s="25"/>
      <c r="F610" s="25">
        <v>20</v>
      </c>
      <c r="G610" s="25">
        <v>50</v>
      </c>
      <c r="H610" s="25"/>
      <c r="I610" s="25"/>
      <c r="J610" s="25">
        <v>64</v>
      </c>
      <c r="K610" s="25">
        <v>30</v>
      </c>
      <c r="L610" s="25">
        <v>506</v>
      </c>
      <c r="M610" s="25">
        <v>20</v>
      </c>
      <c r="N610" s="25">
        <v>56</v>
      </c>
      <c r="O610" s="25">
        <v>20</v>
      </c>
      <c r="P610" s="25">
        <v>45</v>
      </c>
      <c r="Q610" s="22">
        <f t="shared" si="9"/>
        <v>811</v>
      </c>
    </row>
    <row r="611" spans="1:17" ht="15.75" customHeight="1">
      <c r="A611" s="19">
        <v>609</v>
      </c>
      <c r="B611" s="20" t="s">
        <v>2766</v>
      </c>
      <c r="C611" s="20" t="s">
        <v>2767</v>
      </c>
      <c r="D611" s="20" t="s">
        <v>2768</v>
      </c>
      <c r="E611" s="21"/>
      <c r="F611" s="21"/>
      <c r="G611" s="21"/>
      <c r="H611" s="21"/>
      <c r="I611" s="21"/>
      <c r="J611" s="21"/>
      <c r="K611" s="21"/>
      <c r="L611" s="21"/>
      <c r="M611" s="21">
        <v>92</v>
      </c>
      <c r="N611" s="21">
        <v>300</v>
      </c>
      <c r="O611" s="21"/>
      <c r="P611" s="21"/>
      <c r="Q611" s="22">
        <f t="shared" si="9"/>
        <v>392</v>
      </c>
    </row>
    <row r="612" spans="1:17" ht="15.75" customHeight="1">
      <c r="A612" s="23">
        <v>610</v>
      </c>
      <c r="B612" s="24" t="s">
        <v>1403</v>
      </c>
      <c r="C612" s="24" t="s">
        <v>1404</v>
      </c>
      <c r="D612" s="24" t="s">
        <v>284</v>
      </c>
      <c r="E612" s="25">
        <v>224</v>
      </c>
      <c r="F612" s="25">
        <v>756</v>
      </c>
      <c r="G612" s="25">
        <v>200</v>
      </c>
      <c r="H612" s="25">
        <v>672</v>
      </c>
      <c r="I612" s="25"/>
      <c r="J612" s="25"/>
      <c r="K612" s="25">
        <v>100</v>
      </c>
      <c r="L612" s="25">
        <v>50</v>
      </c>
      <c r="M612" s="25">
        <v>130</v>
      </c>
      <c r="N612" s="25">
        <v>250</v>
      </c>
      <c r="O612" s="25">
        <v>120</v>
      </c>
      <c r="P612" s="25">
        <v>96</v>
      </c>
      <c r="Q612" s="22">
        <f t="shared" si="9"/>
        <v>2598</v>
      </c>
    </row>
    <row r="613" spans="1:17" ht="15.75" customHeight="1">
      <c r="A613" s="19">
        <v>611</v>
      </c>
      <c r="B613" s="20" t="s">
        <v>1405</v>
      </c>
      <c r="C613" s="20" t="s">
        <v>1406</v>
      </c>
      <c r="D613" s="20" t="s">
        <v>1396</v>
      </c>
      <c r="E613" s="21">
        <v>10</v>
      </c>
      <c r="F613" s="21"/>
      <c r="G613" s="21">
        <v>156</v>
      </c>
      <c r="H613" s="21"/>
      <c r="I613" s="21"/>
      <c r="J613" s="21">
        <v>30</v>
      </c>
      <c r="K613" s="21">
        <v>10</v>
      </c>
      <c r="L613" s="21">
        <v>50</v>
      </c>
      <c r="M613" s="21">
        <v>10</v>
      </c>
      <c r="N613" s="21">
        <v>81</v>
      </c>
      <c r="O613" s="21">
        <v>52</v>
      </c>
      <c r="P613" s="21">
        <v>101</v>
      </c>
      <c r="Q613" s="22">
        <f t="shared" si="9"/>
        <v>500</v>
      </c>
    </row>
    <row r="614" spans="1:17" ht="15.75" customHeight="1">
      <c r="A614" s="23">
        <v>612</v>
      </c>
      <c r="B614" s="24" t="s">
        <v>1407</v>
      </c>
      <c r="C614" s="24" t="s">
        <v>1408</v>
      </c>
      <c r="D614" s="24" t="s">
        <v>284</v>
      </c>
      <c r="E614" s="25"/>
      <c r="F614" s="25">
        <v>200</v>
      </c>
      <c r="G614" s="25">
        <v>800</v>
      </c>
      <c r="H614" s="25">
        <v>400</v>
      </c>
      <c r="I614" s="25">
        <v>270</v>
      </c>
      <c r="J614" s="25"/>
      <c r="K614" s="25">
        <v>330</v>
      </c>
      <c r="L614" s="25">
        <v>90</v>
      </c>
      <c r="M614" s="25"/>
      <c r="N614" s="25">
        <v>100</v>
      </c>
      <c r="O614" s="25">
        <v>220</v>
      </c>
      <c r="P614" s="25">
        <v>50</v>
      </c>
      <c r="Q614" s="22">
        <f t="shared" si="9"/>
        <v>2460</v>
      </c>
    </row>
    <row r="615" spans="1:17" ht="15.75" customHeight="1">
      <c r="A615" s="19">
        <v>613</v>
      </c>
      <c r="B615" s="20" t="s">
        <v>1409</v>
      </c>
      <c r="C615" s="20" t="s">
        <v>1410</v>
      </c>
      <c r="D615" s="20" t="s">
        <v>1411</v>
      </c>
      <c r="E615" s="21"/>
      <c r="F615" s="21">
        <v>6</v>
      </c>
      <c r="G615" s="21"/>
      <c r="H615" s="21"/>
      <c r="I615" s="21"/>
      <c r="J615" s="21"/>
      <c r="K615" s="21"/>
      <c r="L615" s="21"/>
      <c r="M615" s="21"/>
      <c r="N615" s="21"/>
      <c r="O615" s="21">
        <v>5</v>
      </c>
      <c r="P615" s="21"/>
      <c r="Q615" s="22">
        <f t="shared" si="9"/>
        <v>11</v>
      </c>
    </row>
    <row r="616" spans="1:17" ht="15.75" customHeight="1">
      <c r="A616" s="23">
        <v>614</v>
      </c>
      <c r="B616" s="24" t="s">
        <v>1412</v>
      </c>
      <c r="C616" s="24" t="s">
        <v>1413</v>
      </c>
      <c r="D616" s="24" t="s">
        <v>284</v>
      </c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>
        <v>60</v>
      </c>
      <c r="P616" s="25">
        <v>100</v>
      </c>
      <c r="Q616" s="22">
        <f t="shared" si="9"/>
        <v>160</v>
      </c>
    </row>
    <row r="617" spans="1:17" ht="15.75" customHeight="1">
      <c r="A617" s="19">
        <v>615</v>
      </c>
      <c r="B617" s="20" t="s">
        <v>1414</v>
      </c>
      <c r="C617" s="20" t="s">
        <v>1415</v>
      </c>
      <c r="D617" s="20" t="s">
        <v>1396</v>
      </c>
      <c r="E617" s="21"/>
      <c r="F617" s="21">
        <v>5</v>
      </c>
      <c r="G617" s="21">
        <v>10</v>
      </c>
      <c r="H617" s="21"/>
      <c r="I617" s="21">
        <v>4</v>
      </c>
      <c r="J617" s="21">
        <v>133</v>
      </c>
      <c r="K617" s="21">
        <v>45</v>
      </c>
      <c r="L617" s="21">
        <v>53</v>
      </c>
      <c r="M617" s="21">
        <v>20</v>
      </c>
      <c r="N617" s="21">
        <v>80</v>
      </c>
      <c r="O617" s="21">
        <v>50</v>
      </c>
      <c r="P617" s="21">
        <v>84</v>
      </c>
      <c r="Q617" s="22">
        <f t="shared" si="9"/>
        <v>484</v>
      </c>
    </row>
    <row r="618" spans="1:17" ht="15.75" customHeight="1">
      <c r="A618" s="23">
        <v>616</v>
      </c>
      <c r="B618" s="24" t="s">
        <v>1416</v>
      </c>
      <c r="C618" s="24" t="s">
        <v>1417</v>
      </c>
      <c r="D618" s="24" t="s">
        <v>284</v>
      </c>
      <c r="E618" s="25">
        <v>940</v>
      </c>
      <c r="F618" s="25">
        <v>493</v>
      </c>
      <c r="G618" s="25">
        <v>644</v>
      </c>
      <c r="H618" s="25">
        <v>300</v>
      </c>
      <c r="I618" s="25">
        <v>1208</v>
      </c>
      <c r="J618" s="25">
        <v>200</v>
      </c>
      <c r="K618" s="25">
        <v>908</v>
      </c>
      <c r="L618" s="25">
        <v>330</v>
      </c>
      <c r="M618" s="25">
        <v>264</v>
      </c>
      <c r="N618" s="25">
        <v>1550</v>
      </c>
      <c r="O618" s="25">
        <v>1010</v>
      </c>
      <c r="P618" s="25">
        <v>1878</v>
      </c>
      <c r="Q618" s="22">
        <f t="shared" si="9"/>
        <v>9725</v>
      </c>
    </row>
    <row r="619" spans="1:17" ht="15.75" customHeight="1">
      <c r="A619" s="19">
        <v>617</v>
      </c>
      <c r="B619" s="20" t="s">
        <v>2769</v>
      </c>
      <c r="C619" s="20" t="s">
        <v>2770</v>
      </c>
      <c r="D619" s="20" t="s">
        <v>2771</v>
      </c>
      <c r="E619" s="21"/>
      <c r="F619" s="21"/>
      <c r="G619" s="21"/>
      <c r="H619" s="21"/>
      <c r="I619" s="21"/>
      <c r="J619" s="21">
        <v>4</v>
      </c>
      <c r="K619" s="21"/>
      <c r="L619" s="21"/>
      <c r="M619" s="21"/>
      <c r="N619" s="21"/>
      <c r="O619" s="21"/>
      <c r="P619" s="21"/>
      <c r="Q619" s="22">
        <f t="shared" si="9"/>
        <v>4</v>
      </c>
    </row>
    <row r="620" spans="1:17" ht="15.75" customHeight="1">
      <c r="A620" s="23">
        <v>618</v>
      </c>
      <c r="B620" s="24" t="s">
        <v>1420</v>
      </c>
      <c r="C620" s="24" t="s">
        <v>1421</v>
      </c>
      <c r="D620" s="24" t="s">
        <v>284</v>
      </c>
      <c r="E620" s="25">
        <v>332</v>
      </c>
      <c r="F620" s="25">
        <v>426</v>
      </c>
      <c r="G620" s="25">
        <v>702</v>
      </c>
      <c r="H620" s="25">
        <v>365</v>
      </c>
      <c r="I620" s="25">
        <v>515</v>
      </c>
      <c r="J620" s="25">
        <v>197</v>
      </c>
      <c r="K620" s="25">
        <v>1252</v>
      </c>
      <c r="L620" s="25">
        <v>128</v>
      </c>
      <c r="M620" s="25">
        <v>98</v>
      </c>
      <c r="N620" s="25">
        <v>352</v>
      </c>
      <c r="O620" s="25">
        <v>261</v>
      </c>
      <c r="P620" s="25">
        <v>121</v>
      </c>
      <c r="Q620" s="22">
        <f t="shared" si="9"/>
        <v>4749</v>
      </c>
    </row>
    <row r="621" spans="1:17" ht="15.75" customHeight="1">
      <c r="A621" s="19">
        <v>619</v>
      </c>
      <c r="B621" s="20" t="s">
        <v>1422</v>
      </c>
      <c r="C621" s="20" t="s">
        <v>1423</v>
      </c>
      <c r="D621" s="20" t="s">
        <v>284</v>
      </c>
      <c r="E621" s="21">
        <v>16</v>
      </c>
      <c r="F621" s="21"/>
      <c r="G621" s="21"/>
      <c r="H621" s="21">
        <v>20</v>
      </c>
      <c r="I621" s="21"/>
      <c r="J621" s="21">
        <v>6</v>
      </c>
      <c r="K621" s="21"/>
      <c r="L621" s="21">
        <v>3</v>
      </c>
      <c r="M621" s="21"/>
      <c r="N621" s="21"/>
      <c r="O621" s="21"/>
      <c r="P621" s="21">
        <v>24</v>
      </c>
      <c r="Q621" s="22">
        <f t="shared" si="9"/>
        <v>69</v>
      </c>
    </row>
    <row r="622" spans="1:17" ht="15.75" customHeight="1">
      <c r="A622" s="23">
        <v>620</v>
      </c>
      <c r="B622" s="24" t="s">
        <v>1424</v>
      </c>
      <c r="C622" s="24" t="s">
        <v>1415</v>
      </c>
      <c r="D622" s="24" t="s">
        <v>1425</v>
      </c>
      <c r="E622" s="25">
        <v>10</v>
      </c>
      <c r="F622" s="25">
        <v>10</v>
      </c>
      <c r="G622" s="25">
        <v>60</v>
      </c>
      <c r="H622" s="25">
        <v>50</v>
      </c>
      <c r="I622" s="25">
        <v>55</v>
      </c>
      <c r="J622" s="25">
        <v>35</v>
      </c>
      <c r="K622" s="25">
        <v>148</v>
      </c>
      <c r="L622" s="25"/>
      <c r="M622" s="25">
        <v>60</v>
      </c>
      <c r="N622" s="25">
        <v>10</v>
      </c>
      <c r="O622" s="25">
        <v>50</v>
      </c>
      <c r="P622" s="25">
        <v>150</v>
      </c>
      <c r="Q622" s="22">
        <f t="shared" si="9"/>
        <v>638</v>
      </c>
    </row>
    <row r="623" spans="1:17" ht="15.75" customHeight="1">
      <c r="A623" s="19">
        <v>621</v>
      </c>
      <c r="B623" s="20" t="s">
        <v>1426</v>
      </c>
      <c r="C623" s="20" t="s">
        <v>1406</v>
      </c>
      <c r="D623" s="20" t="s">
        <v>1425</v>
      </c>
      <c r="E623" s="21"/>
      <c r="F623" s="21"/>
      <c r="G623" s="21">
        <v>10</v>
      </c>
      <c r="H623" s="21">
        <v>50</v>
      </c>
      <c r="I623" s="21"/>
      <c r="J623" s="21">
        <v>35</v>
      </c>
      <c r="K623" s="21">
        <v>20</v>
      </c>
      <c r="L623" s="21"/>
      <c r="M623" s="21"/>
      <c r="N623" s="21">
        <v>60</v>
      </c>
      <c r="O623" s="21"/>
      <c r="P623" s="21"/>
      <c r="Q623" s="22">
        <f t="shared" si="9"/>
        <v>175</v>
      </c>
    </row>
    <row r="624" spans="1:17" ht="15.75" customHeight="1">
      <c r="A624" s="23">
        <v>622</v>
      </c>
      <c r="B624" s="24" t="s">
        <v>1427</v>
      </c>
      <c r="C624" s="24" t="s">
        <v>1428</v>
      </c>
      <c r="D624" s="24" t="s">
        <v>1429</v>
      </c>
      <c r="E624" s="25"/>
      <c r="F624" s="25">
        <v>100</v>
      </c>
      <c r="G624" s="25"/>
      <c r="H624" s="25"/>
      <c r="I624" s="25">
        <v>60</v>
      </c>
      <c r="J624" s="25"/>
      <c r="K624" s="25"/>
      <c r="L624" s="25"/>
      <c r="M624" s="25"/>
      <c r="N624" s="25"/>
      <c r="O624" s="25"/>
      <c r="P624" s="25"/>
      <c r="Q624" s="22">
        <f t="shared" si="9"/>
        <v>160</v>
      </c>
    </row>
    <row r="625" spans="1:17" ht="15.75" customHeight="1">
      <c r="A625" s="19">
        <v>623</v>
      </c>
      <c r="B625" s="20" t="s">
        <v>1430</v>
      </c>
      <c r="C625" s="20" t="s">
        <v>1431</v>
      </c>
      <c r="D625" s="20" t="s">
        <v>284</v>
      </c>
      <c r="E625" s="21"/>
      <c r="F625" s="21"/>
      <c r="G625" s="21"/>
      <c r="H625" s="21"/>
      <c r="I625" s="21"/>
      <c r="J625" s="21">
        <v>24</v>
      </c>
      <c r="K625" s="21"/>
      <c r="L625" s="21"/>
      <c r="M625" s="21"/>
      <c r="N625" s="21"/>
      <c r="O625" s="21"/>
      <c r="P625" s="21"/>
      <c r="Q625" s="22">
        <f t="shared" si="9"/>
        <v>24</v>
      </c>
    </row>
    <row r="626" spans="1:17" ht="15.75" customHeight="1">
      <c r="A626" s="23">
        <v>624</v>
      </c>
      <c r="B626" s="24" t="s">
        <v>1432</v>
      </c>
      <c r="C626" s="24" t="s">
        <v>1433</v>
      </c>
      <c r="D626" s="24" t="s">
        <v>284</v>
      </c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>
        <v>12</v>
      </c>
      <c r="P626" s="25"/>
      <c r="Q626" s="22">
        <f t="shared" si="9"/>
        <v>12</v>
      </c>
    </row>
    <row r="627" spans="1:17" ht="15.75" customHeight="1">
      <c r="A627" s="19">
        <v>625</v>
      </c>
      <c r="B627" s="20" t="s">
        <v>1434</v>
      </c>
      <c r="C627" s="20" t="s">
        <v>1402</v>
      </c>
      <c r="D627" s="20" t="s">
        <v>1425</v>
      </c>
      <c r="E627" s="21"/>
      <c r="F627" s="21"/>
      <c r="G627" s="21"/>
      <c r="H627" s="21"/>
      <c r="I627" s="21"/>
      <c r="J627" s="21">
        <v>10</v>
      </c>
      <c r="K627" s="21"/>
      <c r="L627" s="21"/>
      <c r="M627" s="21"/>
      <c r="N627" s="21"/>
      <c r="O627" s="21"/>
      <c r="P627" s="21">
        <v>1</v>
      </c>
      <c r="Q627" s="22">
        <f t="shared" si="9"/>
        <v>11</v>
      </c>
    </row>
    <row r="628" spans="1:17" ht="15.75" customHeight="1">
      <c r="A628" s="23">
        <v>626</v>
      </c>
      <c r="B628" s="24" t="s">
        <v>2772</v>
      </c>
      <c r="C628" s="24" t="s">
        <v>1417</v>
      </c>
      <c r="D628" s="24" t="s">
        <v>42</v>
      </c>
      <c r="E628" s="25"/>
      <c r="F628" s="25"/>
      <c r="G628" s="25"/>
      <c r="H628" s="25"/>
      <c r="I628" s="25"/>
      <c r="J628" s="25"/>
      <c r="K628" s="25"/>
      <c r="L628" s="25"/>
      <c r="M628" s="25">
        <v>300</v>
      </c>
      <c r="N628" s="25"/>
      <c r="O628" s="25"/>
      <c r="P628" s="25"/>
      <c r="Q628" s="22">
        <f t="shared" si="9"/>
        <v>300</v>
      </c>
    </row>
    <row r="629" spans="1:17" ht="15.75" customHeight="1">
      <c r="A629" s="19">
        <v>627</v>
      </c>
      <c r="B629" s="20" t="s">
        <v>2773</v>
      </c>
      <c r="C629" s="20" t="s">
        <v>2774</v>
      </c>
      <c r="D629" s="20" t="s">
        <v>2775</v>
      </c>
      <c r="E629" s="21"/>
      <c r="F629" s="21"/>
      <c r="G629" s="21"/>
      <c r="H629" s="21"/>
      <c r="I629" s="21"/>
      <c r="J629" s="21"/>
      <c r="K629" s="21"/>
      <c r="L629" s="21"/>
      <c r="M629" s="21">
        <v>100</v>
      </c>
      <c r="N629" s="21"/>
      <c r="O629" s="21"/>
      <c r="P629" s="21"/>
      <c r="Q629" s="22">
        <f t="shared" si="9"/>
        <v>100</v>
      </c>
    </row>
    <row r="630" spans="1:17" ht="15.75" customHeight="1">
      <c r="A630" s="23">
        <v>628</v>
      </c>
      <c r="B630" s="24" t="s">
        <v>1448</v>
      </c>
      <c r="C630" s="24" t="s">
        <v>1449</v>
      </c>
      <c r="D630" s="24" t="s">
        <v>1447</v>
      </c>
      <c r="E630" s="25">
        <v>10</v>
      </c>
      <c r="F630" s="25"/>
      <c r="G630" s="25"/>
      <c r="H630" s="25">
        <v>40</v>
      </c>
      <c r="I630" s="25">
        <v>27</v>
      </c>
      <c r="J630" s="25"/>
      <c r="K630" s="25"/>
      <c r="L630" s="25"/>
      <c r="M630" s="25"/>
      <c r="N630" s="25"/>
      <c r="O630" s="25"/>
      <c r="P630" s="25"/>
      <c r="Q630" s="22">
        <f t="shared" si="9"/>
        <v>77</v>
      </c>
    </row>
    <row r="631" spans="1:17" ht="15.75" customHeight="1">
      <c r="A631" s="19">
        <v>629</v>
      </c>
      <c r="B631" s="20" t="s">
        <v>1450</v>
      </c>
      <c r="C631" s="20" t="s">
        <v>1451</v>
      </c>
      <c r="D631" s="20" t="s">
        <v>1447</v>
      </c>
      <c r="E631" s="21"/>
      <c r="F631" s="21"/>
      <c r="G631" s="21"/>
      <c r="H631" s="21">
        <v>50</v>
      </c>
      <c r="I631" s="21"/>
      <c r="J631" s="21"/>
      <c r="K631" s="21"/>
      <c r="L631" s="21"/>
      <c r="M631" s="21"/>
      <c r="N631" s="21"/>
      <c r="O631" s="21"/>
      <c r="P631" s="21"/>
      <c r="Q631" s="22">
        <f t="shared" si="9"/>
        <v>50</v>
      </c>
    </row>
    <row r="632" spans="1:17" ht="15.75" customHeight="1">
      <c r="A632" s="23">
        <v>630</v>
      </c>
      <c r="B632" s="24" t="s">
        <v>2776</v>
      </c>
      <c r="C632" s="24" t="s">
        <v>2777</v>
      </c>
      <c r="D632" s="24" t="s">
        <v>284</v>
      </c>
      <c r="E632" s="25"/>
      <c r="F632" s="25"/>
      <c r="G632" s="25"/>
      <c r="H632" s="25">
        <v>8</v>
      </c>
      <c r="I632" s="25"/>
      <c r="J632" s="25"/>
      <c r="K632" s="25"/>
      <c r="L632" s="25"/>
      <c r="M632" s="25"/>
      <c r="N632" s="25"/>
      <c r="O632" s="25"/>
      <c r="P632" s="25"/>
      <c r="Q632" s="22">
        <f t="shared" si="9"/>
        <v>8</v>
      </c>
    </row>
    <row r="633" spans="1:17" ht="15.75" customHeight="1">
      <c r="A633" s="19">
        <v>631</v>
      </c>
      <c r="B633" s="20" t="s">
        <v>2778</v>
      </c>
      <c r="C633" s="20" t="s">
        <v>2779</v>
      </c>
      <c r="D633" s="20" t="s">
        <v>1396</v>
      </c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>
        <v>12</v>
      </c>
      <c r="P633" s="21">
        <v>4</v>
      </c>
      <c r="Q633" s="22">
        <f t="shared" si="9"/>
        <v>16</v>
      </c>
    </row>
    <row r="634" spans="1:17" ht="15.75" customHeight="1">
      <c r="A634" s="23">
        <v>632</v>
      </c>
      <c r="B634" s="24" t="s">
        <v>2780</v>
      </c>
      <c r="C634" s="24" t="s">
        <v>2781</v>
      </c>
      <c r="D634" s="24" t="s">
        <v>1411</v>
      </c>
      <c r="E634" s="25"/>
      <c r="F634" s="25">
        <v>15</v>
      </c>
      <c r="G634" s="25"/>
      <c r="H634" s="25"/>
      <c r="I634" s="25"/>
      <c r="J634" s="25"/>
      <c r="K634" s="25"/>
      <c r="L634" s="25"/>
      <c r="M634" s="25"/>
      <c r="N634" s="25"/>
      <c r="O634" s="25">
        <v>8</v>
      </c>
      <c r="P634" s="25">
        <v>57</v>
      </c>
      <c r="Q634" s="22">
        <f t="shared" si="9"/>
        <v>80</v>
      </c>
    </row>
    <row r="635" spans="1:17" ht="15.75" customHeight="1">
      <c r="A635" s="19">
        <v>633</v>
      </c>
      <c r="B635" s="20" t="s">
        <v>2782</v>
      </c>
      <c r="C635" s="20" t="s">
        <v>2783</v>
      </c>
      <c r="D635" s="20" t="s">
        <v>2771</v>
      </c>
      <c r="E635" s="21"/>
      <c r="F635" s="21"/>
      <c r="G635" s="21"/>
      <c r="H635" s="21"/>
      <c r="I635" s="21"/>
      <c r="J635" s="21">
        <v>100</v>
      </c>
      <c r="K635" s="21"/>
      <c r="L635" s="21">
        <v>101</v>
      </c>
      <c r="M635" s="21"/>
      <c r="N635" s="21"/>
      <c r="O635" s="21">
        <v>100</v>
      </c>
      <c r="P635" s="21"/>
      <c r="Q635" s="22">
        <f t="shared" si="9"/>
        <v>301</v>
      </c>
    </row>
    <row r="636" spans="1:17" ht="15.75" customHeight="1">
      <c r="A636" s="23">
        <v>634</v>
      </c>
      <c r="B636" s="24" t="s">
        <v>2784</v>
      </c>
      <c r="C636" s="24" t="s">
        <v>1466</v>
      </c>
      <c r="D636" s="24" t="s">
        <v>324</v>
      </c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>
        <v>100</v>
      </c>
      <c r="Q636" s="22">
        <f t="shared" si="9"/>
        <v>100</v>
      </c>
    </row>
    <row r="637" spans="1:17" ht="15.75" customHeight="1">
      <c r="A637" s="19">
        <v>635</v>
      </c>
      <c r="B637" s="20" t="s">
        <v>2785</v>
      </c>
      <c r="C637" s="20" t="s">
        <v>1466</v>
      </c>
      <c r="D637" s="20" t="s">
        <v>42</v>
      </c>
      <c r="E637" s="21"/>
      <c r="F637" s="21"/>
      <c r="G637" s="21"/>
      <c r="H637" s="21"/>
      <c r="I637" s="21"/>
      <c r="J637" s="21"/>
      <c r="K637" s="21"/>
      <c r="L637" s="21"/>
      <c r="M637" s="21">
        <v>250</v>
      </c>
      <c r="N637" s="21"/>
      <c r="O637" s="21"/>
      <c r="P637" s="21"/>
      <c r="Q637" s="22">
        <f t="shared" si="9"/>
        <v>250</v>
      </c>
    </row>
    <row r="638" spans="1:17" ht="15.75" customHeight="1">
      <c r="A638" s="23">
        <v>636</v>
      </c>
      <c r="B638" s="24" t="s">
        <v>1467</v>
      </c>
      <c r="C638" s="24" t="s">
        <v>1466</v>
      </c>
      <c r="D638" s="24" t="s">
        <v>24</v>
      </c>
      <c r="E638" s="25"/>
      <c r="F638" s="25"/>
      <c r="G638" s="25"/>
      <c r="H638" s="25"/>
      <c r="I638" s="25"/>
      <c r="J638" s="25"/>
      <c r="K638" s="25">
        <v>50</v>
      </c>
      <c r="L638" s="25"/>
      <c r="M638" s="25"/>
      <c r="N638" s="25">
        <v>5</v>
      </c>
      <c r="O638" s="25"/>
      <c r="P638" s="25"/>
      <c r="Q638" s="22">
        <f t="shared" si="9"/>
        <v>55</v>
      </c>
    </row>
    <row r="639" spans="1:17" ht="15.75" customHeight="1">
      <c r="A639" s="19">
        <v>637</v>
      </c>
      <c r="B639" s="20" t="s">
        <v>2786</v>
      </c>
      <c r="C639" s="20" t="s">
        <v>1471</v>
      </c>
      <c r="D639" s="20" t="s">
        <v>284</v>
      </c>
      <c r="E639" s="21"/>
      <c r="F639" s="21"/>
      <c r="G639" s="21"/>
      <c r="H639" s="21"/>
      <c r="I639" s="21">
        <v>20</v>
      </c>
      <c r="J639" s="21"/>
      <c r="K639" s="21"/>
      <c r="L639" s="21"/>
      <c r="M639" s="21"/>
      <c r="N639" s="21"/>
      <c r="O639" s="21"/>
      <c r="P639" s="21"/>
      <c r="Q639" s="22">
        <f t="shared" si="9"/>
        <v>20</v>
      </c>
    </row>
    <row r="640" spans="1:17" ht="15.75" customHeight="1">
      <c r="A640" s="23">
        <v>638</v>
      </c>
      <c r="B640" s="24" t="s">
        <v>2787</v>
      </c>
      <c r="C640" s="24" t="s">
        <v>1471</v>
      </c>
      <c r="D640" s="24" t="s">
        <v>20</v>
      </c>
      <c r="E640" s="25"/>
      <c r="F640" s="25"/>
      <c r="G640" s="25"/>
      <c r="H640" s="25"/>
      <c r="I640" s="25">
        <v>10</v>
      </c>
      <c r="J640" s="25"/>
      <c r="K640" s="25"/>
      <c r="L640" s="25"/>
      <c r="M640" s="25"/>
      <c r="N640" s="25"/>
      <c r="O640" s="25"/>
      <c r="P640" s="25"/>
      <c r="Q640" s="22">
        <f t="shared" si="9"/>
        <v>10</v>
      </c>
    </row>
    <row r="641" spans="1:17" ht="15.75" customHeight="1">
      <c r="A641" s="19">
        <v>639</v>
      </c>
      <c r="B641" s="20" t="s">
        <v>2788</v>
      </c>
      <c r="C641" s="20" t="s">
        <v>1471</v>
      </c>
      <c r="D641" s="20" t="s">
        <v>32</v>
      </c>
      <c r="E641" s="21"/>
      <c r="F641" s="21"/>
      <c r="G641" s="21"/>
      <c r="H641" s="21"/>
      <c r="I641" s="21">
        <v>10</v>
      </c>
      <c r="J641" s="21"/>
      <c r="K641" s="21"/>
      <c r="L641" s="21"/>
      <c r="M641" s="21"/>
      <c r="N641" s="21"/>
      <c r="O641" s="21"/>
      <c r="P641" s="21"/>
      <c r="Q641" s="22">
        <f t="shared" si="9"/>
        <v>10</v>
      </c>
    </row>
    <row r="642" spans="1:17" ht="15.75" customHeight="1">
      <c r="A642" s="23">
        <v>640</v>
      </c>
      <c r="B642" s="24" t="s">
        <v>2789</v>
      </c>
      <c r="C642" s="24" t="s">
        <v>1471</v>
      </c>
      <c r="D642" s="24" t="s">
        <v>22</v>
      </c>
      <c r="E642" s="25"/>
      <c r="F642" s="25"/>
      <c r="G642" s="25"/>
      <c r="H642" s="25"/>
      <c r="I642" s="25">
        <v>10</v>
      </c>
      <c r="J642" s="25"/>
      <c r="K642" s="25"/>
      <c r="L642" s="25"/>
      <c r="M642" s="25"/>
      <c r="N642" s="25"/>
      <c r="O642" s="25"/>
      <c r="P642" s="25"/>
      <c r="Q642" s="22">
        <f t="shared" si="9"/>
        <v>10</v>
      </c>
    </row>
    <row r="643" spans="1:17" ht="15.75" customHeight="1">
      <c r="A643" s="19">
        <v>641</v>
      </c>
      <c r="B643" s="20" t="s">
        <v>1470</v>
      </c>
      <c r="C643" s="20" t="s">
        <v>1471</v>
      </c>
      <c r="D643" s="20" t="s">
        <v>121</v>
      </c>
      <c r="E643" s="21"/>
      <c r="F643" s="21"/>
      <c r="G643" s="21"/>
      <c r="H643" s="21"/>
      <c r="I643" s="21">
        <v>5</v>
      </c>
      <c r="J643" s="21"/>
      <c r="K643" s="21"/>
      <c r="L643" s="21"/>
      <c r="M643" s="21"/>
      <c r="N643" s="21"/>
      <c r="O643" s="21"/>
      <c r="P643" s="21"/>
      <c r="Q643" s="22">
        <f t="shared" ref="Q643:Q706" si="10">SUM(E643:P643)</f>
        <v>5</v>
      </c>
    </row>
    <row r="644" spans="1:17" ht="15.75" customHeight="1">
      <c r="A644" s="23">
        <v>642</v>
      </c>
      <c r="B644" s="24" t="s">
        <v>2790</v>
      </c>
      <c r="C644" s="24" t="s">
        <v>1471</v>
      </c>
      <c r="D644" s="24" t="s">
        <v>26</v>
      </c>
      <c r="E644" s="25"/>
      <c r="F644" s="25"/>
      <c r="G644" s="25"/>
      <c r="H644" s="25"/>
      <c r="I644" s="25">
        <v>20</v>
      </c>
      <c r="J644" s="25"/>
      <c r="K644" s="25"/>
      <c r="L644" s="25"/>
      <c r="M644" s="25"/>
      <c r="N644" s="25"/>
      <c r="O644" s="25"/>
      <c r="P644" s="25"/>
      <c r="Q644" s="22">
        <f t="shared" si="10"/>
        <v>20</v>
      </c>
    </row>
    <row r="645" spans="1:17" ht="15.75" customHeight="1">
      <c r="A645" s="19">
        <v>643</v>
      </c>
      <c r="B645" s="20" t="s">
        <v>1476</v>
      </c>
      <c r="C645" s="20" t="s">
        <v>1475</v>
      </c>
      <c r="D645" s="20" t="s">
        <v>182</v>
      </c>
      <c r="E645" s="21"/>
      <c r="F645" s="21">
        <v>30</v>
      </c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2">
        <f t="shared" si="10"/>
        <v>30</v>
      </c>
    </row>
    <row r="646" spans="1:17" ht="15.75" customHeight="1">
      <c r="A646" s="23">
        <v>644</v>
      </c>
      <c r="B646" s="24" t="s">
        <v>2791</v>
      </c>
      <c r="C646" s="24" t="s">
        <v>2041</v>
      </c>
      <c r="D646" s="24" t="s">
        <v>45</v>
      </c>
      <c r="E646" s="25"/>
      <c r="F646" s="25"/>
      <c r="G646" s="25"/>
      <c r="H646" s="25">
        <v>10</v>
      </c>
      <c r="I646" s="25"/>
      <c r="J646" s="25"/>
      <c r="K646" s="25"/>
      <c r="L646" s="25"/>
      <c r="M646" s="25"/>
      <c r="N646" s="25"/>
      <c r="O646" s="25"/>
      <c r="P646" s="25"/>
      <c r="Q646" s="22">
        <f t="shared" si="10"/>
        <v>10</v>
      </c>
    </row>
    <row r="647" spans="1:17" ht="15.75" customHeight="1">
      <c r="A647" s="19">
        <v>645</v>
      </c>
      <c r="B647" s="20" t="s">
        <v>1482</v>
      </c>
      <c r="C647" s="20" t="s">
        <v>1481</v>
      </c>
      <c r="D647" s="20" t="s">
        <v>32</v>
      </c>
      <c r="E647" s="21">
        <v>10</v>
      </c>
      <c r="F647" s="21">
        <v>1</v>
      </c>
      <c r="G647" s="21">
        <v>50</v>
      </c>
      <c r="H647" s="21"/>
      <c r="I647" s="21"/>
      <c r="J647" s="21"/>
      <c r="K647" s="21">
        <v>50</v>
      </c>
      <c r="L647" s="21"/>
      <c r="M647" s="21"/>
      <c r="N647" s="21"/>
      <c r="O647" s="21"/>
      <c r="P647" s="21"/>
      <c r="Q647" s="22">
        <f t="shared" si="10"/>
        <v>111</v>
      </c>
    </row>
    <row r="648" spans="1:17" ht="15.75" customHeight="1">
      <c r="A648" s="23">
        <v>646</v>
      </c>
      <c r="B648" s="24" t="s">
        <v>1483</v>
      </c>
      <c r="C648" s="24" t="s">
        <v>1481</v>
      </c>
      <c r="D648" s="24" t="s">
        <v>42</v>
      </c>
      <c r="E648" s="25"/>
      <c r="F648" s="25">
        <v>5</v>
      </c>
      <c r="G648" s="25"/>
      <c r="H648" s="25"/>
      <c r="I648" s="25">
        <v>10</v>
      </c>
      <c r="J648" s="25"/>
      <c r="K648" s="25"/>
      <c r="L648" s="25">
        <v>11</v>
      </c>
      <c r="M648" s="25"/>
      <c r="N648" s="25"/>
      <c r="O648" s="25">
        <v>51</v>
      </c>
      <c r="P648" s="25">
        <v>5</v>
      </c>
      <c r="Q648" s="22">
        <f t="shared" si="10"/>
        <v>82</v>
      </c>
    </row>
    <row r="649" spans="1:17" ht="15.75" customHeight="1">
      <c r="A649" s="19">
        <v>647</v>
      </c>
      <c r="B649" s="20" t="s">
        <v>1484</v>
      </c>
      <c r="C649" s="20" t="s">
        <v>1481</v>
      </c>
      <c r="D649" s="20" t="s">
        <v>22</v>
      </c>
      <c r="E649" s="21"/>
      <c r="F649" s="21"/>
      <c r="G649" s="21"/>
      <c r="H649" s="21"/>
      <c r="I649" s="21"/>
      <c r="J649" s="21"/>
      <c r="K649" s="21">
        <v>50</v>
      </c>
      <c r="L649" s="21"/>
      <c r="M649" s="21"/>
      <c r="N649" s="21"/>
      <c r="O649" s="21"/>
      <c r="P649" s="21"/>
      <c r="Q649" s="22">
        <f t="shared" si="10"/>
        <v>50</v>
      </c>
    </row>
    <row r="650" spans="1:17" ht="15.75" customHeight="1">
      <c r="A650" s="23">
        <v>648</v>
      </c>
      <c r="B650" s="24" t="s">
        <v>1485</v>
      </c>
      <c r="C650" s="24" t="s">
        <v>1481</v>
      </c>
      <c r="D650" s="24" t="s">
        <v>45</v>
      </c>
      <c r="E650" s="25"/>
      <c r="F650" s="25"/>
      <c r="G650" s="25">
        <v>21</v>
      </c>
      <c r="H650" s="25"/>
      <c r="I650" s="25">
        <v>42</v>
      </c>
      <c r="J650" s="25"/>
      <c r="K650" s="25">
        <v>6</v>
      </c>
      <c r="L650" s="25">
        <v>7</v>
      </c>
      <c r="M650" s="25">
        <v>2</v>
      </c>
      <c r="N650" s="25"/>
      <c r="O650" s="25"/>
      <c r="P650" s="25"/>
      <c r="Q650" s="22">
        <f t="shared" si="10"/>
        <v>78</v>
      </c>
    </row>
    <row r="651" spans="1:17" ht="15.75" customHeight="1">
      <c r="A651" s="19">
        <v>649</v>
      </c>
      <c r="B651" s="20" t="s">
        <v>1486</v>
      </c>
      <c r="C651" s="20" t="s">
        <v>1481</v>
      </c>
      <c r="D651" s="20" t="s">
        <v>24</v>
      </c>
      <c r="E651" s="21">
        <v>10</v>
      </c>
      <c r="F651" s="21"/>
      <c r="G651" s="21">
        <v>61</v>
      </c>
      <c r="H651" s="21"/>
      <c r="I651" s="21">
        <v>50</v>
      </c>
      <c r="J651" s="21">
        <v>3</v>
      </c>
      <c r="K651" s="21">
        <v>100</v>
      </c>
      <c r="L651" s="21">
        <v>100</v>
      </c>
      <c r="M651" s="21">
        <v>2</v>
      </c>
      <c r="N651" s="21">
        <v>6</v>
      </c>
      <c r="O651" s="21"/>
      <c r="P651" s="21">
        <v>2</v>
      </c>
      <c r="Q651" s="22">
        <f t="shared" si="10"/>
        <v>334</v>
      </c>
    </row>
    <row r="652" spans="1:17" ht="15.75" customHeight="1">
      <c r="A652" s="23">
        <v>650</v>
      </c>
      <c r="B652" s="24" t="s">
        <v>2792</v>
      </c>
      <c r="C652" s="24" t="s">
        <v>1481</v>
      </c>
      <c r="D652" s="24" t="s">
        <v>26</v>
      </c>
      <c r="E652" s="25"/>
      <c r="F652" s="25"/>
      <c r="G652" s="25"/>
      <c r="H652" s="25"/>
      <c r="I652" s="25">
        <v>50</v>
      </c>
      <c r="J652" s="25"/>
      <c r="K652" s="25"/>
      <c r="L652" s="25"/>
      <c r="M652" s="25"/>
      <c r="N652" s="25"/>
      <c r="O652" s="25"/>
      <c r="P652" s="25"/>
      <c r="Q652" s="22">
        <f t="shared" si="10"/>
        <v>50</v>
      </c>
    </row>
    <row r="653" spans="1:17" ht="15.75" customHeight="1">
      <c r="A653" s="19">
        <v>651</v>
      </c>
      <c r="B653" s="20" t="s">
        <v>1488</v>
      </c>
      <c r="C653" s="20" t="s">
        <v>1489</v>
      </c>
      <c r="D653" s="20" t="s">
        <v>259</v>
      </c>
      <c r="E653" s="21"/>
      <c r="F653" s="21"/>
      <c r="G653" s="21">
        <v>5</v>
      </c>
      <c r="H653" s="21"/>
      <c r="I653" s="21">
        <v>2</v>
      </c>
      <c r="J653" s="21"/>
      <c r="K653" s="21">
        <v>3</v>
      </c>
      <c r="L653" s="21"/>
      <c r="M653" s="21"/>
      <c r="N653" s="21"/>
      <c r="O653" s="21">
        <v>2</v>
      </c>
      <c r="P653" s="21"/>
      <c r="Q653" s="22">
        <f t="shared" si="10"/>
        <v>12</v>
      </c>
    </row>
    <row r="654" spans="1:17" ht="15.75" customHeight="1">
      <c r="A654" s="23">
        <v>652</v>
      </c>
      <c r="B654" s="24" t="s">
        <v>2793</v>
      </c>
      <c r="C654" s="24" t="s">
        <v>1493</v>
      </c>
      <c r="D654" s="24" t="s">
        <v>32</v>
      </c>
      <c r="E654" s="25"/>
      <c r="F654" s="25"/>
      <c r="G654" s="25"/>
      <c r="H654" s="25"/>
      <c r="I654" s="25"/>
      <c r="J654" s="25"/>
      <c r="K654" s="25">
        <v>50</v>
      </c>
      <c r="L654" s="25"/>
      <c r="M654" s="25"/>
      <c r="N654" s="25"/>
      <c r="O654" s="25"/>
      <c r="P654" s="25"/>
      <c r="Q654" s="22">
        <f t="shared" si="10"/>
        <v>50</v>
      </c>
    </row>
    <row r="655" spans="1:17" ht="15.75" customHeight="1">
      <c r="A655" s="19">
        <v>653</v>
      </c>
      <c r="B655" s="20" t="s">
        <v>1496</v>
      </c>
      <c r="C655" s="20" t="s">
        <v>1493</v>
      </c>
      <c r="D655" s="20" t="s">
        <v>42</v>
      </c>
      <c r="E655" s="21"/>
      <c r="F655" s="21">
        <v>5</v>
      </c>
      <c r="G655" s="21"/>
      <c r="H655" s="21"/>
      <c r="I655" s="21"/>
      <c r="J655" s="21"/>
      <c r="K655" s="21">
        <v>6</v>
      </c>
      <c r="L655" s="21">
        <v>1</v>
      </c>
      <c r="M655" s="21"/>
      <c r="N655" s="21">
        <v>25</v>
      </c>
      <c r="O655" s="21"/>
      <c r="P655" s="21">
        <v>8</v>
      </c>
      <c r="Q655" s="22">
        <f t="shared" si="10"/>
        <v>45</v>
      </c>
    </row>
    <row r="656" spans="1:17" ht="15.75" customHeight="1">
      <c r="A656" s="23">
        <v>654</v>
      </c>
      <c r="B656" s="24" t="s">
        <v>1497</v>
      </c>
      <c r="C656" s="24" t="s">
        <v>1493</v>
      </c>
      <c r="D656" s="24" t="s">
        <v>22</v>
      </c>
      <c r="E656" s="25"/>
      <c r="F656" s="25"/>
      <c r="G656" s="25"/>
      <c r="H656" s="25"/>
      <c r="I656" s="25"/>
      <c r="J656" s="25"/>
      <c r="K656" s="25">
        <v>50</v>
      </c>
      <c r="L656" s="25"/>
      <c r="M656" s="25"/>
      <c r="N656" s="25"/>
      <c r="O656" s="25"/>
      <c r="P656" s="25"/>
      <c r="Q656" s="22">
        <f t="shared" si="10"/>
        <v>50</v>
      </c>
    </row>
    <row r="657" spans="1:17" ht="15.75" customHeight="1">
      <c r="A657" s="19">
        <v>655</v>
      </c>
      <c r="B657" s="20" t="s">
        <v>1498</v>
      </c>
      <c r="C657" s="20" t="s">
        <v>1493</v>
      </c>
      <c r="D657" s="20" t="s">
        <v>45</v>
      </c>
      <c r="E657" s="21">
        <v>2</v>
      </c>
      <c r="F657" s="21"/>
      <c r="G657" s="21"/>
      <c r="H657" s="21">
        <v>10</v>
      </c>
      <c r="I657" s="21">
        <v>1</v>
      </c>
      <c r="J657" s="21">
        <v>22</v>
      </c>
      <c r="K657" s="21">
        <v>6</v>
      </c>
      <c r="L657" s="21"/>
      <c r="M657" s="21"/>
      <c r="N657" s="21">
        <v>105</v>
      </c>
      <c r="O657" s="21"/>
      <c r="P657" s="21">
        <v>4</v>
      </c>
      <c r="Q657" s="22">
        <f t="shared" si="10"/>
        <v>150</v>
      </c>
    </row>
    <row r="658" spans="1:17" ht="15.75" customHeight="1">
      <c r="A658" s="23">
        <v>656</v>
      </c>
      <c r="B658" s="24" t="s">
        <v>1500</v>
      </c>
      <c r="C658" s="24" t="s">
        <v>1493</v>
      </c>
      <c r="D658" s="24" t="s">
        <v>24</v>
      </c>
      <c r="E658" s="25">
        <v>20</v>
      </c>
      <c r="F658" s="25"/>
      <c r="G658" s="25"/>
      <c r="H658" s="25"/>
      <c r="I658" s="25"/>
      <c r="J658" s="25"/>
      <c r="K658" s="25">
        <v>50</v>
      </c>
      <c r="L658" s="25"/>
      <c r="M658" s="25"/>
      <c r="N658" s="25"/>
      <c r="O658" s="25">
        <v>140</v>
      </c>
      <c r="P658" s="25"/>
      <c r="Q658" s="22">
        <f t="shared" si="10"/>
        <v>210</v>
      </c>
    </row>
    <row r="659" spans="1:17" ht="15.75" customHeight="1">
      <c r="A659" s="19">
        <v>657</v>
      </c>
      <c r="B659" s="20" t="s">
        <v>1501</v>
      </c>
      <c r="C659" s="20" t="s">
        <v>1493</v>
      </c>
      <c r="D659" s="20" t="s">
        <v>26</v>
      </c>
      <c r="E659" s="21"/>
      <c r="F659" s="21">
        <v>5</v>
      </c>
      <c r="G659" s="21"/>
      <c r="H659" s="21">
        <v>10</v>
      </c>
      <c r="I659" s="21">
        <v>2</v>
      </c>
      <c r="J659" s="21"/>
      <c r="K659" s="21"/>
      <c r="L659" s="21"/>
      <c r="M659" s="21"/>
      <c r="N659" s="21"/>
      <c r="O659" s="21"/>
      <c r="P659" s="21"/>
      <c r="Q659" s="22">
        <f t="shared" si="10"/>
        <v>17</v>
      </c>
    </row>
    <row r="660" spans="1:17" ht="15.75" customHeight="1">
      <c r="A660" s="23">
        <v>658</v>
      </c>
      <c r="B660" s="24" t="s">
        <v>2794</v>
      </c>
      <c r="C660" s="24" t="s">
        <v>1504</v>
      </c>
      <c r="D660" s="24" t="s">
        <v>324</v>
      </c>
      <c r="E660" s="25">
        <v>50</v>
      </c>
      <c r="F660" s="25"/>
      <c r="G660" s="25"/>
      <c r="H660" s="25">
        <v>50</v>
      </c>
      <c r="I660" s="25"/>
      <c r="J660" s="25"/>
      <c r="K660" s="25"/>
      <c r="L660" s="25"/>
      <c r="M660" s="25"/>
      <c r="N660" s="25"/>
      <c r="O660" s="25"/>
      <c r="P660" s="25"/>
      <c r="Q660" s="22">
        <f t="shared" si="10"/>
        <v>100</v>
      </c>
    </row>
    <row r="661" spans="1:17" ht="15.75" customHeight="1">
      <c r="A661" s="19">
        <v>659</v>
      </c>
      <c r="B661" s="20" t="s">
        <v>1503</v>
      </c>
      <c r="C661" s="20" t="s">
        <v>1504</v>
      </c>
      <c r="D661" s="20" t="s">
        <v>20</v>
      </c>
      <c r="E661" s="21"/>
      <c r="F661" s="21"/>
      <c r="G661" s="21"/>
      <c r="H661" s="21"/>
      <c r="I661" s="21">
        <v>5</v>
      </c>
      <c r="J661" s="21"/>
      <c r="K661" s="21"/>
      <c r="L661" s="21"/>
      <c r="M661" s="21"/>
      <c r="N661" s="21"/>
      <c r="O661" s="21"/>
      <c r="P661" s="21"/>
      <c r="Q661" s="22">
        <f t="shared" si="10"/>
        <v>5</v>
      </c>
    </row>
    <row r="662" spans="1:17" ht="15.75" customHeight="1">
      <c r="A662" s="23">
        <v>660</v>
      </c>
      <c r="B662" s="24" t="s">
        <v>2795</v>
      </c>
      <c r="C662" s="24" t="s">
        <v>1504</v>
      </c>
      <c r="D662" s="24" t="s">
        <v>32</v>
      </c>
      <c r="E662" s="25"/>
      <c r="F662" s="25"/>
      <c r="G662" s="25"/>
      <c r="H662" s="25"/>
      <c r="I662" s="25">
        <v>5</v>
      </c>
      <c r="J662" s="25"/>
      <c r="K662" s="25"/>
      <c r="L662" s="25"/>
      <c r="M662" s="25"/>
      <c r="N662" s="25"/>
      <c r="O662" s="25"/>
      <c r="P662" s="25"/>
      <c r="Q662" s="22">
        <f t="shared" si="10"/>
        <v>5</v>
      </c>
    </row>
    <row r="663" spans="1:17" ht="15.75" customHeight="1">
      <c r="A663" s="19">
        <v>661</v>
      </c>
      <c r="B663" s="20" t="s">
        <v>2796</v>
      </c>
      <c r="C663" s="20" t="s">
        <v>1504</v>
      </c>
      <c r="D663" s="20" t="s">
        <v>22</v>
      </c>
      <c r="E663" s="21"/>
      <c r="F663" s="21"/>
      <c r="G663" s="21"/>
      <c r="H663" s="21"/>
      <c r="I663" s="21">
        <v>20</v>
      </c>
      <c r="J663" s="21"/>
      <c r="K663" s="21"/>
      <c r="L663" s="21"/>
      <c r="M663" s="21"/>
      <c r="N663" s="21"/>
      <c r="O663" s="21"/>
      <c r="P663" s="21"/>
      <c r="Q663" s="22">
        <f t="shared" si="10"/>
        <v>20</v>
      </c>
    </row>
    <row r="664" spans="1:17" ht="15.75" customHeight="1">
      <c r="A664" s="23">
        <v>662</v>
      </c>
      <c r="B664" s="24" t="s">
        <v>2797</v>
      </c>
      <c r="C664" s="24" t="s">
        <v>1504</v>
      </c>
      <c r="D664" s="24" t="s">
        <v>121</v>
      </c>
      <c r="E664" s="25"/>
      <c r="F664" s="25"/>
      <c r="G664" s="25"/>
      <c r="H664" s="25"/>
      <c r="I664" s="25">
        <v>5</v>
      </c>
      <c r="J664" s="25"/>
      <c r="K664" s="25"/>
      <c r="L664" s="25"/>
      <c r="M664" s="25"/>
      <c r="N664" s="25"/>
      <c r="O664" s="25"/>
      <c r="P664" s="25"/>
      <c r="Q664" s="22">
        <f t="shared" si="10"/>
        <v>5</v>
      </c>
    </row>
    <row r="665" spans="1:17" ht="15.75" customHeight="1">
      <c r="A665" s="19">
        <v>663</v>
      </c>
      <c r="B665" s="20" t="s">
        <v>1507</v>
      </c>
      <c r="C665" s="20" t="s">
        <v>1504</v>
      </c>
      <c r="D665" s="20" t="s">
        <v>24</v>
      </c>
      <c r="E665" s="21">
        <v>60</v>
      </c>
      <c r="F665" s="21"/>
      <c r="G665" s="21">
        <v>50</v>
      </c>
      <c r="H665" s="21"/>
      <c r="I665" s="21">
        <v>20</v>
      </c>
      <c r="J665" s="21"/>
      <c r="K665" s="21">
        <v>50</v>
      </c>
      <c r="L665" s="21">
        <v>100</v>
      </c>
      <c r="M665" s="21"/>
      <c r="N665" s="21"/>
      <c r="O665" s="21"/>
      <c r="P665" s="21"/>
      <c r="Q665" s="22">
        <f t="shared" si="10"/>
        <v>280</v>
      </c>
    </row>
    <row r="666" spans="1:17" ht="15.75" customHeight="1">
      <c r="A666" s="23">
        <v>664</v>
      </c>
      <c r="B666" s="24" t="s">
        <v>2798</v>
      </c>
      <c r="C666" s="24" t="s">
        <v>1504</v>
      </c>
      <c r="D666" s="24" t="s">
        <v>26</v>
      </c>
      <c r="E666" s="25"/>
      <c r="F666" s="25"/>
      <c r="G666" s="25"/>
      <c r="H666" s="25"/>
      <c r="I666" s="25">
        <v>5</v>
      </c>
      <c r="J666" s="25"/>
      <c r="K666" s="25"/>
      <c r="L666" s="25"/>
      <c r="M666" s="25"/>
      <c r="N666" s="25"/>
      <c r="O666" s="25"/>
      <c r="P666" s="25"/>
      <c r="Q666" s="22">
        <f t="shared" si="10"/>
        <v>5</v>
      </c>
    </row>
    <row r="667" spans="1:17" ht="15.75" customHeight="1">
      <c r="A667" s="19">
        <v>665</v>
      </c>
      <c r="B667" s="20" t="s">
        <v>2799</v>
      </c>
      <c r="C667" s="20" t="s">
        <v>1466</v>
      </c>
      <c r="D667" s="20" t="s">
        <v>1515</v>
      </c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>
        <v>100</v>
      </c>
      <c r="Q667" s="22">
        <f t="shared" si="10"/>
        <v>100</v>
      </c>
    </row>
    <row r="668" spans="1:17" ht="15.75" customHeight="1">
      <c r="A668" s="23">
        <v>666</v>
      </c>
      <c r="B668" s="24" t="s">
        <v>1513</v>
      </c>
      <c r="C668" s="24" t="s">
        <v>169</v>
      </c>
      <c r="D668" s="24" t="s">
        <v>190</v>
      </c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>
        <v>1</v>
      </c>
      <c r="Q668" s="22">
        <f t="shared" si="10"/>
        <v>1</v>
      </c>
    </row>
    <row r="669" spans="1:17" ht="15.75" customHeight="1">
      <c r="A669" s="19">
        <v>667</v>
      </c>
      <c r="B669" s="20" t="s">
        <v>2800</v>
      </c>
      <c r="C669" s="20" t="s">
        <v>1460</v>
      </c>
      <c r="D669" s="20" t="s">
        <v>50</v>
      </c>
      <c r="E669" s="21"/>
      <c r="F669" s="21"/>
      <c r="G669" s="21"/>
      <c r="H669" s="21"/>
      <c r="I669" s="21"/>
      <c r="J669" s="21"/>
      <c r="K669" s="21"/>
      <c r="L669" s="21">
        <v>3</v>
      </c>
      <c r="M669" s="21"/>
      <c r="N669" s="21"/>
      <c r="O669" s="21"/>
      <c r="P669" s="21"/>
      <c r="Q669" s="22">
        <f t="shared" si="10"/>
        <v>3</v>
      </c>
    </row>
    <row r="670" spans="1:17" ht="15.75" customHeight="1">
      <c r="A670" s="23">
        <v>668</v>
      </c>
      <c r="B670" s="24" t="s">
        <v>2801</v>
      </c>
      <c r="C670" s="24" t="s">
        <v>1531</v>
      </c>
      <c r="D670" s="24" t="s">
        <v>42</v>
      </c>
      <c r="E670" s="25"/>
      <c r="F670" s="25"/>
      <c r="G670" s="25"/>
      <c r="H670" s="25"/>
      <c r="I670" s="25"/>
      <c r="J670" s="25"/>
      <c r="K670" s="25">
        <v>2</v>
      </c>
      <c r="L670" s="25"/>
      <c r="M670" s="25"/>
      <c r="N670" s="25"/>
      <c r="O670" s="25"/>
      <c r="P670" s="25"/>
      <c r="Q670" s="22">
        <f t="shared" si="10"/>
        <v>2</v>
      </c>
    </row>
    <row r="671" spans="1:17" ht="15.75" customHeight="1">
      <c r="A671" s="19">
        <v>669</v>
      </c>
      <c r="B671" s="20" t="s">
        <v>2802</v>
      </c>
      <c r="C671" s="20" t="s">
        <v>1466</v>
      </c>
      <c r="D671" s="20" t="s">
        <v>53</v>
      </c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>
        <v>13</v>
      </c>
      <c r="Q671" s="22">
        <f t="shared" si="10"/>
        <v>13</v>
      </c>
    </row>
    <row r="672" spans="1:17" ht="15.75" customHeight="1">
      <c r="A672" s="23">
        <v>670</v>
      </c>
      <c r="B672" s="24" t="s">
        <v>2803</v>
      </c>
      <c r="C672" s="24" t="s">
        <v>1460</v>
      </c>
      <c r="D672" s="24" t="s">
        <v>53</v>
      </c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>
        <v>2</v>
      </c>
      <c r="Q672" s="22">
        <f t="shared" si="10"/>
        <v>2</v>
      </c>
    </row>
    <row r="673" spans="1:17" ht="15.75" customHeight="1">
      <c r="A673" s="19">
        <v>671</v>
      </c>
      <c r="B673" s="20" t="s">
        <v>2804</v>
      </c>
      <c r="C673" s="20" t="s">
        <v>1475</v>
      </c>
      <c r="D673" s="20" t="s">
        <v>53</v>
      </c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>
        <v>24</v>
      </c>
      <c r="Q673" s="22">
        <f t="shared" si="10"/>
        <v>24</v>
      </c>
    </row>
    <row r="674" spans="1:17" ht="15.75" customHeight="1">
      <c r="A674" s="23">
        <v>672</v>
      </c>
      <c r="B674" s="24" t="s">
        <v>2805</v>
      </c>
      <c r="C674" s="24" t="s">
        <v>869</v>
      </c>
      <c r="D674" s="24" t="s">
        <v>2806</v>
      </c>
      <c r="E674" s="25"/>
      <c r="F674" s="25"/>
      <c r="G674" s="25"/>
      <c r="H674" s="25"/>
      <c r="I674" s="25"/>
      <c r="J674" s="25"/>
      <c r="K674" s="25"/>
      <c r="L674" s="25"/>
      <c r="M674" s="25">
        <v>200</v>
      </c>
      <c r="N674" s="25">
        <v>100</v>
      </c>
      <c r="O674" s="25">
        <v>300</v>
      </c>
      <c r="P674" s="25"/>
      <c r="Q674" s="22">
        <f t="shared" si="10"/>
        <v>600</v>
      </c>
    </row>
    <row r="675" spans="1:17" ht="15.75" customHeight="1">
      <c r="A675" s="19">
        <v>673</v>
      </c>
      <c r="B675" s="20" t="s">
        <v>2807</v>
      </c>
      <c r="C675" s="20" t="s">
        <v>2808</v>
      </c>
      <c r="D675" s="20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>
        <v>44</v>
      </c>
      <c r="Q675" s="22">
        <f t="shared" si="10"/>
        <v>44</v>
      </c>
    </row>
    <row r="676" spans="1:17" ht="15.75" customHeight="1">
      <c r="A676" s="23">
        <v>674</v>
      </c>
      <c r="B676" s="24" t="s">
        <v>2809</v>
      </c>
      <c r="C676" s="24" t="s">
        <v>2810</v>
      </c>
      <c r="D676" s="24"/>
      <c r="E676" s="25"/>
      <c r="F676" s="25"/>
      <c r="G676" s="25"/>
      <c r="H676" s="25"/>
      <c r="I676" s="25"/>
      <c r="J676" s="25"/>
      <c r="K676" s="25"/>
      <c r="L676" s="25"/>
      <c r="M676" s="25">
        <v>3</v>
      </c>
      <c r="N676" s="25"/>
      <c r="O676" s="25"/>
      <c r="P676" s="25"/>
      <c r="Q676" s="22">
        <f t="shared" si="10"/>
        <v>3</v>
      </c>
    </row>
    <row r="677" spans="1:17" ht="15.75" customHeight="1">
      <c r="A677" s="19">
        <v>675</v>
      </c>
      <c r="B677" s="20" t="s">
        <v>2809</v>
      </c>
      <c r="C677" s="20" t="s">
        <v>2811</v>
      </c>
      <c r="D677" s="20"/>
      <c r="E677" s="21"/>
      <c r="F677" s="21"/>
      <c r="G677" s="21"/>
      <c r="H677" s="21"/>
      <c r="I677" s="21"/>
      <c r="J677" s="21"/>
      <c r="K677" s="21"/>
      <c r="L677" s="21">
        <v>1</v>
      </c>
      <c r="M677" s="21"/>
      <c r="N677" s="21"/>
      <c r="O677" s="21"/>
      <c r="P677" s="21"/>
      <c r="Q677" s="22">
        <f t="shared" si="10"/>
        <v>1</v>
      </c>
    </row>
    <row r="678" spans="1:17" ht="15.75" customHeight="1">
      <c r="A678" s="23">
        <v>676</v>
      </c>
      <c r="B678" s="24" t="s">
        <v>2812</v>
      </c>
      <c r="C678" s="24" t="s">
        <v>1649</v>
      </c>
      <c r="D678" s="24" t="s">
        <v>2813</v>
      </c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>
        <v>10</v>
      </c>
      <c r="P678" s="25"/>
      <c r="Q678" s="22">
        <f t="shared" si="10"/>
        <v>10</v>
      </c>
    </row>
    <row r="679" spans="1:17" ht="15.75" customHeight="1">
      <c r="A679" s="19">
        <v>677</v>
      </c>
      <c r="B679" s="20" t="s">
        <v>2814</v>
      </c>
      <c r="C679" s="20" t="s">
        <v>1649</v>
      </c>
      <c r="D679" s="20" t="s">
        <v>1660</v>
      </c>
      <c r="E679" s="21"/>
      <c r="F679" s="21"/>
      <c r="G679" s="21"/>
      <c r="H679" s="21"/>
      <c r="I679" s="21"/>
      <c r="J679" s="21"/>
      <c r="K679" s="21"/>
      <c r="L679" s="21"/>
      <c r="M679" s="21"/>
      <c r="N679" s="21">
        <v>15</v>
      </c>
      <c r="O679" s="21"/>
      <c r="P679" s="21"/>
      <c r="Q679" s="22">
        <f t="shared" si="10"/>
        <v>15</v>
      </c>
    </row>
    <row r="680" spans="1:17" ht="15.75" customHeight="1">
      <c r="A680" s="23">
        <v>678</v>
      </c>
      <c r="B680" s="24" t="s">
        <v>1543</v>
      </c>
      <c r="C680" s="24" t="s">
        <v>1544</v>
      </c>
      <c r="D680" s="24" t="s">
        <v>1545</v>
      </c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>
        <v>10</v>
      </c>
      <c r="Q680" s="22">
        <f t="shared" si="10"/>
        <v>10</v>
      </c>
    </row>
    <row r="681" spans="1:17" ht="15.75" customHeight="1">
      <c r="A681" s="19">
        <v>679</v>
      </c>
      <c r="B681" s="20" t="s">
        <v>2815</v>
      </c>
      <c r="C681" s="20" t="s">
        <v>1544</v>
      </c>
      <c r="D681" s="20" t="s">
        <v>2816</v>
      </c>
      <c r="E681" s="21"/>
      <c r="F681" s="21"/>
      <c r="G681" s="21">
        <v>10</v>
      </c>
      <c r="H681" s="21"/>
      <c r="I681" s="21"/>
      <c r="J681" s="21"/>
      <c r="K681" s="21"/>
      <c r="L681" s="21"/>
      <c r="M681" s="21">
        <v>10</v>
      </c>
      <c r="N681" s="21"/>
      <c r="O681" s="21"/>
      <c r="P681" s="21">
        <v>10</v>
      </c>
      <c r="Q681" s="22">
        <f t="shared" si="10"/>
        <v>30</v>
      </c>
    </row>
    <row r="682" spans="1:17" ht="15.75" customHeight="1">
      <c r="A682" s="23">
        <v>680</v>
      </c>
      <c r="B682" s="24" t="s">
        <v>2817</v>
      </c>
      <c r="C682" s="24" t="s">
        <v>1544</v>
      </c>
      <c r="D682" s="24" t="s">
        <v>2818</v>
      </c>
      <c r="E682" s="25"/>
      <c r="F682" s="25"/>
      <c r="G682" s="25">
        <v>10</v>
      </c>
      <c r="H682" s="25"/>
      <c r="I682" s="25"/>
      <c r="J682" s="25"/>
      <c r="K682" s="25"/>
      <c r="L682" s="25"/>
      <c r="M682" s="25"/>
      <c r="N682" s="25"/>
      <c r="O682" s="25"/>
      <c r="P682" s="25"/>
      <c r="Q682" s="22">
        <f t="shared" si="10"/>
        <v>10</v>
      </c>
    </row>
    <row r="683" spans="1:17" ht="15.75" customHeight="1">
      <c r="A683" s="19">
        <v>681</v>
      </c>
      <c r="B683" s="20" t="s">
        <v>2819</v>
      </c>
      <c r="C683" s="20" t="s">
        <v>1544</v>
      </c>
      <c r="D683" s="20" t="s">
        <v>2820</v>
      </c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>
        <v>10</v>
      </c>
      <c r="Q683" s="22">
        <f t="shared" si="10"/>
        <v>10</v>
      </c>
    </row>
    <row r="684" spans="1:17" ht="15.75" customHeight="1">
      <c r="A684" s="23">
        <v>682</v>
      </c>
      <c r="B684" s="24" t="s">
        <v>2821</v>
      </c>
      <c r="C684" s="24" t="s">
        <v>1544</v>
      </c>
      <c r="D684" s="24" t="s">
        <v>2822</v>
      </c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>
        <v>10</v>
      </c>
      <c r="Q684" s="22">
        <f t="shared" si="10"/>
        <v>10</v>
      </c>
    </row>
    <row r="685" spans="1:17" ht="15.75" customHeight="1">
      <c r="A685" s="19">
        <v>683</v>
      </c>
      <c r="B685" s="20" t="s">
        <v>1548</v>
      </c>
      <c r="C685" s="20" t="s">
        <v>448</v>
      </c>
      <c r="D685" s="20" t="s">
        <v>1549</v>
      </c>
      <c r="E685" s="21"/>
      <c r="F685" s="21"/>
      <c r="G685" s="21"/>
      <c r="H685" s="21"/>
      <c r="I685" s="21"/>
      <c r="J685" s="21"/>
      <c r="K685" s="21"/>
      <c r="L685" s="21"/>
      <c r="M685" s="21">
        <v>10</v>
      </c>
      <c r="N685" s="21"/>
      <c r="O685" s="21"/>
      <c r="P685" s="21"/>
      <c r="Q685" s="22">
        <f t="shared" si="10"/>
        <v>10</v>
      </c>
    </row>
    <row r="686" spans="1:17" ht="15.75" customHeight="1">
      <c r="A686" s="23">
        <v>684</v>
      </c>
      <c r="B686" s="24" t="s">
        <v>1550</v>
      </c>
      <c r="C686" s="24" t="s">
        <v>448</v>
      </c>
      <c r="D686" s="24" t="s">
        <v>1551</v>
      </c>
      <c r="E686" s="25"/>
      <c r="F686" s="25"/>
      <c r="G686" s="25"/>
      <c r="H686" s="25"/>
      <c r="I686" s="25">
        <v>30</v>
      </c>
      <c r="J686" s="25"/>
      <c r="K686" s="25"/>
      <c r="L686" s="25"/>
      <c r="M686" s="25"/>
      <c r="N686" s="25"/>
      <c r="O686" s="25"/>
      <c r="P686" s="25"/>
      <c r="Q686" s="22">
        <f t="shared" si="10"/>
        <v>30</v>
      </c>
    </row>
    <row r="687" spans="1:17" ht="15.75" customHeight="1">
      <c r="A687" s="19">
        <v>685</v>
      </c>
      <c r="B687" s="20" t="s">
        <v>2823</v>
      </c>
      <c r="C687" s="20" t="s">
        <v>448</v>
      </c>
      <c r="D687" s="20" t="s">
        <v>2824</v>
      </c>
      <c r="E687" s="21">
        <v>10</v>
      </c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2">
        <f t="shared" si="10"/>
        <v>10</v>
      </c>
    </row>
    <row r="688" spans="1:17" ht="15.75" customHeight="1">
      <c r="A688" s="23">
        <v>686</v>
      </c>
      <c r="B688" s="24" t="s">
        <v>1554</v>
      </c>
      <c r="C688" s="24" t="s">
        <v>448</v>
      </c>
      <c r="D688" s="24" t="s">
        <v>1555</v>
      </c>
      <c r="E688" s="25"/>
      <c r="F688" s="25"/>
      <c r="G688" s="25"/>
      <c r="H688" s="25"/>
      <c r="I688" s="25"/>
      <c r="J688" s="25">
        <v>10</v>
      </c>
      <c r="K688" s="25"/>
      <c r="L688" s="25"/>
      <c r="M688" s="25"/>
      <c r="N688" s="25"/>
      <c r="O688" s="25"/>
      <c r="P688" s="25"/>
      <c r="Q688" s="22">
        <f t="shared" si="10"/>
        <v>10</v>
      </c>
    </row>
    <row r="689" spans="1:17" ht="15.75" customHeight="1">
      <c r="A689" s="19">
        <v>687</v>
      </c>
      <c r="B689" s="20" t="s">
        <v>2825</v>
      </c>
      <c r="C689" s="20" t="s">
        <v>362</v>
      </c>
      <c r="D689" s="20" t="s">
        <v>2826</v>
      </c>
      <c r="E689" s="21"/>
      <c r="F689" s="21">
        <v>53</v>
      </c>
      <c r="G689" s="21"/>
      <c r="H689" s="21">
        <v>40</v>
      </c>
      <c r="I689" s="21">
        <v>30</v>
      </c>
      <c r="J689" s="21">
        <v>15</v>
      </c>
      <c r="K689" s="21">
        <v>40</v>
      </c>
      <c r="L689" s="21"/>
      <c r="M689" s="21"/>
      <c r="N689" s="21"/>
      <c r="O689" s="21"/>
      <c r="P689" s="21"/>
      <c r="Q689" s="22">
        <f t="shared" si="10"/>
        <v>178</v>
      </c>
    </row>
    <row r="690" spans="1:17" ht="15.75" customHeight="1">
      <c r="A690" s="23">
        <v>688</v>
      </c>
      <c r="B690" s="24" t="s">
        <v>2827</v>
      </c>
      <c r="C690" s="24" t="s">
        <v>206</v>
      </c>
      <c r="D690" s="24" t="s">
        <v>2828</v>
      </c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>
        <v>2</v>
      </c>
      <c r="P690" s="25"/>
      <c r="Q690" s="22">
        <f t="shared" si="10"/>
        <v>2</v>
      </c>
    </row>
    <row r="691" spans="1:17" ht="15.75" customHeight="1">
      <c r="A691" s="19">
        <v>689</v>
      </c>
      <c r="B691" s="20" t="s">
        <v>2829</v>
      </c>
      <c r="C691" s="20" t="s">
        <v>211</v>
      </c>
      <c r="D691" s="20" t="s">
        <v>2830</v>
      </c>
      <c r="E691" s="21">
        <v>5</v>
      </c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2">
        <f t="shared" si="10"/>
        <v>5</v>
      </c>
    </row>
    <row r="692" spans="1:17" ht="15.75" customHeight="1">
      <c r="A692" s="23">
        <v>690</v>
      </c>
      <c r="B692" s="24" t="s">
        <v>1558</v>
      </c>
      <c r="C692" s="24" t="s">
        <v>211</v>
      </c>
      <c r="D692" s="24" t="s">
        <v>1559</v>
      </c>
      <c r="E692" s="25">
        <v>3</v>
      </c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2">
        <f t="shared" si="10"/>
        <v>3</v>
      </c>
    </row>
    <row r="693" spans="1:17" ht="15.75" customHeight="1">
      <c r="A693" s="19">
        <v>691</v>
      </c>
      <c r="B693" s="20" t="s">
        <v>1560</v>
      </c>
      <c r="C693" s="20" t="s">
        <v>211</v>
      </c>
      <c r="D693" s="20" t="s">
        <v>1561</v>
      </c>
      <c r="E693" s="21"/>
      <c r="F693" s="21"/>
      <c r="G693" s="21"/>
      <c r="H693" s="21"/>
      <c r="I693" s="21">
        <v>10</v>
      </c>
      <c r="J693" s="21"/>
      <c r="K693" s="21"/>
      <c r="L693" s="21"/>
      <c r="M693" s="21"/>
      <c r="N693" s="21"/>
      <c r="O693" s="21"/>
      <c r="P693" s="21"/>
      <c r="Q693" s="22">
        <f t="shared" si="10"/>
        <v>10</v>
      </c>
    </row>
    <row r="694" spans="1:17" ht="15.75" customHeight="1">
      <c r="A694" s="23">
        <v>692</v>
      </c>
      <c r="B694" s="24" t="s">
        <v>2831</v>
      </c>
      <c r="C694" s="24" t="s">
        <v>203</v>
      </c>
      <c r="D694" s="24" t="s">
        <v>2832</v>
      </c>
      <c r="E694" s="25"/>
      <c r="F694" s="25"/>
      <c r="G694" s="25"/>
      <c r="H694" s="25"/>
      <c r="I694" s="25">
        <v>20</v>
      </c>
      <c r="J694" s="25"/>
      <c r="K694" s="25"/>
      <c r="L694" s="25"/>
      <c r="M694" s="25"/>
      <c r="N694" s="25"/>
      <c r="O694" s="25"/>
      <c r="P694" s="25"/>
      <c r="Q694" s="22">
        <f t="shared" si="10"/>
        <v>20</v>
      </c>
    </row>
    <row r="695" spans="1:17" ht="15.75" customHeight="1">
      <c r="A695" s="19">
        <v>693</v>
      </c>
      <c r="B695" s="20" t="s">
        <v>2833</v>
      </c>
      <c r="C695" s="20" t="s">
        <v>203</v>
      </c>
      <c r="D695" s="20" t="s">
        <v>2834</v>
      </c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>
        <v>20</v>
      </c>
      <c r="P695" s="21"/>
      <c r="Q695" s="22">
        <f t="shared" si="10"/>
        <v>20</v>
      </c>
    </row>
    <row r="696" spans="1:17" ht="15.75" customHeight="1">
      <c r="A696" s="23">
        <v>694</v>
      </c>
      <c r="B696" s="24" t="s">
        <v>2835</v>
      </c>
      <c r="C696" s="24" t="s">
        <v>203</v>
      </c>
      <c r="D696" s="24" t="s">
        <v>1578</v>
      </c>
      <c r="E696" s="25"/>
      <c r="F696" s="25"/>
      <c r="G696" s="25"/>
      <c r="H696" s="25"/>
      <c r="I696" s="25"/>
      <c r="J696" s="25"/>
      <c r="K696" s="25">
        <v>10</v>
      </c>
      <c r="L696" s="25"/>
      <c r="M696" s="25"/>
      <c r="N696" s="25"/>
      <c r="O696" s="25"/>
      <c r="P696" s="25"/>
      <c r="Q696" s="22">
        <f t="shared" si="10"/>
        <v>10</v>
      </c>
    </row>
    <row r="697" spans="1:17" ht="15.75" customHeight="1">
      <c r="A697" s="19">
        <v>695</v>
      </c>
      <c r="B697" s="20" t="s">
        <v>1567</v>
      </c>
      <c r="C697" s="20" t="s">
        <v>244</v>
      </c>
      <c r="D697" s="20" t="s">
        <v>1568</v>
      </c>
      <c r="E697" s="21"/>
      <c r="F697" s="21"/>
      <c r="G697" s="21">
        <v>2</v>
      </c>
      <c r="H697" s="21"/>
      <c r="I697" s="21"/>
      <c r="J697" s="21"/>
      <c r="K697" s="21"/>
      <c r="L697" s="21"/>
      <c r="M697" s="21"/>
      <c r="N697" s="21"/>
      <c r="O697" s="21"/>
      <c r="P697" s="21"/>
      <c r="Q697" s="22">
        <f t="shared" si="10"/>
        <v>2</v>
      </c>
    </row>
    <row r="698" spans="1:17" ht="15.75" customHeight="1">
      <c r="A698" s="23">
        <v>696</v>
      </c>
      <c r="B698" s="24" t="s">
        <v>2836</v>
      </c>
      <c r="C698" s="24" t="s">
        <v>194</v>
      </c>
      <c r="D698" s="24" t="s">
        <v>2837</v>
      </c>
      <c r="E698" s="25"/>
      <c r="F698" s="25"/>
      <c r="G698" s="25"/>
      <c r="H698" s="25"/>
      <c r="I698" s="25"/>
      <c r="J698" s="25"/>
      <c r="K698" s="25"/>
      <c r="L698" s="25">
        <v>1</v>
      </c>
      <c r="M698" s="25"/>
      <c r="N698" s="25"/>
      <c r="O698" s="25"/>
      <c r="P698" s="25"/>
      <c r="Q698" s="22">
        <f t="shared" si="10"/>
        <v>1</v>
      </c>
    </row>
    <row r="699" spans="1:17" ht="15.75" customHeight="1">
      <c r="A699" s="19">
        <v>697</v>
      </c>
      <c r="B699" s="20" t="s">
        <v>1569</v>
      </c>
      <c r="C699" s="20" t="s">
        <v>194</v>
      </c>
      <c r="D699" s="20" t="s">
        <v>1570</v>
      </c>
      <c r="E699" s="21"/>
      <c r="F699" s="21"/>
      <c r="G699" s="21"/>
      <c r="H699" s="21"/>
      <c r="I699" s="21"/>
      <c r="J699" s="21"/>
      <c r="K699" s="21">
        <v>22</v>
      </c>
      <c r="L699" s="21"/>
      <c r="M699" s="21"/>
      <c r="N699" s="21"/>
      <c r="O699" s="21"/>
      <c r="P699" s="21"/>
      <c r="Q699" s="22">
        <f t="shared" si="10"/>
        <v>22</v>
      </c>
    </row>
    <row r="700" spans="1:17" ht="15.75" customHeight="1">
      <c r="A700" s="23">
        <v>698</v>
      </c>
      <c r="B700" s="24" t="s">
        <v>1571</v>
      </c>
      <c r="C700" s="24" t="s">
        <v>194</v>
      </c>
      <c r="D700" s="24" t="s">
        <v>1572</v>
      </c>
      <c r="E700" s="25"/>
      <c r="F700" s="25"/>
      <c r="G700" s="25">
        <v>1</v>
      </c>
      <c r="H700" s="25"/>
      <c r="I700" s="25"/>
      <c r="J700" s="25"/>
      <c r="K700" s="25"/>
      <c r="L700" s="25"/>
      <c r="M700" s="25"/>
      <c r="N700" s="25"/>
      <c r="O700" s="25"/>
      <c r="P700" s="25"/>
      <c r="Q700" s="22">
        <f t="shared" si="10"/>
        <v>1</v>
      </c>
    </row>
    <row r="701" spans="1:17" ht="15.75" customHeight="1">
      <c r="A701" s="19">
        <v>699</v>
      </c>
      <c r="B701" s="20" t="s">
        <v>1573</v>
      </c>
      <c r="C701" s="20" t="s">
        <v>253</v>
      </c>
      <c r="D701" s="20" t="s">
        <v>1574</v>
      </c>
      <c r="E701" s="21"/>
      <c r="F701" s="21"/>
      <c r="G701" s="21"/>
      <c r="H701" s="21"/>
      <c r="I701" s="21"/>
      <c r="J701" s="21">
        <v>20</v>
      </c>
      <c r="K701" s="21">
        <v>30</v>
      </c>
      <c r="L701" s="21">
        <v>1</v>
      </c>
      <c r="M701" s="21"/>
      <c r="N701" s="21"/>
      <c r="O701" s="21">
        <v>40</v>
      </c>
      <c r="P701" s="21">
        <v>2</v>
      </c>
      <c r="Q701" s="22">
        <f t="shared" si="10"/>
        <v>93</v>
      </c>
    </row>
    <row r="702" spans="1:17" ht="15.75" customHeight="1">
      <c r="A702" s="23">
        <v>700</v>
      </c>
      <c r="B702" s="24" t="s">
        <v>1575</v>
      </c>
      <c r="C702" s="24" t="s">
        <v>253</v>
      </c>
      <c r="D702" s="24" t="s">
        <v>1576</v>
      </c>
      <c r="E702" s="25"/>
      <c r="F702" s="25"/>
      <c r="G702" s="25"/>
      <c r="H702" s="25">
        <v>20</v>
      </c>
      <c r="I702" s="25"/>
      <c r="J702" s="25"/>
      <c r="K702" s="25"/>
      <c r="L702" s="25"/>
      <c r="M702" s="25"/>
      <c r="N702" s="25"/>
      <c r="O702" s="25"/>
      <c r="P702" s="25"/>
      <c r="Q702" s="22">
        <f t="shared" si="10"/>
        <v>20</v>
      </c>
    </row>
    <row r="703" spans="1:17" ht="15.75" customHeight="1">
      <c r="A703" s="19">
        <v>701</v>
      </c>
      <c r="B703" s="20" t="s">
        <v>2838</v>
      </c>
      <c r="C703" s="20" t="s">
        <v>253</v>
      </c>
      <c r="D703" s="20" t="s">
        <v>2839</v>
      </c>
      <c r="E703" s="21"/>
      <c r="F703" s="21">
        <v>200</v>
      </c>
      <c r="G703" s="21"/>
      <c r="H703" s="21"/>
      <c r="I703" s="21">
        <v>2</v>
      </c>
      <c r="J703" s="21"/>
      <c r="K703" s="21">
        <v>10</v>
      </c>
      <c r="L703" s="21">
        <v>20</v>
      </c>
      <c r="M703" s="21">
        <v>10</v>
      </c>
      <c r="N703" s="21"/>
      <c r="O703" s="21"/>
      <c r="P703" s="21"/>
      <c r="Q703" s="22">
        <f t="shared" si="10"/>
        <v>242</v>
      </c>
    </row>
    <row r="704" spans="1:17" ht="15.75" customHeight="1">
      <c r="A704" s="23">
        <v>702</v>
      </c>
      <c r="B704" s="24" t="s">
        <v>1577</v>
      </c>
      <c r="C704" s="24" t="s">
        <v>253</v>
      </c>
      <c r="D704" s="24" t="s">
        <v>1578</v>
      </c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>
        <v>2</v>
      </c>
      <c r="Q704" s="22">
        <f t="shared" si="10"/>
        <v>2</v>
      </c>
    </row>
    <row r="705" spans="1:17" ht="15.75" customHeight="1">
      <c r="A705" s="19">
        <v>703</v>
      </c>
      <c r="B705" s="20" t="s">
        <v>2840</v>
      </c>
      <c r="C705" s="20" t="s">
        <v>2841</v>
      </c>
      <c r="D705" s="20" t="s">
        <v>2842</v>
      </c>
      <c r="E705" s="21"/>
      <c r="F705" s="21"/>
      <c r="G705" s="21"/>
      <c r="H705" s="21"/>
      <c r="I705" s="21"/>
      <c r="J705" s="21"/>
      <c r="K705" s="21"/>
      <c r="L705" s="21"/>
      <c r="M705" s="21">
        <v>5</v>
      </c>
      <c r="N705" s="21"/>
      <c r="O705" s="21"/>
      <c r="P705" s="21"/>
      <c r="Q705" s="22">
        <f t="shared" si="10"/>
        <v>5</v>
      </c>
    </row>
    <row r="706" spans="1:17" ht="15.75" customHeight="1">
      <c r="A706" s="23">
        <v>704</v>
      </c>
      <c r="B706" s="24" t="s">
        <v>1592</v>
      </c>
      <c r="C706" s="24" t="s">
        <v>263</v>
      </c>
      <c r="D706" s="24" t="s">
        <v>1593</v>
      </c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>
        <v>45</v>
      </c>
      <c r="P706" s="25"/>
      <c r="Q706" s="22">
        <f t="shared" si="10"/>
        <v>45</v>
      </c>
    </row>
    <row r="707" spans="1:17" ht="15.75" customHeight="1">
      <c r="A707" s="19">
        <v>705</v>
      </c>
      <c r="B707" s="20" t="s">
        <v>2843</v>
      </c>
      <c r="C707" s="20" t="s">
        <v>263</v>
      </c>
      <c r="D707" s="20" t="s">
        <v>2844</v>
      </c>
      <c r="E707" s="21"/>
      <c r="F707" s="21"/>
      <c r="G707" s="21"/>
      <c r="H707" s="21"/>
      <c r="I707" s="21"/>
      <c r="J707" s="21"/>
      <c r="K707" s="21"/>
      <c r="L707" s="21"/>
      <c r="M707" s="21"/>
      <c r="N707" s="21">
        <v>120</v>
      </c>
      <c r="O707" s="21"/>
      <c r="P707" s="21"/>
      <c r="Q707" s="22">
        <f t="shared" ref="Q707:Q770" si="11">SUM(E707:P707)</f>
        <v>120</v>
      </c>
    </row>
    <row r="708" spans="1:17" ht="15.75" customHeight="1">
      <c r="A708" s="23">
        <v>706</v>
      </c>
      <c r="B708" s="24" t="s">
        <v>2845</v>
      </c>
      <c r="C708" s="24" t="s">
        <v>271</v>
      </c>
      <c r="D708" s="24" t="s">
        <v>2846</v>
      </c>
      <c r="E708" s="25">
        <v>15</v>
      </c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2">
        <f t="shared" si="11"/>
        <v>15</v>
      </c>
    </row>
    <row r="709" spans="1:17" ht="15.75" customHeight="1">
      <c r="A709" s="19">
        <v>707</v>
      </c>
      <c r="B709" s="20" t="s">
        <v>2847</v>
      </c>
      <c r="C709" s="20" t="s">
        <v>271</v>
      </c>
      <c r="D709" s="20" t="s">
        <v>2848</v>
      </c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>
        <v>2</v>
      </c>
      <c r="Q709" s="22">
        <f t="shared" si="11"/>
        <v>2</v>
      </c>
    </row>
    <row r="710" spans="1:17" ht="15.75" customHeight="1">
      <c r="A710" s="23">
        <v>708</v>
      </c>
      <c r="B710" s="24" t="s">
        <v>2849</v>
      </c>
      <c r="C710" s="24" t="s">
        <v>278</v>
      </c>
      <c r="D710" s="24" t="s">
        <v>2850</v>
      </c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>
        <v>2</v>
      </c>
      <c r="Q710" s="22">
        <f t="shared" si="11"/>
        <v>2</v>
      </c>
    </row>
    <row r="711" spans="1:17" ht="15.75" customHeight="1">
      <c r="A711" s="19">
        <v>709</v>
      </c>
      <c r="B711" s="20" t="s">
        <v>1594</v>
      </c>
      <c r="C711" s="20" t="s">
        <v>278</v>
      </c>
      <c r="D711" s="20" t="s">
        <v>1595</v>
      </c>
      <c r="E711" s="21"/>
      <c r="F711" s="21"/>
      <c r="G711" s="21"/>
      <c r="H711" s="21"/>
      <c r="I711" s="21"/>
      <c r="J711" s="21"/>
      <c r="K711" s="21">
        <v>10</v>
      </c>
      <c r="L711" s="21"/>
      <c r="M711" s="21"/>
      <c r="N711" s="21"/>
      <c r="O711" s="21"/>
      <c r="P711" s="21"/>
      <c r="Q711" s="22">
        <f t="shared" si="11"/>
        <v>10</v>
      </c>
    </row>
    <row r="712" spans="1:17" ht="15.75" customHeight="1">
      <c r="A712" s="23">
        <v>710</v>
      </c>
      <c r="B712" s="24" t="s">
        <v>2851</v>
      </c>
      <c r="C712" s="24" t="s">
        <v>278</v>
      </c>
      <c r="D712" s="24" t="s">
        <v>2852</v>
      </c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>
        <v>5</v>
      </c>
      <c r="P712" s="25"/>
      <c r="Q712" s="22">
        <f t="shared" si="11"/>
        <v>5</v>
      </c>
    </row>
    <row r="713" spans="1:17" ht="15.75" customHeight="1">
      <c r="A713" s="19">
        <v>711</v>
      </c>
      <c r="B713" s="20" t="s">
        <v>1596</v>
      </c>
      <c r="C713" s="20" t="s">
        <v>283</v>
      </c>
      <c r="D713" s="20" t="s">
        <v>1597</v>
      </c>
      <c r="E713" s="21"/>
      <c r="F713" s="21">
        <v>20</v>
      </c>
      <c r="G713" s="21"/>
      <c r="H713" s="21">
        <v>5</v>
      </c>
      <c r="I713" s="21"/>
      <c r="J713" s="21"/>
      <c r="K713" s="21"/>
      <c r="L713" s="21"/>
      <c r="M713" s="21"/>
      <c r="N713" s="21"/>
      <c r="O713" s="21"/>
      <c r="P713" s="21"/>
      <c r="Q713" s="22">
        <f t="shared" si="11"/>
        <v>25</v>
      </c>
    </row>
    <row r="714" spans="1:17" ht="15.75" customHeight="1">
      <c r="A714" s="23">
        <v>712</v>
      </c>
      <c r="B714" s="24" t="s">
        <v>1598</v>
      </c>
      <c r="C714" s="24" t="s">
        <v>283</v>
      </c>
      <c r="D714" s="24" t="s">
        <v>1599</v>
      </c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>
        <v>30</v>
      </c>
      <c r="P714" s="25"/>
      <c r="Q714" s="22">
        <f t="shared" si="11"/>
        <v>30</v>
      </c>
    </row>
    <row r="715" spans="1:17" ht="15.75" customHeight="1">
      <c r="A715" s="19">
        <v>713</v>
      </c>
      <c r="B715" s="20" t="s">
        <v>2853</v>
      </c>
      <c r="C715" s="20" t="s">
        <v>283</v>
      </c>
      <c r="D715" s="20" t="s">
        <v>2854</v>
      </c>
      <c r="E715" s="21"/>
      <c r="F715" s="21"/>
      <c r="G715" s="21"/>
      <c r="H715" s="21"/>
      <c r="I715" s="21"/>
      <c r="J715" s="21"/>
      <c r="K715" s="21">
        <v>15</v>
      </c>
      <c r="L715" s="21"/>
      <c r="M715" s="21"/>
      <c r="N715" s="21"/>
      <c r="O715" s="21"/>
      <c r="P715" s="21"/>
      <c r="Q715" s="22">
        <f t="shared" si="11"/>
        <v>15</v>
      </c>
    </row>
    <row r="716" spans="1:17" ht="15.75" customHeight="1">
      <c r="A716" s="23">
        <v>714</v>
      </c>
      <c r="B716" s="24" t="s">
        <v>1602</v>
      </c>
      <c r="C716" s="24" t="s">
        <v>294</v>
      </c>
      <c r="D716" s="24" t="s">
        <v>1603</v>
      </c>
      <c r="E716" s="25"/>
      <c r="F716" s="25"/>
      <c r="G716" s="25"/>
      <c r="H716" s="25"/>
      <c r="I716" s="25"/>
      <c r="J716" s="25"/>
      <c r="K716" s="25">
        <v>10</v>
      </c>
      <c r="L716" s="25"/>
      <c r="M716" s="25"/>
      <c r="N716" s="25"/>
      <c r="O716" s="25">
        <v>20</v>
      </c>
      <c r="P716" s="25"/>
      <c r="Q716" s="22">
        <f t="shared" si="11"/>
        <v>30</v>
      </c>
    </row>
    <row r="717" spans="1:17" ht="15.75" customHeight="1">
      <c r="A717" s="19">
        <v>715</v>
      </c>
      <c r="B717" s="20" t="s">
        <v>1604</v>
      </c>
      <c r="C717" s="20" t="s">
        <v>294</v>
      </c>
      <c r="D717" s="20" t="s">
        <v>1605</v>
      </c>
      <c r="E717" s="21">
        <v>20</v>
      </c>
      <c r="F717" s="21"/>
      <c r="G717" s="21"/>
      <c r="H717" s="21">
        <v>30</v>
      </c>
      <c r="I717" s="21"/>
      <c r="J717" s="21"/>
      <c r="K717" s="21">
        <v>20</v>
      </c>
      <c r="L717" s="21"/>
      <c r="M717" s="21"/>
      <c r="N717" s="21"/>
      <c r="O717" s="21"/>
      <c r="P717" s="21"/>
      <c r="Q717" s="22">
        <f t="shared" si="11"/>
        <v>70</v>
      </c>
    </row>
    <row r="718" spans="1:17" ht="15.75" customHeight="1">
      <c r="A718" s="23">
        <v>716</v>
      </c>
      <c r="B718" s="24" t="s">
        <v>1606</v>
      </c>
      <c r="C718" s="24" t="s">
        <v>180</v>
      </c>
      <c r="D718" s="24" t="s">
        <v>1607</v>
      </c>
      <c r="E718" s="25"/>
      <c r="F718" s="25"/>
      <c r="G718" s="25">
        <v>1</v>
      </c>
      <c r="H718" s="25">
        <v>2</v>
      </c>
      <c r="I718" s="25"/>
      <c r="J718" s="25"/>
      <c r="K718" s="25"/>
      <c r="L718" s="25"/>
      <c r="M718" s="25"/>
      <c r="N718" s="25"/>
      <c r="O718" s="25"/>
      <c r="P718" s="25"/>
      <c r="Q718" s="22">
        <f t="shared" si="11"/>
        <v>3</v>
      </c>
    </row>
    <row r="719" spans="1:17" ht="15.75" customHeight="1">
      <c r="A719" s="19">
        <v>717</v>
      </c>
      <c r="B719" s="20" t="s">
        <v>1608</v>
      </c>
      <c r="C719" s="20" t="s">
        <v>180</v>
      </c>
      <c r="D719" s="20" t="s">
        <v>1609</v>
      </c>
      <c r="E719" s="21"/>
      <c r="F719" s="21"/>
      <c r="G719" s="21"/>
      <c r="H719" s="21">
        <v>20</v>
      </c>
      <c r="I719" s="21"/>
      <c r="J719" s="21"/>
      <c r="K719" s="21">
        <v>54</v>
      </c>
      <c r="L719" s="21"/>
      <c r="M719" s="21">
        <v>22</v>
      </c>
      <c r="N719" s="21">
        <v>20</v>
      </c>
      <c r="O719" s="21"/>
      <c r="P719" s="21">
        <v>10</v>
      </c>
      <c r="Q719" s="22">
        <f t="shared" si="11"/>
        <v>126</v>
      </c>
    </row>
    <row r="720" spans="1:17" ht="15.75" customHeight="1">
      <c r="A720" s="23">
        <v>718</v>
      </c>
      <c r="B720" s="24" t="s">
        <v>1610</v>
      </c>
      <c r="C720" s="24" t="s">
        <v>180</v>
      </c>
      <c r="D720" s="24" t="s">
        <v>1611</v>
      </c>
      <c r="E720" s="25">
        <v>20</v>
      </c>
      <c r="F720" s="25"/>
      <c r="G720" s="25">
        <v>5</v>
      </c>
      <c r="H720" s="25"/>
      <c r="I720" s="25"/>
      <c r="J720" s="25"/>
      <c r="K720" s="25"/>
      <c r="L720" s="25"/>
      <c r="M720" s="25"/>
      <c r="N720" s="25">
        <v>2</v>
      </c>
      <c r="O720" s="25"/>
      <c r="P720" s="25"/>
      <c r="Q720" s="22">
        <f t="shared" si="11"/>
        <v>27</v>
      </c>
    </row>
    <row r="721" spans="1:17" ht="15.75" customHeight="1">
      <c r="A721" s="19">
        <v>719</v>
      </c>
      <c r="B721" s="20" t="s">
        <v>1612</v>
      </c>
      <c r="C721" s="20" t="s">
        <v>180</v>
      </c>
      <c r="D721" s="20" t="s">
        <v>1613</v>
      </c>
      <c r="E721" s="21">
        <v>2</v>
      </c>
      <c r="F721" s="21"/>
      <c r="G721" s="21">
        <v>28</v>
      </c>
      <c r="H721" s="21">
        <v>23</v>
      </c>
      <c r="I721" s="21"/>
      <c r="J721" s="21"/>
      <c r="K721" s="21"/>
      <c r="L721" s="21">
        <v>24</v>
      </c>
      <c r="M721" s="21"/>
      <c r="N721" s="21">
        <v>4</v>
      </c>
      <c r="O721" s="21"/>
      <c r="P721" s="21"/>
      <c r="Q721" s="22">
        <f t="shared" si="11"/>
        <v>81</v>
      </c>
    </row>
    <row r="722" spans="1:17" ht="15.75" customHeight="1">
      <c r="A722" s="23">
        <v>720</v>
      </c>
      <c r="B722" s="24" t="s">
        <v>1614</v>
      </c>
      <c r="C722" s="24" t="s">
        <v>194</v>
      </c>
      <c r="D722" s="24" t="s">
        <v>1615</v>
      </c>
      <c r="E722" s="25">
        <v>1</v>
      </c>
      <c r="F722" s="25"/>
      <c r="G722" s="25"/>
      <c r="H722" s="25"/>
      <c r="I722" s="25"/>
      <c r="J722" s="25"/>
      <c r="K722" s="25"/>
      <c r="L722" s="25"/>
      <c r="M722" s="25">
        <v>10</v>
      </c>
      <c r="N722" s="25">
        <v>10</v>
      </c>
      <c r="O722" s="25"/>
      <c r="P722" s="25"/>
      <c r="Q722" s="22">
        <f t="shared" si="11"/>
        <v>21</v>
      </c>
    </row>
    <row r="723" spans="1:17" ht="15.75" customHeight="1">
      <c r="A723" s="19">
        <v>721</v>
      </c>
      <c r="B723" s="20" t="s">
        <v>1616</v>
      </c>
      <c r="C723" s="20" t="s">
        <v>194</v>
      </c>
      <c r="D723" s="20" t="s">
        <v>1617</v>
      </c>
      <c r="E723" s="21">
        <v>4</v>
      </c>
      <c r="F723" s="21"/>
      <c r="G723" s="21">
        <v>18</v>
      </c>
      <c r="H723" s="21"/>
      <c r="I723" s="21"/>
      <c r="J723" s="21"/>
      <c r="K723" s="21"/>
      <c r="L723" s="21"/>
      <c r="M723" s="21">
        <v>10</v>
      </c>
      <c r="N723" s="21">
        <v>50</v>
      </c>
      <c r="O723" s="21"/>
      <c r="P723" s="21"/>
      <c r="Q723" s="22">
        <f t="shared" si="11"/>
        <v>82</v>
      </c>
    </row>
    <row r="724" spans="1:17" ht="15.75" customHeight="1">
      <c r="A724" s="23">
        <v>722</v>
      </c>
      <c r="B724" s="24" t="s">
        <v>1618</v>
      </c>
      <c r="C724" s="24" t="s">
        <v>194</v>
      </c>
      <c r="D724" s="24" t="s">
        <v>1619</v>
      </c>
      <c r="E724" s="25"/>
      <c r="F724" s="25"/>
      <c r="G724" s="25"/>
      <c r="H724" s="25"/>
      <c r="I724" s="25"/>
      <c r="J724" s="25"/>
      <c r="K724" s="25">
        <v>40</v>
      </c>
      <c r="L724" s="25"/>
      <c r="M724" s="25"/>
      <c r="N724" s="25"/>
      <c r="O724" s="25"/>
      <c r="P724" s="25"/>
      <c r="Q724" s="22">
        <f t="shared" si="11"/>
        <v>40</v>
      </c>
    </row>
    <row r="725" spans="1:17" ht="15.75" customHeight="1">
      <c r="A725" s="19">
        <v>723</v>
      </c>
      <c r="B725" s="20" t="s">
        <v>1620</v>
      </c>
      <c r="C725" s="20" t="s">
        <v>194</v>
      </c>
      <c r="D725" s="20" t="s">
        <v>1621</v>
      </c>
      <c r="E725" s="21"/>
      <c r="F725" s="21"/>
      <c r="G725" s="21"/>
      <c r="H725" s="21"/>
      <c r="I725" s="21"/>
      <c r="J725" s="21"/>
      <c r="K725" s="21">
        <v>8</v>
      </c>
      <c r="L725" s="21"/>
      <c r="M725" s="21"/>
      <c r="N725" s="21"/>
      <c r="O725" s="21"/>
      <c r="P725" s="21"/>
      <c r="Q725" s="22">
        <f t="shared" si="11"/>
        <v>8</v>
      </c>
    </row>
    <row r="726" spans="1:17" ht="15.75" customHeight="1">
      <c r="A726" s="23">
        <v>724</v>
      </c>
      <c r="B726" s="24" t="s">
        <v>1622</v>
      </c>
      <c r="C726" s="24" t="s">
        <v>194</v>
      </c>
      <c r="D726" s="24" t="s">
        <v>1623</v>
      </c>
      <c r="E726" s="25"/>
      <c r="F726" s="25"/>
      <c r="G726" s="25"/>
      <c r="H726" s="25"/>
      <c r="I726" s="25"/>
      <c r="J726" s="25"/>
      <c r="K726" s="25">
        <v>30</v>
      </c>
      <c r="L726" s="25"/>
      <c r="M726" s="25"/>
      <c r="N726" s="25"/>
      <c r="O726" s="25"/>
      <c r="P726" s="25"/>
      <c r="Q726" s="22">
        <f t="shared" si="11"/>
        <v>30</v>
      </c>
    </row>
    <row r="727" spans="1:17" ht="15.75" customHeight="1">
      <c r="A727" s="19">
        <v>725</v>
      </c>
      <c r="B727" s="20" t="s">
        <v>1624</v>
      </c>
      <c r="C727" s="20" t="s">
        <v>194</v>
      </c>
      <c r="D727" s="20" t="s">
        <v>1625</v>
      </c>
      <c r="E727" s="21"/>
      <c r="F727" s="21"/>
      <c r="G727" s="21"/>
      <c r="H727" s="21">
        <v>3</v>
      </c>
      <c r="I727" s="21"/>
      <c r="J727" s="21"/>
      <c r="K727" s="21"/>
      <c r="L727" s="21"/>
      <c r="M727" s="21"/>
      <c r="N727" s="21"/>
      <c r="O727" s="21"/>
      <c r="P727" s="21"/>
      <c r="Q727" s="22">
        <f t="shared" si="11"/>
        <v>3</v>
      </c>
    </row>
    <row r="728" spans="1:17" ht="15.75" customHeight="1">
      <c r="A728" s="23">
        <v>726</v>
      </c>
      <c r="B728" s="24" t="s">
        <v>1626</v>
      </c>
      <c r="C728" s="24" t="s">
        <v>180</v>
      </c>
      <c r="D728" s="24" t="s">
        <v>1627</v>
      </c>
      <c r="E728" s="25"/>
      <c r="F728" s="25"/>
      <c r="G728" s="25"/>
      <c r="H728" s="25"/>
      <c r="I728" s="25"/>
      <c r="J728" s="25">
        <v>2</v>
      </c>
      <c r="K728" s="25">
        <v>10</v>
      </c>
      <c r="L728" s="25"/>
      <c r="M728" s="25"/>
      <c r="N728" s="25">
        <v>6</v>
      </c>
      <c r="O728" s="25"/>
      <c r="P728" s="25"/>
      <c r="Q728" s="22">
        <f t="shared" si="11"/>
        <v>18</v>
      </c>
    </row>
    <row r="729" spans="1:17" ht="15.75" customHeight="1">
      <c r="A729" s="19">
        <v>727</v>
      </c>
      <c r="B729" s="20" t="s">
        <v>2855</v>
      </c>
      <c r="C729" s="20" t="s">
        <v>194</v>
      </c>
      <c r="D729" s="20" t="s">
        <v>2856</v>
      </c>
      <c r="E729" s="21"/>
      <c r="F729" s="21"/>
      <c r="G729" s="21"/>
      <c r="H729" s="21">
        <v>3</v>
      </c>
      <c r="I729" s="21"/>
      <c r="J729" s="21"/>
      <c r="K729" s="21"/>
      <c r="L729" s="21"/>
      <c r="M729" s="21"/>
      <c r="N729" s="21"/>
      <c r="O729" s="21"/>
      <c r="P729" s="21"/>
      <c r="Q729" s="22">
        <f t="shared" si="11"/>
        <v>3</v>
      </c>
    </row>
    <row r="730" spans="1:17" ht="15.75" customHeight="1">
      <c r="A730" s="23">
        <v>728</v>
      </c>
      <c r="B730" s="24" t="s">
        <v>1628</v>
      </c>
      <c r="C730" s="24" t="s">
        <v>180</v>
      </c>
      <c r="D730" s="24" t="s">
        <v>1629</v>
      </c>
      <c r="E730" s="25">
        <v>83</v>
      </c>
      <c r="F730" s="25">
        <v>58</v>
      </c>
      <c r="G730" s="25">
        <v>57</v>
      </c>
      <c r="H730" s="25">
        <v>32</v>
      </c>
      <c r="I730" s="25">
        <v>50</v>
      </c>
      <c r="J730" s="25">
        <v>48</v>
      </c>
      <c r="K730" s="25">
        <v>28</v>
      </c>
      <c r="L730" s="25">
        <v>82</v>
      </c>
      <c r="M730" s="25">
        <v>90</v>
      </c>
      <c r="N730" s="25">
        <v>100</v>
      </c>
      <c r="O730" s="25">
        <v>6</v>
      </c>
      <c r="P730" s="25">
        <v>8</v>
      </c>
      <c r="Q730" s="22">
        <f t="shared" si="11"/>
        <v>642</v>
      </c>
    </row>
    <row r="731" spans="1:17" ht="15.75" customHeight="1">
      <c r="A731" s="19">
        <v>729</v>
      </c>
      <c r="B731" s="20" t="s">
        <v>1630</v>
      </c>
      <c r="C731" s="20" t="s">
        <v>180</v>
      </c>
      <c r="D731" s="20" t="s">
        <v>1629</v>
      </c>
      <c r="E731" s="21"/>
      <c r="F731" s="21"/>
      <c r="G731" s="21"/>
      <c r="H731" s="21"/>
      <c r="I731" s="21"/>
      <c r="J731" s="21"/>
      <c r="K731" s="21"/>
      <c r="L731" s="21"/>
      <c r="M731" s="21"/>
      <c r="N731" s="21">
        <v>22</v>
      </c>
      <c r="O731" s="21"/>
      <c r="P731" s="21"/>
      <c r="Q731" s="22">
        <f t="shared" si="11"/>
        <v>22</v>
      </c>
    </row>
    <row r="732" spans="1:17" ht="15.75" customHeight="1">
      <c r="A732" s="23">
        <v>730</v>
      </c>
      <c r="B732" s="24" t="s">
        <v>1631</v>
      </c>
      <c r="C732" s="24" t="s">
        <v>180</v>
      </c>
      <c r="D732" s="24" t="s">
        <v>1632</v>
      </c>
      <c r="E732" s="25">
        <v>88</v>
      </c>
      <c r="F732" s="25">
        <v>70</v>
      </c>
      <c r="G732" s="25">
        <v>33</v>
      </c>
      <c r="H732" s="25">
        <v>79</v>
      </c>
      <c r="I732" s="25">
        <v>53</v>
      </c>
      <c r="J732" s="25">
        <v>32</v>
      </c>
      <c r="K732" s="25">
        <v>26</v>
      </c>
      <c r="L732" s="25">
        <v>154</v>
      </c>
      <c r="M732" s="25">
        <v>60</v>
      </c>
      <c r="N732" s="25">
        <v>199</v>
      </c>
      <c r="O732" s="25">
        <v>36</v>
      </c>
      <c r="P732" s="25">
        <v>22</v>
      </c>
      <c r="Q732" s="22">
        <f t="shared" si="11"/>
        <v>852</v>
      </c>
    </row>
    <row r="733" spans="1:17" ht="15.75" customHeight="1">
      <c r="A733" s="19">
        <v>731</v>
      </c>
      <c r="B733" s="20" t="s">
        <v>1633</v>
      </c>
      <c r="C733" s="20" t="s">
        <v>180</v>
      </c>
      <c r="D733" s="20" t="s">
        <v>1634</v>
      </c>
      <c r="E733" s="21">
        <v>11</v>
      </c>
      <c r="F733" s="21">
        <v>57</v>
      </c>
      <c r="G733" s="21">
        <v>25</v>
      </c>
      <c r="H733" s="21">
        <v>10</v>
      </c>
      <c r="I733" s="21"/>
      <c r="J733" s="21">
        <v>10</v>
      </c>
      <c r="K733" s="21">
        <v>34</v>
      </c>
      <c r="L733" s="21">
        <v>36</v>
      </c>
      <c r="M733" s="21">
        <v>30</v>
      </c>
      <c r="N733" s="21"/>
      <c r="O733" s="21">
        <v>4</v>
      </c>
      <c r="P733" s="21"/>
      <c r="Q733" s="22">
        <f t="shared" si="11"/>
        <v>217</v>
      </c>
    </row>
    <row r="734" spans="1:17" ht="15.75" customHeight="1">
      <c r="A734" s="23">
        <v>732</v>
      </c>
      <c r="B734" s="24" t="s">
        <v>1635</v>
      </c>
      <c r="C734" s="24" t="s">
        <v>180</v>
      </c>
      <c r="D734" s="24" t="s">
        <v>1636</v>
      </c>
      <c r="E734" s="25"/>
      <c r="F734" s="25">
        <v>3</v>
      </c>
      <c r="G734" s="25">
        <v>7</v>
      </c>
      <c r="H734" s="25">
        <v>20</v>
      </c>
      <c r="I734" s="25">
        <v>10</v>
      </c>
      <c r="J734" s="25">
        <v>10</v>
      </c>
      <c r="K734" s="25">
        <v>38</v>
      </c>
      <c r="L734" s="25">
        <v>22</v>
      </c>
      <c r="M734" s="25">
        <v>42</v>
      </c>
      <c r="N734" s="25">
        <v>16</v>
      </c>
      <c r="O734" s="25"/>
      <c r="P734" s="25">
        <v>12</v>
      </c>
      <c r="Q734" s="22">
        <f t="shared" si="11"/>
        <v>180</v>
      </c>
    </row>
    <row r="735" spans="1:17" ht="15.75" customHeight="1">
      <c r="A735" s="19">
        <v>733</v>
      </c>
      <c r="B735" s="20" t="s">
        <v>1637</v>
      </c>
      <c r="C735" s="20" t="s">
        <v>180</v>
      </c>
      <c r="D735" s="20" t="s">
        <v>1638</v>
      </c>
      <c r="E735" s="21">
        <v>89</v>
      </c>
      <c r="F735" s="21">
        <v>4</v>
      </c>
      <c r="G735" s="21">
        <v>28</v>
      </c>
      <c r="H735" s="21">
        <v>15</v>
      </c>
      <c r="I735" s="21">
        <v>16</v>
      </c>
      <c r="J735" s="21">
        <v>4</v>
      </c>
      <c r="K735" s="21">
        <v>34</v>
      </c>
      <c r="L735" s="21">
        <v>70</v>
      </c>
      <c r="M735" s="21">
        <v>50</v>
      </c>
      <c r="N735" s="21">
        <v>27</v>
      </c>
      <c r="O735" s="21"/>
      <c r="P735" s="21">
        <v>10</v>
      </c>
      <c r="Q735" s="22">
        <f t="shared" si="11"/>
        <v>347</v>
      </c>
    </row>
    <row r="736" spans="1:17" ht="15.75" customHeight="1">
      <c r="A736" s="23">
        <v>734</v>
      </c>
      <c r="B736" s="24" t="s">
        <v>1639</v>
      </c>
      <c r="C736" s="24" t="s">
        <v>180</v>
      </c>
      <c r="D736" s="24" t="s">
        <v>1640</v>
      </c>
      <c r="E736" s="25">
        <v>22</v>
      </c>
      <c r="F736" s="25">
        <v>30</v>
      </c>
      <c r="G736" s="25"/>
      <c r="H736" s="25">
        <v>10</v>
      </c>
      <c r="I736" s="25"/>
      <c r="J736" s="25"/>
      <c r="K736" s="25">
        <v>4</v>
      </c>
      <c r="L736" s="25">
        <v>20</v>
      </c>
      <c r="M736" s="25">
        <v>20</v>
      </c>
      <c r="N736" s="25">
        <v>14</v>
      </c>
      <c r="O736" s="25">
        <v>7</v>
      </c>
      <c r="P736" s="25"/>
      <c r="Q736" s="22">
        <f t="shared" si="11"/>
        <v>127</v>
      </c>
    </row>
    <row r="737" spans="1:17" ht="15.75" customHeight="1">
      <c r="A737" s="19">
        <v>735</v>
      </c>
      <c r="B737" s="20" t="s">
        <v>1641</v>
      </c>
      <c r="C737" s="20" t="s">
        <v>169</v>
      </c>
      <c r="D737" s="20" t="s">
        <v>20</v>
      </c>
      <c r="E737" s="21">
        <v>19</v>
      </c>
      <c r="F737" s="21">
        <v>1</v>
      </c>
      <c r="G737" s="21">
        <v>6</v>
      </c>
      <c r="H737" s="21"/>
      <c r="I737" s="21">
        <v>12</v>
      </c>
      <c r="J737" s="21"/>
      <c r="K737" s="21"/>
      <c r="L737" s="21"/>
      <c r="M737" s="21"/>
      <c r="N737" s="21">
        <v>4</v>
      </c>
      <c r="O737" s="21"/>
      <c r="P737" s="21"/>
      <c r="Q737" s="22">
        <f t="shared" si="11"/>
        <v>42</v>
      </c>
    </row>
    <row r="738" spans="1:17" ht="15.75" customHeight="1">
      <c r="A738" s="23">
        <v>736</v>
      </c>
      <c r="B738" s="24" t="s">
        <v>1642</v>
      </c>
      <c r="C738" s="24" t="s">
        <v>169</v>
      </c>
      <c r="D738" s="24" t="s">
        <v>32</v>
      </c>
      <c r="E738" s="25">
        <v>21</v>
      </c>
      <c r="F738" s="25">
        <v>2</v>
      </c>
      <c r="G738" s="25">
        <v>3</v>
      </c>
      <c r="H738" s="25">
        <v>3</v>
      </c>
      <c r="I738" s="25"/>
      <c r="J738" s="25"/>
      <c r="K738" s="25"/>
      <c r="L738" s="25"/>
      <c r="M738" s="25"/>
      <c r="N738" s="25">
        <v>4</v>
      </c>
      <c r="O738" s="25">
        <v>4</v>
      </c>
      <c r="P738" s="25">
        <v>40</v>
      </c>
      <c r="Q738" s="22">
        <f t="shared" si="11"/>
        <v>77</v>
      </c>
    </row>
    <row r="739" spans="1:17" ht="15.75" customHeight="1">
      <c r="A739" s="19">
        <v>737</v>
      </c>
      <c r="B739" s="20" t="s">
        <v>1643</v>
      </c>
      <c r="C739" s="20" t="s">
        <v>169</v>
      </c>
      <c r="D739" s="20" t="s">
        <v>22</v>
      </c>
      <c r="E739" s="21">
        <v>10</v>
      </c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>
        <v>10</v>
      </c>
      <c r="Q739" s="22">
        <f t="shared" si="11"/>
        <v>20</v>
      </c>
    </row>
    <row r="740" spans="1:17" ht="15.75" customHeight="1">
      <c r="A740" s="23">
        <v>738</v>
      </c>
      <c r="B740" s="24" t="s">
        <v>1644</v>
      </c>
      <c r="C740" s="24" t="s">
        <v>169</v>
      </c>
      <c r="D740" s="24" t="s">
        <v>121</v>
      </c>
      <c r="E740" s="25"/>
      <c r="F740" s="25"/>
      <c r="G740" s="25">
        <v>3</v>
      </c>
      <c r="H740" s="25"/>
      <c r="I740" s="25"/>
      <c r="J740" s="25"/>
      <c r="K740" s="25"/>
      <c r="L740" s="25"/>
      <c r="M740" s="25"/>
      <c r="N740" s="25"/>
      <c r="O740" s="25">
        <v>1</v>
      </c>
      <c r="P740" s="25"/>
      <c r="Q740" s="22">
        <f t="shared" si="11"/>
        <v>4</v>
      </c>
    </row>
    <row r="741" spans="1:17" ht="15.75" customHeight="1">
      <c r="A741" s="19">
        <v>739</v>
      </c>
      <c r="B741" s="20" t="s">
        <v>1645</v>
      </c>
      <c r="C741" s="20" t="s">
        <v>169</v>
      </c>
      <c r="D741" s="20" t="s">
        <v>26</v>
      </c>
      <c r="E741" s="21">
        <v>10</v>
      </c>
      <c r="F741" s="21">
        <v>1</v>
      </c>
      <c r="G741" s="21"/>
      <c r="H741" s="21"/>
      <c r="I741" s="21"/>
      <c r="J741" s="21"/>
      <c r="K741" s="21"/>
      <c r="L741" s="21"/>
      <c r="M741" s="21"/>
      <c r="N741" s="21"/>
      <c r="O741" s="21">
        <v>12</v>
      </c>
      <c r="P741" s="21"/>
      <c r="Q741" s="22">
        <f t="shared" si="11"/>
        <v>23</v>
      </c>
    </row>
    <row r="742" spans="1:17" ht="15.75" customHeight="1">
      <c r="A742" s="23">
        <v>740</v>
      </c>
      <c r="B742" s="24" t="s">
        <v>1646</v>
      </c>
      <c r="C742" s="24" t="s">
        <v>169</v>
      </c>
      <c r="D742" s="24" t="s">
        <v>1647</v>
      </c>
      <c r="E742" s="25"/>
      <c r="F742" s="25"/>
      <c r="G742" s="25"/>
      <c r="H742" s="25"/>
      <c r="I742" s="25"/>
      <c r="J742" s="25"/>
      <c r="K742" s="25">
        <v>16</v>
      </c>
      <c r="L742" s="25"/>
      <c r="M742" s="25"/>
      <c r="N742" s="25"/>
      <c r="O742" s="25"/>
      <c r="P742" s="25"/>
      <c r="Q742" s="22">
        <f t="shared" si="11"/>
        <v>16</v>
      </c>
    </row>
    <row r="743" spans="1:17" ht="15.75" customHeight="1">
      <c r="A743" s="19">
        <v>741</v>
      </c>
      <c r="B743" s="20" t="s">
        <v>2857</v>
      </c>
      <c r="C743" s="20" t="s">
        <v>203</v>
      </c>
      <c r="D743" s="20" t="s">
        <v>374</v>
      </c>
      <c r="E743" s="21"/>
      <c r="F743" s="21"/>
      <c r="G743" s="21">
        <v>20</v>
      </c>
      <c r="H743" s="21"/>
      <c r="I743" s="21"/>
      <c r="J743" s="21"/>
      <c r="K743" s="21"/>
      <c r="L743" s="21"/>
      <c r="M743" s="21"/>
      <c r="N743" s="21"/>
      <c r="O743" s="21"/>
      <c r="P743" s="21"/>
      <c r="Q743" s="22">
        <f t="shared" si="11"/>
        <v>20</v>
      </c>
    </row>
    <row r="744" spans="1:17" ht="15.75" customHeight="1">
      <c r="A744" s="23">
        <v>742</v>
      </c>
      <c r="B744" s="24" t="s">
        <v>1648</v>
      </c>
      <c r="C744" s="24" t="s">
        <v>1649</v>
      </c>
      <c r="D744" s="24" t="s">
        <v>1650</v>
      </c>
      <c r="E744" s="25"/>
      <c r="F744" s="25"/>
      <c r="G744" s="25">
        <v>10</v>
      </c>
      <c r="H744" s="25"/>
      <c r="I744" s="25"/>
      <c r="J744" s="25"/>
      <c r="K744" s="25"/>
      <c r="L744" s="25"/>
      <c r="M744" s="25"/>
      <c r="N744" s="25">
        <v>15</v>
      </c>
      <c r="O744" s="25">
        <v>10</v>
      </c>
      <c r="P744" s="25"/>
      <c r="Q744" s="22">
        <f t="shared" si="11"/>
        <v>35</v>
      </c>
    </row>
    <row r="745" spans="1:17" ht="15.75" customHeight="1">
      <c r="A745" s="19">
        <v>743</v>
      </c>
      <c r="B745" s="20" t="s">
        <v>1651</v>
      </c>
      <c r="C745" s="20" t="s">
        <v>1649</v>
      </c>
      <c r="D745" s="20" t="s">
        <v>1652</v>
      </c>
      <c r="E745" s="21"/>
      <c r="F745" s="21">
        <v>20</v>
      </c>
      <c r="G745" s="21"/>
      <c r="H745" s="21">
        <v>10</v>
      </c>
      <c r="I745" s="21"/>
      <c r="J745" s="21"/>
      <c r="K745" s="21"/>
      <c r="L745" s="21"/>
      <c r="M745" s="21"/>
      <c r="N745" s="21"/>
      <c r="O745" s="21">
        <v>10</v>
      </c>
      <c r="P745" s="21"/>
      <c r="Q745" s="22">
        <f t="shared" si="11"/>
        <v>40</v>
      </c>
    </row>
    <row r="746" spans="1:17" ht="15.75" customHeight="1">
      <c r="A746" s="23">
        <v>744</v>
      </c>
      <c r="B746" s="24" t="s">
        <v>1653</v>
      </c>
      <c r="C746" s="24" t="s">
        <v>1649</v>
      </c>
      <c r="D746" s="24" t="s">
        <v>1654</v>
      </c>
      <c r="E746" s="25"/>
      <c r="F746" s="25">
        <v>20</v>
      </c>
      <c r="G746" s="25">
        <v>12</v>
      </c>
      <c r="H746" s="25"/>
      <c r="I746" s="25"/>
      <c r="J746" s="25"/>
      <c r="K746" s="25"/>
      <c r="L746" s="25">
        <v>30</v>
      </c>
      <c r="M746" s="25">
        <v>10</v>
      </c>
      <c r="N746" s="25">
        <v>15</v>
      </c>
      <c r="O746" s="25">
        <v>10</v>
      </c>
      <c r="P746" s="25"/>
      <c r="Q746" s="22">
        <f t="shared" si="11"/>
        <v>97</v>
      </c>
    </row>
    <row r="747" spans="1:17" ht="15.75" customHeight="1">
      <c r="A747" s="19">
        <v>745</v>
      </c>
      <c r="B747" s="20" t="s">
        <v>1655</v>
      </c>
      <c r="C747" s="20" t="s">
        <v>1649</v>
      </c>
      <c r="D747" s="20" t="s">
        <v>1656</v>
      </c>
      <c r="E747" s="21"/>
      <c r="F747" s="21"/>
      <c r="G747" s="21"/>
      <c r="H747" s="21">
        <v>10</v>
      </c>
      <c r="I747" s="21"/>
      <c r="J747" s="21"/>
      <c r="K747" s="21"/>
      <c r="L747" s="21">
        <v>20</v>
      </c>
      <c r="M747" s="21"/>
      <c r="N747" s="21"/>
      <c r="O747" s="21"/>
      <c r="P747" s="21"/>
      <c r="Q747" s="22">
        <f t="shared" si="11"/>
        <v>30</v>
      </c>
    </row>
    <row r="748" spans="1:17" ht="15.75" customHeight="1">
      <c r="A748" s="23">
        <v>746</v>
      </c>
      <c r="B748" s="24" t="s">
        <v>1657</v>
      </c>
      <c r="C748" s="24" t="s">
        <v>1649</v>
      </c>
      <c r="D748" s="24" t="s">
        <v>1658</v>
      </c>
      <c r="E748" s="25"/>
      <c r="F748" s="25"/>
      <c r="G748" s="25">
        <v>12</v>
      </c>
      <c r="H748" s="25"/>
      <c r="I748" s="25"/>
      <c r="J748" s="25"/>
      <c r="K748" s="25"/>
      <c r="L748" s="25"/>
      <c r="M748" s="25"/>
      <c r="N748" s="25">
        <v>10</v>
      </c>
      <c r="O748" s="25">
        <v>10</v>
      </c>
      <c r="P748" s="25"/>
      <c r="Q748" s="22">
        <f t="shared" si="11"/>
        <v>32</v>
      </c>
    </row>
    <row r="749" spans="1:17" ht="15.75" customHeight="1">
      <c r="A749" s="19">
        <v>747</v>
      </c>
      <c r="B749" s="20" t="s">
        <v>1661</v>
      </c>
      <c r="C749" s="20" t="s">
        <v>448</v>
      </c>
      <c r="D749" s="20" t="s">
        <v>1662</v>
      </c>
      <c r="E749" s="21"/>
      <c r="F749" s="21"/>
      <c r="G749" s="21">
        <v>20</v>
      </c>
      <c r="H749" s="21">
        <v>10</v>
      </c>
      <c r="I749" s="21"/>
      <c r="J749" s="21"/>
      <c r="K749" s="21"/>
      <c r="L749" s="21"/>
      <c r="M749" s="21"/>
      <c r="N749" s="21"/>
      <c r="O749" s="21"/>
      <c r="P749" s="21"/>
      <c r="Q749" s="22">
        <f t="shared" si="11"/>
        <v>30</v>
      </c>
    </row>
    <row r="750" spans="1:17" ht="15.75" customHeight="1">
      <c r="A750" s="23">
        <v>748</v>
      </c>
      <c r="B750" s="24" t="s">
        <v>2858</v>
      </c>
      <c r="C750" s="24" t="s">
        <v>448</v>
      </c>
      <c r="D750" s="24" t="s">
        <v>2859</v>
      </c>
      <c r="E750" s="25"/>
      <c r="F750" s="25"/>
      <c r="G750" s="25">
        <v>20</v>
      </c>
      <c r="H750" s="25"/>
      <c r="I750" s="25"/>
      <c r="J750" s="25"/>
      <c r="K750" s="25"/>
      <c r="L750" s="25"/>
      <c r="M750" s="25"/>
      <c r="N750" s="25"/>
      <c r="O750" s="25"/>
      <c r="P750" s="25"/>
      <c r="Q750" s="22">
        <f t="shared" si="11"/>
        <v>20</v>
      </c>
    </row>
    <row r="751" spans="1:17" ht="15.75" customHeight="1">
      <c r="A751" s="19">
        <v>749</v>
      </c>
      <c r="B751" s="20" t="s">
        <v>1665</v>
      </c>
      <c r="C751" s="20" t="s">
        <v>206</v>
      </c>
      <c r="D751" s="20" t="s">
        <v>1666</v>
      </c>
      <c r="E751" s="21">
        <v>68</v>
      </c>
      <c r="F751" s="21">
        <v>41</v>
      </c>
      <c r="G751" s="21">
        <v>56</v>
      </c>
      <c r="H751" s="21"/>
      <c r="I751" s="21">
        <v>72</v>
      </c>
      <c r="J751" s="21">
        <v>40</v>
      </c>
      <c r="K751" s="21">
        <v>40</v>
      </c>
      <c r="L751" s="21"/>
      <c r="M751" s="21">
        <v>5</v>
      </c>
      <c r="N751" s="21">
        <v>95</v>
      </c>
      <c r="O751" s="21">
        <v>90</v>
      </c>
      <c r="P751" s="21">
        <v>53</v>
      </c>
      <c r="Q751" s="22">
        <f t="shared" si="11"/>
        <v>560</v>
      </c>
    </row>
    <row r="752" spans="1:17" ht="15.75" customHeight="1">
      <c r="A752" s="23">
        <v>750</v>
      </c>
      <c r="B752" s="24" t="s">
        <v>1667</v>
      </c>
      <c r="C752" s="24" t="s">
        <v>206</v>
      </c>
      <c r="D752" s="24" t="s">
        <v>1668</v>
      </c>
      <c r="E752" s="25"/>
      <c r="F752" s="25"/>
      <c r="G752" s="25"/>
      <c r="H752" s="25"/>
      <c r="I752" s="25"/>
      <c r="J752" s="25"/>
      <c r="K752" s="25"/>
      <c r="L752" s="25"/>
      <c r="M752" s="25">
        <v>3</v>
      </c>
      <c r="N752" s="25"/>
      <c r="O752" s="25"/>
      <c r="P752" s="25"/>
      <c r="Q752" s="22">
        <f t="shared" si="11"/>
        <v>3</v>
      </c>
    </row>
    <row r="753" spans="1:17" ht="15.75" customHeight="1">
      <c r="A753" s="19">
        <v>751</v>
      </c>
      <c r="B753" s="20" t="s">
        <v>1669</v>
      </c>
      <c r="C753" s="20" t="s">
        <v>206</v>
      </c>
      <c r="D753" s="20" t="s">
        <v>1670</v>
      </c>
      <c r="E753" s="21">
        <v>183</v>
      </c>
      <c r="F753" s="21">
        <v>81</v>
      </c>
      <c r="G753" s="21">
        <v>62</v>
      </c>
      <c r="H753" s="21">
        <v>109</v>
      </c>
      <c r="I753" s="21">
        <v>144</v>
      </c>
      <c r="J753" s="21">
        <v>152</v>
      </c>
      <c r="K753" s="21">
        <v>148</v>
      </c>
      <c r="L753" s="21">
        <v>91</v>
      </c>
      <c r="M753" s="21">
        <v>36</v>
      </c>
      <c r="N753" s="21">
        <v>170</v>
      </c>
      <c r="O753" s="21">
        <v>115</v>
      </c>
      <c r="P753" s="21">
        <v>201</v>
      </c>
      <c r="Q753" s="22">
        <f t="shared" si="11"/>
        <v>1492</v>
      </c>
    </row>
    <row r="754" spans="1:17" ht="15.75" customHeight="1">
      <c r="A754" s="23">
        <v>752</v>
      </c>
      <c r="B754" s="24" t="s">
        <v>2860</v>
      </c>
      <c r="C754" s="24" t="s">
        <v>206</v>
      </c>
      <c r="D754" s="24" t="s">
        <v>1722</v>
      </c>
      <c r="E754" s="25"/>
      <c r="F754" s="25"/>
      <c r="G754" s="25"/>
      <c r="H754" s="25"/>
      <c r="I754" s="25">
        <v>12</v>
      </c>
      <c r="J754" s="25"/>
      <c r="K754" s="25"/>
      <c r="L754" s="25"/>
      <c r="M754" s="25"/>
      <c r="N754" s="25"/>
      <c r="O754" s="25"/>
      <c r="P754" s="25"/>
      <c r="Q754" s="22">
        <f t="shared" si="11"/>
        <v>12</v>
      </c>
    </row>
    <row r="755" spans="1:17" ht="15.75" customHeight="1">
      <c r="A755" s="19">
        <v>753</v>
      </c>
      <c r="B755" s="20" t="s">
        <v>1671</v>
      </c>
      <c r="C755" s="20" t="s">
        <v>206</v>
      </c>
      <c r="D755" s="20" t="s">
        <v>1672</v>
      </c>
      <c r="E755" s="21">
        <v>135</v>
      </c>
      <c r="F755" s="21">
        <v>20</v>
      </c>
      <c r="G755" s="21">
        <v>85</v>
      </c>
      <c r="H755" s="21">
        <v>38</v>
      </c>
      <c r="I755" s="21">
        <v>115</v>
      </c>
      <c r="J755" s="21">
        <v>80</v>
      </c>
      <c r="K755" s="21">
        <v>112</v>
      </c>
      <c r="L755" s="21">
        <v>70</v>
      </c>
      <c r="M755" s="21">
        <v>67</v>
      </c>
      <c r="N755" s="21">
        <v>30</v>
      </c>
      <c r="O755" s="21">
        <v>15</v>
      </c>
      <c r="P755" s="21">
        <v>80</v>
      </c>
      <c r="Q755" s="22">
        <f t="shared" si="11"/>
        <v>847</v>
      </c>
    </row>
    <row r="756" spans="1:17" ht="15.75" customHeight="1">
      <c r="A756" s="23">
        <v>754</v>
      </c>
      <c r="B756" s="24" t="s">
        <v>1673</v>
      </c>
      <c r="C756" s="24" t="s">
        <v>206</v>
      </c>
      <c r="D756" s="24" t="s">
        <v>1674</v>
      </c>
      <c r="E756" s="25">
        <v>10</v>
      </c>
      <c r="F756" s="25">
        <v>10</v>
      </c>
      <c r="G756" s="25">
        <v>10</v>
      </c>
      <c r="H756" s="25">
        <v>54</v>
      </c>
      <c r="I756" s="25">
        <v>58</v>
      </c>
      <c r="J756" s="25">
        <v>59</v>
      </c>
      <c r="K756" s="25">
        <v>50</v>
      </c>
      <c r="L756" s="25">
        <v>45</v>
      </c>
      <c r="M756" s="25">
        <v>57</v>
      </c>
      <c r="N756" s="25">
        <v>30</v>
      </c>
      <c r="O756" s="25">
        <v>55</v>
      </c>
      <c r="P756" s="25">
        <v>71</v>
      </c>
      <c r="Q756" s="22">
        <f t="shared" si="11"/>
        <v>509</v>
      </c>
    </row>
    <row r="757" spans="1:17" ht="15.75" customHeight="1">
      <c r="A757" s="19">
        <v>755</v>
      </c>
      <c r="B757" s="20" t="s">
        <v>1675</v>
      </c>
      <c r="C757" s="20" t="s">
        <v>206</v>
      </c>
      <c r="D757" s="20" t="s">
        <v>1676</v>
      </c>
      <c r="E757" s="21">
        <v>5</v>
      </c>
      <c r="F757" s="21">
        <v>16</v>
      </c>
      <c r="G757" s="21">
        <v>50</v>
      </c>
      <c r="H757" s="21"/>
      <c r="I757" s="21">
        <v>62</v>
      </c>
      <c r="J757" s="21">
        <v>35</v>
      </c>
      <c r="K757" s="21">
        <v>17</v>
      </c>
      <c r="L757" s="21">
        <v>20</v>
      </c>
      <c r="M757" s="21">
        <v>10</v>
      </c>
      <c r="N757" s="21">
        <v>20</v>
      </c>
      <c r="O757" s="21">
        <v>81</v>
      </c>
      <c r="P757" s="21"/>
      <c r="Q757" s="22">
        <f t="shared" si="11"/>
        <v>316</v>
      </c>
    </row>
    <row r="758" spans="1:17" ht="15.75" customHeight="1">
      <c r="A758" s="23">
        <v>756</v>
      </c>
      <c r="B758" s="24" t="s">
        <v>1677</v>
      </c>
      <c r="C758" s="24" t="s">
        <v>206</v>
      </c>
      <c r="D758" s="24" t="s">
        <v>1678</v>
      </c>
      <c r="E758" s="25"/>
      <c r="F758" s="25"/>
      <c r="G758" s="25"/>
      <c r="H758" s="25">
        <v>10</v>
      </c>
      <c r="I758" s="25"/>
      <c r="J758" s="25">
        <v>8</v>
      </c>
      <c r="K758" s="25"/>
      <c r="L758" s="25"/>
      <c r="M758" s="25"/>
      <c r="N758" s="25"/>
      <c r="O758" s="25">
        <v>15</v>
      </c>
      <c r="P758" s="25"/>
      <c r="Q758" s="22">
        <f t="shared" si="11"/>
        <v>33</v>
      </c>
    </row>
    <row r="759" spans="1:17" ht="15.75" customHeight="1">
      <c r="A759" s="19">
        <v>757</v>
      </c>
      <c r="B759" s="20" t="s">
        <v>1679</v>
      </c>
      <c r="C759" s="20" t="s">
        <v>206</v>
      </c>
      <c r="D759" s="20" t="s">
        <v>1680</v>
      </c>
      <c r="E759" s="21"/>
      <c r="F759" s="21"/>
      <c r="G759" s="21"/>
      <c r="H759" s="21"/>
      <c r="I759" s="21"/>
      <c r="J759" s="21"/>
      <c r="K759" s="21"/>
      <c r="L759" s="21"/>
      <c r="M759" s="21">
        <v>10</v>
      </c>
      <c r="N759" s="21">
        <v>25</v>
      </c>
      <c r="O759" s="21"/>
      <c r="P759" s="21"/>
      <c r="Q759" s="22">
        <f t="shared" si="11"/>
        <v>35</v>
      </c>
    </row>
    <row r="760" spans="1:17" ht="15.75" customHeight="1">
      <c r="A760" s="23">
        <v>758</v>
      </c>
      <c r="B760" s="24" t="s">
        <v>1681</v>
      </c>
      <c r="C760" s="24" t="s">
        <v>206</v>
      </c>
      <c r="D760" s="24" t="s">
        <v>1682</v>
      </c>
      <c r="E760" s="25">
        <v>30</v>
      </c>
      <c r="F760" s="25"/>
      <c r="G760" s="25">
        <v>5</v>
      </c>
      <c r="H760" s="25"/>
      <c r="I760" s="25">
        <v>10</v>
      </c>
      <c r="J760" s="25"/>
      <c r="K760" s="25"/>
      <c r="L760" s="25">
        <v>10</v>
      </c>
      <c r="M760" s="25">
        <v>20</v>
      </c>
      <c r="N760" s="25">
        <v>10</v>
      </c>
      <c r="O760" s="25"/>
      <c r="P760" s="25"/>
      <c r="Q760" s="22">
        <f t="shared" si="11"/>
        <v>85</v>
      </c>
    </row>
    <row r="761" spans="1:17" ht="15.75" customHeight="1">
      <c r="A761" s="19">
        <v>759</v>
      </c>
      <c r="B761" s="20" t="s">
        <v>1683</v>
      </c>
      <c r="C761" s="20" t="s">
        <v>206</v>
      </c>
      <c r="D761" s="20" t="s">
        <v>1578</v>
      </c>
      <c r="E761" s="21"/>
      <c r="F761" s="21"/>
      <c r="G761" s="21"/>
      <c r="H761" s="21"/>
      <c r="I761" s="21">
        <v>6</v>
      </c>
      <c r="J761" s="21">
        <v>5</v>
      </c>
      <c r="K761" s="21"/>
      <c r="L761" s="21">
        <v>10</v>
      </c>
      <c r="M761" s="21"/>
      <c r="N761" s="21"/>
      <c r="O761" s="21"/>
      <c r="P761" s="21">
        <v>2</v>
      </c>
      <c r="Q761" s="22">
        <f t="shared" si="11"/>
        <v>23</v>
      </c>
    </row>
    <row r="762" spans="1:17" ht="15.75" customHeight="1">
      <c r="A762" s="23">
        <v>760</v>
      </c>
      <c r="B762" s="24" t="s">
        <v>1684</v>
      </c>
      <c r="C762" s="24" t="s">
        <v>206</v>
      </c>
      <c r="D762" s="24" t="s">
        <v>1685</v>
      </c>
      <c r="E762" s="25">
        <v>3</v>
      </c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2">
        <f t="shared" si="11"/>
        <v>3</v>
      </c>
    </row>
    <row r="763" spans="1:17" ht="15.75" customHeight="1">
      <c r="A763" s="19">
        <v>761</v>
      </c>
      <c r="B763" s="20" t="s">
        <v>2861</v>
      </c>
      <c r="C763" s="20" t="s">
        <v>206</v>
      </c>
      <c r="D763" s="20" t="s">
        <v>1744</v>
      </c>
      <c r="E763" s="21">
        <v>2</v>
      </c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2">
        <f t="shared" si="11"/>
        <v>2</v>
      </c>
    </row>
    <row r="764" spans="1:17" ht="15.75" customHeight="1">
      <c r="A764" s="23">
        <v>762</v>
      </c>
      <c r="B764" s="24" t="s">
        <v>1686</v>
      </c>
      <c r="C764" s="24" t="s">
        <v>206</v>
      </c>
      <c r="D764" s="24" t="s">
        <v>1687</v>
      </c>
      <c r="E764" s="25">
        <v>10</v>
      </c>
      <c r="F764" s="25"/>
      <c r="G764" s="25"/>
      <c r="H764" s="25"/>
      <c r="I764" s="25"/>
      <c r="J764" s="25"/>
      <c r="K764" s="25">
        <v>5</v>
      </c>
      <c r="L764" s="25"/>
      <c r="M764" s="25"/>
      <c r="N764" s="25"/>
      <c r="O764" s="25"/>
      <c r="P764" s="25"/>
      <c r="Q764" s="22">
        <f t="shared" si="11"/>
        <v>15</v>
      </c>
    </row>
    <row r="765" spans="1:17" ht="15.75" customHeight="1">
      <c r="A765" s="19">
        <v>763</v>
      </c>
      <c r="B765" s="20" t="s">
        <v>1692</v>
      </c>
      <c r="C765" s="20" t="s">
        <v>206</v>
      </c>
      <c r="D765" s="20" t="s">
        <v>1693</v>
      </c>
      <c r="E765" s="21"/>
      <c r="F765" s="21"/>
      <c r="G765" s="21"/>
      <c r="H765" s="21"/>
      <c r="I765" s="21"/>
      <c r="J765" s="21"/>
      <c r="K765" s="21"/>
      <c r="L765" s="21"/>
      <c r="M765" s="21"/>
      <c r="N765" s="21">
        <v>10</v>
      </c>
      <c r="O765" s="21"/>
      <c r="P765" s="21"/>
      <c r="Q765" s="22">
        <f t="shared" si="11"/>
        <v>10</v>
      </c>
    </row>
    <row r="766" spans="1:17" ht="15.75" customHeight="1">
      <c r="A766" s="23">
        <v>764</v>
      </c>
      <c r="B766" s="24" t="s">
        <v>1696</v>
      </c>
      <c r="C766" s="24" t="s">
        <v>211</v>
      </c>
      <c r="D766" s="24" t="s">
        <v>1697</v>
      </c>
      <c r="E766" s="25"/>
      <c r="F766" s="25"/>
      <c r="G766" s="25">
        <v>3</v>
      </c>
      <c r="H766" s="25">
        <v>10</v>
      </c>
      <c r="I766" s="25">
        <v>10</v>
      </c>
      <c r="J766" s="25"/>
      <c r="K766" s="25"/>
      <c r="L766" s="25">
        <v>10</v>
      </c>
      <c r="M766" s="25">
        <v>30</v>
      </c>
      <c r="N766" s="25"/>
      <c r="O766" s="25">
        <v>30</v>
      </c>
      <c r="P766" s="25">
        <v>10</v>
      </c>
      <c r="Q766" s="22">
        <f t="shared" si="11"/>
        <v>103</v>
      </c>
    </row>
    <row r="767" spans="1:17" ht="15.75" customHeight="1">
      <c r="A767" s="19">
        <v>765</v>
      </c>
      <c r="B767" s="20" t="s">
        <v>1701</v>
      </c>
      <c r="C767" s="20" t="s">
        <v>211</v>
      </c>
      <c r="D767" s="20" t="s">
        <v>1702</v>
      </c>
      <c r="E767" s="21">
        <v>48</v>
      </c>
      <c r="F767" s="21"/>
      <c r="G767" s="21">
        <v>112</v>
      </c>
      <c r="H767" s="21">
        <v>20</v>
      </c>
      <c r="I767" s="21">
        <v>10</v>
      </c>
      <c r="J767" s="21">
        <v>40</v>
      </c>
      <c r="K767" s="21">
        <v>90</v>
      </c>
      <c r="L767" s="21">
        <v>80</v>
      </c>
      <c r="M767" s="21">
        <v>50</v>
      </c>
      <c r="N767" s="21">
        <v>20</v>
      </c>
      <c r="O767" s="21">
        <v>30</v>
      </c>
      <c r="P767" s="21">
        <v>40</v>
      </c>
      <c r="Q767" s="22">
        <f t="shared" si="11"/>
        <v>540</v>
      </c>
    </row>
    <row r="768" spans="1:17" ht="15.75" customHeight="1">
      <c r="A768" s="23">
        <v>766</v>
      </c>
      <c r="B768" s="24" t="s">
        <v>1703</v>
      </c>
      <c r="C768" s="24" t="s">
        <v>211</v>
      </c>
      <c r="D768" s="24" t="s">
        <v>1704</v>
      </c>
      <c r="E768" s="25">
        <v>34</v>
      </c>
      <c r="F768" s="25">
        <v>10</v>
      </c>
      <c r="G768" s="25">
        <v>35</v>
      </c>
      <c r="H768" s="25">
        <v>40</v>
      </c>
      <c r="I768" s="25">
        <v>2</v>
      </c>
      <c r="J768" s="25">
        <v>50</v>
      </c>
      <c r="K768" s="25">
        <v>85</v>
      </c>
      <c r="L768" s="25">
        <v>50</v>
      </c>
      <c r="M768" s="25">
        <v>65</v>
      </c>
      <c r="N768" s="25"/>
      <c r="O768" s="25">
        <v>30</v>
      </c>
      <c r="P768" s="25">
        <v>35</v>
      </c>
      <c r="Q768" s="22">
        <f t="shared" si="11"/>
        <v>436</v>
      </c>
    </row>
    <row r="769" spans="1:17" ht="15.75" customHeight="1">
      <c r="A769" s="19">
        <v>767</v>
      </c>
      <c r="B769" s="20" t="s">
        <v>1705</v>
      </c>
      <c r="C769" s="20" t="s">
        <v>211</v>
      </c>
      <c r="D769" s="20" t="s">
        <v>1706</v>
      </c>
      <c r="E769" s="21">
        <v>5</v>
      </c>
      <c r="F769" s="21"/>
      <c r="G769" s="21">
        <v>1</v>
      </c>
      <c r="H769" s="21">
        <v>9</v>
      </c>
      <c r="I769" s="21">
        <v>20</v>
      </c>
      <c r="J769" s="21"/>
      <c r="K769" s="21">
        <v>70</v>
      </c>
      <c r="L769" s="21"/>
      <c r="M769" s="21">
        <v>55</v>
      </c>
      <c r="N769" s="21"/>
      <c r="O769" s="21">
        <v>30</v>
      </c>
      <c r="P769" s="21">
        <v>3</v>
      </c>
      <c r="Q769" s="22">
        <f t="shared" si="11"/>
        <v>193</v>
      </c>
    </row>
    <row r="770" spans="1:17" ht="15.75" customHeight="1">
      <c r="A770" s="23">
        <v>768</v>
      </c>
      <c r="B770" s="24" t="s">
        <v>1707</v>
      </c>
      <c r="C770" s="24" t="s">
        <v>211</v>
      </c>
      <c r="D770" s="24" t="s">
        <v>1708</v>
      </c>
      <c r="E770" s="25">
        <v>3</v>
      </c>
      <c r="F770" s="25"/>
      <c r="G770" s="25">
        <v>33</v>
      </c>
      <c r="H770" s="25"/>
      <c r="I770" s="25"/>
      <c r="J770" s="25">
        <v>5</v>
      </c>
      <c r="K770" s="25"/>
      <c r="L770" s="25"/>
      <c r="M770" s="25"/>
      <c r="N770" s="25">
        <v>2</v>
      </c>
      <c r="O770" s="25">
        <v>25</v>
      </c>
      <c r="P770" s="25">
        <v>3</v>
      </c>
      <c r="Q770" s="22">
        <f t="shared" si="11"/>
        <v>71</v>
      </c>
    </row>
    <row r="771" spans="1:17" ht="15.75" customHeight="1">
      <c r="A771" s="19">
        <v>769</v>
      </c>
      <c r="B771" s="20" t="s">
        <v>1709</v>
      </c>
      <c r="C771" s="20" t="s">
        <v>211</v>
      </c>
      <c r="D771" s="20" t="s">
        <v>1678</v>
      </c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>
        <v>15</v>
      </c>
      <c r="P771" s="21"/>
      <c r="Q771" s="22">
        <f t="shared" ref="Q771:Q834" si="12">SUM(E771:P771)</f>
        <v>15</v>
      </c>
    </row>
    <row r="772" spans="1:17" ht="15.75" customHeight="1">
      <c r="A772" s="23">
        <v>770</v>
      </c>
      <c r="B772" s="24" t="s">
        <v>1710</v>
      </c>
      <c r="C772" s="24" t="s">
        <v>211</v>
      </c>
      <c r="D772" s="24" t="s">
        <v>1682</v>
      </c>
      <c r="E772" s="25"/>
      <c r="F772" s="25"/>
      <c r="G772" s="25"/>
      <c r="H772" s="25"/>
      <c r="I772" s="25"/>
      <c r="J772" s="25"/>
      <c r="K772" s="25"/>
      <c r="L772" s="25"/>
      <c r="M772" s="25"/>
      <c r="N772" s="25">
        <v>2</v>
      </c>
      <c r="O772" s="25">
        <v>20</v>
      </c>
      <c r="P772" s="25">
        <v>5</v>
      </c>
      <c r="Q772" s="22">
        <f t="shared" si="12"/>
        <v>27</v>
      </c>
    </row>
    <row r="773" spans="1:17" ht="15.75" customHeight="1">
      <c r="A773" s="19">
        <v>771</v>
      </c>
      <c r="B773" s="20" t="s">
        <v>1713</v>
      </c>
      <c r="C773" s="20" t="s">
        <v>203</v>
      </c>
      <c r="D773" s="20" t="s">
        <v>1714</v>
      </c>
      <c r="E773" s="21">
        <v>603</v>
      </c>
      <c r="F773" s="21">
        <v>722</v>
      </c>
      <c r="G773" s="21">
        <v>550</v>
      </c>
      <c r="H773" s="21">
        <v>2147</v>
      </c>
      <c r="I773" s="21">
        <v>455</v>
      </c>
      <c r="J773" s="21">
        <v>666</v>
      </c>
      <c r="K773" s="21">
        <v>1025</v>
      </c>
      <c r="L773" s="21">
        <v>1136</v>
      </c>
      <c r="M773" s="21">
        <v>1112</v>
      </c>
      <c r="N773" s="21">
        <v>282</v>
      </c>
      <c r="O773" s="21">
        <v>915</v>
      </c>
      <c r="P773" s="21">
        <v>736</v>
      </c>
      <c r="Q773" s="22">
        <f t="shared" si="12"/>
        <v>10349</v>
      </c>
    </row>
    <row r="774" spans="1:17" ht="15.75" customHeight="1">
      <c r="A774" s="23">
        <v>772</v>
      </c>
      <c r="B774" s="24" t="s">
        <v>1715</v>
      </c>
      <c r="C774" s="24" t="s">
        <v>203</v>
      </c>
      <c r="D774" s="24" t="s">
        <v>1716</v>
      </c>
      <c r="E774" s="25">
        <v>27</v>
      </c>
      <c r="F774" s="25">
        <v>160</v>
      </c>
      <c r="G774" s="25">
        <v>55</v>
      </c>
      <c r="H774" s="25"/>
      <c r="I774" s="25"/>
      <c r="J774" s="25"/>
      <c r="K774" s="25"/>
      <c r="L774" s="25">
        <v>334</v>
      </c>
      <c r="M774" s="25">
        <v>32</v>
      </c>
      <c r="N774" s="25"/>
      <c r="O774" s="25"/>
      <c r="P774" s="25">
        <v>30</v>
      </c>
      <c r="Q774" s="22">
        <f t="shared" si="12"/>
        <v>638</v>
      </c>
    </row>
    <row r="775" spans="1:17" ht="15.75" customHeight="1">
      <c r="A775" s="19">
        <v>773</v>
      </c>
      <c r="B775" s="20" t="s">
        <v>1717</v>
      </c>
      <c r="C775" s="20" t="s">
        <v>203</v>
      </c>
      <c r="D775" s="20" t="s">
        <v>1718</v>
      </c>
      <c r="E775" s="21"/>
      <c r="F775" s="21">
        <v>650</v>
      </c>
      <c r="G775" s="21"/>
      <c r="H775" s="21"/>
      <c r="I775" s="21">
        <v>23</v>
      </c>
      <c r="J775" s="21"/>
      <c r="K775" s="21"/>
      <c r="L775" s="21"/>
      <c r="M775" s="21"/>
      <c r="N775" s="21">
        <v>30</v>
      </c>
      <c r="O775" s="21"/>
      <c r="P775" s="21"/>
      <c r="Q775" s="22">
        <f t="shared" si="12"/>
        <v>703</v>
      </c>
    </row>
    <row r="776" spans="1:17" ht="15.75" customHeight="1">
      <c r="A776" s="23">
        <v>774</v>
      </c>
      <c r="B776" s="24" t="s">
        <v>1719</v>
      </c>
      <c r="C776" s="24" t="s">
        <v>203</v>
      </c>
      <c r="D776" s="24" t="s">
        <v>1720</v>
      </c>
      <c r="E776" s="25">
        <v>886</v>
      </c>
      <c r="F776" s="25">
        <v>690</v>
      </c>
      <c r="G776" s="25">
        <v>952</v>
      </c>
      <c r="H776" s="25">
        <v>1475</v>
      </c>
      <c r="I776" s="25">
        <v>468</v>
      </c>
      <c r="J776" s="25">
        <v>955</v>
      </c>
      <c r="K776" s="25">
        <v>1044</v>
      </c>
      <c r="L776" s="25">
        <v>1162</v>
      </c>
      <c r="M776" s="25">
        <v>617</v>
      </c>
      <c r="N776" s="25">
        <v>657</v>
      </c>
      <c r="O776" s="25">
        <v>712</v>
      </c>
      <c r="P776" s="25">
        <v>627</v>
      </c>
      <c r="Q776" s="22">
        <f t="shared" si="12"/>
        <v>10245</v>
      </c>
    </row>
    <row r="777" spans="1:17" ht="15.75" customHeight="1">
      <c r="A777" s="19">
        <v>775</v>
      </c>
      <c r="B777" s="20" t="s">
        <v>1721</v>
      </c>
      <c r="C777" s="20" t="s">
        <v>203</v>
      </c>
      <c r="D777" s="20" t="s">
        <v>1722</v>
      </c>
      <c r="E777" s="21"/>
      <c r="F777" s="21"/>
      <c r="G777" s="21"/>
      <c r="H777" s="21">
        <v>10</v>
      </c>
      <c r="I777" s="21"/>
      <c r="J777" s="21"/>
      <c r="K777" s="21"/>
      <c r="L777" s="21"/>
      <c r="M777" s="21"/>
      <c r="N777" s="21"/>
      <c r="O777" s="21">
        <v>40</v>
      </c>
      <c r="P777" s="21"/>
      <c r="Q777" s="22">
        <f t="shared" si="12"/>
        <v>50</v>
      </c>
    </row>
    <row r="778" spans="1:17" ht="15.75" customHeight="1">
      <c r="A778" s="23">
        <v>776</v>
      </c>
      <c r="B778" s="24" t="s">
        <v>1723</v>
      </c>
      <c r="C778" s="24" t="s">
        <v>203</v>
      </c>
      <c r="D778" s="24" t="s">
        <v>1724</v>
      </c>
      <c r="E778" s="25"/>
      <c r="F778" s="25">
        <v>20</v>
      </c>
      <c r="G778" s="25">
        <v>98</v>
      </c>
      <c r="H778" s="25">
        <v>30</v>
      </c>
      <c r="I778" s="25"/>
      <c r="J778" s="25"/>
      <c r="K778" s="25"/>
      <c r="L778" s="25"/>
      <c r="M778" s="25"/>
      <c r="N778" s="25"/>
      <c r="O778" s="25"/>
      <c r="P778" s="25"/>
      <c r="Q778" s="22">
        <f t="shared" si="12"/>
        <v>148</v>
      </c>
    </row>
    <row r="779" spans="1:17" ht="15.75" customHeight="1">
      <c r="A779" s="19">
        <v>777</v>
      </c>
      <c r="B779" s="20" t="s">
        <v>1725</v>
      </c>
      <c r="C779" s="20" t="s">
        <v>203</v>
      </c>
      <c r="D779" s="20" t="s">
        <v>1726</v>
      </c>
      <c r="E779" s="21">
        <v>297</v>
      </c>
      <c r="F779" s="21">
        <v>265</v>
      </c>
      <c r="G779" s="21">
        <v>478</v>
      </c>
      <c r="H779" s="21">
        <v>987</v>
      </c>
      <c r="I779" s="21">
        <v>391</v>
      </c>
      <c r="J779" s="21">
        <v>279</v>
      </c>
      <c r="K779" s="21">
        <v>660</v>
      </c>
      <c r="L779" s="21">
        <v>460</v>
      </c>
      <c r="M779" s="21">
        <v>460</v>
      </c>
      <c r="N779" s="21">
        <v>275</v>
      </c>
      <c r="O779" s="21">
        <v>297</v>
      </c>
      <c r="P779" s="21">
        <v>352</v>
      </c>
      <c r="Q779" s="22">
        <f t="shared" si="12"/>
        <v>5201</v>
      </c>
    </row>
    <row r="780" spans="1:17" ht="15.75" customHeight="1">
      <c r="A780" s="23">
        <v>778</v>
      </c>
      <c r="B780" s="24" t="s">
        <v>1727</v>
      </c>
      <c r="C780" s="24" t="s">
        <v>203</v>
      </c>
      <c r="D780" s="24" t="s">
        <v>1728</v>
      </c>
      <c r="E780" s="25">
        <v>217</v>
      </c>
      <c r="F780" s="25">
        <v>153</v>
      </c>
      <c r="G780" s="25">
        <v>159</v>
      </c>
      <c r="H780" s="25">
        <v>309</v>
      </c>
      <c r="I780" s="25">
        <v>180</v>
      </c>
      <c r="J780" s="25">
        <v>263</v>
      </c>
      <c r="K780" s="25">
        <v>478</v>
      </c>
      <c r="L780" s="25">
        <v>274</v>
      </c>
      <c r="M780" s="25">
        <v>194</v>
      </c>
      <c r="N780" s="25">
        <v>142</v>
      </c>
      <c r="O780" s="25">
        <v>163</v>
      </c>
      <c r="P780" s="25">
        <v>229</v>
      </c>
      <c r="Q780" s="22">
        <f t="shared" si="12"/>
        <v>2761</v>
      </c>
    </row>
    <row r="781" spans="1:17" ht="15.75" customHeight="1">
      <c r="A781" s="19">
        <v>779</v>
      </c>
      <c r="B781" s="20" t="s">
        <v>1729</v>
      </c>
      <c r="C781" s="20" t="s">
        <v>203</v>
      </c>
      <c r="D781" s="20" t="s">
        <v>1730</v>
      </c>
      <c r="E781" s="21">
        <v>105</v>
      </c>
      <c r="F781" s="21">
        <v>50</v>
      </c>
      <c r="G781" s="21">
        <v>70</v>
      </c>
      <c r="H781" s="21">
        <v>70</v>
      </c>
      <c r="I781" s="21">
        <v>40</v>
      </c>
      <c r="J781" s="21">
        <v>70</v>
      </c>
      <c r="K781" s="21">
        <v>130</v>
      </c>
      <c r="L781" s="21">
        <v>160</v>
      </c>
      <c r="M781" s="21">
        <v>55</v>
      </c>
      <c r="N781" s="21">
        <v>10</v>
      </c>
      <c r="O781" s="21">
        <v>30</v>
      </c>
      <c r="P781" s="21">
        <v>10</v>
      </c>
      <c r="Q781" s="22">
        <f t="shared" si="12"/>
        <v>800</v>
      </c>
    </row>
    <row r="782" spans="1:17" ht="15.75" customHeight="1">
      <c r="A782" s="23">
        <v>780</v>
      </c>
      <c r="B782" s="24" t="s">
        <v>1731</v>
      </c>
      <c r="C782" s="24" t="s">
        <v>203</v>
      </c>
      <c r="D782" s="24" t="s">
        <v>1732</v>
      </c>
      <c r="E782" s="25">
        <v>103</v>
      </c>
      <c r="F782" s="25">
        <v>70</v>
      </c>
      <c r="G782" s="25">
        <v>30</v>
      </c>
      <c r="H782" s="25">
        <v>50</v>
      </c>
      <c r="I782" s="25">
        <v>42</v>
      </c>
      <c r="J782" s="25">
        <v>130</v>
      </c>
      <c r="K782" s="25">
        <v>198</v>
      </c>
      <c r="L782" s="25">
        <v>92</v>
      </c>
      <c r="M782" s="25">
        <v>245</v>
      </c>
      <c r="N782" s="25">
        <v>104</v>
      </c>
      <c r="O782" s="25">
        <v>77</v>
      </c>
      <c r="P782" s="25">
        <v>34</v>
      </c>
      <c r="Q782" s="22">
        <f t="shared" si="12"/>
        <v>1175</v>
      </c>
    </row>
    <row r="783" spans="1:17" ht="15.75" customHeight="1">
      <c r="A783" s="19">
        <v>781</v>
      </c>
      <c r="B783" s="20" t="s">
        <v>1733</v>
      </c>
      <c r="C783" s="20" t="s">
        <v>203</v>
      </c>
      <c r="D783" s="20" t="s">
        <v>1734</v>
      </c>
      <c r="E783" s="21">
        <v>9</v>
      </c>
      <c r="F783" s="21">
        <v>240</v>
      </c>
      <c r="G783" s="21">
        <v>10</v>
      </c>
      <c r="H783" s="21">
        <v>43</v>
      </c>
      <c r="I783" s="21">
        <v>26</v>
      </c>
      <c r="J783" s="21">
        <v>24</v>
      </c>
      <c r="K783" s="21">
        <v>60</v>
      </c>
      <c r="L783" s="21"/>
      <c r="M783" s="21">
        <v>30</v>
      </c>
      <c r="N783" s="21">
        <v>4</v>
      </c>
      <c r="O783" s="21">
        <v>3</v>
      </c>
      <c r="P783" s="21">
        <v>31</v>
      </c>
      <c r="Q783" s="22">
        <f t="shared" si="12"/>
        <v>480</v>
      </c>
    </row>
    <row r="784" spans="1:17" ht="15.75" customHeight="1">
      <c r="A784" s="23">
        <v>782</v>
      </c>
      <c r="B784" s="24" t="s">
        <v>1735</v>
      </c>
      <c r="C784" s="24" t="s">
        <v>203</v>
      </c>
      <c r="D784" s="24" t="s">
        <v>1736</v>
      </c>
      <c r="E784" s="25">
        <v>270</v>
      </c>
      <c r="F784" s="25">
        <v>70</v>
      </c>
      <c r="G784" s="25">
        <v>240</v>
      </c>
      <c r="H784" s="25">
        <v>384</v>
      </c>
      <c r="I784" s="25">
        <v>433</v>
      </c>
      <c r="J784" s="25">
        <v>320</v>
      </c>
      <c r="K784" s="25">
        <v>349</v>
      </c>
      <c r="L784" s="25">
        <v>450</v>
      </c>
      <c r="M784" s="25">
        <v>125</v>
      </c>
      <c r="N784" s="25">
        <v>320</v>
      </c>
      <c r="O784" s="25">
        <v>170</v>
      </c>
      <c r="P784" s="25">
        <v>489</v>
      </c>
      <c r="Q784" s="22">
        <f t="shared" si="12"/>
        <v>3620</v>
      </c>
    </row>
    <row r="785" spans="1:17" ht="15.75" customHeight="1">
      <c r="A785" s="19">
        <v>783</v>
      </c>
      <c r="B785" s="20" t="s">
        <v>1737</v>
      </c>
      <c r="C785" s="20" t="s">
        <v>203</v>
      </c>
      <c r="D785" s="20" t="s">
        <v>1738</v>
      </c>
      <c r="E785" s="21">
        <v>18</v>
      </c>
      <c r="F785" s="21">
        <v>46</v>
      </c>
      <c r="G785" s="21">
        <v>10</v>
      </c>
      <c r="H785" s="21">
        <v>30</v>
      </c>
      <c r="I785" s="21">
        <v>4</v>
      </c>
      <c r="J785" s="21">
        <v>95</v>
      </c>
      <c r="K785" s="21"/>
      <c r="L785" s="21">
        <v>26</v>
      </c>
      <c r="M785" s="21">
        <v>20</v>
      </c>
      <c r="N785" s="21">
        <v>10</v>
      </c>
      <c r="O785" s="21">
        <v>12</v>
      </c>
      <c r="P785" s="21">
        <v>9</v>
      </c>
      <c r="Q785" s="22">
        <f t="shared" si="12"/>
        <v>280</v>
      </c>
    </row>
    <row r="786" spans="1:17" ht="15.75" customHeight="1">
      <c r="A786" s="23">
        <v>784</v>
      </c>
      <c r="B786" s="24" t="s">
        <v>1739</v>
      </c>
      <c r="C786" s="24" t="s">
        <v>203</v>
      </c>
      <c r="D786" s="24" t="s">
        <v>1578</v>
      </c>
      <c r="E786" s="25">
        <v>11</v>
      </c>
      <c r="F786" s="25"/>
      <c r="G786" s="25">
        <v>14</v>
      </c>
      <c r="H786" s="25">
        <v>20</v>
      </c>
      <c r="I786" s="25">
        <v>20</v>
      </c>
      <c r="J786" s="25"/>
      <c r="K786" s="25">
        <v>4</v>
      </c>
      <c r="L786" s="25"/>
      <c r="M786" s="25"/>
      <c r="N786" s="25">
        <v>5</v>
      </c>
      <c r="O786" s="25"/>
      <c r="P786" s="25">
        <v>26</v>
      </c>
      <c r="Q786" s="22">
        <f t="shared" si="12"/>
        <v>100</v>
      </c>
    </row>
    <row r="787" spans="1:17" ht="15.75" customHeight="1">
      <c r="A787" s="19">
        <v>785</v>
      </c>
      <c r="B787" s="20" t="s">
        <v>1740</v>
      </c>
      <c r="C787" s="20" t="s">
        <v>203</v>
      </c>
      <c r="D787" s="20" t="s">
        <v>1741</v>
      </c>
      <c r="E787" s="21"/>
      <c r="F787" s="21"/>
      <c r="G787" s="21"/>
      <c r="H787" s="21"/>
      <c r="I787" s="21"/>
      <c r="J787" s="21">
        <v>50</v>
      </c>
      <c r="K787" s="21"/>
      <c r="L787" s="21"/>
      <c r="M787" s="21"/>
      <c r="N787" s="21">
        <v>50</v>
      </c>
      <c r="O787" s="21"/>
      <c r="P787" s="21"/>
      <c r="Q787" s="22">
        <f t="shared" si="12"/>
        <v>100</v>
      </c>
    </row>
    <row r="788" spans="1:17" ht="15.75" customHeight="1">
      <c r="A788" s="23">
        <v>786</v>
      </c>
      <c r="B788" s="24" t="s">
        <v>1742</v>
      </c>
      <c r="C788" s="24" t="s">
        <v>203</v>
      </c>
      <c r="D788" s="24" t="s">
        <v>1685</v>
      </c>
      <c r="E788" s="25"/>
      <c r="F788" s="25"/>
      <c r="G788" s="25"/>
      <c r="H788" s="25">
        <v>15</v>
      </c>
      <c r="I788" s="25"/>
      <c r="J788" s="25">
        <v>20</v>
      </c>
      <c r="K788" s="25">
        <v>4</v>
      </c>
      <c r="L788" s="25"/>
      <c r="M788" s="25"/>
      <c r="N788" s="25">
        <v>6</v>
      </c>
      <c r="O788" s="25"/>
      <c r="P788" s="25"/>
      <c r="Q788" s="22">
        <f t="shared" si="12"/>
        <v>45</v>
      </c>
    </row>
    <row r="789" spans="1:17" ht="15.75" customHeight="1">
      <c r="A789" s="19">
        <v>787</v>
      </c>
      <c r="B789" s="20" t="s">
        <v>1743</v>
      </c>
      <c r="C789" s="20" t="s">
        <v>203</v>
      </c>
      <c r="D789" s="20" t="s">
        <v>1744</v>
      </c>
      <c r="E789" s="21"/>
      <c r="F789" s="21"/>
      <c r="G789" s="21">
        <v>2</v>
      </c>
      <c r="H789" s="21"/>
      <c r="I789" s="21"/>
      <c r="J789" s="21"/>
      <c r="K789" s="21"/>
      <c r="L789" s="21"/>
      <c r="M789" s="21"/>
      <c r="N789" s="21"/>
      <c r="O789" s="21"/>
      <c r="P789" s="21"/>
      <c r="Q789" s="22">
        <f t="shared" si="12"/>
        <v>2</v>
      </c>
    </row>
    <row r="790" spans="1:17" ht="15.75" customHeight="1">
      <c r="A790" s="23">
        <v>788</v>
      </c>
      <c r="B790" s="24" t="s">
        <v>1745</v>
      </c>
      <c r="C790" s="24" t="s">
        <v>203</v>
      </c>
      <c r="D790" s="24" t="s">
        <v>1746</v>
      </c>
      <c r="E790" s="25">
        <v>30</v>
      </c>
      <c r="F790" s="25">
        <v>140</v>
      </c>
      <c r="G790" s="25">
        <v>134</v>
      </c>
      <c r="H790" s="25">
        <v>149</v>
      </c>
      <c r="I790" s="25">
        <v>90</v>
      </c>
      <c r="J790" s="25">
        <v>140</v>
      </c>
      <c r="K790" s="25">
        <v>66</v>
      </c>
      <c r="L790" s="25">
        <v>70</v>
      </c>
      <c r="M790" s="25">
        <v>90</v>
      </c>
      <c r="N790" s="25">
        <v>45</v>
      </c>
      <c r="O790" s="25">
        <v>40</v>
      </c>
      <c r="P790" s="25">
        <v>58</v>
      </c>
      <c r="Q790" s="22">
        <f t="shared" si="12"/>
        <v>1052</v>
      </c>
    </row>
    <row r="791" spans="1:17" ht="15.75" customHeight="1">
      <c r="A791" s="19">
        <v>789</v>
      </c>
      <c r="B791" s="20" t="s">
        <v>1747</v>
      </c>
      <c r="C791" s="20" t="s">
        <v>203</v>
      </c>
      <c r="D791" s="20" t="s">
        <v>1689</v>
      </c>
      <c r="E791" s="21"/>
      <c r="F791" s="21"/>
      <c r="G791" s="21"/>
      <c r="H791" s="21"/>
      <c r="I791" s="21"/>
      <c r="J791" s="21">
        <v>3</v>
      </c>
      <c r="K791" s="21"/>
      <c r="L791" s="21"/>
      <c r="M791" s="21"/>
      <c r="N791" s="21"/>
      <c r="O791" s="21"/>
      <c r="P791" s="21"/>
      <c r="Q791" s="22">
        <f t="shared" si="12"/>
        <v>3</v>
      </c>
    </row>
    <row r="792" spans="1:17" ht="15.75" customHeight="1">
      <c r="A792" s="23">
        <v>790</v>
      </c>
      <c r="B792" s="24" t="s">
        <v>1748</v>
      </c>
      <c r="C792" s="24" t="s">
        <v>203</v>
      </c>
      <c r="D792" s="24" t="s">
        <v>1749</v>
      </c>
      <c r="E792" s="25"/>
      <c r="F792" s="25"/>
      <c r="G792" s="25"/>
      <c r="H792" s="25">
        <v>10</v>
      </c>
      <c r="I792" s="25"/>
      <c r="J792" s="25"/>
      <c r="K792" s="25"/>
      <c r="L792" s="25"/>
      <c r="M792" s="25"/>
      <c r="N792" s="25">
        <v>26</v>
      </c>
      <c r="O792" s="25"/>
      <c r="P792" s="25">
        <v>20</v>
      </c>
      <c r="Q792" s="22">
        <f t="shared" si="12"/>
        <v>56</v>
      </c>
    </row>
    <row r="793" spans="1:17" ht="15.75" customHeight="1">
      <c r="A793" s="19">
        <v>791</v>
      </c>
      <c r="B793" s="20" t="s">
        <v>1750</v>
      </c>
      <c r="C793" s="20" t="s">
        <v>203</v>
      </c>
      <c r="D793" s="20" t="s">
        <v>1751</v>
      </c>
      <c r="E793" s="21">
        <v>30</v>
      </c>
      <c r="F793" s="21">
        <v>30</v>
      </c>
      <c r="G793" s="21">
        <v>90</v>
      </c>
      <c r="H793" s="21">
        <v>150</v>
      </c>
      <c r="I793" s="21">
        <v>50</v>
      </c>
      <c r="J793" s="21">
        <v>60</v>
      </c>
      <c r="K793" s="21">
        <v>150</v>
      </c>
      <c r="L793" s="21">
        <v>30</v>
      </c>
      <c r="M793" s="21">
        <v>39</v>
      </c>
      <c r="N793" s="21">
        <v>38</v>
      </c>
      <c r="O793" s="21">
        <v>70</v>
      </c>
      <c r="P793" s="21">
        <v>72</v>
      </c>
      <c r="Q793" s="22">
        <f t="shared" si="12"/>
        <v>809</v>
      </c>
    </row>
    <row r="794" spans="1:17" ht="15.75" customHeight="1">
      <c r="A794" s="23">
        <v>792</v>
      </c>
      <c r="B794" s="24" t="s">
        <v>1752</v>
      </c>
      <c r="C794" s="24" t="s">
        <v>203</v>
      </c>
      <c r="D794" s="24" t="s">
        <v>1753</v>
      </c>
      <c r="E794" s="25">
        <v>20</v>
      </c>
      <c r="F794" s="25">
        <v>10</v>
      </c>
      <c r="G794" s="25"/>
      <c r="H794" s="25">
        <v>8</v>
      </c>
      <c r="I794" s="25">
        <v>10</v>
      </c>
      <c r="J794" s="25">
        <v>10</v>
      </c>
      <c r="K794" s="25"/>
      <c r="L794" s="25"/>
      <c r="M794" s="25">
        <v>70</v>
      </c>
      <c r="N794" s="25">
        <v>14</v>
      </c>
      <c r="O794" s="25"/>
      <c r="P794" s="25">
        <v>29</v>
      </c>
      <c r="Q794" s="22">
        <f t="shared" si="12"/>
        <v>171</v>
      </c>
    </row>
    <row r="795" spans="1:17" ht="15.75" customHeight="1">
      <c r="A795" s="19">
        <v>793</v>
      </c>
      <c r="B795" s="20" t="s">
        <v>1754</v>
      </c>
      <c r="C795" s="20" t="s">
        <v>244</v>
      </c>
      <c r="D795" s="20" t="s">
        <v>1755</v>
      </c>
      <c r="E795" s="21">
        <v>5</v>
      </c>
      <c r="F795" s="21">
        <v>3</v>
      </c>
      <c r="G795" s="21">
        <v>5</v>
      </c>
      <c r="H795" s="21"/>
      <c r="I795" s="21">
        <v>15</v>
      </c>
      <c r="J795" s="21"/>
      <c r="K795" s="21">
        <v>26</v>
      </c>
      <c r="L795" s="21">
        <v>62</v>
      </c>
      <c r="M795" s="21">
        <v>70</v>
      </c>
      <c r="N795" s="21">
        <v>20</v>
      </c>
      <c r="O795" s="21">
        <v>30</v>
      </c>
      <c r="P795" s="21">
        <v>10</v>
      </c>
      <c r="Q795" s="22">
        <f t="shared" si="12"/>
        <v>246</v>
      </c>
    </row>
    <row r="796" spans="1:17" ht="15.75" customHeight="1">
      <c r="A796" s="23">
        <v>794</v>
      </c>
      <c r="B796" s="24" t="s">
        <v>1756</v>
      </c>
      <c r="C796" s="24" t="s">
        <v>244</v>
      </c>
      <c r="D796" s="24" t="s">
        <v>1757</v>
      </c>
      <c r="E796" s="25">
        <v>22</v>
      </c>
      <c r="F796" s="25">
        <v>20</v>
      </c>
      <c r="G796" s="25">
        <v>24</v>
      </c>
      <c r="H796" s="25">
        <v>14</v>
      </c>
      <c r="I796" s="25">
        <v>2</v>
      </c>
      <c r="J796" s="25">
        <v>48</v>
      </c>
      <c r="K796" s="25">
        <v>74</v>
      </c>
      <c r="L796" s="25">
        <v>34</v>
      </c>
      <c r="M796" s="25">
        <v>40</v>
      </c>
      <c r="N796" s="25">
        <v>15</v>
      </c>
      <c r="O796" s="25">
        <v>35</v>
      </c>
      <c r="P796" s="25">
        <v>49</v>
      </c>
      <c r="Q796" s="22">
        <f t="shared" si="12"/>
        <v>377</v>
      </c>
    </row>
    <row r="797" spans="1:17" ht="15.75" customHeight="1">
      <c r="A797" s="19">
        <v>795</v>
      </c>
      <c r="B797" s="20" t="s">
        <v>1758</v>
      </c>
      <c r="C797" s="20" t="s">
        <v>244</v>
      </c>
      <c r="D797" s="20" t="s">
        <v>1759</v>
      </c>
      <c r="E797" s="21"/>
      <c r="F797" s="21"/>
      <c r="G797" s="21"/>
      <c r="H797" s="21"/>
      <c r="I797" s="21"/>
      <c r="J797" s="21"/>
      <c r="K797" s="21">
        <v>50</v>
      </c>
      <c r="L797" s="21"/>
      <c r="M797" s="21"/>
      <c r="N797" s="21"/>
      <c r="O797" s="21">
        <v>30</v>
      </c>
      <c r="P797" s="21">
        <v>7</v>
      </c>
      <c r="Q797" s="22">
        <f t="shared" si="12"/>
        <v>87</v>
      </c>
    </row>
    <row r="798" spans="1:17" ht="15.75" customHeight="1">
      <c r="A798" s="23">
        <v>796</v>
      </c>
      <c r="B798" s="24" t="s">
        <v>1760</v>
      </c>
      <c r="C798" s="24" t="s">
        <v>244</v>
      </c>
      <c r="D798" s="24" t="s">
        <v>1761</v>
      </c>
      <c r="E798" s="25">
        <v>5</v>
      </c>
      <c r="F798" s="25">
        <v>27</v>
      </c>
      <c r="G798" s="25">
        <v>30</v>
      </c>
      <c r="H798" s="25">
        <v>2</v>
      </c>
      <c r="I798" s="25">
        <v>5</v>
      </c>
      <c r="J798" s="25">
        <v>15</v>
      </c>
      <c r="K798" s="25"/>
      <c r="L798" s="25">
        <v>25</v>
      </c>
      <c r="M798" s="25">
        <v>10</v>
      </c>
      <c r="N798" s="25">
        <v>10</v>
      </c>
      <c r="O798" s="25"/>
      <c r="P798" s="25"/>
      <c r="Q798" s="22">
        <f t="shared" si="12"/>
        <v>129</v>
      </c>
    </row>
    <row r="799" spans="1:17" ht="15.75" customHeight="1">
      <c r="A799" s="19">
        <v>797</v>
      </c>
      <c r="B799" s="20" t="s">
        <v>1762</v>
      </c>
      <c r="C799" s="20" t="s">
        <v>244</v>
      </c>
      <c r="D799" s="20" t="s">
        <v>1763</v>
      </c>
      <c r="E799" s="21"/>
      <c r="F799" s="21">
        <v>5</v>
      </c>
      <c r="G799" s="21"/>
      <c r="H799" s="21"/>
      <c r="I799" s="21"/>
      <c r="J799" s="21"/>
      <c r="K799" s="21">
        <v>5</v>
      </c>
      <c r="L799" s="21">
        <v>25</v>
      </c>
      <c r="M799" s="21">
        <v>10</v>
      </c>
      <c r="N799" s="21">
        <v>10</v>
      </c>
      <c r="O799" s="21"/>
      <c r="P799" s="21">
        <v>6</v>
      </c>
      <c r="Q799" s="22">
        <f t="shared" si="12"/>
        <v>61</v>
      </c>
    </row>
    <row r="800" spans="1:17" ht="15.75" customHeight="1">
      <c r="A800" s="23">
        <v>798</v>
      </c>
      <c r="B800" s="24" t="s">
        <v>1764</v>
      </c>
      <c r="C800" s="24" t="s">
        <v>244</v>
      </c>
      <c r="D800" s="24" t="s">
        <v>1765</v>
      </c>
      <c r="E800" s="25">
        <v>35</v>
      </c>
      <c r="F800" s="25">
        <v>40</v>
      </c>
      <c r="G800" s="25">
        <v>50</v>
      </c>
      <c r="H800" s="25">
        <v>5</v>
      </c>
      <c r="I800" s="25">
        <v>56</v>
      </c>
      <c r="J800" s="25">
        <v>84</v>
      </c>
      <c r="K800" s="25">
        <v>2</v>
      </c>
      <c r="L800" s="25"/>
      <c r="M800" s="25">
        <v>20</v>
      </c>
      <c r="N800" s="25">
        <v>76</v>
      </c>
      <c r="O800" s="25">
        <v>32</v>
      </c>
      <c r="P800" s="25">
        <v>130</v>
      </c>
      <c r="Q800" s="22">
        <f t="shared" si="12"/>
        <v>530</v>
      </c>
    </row>
    <row r="801" spans="1:17" ht="15.75" customHeight="1">
      <c r="A801" s="19">
        <v>799</v>
      </c>
      <c r="B801" s="20" t="s">
        <v>1766</v>
      </c>
      <c r="C801" s="20" t="s">
        <v>244</v>
      </c>
      <c r="D801" s="20" t="s">
        <v>1767</v>
      </c>
      <c r="E801" s="21"/>
      <c r="F801" s="21"/>
      <c r="G801" s="21"/>
      <c r="H801" s="21">
        <v>10</v>
      </c>
      <c r="I801" s="21"/>
      <c r="J801" s="21"/>
      <c r="K801" s="21"/>
      <c r="L801" s="21"/>
      <c r="M801" s="21"/>
      <c r="N801" s="21">
        <v>4</v>
      </c>
      <c r="O801" s="21"/>
      <c r="P801" s="21"/>
      <c r="Q801" s="22">
        <f t="shared" si="12"/>
        <v>14</v>
      </c>
    </row>
    <row r="802" spans="1:17" ht="15.75" customHeight="1">
      <c r="A802" s="23">
        <v>800</v>
      </c>
      <c r="B802" s="24" t="s">
        <v>1768</v>
      </c>
      <c r="C802" s="24" t="s">
        <v>244</v>
      </c>
      <c r="D802" s="24" t="s">
        <v>1678</v>
      </c>
      <c r="E802" s="25"/>
      <c r="F802" s="25"/>
      <c r="G802" s="25"/>
      <c r="H802" s="25"/>
      <c r="I802" s="25"/>
      <c r="J802" s="25"/>
      <c r="K802" s="25"/>
      <c r="L802" s="25">
        <v>20</v>
      </c>
      <c r="M802" s="25"/>
      <c r="N802" s="25"/>
      <c r="O802" s="25"/>
      <c r="P802" s="25"/>
      <c r="Q802" s="22">
        <f t="shared" si="12"/>
        <v>20</v>
      </c>
    </row>
    <row r="803" spans="1:17" ht="15.75" customHeight="1">
      <c r="A803" s="19">
        <v>801</v>
      </c>
      <c r="B803" s="20" t="s">
        <v>1769</v>
      </c>
      <c r="C803" s="20" t="s">
        <v>244</v>
      </c>
      <c r="D803" s="20" t="s">
        <v>1770</v>
      </c>
      <c r="E803" s="21">
        <v>277</v>
      </c>
      <c r="F803" s="21">
        <v>137</v>
      </c>
      <c r="G803" s="21">
        <v>302</v>
      </c>
      <c r="H803" s="21">
        <v>230</v>
      </c>
      <c r="I803" s="21">
        <v>230</v>
      </c>
      <c r="J803" s="21">
        <v>150</v>
      </c>
      <c r="K803" s="21">
        <v>240</v>
      </c>
      <c r="L803" s="21">
        <v>190</v>
      </c>
      <c r="M803" s="21">
        <v>160</v>
      </c>
      <c r="N803" s="21">
        <v>260</v>
      </c>
      <c r="O803" s="21">
        <v>240</v>
      </c>
      <c r="P803" s="21">
        <v>200</v>
      </c>
      <c r="Q803" s="22">
        <f t="shared" si="12"/>
        <v>2616</v>
      </c>
    </row>
    <row r="804" spans="1:17" ht="15.75" customHeight="1">
      <c r="A804" s="23">
        <v>802</v>
      </c>
      <c r="B804" s="24" t="s">
        <v>1771</v>
      </c>
      <c r="C804" s="24" t="s">
        <v>244</v>
      </c>
      <c r="D804" s="24" t="s">
        <v>1772</v>
      </c>
      <c r="E804" s="25"/>
      <c r="F804" s="25"/>
      <c r="G804" s="25">
        <v>30</v>
      </c>
      <c r="H804" s="25">
        <v>20</v>
      </c>
      <c r="I804" s="25">
        <v>5</v>
      </c>
      <c r="J804" s="25"/>
      <c r="K804" s="25">
        <v>10</v>
      </c>
      <c r="L804" s="25"/>
      <c r="M804" s="25">
        <v>30</v>
      </c>
      <c r="N804" s="25"/>
      <c r="O804" s="25">
        <v>30</v>
      </c>
      <c r="P804" s="25"/>
      <c r="Q804" s="22">
        <f t="shared" si="12"/>
        <v>125</v>
      </c>
    </row>
    <row r="805" spans="1:17" ht="15.75" customHeight="1">
      <c r="A805" s="19">
        <v>803</v>
      </c>
      <c r="B805" s="20" t="s">
        <v>1773</v>
      </c>
      <c r="C805" s="20" t="s">
        <v>244</v>
      </c>
      <c r="D805" s="20" t="s">
        <v>1774</v>
      </c>
      <c r="E805" s="21"/>
      <c r="F805" s="21"/>
      <c r="G805" s="21"/>
      <c r="H805" s="21">
        <v>20</v>
      </c>
      <c r="I805" s="21"/>
      <c r="J805" s="21"/>
      <c r="K805" s="21"/>
      <c r="L805" s="21"/>
      <c r="M805" s="21">
        <v>30</v>
      </c>
      <c r="N805" s="21"/>
      <c r="O805" s="21">
        <v>30</v>
      </c>
      <c r="P805" s="21"/>
      <c r="Q805" s="22">
        <f t="shared" si="12"/>
        <v>80</v>
      </c>
    </row>
    <row r="806" spans="1:17" ht="15.75" customHeight="1">
      <c r="A806" s="23">
        <v>804</v>
      </c>
      <c r="B806" s="24" t="s">
        <v>1775</v>
      </c>
      <c r="C806" s="24" t="s">
        <v>253</v>
      </c>
      <c r="D806" s="24" t="s">
        <v>1776</v>
      </c>
      <c r="E806" s="25">
        <v>220</v>
      </c>
      <c r="F806" s="25">
        <v>155</v>
      </c>
      <c r="G806" s="25">
        <v>194</v>
      </c>
      <c r="H806" s="25">
        <v>110</v>
      </c>
      <c r="I806" s="25">
        <v>215</v>
      </c>
      <c r="J806" s="25">
        <v>220</v>
      </c>
      <c r="K806" s="25">
        <v>282</v>
      </c>
      <c r="L806" s="25">
        <v>270</v>
      </c>
      <c r="M806" s="25">
        <v>165</v>
      </c>
      <c r="N806" s="25">
        <v>20</v>
      </c>
      <c r="O806" s="25">
        <v>103</v>
      </c>
      <c r="P806" s="25">
        <v>80</v>
      </c>
      <c r="Q806" s="22">
        <f t="shared" si="12"/>
        <v>2034</v>
      </c>
    </row>
    <row r="807" spans="1:17" ht="15.75" customHeight="1">
      <c r="A807" s="19">
        <v>805</v>
      </c>
      <c r="B807" s="20" t="s">
        <v>1777</v>
      </c>
      <c r="C807" s="20" t="s">
        <v>253</v>
      </c>
      <c r="D807" s="20" t="s">
        <v>1778</v>
      </c>
      <c r="E807" s="21"/>
      <c r="F807" s="21">
        <v>120</v>
      </c>
      <c r="G807" s="21"/>
      <c r="H807" s="21"/>
      <c r="I807" s="21"/>
      <c r="J807" s="21"/>
      <c r="K807" s="21"/>
      <c r="L807" s="21"/>
      <c r="M807" s="21">
        <v>20</v>
      </c>
      <c r="N807" s="21"/>
      <c r="O807" s="21">
        <v>50</v>
      </c>
      <c r="P807" s="21">
        <v>20</v>
      </c>
      <c r="Q807" s="22">
        <f t="shared" si="12"/>
        <v>210</v>
      </c>
    </row>
    <row r="808" spans="1:17" ht="15.75" customHeight="1">
      <c r="A808" s="23">
        <v>806</v>
      </c>
      <c r="B808" s="24" t="s">
        <v>1780</v>
      </c>
      <c r="C808" s="24" t="s">
        <v>253</v>
      </c>
      <c r="D808" s="24" t="s">
        <v>1781</v>
      </c>
      <c r="E808" s="25">
        <v>172</v>
      </c>
      <c r="F808" s="25">
        <v>85</v>
      </c>
      <c r="G808" s="25">
        <v>307</v>
      </c>
      <c r="H808" s="25">
        <v>88</v>
      </c>
      <c r="I808" s="25">
        <v>162</v>
      </c>
      <c r="J808" s="25">
        <v>205</v>
      </c>
      <c r="K808" s="25">
        <v>262</v>
      </c>
      <c r="L808" s="25">
        <v>193</v>
      </c>
      <c r="M808" s="25">
        <v>260</v>
      </c>
      <c r="N808" s="25">
        <v>182</v>
      </c>
      <c r="O808" s="25">
        <v>82</v>
      </c>
      <c r="P808" s="25">
        <v>133</v>
      </c>
      <c r="Q808" s="22">
        <f t="shared" si="12"/>
        <v>2131</v>
      </c>
    </row>
    <row r="809" spans="1:17" ht="15.75" customHeight="1">
      <c r="A809" s="19">
        <v>807</v>
      </c>
      <c r="B809" s="20" t="s">
        <v>1782</v>
      </c>
      <c r="C809" s="20" t="s">
        <v>253</v>
      </c>
      <c r="D809" s="20" t="s">
        <v>1783</v>
      </c>
      <c r="E809" s="21"/>
      <c r="F809" s="21"/>
      <c r="G809" s="21"/>
      <c r="H809" s="21"/>
      <c r="I809" s="21"/>
      <c r="J809" s="21">
        <v>7</v>
      </c>
      <c r="K809" s="21"/>
      <c r="L809" s="21"/>
      <c r="M809" s="21"/>
      <c r="N809" s="21"/>
      <c r="O809" s="21"/>
      <c r="P809" s="21"/>
      <c r="Q809" s="22">
        <f t="shared" si="12"/>
        <v>7</v>
      </c>
    </row>
    <row r="810" spans="1:17" ht="15.75" customHeight="1">
      <c r="A810" s="23">
        <v>808</v>
      </c>
      <c r="B810" s="24" t="s">
        <v>1785</v>
      </c>
      <c r="C810" s="24" t="s">
        <v>253</v>
      </c>
      <c r="D810" s="24" t="s">
        <v>1786</v>
      </c>
      <c r="E810" s="25">
        <v>125</v>
      </c>
      <c r="F810" s="25">
        <v>70</v>
      </c>
      <c r="G810" s="25">
        <v>207</v>
      </c>
      <c r="H810" s="25">
        <v>95</v>
      </c>
      <c r="I810" s="25">
        <v>135</v>
      </c>
      <c r="J810" s="25">
        <v>45</v>
      </c>
      <c r="K810" s="25">
        <v>100</v>
      </c>
      <c r="L810" s="25">
        <v>126</v>
      </c>
      <c r="M810" s="25">
        <v>135</v>
      </c>
      <c r="N810" s="25">
        <v>136</v>
      </c>
      <c r="O810" s="25">
        <v>59</v>
      </c>
      <c r="P810" s="25">
        <v>165</v>
      </c>
      <c r="Q810" s="22">
        <f t="shared" si="12"/>
        <v>1398</v>
      </c>
    </row>
    <row r="811" spans="1:17" ht="15.75" customHeight="1">
      <c r="A811" s="19">
        <v>809</v>
      </c>
      <c r="B811" s="20" t="s">
        <v>1787</v>
      </c>
      <c r="C811" s="20" t="s">
        <v>253</v>
      </c>
      <c r="D811" s="20" t="s">
        <v>1788</v>
      </c>
      <c r="E811" s="21">
        <v>47</v>
      </c>
      <c r="F811" s="21"/>
      <c r="G811" s="21">
        <v>39</v>
      </c>
      <c r="H811" s="21">
        <v>116</v>
      </c>
      <c r="I811" s="21">
        <v>92</v>
      </c>
      <c r="J811" s="21">
        <v>8</v>
      </c>
      <c r="K811" s="21">
        <v>86</v>
      </c>
      <c r="L811" s="21">
        <v>55</v>
      </c>
      <c r="M811" s="21">
        <v>30</v>
      </c>
      <c r="N811" s="21">
        <v>35</v>
      </c>
      <c r="O811" s="21">
        <v>40</v>
      </c>
      <c r="P811" s="21">
        <v>25</v>
      </c>
      <c r="Q811" s="22">
        <f t="shared" si="12"/>
        <v>573</v>
      </c>
    </row>
    <row r="812" spans="1:17" ht="15.75" customHeight="1">
      <c r="A812" s="23">
        <v>810</v>
      </c>
      <c r="B812" s="24" t="s">
        <v>1789</v>
      </c>
      <c r="C812" s="24" t="s">
        <v>253</v>
      </c>
      <c r="D812" s="24" t="s">
        <v>1790</v>
      </c>
      <c r="E812" s="25"/>
      <c r="F812" s="25">
        <v>20</v>
      </c>
      <c r="G812" s="25"/>
      <c r="H812" s="25">
        <v>80</v>
      </c>
      <c r="I812" s="25">
        <v>10</v>
      </c>
      <c r="J812" s="25">
        <v>55</v>
      </c>
      <c r="K812" s="25">
        <v>30</v>
      </c>
      <c r="L812" s="25">
        <v>60</v>
      </c>
      <c r="M812" s="25">
        <v>50</v>
      </c>
      <c r="N812" s="25">
        <v>5</v>
      </c>
      <c r="O812" s="25"/>
      <c r="P812" s="25">
        <v>10</v>
      </c>
      <c r="Q812" s="22">
        <f t="shared" si="12"/>
        <v>320</v>
      </c>
    </row>
    <row r="813" spans="1:17" ht="15.75" customHeight="1">
      <c r="A813" s="19">
        <v>811</v>
      </c>
      <c r="B813" s="20" t="s">
        <v>1791</v>
      </c>
      <c r="C813" s="20" t="s">
        <v>253</v>
      </c>
      <c r="D813" s="20" t="s">
        <v>1792</v>
      </c>
      <c r="E813" s="21"/>
      <c r="F813" s="21"/>
      <c r="G813" s="21">
        <v>10</v>
      </c>
      <c r="H813" s="21"/>
      <c r="I813" s="21">
        <v>7</v>
      </c>
      <c r="J813" s="21">
        <v>50</v>
      </c>
      <c r="K813" s="21">
        <v>20</v>
      </c>
      <c r="L813" s="21"/>
      <c r="M813" s="21">
        <v>10</v>
      </c>
      <c r="N813" s="21">
        <v>10</v>
      </c>
      <c r="O813" s="21">
        <v>41</v>
      </c>
      <c r="P813" s="21">
        <v>41</v>
      </c>
      <c r="Q813" s="22">
        <f t="shared" si="12"/>
        <v>189</v>
      </c>
    </row>
    <row r="814" spans="1:17" ht="15.75" customHeight="1">
      <c r="A814" s="23">
        <v>812</v>
      </c>
      <c r="B814" s="24" t="s">
        <v>1793</v>
      </c>
      <c r="C814" s="24" t="s">
        <v>253</v>
      </c>
      <c r="D814" s="24" t="s">
        <v>1794</v>
      </c>
      <c r="E814" s="25">
        <v>169</v>
      </c>
      <c r="F814" s="25">
        <v>59</v>
      </c>
      <c r="G814" s="25">
        <v>22</v>
      </c>
      <c r="H814" s="25">
        <v>140</v>
      </c>
      <c r="I814" s="25">
        <v>135</v>
      </c>
      <c r="J814" s="25">
        <v>70</v>
      </c>
      <c r="K814" s="25">
        <v>40</v>
      </c>
      <c r="L814" s="25">
        <v>180</v>
      </c>
      <c r="M814" s="25">
        <v>75</v>
      </c>
      <c r="N814" s="25">
        <v>50</v>
      </c>
      <c r="O814" s="25">
        <v>260</v>
      </c>
      <c r="P814" s="25">
        <v>80</v>
      </c>
      <c r="Q814" s="22">
        <f t="shared" si="12"/>
        <v>1280</v>
      </c>
    </row>
    <row r="815" spans="1:17" ht="15.75" customHeight="1">
      <c r="A815" s="19">
        <v>813</v>
      </c>
      <c r="B815" s="20" t="s">
        <v>1795</v>
      </c>
      <c r="C815" s="20" t="s">
        <v>253</v>
      </c>
      <c r="D815" s="20" t="s">
        <v>1796</v>
      </c>
      <c r="E815" s="21"/>
      <c r="F815" s="21"/>
      <c r="G815" s="21"/>
      <c r="H815" s="21"/>
      <c r="I815" s="21"/>
      <c r="J815" s="21"/>
      <c r="K815" s="21">
        <v>5</v>
      </c>
      <c r="L815" s="21"/>
      <c r="M815" s="21">
        <v>10</v>
      </c>
      <c r="N815" s="21">
        <v>2</v>
      </c>
      <c r="O815" s="21">
        <v>2</v>
      </c>
      <c r="P815" s="21">
        <v>5</v>
      </c>
      <c r="Q815" s="22">
        <f t="shared" si="12"/>
        <v>24</v>
      </c>
    </row>
    <row r="816" spans="1:17" ht="15.75" customHeight="1">
      <c r="A816" s="23">
        <v>814</v>
      </c>
      <c r="B816" s="24" t="s">
        <v>1797</v>
      </c>
      <c r="C816" s="24" t="s">
        <v>253</v>
      </c>
      <c r="D816" s="24" t="s">
        <v>1798</v>
      </c>
      <c r="E816" s="25"/>
      <c r="F816" s="25"/>
      <c r="G816" s="25"/>
      <c r="H816" s="25"/>
      <c r="I816" s="25"/>
      <c r="J816" s="25"/>
      <c r="K816" s="25"/>
      <c r="L816" s="25"/>
      <c r="M816" s="25"/>
      <c r="N816" s="25">
        <v>55</v>
      </c>
      <c r="O816" s="25"/>
      <c r="P816" s="25"/>
      <c r="Q816" s="22">
        <f t="shared" si="12"/>
        <v>55</v>
      </c>
    </row>
    <row r="817" spans="1:17" ht="15.75" customHeight="1">
      <c r="A817" s="19">
        <v>815</v>
      </c>
      <c r="B817" s="20" t="s">
        <v>1799</v>
      </c>
      <c r="C817" s="20" t="s">
        <v>253</v>
      </c>
      <c r="D817" s="20" t="s">
        <v>1800</v>
      </c>
      <c r="E817" s="21">
        <v>30</v>
      </c>
      <c r="F817" s="21">
        <v>20</v>
      </c>
      <c r="G817" s="21">
        <v>80</v>
      </c>
      <c r="H817" s="21">
        <v>20</v>
      </c>
      <c r="I817" s="21">
        <v>20</v>
      </c>
      <c r="J817" s="21">
        <v>20</v>
      </c>
      <c r="K817" s="21">
        <v>30</v>
      </c>
      <c r="L817" s="21">
        <v>60</v>
      </c>
      <c r="M817" s="21">
        <v>10</v>
      </c>
      <c r="N817" s="21"/>
      <c r="O817" s="21">
        <v>40</v>
      </c>
      <c r="P817" s="21">
        <v>55</v>
      </c>
      <c r="Q817" s="22">
        <f t="shared" si="12"/>
        <v>385</v>
      </c>
    </row>
    <row r="818" spans="1:17" ht="15.75" customHeight="1">
      <c r="A818" s="23">
        <v>816</v>
      </c>
      <c r="B818" s="24" t="s">
        <v>2862</v>
      </c>
      <c r="C818" s="24" t="s">
        <v>1649</v>
      </c>
      <c r="D818" s="24" t="s">
        <v>2863</v>
      </c>
      <c r="E818" s="25"/>
      <c r="F818" s="25"/>
      <c r="G818" s="25"/>
      <c r="H818" s="25"/>
      <c r="I818" s="25"/>
      <c r="J818" s="25"/>
      <c r="K818" s="25"/>
      <c r="L818" s="25"/>
      <c r="M818" s="25"/>
      <c r="N818" s="25">
        <v>10</v>
      </c>
      <c r="O818" s="25"/>
      <c r="P818" s="25"/>
      <c r="Q818" s="22">
        <f t="shared" si="12"/>
        <v>10</v>
      </c>
    </row>
    <row r="819" spans="1:17" ht="15.75" customHeight="1">
      <c r="A819" s="19">
        <v>817</v>
      </c>
      <c r="B819" s="20" t="s">
        <v>1802</v>
      </c>
      <c r="C819" s="20" t="s">
        <v>253</v>
      </c>
      <c r="D819" s="20" t="s">
        <v>1803</v>
      </c>
      <c r="E819" s="21"/>
      <c r="F819" s="21"/>
      <c r="G819" s="21"/>
      <c r="H819" s="21"/>
      <c r="I819" s="21"/>
      <c r="J819" s="21"/>
      <c r="K819" s="21">
        <v>50</v>
      </c>
      <c r="L819" s="21"/>
      <c r="M819" s="21"/>
      <c r="N819" s="21"/>
      <c r="O819" s="21"/>
      <c r="P819" s="21">
        <v>10</v>
      </c>
      <c r="Q819" s="22">
        <f t="shared" si="12"/>
        <v>60</v>
      </c>
    </row>
    <row r="820" spans="1:17" ht="15.75" customHeight="1">
      <c r="A820" s="23">
        <v>818</v>
      </c>
      <c r="B820" s="24" t="s">
        <v>1804</v>
      </c>
      <c r="C820" s="24" t="s">
        <v>253</v>
      </c>
      <c r="D820" s="24" t="s">
        <v>1805</v>
      </c>
      <c r="E820" s="25">
        <v>60</v>
      </c>
      <c r="F820" s="25">
        <v>5</v>
      </c>
      <c r="G820" s="25">
        <v>50</v>
      </c>
      <c r="H820" s="25">
        <v>60</v>
      </c>
      <c r="I820" s="25">
        <v>5</v>
      </c>
      <c r="J820" s="25">
        <v>30</v>
      </c>
      <c r="K820" s="25">
        <v>50</v>
      </c>
      <c r="L820" s="25"/>
      <c r="M820" s="25"/>
      <c r="N820" s="25">
        <v>50</v>
      </c>
      <c r="O820" s="25">
        <v>40</v>
      </c>
      <c r="P820" s="25">
        <v>20</v>
      </c>
      <c r="Q820" s="22">
        <f t="shared" si="12"/>
        <v>370</v>
      </c>
    </row>
    <row r="821" spans="1:17" ht="15.75" customHeight="1">
      <c r="A821" s="19">
        <v>819</v>
      </c>
      <c r="B821" s="20" t="s">
        <v>1806</v>
      </c>
      <c r="C821" s="20" t="s">
        <v>253</v>
      </c>
      <c r="D821" s="20" t="s">
        <v>1807</v>
      </c>
      <c r="E821" s="21"/>
      <c r="F821" s="21"/>
      <c r="G821" s="21">
        <v>1</v>
      </c>
      <c r="H821" s="21">
        <v>30</v>
      </c>
      <c r="I821" s="21"/>
      <c r="J821" s="21"/>
      <c r="K821" s="21"/>
      <c r="L821" s="21"/>
      <c r="M821" s="21">
        <v>20</v>
      </c>
      <c r="N821" s="21"/>
      <c r="O821" s="21"/>
      <c r="P821" s="21"/>
      <c r="Q821" s="22">
        <f t="shared" si="12"/>
        <v>51</v>
      </c>
    </row>
    <row r="822" spans="1:17" ht="15.75" customHeight="1">
      <c r="A822" s="23">
        <v>820</v>
      </c>
      <c r="B822" s="24" t="s">
        <v>1808</v>
      </c>
      <c r="C822" s="24" t="s">
        <v>263</v>
      </c>
      <c r="D822" s="24" t="s">
        <v>1809</v>
      </c>
      <c r="E822" s="25">
        <v>20</v>
      </c>
      <c r="F822" s="25"/>
      <c r="G822" s="25"/>
      <c r="H822" s="25"/>
      <c r="I822" s="25"/>
      <c r="J822" s="25">
        <v>5</v>
      </c>
      <c r="K822" s="25"/>
      <c r="L822" s="25"/>
      <c r="M822" s="25">
        <v>10</v>
      </c>
      <c r="N822" s="25"/>
      <c r="O822" s="25"/>
      <c r="P822" s="25"/>
      <c r="Q822" s="22">
        <f t="shared" si="12"/>
        <v>35</v>
      </c>
    </row>
    <row r="823" spans="1:17" ht="15.75" customHeight="1">
      <c r="A823" s="19">
        <v>821</v>
      </c>
      <c r="B823" s="20" t="s">
        <v>1811</v>
      </c>
      <c r="C823" s="20" t="s">
        <v>263</v>
      </c>
      <c r="D823" s="20" t="s">
        <v>1812</v>
      </c>
      <c r="E823" s="21">
        <v>30</v>
      </c>
      <c r="F823" s="21">
        <v>10</v>
      </c>
      <c r="G823" s="21"/>
      <c r="H823" s="21"/>
      <c r="I823" s="21"/>
      <c r="J823" s="21"/>
      <c r="K823" s="21"/>
      <c r="L823" s="21"/>
      <c r="M823" s="21">
        <v>10</v>
      </c>
      <c r="N823" s="21"/>
      <c r="O823" s="21"/>
      <c r="P823" s="21">
        <v>20</v>
      </c>
      <c r="Q823" s="22">
        <f t="shared" si="12"/>
        <v>70</v>
      </c>
    </row>
    <row r="824" spans="1:17" ht="15.75" customHeight="1">
      <c r="A824" s="23">
        <v>822</v>
      </c>
      <c r="B824" s="24" t="s">
        <v>1813</v>
      </c>
      <c r="C824" s="24" t="s">
        <v>263</v>
      </c>
      <c r="D824" s="24" t="s">
        <v>1814</v>
      </c>
      <c r="E824" s="25"/>
      <c r="F824" s="25"/>
      <c r="G824" s="25"/>
      <c r="H824" s="25"/>
      <c r="I824" s="25">
        <v>7</v>
      </c>
      <c r="J824" s="25">
        <v>7</v>
      </c>
      <c r="K824" s="25"/>
      <c r="L824" s="25"/>
      <c r="M824" s="25"/>
      <c r="N824" s="25"/>
      <c r="O824" s="25"/>
      <c r="P824" s="25"/>
      <c r="Q824" s="22">
        <f t="shared" si="12"/>
        <v>14</v>
      </c>
    </row>
    <row r="825" spans="1:17" ht="15.75" customHeight="1">
      <c r="A825" s="19">
        <v>823</v>
      </c>
      <c r="B825" s="20" t="s">
        <v>1817</v>
      </c>
      <c r="C825" s="20" t="s">
        <v>263</v>
      </c>
      <c r="D825" s="20" t="s">
        <v>1818</v>
      </c>
      <c r="E825" s="21">
        <v>100</v>
      </c>
      <c r="F825" s="21"/>
      <c r="G825" s="21"/>
      <c r="H825" s="21">
        <v>50</v>
      </c>
      <c r="I825" s="21"/>
      <c r="J825" s="21"/>
      <c r="K825" s="21">
        <v>30</v>
      </c>
      <c r="L825" s="21">
        <v>30</v>
      </c>
      <c r="M825" s="21">
        <v>50</v>
      </c>
      <c r="N825" s="21">
        <v>100</v>
      </c>
      <c r="O825" s="21"/>
      <c r="P825" s="21">
        <v>30</v>
      </c>
      <c r="Q825" s="22">
        <f t="shared" si="12"/>
        <v>390</v>
      </c>
    </row>
    <row r="826" spans="1:17" ht="15.75" customHeight="1">
      <c r="A826" s="23">
        <v>824</v>
      </c>
      <c r="B826" s="24" t="s">
        <v>1821</v>
      </c>
      <c r="C826" s="24" t="s">
        <v>263</v>
      </c>
      <c r="D826" s="24" t="s">
        <v>1822</v>
      </c>
      <c r="E826" s="25"/>
      <c r="F826" s="25"/>
      <c r="G826" s="25"/>
      <c r="H826" s="25"/>
      <c r="I826" s="25"/>
      <c r="J826" s="25"/>
      <c r="K826" s="25"/>
      <c r="L826" s="25"/>
      <c r="M826" s="25">
        <v>10</v>
      </c>
      <c r="N826" s="25"/>
      <c r="O826" s="25"/>
      <c r="P826" s="25"/>
      <c r="Q826" s="22">
        <f t="shared" si="12"/>
        <v>10</v>
      </c>
    </row>
    <row r="827" spans="1:17" ht="15.75" customHeight="1">
      <c r="A827" s="19">
        <v>825</v>
      </c>
      <c r="B827" s="20" t="s">
        <v>1823</v>
      </c>
      <c r="C827" s="20" t="s">
        <v>271</v>
      </c>
      <c r="D827" s="20" t="s">
        <v>1824</v>
      </c>
      <c r="E827" s="21">
        <v>5</v>
      </c>
      <c r="F827" s="21">
        <v>10</v>
      </c>
      <c r="G827" s="21">
        <v>50</v>
      </c>
      <c r="H827" s="21">
        <v>5</v>
      </c>
      <c r="I827" s="21">
        <v>40</v>
      </c>
      <c r="J827" s="21">
        <v>20</v>
      </c>
      <c r="K827" s="21">
        <v>30</v>
      </c>
      <c r="L827" s="21">
        <v>6</v>
      </c>
      <c r="M827" s="21"/>
      <c r="N827" s="21">
        <v>15</v>
      </c>
      <c r="O827" s="21">
        <v>10</v>
      </c>
      <c r="P827" s="21">
        <v>40</v>
      </c>
      <c r="Q827" s="22">
        <f t="shared" si="12"/>
        <v>231</v>
      </c>
    </row>
    <row r="828" spans="1:17" ht="15.75" customHeight="1">
      <c r="A828" s="23">
        <v>826</v>
      </c>
      <c r="B828" s="24" t="s">
        <v>1826</v>
      </c>
      <c r="C828" s="24" t="s">
        <v>271</v>
      </c>
      <c r="D828" s="24" t="s">
        <v>1827</v>
      </c>
      <c r="E828" s="25">
        <v>187</v>
      </c>
      <c r="F828" s="25">
        <v>34</v>
      </c>
      <c r="G828" s="25">
        <v>105</v>
      </c>
      <c r="H828" s="25">
        <v>10</v>
      </c>
      <c r="I828" s="25">
        <v>70</v>
      </c>
      <c r="J828" s="25">
        <v>110</v>
      </c>
      <c r="K828" s="25">
        <v>24</v>
      </c>
      <c r="L828" s="25">
        <v>32</v>
      </c>
      <c r="M828" s="25"/>
      <c r="N828" s="25">
        <v>82</v>
      </c>
      <c r="O828" s="25">
        <v>49</v>
      </c>
      <c r="P828" s="25">
        <v>20</v>
      </c>
      <c r="Q828" s="22">
        <f t="shared" si="12"/>
        <v>723</v>
      </c>
    </row>
    <row r="829" spans="1:17" ht="15.75" customHeight="1">
      <c r="A829" s="19">
        <v>827</v>
      </c>
      <c r="B829" s="20" t="s">
        <v>1829</v>
      </c>
      <c r="C829" s="20" t="s">
        <v>271</v>
      </c>
      <c r="D829" s="20" t="s">
        <v>1830</v>
      </c>
      <c r="E829" s="21">
        <v>70</v>
      </c>
      <c r="F829" s="21">
        <v>5</v>
      </c>
      <c r="G829" s="21">
        <v>20</v>
      </c>
      <c r="H829" s="21">
        <v>20</v>
      </c>
      <c r="I829" s="21">
        <v>94</v>
      </c>
      <c r="J829" s="21"/>
      <c r="K829" s="21">
        <v>10</v>
      </c>
      <c r="L829" s="21">
        <v>36</v>
      </c>
      <c r="M829" s="21">
        <v>20</v>
      </c>
      <c r="N829" s="21">
        <v>35</v>
      </c>
      <c r="O829" s="21">
        <v>5</v>
      </c>
      <c r="P829" s="21">
        <v>6</v>
      </c>
      <c r="Q829" s="22">
        <f t="shared" si="12"/>
        <v>321</v>
      </c>
    </row>
    <row r="830" spans="1:17" ht="15.75" customHeight="1">
      <c r="A830" s="23">
        <v>828</v>
      </c>
      <c r="B830" s="24" t="s">
        <v>1831</v>
      </c>
      <c r="C830" s="24" t="s">
        <v>271</v>
      </c>
      <c r="D830" s="24" t="s">
        <v>1832</v>
      </c>
      <c r="E830" s="25">
        <v>3</v>
      </c>
      <c r="F830" s="25">
        <v>53</v>
      </c>
      <c r="G830" s="25"/>
      <c r="H830" s="25">
        <v>20</v>
      </c>
      <c r="I830" s="25"/>
      <c r="J830" s="25"/>
      <c r="K830" s="25">
        <v>10</v>
      </c>
      <c r="L830" s="25">
        <v>28</v>
      </c>
      <c r="M830" s="25"/>
      <c r="N830" s="25">
        <v>10</v>
      </c>
      <c r="O830" s="25"/>
      <c r="P830" s="25"/>
      <c r="Q830" s="22">
        <f t="shared" si="12"/>
        <v>124</v>
      </c>
    </row>
    <row r="831" spans="1:17" ht="15.75" customHeight="1">
      <c r="A831" s="19">
        <v>829</v>
      </c>
      <c r="B831" s="20" t="s">
        <v>1833</v>
      </c>
      <c r="C831" s="20" t="s">
        <v>271</v>
      </c>
      <c r="D831" s="20" t="s">
        <v>1834</v>
      </c>
      <c r="E831" s="21">
        <v>10</v>
      </c>
      <c r="F831" s="21">
        <v>5</v>
      </c>
      <c r="G831" s="21"/>
      <c r="H831" s="21">
        <v>10</v>
      </c>
      <c r="I831" s="21">
        <v>10</v>
      </c>
      <c r="J831" s="21">
        <v>20</v>
      </c>
      <c r="K831" s="21"/>
      <c r="L831" s="21"/>
      <c r="M831" s="21"/>
      <c r="N831" s="21"/>
      <c r="O831" s="21"/>
      <c r="P831" s="21">
        <v>6</v>
      </c>
      <c r="Q831" s="22">
        <f t="shared" si="12"/>
        <v>61</v>
      </c>
    </row>
    <row r="832" spans="1:17" ht="15.75" customHeight="1">
      <c r="A832" s="23">
        <v>830</v>
      </c>
      <c r="B832" s="24" t="s">
        <v>1840</v>
      </c>
      <c r="C832" s="24" t="s">
        <v>271</v>
      </c>
      <c r="D832" s="24" t="s">
        <v>1841</v>
      </c>
      <c r="E832" s="25">
        <v>5</v>
      </c>
      <c r="F832" s="25"/>
      <c r="G832" s="25"/>
      <c r="H832" s="25"/>
      <c r="I832" s="25"/>
      <c r="J832" s="25"/>
      <c r="K832" s="25">
        <v>10</v>
      </c>
      <c r="L832" s="25"/>
      <c r="M832" s="25"/>
      <c r="N832" s="25"/>
      <c r="O832" s="25"/>
      <c r="P832" s="25">
        <v>20</v>
      </c>
      <c r="Q832" s="22">
        <f t="shared" si="12"/>
        <v>35</v>
      </c>
    </row>
    <row r="833" spans="1:17" ht="15.75" customHeight="1">
      <c r="A833" s="19">
        <v>831</v>
      </c>
      <c r="B833" s="20" t="s">
        <v>1845</v>
      </c>
      <c r="C833" s="20" t="s">
        <v>278</v>
      </c>
      <c r="D833" s="20" t="s">
        <v>1846</v>
      </c>
      <c r="E833" s="21"/>
      <c r="F833" s="21">
        <v>15</v>
      </c>
      <c r="G833" s="21"/>
      <c r="H833" s="21"/>
      <c r="I833" s="21">
        <v>5</v>
      </c>
      <c r="J833" s="21">
        <v>10</v>
      </c>
      <c r="K833" s="21"/>
      <c r="L833" s="21">
        <v>25</v>
      </c>
      <c r="M833" s="21"/>
      <c r="N833" s="21"/>
      <c r="O833" s="21"/>
      <c r="P833" s="21"/>
      <c r="Q833" s="22">
        <f t="shared" si="12"/>
        <v>55</v>
      </c>
    </row>
    <row r="834" spans="1:17" ht="15.75" customHeight="1">
      <c r="A834" s="23">
        <v>832</v>
      </c>
      <c r="B834" s="24" t="s">
        <v>1848</v>
      </c>
      <c r="C834" s="24" t="s">
        <v>278</v>
      </c>
      <c r="D834" s="24" t="s">
        <v>1849</v>
      </c>
      <c r="E834" s="25">
        <v>20</v>
      </c>
      <c r="F834" s="25">
        <v>15</v>
      </c>
      <c r="G834" s="25">
        <v>10</v>
      </c>
      <c r="H834" s="25"/>
      <c r="I834" s="25">
        <v>70</v>
      </c>
      <c r="J834" s="25">
        <v>10</v>
      </c>
      <c r="K834" s="25"/>
      <c r="L834" s="25">
        <v>25</v>
      </c>
      <c r="M834" s="25">
        <v>20</v>
      </c>
      <c r="N834" s="25">
        <v>10</v>
      </c>
      <c r="O834" s="25"/>
      <c r="P834" s="25"/>
      <c r="Q834" s="22">
        <f t="shared" si="12"/>
        <v>180</v>
      </c>
    </row>
    <row r="835" spans="1:17" ht="15.75" customHeight="1">
      <c r="A835" s="19">
        <v>833</v>
      </c>
      <c r="B835" s="20" t="s">
        <v>1850</v>
      </c>
      <c r="C835" s="20" t="s">
        <v>278</v>
      </c>
      <c r="D835" s="20" t="s">
        <v>1851</v>
      </c>
      <c r="E835" s="21"/>
      <c r="F835" s="21">
        <v>5</v>
      </c>
      <c r="G835" s="21"/>
      <c r="H835" s="21"/>
      <c r="I835" s="21">
        <v>5</v>
      </c>
      <c r="J835" s="21"/>
      <c r="K835" s="21"/>
      <c r="L835" s="21">
        <v>15</v>
      </c>
      <c r="M835" s="21">
        <v>15</v>
      </c>
      <c r="N835" s="21"/>
      <c r="O835" s="21"/>
      <c r="P835" s="21">
        <v>30</v>
      </c>
      <c r="Q835" s="22">
        <f t="shared" ref="Q835:Q898" si="13">SUM(E835:P835)</f>
        <v>70</v>
      </c>
    </row>
    <row r="836" spans="1:17" ht="15.75" customHeight="1">
      <c r="A836" s="23">
        <v>834</v>
      </c>
      <c r="B836" s="24" t="s">
        <v>1852</v>
      </c>
      <c r="C836" s="24" t="s">
        <v>278</v>
      </c>
      <c r="D836" s="24" t="s">
        <v>1853</v>
      </c>
      <c r="E836" s="25"/>
      <c r="F836" s="25">
        <v>10</v>
      </c>
      <c r="G836" s="25"/>
      <c r="H836" s="25"/>
      <c r="I836" s="25">
        <v>60</v>
      </c>
      <c r="J836" s="25"/>
      <c r="K836" s="25"/>
      <c r="L836" s="25">
        <v>8</v>
      </c>
      <c r="M836" s="25"/>
      <c r="N836" s="25"/>
      <c r="O836" s="25"/>
      <c r="P836" s="25"/>
      <c r="Q836" s="22">
        <f t="shared" si="13"/>
        <v>78</v>
      </c>
    </row>
    <row r="837" spans="1:17" ht="15.75" customHeight="1">
      <c r="A837" s="19">
        <v>835</v>
      </c>
      <c r="B837" s="20" t="s">
        <v>1854</v>
      </c>
      <c r="C837" s="20" t="s">
        <v>283</v>
      </c>
      <c r="D837" s="20" t="s">
        <v>1855</v>
      </c>
      <c r="E837" s="21">
        <v>23</v>
      </c>
      <c r="F837" s="21">
        <v>65</v>
      </c>
      <c r="G837" s="21">
        <v>21</v>
      </c>
      <c r="H837" s="21">
        <v>1</v>
      </c>
      <c r="I837" s="21">
        <v>55</v>
      </c>
      <c r="J837" s="21"/>
      <c r="K837" s="21">
        <v>30</v>
      </c>
      <c r="L837" s="21">
        <v>1</v>
      </c>
      <c r="M837" s="21"/>
      <c r="N837" s="21">
        <v>6</v>
      </c>
      <c r="O837" s="21"/>
      <c r="P837" s="21">
        <v>5</v>
      </c>
      <c r="Q837" s="22">
        <f t="shared" si="13"/>
        <v>207</v>
      </c>
    </row>
    <row r="838" spans="1:17" ht="15.75" customHeight="1">
      <c r="A838" s="23">
        <v>836</v>
      </c>
      <c r="B838" s="24" t="s">
        <v>1857</v>
      </c>
      <c r="C838" s="24" t="s">
        <v>283</v>
      </c>
      <c r="D838" s="24" t="s">
        <v>1858</v>
      </c>
      <c r="E838" s="25">
        <v>25</v>
      </c>
      <c r="F838" s="25">
        <v>20</v>
      </c>
      <c r="G838" s="25">
        <v>10</v>
      </c>
      <c r="H838" s="25"/>
      <c r="I838" s="25">
        <v>2</v>
      </c>
      <c r="J838" s="25"/>
      <c r="K838" s="25">
        <v>5</v>
      </c>
      <c r="L838" s="25">
        <v>1</v>
      </c>
      <c r="M838" s="25"/>
      <c r="N838" s="25">
        <v>1</v>
      </c>
      <c r="O838" s="25"/>
      <c r="P838" s="25"/>
      <c r="Q838" s="22">
        <f t="shared" si="13"/>
        <v>64</v>
      </c>
    </row>
    <row r="839" spans="1:17" ht="15.75" customHeight="1">
      <c r="A839" s="19">
        <v>837</v>
      </c>
      <c r="B839" s="20" t="s">
        <v>1859</v>
      </c>
      <c r="C839" s="20" t="s">
        <v>283</v>
      </c>
      <c r="D839" s="20" t="s">
        <v>1860</v>
      </c>
      <c r="E839" s="21"/>
      <c r="F839" s="21"/>
      <c r="G839" s="21"/>
      <c r="H839" s="21"/>
      <c r="I839" s="21"/>
      <c r="J839" s="21"/>
      <c r="K839" s="21"/>
      <c r="L839" s="21"/>
      <c r="M839" s="21"/>
      <c r="N839" s="21">
        <v>25</v>
      </c>
      <c r="O839" s="21">
        <v>10</v>
      </c>
      <c r="P839" s="21">
        <v>2</v>
      </c>
      <c r="Q839" s="22">
        <f t="shared" si="13"/>
        <v>37</v>
      </c>
    </row>
    <row r="840" spans="1:17" ht="15.75" customHeight="1">
      <c r="A840" s="23">
        <v>838</v>
      </c>
      <c r="B840" s="24" t="s">
        <v>1861</v>
      </c>
      <c r="C840" s="24" t="s">
        <v>283</v>
      </c>
      <c r="D840" s="24" t="s">
        <v>1862</v>
      </c>
      <c r="E840" s="25"/>
      <c r="F840" s="25">
        <v>20</v>
      </c>
      <c r="G840" s="25">
        <v>10</v>
      </c>
      <c r="H840" s="25"/>
      <c r="I840" s="25">
        <v>8</v>
      </c>
      <c r="J840" s="25"/>
      <c r="K840" s="25"/>
      <c r="L840" s="25"/>
      <c r="M840" s="25">
        <v>20</v>
      </c>
      <c r="N840" s="25"/>
      <c r="O840" s="25"/>
      <c r="P840" s="25"/>
      <c r="Q840" s="22">
        <f t="shared" si="13"/>
        <v>58</v>
      </c>
    </row>
    <row r="841" spans="1:17" ht="15.75" customHeight="1">
      <c r="A841" s="19">
        <v>839</v>
      </c>
      <c r="B841" s="20" t="s">
        <v>1863</v>
      </c>
      <c r="C841" s="20" t="s">
        <v>283</v>
      </c>
      <c r="D841" s="20" t="s">
        <v>1864</v>
      </c>
      <c r="E841" s="21"/>
      <c r="F841" s="21">
        <v>70</v>
      </c>
      <c r="G841" s="21">
        <v>140</v>
      </c>
      <c r="H841" s="21"/>
      <c r="I841" s="21">
        <v>160</v>
      </c>
      <c r="J841" s="21">
        <v>110</v>
      </c>
      <c r="K841" s="21">
        <v>70</v>
      </c>
      <c r="L841" s="21"/>
      <c r="M841" s="21"/>
      <c r="N841" s="21">
        <v>30</v>
      </c>
      <c r="O841" s="21">
        <v>210</v>
      </c>
      <c r="P841" s="21">
        <v>100</v>
      </c>
      <c r="Q841" s="22">
        <f t="shared" si="13"/>
        <v>890</v>
      </c>
    </row>
    <row r="842" spans="1:17" ht="15.75" customHeight="1">
      <c r="A842" s="23">
        <v>840</v>
      </c>
      <c r="B842" s="24" t="s">
        <v>1865</v>
      </c>
      <c r="C842" s="24" t="s">
        <v>283</v>
      </c>
      <c r="D842" s="24" t="s">
        <v>1866</v>
      </c>
      <c r="E842" s="25">
        <v>212</v>
      </c>
      <c r="F842" s="25">
        <v>50</v>
      </c>
      <c r="G842" s="25">
        <v>90</v>
      </c>
      <c r="H842" s="25">
        <v>40</v>
      </c>
      <c r="I842" s="25">
        <v>705</v>
      </c>
      <c r="J842" s="25">
        <v>30</v>
      </c>
      <c r="K842" s="25">
        <v>270</v>
      </c>
      <c r="L842" s="25">
        <v>110</v>
      </c>
      <c r="M842" s="25">
        <v>50</v>
      </c>
      <c r="N842" s="25">
        <v>310</v>
      </c>
      <c r="O842" s="25">
        <v>164</v>
      </c>
      <c r="P842" s="25">
        <v>420</v>
      </c>
      <c r="Q842" s="22">
        <f t="shared" si="13"/>
        <v>2451</v>
      </c>
    </row>
    <row r="843" spans="1:17" ht="15.75" customHeight="1">
      <c r="A843" s="19">
        <v>841</v>
      </c>
      <c r="B843" s="20" t="s">
        <v>1867</v>
      </c>
      <c r="C843" s="20" t="s">
        <v>283</v>
      </c>
      <c r="D843" s="20" t="s">
        <v>1868</v>
      </c>
      <c r="E843" s="21"/>
      <c r="F843" s="21"/>
      <c r="G843" s="21"/>
      <c r="H843" s="21"/>
      <c r="I843" s="21"/>
      <c r="J843" s="21"/>
      <c r="K843" s="21">
        <v>10</v>
      </c>
      <c r="L843" s="21"/>
      <c r="M843" s="21"/>
      <c r="N843" s="21">
        <v>30</v>
      </c>
      <c r="O843" s="21"/>
      <c r="P843" s="21"/>
      <c r="Q843" s="22">
        <f t="shared" si="13"/>
        <v>40</v>
      </c>
    </row>
    <row r="844" spans="1:17" ht="15.75" customHeight="1">
      <c r="A844" s="23">
        <v>842</v>
      </c>
      <c r="B844" s="24" t="s">
        <v>1869</v>
      </c>
      <c r="C844" s="24" t="s">
        <v>283</v>
      </c>
      <c r="D844" s="24" t="s">
        <v>1870</v>
      </c>
      <c r="E844" s="25"/>
      <c r="F844" s="25">
        <v>40</v>
      </c>
      <c r="G844" s="25">
        <v>20</v>
      </c>
      <c r="H844" s="25"/>
      <c r="I844" s="25">
        <v>15</v>
      </c>
      <c r="J844" s="25"/>
      <c r="K844" s="25">
        <v>10</v>
      </c>
      <c r="L844" s="25"/>
      <c r="M844" s="25"/>
      <c r="N844" s="25">
        <v>25</v>
      </c>
      <c r="O844" s="25">
        <v>60</v>
      </c>
      <c r="P844" s="25"/>
      <c r="Q844" s="22">
        <f t="shared" si="13"/>
        <v>170</v>
      </c>
    </row>
    <row r="845" spans="1:17" ht="15.75" customHeight="1">
      <c r="A845" s="19">
        <v>843</v>
      </c>
      <c r="B845" s="20" t="s">
        <v>1871</v>
      </c>
      <c r="C845" s="20" t="s">
        <v>283</v>
      </c>
      <c r="D845" s="20" t="s">
        <v>1872</v>
      </c>
      <c r="E845" s="21"/>
      <c r="F845" s="21"/>
      <c r="G845" s="21"/>
      <c r="H845" s="21"/>
      <c r="I845" s="21"/>
      <c r="J845" s="21"/>
      <c r="K845" s="21">
        <v>10</v>
      </c>
      <c r="L845" s="21"/>
      <c r="M845" s="21"/>
      <c r="N845" s="21"/>
      <c r="O845" s="21"/>
      <c r="P845" s="21"/>
      <c r="Q845" s="22">
        <f t="shared" si="13"/>
        <v>10</v>
      </c>
    </row>
    <row r="846" spans="1:17" ht="15.75" customHeight="1">
      <c r="A846" s="23">
        <v>844</v>
      </c>
      <c r="B846" s="24" t="s">
        <v>1873</v>
      </c>
      <c r="C846" s="24" t="s">
        <v>294</v>
      </c>
      <c r="D846" s="24" t="s">
        <v>1874</v>
      </c>
      <c r="E846" s="25">
        <v>70</v>
      </c>
      <c r="F846" s="25"/>
      <c r="G846" s="25">
        <v>31</v>
      </c>
      <c r="H846" s="25">
        <v>120</v>
      </c>
      <c r="I846" s="25">
        <v>37</v>
      </c>
      <c r="J846" s="25">
        <v>240</v>
      </c>
      <c r="K846" s="25">
        <v>145</v>
      </c>
      <c r="L846" s="25">
        <v>156</v>
      </c>
      <c r="M846" s="25">
        <v>30</v>
      </c>
      <c r="N846" s="25"/>
      <c r="O846" s="25"/>
      <c r="P846" s="25">
        <v>210</v>
      </c>
      <c r="Q846" s="22">
        <f t="shared" si="13"/>
        <v>1039</v>
      </c>
    </row>
    <row r="847" spans="1:17" ht="15.75" customHeight="1">
      <c r="A847" s="19">
        <v>845</v>
      </c>
      <c r="B847" s="20" t="s">
        <v>1875</v>
      </c>
      <c r="C847" s="20" t="s">
        <v>294</v>
      </c>
      <c r="D847" s="20" t="s">
        <v>1876</v>
      </c>
      <c r="E847" s="21">
        <v>125</v>
      </c>
      <c r="F847" s="21"/>
      <c r="G847" s="21"/>
      <c r="H847" s="21"/>
      <c r="I847" s="21">
        <v>13</v>
      </c>
      <c r="J847" s="21">
        <v>120</v>
      </c>
      <c r="K847" s="21">
        <v>52</v>
      </c>
      <c r="L847" s="21">
        <v>2</v>
      </c>
      <c r="M847" s="21">
        <v>30</v>
      </c>
      <c r="N847" s="21">
        <v>25</v>
      </c>
      <c r="O847" s="21">
        <v>20</v>
      </c>
      <c r="P847" s="21">
        <v>60</v>
      </c>
      <c r="Q847" s="22">
        <f t="shared" si="13"/>
        <v>447</v>
      </c>
    </row>
    <row r="848" spans="1:17" ht="15.75" customHeight="1">
      <c r="A848" s="23">
        <v>846</v>
      </c>
      <c r="B848" s="24" t="s">
        <v>1877</v>
      </c>
      <c r="C848" s="24" t="s">
        <v>294</v>
      </c>
      <c r="D848" s="24" t="s">
        <v>1878</v>
      </c>
      <c r="E848" s="25"/>
      <c r="F848" s="25"/>
      <c r="G848" s="25">
        <v>50</v>
      </c>
      <c r="H848" s="25">
        <v>30</v>
      </c>
      <c r="I848" s="25"/>
      <c r="J848" s="25">
        <v>20</v>
      </c>
      <c r="K848" s="25">
        <v>60</v>
      </c>
      <c r="L848" s="25">
        <v>40</v>
      </c>
      <c r="M848" s="25">
        <v>50</v>
      </c>
      <c r="N848" s="25">
        <v>50</v>
      </c>
      <c r="O848" s="25">
        <v>40</v>
      </c>
      <c r="P848" s="25">
        <v>42</v>
      </c>
      <c r="Q848" s="22">
        <f t="shared" si="13"/>
        <v>382</v>
      </c>
    </row>
    <row r="849" spans="1:17" ht="15.75" customHeight="1">
      <c r="A849" s="19">
        <v>847</v>
      </c>
      <c r="B849" s="20" t="s">
        <v>1879</v>
      </c>
      <c r="C849" s="20" t="s">
        <v>294</v>
      </c>
      <c r="D849" s="20" t="s">
        <v>1880</v>
      </c>
      <c r="E849" s="21">
        <v>10</v>
      </c>
      <c r="F849" s="21"/>
      <c r="G849" s="21"/>
      <c r="H849" s="21"/>
      <c r="I849" s="21"/>
      <c r="J849" s="21"/>
      <c r="K849" s="21">
        <v>15</v>
      </c>
      <c r="L849" s="21">
        <v>4</v>
      </c>
      <c r="M849" s="21"/>
      <c r="N849" s="21">
        <v>10</v>
      </c>
      <c r="O849" s="21">
        <v>50</v>
      </c>
      <c r="P849" s="21"/>
      <c r="Q849" s="22">
        <f t="shared" si="13"/>
        <v>89</v>
      </c>
    </row>
    <row r="850" spans="1:17" ht="15.75" customHeight="1">
      <c r="A850" s="23">
        <v>848</v>
      </c>
      <c r="B850" s="24" t="s">
        <v>1881</v>
      </c>
      <c r="C850" s="24" t="s">
        <v>294</v>
      </c>
      <c r="D850" s="24" t="s">
        <v>1882</v>
      </c>
      <c r="E850" s="25"/>
      <c r="F850" s="25"/>
      <c r="G850" s="25"/>
      <c r="H850" s="25"/>
      <c r="I850" s="25"/>
      <c r="J850" s="25"/>
      <c r="K850" s="25"/>
      <c r="L850" s="25">
        <v>4</v>
      </c>
      <c r="M850" s="25"/>
      <c r="N850" s="25">
        <v>10</v>
      </c>
      <c r="O850" s="25"/>
      <c r="P850" s="25"/>
      <c r="Q850" s="22">
        <f t="shared" si="13"/>
        <v>14</v>
      </c>
    </row>
    <row r="851" spans="1:17" ht="15.75" customHeight="1">
      <c r="A851" s="19">
        <v>849</v>
      </c>
      <c r="B851" s="20" t="s">
        <v>1883</v>
      </c>
      <c r="C851" s="20" t="s">
        <v>294</v>
      </c>
      <c r="D851" s="20" t="s">
        <v>1884</v>
      </c>
      <c r="E851" s="21">
        <v>60</v>
      </c>
      <c r="F851" s="21">
        <v>20</v>
      </c>
      <c r="G851" s="21">
        <v>50</v>
      </c>
      <c r="H851" s="21">
        <v>10</v>
      </c>
      <c r="I851" s="21">
        <v>130</v>
      </c>
      <c r="J851" s="21">
        <v>110</v>
      </c>
      <c r="K851" s="21">
        <v>50</v>
      </c>
      <c r="L851" s="21">
        <v>70</v>
      </c>
      <c r="M851" s="21">
        <v>50</v>
      </c>
      <c r="N851" s="21">
        <v>100</v>
      </c>
      <c r="O851" s="21">
        <v>50</v>
      </c>
      <c r="P851" s="21"/>
      <c r="Q851" s="22">
        <f t="shared" si="13"/>
        <v>700</v>
      </c>
    </row>
    <row r="852" spans="1:17" ht="15.75" customHeight="1">
      <c r="A852" s="23">
        <v>850</v>
      </c>
      <c r="B852" s="24" t="s">
        <v>1885</v>
      </c>
      <c r="C852" s="24" t="s">
        <v>294</v>
      </c>
      <c r="D852" s="24" t="s">
        <v>1886</v>
      </c>
      <c r="E852" s="25"/>
      <c r="F852" s="25"/>
      <c r="G852" s="25"/>
      <c r="H852" s="25">
        <v>10</v>
      </c>
      <c r="I852" s="25">
        <v>10</v>
      </c>
      <c r="J852" s="25"/>
      <c r="K852" s="25"/>
      <c r="L852" s="25"/>
      <c r="M852" s="25"/>
      <c r="N852" s="25">
        <v>10</v>
      </c>
      <c r="O852" s="25"/>
      <c r="P852" s="25"/>
      <c r="Q852" s="22">
        <f t="shared" si="13"/>
        <v>30</v>
      </c>
    </row>
    <row r="853" spans="1:17" ht="15.75" customHeight="1">
      <c r="A853" s="19">
        <v>851</v>
      </c>
      <c r="B853" s="20" t="s">
        <v>1887</v>
      </c>
      <c r="C853" s="20" t="s">
        <v>294</v>
      </c>
      <c r="D853" s="20" t="s">
        <v>1888</v>
      </c>
      <c r="E853" s="21">
        <v>150</v>
      </c>
      <c r="F853" s="21">
        <v>330</v>
      </c>
      <c r="G853" s="21">
        <v>130</v>
      </c>
      <c r="H853" s="21">
        <v>50</v>
      </c>
      <c r="I853" s="21">
        <v>620</v>
      </c>
      <c r="J853" s="21">
        <v>230</v>
      </c>
      <c r="K853" s="21">
        <v>70</v>
      </c>
      <c r="L853" s="21">
        <v>600</v>
      </c>
      <c r="M853" s="21">
        <v>130</v>
      </c>
      <c r="N853" s="21">
        <v>250</v>
      </c>
      <c r="O853" s="21">
        <v>260</v>
      </c>
      <c r="P853" s="21">
        <v>600</v>
      </c>
      <c r="Q853" s="22">
        <f t="shared" si="13"/>
        <v>3420</v>
      </c>
    </row>
    <row r="854" spans="1:17" ht="15.75" customHeight="1">
      <c r="A854" s="23">
        <v>852</v>
      </c>
      <c r="B854" s="24" t="s">
        <v>1891</v>
      </c>
      <c r="C854" s="24" t="s">
        <v>294</v>
      </c>
      <c r="D854" s="24" t="s">
        <v>1892</v>
      </c>
      <c r="E854" s="25"/>
      <c r="F854" s="25"/>
      <c r="G854" s="25"/>
      <c r="H854" s="25"/>
      <c r="I854" s="25"/>
      <c r="J854" s="25"/>
      <c r="K854" s="25">
        <v>30</v>
      </c>
      <c r="L854" s="25"/>
      <c r="M854" s="25"/>
      <c r="N854" s="25">
        <v>50</v>
      </c>
      <c r="O854" s="25">
        <v>10</v>
      </c>
      <c r="P854" s="25"/>
      <c r="Q854" s="22">
        <f t="shared" si="13"/>
        <v>90</v>
      </c>
    </row>
    <row r="855" spans="1:17" ht="15.75" customHeight="1">
      <c r="A855" s="19">
        <v>853</v>
      </c>
      <c r="B855" s="20" t="s">
        <v>1893</v>
      </c>
      <c r="C855" s="20" t="s">
        <v>294</v>
      </c>
      <c r="D855" s="20" t="s">
        <v>1894</v>
      </c>
      <c r="E855" s="21">
        <v>120</v>
      </c>
      <c r="F855" s="21"/>
      <c r="G855" s="21">
        <v>20</v>
      </c>
      <c r="H855" s="21">
        <v>120</v>
      </c>
      <c r="I855" s="21">
        <v>80</v>
      </c>
      <c r="J855" s="21">
        <v>184</v>
      </c>
      <c r="K855" s="21">
        <v>150</v>
      </c>
      <c r="L855" s="21">
        <v>100</v>
      </c>
      <c r="M855" s="21"/>
      <c r="N855" s="21"/>
      <c r="O855" s="21">
        <v>30</v>
      </c>
      <c r="P855" s="21"/>
      <c r="Q855" s="22">
        <f t="shared" si="13"/>
        <v>804</v>
      </c>
    </row>
    <row r="856" spans="1:17" ht="15.75" customHeight="1">
      <c r="A856" s="23">
        <v>854</v>
      </c>
      <c r="B856" s="24" t="s">
        <v>1897</v>
      </c>
      <c r="C856" s="24" t="s">
        <v>294</v>
      </c>
      <c r="D856" s="24" t="s">
        <v>1898</v>
      </c>
      <c r="E856" s="25"/>
      <c r="F856" s="25"/>
      <c r="G856" s="25"/>
      <c r="H856" s="25"/>
      <c r="I856" s="25"/>
      <c r="J856" s="25">
        <v>20</v>
      </c>
      <c r="K856" s="25"/>
      <c r="L856" s="25"/>
      <c r="M856" s="25"/>
      <c r="N856" s="25"/>
      <c r="O856" s="25">
        <v>20</v>
      </c>
      <c r="P856" s="25"/>
      <c r="Q856" s="22">
        <f t="shared" si="13"/>
        <v>40</v>
      </c>
    </row>
    <row r="857" spans="1:17" ht="15.75" customHeight="1">
      <c r="A857" s="19">
        <v>855</v>
      </c>
      <c r="B857" s="20" t="s">
        <v>1899</v>
      </c>
      <c r="C857" s="20" t="s">
        <v>362</v>
      </c>
      <c r="D857" s="20" t="s">
        <v>1900</v>
      </c>
      <c r="E857" s="21">
        <v>15</v>
      </c>
      <c r="F857" s="21">
        <v>30</v>
      </c>
      <c r="G857" s="21">
        <v>70</v>
      </c>
      <c r="H857" s="21">
        <v>73</v>
      </c>
      <c r="I857" s="21">
        <v>115</v>
      </c>
      <c r="J857" s="21">
        <v>143</v>
      </c>
      <c r="K857" s="21">
        <v>60</v>
      </c>
      <c r="L857" s="21"/>
      <c r="M857" s="21"/>
      <c r="N857" s="21"/>
      <c r="O857" s="21"/>
      <c r="P857" s="21"/>
      <c r="Q857" s="22">
        <f t="shared" si="13"/>
        <v>506</v>
      </c>
    </row>
    <row r="858" spans="1:17" ht="15.75" customHeight="1">
      <c r="A858" s="23">
        <v>856</v>
      </c>
      <c r="B858" s="24" t="s">
        <v>1901</v>
      </c>
      <c r="C858" s="24" t="s">
        <v>362</v>
      </c>
      <c r="D858" s="24" t="s">
        <v>1902</v>
      </c>
      <c r="E858" s="25">
        <v>10</v>
      </c>
      <c r="F858" s="25">
        <v>50</v>
      </c>
      <c r="G858" s="25">
        <v>130</v>
      </c>
      <c r="H858" s="25">
        <v>38</v>
      </c>
      <c r="I858" s="25">
        <v>60</v>
      </c>
      <c r="J858" s="25">
        <v>152</v>
      </c>
      <c r="K858" s="25">
        <v>20</v>
      </c>
      <c r="L858" s="25">
        <v>100</v>
      </c>
      <c r="M858" s="25"/>
      <c r="N858" s="25"/>
      <c r="O858" s="25"/>
      <c r="P858" s="25"/>
      <c r="Q858" s="22">
        <f t="shared" si="13"/>
        <v>560</v>
      </c>
    </row>
    <row r="859" spans="1:17" ht="15.75" customHeight="1">
      <c r="A859" s="19">
        <v>857</v>
      </c>
      <c r="B859" s="20" t="s">
        <v>1903</v>
      </c>
      <c r="C859" s="20" t="s">
        <v>362</v>
      </c>
      <c r="D859" s="20" t="s">
        <v>1904</v>
      </c>
      <c r="E859" s="21"/>
      <c r="F859" s="21"/>
      <c r="G859" s="21">
        <v>20</v>
      </c>
      <c r="H859" s="21"/>
      <c r="I859" s="21"/>
      <c r="J859" s="21">
        <v>2</v>
      </c>
      <c r="K859" s="21"/>
      <c r="L859" s="21"/>
      <c r="M859" s="21">
        <v>100</v>
      </c>
      <c r="N859" s="21"/>
      <c r="O859" s="21"/>
      <c r="P859" s="21"/>
      <c r="Q859" s="22">
        <f t="shared" si="13"/>
        <v>122</v>
      </c>
    </row>
    <row r="860" spans="1:17" ht="15.75" customHeight="1">
      <c r="A860" s="23">
        <v>858</v>
      </c>
      <c r="B860" s="24" t="s">
        <v>1907</v>
      </c>
      <c r="C860" s="24" t="s">
        <v>1908</v>
      </c>
      <c r="D860" s="24" t="s">
        <v>1909</v>
      </c>
      <c r="E860" s="25"/>
      <c r="F860" s="25"/>
      <c r="G860" s="25">
        <v>40</v>
      </c>
      <c r="H860" s="25">
        <v>10</v>
      </c>
      <c r="I860" s="25"/>
      <c r="J860" s="25"/>
      <c r="K860" s="25"/>
      <c r="L860" s="25"/>
      <c r="M860" s="25">
        <v>32</v>
      </c>
      <c r="N860" s="25"/>
      <c r="O860" s="25"/>
      <c r="P860" s="25"/>
      <c r="Q860" s="22">
        <f t="shared" si="13"/>
        <v>82</v>
      </c>
    </row>
    <row r="861" spans="1:17" ht="15.75" customHeight="1">
      <c r="A861" s="19">
        <v>859</v>
      </c>
      <c r="B861" s="20" t="s">
        <v>1910</v>
      </c>
      <c r="C861" s="20" t="s">
        <v>1908</v>
      </c>
      <c r="D861" s="20" t="s">
        <v>1911</v>
      </c>
      <c r="E861" s="21"/>
      <c r="F861" s="21">
        <v>10</v>
      </c>
      <c r="G861" s="21">
        <v>50</v>
      </c>
      <c r="H861" s="21"/>
      <c r="I861" s="21"/>
      <c r="J861" s="21">
        <v>5</v>
      </c>
      <c r="K861" s="21"/>
      <c r="L861" s="21"/>
      <c r="M861" s="21"/>
      <c r="N861" s="21"/>
      <c r="O861" s="21"/>
      <c r="P861" s="21"/>
      <c r="Q861" s="22">
        <f t="shared" si="13"/>
        <v>65</v>
      </c>
    </row>
    <row r="862" spans="1:17" ht="15.75" customHeight="1">
      <c r="A862" s="23">
        <v>860</v>
      </c>
      <c r="B862" s="24" t="s">
        <v>1912</v>
      </c>
      <c r="C862" s="24" t="s">
        <v>1908</v>
      </c>
      <c r="D862" s="24" t="s">
        <v>1913</v>
      </c>
      <c r="E862" s="25"/>
      <c r="F862" s="25"/>
      <c r="G862" s="25">
        <v>40</v>
      </c>
      <c r="H862" s="25">
        <v>7</v>
      </c>
      <c r="I862" s="25">
        <v>4</v>
      </c>
      <c r="J862" s="25">
        <v>2</v>
      </c>
      <c r="K862" s="25"/>
      <c r="L862" s="25"/>
      <c r="M862" s="25"/>
      <c r="N862" s="25"/>
      <c r="O862" s="25"/>
      <c r="P862" s="25"/>
      <c r="Q862" s="22">
        <f t="shared" si="13"/>
        <v>53</v>
      </c>
    </row>
    <row r="863" spans="1:17" ht="15.75" customHeight="1">
      <c r="A863" s="19">
        <v>861</v>
      </c>
      <c r="B863" s="20" t="s">
        <v>2864</v>
      </c>
      <c r="C863" s="20" t="s">
        <v>1908</v>
      </c>
      <c r="D863" s="20" t="s">
        <v>1904</v>
      </c>
      <c r="E863" s="21"/>
      <c r="F863" s="21"/>
      <c r="G863" s="21">
        <v>20</v>
      </c>
      <c r="H863" s="21"/>
      <c r="I863" s="21"/>
      <c r="J863" s="21"/>
      <c r="K863" s="21"/>
      <c r="L863" s="21"/>
      <c r="M863" s="21"/>
      <c r="N863" s="21"/>
      <c r="O863" s="21"/>
      <c r="P863" s="21"/>
      <c r="Q863" s="22">
        <f t="shared" si="13"/>
        <v>20</v>
      </c>
    </row>
    <row r="864" spans="1:17" ht="15.75" customHeight="1">
      <c r="A864" s="23">
        <v>862</v>
      </c>
      <c r="B864" s="24" t="s">
        <v>2865</v>
      </c>
      <c r="C864" s="24" t="s">
        <v>244</v>
      </c>
      <c r="D864" s="24" t="s">
        <v>1685</v>
      </c>
      <c r="E864" s="25"/>
      <c r="F864" s="25"/>
      <c r="G864" s="25"/>
      <c r="H864" s="25"/>
      <c r="I864" s="25"/>
      <c r="J864" s="25"/>
      <c r="K864" s="25"/>
      <c r="L864" s="25">
        <v>20</v>
      </c>
      <c r="M864" s="25"/>
      <c r="N864" s="25"/>
      <c r="O864" s="25"/>
      <c r="P864" s="25"/>
      <c r="Q864" s="22">
        <f t="shared" si="13"/>
        <v>20</v>
      </c>
    </row>
    <row r="865" spans="1:17" ht="15.75" customHeight="1">
      <c r="A865" s="19">
        <v>863</v>
      </c>
      <c r="B865" s="20" t="s">
        <v>2866</v>
      </c>
      <c r="C865" s="20" t="s">
        <v>211</v>
      </c>
      <c r="D865" s="20" t="s">
        <v>1578</v>
      </c>
      <c r="E865" s="21"/>
      <c r="F865" s="21"/>
      <c r="G865" s="21"/>
      <c r="H865" s="21">
        <v>12</v>
      </c>
      <c r="I865" s="21"/>
      <c r="J865" s="21"/>
      <c r="K865" s="21"/>
      <c r="L865" s="21"/>
      <c r="M865" s="21"/>
      <c r="N865" s="21"/>
      <c r="O865" s="21">
        <v>20</v>
      </c>
      <c r="P865" s="21">
        <v>2</v>
      </c>
      <c r="Q865" s="22">
        <f t="shared" si="13"/>
        <v>34</v>
      </c>
    </row>
    <row r="866" spans="1:17" ht="15.75" customHeight="1">
      <c r="A866" s="23">
        <v>864</v>
      </c>
      <c r="B866" s="24" t="s">
        <v>2867</v>
      </c>
      <c r="C866" s="24" t="s">
        <v>203</v>
      </c>
      <c r="D866" s="24" t="s">
        <v>2868</v>
      </c>
      <c r="E866" s="25"/>
      <c r="F866" s="25"/>
      <c r="G866" s="25"/>
      <c r="H866" s="25"/>
      <c r="I866" s="25"/>
      <c r="J866" s="25"/>
      <c r="K866" s="25">
        <v>40</v>
      </c>
      <c r="L866" s="25"/>
      <c r="M866" s="25"/>
      <c r="N866" s="25"/>
      <c r="O866" s="25"/>
      <c r="P866" s="25"/>
      <c r="Q866" s="22">
        <f t="shared" si="13"/>
        <v>40</v>
      </c>
    </row>
    <row r="867" spans="1:17" ht="15.75" customHeight="1">
      <c r="A867" s="19">
        <v>865</v>
      </c>
      <c r="B867" s="20" t="s">
        <v>1915</v>
      </c>
      <c r="C867" s="20" t="s">
        <v>294</v>
      </c>
      <c r="D867" s="20" t="s">
        <v>1916</v>
      </c>
      <c r="E867" s="21">
        <v>100</v>
      </c>
      <c r="F867" s="21"/>
      <c r="G867" s="21"/>
      <c r="H867" s="21"/>
      <c r="I867" s="21"/>
      <c r="J867" s="21"/>
      <c r="K867" s="21"/>
      <c r="L867" s="21"/>
      <c r="M867" s="21"/>
      <c r="N867" s="21">
        <v>200</v>
      </c>
      <c r="O867" s="21"/>
      <c r="P867" s="21"/>
      <c r="Q867" s="22">
        <f t="shared" si="13"/>
        <v>300</v>
      </c>
    </row>
    <row r="868" spans="1:17" ht="15.75" customHeight="1">
      <c r="A868" s="23">
        <v>866</v>
      </c>
      <c r="B868" s="24" t="s">
        <v>1919</v>
      </c>
      <c r="C868" s="24" t="s">
        <v>362</v>
      </c>
      <c r="D868" s="24" t="s">
        <v>1920</v>
      </c>
      <c r="E868" s="25">
        <v>20</v>
      </c>
      <c r="F868" s="25">
        <v>20</v>
      </c>
      <c r="G868" s="25">
        <v>50</v>
      </c>
      <c r="H868" s="25">
        <v>32</v>
      </c>
      <c r="I868" s="25">
        <v>60</v>
      </c>
      <c r="J868" s="25"/>
      <c r="K868" s="25">
        <v>30</v>
      </c>
      <c r="L868" s="25">
        <v>15</v>
      </c>
      <c r="M868" s="25">
        <v>20</v>
      </c>
      <c r="N868" s="25">
        <v>100</v>
      </c>
      <c r="O868" s="25"/>
      <c r="P868" s="25"/>
      <c r="Q868" s="22">
        <f t="shared" si="13"/>
        <v>347</v>
      </c>
    </row>
    <row r="869" spans="1:17" ht="15.75" customHeight="1">
      <c r="A869" s="19">
        <v>867</v>
      </c>
      <c r="B869" s="20" t="s">
        <v>2869</v>
      </c>
      <c r="C869" s="20" t="s">
        <v>362</v>
      </c>
      <c r="D869" s="20" t="s">
        <v>2870</v>
      </c>
      <c r="E869" s="21"/>
      <c r="F869" s="21"/>
      <c r="G869" s="21"/>
      <c r="H869" s="21"/>
      <c r="I869" s="21">
        <v>7</v>
      </c>
      <c r="J869" s="21"/>
      <c r="K869" s="21"/>
      <c r="L869" s="21"/>
      <c r="M869" s="21"/>
      <c r="N869" s="21"/>
      <c r="O869" s="21"/>
      <c r="P869" s="21"/>
      <c r="Q869" s="22">
        <f t="shared" si="13"/>
        <v>7</v>
      </c>
    </row>
    <row r="870" spans="1:17" ht="15.75" customHeight="1">
      <c r="A870" s="23">
        <v>868</v>
      </c>
      <c r="B870" s="24" t="s">
        <v>2871</v>
      </c>
      <c r="C870" s="24" t="s">
        <v>362</v>
      </c>
      <c r="D870" s="24" t="s">
        <v>1678</v>
      </c>
      <c r="E870" s="25"/>
      <c r="F870" s="25"/>
      <c r="G870" s="25"/>
      <c r="H870" s="25"/>
      <c r="I870" s="25">
        <v>7</v>
      </c>
      <c r="J870" s="25"/>
      <c r="K870" s="25"/>
      <c r="L870" s="25"/>
      <c r="M870" s="25"/>
      <c r="N870" s="25"/>
      <c r="O870" s="25"/>
      <c r="P870" s="25"/>
      <c r="Q870" s="22">
        <f t="shared" si="13"/>
        <v>7</v>
      </c>
    </row>
    <row r="871" spans="1:17" ht="15.75" customHeight="1">
      <c r="A871" s="19">
        <v>869</v>
      </c>
      <c r="B871" s="20" t="s">
        <v>2872</v>
      </c>
      <c r="C871" s="20" t="s">
        <v>1943</v>
      </c>
      <c r="D871" s="20" t="s">
        <v>2873</v>
      </c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>
        <v>2</v>
      </c>
      <c r="Q871" s="22">
        <f t="shared" si="13"/>
        <v>2</v>
      </c>
    </row>
    <row r="872" spans="1:17" ht="15.75" customHeight="1">
      <c r="A872" s="23">
        <v>870</v>
      </c>
      <c r="B872" s="24" t="s">
        <v>1924</v>
      </c>
      <c r="C872" s="24" t="s">
        <v>1925</v>
      </c>
      <c r="D872" s="24" t="s">
        <v>1911</v>
      </c>
      <c r="E872" s="25"/>
      <c r="F872" s="25"/>
      <c r="G872" s="25"/>
      <c r="H872" s="25"/>
      <c r="I872" s="25"/>
      <c r="J872" s="25">
        <v>15</v>
      </c>
      <c r="K872" s="25"/>
      <c r="L872" s="25">
        <v>2</v>
      </c>
      <c r="M872" s="25"/>
      <c r="N872" s="25"/>
      <c r="O872" s="25"/>
      <c r="P872" s="25"/>
      <c r="Q872" s="22">
        <f t="shared" si="13"/>
        <v>17</v>
      </c>
    </row>
    <row r="873" spans="1:17" ht="15.75" customHeight="1">
      <c r="A873" s="19">
        <v>871</v>
      </c>
      <c r="B873" s="20" t="s">
        <v>1926</v>
      </c>
      <c r="C873" s="20" t="s">
        <v>362</v>
      </c>
      <c r="D873" s="20" t="s">
        <v>1927</v>
      </c>
      <c r="E873" s="21"/>
      <c r="F873" s="21">
        <v>20</v>
      </c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2">
        <f t="shared" si="13"/>
        <v>20</v>
      </c>
    </row>
    <row r="874" spans="1:17" ht="15.75" customHeight="1">
      <c r="A874" s="23">
        <v>872</v>
      </c>
      <c r="B874" s="24" t="s">
        <v>1928</v>
      </c>
      <c r="C874" s="24" t="s">
        <v>1929</v>
      </c>
      <c r="D874" s="24" t="s">
        <v>1913</v>
      </c>
      <c r="E874" s="25">
        <v>5</v>
      </c>
      <c r="F874" s="25"/>
      <c r="G874" s="25">
        <v>20</v>
      </c>
      <c r="H874" s="25">
        <v>1</v>
      </c>
      <c r="I874" s="25"/>
      <c r="J874" s="25"/>
      <c r="K874" s="25"/>
      <c r="L874" s="25"/>
      <c r="M874" s="25"/>
      <c r="N874" s="25"/>
      <c r="O874" s="25"/>
      <c r="P874" s="25"/>
      <c r="Q874" s="22">
        <f t="shared" si="13"/>
        <v>26</v>
      </c>
    </row>
    <row r="875" spans="1:17" ht="15.75" customHeight="1">
      <c r="A875" s="19">
        <v>873</v>
      </c>
      <c r="B875" s="20" t="s">
        <v>1930</v>
      </c>
      <c r="C875" s="20" t="s">
        <v>1929</v>
      </c>
      <c r="D875" s="20" t="s">
        <v>1911</v>
      </c>
      <c r="E875" s="21"/>
      <c r="F875" s="21"/>
      <c r="G875" s="21">
        <v>20</v>
      </c>
      <c r="H875" s="21"/>
      <c r="I875" s="21"/>
      <c r="J875" s="21"/>
      <c r="K875" s="21"/>
      <c r="L875" s="21"/>
      <c r="M875" s="21"/>
      <c r="N875" s="21"/>
      <c r="O875" s="21"/>
      <c r="P875" s="21"/>
      <c r="Q875" s="22">
        <f t="shared" si="13"/>
        <v>20</v>
      </c>
    </row>
    <row r="876" spans="1:17" ht="15.75" customHeight="1">
      <c r="A876" s="23">
        <v>874</v>
      </c>
      <c r="B876" s="24" t="s">
        <v>1931</v>
      </c>
      <c r="C876" s="24" t="s">
        <v>362</v>
      </c>
      <c r="D876" s="24" t="s">
        <v>1932</v>
      </c>
      <c r="E876" s="25"/>
      <c r="F876" s="25">
        <v>112</v>
      </c>
      <c r="G876" s="25">
        <v>40</v>
      </c>
      <c r="H876" s="25">
        <v>105</v>
      </c>
      <c r="I876" s="25">
        <v>120</v>
      </c>
      <c r="J876" s="25">
        <v>52</v>
      </c>
      <c r="K876" s="25">
        <v>40</v>
      </c>
      <c r="L876" s="25"/>
      <c r="M876" s="25"/>
      <c r="N876" s="25">
        <v>1</v>
      </c>
      <c r="O876" s="25"/>
      <c r="P876" s="25">
        <v>34</v>
      </c>
      <c r="Q876" s="22">
        <f t="shared" si="13"/>
        <v>504</v>
      </c>
    </row>
    <row r="877" spans="1:17" ht="15.75" customHeight="1">
      <c r="A877" s="19">
        <v>875</v>
      </c>
      <c r="B877" s="20" t="s">
        <v>2874</v>
      </c>
      <c r="C877" s="20" t="s">
        <v>362</v>
      </c>
      <c r="D877" s="20" t="s">
        <v>2875</v>
      </c>
      <c r="E877" s="21"/>
      <c r="F877" s="21"/>
      <c r="G877" s="21"/>
      <c r="H877" s="21"/>
      <c r="I877" s="21">
        <v>38</v>
      </c>
      <c r="J877" s="21"/>
      <c r="K877" s="21"/>
      <c r="L877" s="21"/>
      <c r="M877" s="21"/>
      <c r="N877" s="21"/>
      <c r="O877" s="21"/>
      <c r="P877" s="21"/>
      <c r="Q877" s="22">
        <f t="shared" si="13"/>
        <v>38</v>
      </c>
    </row>
    <row r="878" spans="1:17" ht="15.75" customHeight="1">
      <c r="A878" s="23">
        <v>876</v>
      </c>
      <c r="B878" s="24" t="s">
        <v>2876</v>
      </c>
      <c r="C878" s="24" t="s">
        <v>362</v>
      </c>
      <c r="D878" s="24" t="s">
        <v>1700</v>
      </c>
      <c r="E878" s="25"/>
      <c r="F878" s="25">
        <v>30</v>
      </c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2">
        <f t="shared" si="13"/>
        <v>30</v>
      </c>
    </row>
    <row r="879" spans="1:17" ht="15.75" customHeight="1">
      <c r="A879" s="19">
        <v>877</v>
      </c>
      <c r="B879" s="20" t="s">
        <v>1933</v>
      </c>
      <c r="C879" s="20" t="s">
        <v>1925</v>
      </c>
      <c r="D879" s="20" t="s">
        <v>1909</v>
      </c>
      <c r="E879" s="21"/>
      <c r="F879" s="21">
        <v>5</v>
      </c>
      <c r="G879" s="21"/>
      <c r="H879" s="21"/>
      <c r="I879" s="21"/>
      <c r="J879" s="21">
        <v>10</v>
      </c>
      <c r="K879" s="21"/>
      <c r="L879" s="21"/>
      <c r="M879" s="21"/>
      <c r="N879" s="21"/>
      <c r="O879" s="21"/>
      <c r="P879" s="21"/>
      <c r="Q879" s="22">
        <f t="shared" si="13"/>
        <v>15</v>
      </c>
    </row>
    <row r="880" spans="1:17" ht="15.75" customHeight="1">
      <c r="A880" s="23">
        <v>878</v>
      </c>
      <c r="B880" s="24" t="s">
        <v>2877</v>
      </c>
      <c r="C880" s="24" t="s">
        <v>1925</v>
      </c>
      <c r="D880" s="24" t="s">
        <v>1913</v>
      </c>
      <c r="E880" s="25">
        <v>5</v>
      </c>
      <c r="F880" s="25"/>
      <c r="G880" s="25">
        <v>20</v>
      </c>
      <c r="H880" s="25"/>
      <c r="I880" s="25">
        <v>10</v>
      </c>
      <c r="J880" s="25"/>
      <c r="K880" s="25"/>
      <c r="L880" s="25">
        <v>1</v>
      </c>
      <c r="M880" s="25"/>
      <c r="N880" s="25"/>
      <c r="O880" s="25"/>
      <c r="P880" s="25"/>
      <c r="Q880" s="22">
        <f t="shared" si="13"/>
        <v>36</v>
      </c>
    </row>
    <row r="881" spans="1:17" ht="15.75" customHeight="1">
      <c r="A881" s="19">
        <v>879</v>
      </c>
      <c r="B881" s="20" t="s">
        <v>2878</v>
      </c>
      <c r="C881" s="20" t="s">
        <v>362</v>
      </c>
      <c r="D881" s="20" t="s">
        <v>2302</v>
      </c>
      <c r="E881" s="21">
        <v>5</v>
      </c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2">
        <f t="shared" si="13"/>
        <v>5</v>
      </c>
    </row>
    <row r="882" spans="1:17" ht="15.75" customHeight="1">
      <c r="A882" s="23">
        <v>880</v>
      </c>
      <c r="B882" s="24" t="s">
        <v>1934</v>
      </c>
      <c r="C882" s="24" t="s">
        <v>362</v>
      </c>
      <c r="D882" s="24" t="s">
        <v>1935</v>
      </c>
      <c r="E882" s="25"/>
      <c r="F882" s="25"/>
      <c r="G882" s="25"/>
      <c r="H882" s="25"/>
      <c r="I882" s="25">
        <v>20</v>
      </c>
      <c r="J882" s="25"/>
      <c r="K882" s="25"/>
      <c r="L882" s="25"/>
      <c r="M882" s="25"/>
      <c r="N882" s="25"/>
      <c r="O882" s="25"/>
      <c r="P882" s="25"/>
      <c r="Q882" s="22">
        <f t="shared" si="13"/>
        <v>20</v>
      </c>
    </row>
    <row r="883" spans="1:17" ht="15.75" customHeight="1">
      <c r="A883" s="19">
        <v>881</v>
      </c>
      <c r="B883" s="20" t="s">
        <v>1936</v>
      </c>
      <c r="C883" s="20" t="s">
        <v>1937</v>
      </c>
      <c r="D883" s="20" t="s">
        <v>1911</v>
      </c>
      <c r="E883" s="21"/>
      <c r="F883" s="21"/>
      <c r="G883" s="21">
        <v>10</v>
      </c>
      <c r="H883" s="21"/>
      <c r="I883" s="21"/>
      <c r="J883" s="21"/>
      <c r="K883" s="21"/>
      <c r="L883" s="21"/>
      <c r="M883" s="21"/>
      <c r="N883" s="21"/>
      <c r="O883" s="21"/>
      <c r="P883" s="21"/>
      <c r="Q883" s="22">
        <f t="shared" si="13"/>
        <v>10</v>
      </c>
    </row>
    <row r="884" spans="1:17" ht="15.75" customHeight="1">
      <c r="A884" s="23">
        <v>882</v>
      </c>
      <c r="B884" s="24" t="s">
        <v>1938</v>
      </c>
      <c r="C884" s="24" t="s">
        <v>1929</v>
      </c>
      <c r="D884" s="24" t="s">
        <v>1909</v>
      </c>
      <c r="E884" s="25"/>
      <c r="F884" s="25"/>
      <c r="G884" s="25"/>
      <c r="H884" s="25">
        <v>3</v>
      </c>
      <c r="I884" s="25"/>
      <c r="J884" s="25"/>
      <c r="K884" s="25"/>
      <c r="L884" s="25"/>
      <c r="M884" s="25"/>
      <c r="N884" s="25"/>
      <c r="O884" s="25"/>
      <c r="P884" s="25"/>
      <c r="Q884" s="22">
        <f t="shared" si="13"/>
        <v>3</v>
      </c>
    </row>
    <row r="885" spans="1:17" ht="15.75" customHeight="1">
      <c r="A885" s="19">
        <v>883</v>
      </c>
      <c r="B885" s="20" t="s">
        <v>1939</v>
      </c>
      <c r="C885" s="20" t="s">
        <v>362</v>
      </c>
      <c r="D885" s="20" t="s">
        <v>1940</v>
      </c>
      <c r="E885" s="21">
        <v>200</v>
      </c>
      <c r="F885" s="21">
        <v>16</v>
      </c>
      <c r="G885" s="21">
        <v>30</v>
      </c>
      <c r="H885" s="21"/>
      <c r="I885" s="21">
        <v>26</v>
      </c>
      <c r="J885" s="21">
        <v>20</v>
      </c>
      <c r="K885" s="21"/>
      <c r="L885" s="21"/>
      <c r="M885" s="21">
        <v>10</v>
      </c>
      <c r="N885" s="21"/>
      <c r="O885" s="21"/>
      <c r="P885" s="21"/>
      <c r="Q885" s="22">
        <f t="shared" si="13"/>
        <v>302</v>
      </c>
    </row>
    <row r="886" spans="1:17" ht="15.75" customHeight="1">
      <c r="A886" s="23">
        <v>884</v>
      </c>
      <c r="B886" s="24" t="s">
        <v>1942</v>
      </c>
      <c r="C886" s="24" t="s">
        <v>1943</v>
      </c>
      <c r="D886" s="24" t="s">
        <v>45</v>
      </c>
      <c r="E886" s="25"/>
      <c r="F886" s="25"/>
      <c r="G886" s="25"/>
      <c r="H886" s="25"/>
      <c r="I886" s="25">
        <v>20</v>
      </c>
      <c r="J886" s="25"/>
      <c r="K886" s="25"/>
      <c r="L886" s="25"/>
      <c r="M886" s="25"/>
      <c r="N886" s="25"/>
      <c r="O886" s="25"/>
      <c r="P886" s="25"/>
      <c r="Q886" s="22">
        <f t="shared" si="13"/>
        <v>20</v>
      </c>
    </row>
    <row r="887" spans="1:17" ht="15.75" customHeight="1">
      <c r="A887" s="19">
        <v>885</v>
      </c>
      <c r="B887" s="20" t="s">
        <v>1944</v>
      </c>
      <c r="C887" s="20" t="s">
        <v>1943</v>
      </c>
      <c r="D887" s="20" t="s">
        <v>1909</v>
      </c>
      <c r="E887" s="21"/>
      <c r="F887" s="21"/>
      <c r="G887" s="21"/>
      <c r="H887" s="21">
        <v>1</v>
      </c>
      <c r="I887" s="21"/>
      <c r="J887" s="21"/>
      <c r="K887" s="21"/>
      <c r="L887" s="21"/>
      <c r="M887" s="21"/>
      <c r="N887" s="21"/>
      <c r="O887" s="21"/>
      <c r="P887" s="21"/>
      <c r="Q887" s="22">
        <f t="shared" si="13"/>
        <v>1</v>
      </c>
    </row>
    <row r="888" spans="1:17" ht="15.75" customHeight="1">
      <c r="A888" s="23">
        <v>886</v>
      </c>
      <c r="B888" s="24" t="s">
        <v>1951</v>
      </c>
      <c r="C888" s="24" t="s">
        <v>263</v>
      </c>
      <c r="D888" s="24" t="s">
        <v>1689</v>
      </c>
      <c r="E888" s="25"/>
      <c r="F888" s="25"/>
      <c r="G888" s="25"/>
      <c r="H888" s="25"/>
      <c r="I888" s="25">
        <v>3</v>
      </c>
      <c r="J888" s="25"/>
      <c r="K888" s="25"/>
      <c r="L888" s="25"/>
      <c r="M888" s="25"/>
      <c r="N888" s="25"/>
      <c r="O888" s="25"/>
      <c r="P888" s="25"/>
      <c r="Q888" s="22">
        <f t="shared" si="13"/>
        <v>3</v>
      </c>
    </row>
    <row r="889" spans="1:17" ht="15.75" customHeight="1">
      <c r="A889" s="19">
        <v>887</v>
      </c>
      <c r="B889" s="20" t="s">
        <v>2879</v>
      </c>
      <c r="C889" s="20" t="s">
        <v>1943</v>
      </c>
      <c r="D889" s="20" t="s">
        <v>1913</v>
      </c>
      <c r="E889" s="21">
        <v>5</v>
      </c>
      <c r="F889" s="21"/>
      <c r="G889" s="21"/>
      <c r="H889" s="21">
        <v>1</v>
      </c>
      <c r="I889" s="21"/>
      <c r="J889" s="21"/>
      <c r="K889" s="21"/>
      <c r="L889" s="21"/>
      <c r="M889" s="21"/>
      <c r="N889" s="21"/>
      <c r="O889" s="21"/>
      <c r="P889" s="21"/>
      <c r="Q889" s="22">
        <f t="shared" si="13"/>
        <v>6</v>
      </c>
    </row>
    <row r="890" spans="1:17" ht="15.75" customHeight="1">
      <c r="A890" s="23">
        <v>888</v>
      </c>
      <c r="B890" s="24" t="s">
        <v>2880</v>
      </c>
      <c r="C890" s="24" t="s">
        <v>1929</v>
      </c>
      <c r="D890" s="24" t="s">
        <v>1904</v>
      </c>
      <c r="E890" s="25"/>
      <c r="F890" s="25"/>
      <c r="G890" s="25"/>
      <c r="H890" s="25"/>
      <c r="I890" s="25"/>
      <c r="J890" s="25"/>
      <c r="K890" s="25"/>
      <c r="L890" s="25">
        <v>5</v>
      </c>
      <c r="M890" s="25"/>
      <c r="N890" s="25"/>
      <c r="O890" s="25"/>
      <c r="P890" s="25"/>
      <c r="Q890" s="22">
        <f t="shared" si="13"/>
        <v>5</v>
      </c>
    </row>
    <row r="891" spans="1:17" ht="15.75" customHeight="1">
      <c r="A891" s="19">
        <v>889</v>
      </c>
      <c r="B891" s="20" t="s">
        <v>2881</v>
      </c>
      <c r="C891" s="20" t="s">
        <v>1350</v>
      </c>
      <c r="D891" s="20" t="s">
        <v>2882</v>
      </c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>
        <v>6</v>
      </c>
      <c r="P891" s="21">
        <v>4</v>
      </c>
      <c r="Q891" s="22">
        <f t="shared" si="13"/>
        <v>10</v>
      </c>
    </row>
    <row r="892" spans="1:17" ht="15.75" customHeight="1">
      <c r="A892" s="23">
        <v>890</v>
      </c>
      <c r="B892" s="24" t="s">
        <v>2883</v>
      </c>
      <c r="C892" s="24" t="s">
        <v>1350</v>
      </c>
      <c r="D892" s="24" t="s">
        <v>2884</v>
      </c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>
        <v>2</v>
      </c>
      <c r="P892" s="25"/>
      <c r="Q892" s="22">
        <f t="shared" si="13"/>
        <v>2</v>
      </c>
    </row>
    <row r="893" spans="1:17" ht="15.75" customHeight="1">
      <c r="A893" s="19">
        <v>891</v>
      </c>
      <c r="B893" s="20" t="s">
        <v>1957</v>
      </c>
      <c r="C893" s="20" t="s">
        <v>1955</v>
      </c>
      <c r="D893" s="20" t="s">
        <v>1958</v>
      </c>
      <c r="E893" s="21">
        <v>2</v>
      </c>
      <c r="F893" s="21">
        <v>2</v>
      </c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2">
        <f t="shared" si="13"/>
        <v>4</v>
      </c>
    </row>
    <row r="894" spans="1:17" ht="15.75" customHeight="1">
      <c r="A894" s="23">
        <v>892</v>
      </c>
      <c r="B894" s="24" t="s">
        <v>2885</v>
      </c>
      <c r="C894" s="24" t="s">
        <v>2886</v>
      </c>
      <c r="D894" s="24" t="s">
        <v>2887</v>
      </c>
      <c r="E894" s="25"/>
      <c r="F894" s="25">
        <v>3</v>
      </c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2">
        <f t="shared" si="13"/>
        <v>3</v>
      </c>
    </row>
    <row r="895" spans="1:17" ht="15.75" customHeight="1">
      <c r="A895" s="19">
        <v>893</v>
      </c>
      <c r="B895" s="20" t="s">
        <v>1963</v>
      </c>
      <c r="C895" s="20" t="s">
        <v>1370</v>
      </c>
      <c r="D895" s="20" t="s">
        <v>1964</v>
      </c>
      <c r="E895" s="21">
        <v>6</v>
      </c>
      <c r="F895" s="21">
        <v>5</v>
      </c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2">
        <f t="shared" si="13"/>
        <v>11</v>
      </c>
    </row>
    <row r="896" spans="1:17" ht="15.75" customHeight="1">
      <c r="A896" s="23">
        <v>894</v>
      </c>
      <c r="B896" s="24" t="s">
        <v>2888</v>
      </c>
      <c r="C896" s="24" t="s">
        <v>2889</v>
      </c>
      <c r="D896" s="24" t="s">
        <v>2890</v>
      </c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>
        <v>4</v>
      </c>
      <c r="P896" s="25"/>
      <c r="Q896" s="22">
        <f t="shared" si="13"/>
        <v>4</v>
      </c>
    </row>
    <row r="897" spans="1:17" ht="15.75" customHeight="1">
      <c r="A897" s="19">
        <v>895</v>
      </c>
      <c r="B897" s="20" t="s">
        <v>2891</v>
      </c>
      <c r="C897" s="20" t="s">
        <v>2892</v>
      </c>
      <c r="D897" s="20" t="s">
        <v>2893</v>
      </c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>
        <v>2</v>
      </c>
      <c r="P897" s="21"/>
      <c r="Q897" s="22">
        <f t="shared" si="13"/>
        <v>2</v>
      </c>
    </row>
    <row r="898" spans="1:17" ht="15.75" customHeight="1">
      <c r="A898" s="23">
        <v>896</v>
      </c>
      <c r="B898" s="24" t="s">
        <v>1969</v>
      </c>
      <c r="C898" s="24" t="s">
        <v>1357</v>
      </c>
      <c r="D898" s="24" t="s">
        <v>1970</v>
      </c>
      <c r="E898" s="25">
        <v>18</v>
      </c>
      <c r="F898" s="25"/>
      <c r="G898" s="25"/>
      <c r="H898" s="25"/>
      <c r="I898" s="25">
        <v>9</v>
      </c>
      <c r="J898" s="25"/>
      <c r="K898" s="25">
        <v>13</v>
      </c>
      <c r="L898" s="25">
        <v>5</v>
      </c>
      <c r="M898" s="25">
        <v>36</v>
      </c>
      <c r="N898" s="25"/>
      <c r="O898" s="25"/>
      <c r="P898" s="25"/>
      <c r="Q898" s="22">
        <f t="shared" si="13"/>
        <v>81</v>
      </c>
    </row>
    <row r="899" spans="1:17" ht="15.75" customHeight="1">
      <c r="A899" s="19">
        <v>897</v>
      </c>
      <c r="B899" s="20" t="s">
        <v>1971</v>
      </c>
      <c r="C899" s="20" t="s">
        <v>1357</v>
      </c>
      <c r="D899" s="20" t="s">
        <v>1972</v>
      </c>
      <c r="E899" s="21"/>
      <c r="F899" s="21"/>
      <c r="G899" s="21"/>
      <c r="H899" s="21">
        <v>10</v>
      </c>
      <c r="I899" s="21">
        <v>41</v>
      </c>
      <c r="J899" s="21"/>
      <c r="K899" s="21"/>
      <c r="L899" s="21">
        <v>24</v>
      </c>
      <c r="M899" s="21"/>
      <c r="N899" s="21"/>
      <c r="O899" s="21"/>
      <c r="P899" s="21"/>
      <c r="Q899" s="22">
        <f t="shared" ref="Q899:Q962" si="14">SUM(E899:P899)</f>
        <v>75</v>
      </c>
    </row>
    <row r="900" spans="1:17" ht="15.75" customHeight="1">
      <c r="A900" s="23">
        <v>898</v>
      </c>
      <c r="B900" s="24" t="s">
        <v>1973</v>
      </c>
      <c r="C900" s="24" t="s">
        <v>1357</v>
      </c>
      <c r="D900" s="24" t="s">
        <v>1974</v>
      </c>
      <c r="E900" s="25"/>
      <c r="F900" s="25"/>
      <c r="G900" s="25"/>
      <c r="H900" s="25">
        <v>32</v>
      </c>
      <c r="I900" s="25">
        <v>64</v>
      </c>
      <c r="J900" s="25">
        <v>24</v>
      </c>
      <c r="K900" s="25">
        <v>25</v>
      </c>
      <c r="L900" s="25"/>
      <c r="M900" s="25"/>
      <c r="N900" s="25"/>
      <c r="O900" s="25"/>
      <c r="P900" s="25"/>
      <c r="Q900" s="22">
        <f t="shared" si="14"/>
        <v>145</v>
      </c>
    </row>
    <row r="901" spans="1:17" ht="15.75" customHeight="1">
      <c r="A901" s="19">
        <v>899</v>
      </c>
      <c r="B901" s="20" t="s">
        <v>1975</v>
      </c>
      <c r="C901" s="20" t="s">
        <v>1357</v>
      </c>
      <c r="D901" s="20" t="s">
        <v>1976</v>
      </c>
      <c r="E901" s="21"/>
      <c r="F901" s="21"/>
      <c r="G901" s="21"/>
      <c r="H901" s="21">
        <v>25</v>
      </c>
      <c r="I901" s="21">
        <v>95</v>
      </c>
      <c r="J901" s="21"/>
      <c r="K901" s="21">
        <v>26</v>
      </c>
      <c r="L901" s="21"/>
      <c r="M901" s="21"/>
      <c r="N901" s="21"/>
      <c r="O901" s="21"/>
      <c r="P901" s="21"/>
      <c r="Q901" s="22">
        <f t="shared" si="14"/>
        <v>146</v>
      </c>
    </row>
    <row r="902" spans="1:17" ht="15.75" customHeight="1">
      <c r="A902" s="23">
        <v>900</v>
      </c>
      <c r="B902" s="24" t="s">
        <v>1977</v>
      </c>
      <c r="C902" s="24" t="s">
        <v>1357</v>
      </c>
      <c r="D902" s="24" t="s">
        <v>1978</v>
      </c>
      <c r="E902" s="25"/>
      <c r="F902" s="25"/>
      <c r="G902" s="25"/>
      <c r="H902" s="25"/>
      <c r="I902" s="25">
        <v>12</v>
      </c>
      <c r="J902" s="25"/>
      <c r="K902" s="25"/>
      <c r="L902" s="25">
        <v>18</v>
      </c>
      <c r="M902" s="25"/>
      <c r="N902" s="25">
        <v>35</v>
      </c>
      <c r="O902" s="25"/>
      <c r="P902" s="25">
        <v>11</v>
      </c>
      <c r="Q902" s="22">
        <f t="shared" si="14"/>
        <v>76</v>
      </c>
    </row>
    <row r="903" spans="1:17" ht="15.75" customHeight="1">
      <c r="A903" s="19">
        <v>901</v>
      </c>
      <c r="B903" s="20" t="s">
        <v>1979</v>
      </c>
      <c r="C903" s="20" t="s">
        <v>1357</v>
      </c>
      <c r="D903" s="20" t="s">
        <v>1980</v>
      </c>
      <c r="E903" s="21">
        <v>9</v>
      </c>
      <c r="F903" s="21">
        <v>93</v>
      </c>
      <c r="G903" s="21">
        <v>15</v>
      </c>
      <c r="H903" s="21">
        <v>40</v>
      </c>
      <c r="I903" s="21"/>
      <c r="J903" s="21"/>
      <c r="K903" s="21">
        <v>43</v>
      </c>
      <c r="L903" s="21">
        <v>11</v>
      </c>
      <c r="M903" s="21"/>
      <c r="N903" s="21"/>
      <c r="O903" s="21">
        <v>50</v>
      </c>
      <c r="P903" s="21">
        <v>41</v>
      </c>
      <c r="Q903" s="22">
        <f t="shared" si="14"/>
        <v>302</v>
      </c>
    </row>
    <row r="904" spans="1:17" ht="15.75" customHeight="1">
      <c r="A904" s="23">
        <v>902</v>
      </c>
      <c r="B904" s="24" t="s">
        <v>2894</v>
      </c>
      <c r="C904" s="24" t="s">
        <v>1357</v>
      </c>
      <c r="D904" s="24" t="s">
        <v>2895</v>
      </c>
      <c r="E904" s="25"/>
      <c r="F904" s="25"/>
      <c r="G904" s="25"/>
      <c r="H904" s="25"/>
      <c r="I904" s="25"/>
      <c r="J904" s="25"/>
      <c r="K904" s="25"/>
      <c r="L904" s="25">
        <v>36</v>
      </c>
      <c r="M904" s="25"/>
      <c r="N904" s="25"/>
      <c r="O904" s="25"/>
      <c r="P904" s="25"/>
      <c r="Q904" s="22">
        <f t="shared" si="14"/>
        <v>36</v>
      </c>
    </row>
    <row r="905" spans="1:17" ht="15.75" customHeight="1">
      <c r="A905" s="19">
        <v>903</v>
      </c>
      <c r="B905" s="20" t="s">
        <v>1981</v>
      </c>
      <c r="C905" s="20" t="s">
        <v>1357</v>
      </c>
      <c r="D905" s="20" t="s">
        <v>1982</v>
      </c>
      <c r="E905" s="21">
        <v>5</v>
      </c>
      <c r="F905" s="21"/>
      <c r="G905" s="21"/>
      <c r="H905" s="21">
        <v>10</v>
      </c>
      <c r="I905" s="21"/>
      <c r="J905" s="21">
        <v>13</v>
      </c>
      <c r="K905" s="21">
        <v>10</v>
      </c>
      <c r="L905" s="21"/>
      <c r="M905" s="21"/>
      <c r="N905" s="21"/>
      <c r="O905" s="21"/>
      <c r="P905" s="21">
        <v>6</v>
      </c>
      <c r="Q905" s="22">
        <f t="shared" si="14"/>
        <v>44</v>
      </c>
    </row>
    <row r="906" spans="1:17" ht="15.75" customHeight="1">
      <c r="A906" s="23">
        <v>904</v>
      </c>
      <c r="B906" s="24" t="s">
        <v>1983</v>
      </c>
      <c r="C906" s="24" t="s">
        <v>1357</v>
      </c>
      <c r="D906" s="24" t="s">
        <v>1984</v>
      </c>
      <c r="E906" s="25"/>
      <c r="F906" s="25">
        <v>6</v>
      </c>
      <c r="G906" s="25"/>
      <c r="H906" s="25"/>
      <c r="I906" s="25">
        <v>3</v>
      </c>
      <c r="J906" s="25"/>
      <c r="K906" s="25">
        <v>10</v>
      </c>
      <c r="L906" s="25"/>
      <c r="M906" s="25">
        <v>23</v>
      </c>
      <c r="N906" s="25">
        <v>8</v>
      </c>
      <c r="O906" s="25"/>
      <c r="P906" s="25">
        <v>2</v>
      </c>
      <c r="Q906" s="22">
        <f t="shared" si="14"/>
        <v>52</v>
      </c>
    </row>
    <row r="907" spans="1:17" ht="15.75" customHeight="1">
      <c r="A907" s="19">
        <v>905</v>
      </c>
      <c r="B907" s="20" t="s">
        <v>1985</v>
      </c>
      <c r="C907" s="20" t="s">
        <v>1357</v>
      </c>
      <c r="D907" s="20" t="s">
        <v>1986</v>
      </c>
      <c r="E907" s="21"/>
      <c r="F907" s="21"/>
      <c r="G907" s="21"/>
      <c r="H907" s="21"/>
      <c r="I907" s="21"/>
      <c r="J907" s="21"/>
      <c r="K907" s="21"/>
      <c r="L907" s="21"/>
      <c r="M907" s="21">
        <v>20</v>
      </c>
      <c r="N907" s="21"/>
      <c r="O907" s="21"/>
      <c r="P907" s="21"/>
      <c r="Q907" s="22">
        <f t="shared" si="14"/>
        <v>20</v>
      </c>
    </row>
    <row r="908" spans="1:17" ht="15.75" customHeight="1">
      <c r="A908" s="23">
        <v>906</v>
      </c>
      <c r="B908" s="24" t="s">
        <v>2896</v>
      </c>
      <c r="C908" s="24" t="s">
        <v>1363</v>
      </c>
      <c r="D908" s="24" t="s">
        <v>2897</v>
      </c>
      <c r="E908" s="25">
        <v>36</v>
      </c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2">
        <f t="shared" si="14"/>
        <v>36</v>
      </c>
    </row>
    <row r="909" spans="1:17" ht="15.75" customHeight="1">
      <c r="A909" s="19">
        <v>907</v>
      </c>
      <c r="B909" s="20" t="s">
        <v>1989</v>
      </c>
      <c r="C909" s="20" t="s">
        <v>1363</v>
      </c>
      <c r="D909" s="20" t="s">
        <v>1990</v>
      </c>
      <c r="E909" s="21"/>
      <c r="F909" s="21"/>
      <c r="G909" s="21"/>
      <c r="H909" s="21"/>
      <c r="I909" s="21"/>
      <c r="J909" s="21"/>
      <c r="K909" s="21"/>
      <c r="L909" s="21">
        <v>3</v>
      </c>
      <c r="M909" s="21"/>
      <c r="N909" s="21"/>
      <c r="O909" s="21"/>
      <c r="P909" s="21"/>
      <c r="Q909" s="22">
        <f t="shared" si="14"/>
        <v>3</v>
      </c>
    </row>
    <row r="910" spans="1:17" ht="15.75" customHeight="1">
      <c r="A910" s="23">
        <v>908</v>
      </c>
      <c r="B910" s="24" t="s">
        <v>2898</v>
      </c>
      <c r="C910" s="24" t="s">
        <v>1363</v>
      </c>
      <c r="D910" s="24" t="s">
        <v>2899</v>
      </c>
      <c r="E910" s="25"/>
      <c r="F910" s="25"/>
      <c r="G910" s="25"/>
      <c r="H910" s="25">
        <v>29</v>
      </c>
      <c r="I910" s="25">
        <v>28</v>
      </c>
      <c r="J910" s="25">
        <v>11</v>
      </c>
      <c r="K910" s="25"/>
      <c r="L910" s="25"/>
      <c r="M910" s="25"/>
      <c r="N910" s="25"/>
      <c r="O910" s="25"/>
      <c r="P910" s="25"/>
      <c r="Q910" s="22">
        <f t="shared" si="14"/>
        <v>68</v>
      </c>
    </row>
    <row r="911" spans="1:17" ht="15.75" customHeight="1">
      <c r="A911" s="19">
        <v>909</v>
      </c>
      <c r="B911" s="20" t="s">
        <v>2900</v>
      </c>
      <c r="C911" s="20" t="s">
        <v>1363</v>
      </c>
      <c r="D911" s="20" t="s">
        <v>2901</v>
      </c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>
        <v>4</v>
      </c>
      <c r="Q911" s="22">
        <f t="shared" si="14"/>
        <v>4</v>
      </c>
    </row>
    <row r="912" spans="1:17" ht="15.75" customHeight="1">
      <c r="A912" s="23">
        <v>910</v>
      </c>
      <c r="B912" s="24" t="s">
        <v>1991</v>
      </c>
      <c r="C912" s="24" t="s">
        <v>1363</v>
      </c>
      <c r="D912" s="24" t="s">
        <v>1992</v>
      </c>
      <c r="E912" s="25">
        <v>9</v>
      </c>
      <c r="F912" s="25">
        <v>33</v>
      </c>
      <c r="G912" s="25"/>
      <c r="H912" s="25">
        <v>10</v>
      </c>
      <c r="I912" s="25"/>
      <c r="J912" s="25"/>
      <c r="K912" s="25">
        <v>5</v>
      </c>
      <c r="L912" s="25"/>
      <c r="M912" s="25"/>
      <c r="N912" s="25"/>
      <c r="O912" s="25"/>
      <c r="P912" s="25"/>
      <c r="Q912" s="22">
        <f t="shared" si="14"/>
        <v>57</v>
      </c>
    </row>
    <row r="913" spans="1:17" ht="15.75" customHeight="1">
      <c r="A913" s="19">
        <v>911</v>
      </c>
      <c r="B913" s="20" t="s">
        <v>1993</v>
      </c>
      <c r="C913" s="20" t="s">
        <v>1363</v>
      </c>
      <c r="D913" s="20" t="s">
        <v>1994</v>
      </c>
      <c r="E913" s="21">
        <v>10</v>
      </c>
      <c r="F913" s="21">
        <v>50</v>
      </c>
      <c r="G913" s="21"/>
      <c r="H913" s="21"/>
      <c r="I913" s="21">
        <v>25</v>
      </c>
      <c r="J913" s="21">
        <v>22</v>
      </c>
      <c r="K913" s="21"/>
      <c r="L913" s="21"/>
      <c r="M913" s="21"/>
      <c r="N913" s="21"/>
      <c r="O913" s="21">
        <v>10</v>
      </c>
      <c r="P913" s="21"/>
      <c r="Q913" s="22">
        <f t="shared" si="14"/>
        <v>117</v>
      </c>
    </row>
    <row r="914" spans="1:17" ht="15.75" customHeight="1">
      <c r="A914" s="23">
        <v>912</v>
      </c>
      <c r="B914" s="24" t="s">
        <v>1995</v>
      </c>
      <c r="C914" s="24" t="s">
        <v>1363</v>
      </c>
      <c r="D914" s="24" t="s">
        <v>1996</v>
      </c>
      <c r="E914" s="25"/>
      <c r="F914" s="25"/>
      <c r="G914" s="25"/>
      <c r="H914" s="25"/>
      <c r="I914" s="25"/>
      <c r="J914" s="25"/>
      <c r="K914" s="25">
        <v>5</v>
      </c>
      <c r="L914" s="25"/>
      <c r="M914" s="25"/>
      <c r="N914" s="25"/>
      <c r="O914" s="25"/>
      <c r="P914" s="25"/>
      <c r="Q914" s="22">
        <f t="shared" si="14"/>
        <v>5</v>
      </c>
    </row>
    <row r="915" spans="1:17" ht="15.75" customHeight="1">
      <c r="A915" s="19">
        <v>913</v>
      </c>
      <c r="B915" s="20" t="s">
        <v>2001</v>
      </c>
      <c r="C915" s="20" t="s">
        <v>1363</v>
      </c>
      <c r="D915" s="20" t="s">
        <v>2002</v>
      </c>
      <c r="E915" s="21">
        <v>18</v>
      </c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2">
        <f t="shared" si="14"/>
        <v>18</v>
      </c>
    </row>
    <row r="916" spans="1:17" ht="15.75" customHeight="1">
      <c r="A916" s="23">
        <v>914</v>
      </c>
      <c r="B916" s="24" t="s">
        <v>2003</v>
      </c>
      <c r="C916" s="24" t="s">
        <v>1357</v>
      </c>
      <c r="D916" s="24" t="s">
        <v>2004</v>
      </c>
      <c r="E916" s="25">
        <v>8</v>
      </c>
      <c r="F916" s="25">
        <v>40</v>
      </c>
      <c r="G916" s="25"/>
      <c r="H916" s="25"/>
      <c r="I916" s="25">
        <v>84</v>
      </c>
      <c r="J916" s="25">
        <v>40</v>
      </c>
      <c r="K916" s="25">
        <v>20</v>
      </c>
      <c r="L916" s="25"/>
      <c r="M916" s="25"/>
      <c r="N916" s="25"/>
      <c r="O916" s="25">
        <v>80</v>
      </c>
      <c r="P916" s="25">
        <v>30</v>
      </c>
      <c r="Q916" s="22">
        <f t="shared" si="14"/>
        <v>302</v>
      </c>
    </row>
    <row r="917" spans="1:17" ht="15.75" customHeight="1">
      <c r="A917" s="19">
        <v>915</v>
      </c>
      <c r="B917" s="20" t="s">
        <v>2005</v>
      </c>
      <c r="C917" s="20" t="s">
        <v>1363</v>
      </c>
      <c r="D917" s="20" t="s">
        <v>2006</v>
      </c>
      <c r="E917" s="21"/>
      <c r="F917" s="21"/>
      <c r="G917" s="21"/>
      <c r="H917" s="21"/>
      <c r="I917" s="21"/>
      <c r="J917" s="21"/>
      <c r="K917" s="21">
        <v>5</v>
      </c>
      <c r="L917" s="21"/>
      <c r="M917" s="21"/>
      <c r="N917" s="21"/>
      <c r="O917" s="21"/>
      <c r="P917" s="21"/>
      <c r="Q917" s="22">
        <f t="shared" si="14"/>
        <v>5</v>
      </c>
    </row>
    <row r="918" spans="1:17" ht="15.75" customHeight="1">
      <c r="A918" s="23">
        <v>916</v>
      </c>
      <c r="B918" s="24" t="s">
        <v>2902</v>
      </c>
      <c r="C918" s="24" t="s">
        <v>2008</v>
      </c>
      <c r="D918" s="24" t="s">
        <v>2903</v>
      </c>
      <c r="E918" s="25"/>
      <c r="F918" s="25"/>
      <c r="G918" s="25"/>
      <c r="H918" s="25">
        <v>10</v>
      </c>
      <c r="I918" s="25"/>
      <c r="J918" s="25"/>
      <c r="K918" s="25"/>
      <c r="L918" s="25"/>
      <c r="M918" s="25"/>
      <c r="N918" s="25"/>
      <c r="O918" s="25"/>
      <c r="P918" s="25"/>
      <c r="Q918" s="22">
        <f t="shared" si="14"/>
        <v>10</v>
      </c>
    </row>
    <row r="919" spans="1:17" ht="15.75" customHeight="1">
      <c r="A919" s="19">
        <v>917</v>
      </c>
      <c r="B919" s="20" t="s">
        <v>2017</v>
      </c>
      <c r="C919" s="20" t="s">
        <v>1460</v>
      </c>
      <c r="D919" s="20" t="s">
        <v>2018</v>
      </c>
      <c r="E919" s="21"/>
      <c r="F919" s="21"/>
      <c r="G919" s="21"/>
      <c r="H919" s="21"/>
      <c r="I919" s="21"/>
      <c r="J919" s="21">
        <v>10</v>
      </c>
      <c r="K919" s="21"/>
      <c r="L919" s="21"/>
      <c r="M919" s="21"/>
      <c r="N919" s="21"/>
      <c r="O919" s="21">
        <v>20</v>
      </c>
      <c r="P919" s="21"/>
      <c r="Q919" s="22">
        <f t="shared" si="14"/>
        <v>30</v>
      </c>
    </row>
    <row r="920" spans="1:17" ht="15.75" customHeight="1">
      <c r="A920" s="23">
        <v>918</v>
      </c>
      <c r="B920" s="24" t="s">
        <v>2904</v>
      </c>
      <c r="C920" s="24" t="s">
        <v>1460</v>
      </c>
      <c r="D920" s="24" t="s">
        <v>2905</v>
      </c>
      <c r="E920" s="25"/>
      <c r="F920" s="25"/>
      <c r="G920" s="25">
        <v>70</v>
      </c>
      <c r="H920" s="25">
        <v>5</v>
      </c>
      <c r="I920" s="25"/>
      <c r="J920" s="25"/>
      <c r="K920" s="25"/>
      <c r="L920" s="25"/>
      <c r="M920" s="25"/>
      <c r="N920" s="25"/>
      <c r="O920" s="25"/>
      <c r="P920" s="25"/>
      <c r="Q920" s="22">
        <f t="shared" si="14"/>
        <v>75</v>
      </c>
    </row>
    <row r="921" spans="1:17" ht="15.75" customHeight="1">
      <c r="A921" s="19">
        <v>919</v>
      </c>
      <c r="B921" s="20" t="s">
        <v>2906</v>
      </c>
      <c r="C921" s="20" t="s">
        <v>1460</v>
      </c>
      <c r="D921" s="20" t="s">
        <v>2907</v>
      </c>
      <c r="E921" s="21">
        <v>20</v>
      </c>
      <c r="F921" s="21"/>
      <c r="G921" s="21"/>
      <c r="H921" s="21"/>
      <c r="I921" s="21"/>
      <c r="J921" s="21"/>
      <c r="K921" s="21">
        <v>5</v>
      </c>
      <c r="L921" s="21"/>
      <c r="M921" s="21"/>
      <c r="N921" s="21"/>
      <c r="O921" s="21"/>
      <c r="P921" s="21"/>
      <c r="Q921" s="22">
        <f t="shared" si="14"/>
        <v>25</v>
      </c>
    </row>
    <row r="922" spans="1:17" ht="15.75" customHeight="1">
      <c r="A922" s="23">
        <v>920</v>
      </c>
      <c r="B922" s="24" t="s">
        <v>2027</v>
      </c>
      <c r="C922" s="24" t="s">
        <v>1463</v>
      </c>
      <c r="D922" s="24" t="s">
        <v>2028</v>
      </c>
      <c r="E922" s="25"/>
      <c r="F922" s="25"/>
      <c r="G922" s="25"/>
      <c r="H922" s="25"/>
      <c r="I922" s="25"/>
      <c r="J922" s="25">
        <v>5</v>
      </c>
      <c r="K922" s="25"/>
      <c r="L922" s="25"/>
      <c r="M922" s="25"/>
      <c r="N922" s="25"/>
      <c r="O922" s="25"/>
      <c r="P922" s="25"/>
      <c r="Q922" s="22">
        <f t="shared" si="14"/>
        <v>5</v>
      </c>
    </row>
    <row r="923" spans="1:17" ht="15.75" customHeight="1">
      <c r="A923" s="19">
        <v>921</v>
      </c>
      <c r="B923" s="20" t="s">
        <v>2031</v>
      </c>
      <c r="C923" s="20" t="s">
        <v>1463</v>
      </c>
      <c r="D923" s="20" t="s">
        <v>2032</v>
      </c>
      <c r="E923" s="21"/>
      <c r="F923" s="21"/>
      <c r="G923" s="21"/>
      <c r="H923" s="21"/>
      <c r="I923" s="21">
        <v>15</v>
      </c>
      <c r="J923" s="21"/>
      <c r="K923" s="21"/>
      <c r="L923" s="21"/>
      <c r="M923" s="21"/>
      <c r="N923" s="21"/>
      <c r="O923" s="21"/>
      <c r="P923" s="21"/>
      <c r="Q923" s="22">
        <f t="shared" si="14"/>
        <v>15</v>
      </c>
    </row>
    <row r="924" spans="1:17" ht="15.75" customHeight="1">
      <c r="A924" s="23">
        <v>922</v>
      </c>
      <c r="B924" s="24" t="s">
        <v>2908</v>
      </c>
      <c r="C924" s="24" t="s">
        <v>1463</v>
      </c>
      <c r="D924" s="24" t="s">
        <v>2909</v>
      </c>
      <c r="E924" s="25"/>
      <c r="F924" s="25"/>
      <c r="G924" s="25"/>
      <c r="H924" s="25"/>
      <c r="I924" s="25"/>
      <c r="J924" s="25"/>
      <c r="K924" s="25"/>
      <c r="L924" s="25"/>
      <c r="M924" s="25">
        <v>35</v>
      </c>
      <c r="N924" s="25"/>
      <c r="O924" s="25"/>
      <c r="P924" s="25"/>
      <c r="Q924" s="22">
        <f t="shared" si="14"/>
        <v>35</v>
      </c>
    </row>
    <row r="925" spans="1:17" ht="15.75" customHeight="1">
      <c r="A925" s="19">
        <v>923</v>
      </c>
      <c r="B925" s="20" t="s">
        <v>2040</v>
      </c>
      <c r="C925" s="20" t="s">
        <v>2041</v>
      </c>
      <c r="D925" s="20" t="s">
        <v>2042</v>
      </c>
      <c r="E925" s="21"/>
      <c r="F925" s="21"/>
      <c r="G925" s="21"/>
      <c r="H925" s="21"/>
      <c r="I925" s="21"/>
      <c r="J925" s="21"/>
      <c r="K925" s="21"/>
      <c r="L925" s="21"/>
      <c r="M925" s="21">
        <v>24</v>
      </c>
      <c r="N925" s="21"/>
      <c r="O925" s="21"/>
      <c r="P925" s="21"/>
      <c r="Q925" s="22">
        <f t="shared" si="14"/>
        <v>24</v>
      </c>
    </row>
    <row r="926" spans="1:17" ht="15.75" customHeight="1">
      <c r="A926" s="23">
        <v>924</v>
      </c>
      <c r="B926" s="24" t="s">
        <v>2910</v>
      </c>
      <c r="C926" s="24" t="s">
        <v>2041</v>
      </c>
      <c r="D926" s="24" t="s">
        <v>2911</v>
      </c>
      <c r="E926" s="25"/>
      <c r="F926" s="25"/>
      <c r="G926" s="25"/>
      <c r="H926" s="25"/>
      <c r="I926" s="25"/>
      <c r="J926" s="25"/>
      <c r="K926" s="25">
        <v>10</v>
      </c>
      <c r="L926" s="25"/>
      <c r="M926" s="25"/>
      <c r="N926" s="25"/>
      <c r="O926" s="25"/>
      <c r="P926" s="25"/>
      <c r="Q926" s="22">
        <f t="shared" si="14"/>
        <v>10</v>
      </c>
    </row>
    <row r="927" spans="1:17" ht="15.75" customHeight="1">
      <c r="A927" s="19">
        <v>925</v>
      </c>
      <c r="B927" s="20" t="s">
        <v>2912</v>
      </c>
      <c r="C927" s="20" t="s">
        <v>2041</v>
      </c>
      <c r="D927" s="20" t="s">
        <v>2913</v>
      </c>
      <c r="E927" s="21">
        <v>20</v>
      </c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2">
        <f t="shared" si="14"/>
        <v>20</v>
      </c>
    </row>
    <row r="928" spans="1:17" ht="15.75" customHeight="1">
      <c r="A928" s="23">
        <v>926</v>
      </c>
      <c r="B928" s="24" t="s">
        <v>2045</v>
      </c>
      <c r="C928" s="24" t="s">
        <v>2041</v>
      </c>
      <c r="D928" s="24" t="s">
        <v>2046</v>
      </c>
      <c r="E928" s="25">
        <v>5</v>
      </c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2">
        <f t="shared" si="14"/>
        <v>5</v>
      </c>
    </row>
    <row r="929" spans="1:17" ht="15.75" customHeight="1">
      <c r="A929" s="19">
        <v>927</v>
      </c>
      <c r="B929" s="20" t="s">
        <v>2914</v>
      </c>
      <c r="C929" s="20" t="s">
        <v>1489</v>
      </c>
      <c r="D929" s="20" t="s">
        <v>2915</v>
      </c>
      <c r="E929" s="21">
        <v>20</v>
      </c>
      <c r="F929" s="21"/>
      <c r="G929" s="21"/>
      <c r="H929" s="21">
        <v>10</v>
      </c>
      <c r="I929" s="21"/>
      <c r="J929" s="21"/>
      <c r="K929" s="21"/>
      <c r="L929" s="21"/>
      <c r="M929" s="21"/>
      <c r="N929" s="21"/>
      <c r="O929" s="21"/>
      <c r="P929" s="21"/>
      <c r="Q929" s="22">
        <f t="shared" si="14"/>
        <v>30</v>
      </c>
    </row>
    <row r="930" spans="1:17" ht="15.75" customHeight="1">
      <c r="A930" s="23">
        <v>928</v>
      </c>
      <c r="B930" s="24" t="s">
        <v>2057</v>
      </c>
      <c r="C930" s="24" t="s">
        <v>1489</v>
      </c>
      <c r="D930" s="24" t="s">
        <v>2058</v>
      </c>
      <c r="E930" s="25"/>
      <c r="F930" s="25"/>
      <c r="G930" s="25"/>
      <c r="H930" s="25"/>
      <c r="I930" s="25"/>
      <c r="J930" s="25">
        <v>10</v>
      </c>
      <c r="K930" s="25"/>
      <c r="L930" s="25"/>
      <c r="M930" s="25"/>
      <c r="N930" s="25"/>
      <c r="O930" s="25"/>
      <c r="P930" s="25"/>
      <c r="Q930" s="22">
        <f t="shared" si="14"/>
        <v>10</v>
      </c>
    </row>
    <row r="931" spans="1:17" ht="15.75" customHeight="1">
      <c r="A931" s="19">
        <v>929</v>
      </c>
      <c r="B931" s="20" t="s">
        <v>2059</v>
      </c>
      <c r="C931" s="20" t="s">
        <v>1491</v>
      </c>
      <c r="D931" s="20" t="s">
        <v>2060</v>
      </c>
      <c r="E931" s="21"/>
      <c r="F931" s="21"/>
      <c r="G931" s="21"/>
      <c r="H931" s="21"/>
      <c r="I931" s="21">
        <v>3</v>
      </c>
      <c r="J931" s="21"/>
      <c r="K931" s="21">
        <v>5</v>
      </c>
      <c r="L931" s="21"/>
      <c r="M931" s="21"/>
      <c r="N931" s="21"/>
      <c r="O931" s="21"/>
      <c r="P931" s="21"/>
      <c r="Q931" s="22">
        <f t="shared" si="14"/>
        <v>8</v>
      </c>
    </row>
    <row r="932" spans="1:17" ht="15.75" customHeight="1">
      <c r="A932" s="23">
        <v>930</v>
      </c>
      <c r="B932" s="24" t="s">
        <v>2916</v>
      </c>
      <c r="C932" s="24" t="s">
        <v>1491</v>
      </c>
      <c r="D932" s="24" t="s">
        <v>2917</v>
      </c>
      <c r="E932" s="25">
        <v>1</v>
      </c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2">
        <f t="shared" si="14"/>
        <v>1</v>
      </c>
    </row>
    <row r="933" spans="1:17" ht="15.75" customHeight="1">
      <c r="A933" s="19">
        <v>931</v>
      </c>
      <c r="B933" s="20" t="s">
        <v>2918</v>
      </c>
      <c r="C933" s="20" t="s">
        <v>1491</v>
      </c>
      <c r="D933" s="20" t="s">
        <v>2919</v>
      </c>
      <c r="E933" s="21"/>
      <c r="F933" s="21"/>
      <c r="G933" s="21"/>
      <c r="H933" s="21"/>
      <c r="I933" s="21">
        <v>25</v>
      </c>
      <c r="J933" s="21"/>
      <c r="K933" s="21"/>
      <c r="L933" s="21"/>
      <c r="M933" s="21"/>
      <c r="N933" s="21"/>
      <c r="O933" s="21"/>
      <c r="P933" s="21"/>
      <c r="Q933" s="22">
        <f t="shared" si="14"/>
        <v>25</v>
      </c>
    </row>
    <row r="934" spans="1:17" ht="15.75" customHeight="1">
      <c r="A934" s="23">
        <v>932</v>
      </c>
      <c r="B934" s="24" t="s">
        <v>2061</v>
      </c>
      <c r="C934" s="24" t="s">
        <v>1493</v>
      </c>
      <c r="D934" s="24" t="s">
        <v>2062</v>
      </c>
      <c r="E934" s="25"/>
      <c r="F934" s="25">
        <v>5</v>
      </c>
      <c r="G934" s="25"/>
      <c r="H934" s="25"/>
      <c r="I934" s="25">
        <v>4</v>
      </c>
      <c r="J934" s="25"/>
      <c r="K934" s="25"/>
      <c r="L934" s="25"/>
      <c r="M934" s="25"/>
      <c r="N934" s="25"/>
      <c r="O934" s="25"/>
      <c r="P934" s="25"/>
      <c r="Q934" s="22">
        <f t="shared" si="14"/>
        <v>9</v>
      </c>
    </row>
    <row r="935" spans="1:17" ht="15.75" customHeight="1">
      <c r="A935" s="19">
        <v>933</v>
      </c>
      <c r="B935" s="20" t="s">
        <v>2065</v>
      </c>
      <c r="C935" s="20" t="s">
        <v>1493</v>
      </c>
      <c r="D935" s="20" t="s">
        <v>2066</v>
      </c>
      <c r="E935" s="21"/>
      <c r="F935" s="21"/>
      <c r="G935" s="21"/>
      <c r="H935" s="21">
        <v>12</v>
      </c>
      <c r="I935" s="21"/>
      <c r="J935" s="21"/>
      <c r="K935" s="21"/>
      <c r="L935" s="21"/>
      <c r="M935" s="21"/>
      <c r="N935" s="21"/>
      <c r="O935" s="21"/>
      <c r="P935" s="21"/>
      <c r="Q935" s="22">
        <f t="shared" si="14"/>
        <v>12</v>
      </c>
    </row>
    <row r="936" spans="1:17" ht="15.75" customHeight="1">
      <c r="A936" s="23">
        <v>934</v>
      </c>
      <c r="B936" s="24" t="s">
        <v>2920</v>
      </c>
      <c r="C936" s="24" t="s">
        <v>2068</v>
      </c>
      <c r="D936" s="24" t="s">
        <v>2921</v>
      </c>
      <c r="E936" s="25"/>
      <c r="F936" s="25"/>
      <c r="G936" s="25"/>
      <c r="H936" s="25"/>
      <c r="I936" s="25"/>
      <c r="J936" s="25">
        <v>10</v>
      </c>
      <c r="K936" s="25"/>
      <c r="L936" s="25">
        <v>2</v>
      </c>
      <c r="M936" s="25"/>
      <c r="N936" s="25"/>
      <c r="O936" s="25"/>
      <c r="P936" s="25"/>
      <c r="Q936" s="22">
        <f t="shared" si="14"/>
        <v>12</v>
      </c>
    </row>
    <row r="937" spans="1:17" ht="15.75" customHeight="1">
      <c r="A937" s="19">
        <v>935</v>
      </c>
      <c r="B937" s="20" t="s">
        <v>2067</v>
      </c>
      <c r="C937" s="20" t="s">
        <v>2068</v>
      </c>
      <c r="D937" s="20" t="s">
        <v>2069</v>
      </c>
      <c r="E937" s="21"/>
      <c r="F937" s="21"/>
      <c r="G937" s="21"/>
      <c r="H937" s="21"/>
      <c r="I937" s="21"/>
      <c r="J937" s="21">
        <v>5</v>
      </c>
      <c r="K937" s="21">
        <v>20</v>
      </c>
      <c r="L937" s="21"/>
      <c r="M937" s="21"/>
      <c r="N937" s="21"/>
      <c r="O937" s="21"/>
      <c r="P937" s="21"/>
      <c r="Q937" s="22">
        <f t="shared" si="14"/>
        <v>25</v>
      </c>
    </row>
    <row r="938" spans="1:17" ht="15.75" customHeight="1">
      <c r="A938" s="23">
        <v>936</v>
      </c>
      <c r="B938" s="24" t="s">
        <v>2922</v>
      </c>
      <c r="C938" s="24" t="s">
        <v>2068</v>
      </c>
      <c r="D938" s="24" t="s">
        <v>2923</v>
      </c>
      <c r="E938" s="25"/>
      <c r="F938" s="25"/>
      <c r="G938" s="25"/>
      <c r="H938" s="25"/>
      <c r="I938" s="25"/>
      <c r="J938" s="25"/>
      <c r="K938" s="25">
        <v>25</v>
      </c>
      <c r="L938" s="25"/>
      <c r="M938" s="25"/>
      <c r="N938" s="25"/>
      <c r="O938" s="25"/>
      <c r="P938" s="25"/>
      <c r="Q938" s="22">
        <f t="shared" si="14"/>
        <v>25</v>
      </c>
    </row>
    <row r="939" spans="1:17" ht="15.75" customHeight="1">
      <c r="A939" s="19">
        <v>937</v>
      </c>
      <c r="B939" s="20" t="s">
        <v>2924</v>
      </c>
      <c r="C939" s="20" t="s">
        <v>2068</v>
      </c>
      <c r="D939" s="20" t="s">
        <v>2925</v>
      </c>
      <c r="E939" s="21"/>
      <c r="F939" s="21"/>
      <c r="G939" s="21"/>
      <c r="H939" s="21"/>
      <c r="I939" s="21"/>
      <c r="J939" s="21">
        <v>10</v>
      </c>
      <c r="K939" s="21"/>
      <c r="L939" s="21"/>
      <c r="M939" s="21"/>
      <c r="N939" s="21"/>
      <c r="O939" s="21"/>
      <c r="P939" s="21"/>
      <c r="Q939" s="22">
        <f t="shared" si="14"/>
        <v>10</v>
      </c>
    </row>
    <row r="940" spans="1:17" ht="15.75" customHeight="1">
      <c r="A940" s="23">
        <v>938</v>
      </c>
      <c r="B940" s="24" t="s">
        <v>2926</v>
      </c>
      <c r="C940" s="24" t="s">
        <v>2068</v>
      </c>
      <c r="D940" s="24" t="s">
        <v>2927</v>
      </c>
      <c r="E940" s="25"/>
      <c r="F940" s="25"/>
      <c r="G940" s="25"/>
      <c r="H940" s="25"/>
      <c r="I940" s="25"/>
      <c r="J940" s="25">
        <v>10</v>
      </c>
      <c r="K940" s="25"/>
      <c r="L940" s="25"/>
      <c r="M940" s="25"/>
      <c r="N940" s="25"/>
      <c r="O940" s="25"/>
      <c r="P940" s="25"/>
      <c r="Q940" s="22">
        <f t="shared" si="14"/>
        <v>10</v>
      </c>
    </row>
    <row r="941" spans="1:17" ht="15.75" customHeight="1">
      <c r="A941" s="19">
        <v>939</v>
      </c>
      <c r="B941" s="20" t="s">
        <v>2072</v>
      </c>
      <c r="C941" s="20" t="s">
        <v>2068</v>
      </c>
      <c r="D941" s="20" t="s">
        <v>2073</v>
      </c>
      <c r="E941" s="21"/>
      <c r="F941" s="21"/>
      <c r="G941" s="21"/>
      <c r="H941" s="21"/>
      <c r="I941" s="21"/>
      <c r="J941" s="21"/>
      <c r="K941" s="21"/>
      <c r="L941" s="21">
        <v>2</v>
      </c>
      <c r="M941" s="21"/>
      <c r="N941" s="21"/>
      <c r="O941" s="21"/>
      <c r="P941" s="21"/>
      <c r="Q941" s="22">
        <f t="shared" si="14"/>
        <v>2</v>
      </c>
    </row>
    <row r="942" spans="1:17" ht="15.75" customHeight="1">
      <c r="A942" s="23">
        <v>940</v>
      </c>
      <c r="B942" s="24" t="s">
        <v>2075</v>
      </c>
      <c r="C942" s="24" t="s">
        <v>2068</v>
      </c>
      <c r="D942" s="24" t="s">
        <v>2076</v>
      </c>
      <c r="E942" s="25"/>
      <c r="F942" s="25"/>
      <c r="G942" s="25"/>
      <c r="H942" s="25"/>
      <c r="I942" s="25"/>
      <c r="J942" s="25">
        <v>10</v>
      </c>
      <c r="K942" s="25"/>
      <c r="L942" s="25"/>
      <c r="M942" s="25"/>
      <c r="N942" s="25"/>
      <c r="O942" s="25"/>
      <c r="P942" s="25"/>
      <c r="Q942" s="22">
        <f t="shared" si="14"/>
        <v>10</v>
      </c>
    </row>
    <row r="943" spans="1:17" ht="15.75" customHeight="1">
      <c r="A943" s="19">
        <v>941</v>
      </c>
      <c r="B943" s="20" t="s">
        <v>2082</v>
      </c>
      <c r="C943" s="20" t="s">
        <v>1460</v>
      </c>
      <c r="D943" s="20" t="s">
        <v>2083</v>
      </c>
      <c r="E943" s="21"/>
      <c r="F943" s="21"/>
      <c r="G943" s="21"/>
      <c r="H943" s="21">
        <v>20</v>
      </c>
      <c r="I943" s="21">
        <v>40</v>
      </c>
      <c r="J943" s="21">
        <v>20</v>
      </c>
      <c r="K943" s="21">
        <v>50</v>
      </c>
      <c r="L943" s="21">
        <v>20</v>
      </c>
      <c r="M943" s="21"/>
      <c r="N943" s="21">
        <v>10</v>
      </c>
      <c r="O943" s="21">
        <v>100</v>
      </c>
      <c r="P943" s="21"/>
      <c r="Q943" s="22">
        <f t="shared" si="14"/>
        <v>260</v>
      </c>
    </row>
    <row r="944" spans="1:17" ht="15.75" customHeight="1">
      <c r="A944" s="23">
        <v>942</v>
      </c>
      <c r="B944" s="24" t="s">
        <v>2086</v>
      </c>
      <c r="C944" s="24" t="s">
        <v>1460</v>
      </c>
      <c r="D944" s="24" t="s">
        <v>2087</v>
      </c>
      <c r="E944" s="25"/>
      <c r="F944" s="25"/>
      <c r="G944" s="25"/>
      <c r="H944" s="25">
        <v>56</v>
      </c>
      <c r="I944" s="25">
        <v>30</v>
      </c>
      <c r="J944" s="25">
        <v>30</v>
      </c>
      <c r="K944" s="25">
        <v>5</v>
      </c>
      <c r="L944" s="25">
        <v>20</v>
      </c>
      <c r="M944" s="25">
        <v>1</v>
      </c>
      <c r="N944" s="25">
        <v>10</v>
      </c>
      <c r="O944" s="25">
        <v>130</v>
      </c>
      <c r="P944" s="25"/>
      <c r="Q944" s="22">
        <f t="shared" si="14"/>
        <v>282</v>
      </c>
    </row>
    <row r="945" spans="1:17" ht="15.75" customHeight="1">
      <c r="A945" s="19">
        <v>943</v>
      </c>
      <c r="B945" s="20" t="s">
        <v>2088</v>
      </c>
      <c r="C945" s="20" t="s">
        <v>1460</v>
      </c>
      <c r="D945" s="20" t="s">
        <v>2089</v>
      </c>
      <c r="E945" s="21"/>
      <c r="F945" s="21">
        <v>20</v>
      </c>
      <c r="G945" s="21">
        <v>10</v>
      </c>
      <c r="H945" s="21">
        <v>20</v>
      </c>
      <c r="I945" s="21">
        <v>60</v>
      </c>
      <c r="J945" s="21">
        <v>60</v>
      </c>
      <c r="K945" s="21">
        <v>3</v>
      </c>
      <c r="L945" s="21">
        <v>20</v>
      </c>
      <c r="M945" s="21">
        <v>8</v>
      </c>
      <c r="N945" s="21"/>
      <c r="O945" s="21"/>
      <c r="P945" s="21"/>
      <c r="Q945" s="22">
        <f t="shared" si="14"/>
        <v>201</v>
      </c>
    </row>
    <row r="946" spans="1:17" ht="15.75" customHeight="1">
      <c r="A946" s="23">
        <v>944</v>
      </c>
      <c r="B946" s="24" t="s">
        <v>2090</v>
      </c>
      <c r="C946" s="24" t="s">
        <v>1460</v>
      </c>
      <c r="D946" s="24" t="s">
        <v>2091</v>
      </c>
      <c r="E946" s="25"/>
      <c r="F946" s="25"/>
      <c r="G946" s="25"/>
      <c r="H946" s="25">
        <v>18</v>
      </c>
      <c r="I946" s="25"/>
      <c r="J946" s="25">
        <v>20</v>
      </c>
      <c r="K946" s="25"/>
      <c r="L946" s="25"/>
      <c r="M946" s="25"/>
      <c r="N946" s="25"/>
      <c r="O946" s="25"/>
      <c r="P946" s="25"/>
      <c r="Q946" s="22">
        <f t="shared" si="14"/>
        <v>38</v>
      </c>
    </row>
    <row r="947" spans="1:17" ht="15.75" customHeight="1">
      <c r="A947" s="19">
        <v>945</v>
      </c>
      <c r="B947" s="20" t="s">
        <v>2092</v>
      </c>
      <c r="C947" s="20" t="s">
        <v>1460</v>
      </c>
      <c r="D947" s="20" t="s">
        <v>2093</v>
      </c>
      <c r="E947" s="21">
        <v>20</v>
      </c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2">
        <f t="shared" si="14"/>
        <v>20</v>
      </c>
    </row>
    <row r="948" spans="1:17" ht="15.75" customHeight="1">
      <c r="A948" s="23">
        <v>946</v>
      </c>
      <c r="B948" s="24" t="s">
        <v>2096</v>
      </c>
      <c r="C948" s="24" t="s">
        <v>1463</v>
      </c>
      <c r="D948" s="24" t="s">
        <v>2097</v>
      </c>
      <c r="E948" s="25">
        <v>45</v>
      </c>
      <c r="F948" s="25"/>
      <c r="G948" s="25">
        <v>2</v>
      </c>
      <c r="H948" s="25"/>
      <c r="I948" s="25"/>
      <c r="J948" s="25"/>
      <c r="K948" s="25"/>
      <c r="L948" s="25"/>
      <c r="M948" s="25"/>
      <c r="N948" s="25"/>
      <c r="O948" s="25"/>
      <c r="P948" s="25">
        <v>10</v>
      </c>
      <c r="Q948" s="22">
        <f t="shared" si="14"/>
        <v>57</v>
      </c>
    </row>
    <row r="949" spans="1:17" ht="15.75" customHeight="1">
      <c r="A949" s="19">
        <v>947</v>
      </c>
      <c r="B949" s="20" t="s">
        <v>2098</v>
      </c>
      <c r="C949" s="20" t="s">
        <v>1463</v>
      </c>
      <c r="D949" s="20" t="s">
        <v>2099</v>
      </c>
      <c r="E949" s="21">
        <v>20</v>
      </c>
      <c r="F949" s="21">
        <v>3</v>
      </c>
      <c r="G949" s="21">
        <v>30</v>
      </c>
      <c r="H949" s="21"/>
      <c r="I949" s="21">
        <v>30</v>
      </c>
      <c r="J949" s="21"/>
      <c r="K949" s="21"/>
      <c r="L949" s="21"/>
      <c r="M949" s="21">
        <v>30</v>
      </c>
      <c r="N949" s="21"/>
      <c r="O949" s="21"/>
      <c r="P949" s="21">
        <v>10</v>
      </c>
      <c r="Q949" s="22">
        <f t="shared" si="14"/>
        <v>123</v>
      </c>
    </row>
    <row r="950" spans="1:17" ht="15.75" customHeight="1">
      <c r="A950" s="23">
        <v>948</v>
      </c>
      <c r="B950" s="24" t="s">
        <v>2100</v>
      </c>
      <c r="C950" s="24" t="s">
        <v>1463</v>
      </c>
      <c r="D950" s="24" t="s">
        <v>2101</v>
      </c>
      <c r="E950" s="25">
        <v>20</v>
      </c>
      <c r="F950" s="25"/>
      <c r="G950" s="25">
        <v>2</v>
      </c>
      <c r="H950" s="25"/>
      <c r="I950" s="25">
        <v>30</v>
      </c>
      <c r="J950" s="25"/>
      <c r="K950" s="25"/>
      <c r="L950" s="25"/>
      <c r="M950" s="25">
        <v>30</v>
      </c>
      <c r="N950" s="25">
        <v>30</v>
      </c>
      <c r="O950" s="25"/>
      <c r="P950" s="25">
        <v>5</v>
      </c>
      <c r="Q950" s="22">
        <f t="shared" si="14"/>
        <v>117</v>
      </c>
    </row>
    <row r="951" spans="1:17" ht="15.75" customHeight="1">
      <c r="A951" s="19">
        <v>949</v>
      </c>
      <c r="B951" s="20" t="s">
        <v>2102</v>
      </c>
      <c r="C951" s="20" t="s">
        <v>1463</v>
      </c>
      <c r="D951" s="20" t="s">
        <v>2103</v>
      </c>
      <c r="E951" s="21"/>
      <c r="F951" s="21">
        <v>7</v>
      </c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2">
        <f t="shared" si="14"/>
        <v>7</v>
      </c>
    </row>
    <row r="952" spans="1:17" ht="15.75" customHeight="1">
      <c r="A952" s="23">
        <v>950</v>
      </c>
      <c r="B952" s="24" t="s">
        <v>2928</v>
      </c>
      <c r="C952" s="24" t="s">
        <v>2929</v>
      </c>
      <c r="D952" s="24" t="s">
        <v>1911</v>
      </c>
      <c r="E952" s="25"/>
      <c r="F952" s="25"/>
      <c r="G952" s="25"/>
      <c r="H952" s="25"/>
      <c r="I952" s="25"/>
      <c r="J952" s="25">
        <v>35</v>
      </c>
      <c r="K952" s="25"/>
      <c r="L952" s="25"/>
      <c r="M952" s="25"/>
      <c r="N952" s="25"/>
      <c r="O952" s="25"/>
      <c r="P952" s="25"/>
      <c r="Q952" s="22">
        <f t="shared" si="14"/>
        <v>35</v>
      </c>
    </row>
    <row r="953" spans="1:17" ht="15.75" customHeight="1">
      <c r="A953" s="19">
        <v>951</v>
      </c>
      <c r="B953" s="20" t="s">
        <v>2930</v>
      </c>
      <c r="C953" s="20" t="s">
        <v>2929</v>
      </c>
      <c r="D953" s="20" t="s">
        <v>1913</v>
      </c>
      <c r="E953" s="21"/>
      <c r="F953" s="21"/>
      <c r="G953" s="21">
        <v>11</v>
      </c>
      <c r="H953" s="21"/>
      <c r="I953" s="21">
        <v>6</v>
      </c>
      <c r="J953" s="21">
        <v>25</v>
      </c>
      <c r="K953" s="21"/>
      <c r="L953" s="21"/>
      <c r="M953" s="21"/>
      <c r="N953" s="21"/>
      <c r="O953" s="21"/>
      <c r="P953" s="21"/>
      <c r="Q953" s="22">
        <f t="shared" si="14"/>
        <v>42</v>
      </c>
    </row>
    <row r="954" spans="1:17" ht="15.75" customHeight="1">
      <c r="A954" s="23">
        <v>952</v>
      </c>
      <c r="B954" s="24" t="s">
        <v>2931</v>
      </c>
      <c r="C954" s="24" t="s">
        <v>2929</v>
      </c>
      <c r="D954" s="24" t="s">
        <v>1904</v>
      </c>
      <c r="E954" s="25"/>
      <c r="F954" s="25"/>
      <c r="G954" s="25">
        <v>10</v>
      </c>
      <c r="H954" s="25"/>
      <c r="I954" s="25"/>
      <c r="J954" s="25"/>
      <c r="K954" s="25"/>
      <c r="L954" s="25"/>
      <c r="M954" s="25">
        <v>5</v>
      </c>
      <c r="N954" s="25"/>
      <c r="O954" s="25"/>
      <c r="P954" s="25"/>
      <c r="Q954" s="22">
        <f t="shared" si="14"/>
        <v>15</v>
      </c>
    </row>
    <row r="955" spans="1:17" ht="15.75" customHeight="1">
      <c r="A955" s="19">
        <v>953</v>
      </c>
      <c r="B955" s="20" t="s">
        <v>2104</v>
      </c>
      <c r="C955" s="20" t="s">
        <v>1466</v>
      </c>
      <c r="D955" s="20" t="s">
        <v>2105</v>
      </c>
      <c r="E955" s="21">
        <v>215</v>
      </c>
      <c r="F955" s="21">
        <v>440</v>
      </c>
      <c r="G955" s="21">
        <v>80</v>
      </c>
      <c r="H955" s="21">
        <v>35</v>
      </c>
      <c r="I955" s="21">
        <v>80</v>
      </c>
      <c r="J955" s="21">
        <v>95</v>
      </c>
      <c r="K955" s="21">
        <v>185</v>
      </c>
      <c r="L955" s="21">
        <v>120</v>
      </c>
      <c r="M955" s="21">
        <v>300</v>
      </c>
      <c r="N955" s="21">
        <v>200</v>
      </c>
      <c r="O955" s="21">
        <v>190</v>
      </c>
      <c r="P955" s="21">
        <v>48</v>
      </c>
      <c r="Q955" s="22">
        <f t="shared" si="14"/>
        <v>1988</v>
      </c>
    </row>
    <row r="956" spans="1:17" ht="15.75" customHeight="1">
      <c r="A956" s="23">
        <v>954</v>
      </c>
      <c r="B956" s="24" t="s">
        <v>2106</v>
      </c>
      <c r="C956" s="24" t="s">
        <v>1466</v>
      </c>
      <c r="D956" s="24" t="s">
        <v>1668</v>
      </c>
      <c r="E956" s="25"/>
      <c r="F956" s="25"/>
      <c r="G956" s="25"/>
      <c r="H956" s="25"/>
      <c r="I956" s="25"/>
      <c r="J956" s="25"/>
      <c r="K956" s="25"/>
      <c r="L956" s="25"/>
      <c r="M956" s="25">
        <v>20</v>
      </c>
      <c r="N956" s="25"/>
      <c r="O956" s="25"/>
      <c r="P956" s="25">
        <v>150</v>
      </c>
      <c r="Q956" s="22">
        <f t="shared" si="14"/>
        <v>170</v>
      </c>
    </row>
    <row r="957" spans="1:17" ht="15.75" customHeight="1">
      <c r="A957" s="19">
        <v>955</v>
      </c>
      <c r="B957" s="20" t="s">
        <v>2932</v>
      </c>
      <c r="C957" s="20" t="s">
        <v>1466</v>
      </c>
      <c r="D957" s="20" t="s">
        <v>1700</v>
      </c>
      <c r="E957" s="21"/>
      <c r="F957" s="21">
        <v>110</v>
      </c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2">
        <f t="shared" si="14"/>
        <v>110</v>
      </c>
    </row>
    <row r="958" spans="1:17" ht="15.75" customHeight="1">
      <c r="A958" s="23">
        <v>956</v>
      </c>
      <c r="B958" s="24" t="s">
        <v>2107</v>
      </c>
      <c r="C958" s="24" t="s">
        <v>1466</v>
      </c>
      <c r="D958" s="24" t="s">
        <v>2108</v>
      </c>
      <c r="E958" s="25">
        <v>300</v>
      </c>
      <c r="F958" s="25">
        <v>398</v>
      </c>
      <c r="G958" s="25">
        <v>110</v>
      </c>
      <c r="H958" s="25">
        <v>210</v>
      </c>
      <c r="I958" s="25">
        <v>80</v>
      </c>
      <c r="J958" s="25">
        <v>195</v>
      </c>
      <c r="K958" s="25">
        <v>300</v>
      </c>
      <c r="L958" s="25">
        <v>20</v>
      </c>
      <c r="M958" s="25">
        <v>265</v>
      </c>
      <c r="N958" s="25">
        <v>430</v>
      </c>
      <c r="O958" s="25">
        <v>80</v>
      </c>
      <c r="P958" s="25">
        <v>66</v>
      </c>
      <c r="Q958" s="22">
        <f t="shared" si="14"/>
        <v>2454</v>
      </c>
    </row>
    <row r="959" spans="1:17" ht="15.75" customHeight="1">
      <c r="A959" s="19">
        <v>957</v>
      </c>
      <c r="B959" s="20" t="s">
        <v>2112</v>
      </c>
      <c r="C959" s="20" t="s">
        <v>1466</v>
      </c>
      <c r="D959" s="20" t="s">
        <v>1722</v>
      </c>
      <c r="E959" s="21"/>
      <c r="F959" s="21"/>
      <c r="G959" s="21"/>
      <c r="H959" s="21">
        <v>20</v>
      </c>
      <c r="I959" s="21"/>
      <c r="J959" s="21"/>
      <c r="K959" s="21"/>
      <c r="L959" s="21"/>
      <c r="M959" s="21"/>
      <c r="N959" s="21"/>
      <c r="O959" s="21"/>
      <c r="P959" s="21"/>
      <c r="Q959" s="22">
        <f t="shared" si="14"/>
        <v>20</v>
      </c>
    </row>
    <row r="960" spans="1:17" ht="15.75" customHeight="1">
      <c r="A960" s="23">
        <v>958</v>
      </c>
      <c r="B960" s="24" t="s">
        <v>2113</v>
      </c>
      <c r="C960" s="24" t="s">
        <v>1466</v>
      </c>
      <c r="D960" s="24" t="s">
        <v>2114</v>
      </c>
      <c r="E960" s="25">
        <v>130</v>
      </c>
      <c r="F960" s="25">
        <v>30</v>
      </c>
      <c r="G960" s="25">
        <v>5</v>
      </c>
      <c r="H960" s="25"/>
      <c r="I960" s="25"/>
      <c r="J960" s="25"/>
      <c r="K960" s="25"/>
      <c r="L960" s="25"/>
      <c r="M960" s="25">
        <v>10</v>
      </c>
      <c r="N960" s="25"/>
      <c r="O960" s="25"/>
      <c r="P960" s="25"/>
      <c r="Q960" s="22">
        <f t="shared" si="14"/>
        <v>175</v>
      </c>
    </row>
    <row r="961" spans="1:17" ht="15.75" customHeight="1">
      <c r="A961" s="19">
        <v>959</v>
      </c>
      <c r="B961" s="20" t="s">
        <v>2115</v>
      </c>
      <c r="C961" s="20" t="s">
        <v>1466</v>
      </c>
      <c r="D961" s="20" t="s">
        <v>2116</v>
      </c>
      <c r="E961" s="21">
        <v>150</v>
      </c>
      <c r="F961" s="21">
        <v>40</v>
      </c>
      <c r="G961" s="21">
        <v>165</v>
      </c>
      <c r="H961" s="21">
        <v>152</v>
      </c>
      <c r="I961" s="21">
        <v>50</v>
      </c>
      <c r="J961" s="21">
        <v>261</v>
      </c>
      <c r="K961" s="21">
        <v>110</v>
      </c>
      <c r="L961" s="21">
        <v>45</v>
      </c>
      <c r="M961" s="21">
        <v>70</v>
      </c>
      <c r="N961" s="21">
        <v>67</v>
      </c>
      <c r="O961" s="21">
        <v>30</v>
      </c>
      <c r="P961" s="21">
        <v>9</v>
      </c>
      <c r="Q961" s="22">
        <f t="shared" si="14"/>
        <v>1149</v>
      </c>
    </row>
    <row r="962" spans="1:17" ht="15.75" customHeight="1">
      <c r="A962" s="23">
        <v>960</v>
      </c>
      <c r="B962" s="24" t="s">
        <v>2119</v>
      </c>
      <c r="C962" s="24" t="s">
        <v>1466</v>
      </c>
      <c r="D962" s="24" t="s">
        <v>2120</v>
      </c>
      <c r="E962" s="25">
        <v>20</v>
      </c>
      <c r="F962" s="25"/>
      <c r="G962" s="25"/>
      <c r="H962" s="25"/>
      <c r="I962" s="25">
        <v>5</v>
      </c>
      <c r="J962" s="25">
        <v>1</v>
      </c>
      <c r="K962" s="25">
        <v>61</v>
      </c>
      <c r="L962" s="25"/>
      <c r="M962" s="25"/>
      <c r="N962" s="25">
        <v>5</v>
      </c>
      <c r="O962" s="25"/>
      <c r="P962" s="25"/>
      <c r="Q962" s="22">
        <f t="shared" si="14"/>
        <v>92</v>
      </c>
    </row>
    <row r="963" spans="1:17" ht="15.75" customHeight="1">
      <c r="A963" s="19">
        <v>961</v>
      </c>
      <c r="B963" s="20" t="s">
        <v>2121</v>
      </c>
      <c r="C963" s="20" t="s">
        <v>1466</v>
      </c>
      <c r="D963" s="20" t="s">
        <v>2122</v>
      </c>
      <c r="E963" s="21"/>
      <c r="F963" s="21">
        <v>18</v>
      </c>
      <c r="G963" s="21"/>
      <c r="H963" s="21"/>
      <c r="I963" s="21"/>
      <c r="J963" s="21">
        <v>10</v>
      </c>
      <c r="K963" s="21"/>
      <c r="L963" s="21"/>
      <c r="M963" s="21"/>
      <c r="N963" s="21"/>
      <c r="O963" s="21"/>
      <c r="P963" s="21"/>
      <c r="Q963" s="22">
        <f t="shared" ref="Q963:Q1026" si="15">SUM(E963:P963)</f>
        <v>28</v>
      </c>
    </row>
    <row r="964" spans="1:17" ht="15.75" customHeight="1">
      <c r="A964" s="23">
        <v>962</v>
      </c>
      <c r="B964" s="24" t="s">
        <v>2123</v>
      </c>
      <c r="C964" s="24" t="s">
        <v>1466</v>
      </c>
      <c r="D964" s="24" t="s">
        <v>2124</v>
      </c>
      <c r="E964" s="25"/>
      <c r="F964" s="25"/>
      <c r="G964" s="25"/>
      <c r="H964" s="25"/>
      <c r="I964" s="25"/>
      <c r="J964" s="25">
        <v>15</v>
      </c>
      <c r="K964" s="25"/>
      <c r="L964" s="25"/>
      <c r="M964" s="25"/>
      <c r="N964" s="25">
        <v>11</v>
      </c>
      <c r="O964" s="25"/>
      <c r="P964" s="25">
        <v>4</v>
      </c>
      <c r="Q964" s="22">
        <f t="shared" si="15"/>
        <v>30</v>
      </c>
    </row>
    <row r="965" spans="1:17" ht="15.75" customHeight="1">
      <c r="A965" s="19">
        <v>963</v>
      </c>
      <c r="B965" s="20" t="s">
        <v>2125</v>
      </c>
      <c r="C965" s="20" t="s">
        <v>1466</v>
      </c>
      <c r="D965" s="20" t="s">
        <v>2126</v>
      </c>
      <c r="E965" s="21">
        <v>35</v>
      </c>
      <c r="F965" s="21">
        <v>170</v>
      </c>
      <c r="G965" s="21">
        <v>70</v>
      </c>
      <c r="H965" s="21">
        <v>380</v>
      </c>
      <c r="I965" s="21">
        <v>155</v>
      </c>
      <c r="J965" s="21">
        <v>130</v>
      </c>
      <c r="K965" s="21">
        <v>130</v>
      </c>
      <c r="L965" s="21">
        <v>140</v>
      </c>
      <c r="M965" s="21">
        <v>40</v>
      </c>
      <c r="N965" s="21">
        <v>75</v>
      </c>
      <c r="O965" s="21">
        <v>100</v>
      </c>
      <c r="P965" s="21">
        <v>145</v>
      </c>
      <c r="Q965" s="22">
        <f t="shared" si="15"/>
        <v>1570</v>
      </c>
    </row>
    <row r="966" spans="1:17" ht="15.75" customHeight="1">
      <c r="A966" s="23">
        <v>964</v>
      </c>
      <c r="B966" s="24" t="s">
        <v>2127</v>
      </c>
      <c r="C966" s="24" t="s">
        <v>1466</v>
      </c>
      <c r="D966" s="24" t="s">
        <v>2128</v>
      </c>
      <c r="E966" s="25">
        <v>15</v>
      </c>
      <c r="F966" s="25">
        <v>168</v>
      </c>
      <c r="G966" s="25">
        <v>20</v>
      </c>
      <c r="H966" s="25"/>
      <c r="I966" s="25">
        <v>10</v>
      </c>
      <c r="J966" s="25">
        <v>46</v>
      </c>
      <c r="K966" s="25">
        <v>50</v>
      </c>
      <c r="L966" s="25">
        <v>30</v>
      </c>
      <c r="M966" s="25">
        <v>70</v>
      </c>
      <c r="N966" s="25"/>
      <c r="O966" s="25">
        <v>20</v>
      </c>
      <c r="P966" s="25"/>
      <c r="Q966" s="22">
        <f t="shared" si="15"/>
        <v>429</v>
      </c>
    </row>
    <row r="967" spans="1:17" ht="15.75" customHeight="1">
      <c r="A967" s="19">
        <v>965</v>
      </c>
      <c r="B967" s="20" t="s">
        <v>2129</v>
      </c>
      <c r="C967" s="20" t="s">
        <v>1466</v>
      </c>
      <c r="D967" s="20" t="s">
        <v>2130</v>
      </c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>
        <v>3</v>
      </c>
      <c r="Q967" s="22">
        <f t="shared" si="15"/>
        <v>3</v>
      </c>
    </row>
    <row r="968" spans="1:17" ht="15.75" customHeight="1">
      <c r="A968" s="23">
        <v>966</v>
      </c>
      <c r="B968" s="24" t="s">
        <v>2131</v>
      </c>
      <c r="C968" s="24" t="s">
        <v>1466</v>
      </c>
      <c r="D968" s="24" t="s">
        <v>2132</v>
      </c>
      <c r="E968" s="25"/>
      <c r="F968" s="25">
        <v>320</v>
      </c>
      <c r="G968" s="25"/>
      <c r="H968" s="25"/>
      <c r="I968" s="25">
        <v>15</v>
      </c>
      <c r="J968" s="25">
        <v>10</v>
      </c>
      <c r="K968" s="25"/>
      <c r="L968" s="25"/>
      <c r="M968" s="25"/>
      <c r="N968" s="25"/>
      <c r="O968" s="25"/>
      <c r="P968" s="25"/>
      <c r="Q968" s="22">
        <f t="shared" si="15"/>
        <v>345</v>
      </c>
    </row>
    <row r="969" spans="1:17" ht="15.75" customHeight="1">
      <c r="A969" s="19">
        <v>967</v>
      </c>
      <c r="B969" s="20" t="s">
        <v>2133</v>
      </c>
      <c r="C969" s="20" t="s">
        <v>1466</v>
      </c>
      <c r="D969" s="20" t="s">
        <v>2134</v>
      </c>
      <c r="E969" s="21"/>
      <c r="F969" s="21"/>
      <c r="G969" s="21"/>
      <c r="H969" s="21"/>
      <c r="I969" s="21"/>
      <c r="J969" s="21"/>
      <c r="K969" s="21"/>
      <c r="L969" s="21"/>
      <c r="M969" s="21">
        <v>80</v>
      </c>
      <c r="N969" s="21"/>
      <c r="O969" s="21"/>
      <c r="P969" s="21"/>
      <c r="Q969" s="22">
        <f t="shared" si="15"/>
        <v>80</v>
      </c>
    </row>
    <row r="970" spans="1:17" ht="15.75" customHeight="1">
      <c r="A970" s="23">
        <v>968</v>
      </c>
      <c r="B970" s="24" t="s">
        <v>2933</v>
      </c>
      <c r="C970" s="24" t="s">
        <v>1466</v>
      </c>
      <c r="D970" s="24" t="s">
        <v>1946</v>
      </c>
      <c r="E970" s="25"/>
      <c r="F970" s="25"/>
      <c r="G970" s="25"/>
      <c r="H970" s="25"/>
      <c r="I970" s="25"/>
      <c r="J970" s="25">
        <v>30</v>
      </c>
      <c r="K970" s="25"/>
      <c r="L970" s="25"/>
      <c r="M970" s="25"/>
      <c r="N970" s="25"/>
      <c r="O970" s="25"/>
      <c r="P970" s="25"/>
      <c r="Q970" s="22">
        <f t="shared" si="15"/>
        <v>30</v>
      </c>
    </row>
    <row r="971" spans="1:17" ht="15.75" customHeight="1">
      <c r="A971" s="19">
        <v>969</v>
      </c>
      <c r="B971" s="20" t="s">
        <v>2934</v>
      </c>
      <c r="C971" s="20" t="s">
        <v>1475</v>
      </c>
      <c r="D971" s="20" t="s">
        <v>1946</v>
      </c>
      <c r="E971" s="21"/>
      <c r="F971" s="21"/>
      <c r="G971" s="21"/>
      <c r="H971" s="21"/>
      <c r="I971" s="21"/>
      <c r="J971" s="21"/>
      <c r="K971" s="21">
        <v>20</v>
      </c>
      <c r="L971" s="21"/>
      <c r="M971" s="21"/>
      <c r="N971" s="21"/>
      <c r="O971" s="21"/>
      <c r="P971" s="21"/>
      <c r="Q971" s="22">
        <f t="shared" si="15"/>
        <v>20</v>
      </c>
    </row>
    <row r="972" spans="1:17" ht="15.75" customHeight="1">
      <c r="A972" s="23">
        <v>970</v>
      </c>
      <c r="B972" s="24" t="s">
        <v>2135</v>
      </c>
      <c r="C972" s="24" t="s">
        <v>1471</v>
      </c>
      <c r="D972" s="24" t="s">
        <v>2136</v>
      </c>
      <c r="E972" s="25"/>
      <c r="F972" s="25"/>
      <c r="G972" s="25">
        <v>1</v>
      </c>
      <c r="H972" s="25">
        <v>20</v>
      </c>
      <c r="I972" s="25">
        <v>10</v>
      </c>
      <c r="J972" s="25"/>
      <c r="K972" s="25">
        <v>35</v>
      </c>
      <c r="L972" s="25"/>
      <c r="M972" s="25"/>
      <c r="N972" s="25"/>
      <c r="O972" s="25">
        <v>20</v>
      </c>
      <c r="P972" s="25">
        <v>15</v>
      </c>
      <c r="Q972" s="22">
        <f t="shared" si="15"/>
        <v>101</v>
      </c>
    </row>
    <row r="973" spans="1:17" ht="15.75" customHeight="1">
      <c r="A973" s="19">
        <v>971</v>
      </c>
      <c r="B973" s="20" t="s">
        <v>2137</v>
      </c>
      <c r="C973" s="20" t="s">
        <v>1471</v>
      </c>
      <c r="D973" s="20" t="s">
        <v>2138</v>
      </c>
      <c r="E973" s="21"/>
      <c r="F973" s="21"/>
      <c r="G973" s="21"/>
      <c r="H973" s="21"/>
      <c r="I973" s="21"/>
      <c r="J973" s="21">
        <v>30</v>
      </c>
      <c r="K973" s="21">
        <v>40</v>
      </c>
      <c r="L973" s="21"/>
      <c r="M973" s="21"/>
      <c r="N973" s="21">
        <v>20</v>
      </c>
      <c r="O973" s="21">
        <v>20</v>
      </c>
      <c r="P973" s="21">
        <v>70</v>
      </c>
      <c r="Q973" s="22">
        <f t="shared" si="15"/>
        <v>180</v>
      </c>
    </row>
    <row r="974" spans="1:17" ht="15.75" customHeight="1">
      <c r="A974" s="23">
        <v>972</v>
      </c>
      <c r="B974" s="24" t="s">
        <v>2139</v>
      </c>
      <c r="C974" s="24" t="s">
        <v>1471</v>
      </c>
      <c r="D974" s="24" t="s">
        <v>2140</v>
      </c>
      <c r="E974" s="25">
        <v>30</v>
      </c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>
        <v>5</v>
      </c>
      <c r="Q974" s="22">
        <f t="shared" si="15"/>
        <v>35</v>
      </c>
    </row>
    <row r="975" spans="1:17" ht="15.75" customHeight="1">
      <c r="A975" s="19">
        <v>973</v>
      </c>
      <c r="B975" s="20" t="s">
        <v>2141</v>
      </c>
      <c r="C975" s="20" t="s">
        <v>1471</v>
      </c>
      <c r="D975" s="20" t="s">
        <v>2142</v>
      </c>
      <c r="E975" s="21"/>
      <c r="F975" s="21"/>
      <c r="G975" s="21">
        <v>1</v>
      </c>
      <c r="H975" s="21">
        <v>20</v>
      </c>
      <c r="I975" s="21">
        <v>10</v>
      </c>
      <c r="J975" s="21"/>
      <c r="K975" s="21">
        <v>20</v>
      </c>
      <c r="L975" s="21"/>
      <c r="M975" s="21"/>
      <c r="N975" s="21">
        <v>5</v>
      </c>
      <c r="O975" s="21"/>
      <c r="P975" s="21">
        <v>10</v>
      </c>
      <c r="Q975" s="22">
        <f t="shared" si="15"/>
        <v>66</v>
      </c>
    </row>
    <row r="976" spans="1:17" ht="15.75" customHeight="1">
      <c r="A976" s="23">
        <v>974</v>
      </c>
      <c r="B976" s="24" t="s">
        <v>2145</v>
      </c>
      <c r="C976" s="24" t="s">
        <v>1471</v>
      </c>
      <c r="D976" s="24" t="s">
        <v>2146</v>
      </c>
      <c r="E976" s="25"/>
      <c r="F976" s="25"/>
      <c r="G976" s="25"/>
      <c r="H976" s="25"/>
      <c r="I976" s="25"/>
      <c r="J976" s="25"/>
      <c r="K976" s="25"/>
      <c r="L976" s="25">
        <v>20</v>
      </c>
      <c r="M976" s="25"/>
      <c r="N976" s="25"/>
      <c r="O976" s="25"/>
      <c r="P976" s="25"/>
      <c r="Q976" s="22">
        <f t="shared" si="15"/>
        <v>20</v>
      </c>
    </row>
    <row r="977" spans="1:17" ht="15.75" customHeight="1">
      <c r="A977" s="19">
        <v>975</v>
      </c>
      <c r="B977" s="20" t="s">
        <v>2147</v>
      </c>
      <c r="C977" s="20" t="s">
        <v>1471</v>
      </c>
      <c r="D977" s="20" t="s">
        <v>2148</v>
      </c>
      <c r="E977" s="21"/>
      <c r="F977" s="21"/>
      <c r="G977" s="21">
        <v>57</v>
      </c>
      <c r="H977" s="21"/>
      <c r="I977" s="21"/>
      <c r="J977" s="21"/>
      <c r="K977" s="21"/>
      <c r="L977" s="21"/>
      <c r="M977" s="21"/>
      <c r="N977" s="21"/>
      <c r="O977" s="21"/>
      <c r="P977" s="21"/>
      <c r="Q977" s="22">
        <f t="shared" si="15"/>
        <v>57</v>
      </c>
    </row>
    <row r="978" spans="1:17" ht="15.75" customHeight="1">
      <c r="A978" s="23">
        <v>976</v>
      </c>
      <c r="B978" s="24" t="s">
        <v>2149</v>
      </c>
      <c r="C978" s="24" t="s">
        <v>1471</v>
      </c>
      <c r="D978" s="24" t="s">
        <v>2150</v>
      </c>
      <c r="E978" s="25"/>
      <c r="F978" s="25">
        <v>50</v>
      </c>
      <c r="G978" s="25"/>
      <c r="H978" s="25"/>
      <c r="I978" s="25"/>
      <c r="J978" s="25"/>
      <c r="K978" s="25">
        <v>5</v>
      </c>
      <c r="L978" s="25"/>
      <c r="M978" s="25"/>
      <c r="N978" s="25"/>
      <c r="O978" s="25"/>
      <c r="P978" s="25">
        <v>100</v>
      </c>
      <c r="Q978" s="22">
        <f t="shared" si="15"/>
        <v>155</v>
      </c>
    </row>
    <row r="979" spans="1:17" ht="15.75" customHeight="1">
      <c r="A979" s="19">
        <v>977</v>
      </c>
      <c r="B979" s="20" t="s">
        <v>2151</v>
      </c>
      <c r="C979" s="20" t="s">
        <v>1471</v>
      </c>
      <c r="D979" s="20" t="s">
        <v>2152</v>
      </c>
      <c r="E979" s="21"/>
      <c r="F979" s="21"/>
      <c r="G979" s="21"/>
      <c r="H979" s="21"/>
      <c r="I979" s="21">
        <v>15</v>
      </c>
      <c r="J979" s="21">
        <v>15</v>
      </c>
      <c r="K979" s="21"/>
      <c r="L979" s="21"/>
      <c r="M979" s="21"/>
      <c r="N979" s="21"/>
      <c r="O979" s="21"/>
      <c r="P979" s="21"/>
      <c r="Q979" s="22">
        <f t="shared" si="15"/>
        <v>30</v>
      </c>
    </row>
    <row r="980" spans="1:17" ht="15.75" customHeight="1">
      <c r="A980" s="23">
        <v>978</v>
      </c>
      <c r="B980" s="24" t="s">
        <v>2935</v>
      </c>
      <c r="C980" s="24" t="s">
        <v>1471</v>
      </c>
      <c r="D980" s="24" t="s">
        <v>2936</v>
      </c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>
        <v>15</v>
      </c>
      <c r="Q980" s="22">
        <f t="shared" si="15"/>
        <v>15</v>
      </c>
    </row>
    <row r="981" spans="1:17" ht="15.75" customHeight="1">
      <c r="A981" s="19">
        <v>979</v>
      </c>
      <c r="B981" s="20" t="s">
        <v>2153</v>
      </c>
      <c r="C981" s="20" t="s">
        <v>1475</v>
      </c>
      <c r="D981" s="20" t="s">
        <v>2154</v>
      </c>
      <c r="E981" s="21">
        <v>40</v>
      </c>
      <c r="F981" s="21"/>
      <c r="G981" s="21">
        <v>101</v>
      </c>
      <c r="H981" s="21">
        <v>190</v>
      </c>
      <c r="I981" s="21">
        <v>10</v>
      </c>
      <c r="J981" s="21">
        <v>150</v>
      </c>
      <c r="K981" s="21">
        <v>168</v>
      </c>
      <c r="L981" s="21"/>
      <c r="M981" s="21">
        <v>140</v>
      </c>
      <c r="N981" s="21">
        <v>195</v>
      </c>
      <c r="O981" s="21">
        <v>130</v>
      </c>
      <c r="P981" s="21">
        <v>154</v>
      </c>
      <c r="Q981" s="22">
        <f t="shared" si="15"/>
        <v>1278</v>
      </c>
    </row>
    <row r="982" spans="1:17" ht="15.75" customHeight="1">
      <c r="A982" s="23">
        <v>980</v>
      </c>
      <c r="B982" s="24" t="s">
        <v>2155</v>
      </c>
      <c r="C982" s="24" t="s">
        <v>1475</v>
      </c>
      <c r="D982" s="24" t="s">
        <v>1668</v>
      </c>
      <c r="E982" s="25"/>
      <c r="F982" s="25"/>
      <c r="G982" s="25"/>
      <c r="H982" s="25"/>
      <c r="I982" s="25"/>
      <c r="J982" s="25"/>
      <c r="K982" s="25"/>
      <c r="L982" s="25"/>
      <c r="M982" s="25">
        <v>10</v>
      </c>
      <c r="N982" s="25"/>
      <c r="O982" s="25"/>
      <c r="P982" s="25"/>
      <c r="Q982" s="22">
        <f t="shared" si="15"/>
        <v>10</v>
      </c>
    </row>
    <row r="983" spans="1:17" ht="15.75" customHeight="1">
      <c r="A983" s="19">
        <v>981</v>
      </c>
      <c r="B983" s="20" t="s">
        <v>2156</v>
      </c>
      <c r="C983" s="20" t="s">
        <v>1475</v>
      </c>
      <c r="D983" s="20" t="s">
        <v>1911</v>
      </c>
      <c r="E983" s="21">
        <v>27</v>
      </c>
      <c r="F983" s="21">
        <v>62</v>
      </c>
      <c r="G983" s="21">
        <v>170</v>
      </c>
      <c r="H983" s="21">
        <v>796</v>
      </c>
      <c r="I983" s="21">
        <v>20</v>
      </c>
      <c r="J983" s="21">
        <v>145</v>
      </c>
      <c r="K983" s="21">
        <v>256</v>
      </c>
      <c r="L983" s="21">
        <v>170</v>
      </c>
      <c r="M983" s="21">
        <v>66</v>
      </c>
      <c r="N983" s="21">
        <v>275</v>
      </c>
      <c r="O983" s="21">
        <v>90</v>
      </c>
      <c r="P983" s="21">
        <v>32</v>
      </c>
      <c r="Q983" s="22">
        <f t="shared" si="15"/>
        <v>2109</v>
      </c>
    </row>
    <row r="984" spans="1:17" ht="15.75" customHeight="1">
      <c r="A984" s="23">
        <v>982</v>
      </c>
      <c r="B984" s="24" t="s">
        <v>2158</v>
      </c>
      <c r="C984" s="24" t="s">
        <v>1475</v>
      </c>
      <c r="D984" s="24" t="s">
        <v>2159</v>
      </c>
      <c r="E984" s="25">
        <v>120</v>
      </c>
      <c r="F984" s="25">
        <v>115</v>
      </c>
      <c r="G984" s="25">
        <v>111</v>
      </c>
      <c r="H984" s="25"/>
      <c r="I984" s="25"/>
      <c r="J984" s="25"/>
      <c r="K984" s="25">
        <v>10</v>
      </c>
      <c r="L984" s="25">
        <v>10</v>
      </c>
      <c r="M984" s="25">
        <v>20</v>
      </c>
      <c r="N984" s="25"/>
      <c r="O984" s="25"/>
      <c r="P984" s="25"/>
      <c r="Q984" s="22">
        <f t="shared" si="15"/>
        <v>386</v>
      </c>
    </row>
    <row r="985" spans="1:17" ht="15.75" customHeight="1">
      <c r="A985" s="19">
        <v>983</v>
      </c>
      <c r="B985" s="20" t="s">
        <v>2160</v>
      </c>
      <c r="C985" s="20" t="s">
        <v>1475</v>
      </c>
      <c r="D985" s="20" t="s">
        <v>2161</v>
      </c>
      <c r="E985" s="21">
        <v>20</v>
      </c>
      <c r="F985" s="21"/>
      <c r="G985" s="21">
        <v>151</v>
      </c>
      <c r="H985" s="21">
        <v>150</v>
      </c>
      <c r="I985" s="21">
        <v>30</v>
      </c>
      <c r="J985" s="21">
        <v>196</v>
      </c>
      <c r="K985" s="21">
        <v>45</v>
      </c>
      <c r="L985" s="21">
        <v>80</v>
      </c>
      <c r="M985" s="21">
        <v>160</v>
      </c>
      <c r="N985" s="21">
        <v>155</v>
      </c>
      <c r="O985" s="21">
        <v>10</v>
      </c>
      <c r="P985" s="21">
        <v>58</v>
      </c>
      <c r="Q985" s="22">
        <f t="shared" si="15"/>
        <v>1055</v>
      </c>
    </row>
    <row r="986" spans="1:17" ht="15.75" customHeight="1">
      <c r="A986" s="23">
        <v>984</v>
      </c>
      <c r="B986" s="24" t="s">
        <v>2162</v>
      </c>
      <c r="C986" s="24" t="s">
        <v>1475</v>
      </c>
      <c r="D986" s="24" t="s">
        <v>2163</v>
      </c>
      <c r="E986" s="25">
        <v>1</v>
      </c>
      <c r="F986" s="25">
        <v>5</v>
      </c>
      <c r="G986" s="25">
        <v>10</v>
      </c>
      <c r="H986" s="25"/>
      <c r="I986" s="25">
        <v>50</v>
      </c>
      <c r="J986" s="25">
        <v>40</v>
      </c>
      <c r="K986" s="25">
        <v>55</v>
      </c>
      <c r="L986" s="25"/>
      <c r="M986" s="25">
        <v>2</v>
      </c>
      <c r="N986" s="25">
        <v>28</v>
      </c>
      <c r="O986" s="25">
        <v>10</v>
      </c>
      <c r="P986" s="25">
        <v>40</v>
      </c>
      <c r="Q986" s="22">
        <f t="shared" si="15"/>
        <v>241</v>
      </c>
    </row>
    <row r="987" spans="1:17" ht="15.75" customHeight="1">
      <c r="A987" s="19">
        <v>985</v>
      </c>
      <c r="B987" s="20" t="s">
        <v>2164</v>
      </c>
      <c r="C987" s="20" t="s">
        <v>1475</v>
      </c>
      <c r="D987" s="20" t="s">
        <v>2165</v>
      </c>
      <c r="E987" s="21">
        <v>20</v>
      </c>
      <c r="F987" s="21">
        <v>28</v>
      </c>
      <c r="G987" s="21">
        <v>115</v>
      </c>
      <c r="H987" s="21">
        <v>10</v>
      </c>
      <c r="I987" s="21"/>
      <c r="J987" s="21"/>
      <c r="K987" s="21"/>
      <c r="L987" s="21"/>
      <c r="M987" s="21"/>
      <c r="N987" s="21">
        <v>10</v>
      </c>
      <c r="O987" s="21"/>
      <c r="P987" s="21"/>
      <c r="Q987" s="22">
        <f t="shared" si="15"/>
        <v>183</v>
      </c>
    </row>
    <row r="988" spans="1:17" ht="15.75" customHeight="1">
      <c r="A988" s="23">
        <v>986</v>
      </c>
      <c r="B988" s="24" t="s">
        <v>2166</v>
      </c>
      <c r="C988" s="24" t="s">
        <v>1475</v>
      </c>
      <c r="D988" s="24" t="s">
        <v>2167</v>
      </c>
      <c r="E988" s="25"/>
      <c r="F988" s="25"/>
      <c r="G988" s="25"/>
      <c r="H988" s="25"/>
      <c r="I988" s="25">
        <v>20</v>
      </c>
      <c r="J988" s="25">
        <v>1</v>
      </c>
      <c r="K988" s="25">
        <v>10</v>
      </c>
      <c r="L988" s="25"/>
      <c r="M988" s="25">
        <v>10</v>
      </c>
      <c r="N988" s="25">
        <v>11</v>
      </c>
      <c r="O988" s="25"/>
      <c r="P988" s="25"/>
      <c r="Q988" s="22">
        <f t="shared" si="15"/>
        <v>52</v>
      </c>
    </row>
    <row r="989" spans="1:17" ht="15.75" customHeight="1">
      <c r="A989" s="19">
        <v>987</v>
      </c>
      <c r="B989" s="20" t="s">
        <v>2168</v>
      </c>
      <c r="C989" s="20" t="s">
        <v>1475</v>
      </c>
      <c r="D989" s="20" t="s">
        <v>2169</v>
      </c>
      <c r="E989" s="21">
        <v>45</v>
      </c>
      <c r="F989" s="21">
        <v>350</v>
      </c>
      <c r="G989" s="21">
        <v>50</v>
      </c>
      <c r="H989" s="21">
        <v>130</v>
      </c>
      <c r="I989" s="21">
        <v>50</v>
      </c>
      <c r="J989" s="21">
        <v>10</v>
      </c>
      <c r="K989" s="21">
        <v>75</v>
      </c>
      <c r="L989" s="21">
        <v>110</v>
      </c>
      <c r="M989" s="21">
        <v>60</v>
      </c>
      <c r="N989" s="21">
        <v>20</v>
      </c>
      <c r="O989" s="21">
        <v>160</v>
      </c>
      <c r="P989" s="21">
        <v>50</v>
      </c>
      <c r="Q989" s="22">
        <f t="shared" si="15"/>
        <v>1110</v>
      </c>
    </row>
    <row r="990" spans="1:17" ht="15.75" customHeight="1">
      <c r="A990" s="23">
        <v>988</v>
      </c>
      <c r="B990" s="24" t="s">
        <v>2170</v>
      </c>
      <c r="C990" s="24" t="s">
        <v>1475</v>
      </c>
      <c r="D990" s="24" t="s">
        <v>2171</v>
      </c>
      <c r="E990" s="25">
        <v>70</v>
      </c>
      <c r="F990" s="25">
        <v>177</v>
      </c>
      <c r="G990" s="25"/>
      <c r="H990" s="25"/>
      <c r="I990" s="25">
        <v>80</v>
      </c>
      <c r="J990" s="25">
        <v>10</v>
      </c>
      <c r="K990" s="25">
        <v>50</v>
      </c>
      <c r="L990" s="25">
        <v>40</v>
      </c>
      <c r="M990" s="25">
        <v>70</v>
      </c>
      <c r="N990" s="25">
        <v>140</v>
      </c>
      <c r="O990" s="25"/>
      <c r="P990" s="25">
        <v>50</v>
      </c>
      <c r="Q990" s="22">
        <f t="shared" si="15"/>
        <v>687</v>
      </c>
    </row>
    <row r="991" spans="1:17" ht="15.75" customHeight="1">
      <c r="A991" s="19">
        <v>989</v>
      </c>
      <c r="B991" s="20" t="s">
        <v>2172</v>
      </c>
      <c r="C991" s="20" t="s">
        <v>1475</v>
      </c>
      <c r="D991" s="20" t="s">
        <v>2173</v>
      </c>
      <c r="E991" s="21"/>
      <c r="F991" s="21"/>
      <c r="G991" s="21"/>
      <c r="H991" s="21"/>
      <c r="I991" s="21"/>
      <c r="J991" s="21"/>
      <c r="K991" s="21">
        <v>20</v>
      </c>
      <c r="L991" s="21"/>
      <c r="M991" s="21">
        <v>3</v>
      </c>
      <c r="N991" s="21"/>
      <c r="O991" s="21"/>
      <c r="P991" s="21">
        <v>5</v>
      </c>
      <c r="Q991" s="22">
        <f t="shared" si="15"/>
        <v>28</v>
      </c>
    </row>
    <row r="992" spans="1:17" ht="15.75" customHeight="1">
      <c r="A992" s="23">
        <v>990</v>
      </c>
      <c r="B992" s="24" t="s">
        <v>2174</v>
      </c>
      <c r="C992" s="24" t="s">
        <v>1475</v>
      </c>
      <c r="D992" s="24" t="s">
        <v>2175</v>
      </c>
      <c r="E992" s="25"/>
      <c r="F992" s="25"/>
      <c r="G992" s="25"/>
      <c r="H992" s="25">
        <v>40</v>
      </c>
      <c r="I992" s="25">
        <v>30</v>
      </c>
      <c r="J992" s="25"/>
      <c r="K992" s="25">
        <v>20</v>
      </c>
      <c r="L992" s="25"/>
      <c r="M992" s="25">
        <v>10</v>
      </c>
      <c r="N992" s="25"/>
      <c r="O992" s="25">
        <v>20</v>
      </c>
      <c r="P992" s="25"/>
      <c r="Q992" s="22">
        <f t="shared" si="15"/>
        <v>120</v>
      </c>
    </row>
    <row r="993" spans="1:17" ht="15.75" customHeight="1">
      <c r="A993" s="19">
        <v>991</v>
      </c>
      <c r="B993" s="20" t="s">
        <v>2176</v>
      </c>
      <c r="C993" s="20" t="s">
        <v>1475</v>
      </c>
      <c r="D993" s="20" t="s">
        <v>2177</v>
      </c>
      <c r="E993" s="21">
        <v>20</v>
      </c>
      <c r="F993" s="21"/>
      <c r="G993" s="21"/>
      <c r="H993" s="21"/>
      <c r="I993" s="21"/>
      <c r="J993" s="21"/>
      <c r="K993" s="21"/>
      <c r="L993" s="21"/>
      <c r="M993" s="21">
        <v>70</v>
      </c>
      <c r="N993" s="21">
        <v>20</v>
      </c>
      <c r="O993" s="21">
        <v>28</v>
      </c>
      <c r="P993" s="21"/>
      <c r="Q993" s="22">
        <f t="shared" si="15"/>
        <v>138</v>
      </c>
    </row>
    <row r="994" spans="1:17" ht="15.75" customHeight="1">
      <c r="A994" s="23">
        <v>992</v>
      </c>
      <c r="B994" s="24" t="s">
        <v>2181</v>
      </c>
      <c r="C994" s="24" t="s">
        <v>1481</v>
      </c>
      <c r="D994" s="24" t="s">
        <v>2182</v>
      </c>
      <c r="E994" s="25"/>
      <c r="F994" s="25"/>
      <c r="G994" s="25"/>
      <c r="H994" s="25"/>
      <c r="I994" s="25">
        <v>65</v>
      </c>
      <c r="J994" s="25"/>
      <c r="K994" s="25">
        <v>50</v>
      </c>
      <c r="L994" s="25"/>
      <c r="M994" s="25">
        <v>20</v>
      </c>
      <c r="N994" s="25">
        <v>70</v>
      </c>
      <c r="O994" s="25">
        <v>30</v>
      </c>
      <c r="P994" s="25">
        <v>118</v>
      </c>
      <c r="Q994" s="22">
        <f t="shared" si="15"/>
        <v>353</v>
      </c>
    </row>
    <row r="995" spans="1:17" ht="15.75" customHeight="1">
      <c r="A995" s="19">
        <v>993</v>
      </c>
      <c r="B995" s="20" t="s">
        <v>2183</v>
      </c>
      <c r="C995" s="20" t="s">
        <v>1481</v>
      </c>
      <c r="D995" s="20" t="s">
        <v>1668</v>
      </c>
      <c r="E995" s="21"/>
      <c r="F995" s="21"/>
      <c r="G995" s="21"/>
      <c r="H995" s="21"/>
      <c r="I995" s="21"/>
      <c r="J995" s="21"/>
      <c r="K995" s="21"/>
      <c r="L995" s="21"/>
      <c r="M995" s="21">
        <v>12</v>
      </c>
      <c r="N995" s="21"/>
      <c r="O995" s="21"/>
      <c r="P995" s="21"/>
      <c r="Q995" s="22">
        <f t="shared" si="15"/>
        <v>12</v>
      </c>
    </row>
    <row r="996" spans="1:17" ht="15.75" customHeight="1">
      <c r="A996" s="23">
        <v>994</v>
      </c>
      <c r="B996" s="24" t="s">
        <v>2184</v>
      </c>
      <c r="C996" s="24" t="s">
        <v>1481</v>
      </c>
      <c r="D996" s="24" t="s">
        <v>2185</v>
      </c>
      <c r="E996" s="25"/>
      <c r="F996" s="25"/>
      <c r="G996" s="25"/>
      <c r="H996" s="25"/>
      <c r="I996" s="25">
        <v>65</v>
      </c>
      <c r="J996" s="25"/>
      <c r="K996" s="25"/>
      <c r="L996" s="25"/>
      <c r="M996" s="25"/>
      <c r="N996" s="25"/>
      <c r="O996" s="25"/>
      <c r="P996" s="25"/>
      <c r="Q996" s="22">
        <f t="shared" si="15"/>
        <v>65</v>
      </c>
    </row>
    <row r="997" spans="1:17" ht="15.75" customHeight="1">
      <c r="A997" s="19">
        <v>995</v>
      </c>
      <c r="B997" s="20" t="s">
        <v>2186</v>
      </c>
      <c r="C997" s="20" t="s">
        <v>1481</v>
      </c>
      <c r="D997" s="20" t="s">
        <v>2187</v>
      </c>
      <c r="E997" s="21"/>
      <c r="F997" s="21"/>
      <c r="G997" s="21"/>
      <c r="H997" s="21">
        <v>5</v>
      </c>
      <c r="I997" s="21"/>
      <c r="J997" s="21"/>
      <c r="K997" s="21"/>
      <c r="L997" s="21"/>
      <c r="M997" s="21"/>
      <c r="N997" s="21"/>
      <c r="O997" s="21"/>
      <c r="P997" s="21"/>
      <c r="Q997" s="22">
        <f t="shared" si="15"/>
        <v>5</v>
      </c>
    </row>
    <row r="998" spans="1:17" ht="15.75" customHeight="1">
      <c r="A998" s="23">
        <v>996</v>
      </c>
      <c r="B998" s="24" t="s">
        <v>2190</v>
      </c>
      <c r="C998" s="24" t="s">
        <v>1481</v>
      </c>
      <c r="D998" s="24" t="s">
        <v>2191</v>
      </c>
      <c r="E998" s="25">
        <v>20</v>
      </c>
      <c r="F998" s="25">
        <v>136</v>
      </c>
      <c r="G998" s="25"/>
      <c r="H998" s="25">
        <v>25</v>
      </c>
      <c r="I998" s="25"/>
      <c r="J998" s="25"/>
      <c r="K998" s="25"/>
      <c r="L998" s="25">
        <v>30</v>
      </c>
      <c r="M998" s="25"/>
      <c r="N998" s="25"/>
      <c r="O998" s="25"/>
      <c r="P998" s="25"/>
      <c r="Q998" s="22">
        <f t="shared" si="15"/>
        <v>211</v>
      </c>
    </row>
    <row r="999" spans="1:17" ht="15.75" customHeight="1">
      <c r="A999" s="19">
        <v>997</v>
      </c>
      <c r="B999" s="20" t="s">
        <v>2192</v>
      </c>
      <c r="C999" s="20" t="s">
        <v>1481</v>
      </c>
      <c r="D999" s="20" t="s">
        <v>2193</v>
      </c>
      <c r="E999" s="21"/>
      <c r="F999" s="21">
        <v>300</v>
      </c>
      <c r="G999" s="21">
        <v>220</v>
      </c>
      <c r="H999" s="21"/>
      <c r="I999" s="21">
        <v>70</v>
      </c>
      <c r="J999" s="21">
        <v>170</v>
      </c>
      <c r="K999" s="21"/>
      <c r="L999" s="21">
        <v>490</v>
      </c>
      <c r="M999" s="21">
        <v>50</v>
      </c>
      <c r="N999" s="21">
        <v>200</v>
      </c>
      <c r="O999" s="21">
        <v>140</v>
      </c>
      <c r="P999" s="21">
        <v>190</v>
      </c>
      <c r="Q999" s="22">
        <f t="shared" si="15"/>
        <v>1830</v>
      </c>
    </row>
    <row r="1000" spans="1:17" ht="15.75" customHeight="1">
      <c r="A1000" s="23">
        <v>998</v>
      </c>
      <c r="B1000" s="24" t="s">
        <v>2194</v>
      </c>
      <c r="C1000" s="24" t="s">
        <v>1481</v>
      </c>
      <c r="D1000" s="24" t="s">
        <v>2195</v>
      </c>
      <c r="E1000" s="25"/>
      <c r="F1000" s="25"/>
      <c r="G1000" s="25"/>
      <c r="H1000" s="25"/>
      <c r="I1000" s="25">
        <v>35</v>
      </c>
      <c r="J1000" s="25"/>
      <c r="K1000" s="25"/>
      <c r="L1000" s="25"/>
      <c r="M1000" s="25"/>
      <c r="N1000" s="25"/>
      <c r="O1000" s="25">
        <v>30</v>
      </c>
      <c r="P1000" s="25"/>
      <c r="Q1000" s="22">
        <f t="shared" si="15"/>
        <v>65</v>
      </c>
    </row>
    <row r="1001" spans="1:17" ht="15.75" customHeight="1">
      <c r="A1001" s="19">
        <v>999</v>
      </c>
      <c r="B1001" s="20" t="s">
        <v>2196</v>
      </c>
      <c r="C1001" s="20" t="s">
        <v>1489</v>
      </c>
      <c r="D1001" s="20" t="s">
        <v>2197</v>
      </c>
      <c r="E1001" s="21"/>
      <c r="F1001" s="21">
        <v>50</v>
      </c>
      <c r="G1001" s="21">
        <v>36</v>
      </c>
      <c r="H1001" s="21">
        <v>20</v>
      </c>
      <c r="I1001" s="21">
        <v>1</v>
      </c>
      <c r="J1001" s="21">
        <v>30</v>
      </c>
      <c r="K1001" s="21"/>
      <c r="L1001" s="21">
        <v>40</v>
      </c>
      <c r="M1001" s="21"/>
      <c r="N1001" s="21">
        <v>35</v>
      </c>
      <c r="O1001" s="21">
        <v>80</v>
      </c>
      <c r="P1001" s="21"/>
      <c r="Q1001" s="22">
        <f t="shared" si="15"/>
        <v>292</v>
      </c>
    </row>
    <row r="1002" spans="1:17" ht="15.75" customHeight="1">
      <c r="A1002" s="23">
        <v>1000</v>
      </c>
      <c r="B1002" s="24" t="s">
        <v>2198</v>
      </c>
      <c r="C1002" s="24" t="s">
        <v>1489</v>
      </c>
      <c r="D1002" s="24" t="s">
        <v>2199</v>
      </c>
      <c r="E1002" s="25">
        <v>9</v>
      </c>
      <c r="F1002" s="25">
        <v>5</v>
      </c>
      <c r="G1002" s="25">
        <v>65</v>
      </c>
      <c r="H1002" s="25">
        <v>10</v>
      </c>
      <c r="I1002" s="25">
        <v>23</v>
      </c>
      <c r="J1002" s="25">
        <v>20</v>
      </c>
      <c r="K1002" s="25">
        <v>95</v>
      </c>
      <c r="L1002" s="25"/>
      <c r="M1002" s="25">
        <v>8</v>
      </c>
      <c r="N1002" s="25">
        <v>95</v>
      </c>
      <c r="O1002" s="25">
        <v>15</v>
      </c>
      <c r="P1002" s="25"/>
      <c r="Q1002" s="22">
        <f t="shared" si="15"/>
        <v>345</v>
      </c>
    </row>
    <row r="1003" spans="1:17" ht="15.75" customHeight="1">
      <c r="A1003" s="19">
        <v>1001</v>
      </c>
      <c r="B1003" s="20" t="s">
        <v>2200</v>
      </c>
      <c r="C1003" s="20" t="s">
        <v>1489</v>
      </c>
      <c r="D1003" s="20" t="s">
        <v>2201</v>
      </c>
      <c r="E1003" s="21">
        <v>5</v>
      </c>
      <c r="F1003" s="21">
        <v>8</v>
      </c>
      <c r="G1003" s="21">
        <v>30</v>
      </c>
      <c r="H1003" s="21"/>
      <c r="I1003" s="21">
        <v>42</v>
      </c>
      <c r="J1003" s="21">
        <v>60</v>
      </c>
      <c r="K1003" s="21">
        <v>1</v>
      </c>
      <c r="L1003" s="21">
        <v>20</v>
      </c>
      <c r="M1003" s="21">
        <v>16</v>
      </c>
      <c r="N1003" s="21">
        <v>13</v>
      </c>
      <c r="O1003" s="21">
        <v>10</v>
      </c>
      <c r="P1003" s="21"/>
      <c r="Q1003" s="22">
        <f t="shared" si="15"/>
        <v>205</v>
      </c>
    </row>
    <row r="1004" spans="1:17" ht="15.75" customHeight="1">
      <c r="A1004" s="23">
        <v>1002</v>
      </c>
      <c r="B1004" s="24" t="s">
        <v>2202</v>
      </c>
      <c r="C1004" s="24" t="s">
        <v>1489</v>
      </c>
      <c r="D1004" s="24" t="s">
        <v>2203</v>
      </c>
      <c r="E1004" s="25">
        <v>7</v>
      </c>
      <c r="F1004" s="25">
        <v>5</v>
      </c>
      <c r="G1004" s="25"/>
      <c r="H1004" s="25"/>
      <c r="I1004" s="25"/>
      <c r="J1004" s="25"/>
      <c r="K1004" s="25"/>
      <c r="L1004" s="25"/>
      <c r="M1004" s="25">
        <v>4</v>
      </c>
      <c r="N1004" s="25"/>
      <c r="O1004" s="25"/>
      <c r="P1004" s="25"/>
      <c r="Q1004" s="22">
        <f t="shared" si="15"/>
        <v>16</v>
      </c>
    </row>
    <row r="1005" spans="1:17" ht="15.75" customHeight="1">
      <c r="A1005" s="19">
        <v>1003</v>
      </c>
      <c r="B1005" s="20" t="s">
        <v>2204</v>
      </c>
      <c r="C1005" s="20" t="s">
        <v>1489</v>
      </c>
      <c r="D1005" s="20" t="s">
        <v>2205</v>
      </c>
      <c r="E1005" s="21">
        <v>1</v>
      </c>
      <c r="F1005" s="21"/>
      <c r="G1005" s="21"/>
      <c r="H1005" s="21"/>
      <c r="I1005" s="21"/>
      <c r="J1005" s="21"/>
      <c r="K1005" s="21">
        <v>5</v>
      </c>
      <c r="L1005" s="21"/>
      <c r="M1005" s="21"/>
      <c r="N1005" s="21">
        <v>50</v>
      </c>
      <c r="O1005" s="21">
        <v>100</v>
      </c>
      <c r="P1005" s="21"/>
      <c r="Q1005" s="22">
        <f t="shared" si="15"/>
        <v>156</v>
      </c>
    </row>
    <row r="1006" spans="1:17" ht="15.75" customHeight="1">
      <c r="A1006" s="23">
        <v>1004</v>
      </c>
      <c r="B1006" s="24" t="s">
        <v>2206</v>
      </c>
      <c r="C1006" s="24" t="s">
        <v>1489</v>
      </c>
      <c r="D1006" s="24" t="s">
        <v>2207</v>
      </c>
      <c r="E1006" s="25"/>
      <c r="F1006" s="25"/>
      <c r="G1006" s="25">
        <v>15</v>
      </c>
      <c r="H1006" s="25"/>
      <c r="I1006" s="25"/>
      <c r="J1006" s="25"/>
      <c r="K1006" s="25">
        <v>5</v>
      </c>
      <c r="L1006" s="25"/>
      <c r="M1006" s="25"/>
      <c r="N1006" s="25"/>
      <c r="O1006" s="25"/>
      <c r="P1006" s="25"/>
      <c r="Q1006" s="22">
        <f t="shared" si="15"/>
        <v>20</v>
      </c>
    </row>
    <row r="1007" spans="1:17" ht="15.75" customHeight="1">
      <c r="A1007" s="19">
        <v>1005</v>
      </c>
      <c r="B1007" s="20" t="s">
        <v>2210</v>
      </c>
      <c r="C1007" s="20" t="s">
        <v>1491</v>
      </c>
      <c r="D1007" s="20" t="s">
        <v>2211</v>
      </c>
      <c r="E1007" s="21"/>
      <c r="F1007" s="21">
        <v>5</v>
      </c>
      <c r="G1007" s="21"/>
      <c r="H1007" s="21"/>
      <c r="I1007" s="21"/>
      <c r="J1007" s="21"/>
      <c r="K1007" s="21">
        <v>20</v>
      </c>
      <c r="L1007" s="21">
        <v>5</v>
      </c>
      <c r="M1007" s="21"/>
      <c r="N1007" s="21"/>
      <c r="O1007" s="21"/>
      <c r="P1007" s="21">
        <v>20</v>
      </c>
      <c r="Q1007" s="22">
        <f t="shared" si="15"/>
        <v>50</v>
      </c>
    </row>
    <row r="1008" spans="1:17" ht="15.75" customHeight="1">
      <c r="A1008" s="23">
        <v>1006</v>
      </c>
      <c r="B1008" s="24" t="s">
        <v>2213</v>
      </c>
      <c r="C1008" s="24" t="s">
        <v>1491</v>
      </c>
      <c r="D1008" s="24" t="s">
        <v>2214</v>
      </c>
      <c r="E1008" s="25"/>
      <c r="F1008" s="25">
        <v>5</v>
      </c>
      <c r="G1008" s="25"/>
      <c r="H1008" s="25"/>
      <c r="I1008" s="25"/>
      <c r="J1008" s="25"/>
      <c r="K1008" s="25"/>
      <c r="L1008" s="25">
        <v>25</v>
      </c>
      <c r="M1008" s="25"/>
      <c r="N1008" s="25">
        <v>30</v>
      </c>
      <c r="O1008" s="25"/>
      <c r="P1008" s="25">
        <v>20</v>
      </c>
      <c r="Q1008" s="22">
        <f t="shared" si="15"/>
        <v>80</v>
      </c>
    </row>
    <row r="1009" spans="1:17" ht="15.75" customHeight="1">
      <c r="A1009" s="19">
        <v>1007</v>
      </c>
      <c r="B1009" s="20" t="s">
        <v>2215</v>
      </c>
      <c r="C1009" s="20" t="s">
        <v>1491</v>
      </c>
      <c r="D1009" s="20" t="s">
        <v>2216</v>
      </c>
      <c r="E1009" s="21"/>
      <c r="F1009" s="21">
        <v>5</v>
      </c>
      <c r="G1009" s="21"/>
      <c r="H1009" s="21"/>
      <c r="I1009" s="21"/>
      <c r="J1009" s="21"/>
      <c r="K1009" s="21">
        <v>30</v>
      </c>
      <c r="L1009" s="21">
        <v>25</v>
      </c>
      <c r="M1009" s="21"/>
      <c r="N1009" s="21"/>
      <c r="O1009" s="21"/>
      <c r="P1009" s="21"/>
      <c r="Q1009" s="22">
        <f t="shared" si="15"/>
        <v>60</v>
      </c>
    </row>
    <row r="1010" spans="1:17" ht="15.75" customHeight="1">
      <c r="A1010" s="23">
        <v>1008</v>
      </c>
      <c r="B1010" s="24" t="s">
        <v>2217</v>
      </c>
      <c r="C1010" s="24" t="s">
        <v>1491</v>
      </c>
      <c r="D1010" s="24" t="s">
        <v>2218</v>
      </c>
      <c r="E1010" s="25"/>
      <c r="F1010" s="25">
        <v>10</v>
      </c>
      <c r="G1010" s="25"/>
      <c r="H1010" s="25"/>
      <c r="I1010" s="25">
        <v>8</v>
      </c>
      <c r="J1010" s="25"/>
      <c r="K1010" s="25">
        <v>30</v>
      </c>
      <c r="L1010" s="25">
        <v>25</v>
      </c>
      <c r="M1010" s="25"/>
      <c r="N1010" s="25"/>
      <c r="O1010" s="25"/>
      <c r="P1010" s="25"/>
      <c r="Q1010" s="22">
        <f t="shared" si="15"/>
        <v>73</v>
      </c>
    </row>
    <row r="1011" spans="1:17" ht="15.75" customHeight="1">
      <c r="A1011" s="19">
        <v>1009</v>
      </c>
      <c r="B1011" s="20" t="s">
        <v>2219</v>
      </c>
      <c r="C1011" s="20" t="s">
        <v>1493</v>
      </c>
      <c r="D1011" s="20" t="s">
        <v>2220</v>
      </c>
      <c r="E1011" s="21"/>
      <c r="F1011" s="21"/>
      <c r="G1011" s="21">
        <v>1350</v>
      </c>
      <c r="H1011" s="21">
        <v>970</v>
      </c>
      <c r="I1011" s="21"/>
      <c r="J1011" s="21"/>
      <c r="K1011" s="21"/>
      <c r="L1011" s="21"/>
      <c r="M1011" s="21"/>
      <c r="N1011" s="21"/>
      <c r="O1011" s="21"/>
      <c r="P1011" s="21"/>
      <c r="Q1011" s="22">
        <f t="shared" si="15"/>
        <v>2320</v>
      </c>
    </row>
    <row r="1012" spans="1:17" ht="15.75" customHeight="1">
      <c r="A1012" s="23">
        <v>1010</v>
      </c>
      <c r="B1012" s="24" t="s">
        <v>2223</v>
      </c>
      <c r="C1012" s="24" t="s">
        <v>1493</v>
      </c>
      <c r="D1012" s="24" t="s">
        <v>2224</v>
      </c>
      <c r="E1012" s="25"/>
      <c r="F1012" s="25">
        <v>20</v>
      </c>
      <c r="G1012" s="25">
        <v>20</v>
      </c>
      <c r="H1012" s="25"/>
      <c r="I1012" s="25"/>
      <c r="J1012" s="25">
        <v>30</v>
      </c>
      <c r="K1012" s="25">
        <v>15</v>
      </c>
      <c r="L1012" s="25"/>
      <c r="M1012" s="25">
        <v>20</v>
      </c>
      <c r="N1012" s="25">
        <v>10</v>
      </c>
      <c r="O1012" s="25"/>
      <c r="P1012" s="25">
        <v>20</v>
      </c>
      <c r="Q1012" s="22">
        <f t="shared" si="15"/>
        <v>135</v>
      </c>
    </row>
    <row r="1013" spans="1:17" ht="15.75" customHeight="1">
      <c r="A1013" s="19">
        <v>1011</v>
      </c>
      <c r="B1013" s="20" t="s">
        <v>2225</v>
      </c>
      <c r="C1013" s="20" t="s">
        <v>1493</v>
      </c>
      <c r="D1013" s="20" t="s">
        <v>2226</v>
      </c>
      <c r="E1013" s="21">
        <v>5</v>
      </c>
      <c r="F1013" s="21"/>
      <c r="G1013" s="21"/>
      <c r="H1013" s="21"/>
      <c r="I1013" s="21">
        <v>10</v>
      </c>
      <c r="J1013" s="21">
        <v>10</v>
      </c>
      <c r="K1013" s="21"/>
      <c r="L1013" s="21"/>
      <c r="M1013" s="21"/>
      <c r="N1013" s="21">
        <v>5</v>
      </c>
      <c r="O1013" s="21">
        <v>202</v>
      </c>
      <c r="P1013" s="21"/>
      <c r="Q1013" s="22">
        <f t="shared" si="15"/>
        <v>232</v>
      </c>
    </row>
    <row r="1014" spans="1:17" ht="15.75" customHeight="1">
      <c r="A1014" s="23">
        <v>1012</v>
      </c>
      <c r="B1014" s="24" t="s">
        <v>2227</v>
      </c>
      <c r="C1014" s="24" t="s">
        <v>1493</v>
      </c>
      <c r="D1014" s="24" t="s">
        <v>2228</v>
      </c>
      <c r="E1014" s="25">
        <v>100</v>
      </c>
      <c r="F1014" s="25">
        <v>10</v>
      </c>
      <c r="G1014" s="25">
        <v>110</v>
      </c>
      <c r="H1014" s="25">
        <v>30</v>
      </c>
      <c r="I1014" s="25">
        <v>50</v>
      </c>
      <c r="J1014" s="25">
        <v>115</v>
      </c>
      <c r="K1014" s="25">
        <v>60</v>
      </c>
      <c r="L1014" s="25">
        <v>450</v>
      </c>
      <c r="M1014" s="25">
        <v>120</v>
      </c>
      <c r="N1014" s="25">
        <v>140</v>
      </c>
      <c r="O1014" s="25">
        <v>100</v>
      </c>
      <c r="P1014" s="25">
        <v>30</v>
      </c>
      <c r="Q1014" s="22">
        <f t="shared" si="15"/>
        <v>1315</v>
      </c>
    </row>
    <row r="1015" spans="1:17" ht="15.75" customHeight="1">
      <c r="A1015" s="19">
        <v>1013</v>
      </c>
      <c r="B1015" s="20" t="s">
        <v>2229</v>
      </c>
      <c r="C1015" s="20" t="s">
        <v>1493</v>
      </c>
      <c r="D1015" s="20" t="s">
        <v>2230</v>
      </c>
      <c r="E1015" s="21"/>
      <c r="F1015" s="21"/>
      <c r="G1015" s="21"/>
      <c r="H1015" s="21"/>
      <c r="I1015" s="21">
        <v>8</v>
      </c>
      <c r="J1015" s="21">
        <v>10</v>
      </c>
      <c r="K1015" s="21">
        <v>15</v>
      </c>
      <c r="L1015" s="21"/>
      <c r="M1015" s="21"/>
      <c r="N1015" s="21">
        <v>5</v>
      </c>
      <c r="O1015" s="21"/>
      <c r="P1015" s="21"/>
      <c r="Q1015" s="22">
        <f t="shared" si="15"/>
        <v>38</v>
      </c>
    </row>
    <row r="1016" spans="1:17" ht="15.75" customHeight="1">
      <c r="A1016" s="23">
        <v>1014</v>
      </c>
      <c r="B1016" s="24" t="s">
        <v>2231</v>
      </c>
      <c r="C1016" s="24" t="s">
        <v>1493</v>
      </c>
      <c r="D1016" s="24" t="s">
        <v>2232</v>
      </c>
      <c r="E1016" s="25">
        <v>221</v>
      </c>
      <c r="F1016" s="25">
        <v>142</v>
      </c>
      <c r="G1016" s="25">
        <v>258</v>
      </c>
      <c r="H1016" s="25">
        <v>310</v>
      </c>
      <c r="I1016" s="25">
        <v>100</v>
      </c>
      <c r="J1016" s="25">
        <v>170</v>
      </c>
      <c r="K1016" s="25">
        <v>250</v>
      </c>
      <c r="L1016" s="25">
        <v>160</v>
      </c>
      <c r="M1016" s="25">
        <v>110</v>
      </c>
      <c r="N1016" s="25">
        <v>220</v>
      </c>
      <c r="O1016" s="25">
        <v>400</v>
      </c>
      <c r="P1016" s="25">
        <v>130</v>
      </c>
      <c r="Q1016" s="22">
        <f t="shared" si="15"/>
        <v>2471</v>
      </c>
    </row>
    <row r="1017" spans="1:17" ht="15.75" customHeight="1">
      <c r="A1017" s="19">
        <v>1015</v>
      </c>
      <c r="B1017" s="20" t="s">
        <v>2233</v>
      </c>
      <c r="C1017" s="20" t="s">
        <v>1493</v>
      </c>
      <c r="D1017" s="20" t="s">
        <v>2234</v>
      </c>
      <c r="E1017" s="21">
        <v>540</v>
      </c>
      <c r="F1017" s="21">
        <v>180</v>
      </c>
      <c r="G1017" s="21">
        <v>998</v>
      </c>
      <c r="H1017" s="21">
        <v>310</v>
      </c>
      <c r="I1017" s="21">
        <v>594</v>
      </c>
      <c r="J1017" s="21">
        <v>152</v>
      </c>
      <c r="K1017" s="21">
        <v>515</v>
      </c>
      <c r="L1017" s="21">
        <v>520</v>
      </c>
      <c r="M1017" s="21">
        <v>580</v>
      </c>
      <c r="N1017" s="21">
        <v>830</v>
      </c>
      <c r="O1017" s="21">
        <v>310</v>
      </c>
      <c r="P1017" s="21">
        <v>240</v>
      </c>
      <c r="Q1017" s="22">
        <f t="shared" si="15"/>
        <v>5769</v>
      </c>
    </row>
    <row r="1018" spans="1:17" ht="15.75" customHeight="1">
      <c r="A1018" s="23">
        <v>1016</v>
      </c>
      <c r="B1018" s="24" t="s">
        <v>2235</v>
      </c>
      <c r="C1018" s="24" t="s">
        <v>1493</v>
      </c>
      <c r="D1018" s="24" t="s">
        <v>2236</v>
      </c>
      <c r="E1018" s="25"/>
      <c r="F1018" s="25"/>
      <c r="G1018" s="25"/>
      <c r="H1018" s="25">
        <v>56</v>
      </c>
      <c r="I1018" s="25"/>
      <c r="J1018" s="25"/>
      <c r="K1018" s="25">
        <v>15</v>
      </c>
      <c r="L1018" s="25"/>
      <c r="M1018" s="25"/>
      <c r="N1018" s="25">
        <v>10</v>
      </c>
      <c r="O1018" s="25">
        <v>10</v>
      </c>
      <c r="P1018" s="25"/>
      <c r="Q1018" s="22">
        <f t="shared" si="15"/>
        <v>91</v>
      </c>
    </row>
    <row r="1019" spans="1:17" ht="15.75" customHeight="1">
      <c r="A1019" s="19">
        <v>1017</v>
      </c>
      <c r="B1019" s="20" t="s">
        <v>2237</v>
      </c>
      <c r="C1019" s="20" t="s">
        <v>1493</v>
      </c>
      <c r="D1019" s="20" t="s">
        <v>2238</v>
      </c>
      <c r="E1019" s="21"/>
      <c r="F1019" s="21"/>
      <c r="G1019" s="21"/>
      <c r="H1019" s="21"/>
      <c r="I1019" s="21"/>
      <c r="J1019" s="21"/>
      <c r="K1019" s="21"/>
      <c r="L1019" s="21">
        <v>30</v>
      </c>
      <c r="M1019" s="21"/>
      <c r="N1019" s="21"/>
      <c r="O1019" s="21"/>
      <c r="P1019" s="21"/>
      <c r="Q1019" s="22">
        <f t="shared" si="15"/>
        <v>30</v>
      </c>
    </row>
    <row r="1020" spans="1:17" ht="15.75" customHeight="1">
      <c r="A1020" s="23">
        <v>1018</v>
      </c>
      <c r="B1020" s="24" t="s">
        <v>2937</v>
      </c>
      <c r="C1020" s="24" t="s">
        <v>1504</v>
      </c>
      <c r="D1020" s="24" t="s">
        <v>1946</v>
      </c>
      <c r="E1020" s="25"/>
      <c r="F1020" s="25">
        <v>50</v>
      </c>
      <c r="G1020" s="25"/>
      <c r="H1020" s="25"/>
      <c r="I1020" s="25"/>
      <c r="J1020" s="25"/>
      <c r="K1020" s="25"/>
      <c r="L1020" s="25"/>
      <c r="M1020" s="25"/>
      <c r="N1020" s="25"/>
      <c r="O1020" s="25"/>
      <c r="P1020" s="25"/>
      <c r="Q1020" s="22">
        <f t="shared" si="15"/>
        <v>50</v>
      </c>
    </row>
    <row r="1021" spans="1:17" ht="15.75" customHeight="1">
      <c r="A1021" s="19">
        <v>1019</v>
      </c>
      <c r="B1021" s="20" t="s">
        <v>2239</v>
      </c>
      <c r="C1021" s="20" t="s">
        <v>1504</v>
      </c>
      <c r="D1021" s="20" t="s">
        <v>2240</v>
      </c>
      <c r="E1021" s="21">
        <v>530</v>
      </c>
      <c r="F1021" s="21">
        <v>320</v>
      </c>
      <c r="G1021" s="21">
        <v>110</v>
      </c>
      <c r="H1021" s="21">
        <v>100</v>
      </c>
      <c r="I1021" s="21">
        <v>630</v>
      </c>
      <c r="J1021" s="21">
        <v>308</v>
      </c>
      <c r="K1021" s="21">
        <v>666</v>
      </c>
      <c r="L1021" s="21">
        <v>360</v>
      </c>
      <c r="M1021" s="21">
        <v>200</v>
      </c>
      <c r="N1021" s="21">
        <v>685</v>
      </c>
      <c r="O1021" s="21">
        <v>260</v>
      </c>
      <c r="P1021" s="21">
        <v>480</v>
      </c>
      <c r="Q1021" s="22">
        <f t="shared" si="15"/>
        <v>4649</v>
      </c>
    </row>
    <row r="1022" spans="1:17" ht="15.75" customHeight="1">
      <c r="A1022" s="23">
        <v>1020</v>
      </c>
      <c r="B1022" s="24" t="s">
        <v>2241</v>
      </c>
      <c r="C1022" s="24" t="s">
        <v>1504</v>
      </c>
      <c r="D1022" s="24" t="s">
        <v>1668</v>
      </c>
      <c r="E1022" s="25"/>
      <c r="F1022" s="25"/>
      <c r="G1022" s="25"/>
      <c r="H1022" s="25">
        <v>50</v>
      </c>
      <c r="I1022" s="25"/>
      <c r="J1022" s="25">
        <v>100</v>
      </c>
      <c r="K1022" s="25"/>
      <c r="L1022" s="25"/>
      <c r="M1022" s="25"/>
      <c r="N1022" s="25"/>
      <c r="O1022" s="25">
        <v>50</v>
      </c>
      <c r="P1022" s="25"/>
      <c r="Q1022" s="22">
        <f t="shared" si="15"/>
        <v>200</v>
      </c>
    </row>
    <row r="1023" spans="1:17" ht="15.75" customHeight="1">
      <c r="A1023" s="19">
        <v>1021</v>
      </c>
      <c r="B1023" s="20" t="s">
        <v>2242</v>
      </c>
      <c r="C1023" s="20" t="s">
        <v>1504</v>
      </c>
      <c r="D1023" s="20" t="s">
        <v>2243</v>
      </c>
      <c r="E1023" s="21">
        <v>124</v>
      </c>
      <c r="F1023" s="21">
        <v>124</v>
      </c>
      <c r="G1023" s="21">
        <v>30</v>
      </c>
      <c r="H1023" s="21">
        <v>112</v>
      </c>
      <c r="I1023" s="21">
        <v>50</v>
      </c>
      <c r="J1023" s="21">
        <v>80</v>
      </c>
      <c r="K1023" s="21">
        <v>355</v>
      </c>
      <c r="L1023" s="21">
        <v>10</v>
      </c>
      <c r="M1023" s="21">
        <v>60</v>
      </c>
      <c r="N1023" s="21">
        <v>120</v>
      </c>
      <c r="O1023" s="21">
        <v>120</v>
      </c>
      <c r="P1023" s="21">
        <v>170</v>
      </c>
      <c r="Q1023" s="22">
        <f t="shared" si="15"/>
        <v>1355</v>
      </c>
    </row>
    <row r="1024" spans="1:17" ht="15.75" customHeight="1">
      <c r="A1024" s="23">
        <v>1022</v>
      </c>
      <c r="B1024" s="24" t="s">
        <v>2244</v>
      </c>
      <c r="C1024" s="24" t="s">
        <v>1504</v>
      </c>
      <c r="D1024" s="24" t="s">
        <v>2245</v>
      </c>
      <c r="E1024" s="25">
        <v>10760</v>
      </c>
      <c r="F1024" s="25">
        <v>7920</v>
      </c>
      <c r="G1024" s="25">
        <v>3750</v>
      </c>
      <c r="H1024" s="25">
        <v>3540</v>
      </c>
      <c r="I1024" s="25">
        <v>5890</v>
      </c>
      <c r="J1024" s="25">
        <v>5210</v>
      </c>
      <c r="K1024" s="25">
        <v>3650</v>
      </c>
      <c r="L1024" s="25">
        <v>2525</v>
      </c>
      <c r="M1024" s="25">
        <v>3520</v>
      </c>
      <c r="N1024" s="25">
        <v>1980</v>
      </c>
      <c r="O1024" s="25">
        <v>2630</v>
      </c>
      <c r="P1024" s="25">
        <v>2070</v>
      </c>
      <c r="Q1024" s="22">
        <f t="shared" si="15"/>
        <v>53445</v>
      </c>
    </row>
    <row r="1025" spans="1:17" ht="15.75" customHeight="1">
      <c r="A1025" s="19">
        <v>1023</v>
      </c>
      <c r="B1025" s="20" t="s">
        <v>2246</v>
      </c>
      <c r="C1025" s="20" t="s">
        <v>1504</v>
      </c>
      <c r="D1025" s="20" t="s">
        <v>2247</v>
      </c>
      <c r="E1025" s="21">
        <v>50</v>
      </c>
      <c r="F1025" s="21"/>
      <c r="G1025" s="21">
        <v>20</v>
      </c>
      <c r="H1025" s="21">
        <v>7</v>
      </c>
      <c r="I1025" s="21">
        <v>70</v>
      </c>
      <c r="J1025" s="21"/>
      <c r="K1025" s="21"/>
      <c r="L1025" s="21"/>
      <c r="M1025" s="21">
        <v>10</v>
      </c>
      <c r="N1025" s="21"/>
      <c r="O1025" s="21">
        <v>10</v>
      </c>
      <c r="P1025" s="21"/>
      <c r="Q1025" s="22">
        <f t="shared" si="15"/>
        <v>167</v>
      </c>
    </row>
    <row r="1026" spans="1:17" ht="15.75" customHeight="1">
      <c r="A1026" s="23">
        <v>1024</v>
      </c>
      <c r="B1026" s="24" t="s">
        <v>2248</v>
      </c>
      <c r="C1026" s="24" t="s">
        <v>1504</v>
      </c>
      <c r="D1026" s="24" t="s">
        <v>2249</v>
      </c>
      <c r="E1026" s="25"/>
      <c r="F1026" s="25"/>
      <c r="G1026" s="25">
        <v>5</v>
      </c>
      <c r="H1026" s="25">
        <v>50</v>
      </c>
      <c r="I1026" s="25">
        <v>30</v>
      </c>
      <c r="J1026" s="25"/>
      <c r="K1026" s="25"/>
      <c r="L1026" s="25"/>
      <c r="M1026" s="25"/>
      <c r="N1026" s="25">
        <v>14</v>
      </c>
      <c r="O1026" s="25">
        <v>10</v>
      </c>
      <c r="P1026" s="25"/>
      <c r="Q1026" s="22">
        <f t="shared" si="15"/>
        <v>109</v>
      </c>
    </row>
    <row r="1027" spans="1:17" ht="15.75" customHeight="1">
      <c r="A1027" s="19">
        <v>1025</v>
      </c>
      <c r="B1027" s="20" t="s">
        <v>2250</v>
      </c>
      <c r="C1027" s="20" t="s">
        <v>1504</v>
      </c>
      <c r="D1027" s="20" t="s">
        <v>2251</v>
      </c>
      <c r="E1027" s="21">
        <v>50</v>
      </c>
      <c r="F1027" s="21">
        <v>1880</v>
      </c>
      <c r="G1027" s="21">
        <v>670</v>
      </c>
      <c r="H1027" s="21">
        <v>780</v>
      </c>
      <c r="I1027" s="21">
        <v>690</v>
      </c>
      <c r="J1027" s="21">
        <v>570</v>
      </c>
      <c r="K1027" s="21">
        <v>660</v>
      </c>
      <c r="L1027" s="21">
        <v>350</v>
      </c>
      <c r="M1027" s="21">
        <v>40</v>
      </c>
      <c r="N1027" s="21">
        <v>350</v>
      </c>
      <c r="O1027" s="21">
        <v>200</v>
      </c>
      <c r="P1027" s="21">
        <v>200</v>
      </c>
      <c r="Q1027" s="22">
        <f t="shared" ref="Q1027:Q1090" si="16">SUM(E1027:P1027)</f>
        <v>6440</v>
      </c>
    </row>
    <row r="1028" spans="1:17" ht="15.75" customHeight="1">
      <c r="A1028" s="23">
        <v>1026</v>
      </c>
      <c r="B1028" s="24" t="s">
        <v>2252</v>
      </c>
      <c r="C1028" s="24" t="s">
        <v>1504</v>
      </c>
      <c r="D1028" s="24" t="s">
        <v>2253</v>
      </c>
      <c r="E1028" s="25">
        <v>6892</v>
      </c>
      <c r="F1028" s="25">
        <v>3370</v>
      </c>
      <c r="G1028" s="25">
        <v>3895</v>
      </c>
      <c r="H1028" s="25">
        <v>3360</v>
      </c>
      <c r="I1028" s="25">
        <v>5456</v>
      </c>
      <c r="J1028" s="25">
        <v>3000</v>
      </c>
      <c r="K1028" s="25">
        <v>2151</v>
      </c>
      <c r="L1028" s="25">
        <v>2028</v>
      </c>
      <c r="M1028" s="25">
        <v>1775</v>
      </c>
      <c r="N1028" s="25">
        <v>3450</v>
      </c>
      <c r="O1028" s="25">
        <v>810</v>
      </c>
      <c r="P1028" s="25">
        <v>1625</v>
      </c>
      <c r="Q1028" s="22">
        <f t="shared" si="16"/>
        <v>37812</v>
      </c>
    </row>
    <row r="1029" spans="1:17" ht="15.75" customHeight="1">
      <c r="A1029" s="19">
        <v>1027</v>
      </c>
      <c r="B1029" s="20" t="s">
        <v>2254</v>
      </c>
      <c r="C1029" s="20" t="s">
        <v>1504</v>
      </c>
      <c r="D1029" s="20" t="s">
        <v>2255</v>
      </c>
      <c r="E1029" s="21">
        <v>140</v>
      </c>
      <c r="F1029" s="21"/>
      <c r="G1029" s="21">
        <v>190</v>
      </c>
      <c r="H1029" s="21">
        <v>275</v>
      </c>
      <c r="I1029" s="21">
        <v>20</v>
      </c>
      <c r="J1029" s="21">
        <v>20</v>
      </c>
      <c r="K1029" s="21"/>
      <c r="L1029" s="21">
        <v>120</v>
      </c>
      <c r="M1029" s="21"/>
      <c r="N1029" s="21">
        <v>40</v>
      </c>
      <c r="O1029" s="21"/>
      <c r="P1029" s="21"/>
      <c r="Q1029" s="22">
        <f t="shared" si="16"/>
        <v>805</v>
      </c>
    </row>
    <row r="1030" spans="1:17" ht="15.75" customHeight="1">
      <c r="A1030" s="23">
        <v>1028</v>
      </c>
      <c r="B1030" s="24" t="s">
        <v>2256</v>
      </c>
      <c r="C1030" s="24" t="s">
        <v>1504</v>
      </c>
      <c r="D1030" s="24" t="s">
        <v>2257</v>
      </c>
      <c r="E1030" s="25">
        <v>1460</v>
      </c>
      <c r="F1030" s="25">
        <v>800</v>
      </c>
      <c r="G1030" s="25">
        <v>1190</v>
      </c>
      <c r="H1030" s="25">
        <v>215</v>
      </c>
      <c r="I1030" s="25">
        <v>1160</v>
      </c>
      <c r="J1030" s="25">
        <v>100</v>
      </c>
      <c r="K1030" s="25">
        <v>380</v>
      </c>
      <c r="L1030" s="25">
        <v>90</v>
      </c>
      <c r="M1030" s="25">
        <v>20</v>
      </c>
      <c r="N1030" s="25">
        <v>540</v>
      </c>
      <c r="O1030" s="25">
        <v>130</v>
      </c>
      <c r="P1030" s="25">
        <v>30</v>
      </c>
      <c r="Q1030" s="22">
        <f t="shared" si="16"/>
        <v>6115</v>
      </c>
    </row>
    <row r="1031" spans="1:17" ht="15.75" customHeight="1">
      <c r="A1031" s="19">
        <v>1029</v>
      </c>
      <c r="B1031" s="20" t="s">
        <v>2258</v>
      </c>
      <c r="C1031" s="20" t="s">
        <v>1504</v>
      </c>
      <c r="D1031" s="20" t="s">
        <v>2259</v>
      </c>
      <c r="E1031" s="21">
        <v>100</v>
      </c>
      <c r="F1031" s="21"/>
      <c r="G1031" s="21">
        <v>10</v>
      </c>
      <c r="H1031" s="21">
        <v>10</v>
      </c>
      <c r="I1031" s="21">
        <v>100</v>
      </c>
      <c r="J1031" s="21">
        <v>110</v>
      </c>
      <c r="K1031" s="21">
        <v>20</v>
      </c>
      <c r="L1031" s="21"/>
      <c r="M1031" s="21"/>
      <c r="N1031" s="21">
        <v>200</v>
      </c>
      <c r="O1031" s="21">
        <v>110</v>
      </c>
      <c r="P1031" s="21"/>
      <c r="Q1031" s="22">
        <f t="shared" si="16"/>
        <v>660</v>
      </c>
    </row>
    <row r="1032" spans="1:17" ht="15.75" customHeight="1">
      <c r="A1032" s="23">
        <v>1030</v>
      </c>
      <c r="B1032" s="24" t="s">
        <v>2260</v>
      </c>
      <c r="C1032" s="24" t="s">
        <v>1504</v>
      </c>
      <c r="D1032" s="24" t="s">
        <v>2261</v>
      </c>
      <c r="E1032" s="25">
        <v>30</v>
      </c>
      <c r="F1032" s="25"/>
      <c r="G1032" s="25">
        <v>20</v>
      </c>
      <c r="H1032" s="25">
        <v>50</v>
      </c>
      <c r="I1032" s="25"/>
      <c r="J1032" s="25">
        <v>70</v>
      </c>
      <c r="K1032" s="25">
        <v>30</v>
      </c>
      <c r="L1032" s="25"/>
      <c r="M1032" s="25">
        <v>30</v>
      </c>
      <c r="N1032" s="25">
        <v>60</v>
      </c>
      <c r="O1032" s="25">
        <v>100</v>
      </c>
      <c r="P1032" s="25"/>
      <c r="Q1032" s="22">
        <f t="shared" si="16"/>
        <v>390</v>
      </c>
    </row>
    <row r="1033" spans="1:17" ht="15.75" customHeight="1">
      <c r="A1033" s="19">
        <v>1031</v>
      </c>
      <c r="B1033" s="20" t="s">
        <v>2264</v>
      </c>
      <c r="C1033" s="20" t="s">
        <v>1504</v>
      </c>
      <c r="D1033" s="20" t="s">
        <v>2265</v>
      </c>
      <c r="E1033" s="21"/>
      <c r="F1033" s="21"/>
      <c r="G1033" s="21">
        <v>165</v>
      </c>
      <c r="H1033" s="21">
        <v>50</v>
      </c>
      <c r="I1033" s="21"/>
      <c r="J1033" s="21"/>
      <c r="K1033" s="21"/>
      <c r="L1033" s="21"/>
      <c r="M1033" s="21"/>
      <c r="N1033" s="21"/>
      <c r="O1033" s="21"/>
      <c r="P1033" s="21"/>
      <c r="Q1033" s="22">
        <f t="shared" si="16"/>
        <v>215</v>
      </c>
    </row>
    <row r="1034" spans="1:17" ht="15.75" customHeight="1">
      <c r="A1034" s="23">
        <v>1032</v>
      </c>
      <c r="B1034" s="24" t="s">
        <v>2938</v>
      </c>
      <c r="C1034" s="24" t="s">
        <v>1523</v>
      </c>
      <c r="D1034" s="24" t="s">
        <v>2267</v>
      </c>
      <c r="E1034" s="25"/>
      <c r="F1034" s="25">
        <v>30</v>
      </c>
      <c r="G1034" s="25"/>
      <c r="H1034" s="25"/>
      <c r="I1034" s="25"/>
      <c r="J1034" s="25"/>
      <c r="K1034" s="25"/>
      <c r="L1034" s="25"/>
      <c r="M1034" s="25"/>
      <c r="N1034" s="25"/>
      <c r="O1034" s="25"/>
      <c r="P1034" s="25"/>
      <c r="Q1034" s="22">
        <f t="shared" si="16"/>
        <v>30</v>
      </c>
    </row>
    <row r="1035" spans="1:17" ht="15.75" customHeight="1">
      <c r="A1035" s="19">
        <v>1033</v>
      </c>
      <c r="B1035" s="20" t="s">
        <v>2939</v>
      </c>
      <c r="C1035" s="20" t="s">
        <v>2273</v>
      </c>
      <c r="D1035" s="20" t="s">
        <v>1913</v>
      </c>
      <c r="E1035" s="21"/>
      <c r="F1035" s="21"/>
      <c r="G1035" s="21"/>
      <c r="H1035" s="21"/>
      <c r="I1035" s="21"/>
      <c r="J1035" s="21"/>
      <c r="K1035" s="21"/>
      <c r="L1035" s="21"/>
      <c r="M1035" s="21">
        <v>20</v>
      </c>
      <c r="N1035" s="21"/>
      <c r="O1035" s="21"/>
      <c r="P1035" s="21"/>
      <c r="Q1035" s="22">
        <f t="shared" si="16"/>
        <v>20</v>
      </c>
    </row>
    <row r="1036" spans="1:17" ht="15.75" customHeight="1">
      <c r="A1036" s="23">
        <v>1034</v>
      </c>
      <c r="B1036" s="24" t="s">
        <v>2266</v>
      </c>
      <c r="C1036" s="24" t="s">
        <v>1510</v>
      </c>
      <c r="D1036" s="24" t="s">
        <v>2267</v>
      </c>
      <c r="E1036" s="25"/>
      <c r="F1036" s="25">
        <v>16</v>
      </c>
      <c r="G1036" s="25"/>
      <c r="H1036" s="25"/>
      <c r="I1036" s="25"/>
      <c r="J1036" s="25"/>
      <c r="K1036" s="25"/>
      <c r="L1036" s="25"/>
      <c r="M1036" s="25"/>
      <c r="N1036" s="25"/>
      <c r="O1036" s="25"/>
      <c r="P1036" s="25"/>
      <c r="Q1036" s="22">
        <f t="shared" si="16"/>
        <v>16</v>
      </c>
    </row>
    <row r="1037" spans="1:17" ht="15.75" customHeight="1">
      <c r="A1037" s="19">
        <v>1035</v>
      </c>
      <c r="B1037" s="20" t="s">
        <v>2940</v>
      </c>
      <c r="C1037" s="20" t="s">
        <v>1475</v>
      </c>
      <c r="D1037" s="20" t="s">
        <v>2941</v>
      </c>
      <c r="E1037" s="21"/>
      <c r="F1037" s="21"/>
      <c r="G1037" s="21"/>
      <c r="H1037" s="21"/>
      <c r="I1037" s="21"/>
      <c r="J1037" s="21">
        <v>5</v>
      </c>
      <c r="K1037" s="21"/>
      <c r="L1037" s="21"/>
      <c r="M1037" s="21"/>
      <c r="N1037" s="21"/>
      <c r="O1037" s="21"/>
      <c r="P1037" s="21"/>
      <c r="Q1037" s="22">
        <f t="shared" si="16"/>
        <v>5</v>
      </c>
    </row>
    <row r="1038" spans="1:17" ht="15.75" customHeight="1">
      <c r="A1038" s="23">
        <v>1036</v>
      </c>
      <c r="B1038" s="24" t="s">
        <v>2271</v>
      </c>
      <c r="C1038" s="24" t="s">
        <v>1523</v>
      </c>
      <c r="D1038" s="24" t="s">
        <v>1909</v>
      </c>
      <c r="E1038" s="25"/>
      <c r="F1038" s="25"/>
      <c r="G1038" s="25">
        <v>25</v>
      </c>
      <c r="H1038" s="25"/>
      <c r="I1038" s="25"/>
      <c r="J1038" s="25"/>
      <c r="K1038" s="25"/>
      <c r="L1038" s="25"/>
      <c r="M1038" s="25"/>
      <c r="N1038" s="25"/>
      <c r="O1038" s="25"/>
      <c r="P1038" s="25"/>
      <c r="Q1038" s="22">
        <f t="shared" si="16"/>
        <v>25</v>
      </c>
    </row>
    <row r="1039" spans="1:17" ht="15.75" customHeight="1">
      <c r="A1039" s="19">
        <v>1037</v>
      </c>
      <c r="B1039" s="20" t="s">
        <v>2272</v>
      </c>
      <c r="C1039" s="20" t="s">
        <v>2273</v>
      </c>
      <c r="D1039" s="20" t="s">
        <v>1909</v>
      </c>
      <c r="E1039" s="21">
        <v>6</v>
      </c>
      <c r="F1039" s="21"/>
      <c r="G1039" s="21"/>
      <c r="H1039" s="21"/>
      <c r="I1039" s="21"/>
      <c r="J1039" s="21">
        <v>16</v>
      </c>
      <c r="K1039" s="21"/>
      <c r="L1039" s="21"/>
      <c r="M1039" s="21"/>
      <c r="N1039" s="21"/>
      <c r="O1039" s="21"/>
      <c r="P1039" s="21"/>
      <c r="Q1039" s="22">
        <f t="shared" si="16"/>
        <v>22</v>
      </c>
    </row>
    <row r="1040" spans="1:17" ht="15.75" customHeight="1">
      <c r="A1040" s="23">
        <v>1038</v>
      </c>
      <c r="B1040" s="24" t="s">
        <v>2942</v>
      </c>
      <c r="C1040" s="24" t="s">
        <v>1471</v>
      </c>
      <c r="D1040" s="24" t="s">
        <v>2941</v>
      </c>
      <c r="E1040" s="25"/>
      <c r="F1040" s="25"/>
      <c r="G1040" s="25"/>
      <c r="H1040" s="25"/>
      <c r="I1040" s="25"/>
      <c r="J1040" s="25"/>
      <c r="K1040" s="25"/>
      <c r="L1040" s="25"/>
      <c r="M1040" s="25"/>
      <c r="N1040" s="25"/>
      <c r="O1040" s="25">
        <v>50</v>
      </c>
      <c r="P1040" s="25"/>
      <c r="Q1040" s="22">
        <f t="shared" si="16"/>
        <v>50</v>
      </c>
    </row>
    <row r="1041" spans="1:17" ht="15.75" customHeight="1">
      <c r="A1041" s="19">
        <v>1039</v>
      </c>
      <c r="B1041" s="20" t="s">
        <v>2277</v>
      </c>
      <c r="C1041" s="20" t="s">
        <v>1523</v>
      </c>
      <c r="D1041" s="20" t="s">
        <v>2278</v>
      </c>
      <c r="E1041" s="21"/>
      <c r="F1041" s="21"/>
      <c r="G1041" s="21"/>
      <c r="H1041" s="21"/>
      <c r="I1041" s="21"/>
      <c r="J1041" s="21">
        <v>5</v>
      </c>
      <c r="K1041" s="21"/>
      <c r="L1041" s="21"/>
      <c r="M1041" s="21"/>
      <c r="N1041" s="21"/>
      <c r="O1041" s="21"/>
      <c r="P1041" s="21"/>
      <c r="Q1041" s="22">
        <f t="shared" si="16"/>
        <v>5</v>
      </c>
    </row>
    <row r="1042" spans="1:17" ht="15.75" customHeight="1">
      <c r="A1042" s="23">
        <v>1040</v>
      </c>
      <c r="B1042" s="24" t="s">
        <v>2943</v>
      </c>
      <c r="C1042" s="24" t="s">
        <v>2301</v>
      </c>
      <c r="D1042" s="24" t="s">
        <v>1909</v>
      </c>
      <c r="E1042" s="25"/>
      <c r="F1042" s="25"/>
      <c r="G1042" s="25">
        <v>1</v>
      </c>
      <c r="H1042" s="25"/>
      <c r="I1042" s="25"/>
      <c r="J1042" s="25"/>
      <c r="K1042" s="25"/>
      <c r="L1042" s="25"/>
      <c r="M1042" s="25"/>
      <c r="N1042" s="25"/>
      <c r="O1042" s="25"/>
      <c r="P1042" s="25"/>
      <c r="Q1042" s="22">
        <f t="shared" si="16"/>
        <v>1</v>
      </c>
    </row>
    <row r="1043" spans="1:17" ht="15.75" customHeight="1">
      <c r="A1043" s="19">
        <v>1041</v>
      </c>
      <c r="B1043" s="20" t="s">
        <v>2944</v>
      </c>
      <c r="C1043" s="20" t="s">
        <v>2301</v>
      </c>
      <c r="D1043" s="20" t="s">
        <v>1911</v>
      </c>
      <c r="E1043" s="21"/>
      <c r="F1043" s="21"/>
      <c r="G1043" s="21">
        <v>3</v>
      </c>
      <c r="H1043" s="21"/>
      <c r="I1043" s="21"/>
      <c r="J1043" s="21"/>
      <c r="K1043" s="21"/>
      <c r="L1043" s="21"/>
      <c r="M1043" s="21"/>
      <c r="N1043" s="21"/>
      <c r="O1043" s="21"/>
      <c r="P1043" s="21"/>
      <c r="Q1043" s="22">
        <f t="shared" si="16"/>
        <v>3</v>
      </c>
    </row>
    <row r="1044" spans="1:17" ht="15.75" customHeight="1">
      <c r="A1044" s="23">
        <v>1042</v>
      </c>
      <c r="B1044" s="24" t="s">
        <v>2283</v>
      </c>
      <c r="C1044" s="24" t="s">
        <v>1466</v>
      </c>
      <c r="D1044" s="24" t="s">
        <v>2284</v>
      </c>
      <c r="E1044" s="25"/>
      <c r="F1044" s="25"/>
      <c r="G1044" s="25"/>
      <c r="H1044" s="25">
        <v>3</v>
      </c>
      <c r="I1044" s="25"/>
      <c r="J1044" s="25"/>
      <c r="K1044" s="25"/>
      <c r="L1044" s="25"/>
      <c r="M1044" s="25"/>
      <c r="N1044" s="25"/>
      <c r="O1044" s="25"/>
      <c r="P1044" s="25"/>
      <c r="Q1044" s="22">
        <f t="shared" si="16"/>
        <v>3</v>
      </c>
    </row>
    <row r="1045" spans="1:17" ht="15.75" customHeight="1">
      <c r="A1045" s="19">
        <v>1043</v>
      </c>
      <c r="B1045" s="20" t="s">
        <v>2945</v>
      </c>
      <c r="C1045" s="20" t="s">
        <v>2929</v>
      </c>
      <c r="D1045" s="20" t="s">
        <v>2946</v>
      </c>
      <c r="E1045" s="21"/>
      <c r="F1045" s="21"/>
      <c r="G1045" s="21">
        <v>5</v>
      </c>
      <c r="H1045" s="21"/>
      <c r="I1045" s="21"/>
      <c r="J1045" s="21"/>
      <c r="K1045" s="21"/>
      <c r="L1045" s="21"/>
      <c r="M1045" s="21"/>
      <c r="N1045" s="21"/>
      <c r="O1045" s="21"/>
      <c r="P1045" s="21"/>
      <c r="Q1045" s="22">
        <f t="shared" si="16"/>
        <v>5</v>
      </c>
    </row>
    <row r="1046" spans="1:17" ht="15.75" customHeight="1">
      <c r="A1046" s="23">
        <v>1044</v>
      </c>
      <c r="B1046" s="24" t="s">
        <v>2947</v>
      </c>
      <c r="C1046" s="24" t="s">
        <v>1463</v>
      </c>
      <c r="D1046" s="24" t="s">
        <v>1668</v>
      </c>
      <c r="E1046" s="25"/>
      <c r="F1046" s="25"/>
      <c r="G1046" s="25"/>
      <c r="H1046" s="25"/>
      <c r="I1046" s="25"/>
      <c r="J1046" s="25"/>
      <c r="K1046" s="25"/>
      <c r="L1046" s="25"/>
      <c r="M1046" s="25">
        <v>3</v>
      </c>
      <c r="N1046" s="25"/>
      <c r="O1046" s="25"/>
      <c r="P1046" s="25"/>
      <c r="Q1046" s="22">
        <f t="shared" si="16"/>
        <v>3</v>
      </c>
    </row>
    <row r="1047" spans="1:17" ht="15.75" customHeight="1">
      <c r="A1047" s="19">
        <v>1045</v>
      </c>
      <c r="B1047" s="20" t="s">
        <v>2948</v>
      </c>
      <c r="C1047" s="20" t="s">
        <v>1466</v>
      </c>
      <c r="D1047" s="20" t="s">
        <v>1578</v>
      </c>
      <c r="E1047" s="21"/>
      <c r="F1047" s="21"/>
      <c r="G1047" s="21"/>
      <c r="H1047" s="21"/>
      <c r="I1047" s="21"/>
      <c r="J1047" s="21"/>
      <c r="K1047" s="21"/>
      <c r="L1047" s="21">
        <v>15</v>
      </c>
      <c r="M1047" s="21"/>
      <c r="N1047" s="21"/>
      <c r="O1047" s="21"/>
      <c r="P1047" s="21"/>
      <c r="Q1047" s="22">
        <f t="shared" si="16"/>
        <v>15</v>
      </c>
    </row>
    <row r="1048" spans="1:17" ht="15.75" customHeight="1">
      <c r="A1048" s="23">
        <v>1046</v>
      </c>
      <c r="B1048" s="24" t="s">
        <v>2292</v>
      </c>
      <c r="C1048" s="24" t="s">
        <v>2273</v>
      </c>
      <c r="D1048" s="24" t="s">
        <v>1911</v>
      </c>
      <c r="E1048" s="25">
        <v>6</v>
      </c>
      <c r="F1048" s="25"/>
      <c r="G1048" s="25"/>
      <c r="H1048" s="25"/>
      <c r="I1048" s="25"/>
      <c r="J1048" s="25">
        <v>45</v>
      </c>
      <c r="K1048" s="25"/>
      <c r="L1048" s="25"/>
      <c r="M1048" s="25"/>
      <c r="N1048" s="25"/>
      <c r="O1048" s="25"/>
      <c r="P1048" s="25"/>
      <c r="Q1048" s="22">
        <f t="shared" si="16"/>
        <v>51</v>
      </c>
    </row>
    <row r="1049" spans="1:17" ht="15.75" customHeight="1">
      <c r="A1049" s="19">
        <v>1047</v>
      </c>
      <c r="B1049" s="20" t="s">
        <v>2293</v>
      </c>
      <c r="C1049" s="20" t="s">
        <v>2294</v>
      </c>
      <c r="D1049" s="20" t="s">
        <v>1911</v>
      </c>
      <c r="E1049" s="21"/>
      <c r="F1049" s="21"/>
      <c r="G1049" s="21">
        <v>3</v>
      </c>
      <c r="H1049" s="21"/>
      <c r="I1049" s="21"/>
      <c r="J1049" s="21"/>
      <c r="K1049" s="21"/>
      <c r="L1049" s="21"/>
      <c r="M1049" s="21"/>
      <c r="N1049" s="21"/>
      <c r="O1049" s="21"/>
      <c r="P1049" s="21"/>
      <c r="Q1049" s="22">
        <f t="shared" si="16"/>
        <v>3</v>
      </c>
    </row>
    <row r="1050" spans="1:17" ht="15.75" customHeight="1">
      <c r="A1050" s="23">
        <v>1048</v>
      </c>
      <c r="B1050" s="24" t="s">
        <v>2295</v>
      </c>
      <c r="C1050" s="24" t="s">
        <v>2294</v>
      </c>
      <c r="D1050" s="24" t="s">
        <v>1913</v>
      </c>
      <c r="E1050" s="25"/>
      <c r="F1050" s="25"/>
      <c r="G1050" s="25">
        <v>2</v>
      </c>
      <c r="H1050" s="25"/>
      <c r="I1050" s="25"/>
      <c r="J1050" s="25"/>
      <c r="K1050" s="25"/>
      <c r="L1050" s="25"/>
      <c r="M1050" s="25"/>
      <c r="N1050" s="25"/>
      <c r="O1050" s="25"/>
      <c r="P1050" s="25"/>
      <c r="Q1050" s="22">
        <f t="shared" si="16"/>
        <v>2</v>
      </c>
    </row>
    <row r="1051" spans="1:17" ht="15.75" customHeight="1">
      <c r="A1051" s="19">
        <v>1049</v>
      </c>
      <c r="B1051" s="20" t="s">
        <v>2296</v>
      </c>
      <c r="C1051" s="20" t="s">
        <v>1523</v>
      </c>
      <c r="D1051" s="20" t="s">
        <v>1911</v>
      </c>
      <c r="E1051" s="21"/>
      <c r="F1051" s="21"/>
      <c r="G1051" s="21"/>
      <c r="H1051" s="21"/>
      <c r="I1051" s="21"/>
      <c r="J1051" s="21">
        <v>20</v>
      </c>
      <c r="K1051" s="21"/>
      <c r="L1051" s="21"/>
      <c r="M1051" s="21"/>
      <c r="N1051" s="21"/>
      <c r="O1051" s="21"/>
      <c r="P1051" s="21"/>
      <c r="Q1051" s="22">
        <f t="shared" si="16"/>
        <v>20</v>
      </c>
    </row>
    <row r="1052" spans="1:17" ht="15.75" customHeight="1">
      <c r="A1052" s="23">
        <v>1050</v>
      </c>
      <c r="B1052" s="24" t="s">
        <v>2949</v>
      </c>
      <c r="C1052" s="24" t="s">
        <v>2929</v>
      </c>
      <c r="D1052" s="24" t="s">
        <v>1909</v>
      </c>
      <c r="E1052" s="25"/>
      <c r="F1052" s="25"/>
      <c r="G1052" s="25">
        <v>11</v>
      </c>
      <c r="H1052" s="25"/>
      <c r="I1052" s="25"/>
      <c r="J1052" s="25">
        <v>10</v>
      </c>
      <c r="K1052" s="25"/>
      <c r="L1052" s="25"/>
      <c r="M1052" s="25"/>
      <c r="N1052" s="25"/>
      <c r="O1052" s="25"/>
      <c r="P1052" s="25"/>
      <c r="Q1052" s="22">
        <f t="shared" si="16"/>
        <v>21</v>
      </c>
    </row>
    <row r="1053" spans="1:17" ht="15.75" customHeight="1">
      <c r="A1053" s="19">
        <v>1051</v>
      </c>
      <c r="B1053" s="20" t="s">
        <v>2950</v>
      </c>
      <c r="C1053" s="20" t="s">
        <v>2929</v>
      </c>
      <c r="D1053" s="20" t="s">
        <v>1927</v>
      </c>
      <c r="E1053" s="21"/>
      <c r="F1053" s="21"/>
      <c r="G1053" s="21">
        <v>8</v>
      </c>
      <c r="H1053" s="21"/>
      <c r="I1053" s="21"/>
      <c r="J1053" s="21">
        <v>2</v>
      </c>
      <c r="K1053" s="21"/>
      <c r="L1053" s="21"/>
      <c r="M1053" s="21"/>
      <c r="N1053" s="21"/>
      <c r="O1053" s="21"/>
      <c r="P1053" s="21"/>
      <c r="Q1053" s="22">
        <f t="shared" si="16"/>
        <v>10</v>
      </c>
    </row>
    <row r="1054" spans="1:17" ht="15.75" customHeight="1">
      <c r="A1054" s="23">
        <v>1052</v>
      </c>
      <c r="B1054" s="24" t="s">
        <v>2951</v>
      </c>
      <c r="C1054" s="24" t="s">
        <v>2294</v>
      </c>
      <c r="D1054" s="24" t="s">
        <v>1909</v>
      </c>
      <c r="E1054" s="25"/>
      <c r="F1054" s="25"/>
      <c r="G1054" s="25">
        <v>2</v>
      </c>
      <c r="H1054" s="25"/>
      <c r="I1054" s="25"/>
      <c r="J1054" s="25"/>
      <c r="K1054" s="25"/>
      <c r="L1054" s="25"/>
      <c r="M1054" s="25"/>
      <c r="N1054" s="25"/>
      <c r="O1054" s="25"/>
      <c r="P1054" s="25"/>
      <c r="Q1054" s="22">
        <f t="shared" si="16"/>
        <v>2</v>
      </c>
    </row>
    <row r="1055" spans="1:17" ht="15.75" customHeight="1">
      <c r="A1055" s="19">
        <v>1053</v>
      </c>
      <c r="B1055" s="20" t="s">
        <v>2952</v>
      </c>
      <c r="C1055" s="20" t="s">
        <v>1523</v>
      </c>
      <c r="D1055" s="20" t="s">
        <v>1913</v>
      </c>
      <c r="E1055" s="21"/>
      <c r="F1055" s="21"/>
      <c r="G1055" s="21">
        <v>15</v>
      </c>
      <c r="H1055" s="21"/>
      <c r="I1055" s="21"/>
      <c r="J1055" s="21">
        <v>1</v>
      </c>
      <c r="K1055" s="21"/>
      <c r="L1055" s="21"/>
      <c r="M1055" s="21"/>
      <c r="N1055" s="21"/>
      <c r="O1055" s="21"/>
      <c r="P1055" s="21"/>
      <c r="Q1055" s="22">
        <f t="shared" si="16"/>
        <v>16</v>
      </c>
    </row>
    <row r="1056" spans="1:17" ht="15.75" customHeight="1">
      <c r="A1056" s="23">
        <v>1054</v>
      </c>
      <c r="B1056" s="24" t="s">
        <v>2953</v>
      </c>
      <c r="C1056" s="24" t="s">
        <v>2301</v>
      </c>
      <c r="D1056" s="24" t="s">
        <v>1913</v>
      </c>
      <c r="E1056" s="25"/>
      <c r="F1056" s="25"/>
      <c r="G1056" s="25">
        <v>1</v>
      </c>
      <c r="H1056" s="25"/>
      <c r="I1056" s="25"/>
      <c r="J1056" s="25"/>
      <c r="K1056" s="25"/>
      <c r="L1056" s="25"/>
      <c r="M1056" s="25"/>
      <c r="N1056" s="25"/>
      <c r="O1056" s="25"/>
      <c r="P1056" s="25"/>
      <c r="Q1056" s="22">
        <f t="shared" si="16"/>
        <v>1</v>
      </c>
    </row>
    <row r="1057" spans="1:17" ht="15.75" customHeight="1">
      <c r="A1057" s="19">
        <v>1055</v>
      </c>
      <c r="B1057" s="20" t="s">
        <v>2954</v>
      </c>
      <c r="C1057" s="20" t="s">
        <v>2929</v>
      </c>
      <c r="D1057" s="20" t="s">
        <v>2955</v>
      </c>
      <c r="E1057" s="21"/>
      <c r="F1057" s="21"/>
      <c r="G1057" s="21"/>
      <c r="H1057" s="21"/>
      <c r="I1057" s="21">
        <v>1</v>
      </c>
      <c r="J1057" s="21">
        <v>15</v>
      </c>
      <c r="K1057" s="21"/>
      <c r="L1057" s="21"/>
      <c r="M1057" s="21"/>
      <c r="N1057" s="21"/>
      <c r="O1057" s="21"/>
      <c r="P1057" s="21"/>
      <c r="Q1057" s="22">
        <f t="shared" si="16"/>
        <v>16</v>
      </c>
    </row>
    <row r="1058" spans="1:17" ht="15.75" customHeight="1">
      <c r="A1058" s="23">
        <v>1056</v>
      </c>
      <c r="B1058" s="24" t="s">
        <v>2956</v>
      </c>
      <c r="C1058" s="24" t="s">
        <v>1523</v>
      </c>
      <c r="D1058" s="24" t="s">
        <v>1904</v>
      </c>
      <c r="E1058" s="25"/>
      <c r="F1058" s="25"/>
      <c r="G1058" s="25"/>
      <c r="H1058" s="25"/>
      <c r="I1058" s="25"/>
      <c r="J1058" s="25">
        <v>1</v>
      </c>
      <c r="K1058" s="25"/>
      <c r="L1058" s="25"/>
      <c r="M1058" s="25"/>
      <c r="N1058" s="25"/>
      <c r="O1058" s="25"/>
      <c r="P1058" s="25"/>
      <c r="Q1058" s="22">
        <f t="shared" si="16"/>
        <v>1</v>
      </c>
    </row>
    <row r="1059" spans="1:17" ht="15.75" customHeight="1">
      <c r="A1059" s="19">
        <v>1057</v>
      </c>
      <c r="B1059" s="20" t="s">
        <v>2957</v>
      </c>
      <c r="C1059" s="20" t="s">
        <v>2958</v>
      </c>
      <c r="D1059" s="20" t="s">
        <v>1927</v>
      </c>
      <c r="E1059" s="21"/>
      <c r="F1059" s="21"/>
      <c r="G1059" s="21"/>
      <c r="H1059" s="21"/>
      <c r="I1059" s="21"/>
      <c r="J1059" s="21">
        <v>10</v>
      </c>
      <c r="K1059" s="21"/>
      <c r="L1059" s="21"/>
      <c r="M1059" s="21"/>
      <c r="N1059" s="21"/>
      <c r="O1059" s="21"/>
      <c r="P1059" s="21"/>
      <c r="Q1059" s="22">
        <f t="shared" si="16"/>
        <v>10</v>
      </c>
    </row>
    <row r="1060" spans="1:17" ht="15.75" customHeight="1">
      <c r="A1060" s="23">
        <v>1058</v>
      </c>
      <c r="B1060" s="24" t="s">
        <v>2959</v>
      </c>
      <c r="C1060" s="24" t="s">
        <v>2958</v>
      </c>
      <c r="D1060" s="24" t="s">
        <v>2960</v>
      </c>
      <c r="E1060" s="25"/>
      <c r="F1060" s="25"/>
      <c r="G1060" s="25"/>
      <c r="H1060" s="25"/>
      <c r="I1060" s="25"/>
      <c r="J1060" s="25">
        <v>8</v>
      </c>
      <c r="K1060" s="25"/>
      <c r="L1060" s="25"/>
      <c r="M1060" s="25"/>
      <c r="N1060" s="25"/>
      <c r="O1060" s="25"/>
      <c r="P1060" s="25"/>
      <c r="Q1060" s="22">
        <f t="shared" si="16"/>
        <v>8</v>
      </c>
    </row>
    <row r="1061" spans="1:17" ht="15.75" customHeight="1">
      <c r="A1061" s="19">
        <v>1059</v>
      </c>
      <c r="B1061" s="20" t="s">
        <v>2961</v>
      </c>
      <c r="C1061" s="20" t="s">
        <v>1466</v>
      </c>
      <c r="D1061" s="20" t="s">
        <v>2962</v>
      </c>
      <c r="E1061" s="21"/>
      <c r="F1061" s="21"/>
      <c r="G1061" s="21"/>
      <c r="H1061" s="21"/>
      <c r="I1061" s="21"/>
      <c r="J1061" s="21">
        <v>50</v>
      </c>
      <c r="K1061" s="21">
        <v>55</v>
      </c>
      <c r="L1061" s="21"/>
      <c r="M1061" s="21"/>
      <c r="N1061" s="21"/>
      <c r="O1061" s="21"/>
      <c r="P1061" s="21"/>
      <c r="Q1061" s="22">
        <f t="shared" si="16"/>
        <v>105</v>
      </c>
    </row>
    <row r="1062" spans="1:17" ht="15.75" customHeight="1">
      <c r="A1062" s="23">
        <v>1060</v>
      </c>
      <c r="B1062" s="24" t="s">
        <v>2963</v>
      </c>
      <c r="C1062" s="24" t="s">
        <v>362</v>
      </c>
      <c r="D1062" s="24" t="s">
        <v>1685</v>
      </c>
      <c r="E1062" s="25"/>
      <c r="F1062" s="25"/>
      <c r="G1062" s="25"/>
      <c r="H1062" s="25"/>
      <c r="I1062" s="25"/>
      <c r="J1062" s="25">
        <v>60</v>
      </c>
      <c r="K1062" s="25"/>
      <c r="L1062" s="25"/>
      <c r="M1062" s="25"/>
      <c r="N1062" s="25"/>
      <c r="O1062" s="25"/>
      <c r="P1062" s="25"/>
      <c r="Q1062" s="22">
        <f t="shared" si="16"/>
        <v>60</v>
      </c>
    </row>
    <row r="1063" spans="1:17" ht="15.75" customHeight="1">
      <c r="A1063" s="19">
        <v>1061</v>
      </c>
      <c r="B1063" s="20" t="s">
        <v>2964</v>
      </c>
      <c r="C1063" s="20" t="s">
        <v>1925</v>
      </c>
      <c r="D1063" s="20" t="s">
        <v>2284</v>
      </c>
      <c r="E1063" s="21"/>
      <c r="F1063" s="21"/>
      <c r="G1063" s="21"/>
      <c r="H1063" s="21"/>
      <c r="I1063" s="21"/>
      <c r="J1063" s="21">
        <v>2</v>
      </c>
      <c r="K1063" s="21"/>
      <c r="L1063" s="21"/>
      <c r="M1063" s="21"/>
      <c r="N1063" s="21"/>
      <c r="O1063" s="21"/>
      <c r="P1063" s="21"/>
      <c r="Q1063" s="22">
        <f t="shared" si="16"/>
        <v>2</v>
      </c>
    </row>
    <row r="1064" spans="1:17" ht="15.75" customHeight="1">
      <c r="A1064" s="23">
        <v>1062</v>
      </c>
      <c r="B1064" s="24" t="s">
        <v>2965</v>
      </c>
      <c r="C1064" s="24" t="s">
        <v>362</v>
      </c>
      <c r="D1064" s="24" t="s">
        <v>2110</v>
      </c>
      <c r="E1064" s="25"/>
      <c r="F1064" s="25"/>
      <c r="G1064" s="25"/>
      <c r="H1064" s="25"/>
      <c r="I1064" s="25"/>
      <c r="J1064" s="25">
        <v>33</v>
      </c>
      <c r="K1064" s="25">
        <v>30</v>
      </c>
      <c r="L1064" s="25"/>
      <c r="M1064" s="25"/>
      <c r="N1064" s="25"/>
      <c r="O1064" s="25"/>
      <c r="P1064" s="25"/>
      <c r="Q1064" s="22">
        <f t="shared" si="16"/>
        <v>63</v>
      </c>
    </row>
    <row r="1065" spans="1:17" ht="15.75" customHeight="1">
      <c r="A1065" s="19">
        <v>1063</v>
      </c>
      <c r="B1065" s="20" t="s">
        <v>2966</v>
      </c>
      <c r="C1065" s="20" t="s">
        <v>1481</v>
      </c>
      <c r="D1065" s="20" t="s">
        <v>2967</v>
      </c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>
        <v>2840</v>
      </c>
      <c r="P1065" s="21"/>
      <c r="Q1065" s="22">
        <f t="shared" si="16"/>
        <v>2840</v>
      </c>
    </row>
    <row r="1066" spans="1:17" ht="15.75" customHeight="1">
      <c r="A1066" s="23">
        <v>1064</v>
      </c>
      <c r="B1066" s="24" t="s">
        <v>2968</v>
      </c>
      <c r="C1066" s="24" t="s">
        <v>2929</v>
      </c>
      <c r="D1066" s="24" t="s">
        <v>1668</v>
      </c>
      <c r="E1066" s="25"/>
      <c r="F1066" s="25"/>
      <c r="G1066" s="25"/>
      <c r="H1066" s="25"/>
      <c r="I1066" s="25"/>
      <c r="J1066" s="25"/>
      <c r="K1066" s="25"/>
      <c r="L1066" s="25"/>
      <c r="M1066" s="25">
        <v>2</v>
      </c>
      <c r="N1066" s="25"/>
      <c r="O1066" s="25"/>
      <c r="P1066" s="25"/>
      <c r="Q1066" s="22">
        <f t="shared" si="16"/>
        <v>2</v>
      </c>
    </row>
    <row r="1067" spans="1:17" ht="15.75" customHeight="1">
      <c r="A1067" s="19">
        <v>1065</v>
      </c>
      <c r="B1067" s="20" t="s">
        <v>2969</v>
      </c>
      <c r="C1067" s="20" t="s">
        <v>1489</v>
      </c>
      <c r="D1067" s="20" t="s">
        <v>1783</v>
      </c>
      <c r="E1067" s="21"/>
      <c r="F1067" s="21"/>
      <c r="G1067" s="21"/>
      <c r="H1067" s="21"/>
      <c r="I1067" s="21"/>
      <c r="J1067" s="21"/>
      <c r="K1067" s="21"/>
      <c r="L1067" s="21"/>
      <c r="M1067" s="21">
        <v>21</v>
      </c>
      <c r="N1067" s="21"/>
      <c r="O1067" s="21"/>
      <c r="P1067" s="21"/>
      <c r="Q1067" s="22">
        <f t="shared" si="16"/>
        <v>21</v>
      </c>
    </row>
    <row r="1068" spans="1:17" ht="15.75" customHeight="1">
      <c r="A1068" s="23">
        <v>1066</v>
      </c>
      <c r="B1068" s="24" t="s">
        <v>2306</v>
      </c>
      <c r="C1068" s="24" t="s">
        <v>1504</v>
      </c>
      <c r="D1068" s="24" t="s">
        <v>24</v>
      </c>
      <c r="E1068" s="25"/>
      <c r="F1068" s="25"/>
      <c r="G1068" s="25"/>
      <c r="H1068" s="25">
        <v>11</v>
      </c>
      <c r="I1068" s="25"/>
      <c r="J1068" s="25">
        <v>1</v>
      </c>
      <c r="K1068" s="25">
        <v>1</v>
      </c>
      <c r="L1068" s="25"/>
      <c r="M1068" s="25"/>
      <c r="N1068" s="25"/>
      <c r="O1068" s="25"/>
      <c r="P1068" s="25"/>
      <c r="Q1068" s="22">
        <f t="shared" si="16"/>
        <v>13</v>
      </c>
    </row>
    <row r="1070" spans="1:17" ht="18" customHeight="1">
      <c r="C1070" s="28" t="s">
        <v>2307</v>
      </c>
      <c r="E1070" s="29">
        <f t="shared" ref="E1070:Q1070" si="17">SUM(E3:E1068)</f>
        <v>49504</v>
      </c>
      <c r="F1070" s="29">
        <f t="shared" si="17"/>
        <v>34543</v>
      </c>
      <c r="G1070" s="29">
        <f t="shared" si="17"/>
        <v>34666</v>
      </c>
      <c r="H1070" s="29">
        <f t="shared" si="17"/>
        <v>40262</v>
      </c>
      <c r="I1070" s="29">
        <f t="shared" si="17"/>
        <v>34033</v>
      </c>
      <c r="J1070" s="29">
        <f t="shared" si="17"/>
        <v>37057</v>
      </c>
      <c r="K1070" s="29">
        <f t="shared" si="17"/>
        <v>42766</v>
      </c>
      <c r="L1070" s="29">
        <f t="shared" si="17"/>
        <v>28106</v>
      </c>
      <c r="M1070" s="29">
        <f t="shared" si="17"/>
        <v>29737</v>
      </c>
      <c r="N1070" s="29">
        <f t="shared" si="17"/>
        <v>31991</v>
      </c>
      <c r="O1070" s="29">
        <f t="shared" si="17"/>
        <v>32696</v>
      </c>
      <c r="P1070" s="29">
        <f t="shared" si="17"/>
        <v>51133</v>
      </c>
      <c r="Q1070" s="29">
        <f t="shared" si="17"/>
        <v>446494</v>
      </c>
    </row>
  </sheetData>
  <mergeCells count="1">
    <mergeCell ref="A1:R1"/>
  </mergeCells>
  <phoneticPr fontId="3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954"/>
  <sheetViews>
    <sheetView showGridLines="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ColWidth="8.6640625" defaultRowHeight="14.4"/>
  <cols>
    <col min="1" max="1" width="5" customWidth="1"/>
    <col min="2" max="2" width="16" customWidth="1"/>
    <col min="3" max="3" width="38" customWidth="1"/>
    <col min="4" max="4" width="22" customWidth="1"/>
    <col min="5" max="16" width="7" customWidth="1"/>
    <col min="17" max="17" width="10" customWidth="1"/>
  </cols>
  <sheetData>
    <row r="1" spans="1:18" ht="24" customHeight="1">
      <c r="A1" s="14" t="s">
        <v>2970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36" customHeight="1">
      <c r="A2" s="15" t="s">
        <v>1</v>
      </c>
      <c r="B2" s="16" t="s">
        <v>2</v>
      </c>
      <c r="C2" s="16" t="s">
        <v>3</v>
      </c>
      <c r="D2" s="16" t="s">
        <v>4</v>
      </c>
      <c r="E2" s="31" t="s">
        <v>5</v>
      </c>
      <c r="F2" s="31" t="s">
        <v>6</v>
      </c>
      <c r="G2" s="31" t="s">
        <v>7</v>
      </c>
      <c r="H2" s="31" t="s">
        <v>8</v>
      </c>
      <c r="I2" s="31" t="s">
        <v>9</v>
      </c>
      <c r="J2" s="31" t="s">
        <v>10</v>
      </c>
      <c r="K2" s="31" t="s">
        <v>11</v>
      </c>
      <c r="L2" s="31" t="s">
        <v>12</v>
      </c>
      <c r="M2" s="31" t="s">
        <v>13</v>
      </c>
      <c r="N2" s="31" t="s">
        <v>14</v>
      </c>
      <c r="O2" s="31" t="s">
        <v>15</v>
      </c>
      <c r="P2" s="31" t="s">
        <v>16</v>
      </c>
      <c r="Q2" s="18" t="s">
        <v>17</v>
      </c>
    </row>
    <row r="3" spans="1:18" ht="15.75" customHeight="1">
      <c r="A3" s="19">
        <v>1</v>
      </c>
      <c r="B3" s="20" t="s">
        <v>18</v>
      </c>
      <c r="C3" s="20" t="s">
        <v>19</v>
      </c>
      <c r="D3" s="20" t="s">
        <v>20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>
        <v>30</v>
      </c>
      <c r="P3" s="21"/>
      <c r="Q3" s="22">
        <f t="shared" ref="Q3:Q66" si="0">SUM(E3:P3)</f>
        <v>30</v>
      </c>
    </row>
    <row r="4" spans="1:18" ht="15.75" customHeight="1">
      <c r="A4" s="23">
        <v>2</v>
      </c>
      <c r="B4" s="24" t="s">
        <v>23</v>
      </c>
      <c r="C4" s="24" t="s">
        <v>19</v>
      </c>
      <c r="D4" s="24" t="s">
        <v>24</v>
      </c>
      <c r="E4" s="25"/>
      <c r="F4" s="25">
        <v>50</v>
      </c>
      <c r="G4" s="25">
        <v>30</v>
      </c>
      <c r="H4" s="25">
        <v>200</v>
      </c>
      <c r="I4" s="25">
        <v>30</v>
      </c>
      <c r="J4" s="25">
        <v>50</v>
      </c>
      <c r="K4" s="25">
        <v>30</v>
      </c>
      <c r="L4" s="25"/>
      <c r="M4" s="25"/>
      <c r="N4" s="25">
        <v>100</v>
      </c>
      <c r="O4" s="25">
        <v>30</v>
      </c>
      <c r="P4" s="25">
        <v>130</v>
      </c>
      <c r="Q4" s="22">
        <f t="shared" si="0"/>
        <v>650</v>
      </c>
    </row>
    <row r="5" spans="1:18" ht="15.75" customHeight="1">
      <c r="A5" s="19">
        <v>3</v>
      </c>
      <c r="B5" s="20" t="s">
        <v>25</v>
      </c>
      <c r="C5" s="20" t="s">
        <v>19</v>
      </c>
      <c r="D5" s="20" t="s">
        <v>26</v>
      </c>
      <c r="E5" s="21">
        <v>100</v>
      </c>
      <c r="F5" s="21">
        <v>10</v>
      </c>
      <c r="G5" s="21"/>
      <c r="H5" s="21"/>
      <c r="I5" s="21">
        <v>5</v>
      </c>
      <c r="J5" s="21">
        <v>50</v>
      </c>
      <c r="K5" s="21">
        <v>30</v>
      </c>
      <c r="L5" s="21"/>
      <c r="M5" s="21"/>
      <c r="N5" s="21">
        <v>30</v>
      </c>
      <c r="O5" s="21">
        <v>20</v>
      </c>
      <c r="P5" s="21">
        <v>30</v>
      </c>
      <c r="Q5" s="22">
        <f t="shared" si="0"/>
        <v>275</v>
      </c>
    </row>
    <row r="6" spans="1:18" ht="15.75" customHeight="1">
      <c r="A6" s="23">
        <v>4</v>
      </c>
      <c r="B6" s="24" t="s">
        <v>27</v>
      </c>
      <c r="C6" s="24" t="s">
        <v>28</v>
      </c>
      <c r="D6" s="24" t="s">
        <v>20</v>
      </c>
      <c r="E6" s="25"/>
      <c r="F6" s="25"/>
      <c r="G6" s="25">
        <v>10</v>
      </c>
      <c r="H6" s="25"/>
      <c r="I6" s="25"/>
      <c r="J6" s="25"/>
      <c r="K6" s="25"/>
      <c r="L6" s="25"/>
      <c r="M6" s="25"/>
      <c r="N6" s="25"/>
      <c r="O6" s="25"/>
      <c r="P6" s="25"/>
      <c r="Q6" s="22">
        <f t="shared" si="0"/>
        <v>10</v>
      </c>
    </row>
    <row r="7" spans="1:18" ht="15.75" customHeight="1">
      <c r="A7" s="19">
        <v>5</v>
      </c>
      <c r="B7" s="20" t="s">
        <v>2309</v>
      </c>
      <c r="C7" s="20" t="s">
        <v>28</v>
      </c>
      <c r="D7" s="20" t="s">
        <v>22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>
        <v>50</v>
      </c>
      <c r="Q7" s="22">
        <f t="shared" si="0"/>
        <v>50</v>
      </c>
    </row>
    <row r="8" spans="1:18" ht="15.75" customHeight="1">
      <c r="A8" s="23">
        <v>6</v>
      </c>
      <c r="B8" s="24" t="s">
        <v>29</v>
      </c>
      <c r="C8" s="24" t="s">
        <v>30</v>
      </c>
      <c r="D8" s="24" t="s">
        <v>20</v>
      </c>
      <c r="E8" s="25">
        <v>20</v>
      </c>
      <c r="F8" s="25"/>
      <c r="G8" s="25"/>
      <c r="H8" s="25"/>
      <c r="I8" s="25"/>
      <c r="J8" s="25"/>
      <c r="K8" s="25"/>
      <c r="L8" s="25"/>
      <c r="M8" s="25">
        <v>30</v>
      </c>
      <c r="N8" s="25">
        <v>20</v>
      </c>
      <c r="O8" s="25"/>
      <c r="P8" s="25"/>
      <c r="Q8" s="22">
        <f t="shared" si="0"/>
        <v>70</v>
      </c>
    </row>
    <row r="9" spans="1:18" ht="15.75" customHeight="1">
      <c r="A9" s="19">
        <v>7</v>
      </c>
      <c r="B9" s="20" t="s">
        <v>31</v>
      </c>
      <c r="C9" s="20" t="s">
        <v>30</v>
      </c>
      <c r="D9" s="20" t="s">
        <v>32</v>
      </c>
      <c r="E9" s="21">
        <v>20</v>
      </c>
      <c r="F9" s="21"/>
      <c r="G9" s="21"/>
      <c r="H9" s="21"/>
      <c r="I9" s="21"/>
      <c r="J9" s="21"/>
      <c r="K9" s="21"/>
      <c r="L9" s="21"/>
      <c r="M9" s="21">
        <v>44</v>
      </c>
      <c r="N9" s="21"/>
      <c r="O9" s="21"/>
      <c r="P9" s="21"/>
      <c r="Q9" s="22">
        <f t="shared" si="0"/>
        <v>64</v>
      </c>
    </row>
    <row r="10" spans="1:18" ht="15.75" customHeight="1">
      <c r="A10" s="23">
        <v>8</v>
      </c>
      <c r="B10" s="24" t="s">
        <v>33</v>
      </c>
      <c r="C10" s="24" t="s">
        <v>30</v>
      </c>
      <c r="D10" s="24" t="s">
        <v>22</v>
      </c>
      <c r="E10" s="25"/>
      <c r="F10" s="25"/>
      <c r="G10" s="25"/>
      <c r="H10" s="25"/>
      <c r="I10" s="25"/>
      <c r="J10" s="25"/>
      <c r="K10" s="25"/>
      <c r="L10" s="25"/>
      <c r="M10" s="25">
        <v>30</v>
      </c>
      <c r="N10" s="25"/>
      <c r="O10" s="25"/>
      <c r="P10" s="25"/>
      <c r="Q10" s="22">
        <f t="shared" si="0"/>
        <v>30</v>
      </c>
    </row>
    <row r="11" spans="1:18" ht="15.75" customHeight="1">
      <c r="A11" s="19">
        <v>9</v>
      </c>
      <c r="B11" s="20" t="s">
        <v>2971</v>
      </c>
      <c r="C11" s="20" t="s">
        <v>30</v>
      </c>
      <c r="D11" s="20" t="s">
        <v>50</v>
      </c>
      <c r="E11" s="21">
        <v>10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2">
        <f t="shared" si="0"/>
        <v>10</v>
      </c>
    </row>
    <row r="12" spans="1:18" ht="15.75" customHeight="1">
      <c r="A12" s="23">
        <v>10</v>
      </c>
      <c r="B12" s="24" t="s">
        <v>36</v>
      </c>
      <c r="C12" s="24" t="s">
        <v>30</v>
      </c>
      <c r="D12" s="24" t="s">
        <v>26</v>
      </c>
      <c r="E12" s="25">
        <v>10</v>
      </c>
      <c r="F12" s="25"/>
      <c r="G12" s="25"/>
      <c r="H12" s="25"/>
      <c r="I12" s="25"/>
      <c r="J12" s="25"/>
      <c r="K12" s="25">
        <v>50</v>
      </c>
      <c r="L12" s="25"/>
      <c r="M12" s="25">
        <v>60</v>
      </c>
      <c r="N12" s="25">
        <v>30</v>
      </c>
      <c r="O12" s="25"/>
      <c r="P12" s="25"/>
      <c r="Q12" s="22">
        <f t="shared" si="0"/>
        <v>150</v>
      </c>
    </row>
    <row r="13" spans="1:18" ht="15.75" customHeight="1">
      <c r="A13" s="19">
        <v>11</v>
      </c>
      <c r="B13" s="20" t="s">
        <v>41</v>
      </c>
      <c r="C13" s="20" t="s">
        <v>38</v>
      </c>
      <c r="D13" s="20" t="s">
        <v>42</v>
      </c>
      <c r="E13" s="21">
        <v>30</v>
      </c>
      <c r="F13" s="21"/>
      <c r="G13" s="21"/>
      <c r="H13" s="21"/>
      <c r="I13" s="21">
        <v>30</v>
      </c>
      <c r="J13" s="21"/>
      <c r="K13" s="21"/>
      <c r="L13" s="21"/>
      <c r="M13" s="21">
        <v>50</v>
      </c>
      <c r="N13" s="21"/>
      <c r="O13" s="21"/>
      <c r="P13" s="21"/>
      <c r="Q13" s="22">
        <f t="shared" si="0"/>
        <v>110</v>
      </c>
    </row>
    <row r="14" spans="1:18" ht="15.75" customHeight="1">
      <c r="A14" s="23">
        <v>12</v>
      </c>
      <c r="B14" s="24" t="s">
        <v>44</v>
      </c>
      <c r="C14" s="24" t="s">
        <v>38</v>
      </c>
      <c r="D14" s="24" t="s">
        <v>45</v>
      </c>
      <c r="E14" s="25"/>
      <c r="F14" s="25"/>
      <c r="G14" s="25"/>
      <c r="H14" s="25"/>
      <c r="I14" s="25"/>
      <c r="J14" s="25"/>
      <c r="K14" s="25"/>
      <c r="L14" s="25"/>
      <c r="M14" s="25">
        <v>80</v>
      </c>
      <c r="N14" s="25"/>
      <c r="O14" s="25"/>
      <c r="P14" s="25"/>
      <c r="Q14" s="22">
        <f t="shared" si="0"/>
        <v>80</v>
      </c>
    </row>
    <row r="15" spans="1:18" ht="15.75" customHeight="1">
      <c r="A15" s="19">
        <v>13</v>
      </c>
      <c r="B15" s="20" t="s">
        <v>48</v>
      </c>
      <c r="C15" s="20" t="s">
        <v>38</v>
      </c>
      <c r="D15" s="20" t="s">
        <v>24</v>
      </c>
      <c r="E15" s="21"/>
      <c r="F15" s="21"/>
      <c r="G15" s="21"/>
      <c r="H15" s="21"/>
      <c r="I15" s="21">
        <v>10</v>
      </c>
      <c r="J15" s="21"/>
      <c r="K15" s="21"/>
      <c r="L15" s="21"/>
      <c r="M15" s="21"/>
      <c r="N15" s="21"/>
      <c r="O15" s="21"/>
      <c r="P15" s="21"/>
      <c r="Q15" s="22">
        <f t="shared" si="0"/>
        <v>10</v>
      </c>
    </row>
    <row r="16" spans="1:18" ht="15.75" customHeight="1">
      <c r="A16" s="23">
        <v>14</v>
      </c>
      <c r="B16" s="24" t="s">
        <v>51</v>
      </c>
      <c r="C16" s="24" t="s">
        <v>38</v>
      </c>
      <c r="D16" s="24" t="s">
        <v>26</v>
      </c>
      <c r="E16" s="25"/>
      <c r="F16" s="25"/>
      <c r="G16" s="25"/>
      <c r="H16" s="25"/>
      <c r="I16" s="25">
        <v>5</v>
      </c>
      <c r="J16" s="25"/>
      <c r="K16" s="25"/>
      <c r="L16" s="25"/>
      <c r="M16" s="25"/>
      <c r="N16" s="25"/>
      <c r="O16" s="25"/>
      <c r="P16" s="25"/>
      <c r="Q16" s="22">
        <f t="shared" si="0"/>
        <v>5</v>
      </c>
    </row>
    <row r="17" spans="1:17" ht="15.75" customHeight="1">
      <c r="A17" s="19">
        <v>15</v>
      </c>
      <c r="B17" s="20" t="s">
        <v>56</v>
      </c>
      <c r="C17" s="20" t="s">
        <v>38</v>
      </c>
      <c r="D17" s="20" t="s">
        <v>57</v>
      </c>
      <c r="E17" s="21">
        <v>50</v>
      </c>
      <c r="F17" s="21"/>
      <c r="G17" s="21"/>
      <c r="H17" s="21"/>
      <c r="I17" s="21"/>
      <c r="J17" s="21"/>
      <c r="K17" s="21"/>
      <c r="L17" s="21"/>
      <c r="M17" s="21">
        <v>60</v>
      </c>
      <c r="N17" s="21"/>
      <c r="O17" s="21">
        <v>30</v>
      </c>
      <c r="P17" s="21">
        <v>100</v>
      </c>
      <c r="Q17" s="22">
        <f t="shared" si="0"/>
        <v>240</v>
      </c>
    </row>
    <row r="18" spans="1:17" ht="15.75" customHeight="1">
      <c r="A18" s="23">
        <v>16</v>
      </c>
      <c r="B18" s="24" t="s">
        <v>2972</v>
      </c>
      <c r="C18" s="24" t="s">
        <v>63</v>
      </c>
      <c r="D18" s="24" t="s">
        <v>121</v>
      </c>
      <c r="E18" s="25"/>
      <c r="F18" s="25"/>
      <c r="G18" s="25"/>
      <c r="H18" s="25"/>
      <c r="I18" s="25"/>
      <c r="J18" s="25">
        <v>30</v>
      </c>
      <c r="K18" s="25"/>
      <c r="L18" s="25"/>
      <c r="M18" s="25"/>
      <c r="N18" s="25"/>
      <c r="O18" s="25"/>
      <c r="P18" s="25"/>
      <c r="Q18" s="22">
        <f t="shared" si="0"/>
        <v>30</v>
      </c>
    </row>
    <row r="19" spans="1:17" ht="15.75" customHeight="1">
      <c r="A19" s="19">
        <v>17</v>
      </c>
      <c r="B19" s="20" t="s">
        <v>2973</v>
      </c>
      <c r="C19" s="20" t="s">
        <v>63</v>
      </c>
      <c r="D19" s="20" t="s">
        <v>47</v>
      </c>
      <c r="E19" s="21"/>
      <c r="F19" s="21"/>
      <c r="G19" s="21"/>
      <c r="H19" s="21"/>
      <c r="I19" s="21"/>
      <c r="J19" s="21">
        <v>20</v>
      </c>
      <c r="K19" s="21"/>
      <c r="L19" s="21"/>
      <c r="M19" s="21"/>
      <c r="N19" s="21"/>
      <c r="O19" s="21"/>
      <c r="P19" s="21"/>
      <c r="Q19" s="22">
        <f t="shared" si="0"/>
        <v>20</v>
      </c>
    </row>
    <row r="20" spans="1:17" ht="15.75" customHeight="1">
      <c r="A20" s="23">
        <v>18</v>
      </c>
      <c r="B20" s="24" t="s">
        <v>67</v>
      </c>
      <c r="C20" s="24" t="s">
        <v>30</v>
      </c>
      <c r="D20" s="24" t="s">
        <v>57</v>
      </c>
      <c r="E20" s="25">
        <v>20</v>
      </c>
      <c r="F20" s="25"/>
      <c r="G20" s="25"/>
      <c r="H20" s="25"/>
      <c r="I20" s="25"/>
      <c r="J20" s="25"/>
      <c r="K20" s="25">
        <v>70</v>
      </c>
      <c r="L20" s="25"/>
      <c r="M20" s="25"/>
      <c r="N20" s="25">
        <v>30</v>
      </c>
      <c r="O20" s="25"/>
      <c r="P20" s="25"/>
      <c r="Q20" s="22">
        <f t="shared" si="0"/>
        <v>120</v>
      </c>
    </row>
    <row r="21" spans="1:17" ht="15.75" customHeight="1">
      <c r="A21" s="19">
        <v>19</v>
      </c>
      <c r="B21" s="20" t="s">
        <v>2974</v>
      </c>
      <c r="C21" s="20" t="s">
        <v>63</v>
      </c>
      <c r="D21" s="20" t="s">
        <v>20</v>
      </c>
      <c r="E21" s="21"/>
      <c r="F21" s="21"/>
      <c r="G21" s="21"/>
      <c r="H21" s="21"/>
      <c r="I21" s="21"/>
      <c r="J21" s="21"/>
      <c r="K21" s="21"/>
      <c r="L21" s="21"/>
      <c r="M21" s="21">
        <v>20</v>
      </c>
      <c r="N21" s="21"/>
      <c r="O21" s="21"/>
      <c r="P21" s="21"/>
      <c r="Q21" s="22">
        <f t="shared" si="0"/>
        <v>20</v>
      </c>
    </row>
    <row r="22" spans="1:17" ht="15.75" customHeight="1">
      <c r="A22" s="23">
        <v>20</v>
      </c>
      <c r="B22" s="24" t="s">
        <v>2975</v>
      </c>
      <c r="C22" s="24" t="s">
        <v>63</v>
      </c>
      <c r="D22" s="24" t="s">
        <v>32</v>
      </c>
      <c r="E22" s="25"/>
      <c r="F22" s="25"/>
      <c r="G22" s="25"/>
      <c r="H22" s="25"/>
      <c r="I22" s="25"/>
      <c r="J22" s="25"/>
      <c r="K22" s="25"/>
      <c r="L22" s="25"/>
      <c r="M22" s="25">
        <v>20</v>
      </c>
      <c r="N22" s="25"/>
      <c r="O22" s="25"/>
      <c r="P22" s="25"/>
      <c r="Q22" s="22">
        <f t="shared" si="0"/>
        <v>20</v>
      </c>
    </row>
    <row r="23" spans="1:17" ht="15.75" customHeight="1">
      <c r="A23" s="19">
        <v>21</v>
      </c>
      <c r="B23" s="20" t="s">
        <v>2976</v>
      </c>
      <c r="C23" s="20" t="s">
        <v>75</v>
      </c>
      <c r="D23" s="20" t="s">
        <v>42</v>
      </c>
      <c r="E23" s="21"/>
      <c r="F23" s="21">
        <v>10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2">
        <f t="shared" si="0"/>
        <v>10</v>
      </c>
    </row>
    <row r="24" spans="1:17" ht="15.75" customHeight="1">
      <c r="A24" s="23">
        <v>22</v>
      </c>
      <c r="B24" s="24" t="s">
        <v>2977</v>
      </c>
      <c r="C24" s="24" t="s">
        <v>75</v>
      </c>
      <c r="D24" s="24" t="s">
        <v>45</v>
      </c>
      <c r="E24" s="25"/>
      <c r="F24" s="25">
        <v>10</v>
      </c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2">
        <f t="shared" si="0"/>
        <v>10</v>
      </c>
    </row>
    <row r="25" spans="1:17" ht="15.75" customHeight="1">
      <c r="A25" s="19">
        <v>23</v>
      </c>
      <c r="B25" s="20" t="s">
        <v>70</v>
      </c>
      <c r="C25" s="20" t="s">
        <v>28</v>
      </c>
      <c r="D25" s="20" t="s">
        <v>32</v>
      </c>
      <c r="E25" s="21"/>
      <c r="F25" s="21"/>
      <c r="G25" s="21">
        <v>5</v>
      </c>
      <c r="H25" s="21"/>
      <c r="I25" s="21"/>
      <c r="J25" s="21"/>
      <c r="K25" s="21"/>
      <c r="L25" s="21"/>
      <c r="M25" s="21"/>
      <c r="N25" s="21"/>
      <c r="O25" s="21"/>
      <c r="P25" s="21"/>
      <c r="Q25" s="22">
        <f t="shared" si="0"/>
        <v>5</v>
      </c>
    </row>
    <row r="26" spans="1:17" ht="15.75" customHeight="1">
      <c r="A26" s="23">
        <v>24</v>
      </c>
      <c r="B26" s="24" t="s">
        <v>71</v>
      </c>
      <c r="C26" s="24" t="s">
        <v>19</v>
      </c>
      <c r="D26" s="24" t="s">
        <v>32</v>
      </c>
      <c r="E26" s="25"/>
      <c r="F26" s="25"/>
      <c r="G26" s="25">
        <v>100</v>
      </c>
      <c r="H26" s="25"/>
      <c r="I26" s="25"/>
      <c r="J26" s="25"/>
      <c r="K26" s="25"/>
      <c r="L26" s="25"/>
      <c r="M26" s="25"/>
      <c r="N26" s="25"/>
      <c r="O26" s="25"/>
      <c r="P26" s="25"/>
      <c r="Q26" s="22">
        <f t="shared" si="0"/>
        <v>100</v>
      </c>
    </row>
    <row r="27" spans="1:17" ht="15.75" customHeight="1">
      <c r="A27" s="19">
        <v>25</v>
      </c>
      <c r="B27" s="20" t="s">
        <v>2319</v>
      </c>
      <c r="C27" s="20" t="s">
        <v>69</v>
      </c>
      <c r="D27" s="20" t="s">
        <v>26</v>
      </c>
      <c r="E27" s="21"/>
      <c r="F27" s="21"/>
      <c r="G27" s="21"/>
      <c r="H27" s="21"/>
      <c r="I27" s="21">
        <v>5</v>
      </c>
      <c r="J27" s="21"/>
      <c r="K27" s="21"/>
      <c r="L27" s="21"/>
      <c r="M27" s="21"/>
      <c r="N27" s="21"/>
      <c r="O27" s="21"/>
      <c r="P27" s="21"/>
      <c r="Q27" s="22">
        <f t="shared" si="0"/>
        <v>5</v>
      </c>
    </row>
    <row r="28" spans="1:17" ht="15.75" customHeight="1">
      <c r="A28" s="23">
        <v>26</v>
      </c>
      <c r="B28" s="24" t="s">
        <v>2321</v>
      </c>
      <c r="C28" s="24" t="s">
        <v>28</v>
      </c>
      <c r="D28" s="24" t="s">
        <v>26</v>
      </c>
      <c r="E28" s="25"/>
      <c r="F28" s="25"/>
      <c r="G28" s="25">
        <v>10</v>
      </c>
      <c r="H28" s="25"/>
      <c r="I28" s="25"/>
      <c r="J28" s="25"/>
      <c r="K28" s="25"/>
      <c r="L28" s="25"/>
      <c r="M28" s="25"/>
      <c r="N28" s="25"/>
      <c r="O28" s="25"/>
      <c r="P28" s="25"/>
      <c r="Q28" s="22">
        <f t="shared" si="0"/>
        <v>10</v>
      </c>
    </row>
    <row r="29" spans="1:17" ht="15.75" customHeight="1">
      <c r="A29" s="19">
        <v>27</v>
      </c>
      <c r="B29" s="20" t="s">
        <v>2978</v>
      </c>
      <c r="C29" s="20" t="s">
        <v>2979</v>
      </c>
      <c r="D29" s="20" t="s">
        <v>22</v>
      </c>
      <c r="E29" s="21"/>
      <c r="F29" s="21"/>
      <c r="G29" s="21"/>
      <c r="H29" s="21"/>
      <c r="I29" s="21"/>
      <c r="J29" s="21"/>
      <c r="K29" s="21"/>
      <c r="L29" s="21">
        <v>6</v>
      </c>
      <c r="M29" s="21"/>
      <c r="N29" s="21"/>
      <c r="O29" s="21"/>
      <c r="P29" s="21"/>
      <c r="Q29" s="22">
        <f t="shared" si="0"/>
        <v>6</v>
      </c>
    </row>
    <row r="30" spans="1:17" ht="15.75" customHeight="1">
      <c r="A30" s="23">
        <v>28</v>
      </c>
      <c r="B30" s="24" t="s">
        <v>74</v>
      </c>
      <c r="C30" s="24" t="s">
        <v>75</v>
      </c>
      <c r="D30" s="24" t="s">
        <v>47</v>
      </c>
      <c r="E30" s="25"/>
      <c r="F30" s="25"/>
      <c r="G30" s="25"/>
      <c r="H30" s="25"/>
      <c r="I30" s="25">
        <v>20</v>
      </c>
      <c r="J30" s="25"/>
      <c r="K30" s="25"/>
      <c r="L30" s="25"/>
      <c r="M30" s="25"/>
      <c r="N30" s="25"/>
      <c r="O30" s="25">
        <v>30</v>
      </c>
      <c r="P30" s="25"/>
      <c r="Q30" s="22">
        <f t="shared" si="0"/>
        <v>50</v>
      </c>
    </row>
    <row r="31" spans="1:17" ht="15.75" customHeight="1">
      <c r="A31" s="19">
        <v>29</v>
      </c>
      <c r="B31" s="20" t="s">
        <v>2322</v>
      </c>
      <c r="C31" s="20" t="s">
        <v>75</v>
      </c>
      <c r="D31" s="20" t="s">
        <v>87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>
        <v>20</v>
      </c>
      <c r="P31" s="21"/>
      <c r="Q31" s="22">
        <f t="shared" si="0"/>
        <v>20</v>
      </c>
    </row>
    <row r="32" spans="1:17" ht="15.75" customHeight="1">
      <c r="A32" s="23">
        <v>30</v>
      </c>
      <c r="B32" s="24" t="s">
        <v>79</v>
      </c>
      <c r="C32" s="24" t="s">
        <v>80</v>
      </c>
      <c r="D32" s="24" t="s">
        <v>78</v>
      </c>
      <c r="E32" s="25"/>
      <c r="F32" s="25"/>
      <c r="G32" s="25"/>
      <c r="H32" s="25">
        <v>1</v>
      </c>
      <c r="I32" s="25"/>
      <c r="J32" s="25"/>
      <c r="K32" s="25"/>
      <c r="L32" s="25"/>
      <c r="M32" s="25"/>
      <c r="N32" s="25"/>
      <c r="O32" s="25"/>
      <c r="P32" s="25"/>
      <c r="Q32" s="22">
        <f t="shared" si="0"/>
        <v>1</v>
      </c>
    </row>
    <row r="33" spans="1:17" ht="15.75" customHeight="1">
      <c r="A33" s="19">
        <v>31</v>
      </c>
      <c r="B33" s="20" t="s">
        <v>2980</v>
      </c>
      <c r="C33" s="20" t="s">
        <v>99</v>
      </c>
      <c r="D33" s="20" t="s">
        <v>128</v>
      </c>
      <c r="E33" s="21">
        <v>1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2">
        <f t="shared" si="0"/>
        <v>1</v>
      </c>
    </row>
    <row r="34" spans="1:17" ht="15.75" customHeight="1">
      <c r="A34" s="23">
        <v>32</v>
      </c>
      <c r="B34" s="24" t="s">
        <v>2323</v>
      </c>
      <c r="C34" s="24" t="s">
        <v>75</v>
      </c>
      <c r="D34" s="24" t="s">
        <v>53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>
        <v>15</v>
      </c>
      <c r="P34" s="25"/>
      <c r="Q34" s="22">
        <f t="shared" si="0"/>
        <v>15</v>
      </c>
    </row>
    <row r="35" spans="1:17" ht="15.75" customHeight="1">
      <c r="A35" s="19">
        <v>33</v>
      </c>
      <c r="B35" s="20" t="s">
        <v>91</v>
      </c>
      <c r="C35" s="20" t="s">
        <v>77</v>
      </c>
      <c r="D35" s="20" t="s">
        <v>90</v>
      </c>
      <c r="E35" s="21"/>
      <c r="F35" s="21"/>
      <c r="G35" s="21"/>
      <c r="H35" s="21">
        <v>1</v>
      </c>
      <c r="I35" s="21">
        <v>1</v>
      </c>
      <c r="J35" s="21"/>
      <c r="K35" s="21">
        <v>20</v>
      </c>
      <c r="L35" s="21"/>
      <c r="M35" s="21"/>
      <c r="N35" s="21"/>
      <c r="O35" s="21"/>
      <c r="P35" s="21"/>
      <c r="Q35" s="22">
        <f t="shared" si="0"/>
        <v>22</v>
      </c>
    </row>
    <row r="36" spans="1:17" ht="15.75" customHeight="1">
      <c r="A36" s="23">
        <v>34</v>
      </c>
      <c r="B36" s="24" t="s">
        <v>94</v>
      </c>
      <c r="C36" s="24" t="s">
        <v>95</v>
      </c>
      <c r="D36" s="24" t="s">
        <v>90</v>
      </c>
      <c r="E36" s="25"/>
      <c r="F36" s="25"/>
      <c r="G36" s="25"/>
      <c r="H36" s="25"/>
      <c r="I36" s="25"/>
      <c r="J36" s="25"/>
      <c r="K36" s="25">
        <v>10</v>
      </c>
      <c r="L36" s="25"/>
      <c r="M36" s="25"/>
      <c r="N36" s="25"/>
      <c r="O36" s="25"/>
      <c r="P36" s="25"/>
      <c r="Q36" s="22">
        <f t="shared" si="0"/>
        <v>10</v>
      </c>
    </row>
    <row r="37" spans="1:17" ht="15.75" customHeight="1">
      <c r="A37" s="19">
        <v>35</v>
      </c>
      <c r="B37" s="20" t="s">
        <v>98</v>
      </c>
      <c r="C37" s="20" t="s">
        <v>99</v>
      </c>
      <c r="D37" s="20" t="s">
        <v>100</v>
      </c>
      <c r="E37" s="21"/>
      <c r="F37" s="21">
        <v>3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2">
        <f t="shared" si="0"/>
        <v>3</v>
      </c>
    </row>
    <row r="38" spans="1:17" ht="15.75" customHeight="1">
      <c r="A38" s="23">
        <v>36</v>
      </c>
      <c r="B38" s="24" t="s">
        <v>107</v>
      </c>
      <c r="C38" s="24" t="s">
        <v>108</v>
      </c>
      <c r="D38" s="24" t="s">
        <v>100</v>
      </c>
      <c r="E38" s="25"/>
      <c r="F38" s="25">
        <v>1</v>
      </c>
      <c r="G38" s="25"/>
      <c r="H38" s="25"/>
      <c r="I38" s="25">
        <v>1</v>
      </c>
      <c r="J38" s="25"/>
      <c r="K38" s="25"/>
      <c r="L38" s="25"/>
      <c r="M38" s="25"/>
      <c r="N38" s="25"/>
      <c r="O38" s="25"/>
      <c r="P38" s="25">
        <v>10</v>
      </c>
      <c r="Q38" s="22">
        <f t="shared" si="0"/>
        <v>12</v>
      </c>
    </row>
    <row r="39" spans="1:17" ht="15.75" customHeight="1">
      <c r="A39" s="19">
        <v>37</v>
      </c>
      <c r="B39" s="20" t="s">
        <v>116</v>
      </c>
      <c r="C39" s="20" t="s">
        <v>75</v>
      </c>
      <c r="D39" s="20" t="s">
        <v>20</v>
      </c>
      <c r="E39" s="21"/>
      <c r="F39" s="21">
        <v>10</v>
      </c>
      <c r="G39" s="21"/>
      <c r="H39" s="21">
        <v>20</v>
      </c>
      <c r="I39" s="21"/>
      <c r="J39" s="21"/>
      <c r="K39" s="21">
        <v>90</v>
      </c>
      <c r="L39" s="21"/>
      <c r="M39" s="21"/>
      <c r="N39" s="21">
        <v>20</v>
      </c>
      <c r="O39" s="21"/>
      <c r="P39" s="21">
        <v>20</v>
      </c>
      <c r="Q39" s="22">
        <f t="shared" si="0"/>
        <v>160</v>
      </c>
    </row>
    <row r="40" spans="1:17" ht="15.75" customHeight="1">
      <c r="A40" s="23">
        <v>38</v>
      </c>
      <c r="B40" s="24" t="s">
        <v>117</v>
      </c>
      <c r="C40" s="24" t="s">
        <v>75</v>
      </c>
      <c r="D40" s="24" t="s">
        <v>118</v>
      </c>
      <c r="E40" s="25"/>
      <c r="F40" s="25"/>
      <c r="G40" s="25"/>
      <c r="H40" s="25">
        <v>50</v>
      </c>
      <c r="I40" s="25"/>
      <c r="J40" s="25"/>
      <c r="K40" s="25"/>
      <c r="L40" s="25"/>
      <c r="M40" s="25"/>
      <c r="N40" s="25">
        <v>40</v>
      </c>
      <c r="O40" s="25"/>
      <c r="P40" s="25">
        <v>10</v>
      </c>
      <c r="Q40" s="22">
        <f t="shared" si="0"/>
        <v>100</v>
      </c>
    </row>
    <row r="41" spans="1:17" ht="15.75" customHeight="1">
      <c r="A41" s="19">
        <v>39</v>
      </c>
      <c r="B41" s="20" t="s">
        <v>2981</v>
      </c>
      <c r="C41" s="20" t="s">
        <v>2982</v>
      </c>
      <c r="D41" s="20" t="s">
        <v>78</v>
      </c>
      <c r="E41" s="21"/>
      <c r="F41" s="21"/>
      <c r="G41" s="21"/>
      <c r="H41" s="21">
        <v>1</v>
      </c>
      <c r="I41" s="21"/>
      <c r="J41" s="21"/>
      <c r="K41" s="21"/>
      <c r="L41" s="21"/>
      <c r="M41" s="21"/>
      <c r="N41" s="21"/>
      <c r="O41" s="21"/>
      <c r="P41" s="21"/>
      <c r="Q41" s="22">
        <f t="shared" si="0"/>
        <v>1</v>
      </c>
    </row>
    <row r="42" spans="1:17" ht="15.75" customHeight="1">
      <c r="A42" s="23">
        <v>40</v>
      </c>
      <c r="B42" s="24" t="s">
        <v>2331</v>
      </c>
      <c r="C42" s="24" t="s">
        <v>93</v>
      </c>
      <c r="D42" s="24" t="s">
        <v>2332</v>
      </c>
      <c r="E42" s="25">
        <v>50</v>
      </c>
      <c r="F42" s="25"/>
      <c r="G42" s="25"/>
      <c r="H42" s="25"/>
      <c r="I42" s="25"/>
      <c r="J42" s="25"/>
      <c r="K42" s="25">
        <v>50</v>
      </c>
      <c r="L42" s="25"/>
      <c r="M42" s="25"/>
      <c r="N42" s="25"/>
      <c r="O42" s="25"/>
      <c r="P42" s="25">
        <v>50</v>
      </c>
      <c r="Q42" s="22">
        <f t="shared" si="0"/>
        <v>150</v>
      </c>
    </row>
    <row r="43" spans="1:17" ht="15.75" customHeight="1">
      <c r="A43" s="19">
        <v>41</v>
      </c>
      <c r="B43" s="20" t="s">
        <v>122</v>
      </c>
      <c r="C43" s="20" t="s">
        <v>123</v>
      </c>
      <c r="D43" s="20" t="s">
        <v>124</v>
      </c>
      <c r="E43" s="21">
        <v>38</v>
      </c>
      <c r="F43" s="21"/>
      <c r="G43" s="21"/>
      <c r="H43" s="21">
        <v>20</v>
      </c>
      <c r="I43" s="21"/>
      <c r="J43" s="21"/>
      <c r="K43" s="21"/>
      <c r="L43" s="21"/>
      <c r="M43" s="21"/>
      <c r="N43" s="21"/>
      <c r="O43" s="21">
        <v>100</v>
      </c>
      <c r="P43" s="21"/>
      <c r="Q43" s="22">
        <f t="shared" si="0"/>
        <v>158</v>
      </c>
    </row>
    <row r="44" spans="1:17" ht="15.75" customHeight="1">
      <c r="A44" s="23">
        <v>42</v>
      </c>
      <c r="B44" s="24" t="s">
        <v>125</v>
      </c>
      <c r="C44" s="24" t="s">
        <v>123</v>
      </c>
      <c r="D44" s="24" t="s">
        <v>126</v>
      </c>
      <c r="E44" s="25"/>
      <c r="F44" s="25"/>
      <c r="G44" s="25"/>
      <c r="H44" s="25"/>
      <c r="I44" s="25"/>
      <c r="J44" s="25"/>
      <c r="K44" s="25"/>
      <c r="L44" s="25"/>
      <c r="M44" s="25">
        <v>21</v>
      </c>
      <c r="N44" s="25"/>
      <c r="O44" s="25"/>
      <c r="P44" s="25"/>
      <c r="Q44" s="22">
        <f t="shared" si="0"/>
        <v>21</v>
      </c>
    </row>
    <row r="45" spans="1:17" ht="15.75" customHeight="1">
      <c r="A45" s="19">
        <v>43</v>
      </c>
      <c r="B45" s="20" t="s">
        <v>127</v>
      </c>
      <c r="C45" s="20" t="s">
        <v>77</v>
      </c>
      <c r="D45" s="20" t="s">
        <v>128</v>
      </c>
      <c r="E45" s="21">
        <v>50</v>
      </c>
      <c r="F45" s="21"/>
      <c r="G45" s="21"/>
      <c r="H45" s="21"/>
      <c r="I45" s="21"/>
      <c r="J45" s="21"/>
      <c r="K45" s="21">
        <v>50</v>
      </c>
      <c r="L45" s="21">
        <v>50</v>
      </c>
      <c r="M45" s="21"/>
      <c r="N45" s="21"/>
      <c r="O45" s="21"/>
      <c r="P45" s="21"/>
      <c r="Q45" s="22">
        <f t="shared" si="0"/>
        <v>150</v>
      </c>
    </row>
    <row r="46" spans="1:17" ht="15.75" customHeight="1">
      <c r="A46" s="23">
        <v>44</v>
      </c>
      <c r="B46" s="24" t="s">
        <v>129</v>
      </c>
      <c r="C46" s="24" t="s">
        <v>93</v>
      </c>
      <c r="D46" s="24" t="s">
        <v>128</v>
      </c>
      <c r="E46" s="25">
        <v>50</v>
      </c>
      <c r="F46" s="25"/>
      <c r="G46" s="25"/>
      <c r="H46" s="25"/>
      <c r="I46" s="25"/>
      <c r="J46" s="25"/>
      <c r="K46" s="25">
        <v>50</v>
      </c>
      <c r="L46" s="25">
        <v>100</v>
      </c>
      <c r="M46" s="25"/>
      <c r="N46" s="25"/>
      <c r="O46" s="25"/>
      <c r="P46" s="25"/>
      <c r="Q46" s="22">
        <f t="shared" si="0"/>
        <v>200</v>
      </c>
    </row>
    <row r="47" spans="1:17" ht="15.75" customHeight="1">
      <c r="A47" s="19">
        <v>45</v>
      </c>
      <c r="B47" s="20" t="s">
        <v>130</v>
      </c>
      <c r="C47" s="20" t="s">
        <v>95</v>
      </c>
      <c r="D47" s="20" t="s">
        <v>128</v>
      </c>
      <c r="E47" s="21"/>
      <c r="F47" s="21"/>
      <c r="G47" s="21"/>
      <c r="H47" s="21"/>
      <c r="I47" s="21">
        <v>30</v>
      </c>
      <c r="J47" s="21"/>
      <c r="K47" s="21">
        <v>50</v>
      </c>
      <c r="L47" s="21">
        <v>100</v>
      </c>
      <c r="M47" s="21"/>
      <c r="N47" s="21"/>
      <c r="O47" s="21"/>
      <c r="P47" s="21"/>
      <c r="Q47" s="22">
        <f t="shared" si="0"/>
        <v>180</v>
      </c>
    </row>
    <row r="48" spans="1:17" ht="15.75" customHeight="1">
      <c r="A48" s="23">
        <v>46</v>
      </c>
      <c r="B48" s="24" t="s">
        <v>131</v>
      </c>
      <c r="C48" s="24" t="s">
        <v>97</v>
      </c>
      <c r="D48" s="24" t="s">
        <v>128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>
        <v>30</v>
      </c>
      <c r="P48" s="25"/>
      <c r="Q48" s="22">
        <f t="shared" si="0"/>
        <v>30</v>
      </c>
    </row>
    <row r="49" spans="1:17" ht="15.75" customHeight="1">
      <c r="A49" s="19">
        <v>47</v>
      </c>
      <c r="B49" s="20" t="s">
        <v>132</v>
      </c>
      <c r="C49" s="20" t="s">
        <v>108</v>
      </c>
      <c r="D49" s="20" t="s">
        <v>128</v>
      </c>
      <c r="E49" s="21"/>
      <c r="F49" s="21"/>
      <c r="G49" s="21"/>
      <c r="H49" s="21"/>
      <c r="I49" s="21">
        <v>30</v>
      </c>
      <c r="J49" s="21"/>
      <c r="K49" s="21"/>
      <c r="L49" s="21"/>
      <c r="M49" s="21"/>
      <c r="N49" s="21"/>
      <c r="O49" s="21">
        <v>30</v>
      </c>
      <c r="P49" s="21"/>
      <c r="Q49" s="22">
        <f t="shared" si="0"/>
        <v>60</v>
      </c>
    </row>
    <row r="50" spans="1:17" ht="15.75" customHeight="1">
      <c r="A50" s="23">
        <v>48</v>
      </c>
      <c r="B50" s="24" t="s">
        <v>133</v>
      </c>
      <c r="C50" s="24" t="s">
        <v>134</v>
      </c>
      <c r="D50" s="24" t="s">
        <v>128</v>
      </c>
      <c r="E50" s="25"/>
      <c r="F50" s="25"/>
      <c r="G50" s="25"/>
      <c r="H50" s="25"/>
      <c r="I50" s="25">
        <v>20</v>
      </c>
      <c r="J50" s="25"/>
      <c r="K50" s="25"/>
      <c r="L50" s="25"/>
      <c r="M50" s="25"/>
      <c r="N50" s="25"/>
      <c r="O50" s="25">
        <v>20</v>
      </c>
      <c r="P50" s="25"/>
      <c r="Q50" s="22">
        <f t="shared" si="0"/>
        <v>40</v>
      </c>
    </row>
    <row r="51" spans="1:17" ht="15.75" customHeight="1">
      <c r="A51" s="19">
        <v>49</v>
      </c>
      <c r="B51" s="20" t="s">
        <v>2338</v>
      </c>
      <c r="C51" s="20" t="s">
        <v>2339</v>
      </c>
      <c r="D51" s="20" t="s">
        <v>22</v>
      </c>
      <c r="E51" s="21"/>
      <c r="F51" s="21"/>
      <c r="G51" s="21"/>
      <c r="H51" s="21"/>
      <c r="I51" s="21"/>
      <c r="J51" s="21"/>
      <c r="K51" s="21">
        <v>20</v>
      </c>
      <c r="L51" s="21"/>
      <c r="M51" s="21"/>
      <c r="N51" s="21"/>
      <c r="O51" s="21"/>
      <c r="P51" s="21"/>
      <c r="Q51" s="22">
        <f t="shared" si="0"/>
        <v>20</v>
      </c>
    </row>
    <row r="52" spans="1:17" ht="15.75" customHeight="1">
      <c r="A52" s="23">
        <v>50</v>
      </c>
      <c r="B52" s="24" t="s">
        <v>140</v>
      </c>
      <c r="C52" s="24" t="s">
        <v>75</v>
      </c>
      <c r="D52" s="24" t="s">
        <v>141</v>
      </c>
      <c r="E52" s="25"/>
      <c r="F52" s="25"/>
      <c r="G52" s="25"/>
      <c r="H52" s="25"/>
      <c r="I52" s="25">
        <v>30</v>
      </c>
      <c r="J52" s="25"/>
      <c r="K52" s="25">
        <v>20</v>
      </c>
      <c r="L52" s="25"/>
      <c r="M52" s="25">
        <v>10</v>
      </c>
      <c r="N52" s="25"/>
      <c r="O52" s="25"/>
      <c r="P52" s="25"/>
      <c r="Q52" s="22">
        <f t="shared" si="0"/>
        <v>60</v>
      </c>
    </row>
    <row r="53" spans="1:17" ht="15.75" customHeight="1">
      <c r="A53" s="19">
        <v>51</v>
      </c>
      <c r="B53" s="20" t="s">
        <v>2983</v>
      </c>
      <c r="C53" s="20" t="s">
        <v>2984</v>
      </c>
      <c r="D53" s="20" t="s">
        <v>78</v>
      </c>
      <c r="E53" s="21"/>
      <c r="F53" s="21"/>
      <c r="G53" s="21"/>
      <c r="H53" s="21"/>
      <c r="I53" s="21"/>
      <c r="J53" s="21"/>
      <c r="K53" s="21"/>
      <c r="L53" s="21">
        <v>50</v>
      </c>
      <c r="M53" s="21"/>
      <c r="N53" s="21"/>
      <c r="O53" s="21"/>
      <c r="P53" s="21"/>
      <c r="Q53" s="22">
        <f t="shared" si="0"/>
        <v>50</v>
      </c>
    </row>
    <row r="54" spans="1:17" ht="15.75" customHeight="1">
      <c r="A54" s="23">
        <v>52</v>
      </c>
      <c r="B54" s="24" t="s">
        <v>150</v>
      </c>
      <c r="C54" s="24" t="s">
        <v>75</v>
      </c>
      <c r="D54" s="24" t="s">
        <v>22</v>
      </c>
      <c r="E54" s="25"/>
      <c r="F54" s="25">
        <v>20</v>
      </c>
      <c r="G54" s="25">
        <v>25</v>
      </c>
      <c r="H54" s="25"/>
      <c r="I54" s="25">
        <v>20</v>
      </c>
      <c r="J54" s="25"/>
      <c r="K54" s="25">
        <v>10</v>
      </c>
      <c r="L54" s="25">
        <v>12</v>
      </c>
      <c r="M54" s="25"/>
      <c r="N54" s="25">
        <v>20</v>
      </c>
      <c r="O54" s="25"/>
      <c r="P54" s="25"/>
      <c r="Q54" s="22">
        <f t="shared" si="0"/>
        <v>107</v>
      </c>
    </row>
    <row r="55" spans="1:17" ht="15.75" customHeight="1">
      <c r="A55" s="19">
        <v>53</v>
      </c>
      <c r="B55" s="20" t="s">
        <v>2985</v>
      </c>
      <c r="C55" s="20" t="s">
        <v>2986</v>
      </c>
      <c r="D55" s="20" t="s">
        <v>128</v>
      </c>
      <c r="E55" s="21"/>
      <c r="F55" s="21"/>
      <c r="G55" s="21"/>
      <c r="H55" s="21"/>
      <c r="I55" s="21"/>
      <c r="J55" s="21"/>
      <c r="K55" s="21"/>
      <c r="L55" s="21">
        <v>50</v>
      </c>
      <c r="M55" s="21"/>
      <c r="N55" s="21"/>
      <c r="O55" s="21"/>
      <c r="P55" s="21"/>
      <c r="Q55" s="22">
        <f t="shared" si="0"/>
        <v>50</v>
      </c>
    </row>
    <row r="56" spans="1:17" ht="15.75" customHeight="1">
      <c r="A56" s="23">
        <v>54</v>
      </c>
      <c r="B56" s="24" t="s">
        <v>152</v>
      </c>
      <c r="C56" s="24" t="s">
        <v>75</v>
      </c>
      <c r="D56" s="24" t="s">
        <v>153</v>
      </c>
      <c r="E56" s="25"/>
      <c r="F56" s="25"/>
      <c r="G56" s="25"/>
      <c r="H56" s="25"/>
      <c r="I56" s="25"/>
      <c r="J56" s="25"/>
      <c r="K56" s="25">
        <v>2</v>
      </c>
      <c r="L56" s="25"/>
      <c r="M56" s="25"/>
      <c r="N56" s="25"/>
      <c r="O56" s="25"/>
      <c r="P56" s="25"/>
      <c r="Q56" s="22">
        <f t="shared" si="0"/>
        <v>2</v>
      </c>
    </row>
    <row r="57" spans="1:17" ht="15.75" customHeight="1">
      <c r="A57" s="19">
        <v>55</v>
      </c>
      <c r="B57" s="20" t="s">
        <v>2987</v>
      </c>
      <c r="C57" s="20" t="s">
        <v>157</v>
      </c>
      <c r="D57" s="20" t="s">
        <v>2348</v>
      </c>
      <c r="E57" s="21"/>
      <c r="F57" s="21">
        <v>1</v>
      </c>
      <c r="G57" s="21"/>
      <c r="H57" s="21"/>
      <c r="I57" s="21"/>
      <c r="J57" s="21"/>
      <c r="K57" s="21"/>
      <c r="L57" s="21"/>
      <c r="M57" s="21">
        <v>1</v>
      </c>
      <c r="N57" s="21"/>
      <c r="O57" s="21"/>
      <c r="P57" s="21"/>
      <c r="Q57" s="22">
        <f t="shared" si="0"/>
        <v>2</v>
      </c>
    </row>
    <row r="58" spans="1:17" ht="15.75" customHeight="1">
      <c r="A58" s="23">
        <v>56</v>
      </c>
      <c r="B58" s="24" t="s">
        <v>2344</v>
      </c>
      <c r="C58" s="24" t="s">
        <v>84</v>
      </c>
      <c r="D58" s="24" t="s">
        <v>2332</v>
      </c>
      <c r="E58" s="25">
        <v>100</v>
      </c>
      <c r="F58" s="25"/>
      <c r="G58" s="25"/>
      <c r="H58" s="25"/>
      <c r="I58" s="25"/>
      <c r="J58" s="25"/>
      <c r="K58" s="25">
        <v>50</v>
      </c>
      <c r="L58" s="25"/>
      <c r="M58" s="25"/>
      <c r="N58" s="25"/>
      <c r="O58" s="25"/>
      <c r="P58" s="25">
        <v>100</v>
      </c>
      <c r="Q58" s="22">
        <f t="shared" si="0"/>
        <v>250</v>
      </c>
    </row>
    <row r="59" spans="1:17" ht="15.75" customHeight="1">
      <c r="A59" s="19">
        <v>57</v>
      </c>
      <c r="B59" s="20" t="s">
        <v>2352</v>
      </c>
      <c r="C59" s="20" t="s">
        <v>84</v>
      </c>
      <c r="D59" s="20" t="s">
        <v>128</v>
      </c>
      <c r="E59" s="21">
        <v>50</v>
      </c>
      <c r="F59" s="21"/>
      <c r="G59" s="21"/>
      <c r="H59" s="21"/>
      <c r="I59" s="21"/>
      <c r="J59" s="21"/>
      <c r="K59" s="21"/>
      <c r="L59" s="21">
        <v>50</v>
      </c>
      <c r="M59" s="21"/>
      <c r="N59" s="21"/>
      <c r="O59" s="21"/>
      <c r="P59" s="21"/>
      <c r="Q59" s="22">
        <f t="shared" si="0"/>
        <v>100</v>
      </c>
    </row>
    <row r="60" spans="1:17" ht="15.75" customHeight="1">
      <c r="A60" s="23">
        <v>58</v>
      </c>
      <c r="B60" s="24" t="s">
        <v>2354</v>
      </c>
      <c r="C60" s="24" t="s">
        <v>75</v>
      </c>
      <c r="D60" s="24" t="s">
        <v>50</v>
      </c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>
        <v>20</v>
      </c>
      <c r="P60" s="25"/>
      <c r="Q60" s="22">
        <f t="shared" si="0"/>
        <v>20</v>
      </c>
    </row>
    <row r="61" spans="1:17" ht="15.75" customHeight="1">
      <c r="A61" s="19">
        <v>59</v>
      </c>
      <c r="B61" s="20" t="s">
        <v>2988</v>
      </c>
      <c r="C61" s="20" t="s">
        <v>2339</v>
      </c>
      <c r="D61" s="20" t="s">
        <v>47</v>
      </c>
      <c r="E61" s="21"/>
      <c r="F61" s="21"/>
      <c r="G61" s="21"/>
      <c r="H61" s="21"/>
      <c r="I61" s="21"/>
      <c r="J61" s="21"/>
      <c r="K61" s="21">
        <v>10</v>
      </c>
      <c r="L61" s="21">
        <v>20</v>
      </c>
      <c r="M61" s="21"/>
      <c r="N61" s="21"/>
      <c r="O61" s="21"/>
      <c r="P61" s="21"/>
      <c r="Q61" s="22">
        <f t="shared" si="0"/>
        <v>30</v>
      </c>
    </row>
    <row r="62" spans="1:17" ht="15.75" customHeight="1">
      <c r="A62" s="23">
        <v>60</v>
      </c>
      <c r="B62" s="24" t="s">
        <v>2363</v>
      </c>
      <c r="C62" s="24" t="s">
        <v>77</v>
      </c>
      <c r="D62" s="24" t="s">
        <v>2332</v>
      </c>
      <c r="E62" s="25">
        <v>50</v>
      </c>
      <c r="F62" s="25"/>
      <c r="G62" s="25"/>
      <c r="H62" s="25"/>
      <c r="I62" s="25"/>
      <c r="J62" s="25"/>
      <c r="K62" s="25">
        <v>100</v>
      </c>
      <c r="L62" s="25"/>
      <c r="M62" s="25"/>
      <c r="N62" s="25"/>
      <c r="O62" s="25"/>
      <c r="P62" s="25">
        <v>100</v>
      </c>
      <c r="Q62" s="22">
        <f t="shared" si="0"/>
        <v>250</v>
      </c>
    </row>
    <row r="63" spans="1:17" ht="15.75" customHeight="1">
      <c r="A63" s="19">
        <v>61</v>
      </c>
      <c r="B63" s="20" t="s">
        <v>2989</v>
      </c>
      <c r="C63" s="20" t="s">
        <v>2990</v>
      </c>
      <c r="D63" s="20" t="s">
        <v>2991</v>
      </c>
      <c r="E63" s="21">
        <v>10</v>
      </c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2">
        <f t="shared" si="0"/>
        <v>10</v>
      </c>
    </row>
    <row r="64" spans="1:17" ht="15.75" customHeight="1">
      <c r="A64" s="23">
        <v>62</v>
      </c>
      <c r="B64" s="24" t="s">
        <v>2992</v>
      </c>
      <c r="C64" s="24" t="s">
        <v>75</v>
      </c>
      <c r="D64" s="24" t="s">
        <v>59</v>
      </c>
      <c r="E64" s="25"/>
      <c r="F64" s="25"/>
      <c r="G64" s="25"/>
      <c r="H64" s="25">
        <v>2</v>
      </c>
      <c r="I64" s="25"/>
      <c r="J64" s="25"/>
      <c r="K64" s="25"/>
      <c r="L64" s="25"/>
      <c r="M64" s="25"/>
      <c r="N64" s="25"/>
      <c r="O64" s="25"/>
      <c r="P64" s="25"/>
      <c r="Q64" s="22">
        <f t="shared" si="0"/>
        <v>2</v>
      </c>
    </row>
    <row r="65" spans="1:17" ht="15.75" customHeight="1">
      <c r="A65" s="19">
        <v>63</v>
      </c>
      <c r="B65" s="20" t="s">
        <v>2993</v>
      </c>
      <c r="C65" s="20" t="s">
        <v>75</v>
      </c>
      <c r="D65" s="20" t="s">
        <v>39</v>
      </c>
      <c r="E65" s="21"/>
      <c r="F65" s="21"/>
      <c r="G65" s="21"/>
      <c r="H65" s="21"/>
      <c r="I65" s="21">
        <v>2</v>
      </c>
      <c r="J65" s="21"/>
      <c r="K65" s="21"/>
      <c r="L65" s="21"/>
      <c r="M65" s="21"/>
      <c r="N65" s="21"/>
      <c r="O65" s="21"/>
      <c r="P65" s="21"/>
      <c r="Q65" s="22">
        <f t="shared" si="0"/>
        <v>2</v>
      </c>
    </row>
    <row r="66" spans="1:17" ht="15.75" customHeight="1">
      <c r="A66" s="23">
        <v>64</v>
      </c>
      <c r="B66" s="24" t="s">
        <v>2994</v>
      </c>
      <c r="C66" s="24" t="s">
        <v>2995</v>
      </c>
      <c r="D66" s="24" t="s">
        <v>121</v>
      </c>
      <c r="E66" s="25"/>
      <c r="F66" s="25"/>
      <c r="G66" s="25"/>
      <c r="H66" s="25"/>
      <c r="I66" s="25"/>
      <c r="J66" s="25">
        <v>30</v>
      </c>
      <c r="K66" s="25"/>
      <c r="L66" s="25"/>
      <c r="M66" s="25"/>
      <c r="N66" s="25"/>
      <c r="O66" s="25"/>
      <c r="P66" s="25"/>
      <c r="Q66" s="22">
        <f t="shared" si="0"/>
        <v>30</v>
      </c>
    </row>
    <row r="67" spans="1:17" ht="15.75" customHeight="1">
      <c r="A67" s="19">
        <v>65</v>
      </c>
      <c r="B67" s="20" t="s">
        <v>2996</v>
      </c>
      <c r="C67" s="20" t="s">
        <v>2995</v>
      </c>
      <c r="D67" s="20" t="s">
        <v>47</v>
      </c>
      <c r="E67" s="21"/>
      <c r="F67" s="21"/>
      <c r="G67" s="21"/>
      <c r="H67" s="21"/>
      <c r="I67" s="21"/>
      <c r="J67" s="21">
        <v>20</v>
      </c>
      <c r="K67" s="21"/>
      <c r="L67" s="21"/>
      <c r="M67" s="21"/>
      <c r="N67" s="21"/>
      <c r="O67" s="21"/>
      <c r="P67" s="21"/>
      <c r="Q67" s="22">
        <f t="shared" ref="Q67:Q130" si="1">SUM(E67:P67)</f>
        <v>20</v>
      </c>
    </row>
    <row r="68" spans="1:17" ht="15.75" customHeight="1">
      <c r="A68" s="23">
        <v>66</v>
      </c>
      <c r="B68" s="24" t="s">
        <v>2997</v>
      </c>
      <c r="C68" s="24" t="s">
        <v>157</v>
      </c>
      <c r="D68" s="24" t="s">
        <v>22</v>
      </c>
      <c r="E68" s="25"/>
      <c r="F68" s="25"/>
      <c r="G68" s="25"/>
      <c r="H68" s="25"/>
      <c r="I68" s="25"/>
      <c r="J68" s="25"/>
      <c r="K68" s="25"/>
      <c r="L68" s="25">
        <v>12</v>
      </c>
      <c r="M68" s="25"/>
      <c r="N68" s="25"/>
      <c r="O68" s="25"/>
      <c r="P68" s="25"/>
      <c r="Q68" s="22">
        <f t="shared" si="1"/>
        <v>12</v>
      </c>
    </row>
    <row r="69" spans="1:17" ht="15.75" customHeight="1">
      <c r="A69" s="19">
        <v>67</v>
      </c>
      <c r="B69" s="20" t="s">
        <v>2998</v>
      </c>
      <c r="C69" s="20" t="s">
        <v>2999</v>
      </c>
      <c r="D69" s="20" t="s">
        <v>3000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>
        <v>50</v>
      </c>
      <c r="Q69" s="22">
        <f t="shared" si="1"/>
        <v>50</v>
      </c>
    </row>
    <row r="70" spans="1:17" ht="15.75" customHeight="1">
      <c r="A70" s="23">
        <v>68</v>
      </c>
      <c r="B70" s="24" t="s">
        <v>3001</v>
      </c>
      <c r="C70" s="24" t="s">
        <v>95</v>
      </c>
      <c r="D70" s="24" t="s">
        <v>3000</v>
      </c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>
        <v>30</v>
      </c>
      <c r="Q70" s="22">
        <f t="shared" si="1"/>
        <v>30</v>
      </c>
    </row>
    <row r="71" spans="1:17" ht="15.75" customHeight="1">
      <c r="A71" s="19">
        <v>69</v>
      </c>
      <c r="B71" s="20" t="s">
        <v>171</v>
      </c>
      <c r="C71" s="20" t="s">
        <v>169</v>
      </c>
      <c r="D71" s="20" t="s">
        <v>47</v>
      </c>
      <c r="E71" s="21"/>
      <c r="F71" s="21"/>
      <c r="G71" s="21"/>
      <c r="H71" s="21">
        <v>3</v>
      </c>
      <c r="I71" s="21"/>
      <c r="J71" s="21"/>
      <c r="K71" s="21">
        <v>2</v>
      </c>
      <c r="L71" s="21"/>
      <c r="M71" s="21"/>
      <c r="N71" s="21"/>
      <c r="O71" s="21"/>
      <c r="P71" s="21">
        <v>5</v>
      </c>
      <c r="Q71" s="22">
        <f t="shared" si="1"/>
        <v>10</v>
      </c>
    </row>
    <row r="72" spans="1:17" ht="15.75" customHeight="1">
      <c r="A72" s="23">
        <v>70</v>
      </c>
      <c r="B72" s="24" t="s">
        <v>172</v>
      </c>
      <c r="C72" s="24" t="s">
        <v>169</v>
      </c>
      <c r="D72" s="24" t="s">
        <v>173</v>
      </c>
      <c r="E72" s="25"/>
      <c r="F72" s="25"/>
      <c r="G72" s="25"/>
      <c r="H72" s="25">
        <v>3</v>
      </c>
      <c r="I72" s="25"/>
      <c r="J72" s="25"/>
      <c r="K72" s="25"/>
      <c r="L72" s="25"/>
      <c r="M72" s="25"/>
      <c r="N72" s="25"/>
      <c r="O72" s="25">
        <v>10</v>
      </c>
      <c r="P72" s="25">
        <v>10</v>
      </c>
      <c r="Q72" s="22">
        <f t="shared" si="1"/>
        <v>23</v>
      </c>
    </row>
    <row r="73" spans="1:17" ht="15.75" customHeight="1">
      <c r="A73" s="19">
        <v>71</v>
      </c>
      <c r="B73" s="20" t="s">
        <v>174</v>
      </c>
      <c r="C73" s="20" t="s">
        <v>169</v>
      </c>
      <c r="D73" s="20" t="s">
        <v>24</v>
      </c>
      <c r="E73" s="21"/>
      <c r="F73" s="21"/>
      <c r="G73" s="21"/>
      <c r="H73" s="21">
        <v>1</v>
      </c>
      <c r="I73" s="21"/>
      <c r="J73" s="21"/>
      <c r="K73" s="21"/>
      <c r="L73" s="21">
        <v>30</v>
      </c>
      <c r="M73" s="21"/>
      <c r="N73" s="21"/>
      <c r="O73" s="21"/>
      <c r="P73" s="21">
        <v>20</v>
      </c>
      <c r="Q73" s="22">
        <f t="shared" si="1"/>
        <v>51</v>
      </c>
    </row>
    <row r="74" spans="1:17" ht="15.75" customHeight="1">
      <c r="A74" s="23">
        <v>72</v>
      </c>
      <c r="B74" s="24" t="s">
        <v>175</v>
      </c>
      <c r="C74" s="24" t="s">
        <v>169</v>
      </c>
      <c r="D74" s="24" t="s">
        <v>87</v>
      </c>
      <c r="E74" s="25"/>
      <c r="F74" s="25"/>
      <c r="G74" s="25"/>
      <c r="H74" s="25">
        <v>3</v>
      </c>
      <c r="I74" s="25"/>
      <c r="J74" s="25"/>
      <c r="K74" s="25"/>
      <c r="L74" s="25"/>
      <c r="M74" s="25"/>
      <c r="N74" s="25"/>
      <c r="O74" s="25"/>
      <c r="P74" s="25">
        <v>5</v>
      </c>
      <c r="Q74" s="22">
        <f t="shared" si="1"/>
        <v>8</v>
      </c>
    </row>
    <row r="75" spans="1:17" ht="15.75" customHeight="1">
      <c r="A75" s="19">
        <v>73</v>
      </c>
      <c r="B75" s="20" t="s">
        <v>3002</v>
      </c>
      <c r="C75" s="20" t="s">
        <v>169</v>
      </c>
      <c r="D75" s="20" t="s">
        <v>55</v>
      </c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>
        <v>1</v>
      </c>
      <c r="P75" s="21"/>
      <c r="Q75" s="22">
        <f t="shared" si="1"/>
        <v>1</v>
      </c>
    </row>
    <row r="76" spans="1:17" ht="15.75" customHeight="1">
      <c r="A76" s="23">
        <v>74</v>
      </c>
      <c r="B76" s="24" t="s">
        <v>178</v>
      </c>
      <c r="C76" s="24" t="s">
        <v>169</v>
      </c>
      <c r="D76" s="24" t="s">
        <v>57</v>
      </c>
      <c r="E76" s="25"/>
      <c r="F76" s="25"/>
      <c r="G76" s="25"/>
      <c r="H76" s="25"/>
      <c r="I76" s="25"/>
      <c r="J76" s="25"/>
      <c r="K76" s="25"/>
      <c r="L76" s="25">
        <v>30</v>
      </c>
      <c r="M76" s="25"/>
      <c r="N76" s="25"/>
      <c r="O76" s="25"/>
      <c r="P76" s="25"/>
      <c r="Q76" s="22">
        <f t="shared" si="1"/>
        <v>30</v>
      </c>
    </row>
    <row r="77" spans="1:17" ht="15.75" customHeight="1">
      <c r="A77" s="19">
        <v>75</v>
      </c>
      <c r="B77" s="20" t="s">
        <v>3003</v>
      </c>
      <c r="C77" s="20" t="s">
        <v>169</v>
      </c>
      <c r="D77" s="20" t="s">
        <v>59</v>
      </c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>
        <v>4</v>
      </c>
      <c r="P77" s="21"/>
      <c r="Q77" s="22">
        <f t="shared" si="1"/>
        <v>4</v>
      </c>
    </row>
    <row r="78" spans="1:17" ht="15.75" customHeight="1">
      <c r="A78" s="23">
        <v>76</v>
      </c>
      <c r="B78" s="24" t="s">
        <v>179</v>
      </c>
      <c r="C78" s="24" t="s">
        <v>180</v>
      </c>
      <c r="D78" s="24" t="s">
        <v>170</v>
      </c>
      <c r="E78" s="25">
        <v>3</v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2">
        <f t="shared" si="1"/>
        <v>3</v>
      </c>
    </row>
    <row r="79" spans="1:17" ht="15.75" customHeight="1">
      <c r="A79" s="19">
        <v>77</v>
      </c>
      <c r="B79" s="20" t="s">
        <v>187</v>
      </c>
      <c r="C79" s="20" t="s">
        <v>180</v>
      </c>
      <c r="D79" s="20" t="s">
        <v>173</v>
      </c>
      <c r="E79" s="21"/>
      <c r="F79" s="21">
        <v>5</v>
      </c>
      <c r="G79" s="21"/>
      <c r="H79" s="21"/>
      <c r="I79" s="21"/>
      <c r="J79" s="21">
        <v>10</v>
      </c>
      <c r="K79" s="21"/>
      <c r="L79" s="21">
        <v>30</v>
      </c>
      <c r="M79" s="21"/>
      <c r="N79" s="21"/>
      <c r="O79" s="21">
        <v>2</v>
      </c>
      <c r="P79" s="21">
        <v>4</v>
      </c>
      <c r="Q79" s="22">
        <f t="shared" si="1"/>
        <v>51</v>
      </c>
    </row>
    <row r="80" spans="1:17" ht="15.75" customHeight="1">
      <c r="A80" s="23">
        <v>78</v>
      </c>
      <c r="B80" s="24" t="s">
        <v>188</v>
      </c>
      <c r="C80" s="24" t="s">
        <v>180</v>
      </c>
      <c r="D80" s="24" t="s">
        <v>87</v>
      </c>
      <c r="E80" s="25"/>
      <c r="F80" s="25"/>
      <c r="G80" s="25"/>
      <c r="H80" s="25">
        <v>5</v>
      </c>
      <c r="I80" s="25"/>
      <c r="J80" s="25"/>
      <c r="K80" s="25"/>
      <c r="L80" s="25"/>
      <c r="M80" s="25"/>
      <c r="N80" s="25">
        <v>2</v>
      </c>
      <c r="O80" s="25">
        <v>7</v>
      </c>
      <c r="P80" s="25"/>
      <c r="Q80" s="22">
        <f t="shared" si="1"/>
        <v>14</v>
      </c>
    </row>
    <row r="81" spans="1:17" ht="15.75" customHeight="1">
      <c r="A81" s="19">
        <v>79</v>
      </c>
      <c r="B81" s="20" t="s">
        <v>2368</v>
      </c>
      <c r="C81" s="20" t="s">
        <v>180</v>
      </c>
      <c r="D81" s="20" t="s">
        <v>50</v>
      </c>
      <c r="E81" s="21"/>
      <c r="F81" s="21"/>
      <c r="G81" s="21"/>
      <c r="H81" s="21">
        <v>3</v>
      </c>
      <c r="I81" s="21">
        <v>2</v>
      </c>
      <c r="J81" s="21"/>
      <c r="K81" s="21"/>
      <c r="L81" s="21"/>
      <c r="M81" s="21"/>
      <c r="N81" s="21"/>
      <c r="O81" s="21"/>
      <c r="P81" s="21"/>
      <c r="Q81" s="22">
        <f t="shared" si="1"/>
        <v>5</v>
      </c>
    </row>
    <row r="82" spans="1:17" ht="15.75" customHeight="1">
      <c r="A82" s="23">
        <v>80</v>
      </c>
      <c r="B82" s="24" t="s">
        <v>189</v>
      </c>
      <c r="C82" s="24" t="s">
        <v>180</v>
      </c>
      <c r="D82" s="24" t="s">
        <v>190</v>
      </c>
      <c r="E82" s="25"/>
      <c r="F82" s="25"/>
      <c r="G82" s="25"/>
      <c r="H82" s="25">
        <v>8</v>
      </c>
      <c r="I82" s="25"/>
      <c r="J82" s="25"/>
      <c r="K82" s="25"/>
      <c r="L82" s="25"/>
      <c r="M82" s="25"/>
      <c r="N82" s="25"/>
      <c r="O82" s="25"/>
      <c r="P82" s="25"/>
      <c r="Q82" s="22">
        <f t="shared" si="1"/>
        <v>8</v>
      </c>
    </row>
    <row r="83" spans="1:17" ht="15.75" customHeight="1">
      <c r="A83" s="19">
        <v>81</v>
      </c>
      <c r="B83" s="20" t="s">
        <v>192</v>
      </c>
      <c r="C83" s="20" t="s">
        <v>180</v>
      </c>
      <c r="D83" s="20" t="s">
        <v>55</v>
      </c>
      <c r="E83" s="21"/>
      <c r="F83" s="21"/>
      <c r="G83" s="21"/>
      <c r="H83" s="21"/>
      <c r="I83" s="21"/>
      <c r="J83" s="21"/>
      <c r="K83" s="21"/>
      <c r="L83" s="21"/>
      <c r="M83" s="21">
        <v>4</v>
      </c>
      <c r="N83" s="21"/>
      <c r="O83" s="21"/>
      <c r="P83" s="21"/>
      <c r="Q83" s="22">
        <f t="shared" si="1"/>
        <v>4</v>
      </c>
    </row>
    <row r="84" spans="1:17" ht="15.75" customHeight="1">
      <c r="A84" s="23">
        <v>82</v>
      </c>
      <c r="B84" s="24" t="s">
        <v>197</v>
      </c>
      <c r="C84" s="24" t="s">
        <v>198</v>
      </c>
      <c r="D84" s="24" t="s">
        <v>42</v>
      </c>
      <c r="E84" s="25"/>
      <c r="F84" s="25"/>
      <c r="G84" s="25"/>
      <c r="H84" s="25"/>
      <c r="I84" s="25"/>
      <c r="J84" s="25">
        <v>30</v>
      </c>
      <c r="K84" s="25"/>
      <c r="L84" s="25">
        <v>5</v>
      </c>
      <c r="M84" s="25"/>
      <c r="N84" s="25"/>
      <c r="O84" s="25"/>
      <c r="P84" s="25"/>
      <c r="Q84" s="22">
        <f t="shared" si="1"/>
        <v>35</v>
      </c>
    </row>
    <row r="85" spans="1:17" ht="15.75" customHeight="1">
      <c r="A85" s="19">
        <v>83</v>
      </c>
      <c r="B85" s="20" t="s">
        <v>212</v>
      </c>
      <c r="C85" s="20" t="s">
        <v>211</v>
      </c>
      <c r="D85" s="20" t="s">
        <v>32</v>
      </c>
      <c r="E85" s="21"/>
      <c r="F85" s="21"/>
      <c r="G85" s="21"/>
      <c r="H85" s="21"/>
      <c r="I85" s="21">
        <v>10</v>
      </c>
      <c r="J85" s="21"/>
      <c r="K85" s="21"/>
      <c r="L85" s="21"/>
      <c r="M85" s="21"/>
      <c r="N85" s="21"/>
      <c r="O85" s="21"/>
      <c r="P85" s="21"/>
      <c r="Q85" s="22">
        <f t="shared" si="1"/>
        <v>10</v>
      </c>
    </row>
    <row r="86" spans="1:17" ht="15.75" customHeight="1">
      <c r="A86" s="23">
        <v>84</v>
      </c>
      <c r="B86" s="24" t="s">
        <v>213</v>
      </c>
      <c r="C86" s="24" t="s">
        <v>211</v>
      </c>
      <c r="D86" s="24" t="s">
        <v>121</v>
      </c>
      <c r="E86" s="25">
        <v>7</v>
      </c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2">
        <f t="shared" si="1"/>
        <v>7</v>
      </c>
    </row>
    <row r="87" spans="1:17" ht="15.75" customHeight="1">
      <c r="A87" s="19">
        <v>85</v>
      </c>
      <c r="B87" s="20" t="s">
        <v>219</v>
      </c>
      <c r="C87" s="20" t="s">
        <v>203</v>
      </c>
      <c r="D87" s="20" t="s">
        <v>20</v>
      </c>
      <c r="E87" s="21"/>
      <c r="F87" s="21"/>
      <c r="G87" s="21"/>
      <c r="H87" s="21"/>
      <c r="I87" s="21"/>
      <c r="J87" s="21">
        <v>20</v>
      </c>
      <c r="K87" s="21"/>
      <c r="L87" s="21">
        <v>30</v>
      </c>
      <c r="M87" s="21">
        <v>50</v>
      </c>
      <c r="N87" s="21">
        <v>80</v>
      </c>
      <c r="O87" s="21">
        <v>20</v>
      </c>
      <c r="P87" s="21"/>
      <c r="Q87" s="22">
        <f t="shared" si="1"/>
        <v>200</v>
      </c>
    </row>
    <row r="88" spans="1:17" ht="15.75" customHeight="1">
      <c r="A88" s="23">
        <v>86</v>
      </c>
      <c r="B88" s="24" t="s">
        <v>220</v>
      </c>
      <c r="C88" s="24" t="s">
        <v>203</v>
      </c>
      <c r="D88" s="24" t="s">
        <v>32</v>
      </c>
      <c r="E88" s="25"/>
      <c r="F88" s="25"/>
      <c r="G88" s="25"/>
      <c r="H88" s="25"/>
      <c r="I88" s="25"/>
      <c r="J88" s="25">
        <v>10</v>
      </c>
      <c r="K88" s="25"/>
      <c r="L88" s="25">
        <v>80</v>
      </c>
      <c r="M88" s="25">
        <v>110</v>
      </c>
      <c r="N88" s="25"/>
      <c r="O88" s="25"/>
      <c r="P88" s="25"/>
      <c r="Q88" s="22">
        <f t="shared" si="1"/>
        <v>200</v>
      </c>
    </row>
    <row r="89" spans="1:17" ht="15.75" customHeight="1">
      <c r="A89" s="19">
        <v>87</v>
      </c>
      <c r="B89" s="20" t="s">
        <v>221</v>
      </c>
      <c r="C89" s="20" t="s">
        <v>203</v>
      </c>
      <c r="D89" s="20" t="s">
        <v>222</v>
      </c>
      <c r="E89" s="21"/>
      <c r="F89" s="21"/>
      <c r="G89" s="21"/>
      <c r="H89" s="21">
        <v>20</v>
      </c>
      <c r="I89" s="21"/>
      <c r="J89" s="21"/>
      <c r="K89" s="21"/>
      <c r="L89" s="21"/>
      <c r="M89" s="21"/>
      <c r="N89" s="21"/>
      <c r="O89" s="21"/>
      <c r="P89" s="21"/>
      <c r="Q89" s="22">
        <f t="shared" si="1"/>
        <v>20</v>
      </c>
    </row>
    <row r="90" spans="1:17" ht="15.75" customHeight="1">
      <c r="A90" s="23">
        <v>88</v>
      </c>
      <c r="B90" s="24" t="s">
        <v>223</v>
      </c>
      <c r="C90" s="24" t="s">
        <v>203</v>
      </c>
      <c r="D90" s="24" t="s">
        <v>22</v>
      </c>
      <c r="E90" s="25"/>
      <c r="F90" s="25"/>
      <c r="G90" s="25"/>
      <c r="H90" s="25"/>
      <c r="I90" s="25"/>
      <c r="J90" s="25">
        <v>10</v>
      </c>
      <c r="K90" s="25"/>
      <c r="L90" s="25"/>
      <c r="M90" s="25">
        <v>100</v>
      </c>
      <c r="N90" s="25">
        <v>80</v>
      </c>
      <c r="O90" s="25"/>
      <c r="P90" s="25"/>
      <c r="Q90" s="22">
        <f t="shared" si="1"/>
        <v>190</v>
      </c>
    </row>
    <row r="91" spans="1:17" ht="15.75" customHeight="1">
      <c r="A91" s="19">
        <v>89</v>
      </c>
      <c r="B91" s="20" t="s">
        <v>224</v>
      </c>
      <c r="C91" s="20" t="s">
        <v>203</v>
      </c>
      <c r="D91" s="20" t="s">
        <v>225</v>
      </c>
      <c r="E91" s="21"/>
      <c r="F91" s="21"/>
      <c r="G91" s="21"/>
      <c r="H91" s="21">
        <v>20</v>
      </c>
      <c r="I91" s="21"/>
      <c r="J91" s="21"/>
      <c r="K91" s="21"/>
      <c r="L91" s="21"/>
      <c r="M91" s="21"/>
      <c r="N91" s="21"/>
      <c r="O91" s="21"/>
      <c r="P91" s="21"/>
      <c r="Q91" s="22">
        <f t="shared" si="1"/>
        <v>20</v>
      </c>
    </row>
    <row r="92" spans="1:17" ht="15.75" customHeight="1">
      <c r="A92" s="23">
        <v>90</v>
      </c>
      <c r="B92" s="24" t="s">
        <v>226</v>
      </c>
      <c r="C92" s="24" t="s">
        <v>203</v>
      </c>
      <c r="D92" s="24" t="s">
        <v>121</v>
      </c>
      <c r="E92" s="25"/>
      <c r="F92" s="25"/>
      <c r="G92" s="25"/>
      <c r="H92" s="25"/>
      <c r="I92" s="25"/>
      <c r="J92" s="25"/>
      <c r="K92" s="25"/>
      <c r="L92" s="25">
        <v>50</v>
      </c>
      <c r="M92" s="25">
        <v>200</v>
      </c>
      <c r="N92" s="25"/>
      <c r="O92" s="25"/>
      <c r="P92" s="25"/>
      <c r="Q92" s="22">
        <f t="shared" si="1"/>
        <v>250</v>
      </c>
    </row>
    <row r="93" spans="1:17" ht="15.75" customHeight="1">
      <c r="A93" s="19">
        <v>91</v>
      </c>
      <c r="B93" s="20" t="s">
        <v>230</v>
      </c>
      <c r="C93" s="20" t="s">
        <v>203</v>
      </c>
      <c r="D93" s="20" t="s">
        <v>24</v>
      </c>
      <c r="E93" s="21"/>
      <c r="F93" s="21"/>
      <c r="G93" s="21"/>
      <c r="H93" s="21"/>
      <c r="I93" s="21"/>
      <c r="J93" s="21"/>
      <c r="K93" s="21"/>
      <c r="L93" s="21"/>
      <c r="M93" s="21">
        <v>100</v>
      </c>
      <c r="N93" s="21"/>
      <c r="O93" s="21"/>
      <c r="P93" s="21"/>
      <c r="Q93" s="22">
        <f t="shared" si="1"/>
        <v>100</v>
      </c>
    </row>
    <row r="94" spans="1:17" ht="15.75" customHeight="1">
      <c r="A94" s="23">
        <v>92</v>
      </c>
      <c r="B94" s="24" t="s">
        <v>232</v>
      </c>
      <c r="C94" s="24" t="s">
        <v>203</v>
      </c>
      <c r="D94" s="24" t="s">
        <v>35</v>
      </c>
      <c r="E94" s="25"/>
      <c r="F94" s="25"/>
      <c r="G94" s="25"/>
      <c r="H94" s="25"/>
      <c r="I94" s="25"/>
      <c r="J94" s="25"/>
      <c r="K94" s="25"/>
      <c r="L94" s="25"/>
      <c r="M94" s="25">
        <v>30</v>
      </c>
      <c r="N94" s="25"/>
      <c r="O94" s="25"/>
      <c r="P94" s="25"/>
      <c r="Q94" s="22">
        <f t="shared" si="1"/>
        <v>30</v>
      </c>
    </row>
    <row r="95" spans="1:17" ht="15.75" customHeight="1">
      <c r="A95" s="19">
        <v>93</v>
      </c>
      <c r="B95" s="20" t="s">
        <v>233</v>
      </c>
      <c r="C95" s="20" t="s">
        <v>203</v>
      </c>
      <c r="D95" s="20" t="s">
        <v>50</v>
      </c>
      <c r="E95" s="21"/>
      <c r="F95" s="21"/>
      <c r="G95" s="21"/>
      <c r="H95" s="21"/>
      <c r="I95" s="21"/>
      <c r="J95" s="21"/>
      <c r="K95" s="21"/>
      <c r="L95" s="21"/>
      <c r="M95" s="21">
        <v>30</v>
      </c>
      <c r="N95" s="21"/>
      <c r="O95" s="21"/>
      <c r="P95" s="21"/>
      <c r="Q95" s="22">
        <f t="shared" si="1"/>
        <v>30</v>
      </c>
    </row>
    <row r="96" spans="1:17" ht="15.75" customHeight="1">
      <c r="A96" s="23">
        <v>94</v>
      </c>
      <c r="B96" s="24" t="s">
        <v>234</v>
      </c>
      <c r="C96" s="24" t="s">
        <v>203</v>
      </c>
      <c r="D96" s="24" t="s">
        <v>190</v>
      </c>
      <c r="E96" s="25"/>
      <c r="F96" s="25"/>
      <c r="G96" s="25"/>
      <c r="H96" s="25"/>
      <c r="I96" s="25"/>
      <c r="J96" s="25"/>
      <c r="K96" s="25"/>
      <c r="L96" s="25"/>
      <c r="M96" s="25">
        <v>20</v>
      </c>
      <c r="N96" s="25"/>
      <c r="O96" s="25"/>
      <c r="P96" s="25"/>
      <c r="Q96" s="22">
        <f t="shared" si="1"/>
        <v>20</v>
      </c>
    </row>
    <row r="97" spans="1:17" ht="15.75" customHeight="1">
      <c r="A97" s="19">
        <v>95</v>
      </c>
      <c r="B97" s="20" t="s">
        <v>235</v>
      </c>
      <c r="C97" s="20" t="s">
        <v>203</v>
      </c>
      <c r="D97" s="20" t="s">
        <v>26</v>
      </c>
      <c r="E97" s="21"/>
      <c r="F97" s="21">
        <v>70</v>
      </c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2">
        <f t="shared" si="1"/>
        <v>70</v>
      </c>
    </row>
    <row r="98" spans="1:17" ht="15.75" customHeight="1">
      <c r="A98" s="23">
        <v>96</v>
      </c>
      <c r="B98" s="24" t="s">
        <v>239</v>
      </c>
      <c r="C98" s="24" t="s">
        <v>203</v>
      </c>
      <c r="D98" s="24" t="s">
        <v>240</v>
      </c>
      <c r="E98" s="25"/>
      <c r="F98" s="25"/>
      <c r="G98" s="25"/>
      <c r="H98" s="25"/>
      <c r="I98" s="25"/>
      <c r="J98" s="25"/>
      <c r="K98" s="25"/>
      <c r="L98" s="25"/>
      <c r="M98" s="25">
        <v>50</v>
      </c>
      <c r="N98" s="25">
        <v>200</v>
      </c>
      <c r="O98" s="25">
        <v>300</v>
      </c>
      <c r="P98" s="25"/>
      <c r="Q98" s="22">
        <f t="shared" si="1"/>
        <v>550</v>
      </c>
    </row>
    <row r="99" spans="1:17" ht="15.75" customHeight="1">
      <c r="A99" s="19">
        <v>97</v>
      </c>
      <c r="B99" s="20" t="s">
        <v>243</v>
      </c>
      <c r="C99" s="20" t="s">
        <v>244</v>
      </c>
      <c r="D99" s="20" t="s">
        <v>20</v>
      </c>
      <c r="E99" s="21"/>
      <c r="F99" s="21"/>
      <c r="G99" s="21">
        <v>2</v>
      </c>
      <c r="H99" s="21"/>
      <c r="I99" s="21"/>
      <c r="J99" s="21"/>
      <c r="K99" s="21">
        <v>2</v>
      </c>
      <c r="L99" s="21"/>
      <c r="M99" s="21"/>
      <c r="N99" s="21"/>
      <c r="O99" s="21"/>
      <c r="P99" s="21"/>
      <c r="Q99" s="22">
        <f t="shared" si="1"/>
        <v>4</v>
      </c>
    </row>
    <row r="100" spans="1:17" ht="15.75" customHeight="1">
      <c r="A100" s="23">
        <v>98</v>
      </c>
      <c r="B100" s="24" t="s">
        <v>245</v>
      </c>
      <c r="C100" s="24" t="s">
        <v>244</v>
      </c>
      <c r="D100" s="24" t="s">
        <v>32</v>
      </c>
      <c r="E100" s="25"/>
      <c r="F100" s="25"/>
      <c r="G100" s="25">
        <v>2</v>
      </c>
      <c r="H100" s="25"/>
      <c r="I100" s="25"/>
      <c r="J100" s="25"/>
      <c r="K100" s="25"/>
      <c r="L100" s="25"/>
      <c r="M100" s="25"/>
      <c r="N100" s="25"/>
      <c r="O100" s="25"/>
      <c r="P100" s="25"/>
      <c r="Q100" s="22">
        <f t="shared" si="1"/>
        <v>2</v>
      </c>
    </row>
    <row r="101" spans="1:17" ht="15.75" customHeight="1">
      <c r="A101" s="19">
        <v>99</v>
      </c>
      <c r="B101" s="20" t="s">
        <v>2376</v>
      </c>
      <c r="C101" s="20" t="s">
        <v>244</v>
      </c>
      <c r="D101" s="20" t="s">
        <v>121</v>
      </c>
      <c r="E101" s="21"/>
      <c r="F101" s="21"/>
      <c r="G101" s="21"/>
      <c r="H101" s="21"/>
      <c r="I101" s="21">
        <v>2</v>
      </c>
      <c r="J101" s="21"/>
      <c r="K101" s="21"/>
      <c r="L101" s="21">
        <v>2</v>
      </c>
      <c r="M101" s="21"/>
      <c r="N101" s="21"/>
      <c r="O101" s="21"/>
      <c r="P101" s="21"/>
      <c r="Q101" s="22">
        <f t="shared" si="1"/>
        <v>4</v>
      </c>
    </row>
    <row r="102" spans="1:17" ht="15.75" customHeight="1">
      <c r="A102" s="23">
        <v>100</v>
      </c>
      <c r="B102" s="24" t="s">
        <v>249</v>
      </c>
      <c r="C102" s="24" t="s">
        <v>244</v>
      </c>
      <c r="D102" s="24" t="s">
        <v>24</v>
      </c>
      <c r="E102" s="25"/>
      <c r="F102" s="25"/>
      <c r="G102" s="25">
        <v>50</v>
      </c>
      <c r="H102" s="25">
        <v>10</v>
      </c>
      <c r="I102" s="25"/>
      <c r="J102" s="25"/>
      <c r="K102" s="25"/>
      <c r="L102" s="25">
        <v>30</v>
      </c>
      <c r="M102" s="25"/>
      <c r="N102" s="25"/>
      <c r="O102" s="25"/>
      <c r="P102" s="25"/>
      <c r="Q102" s="22">
        <f t="shared" si="1"/>
        <v>90</v>
      </c>
    </row>
    <row r="103" spans="1:17" ht="15.75" customHeight="1">
      <c r="A103" s="19">
        <v>101</v>
      </c>
      <c r="B103" s="20" t="s">
        <v>255</v>
      </c>
      <c r="C103" s="20" t="s">
        <v>253</v>
      </c>
      <c r="D103" s="20" t="s">
        <v>45</v>
      </c>
      <c r="E103" s="21"/>
      <c r="F103" s="21"/>
      <c r="G103" s="21"/>
      <c r="H103" s="21"/>
      <c r="I103" s="21"/>
      <c r="J103" s="21"/>
      <c r="K103" s="21"/>
      <c r="L103" s="21">
        <v>1</v>
      </c>
      <c r="M103" s="21"/>
      <c r="N103" s="21">
        <v>1</v>
      </c>
      <c r="O103" s="21">
        <v>4</v>
      </c>
      <c r="P103" s="21"/>
      <c r="Q103" s="22">
        <f t="shared" si="1"/>
        <v>6</v>
      </c>
    </row>
    <row r="104" spans="1:17" ht="15.75" customHeight="1">
      <c r="A104" s="23">
        <v>102</v>
      </c>
      <c r="B104" s="24" t="s">
        <v>258</v>
      </c>
      <c r="C104" s="24" t="s">
        <v>253</v>
      </c>
      <c r="D104" s="24" t="s">
        <v>259</v>
      </c>
      <c r="E104" s="25"/>
      <c r="F104" s="25"/>
      <c r="G104" s="25"/>
      <c r="H104" s="25">
        <v>200</v>
      </c>
      <c r="I104" s="25"/>
      <c r="J104" s="25"/>
      <c r="K104" s="25"/>
      <c r="L104" s="25"/>
      <c r="M104" s="25"/>
      <c r="N104" s="25">
        <v>2</v>
      </c>
      <c r="O104" s="25"/>
      <c r="P104" s="25"/>
      <c r="Q104" s="22">
        <f t="shared" si="1"/>
        <v>202</v>
      </c>
    </row>
    <row r="105" spans="1:17" ht="15.75" customHeight="1">
      <c r="A105" s="19">
        <v>103</v>
      </c>
      <c r="B105" s="20" t="s">
        <v>264</v>
      </c>
      <c r="C105" s="20" t="s">
        <v>263</v>
      </c>
      <c r="D105" s="20" t="s">
        <v>42</v>
      </c>
      <c r="E105" s="21"/>
      <c r="F105" s="21">
        <v>10</v>
      </c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2">
        <f t="shared" si="1"/>
        <v>10</v>
      </c>
    </row>
    <row r="106" spans="1:17" ht="15.75" customHeight="1">
      <c r="A106" s="23">
        <v>104</v>
      </c>
      <c r="B106" s="24" t="s">
        <v>266</v>
      </c>
      <c r="C106" s="24" t="s">
        <v>263</v>
      </c>
      <c r="D106" s="24" t="s">
        <v>45</v>
      </c>
      <c r="E106" s="25"/>
      <c r="F106" s="25"/>
      <c r="G106" s="25"/>
      <c r="H106" s="25"/>
      <c r="I106" s="25"/>
      <c r="J106" s="25">
        <v>6</v>
      </c>
      <c r="K106" s="25"/>
      <c r="L106" s="25"/>
      <c r="M106" s="25"/>
      <c r="N106" s="25"/>
      <c r="O106" s="25"/>
      <c r="P106" s="25"/>
      <c r="Q106" s="22">
        <f t="shared" si="1"/>
        <v>6</v>
      </c>
    </row>
    <row r="107" spans="1:17" ht="15.75" customHeight="1">
      <c r="A107" s="19">
        <v>105</v>
      </c>
      <c r="B107" s="20" t="s">
        <v>268</v>
      </c>
      <c r="C107" s="20" t="s">
        <v>263</v>
      </c>
      <c r="D107" s="20" t="s">
        <v>24</v>
      </c>
      <c r="E107" s="21"/>
      <c r="F107" s="21"/>
      <c r="G107" s="21">
        <v>32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2">
        <f t="shared" si="1"/>
        <v>32</v>
      </c>
    </row>
    <row r="108" spans="1:17" ht="15.75" customHeight="1">
      <c r="A108" s="23">
        <v>106</v>
      </c>
      <c r="B108" s="24" t="s">
        <v>274</v>
      </c>
      <c r="C108" s="24" t="s">
        <v>271</v>
      </c>
      <c r="D108" s="24" t="s">
        <v>121</v>
      </c>
      <c r="E108" s="25">
        <v>1</v>
      </c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2">
        <f t="shared" si="1"/>
        <v>1</v>
      </c>
    </row>
    <row r="109" spans="1:17" ht="15.75" customHeight="1">
      <c r="A109" s="19">
        <v>107</v>
      </c>
      <c r="B109" s="20" t="s">
        <v>276</v>
      </c>
      <c r="C109" s="20" t="s">
        <v>271</v>
      </c>
      <c r="D109" s="20" t="s">
        <v>24</v>
      </c>
      <c r="E109" s="21"/>
      <c r="F109" s="21"/>
      <c r="G109" s="21"/>
      <c r="H109" s="21"/>
      <c r="I109" s="21"/>
      <c r="J109" s="21"/>
      <c r="K109" s="21"/>
      <c r="L109" s="21">
        <v>4</v>
      </c>
      <c r="M109" s="21"/>
      <c r="N109" s="21"/>
      <c r="O109" s="21">
        <v>5</v>
      </c>
      <c r="P109" s="21"/>
      <c r="Q109" s="22">
        <f t="shared" si="1"/>
        <v>9</v>
      </c>
    </row>
    <row r="110" spans="1:17" ht="15.75" customHeight="1">
      <c r="A110" s="23">
        <v>108</v>
      </c>
      <c r="B110" s="24" t="s">
        <v>3004</v>
      </c>
      <c r="C110" s="24" t="s">
        <v>278</v>
      </c>
      <c r="D110" s="24" t="s">
        <v>87</v>
      </c>
      <c r="E110" s="25">
        <v>5</v>
      </c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2">
        <f t="shared" si="1"/>
        <v>5</v>
      </c>
    </row>
    <row r="111" spans="1:17" ht="15.75" customHeight="1">
      <c r="A111" s="19">
        <v>109</v>
      </c>
      <c r="B111" s="20" t="s">
        <v>282</v>
      </c>
      <c r="C111" s="20" t="s">
        <v>283</v>
      </c>
      <c r="D111" s="20" t="s">
        <v>284</v>
      </c>
      <c r="E111" s="21"/>
      <c r="F111" s="21"/>
      <c r="G111" s="21">
        <v>3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2">
        <f t="shared" si="1"/>
        <v>3</v>
      </c>
    </row>
    <row r="112" spans="1:17" ht="15.75" customHeight="1">
      <c r="A112" s="23">
        <v>110</v>
      </c>
      <c r="B112" s="24" t="s">
        <v>286</v>
      </c>
      <c r="C112" s="24" t="s">
        <v>283</v>
      </c>
      <c r="D112" s="24" t="s">
        <v>32</v>
      </c>
      <c r="E112" s="25"/>
      <c r="F112" s="25">
        <v>2</v>
      </c>
      <c r="G112" s="25"/>
      <c r="H112" s="25"/>
      <c r="I112" s="25"/>
      <c r="J112" s="25">
        <v>19</v>
      </c>
      <c r="K112" s="25"/>
      <c r="L112" s="25"/>
      <c r="M112" s="25"/>
      <c r="N112" s="25">
        <v>2</v>
      </c>
      <c r="O112" s="25"/>
      <c r="P112" s="25"/>
      <c r="Q112" s="22">
        <f t="shared" si="1"/>
        <v>23</v>
      </c>
    </row>
    <row r="113" spans="1:17" ht="15.75" customHeight="1">
      <c r="A113" s="19">
        <v>111</v>
      </c>
      <c r="B113" s="20" t="s">
        <v>291</v>
      </c>
      <c r="C113" s="20" t="s">
        <v>283</v>
      </c>
      <c r="D113" s="20" t="s">
        <v>24</v>
      </c>
      <c r="E113" s="21"/>
      <c r="F113" s="21">
        <v>2</v>
      </c>
      <c r="G113" s="21"/>
      <c r="H113" s="21">
        <v>13</v>
      </c>
      <c r="I113" s="21"/>
      <c r="J113" s="21"/>
      <c r="K113" s="21"/>
      <c r="L113" s="21"/>
      <c r="M113" s="21"/>
      <c r="N113" s="21"/>
      <c r="O113" s="21"/>
      <c r="P113" s="21"/>
      <c r="Q113" s="22">
        <f t="shared" si="1"/>
        <v>15</v>
      </c>
    </row>
    <row r="114" spans="1:17" ht="15.75" customHeight="1">
      <c r="A114" s="23">
        <v>112</v>
      </c>
      <c r="B114" s="24" t="s">
        <v>292</v>
      </c>
      <c r="C114" s="24" t="s">
        <v>283</v>
      </c>
      <c r="D114" s="24" t="s">
        <v>26</v>
      </c>
      <c r="E114" s="25"/>
      <c r="F114" s="25">
        <v>4</v>
      </c>
      <c r="G114" s="25"/>
      <c r="H114" s="25"/>
      <c r="I114" s="25"/>
      <c r="J114" s="25"/>
      <c r="K114" s="25"/>
      <c r="L114" s="25">
        <v>2</v>
      </c>
      <c r="M114" s="25"/>
      <c r="N114" s="25"/>
      <c r="O114" s="25"/>
      <c r="P114" s="25"/>
      <c r="Q114" s="22">
        <f t="shared" si="1"/>
        <v>6</v>
      </c>
    </row>
    <row r="115" spans="1:17" ht="15.75" customHeight="1">
      <c r="A115" s="19">
        <v>113</v>
      </c>
      <c r="B115" s="20" t="s">
        <v>296</v>
      </c>
      <c r="C115" s="20" t="s">
        <v>294</v>
      </c>
      <c r="D115" s="20" t="s">
        <v>121</v>
      </c>
      <c r="E115" s="21"/>
      <c r="F115" s="21"/>
      <c r="G115" s="21"/>
      <c r="H115" s="21"/>
      <c r="I115" s="21"/>
      <c r="J115" s="21"/>
      <c r="K115" s="21"/>
      <c r="L115" s="21"/>
      <c r="M115" s="21">
        <v>6</v>
      </c>
      <c r="N115" s="21"/>
      <c r="O115" s="21"/>
      <c r="P115" s="21"/>
      <c r="Q115" s="22">
        <f t="shared" si="1"/>
        <v>6</v>
      </c>
    </row>
    <row r="116" spans="1:17" ht="15.75" customHeight="1">
      <c r="A116" s="23">
        <v>114</v>
      </c>
      <c r="B116" s="24" t="s">
        <v>307</v>
      </c>
      <c r="C116" s="24" t="s">
        <v>169</v>
      </c>
      <c r="D116" s="24" t="s">
        <v>118</v>
      </c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>
        <v>50</v>
      </c>
      <c r="Q116" s="22">
        <f t="shared" si="1"/>
        <v>50</v>
      </c>
    </row>
    <row r="117" spans="1:17" ht="15.75" customHeight="1">
      <c r="A117" s="19">
        <v>115</v>
      </c>
      <c r="B117" s="20" t="s">
        <v>2396</v>
      </c>
      <c r="C117" s="20" t="s">
        <v>203</v>
      </c>
      <c r="D117" s="20" t="s">
        <v>2397</v>
      </c>
      <c r="E117" s="21"/>
      <c r="F117" s="21"/>
      <c r="G117" s="21"/>
      <c r="H117" s="21"/>
      <c r="I117" s="21"/>
      <c r="J117" s="21">
        <v>30</v>
      </c>
      <c r="K117" s="21"/>
      <c r="L117" s="21"/>
      <c r="M117" s="21"/>
      <c r="N117" s="21"/>
      <c r="O117" s="21"/>
      <c r="P117" s="21"/>
      <c r="Q117" s="22">
        <f t="shared" si="1"/>
        <v>30</v>
      </c>
    </row>
    <row r="118" spans="1:17" ht="15.75" customHeight="1">
      <c r="A118" s="23">
        <v>116</v>
      </c>
      <c r="B118" s="24" t="s">
        <v>326</v>
      </c>
      <c r="C118" s="24" t="s">
        <v>203</v>
      </c>
      <c r="D118" s="24" t="s">
        <v>327</v>
      </c>
      <c r="E118" s="25"/>
      <c r="F118" s="25"/>
      <c r="G118" s="25"/>
      <c r="H118" s="25">
        <v>37</v>
      </c>
      <c r="I118" s="25"/>
      <c r="J118" s="25"/>
      <c r="K118" s="25"/>
      <c r="L118" s="25"/>
      <c r="M118" s="25"/>
      <c r="N118" s="25"/>
      <c r="O118" s="25"/>
      <c r="P118" s="25">
        <v>30</v>
      </c>
      <c r="Q118" s="22">
        <f t="shared" si="1"/>
        <v>67</v>
      </c>
    </row>
    <row r="119" spans="1:17" ht="15.75" customHeight="1">
      <c r="A119" s="19">
        <v>117</v>
      </c>
      <c r="B119" s="20" t="s">
        <v>334</v>
      </c>
      <c r="C119" s="20" t="s">
        <v>203</v>
      </c>
      <c r="D119" s="20" t="s">
        <v>335</v>
      </c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>
        <v>10</v>
      </c>
      <c r="Q119" s="22">
        <f t="shared" si="1"/>
        <v>10</v>
      </c>
    </row>
    <row r="120" spans="1:17" ht="15.75" customHeight="1">
      <c r="A120" s="23">
        <v>118</v>
      </c>
      <c r="B120" s="24" t="s">
        <v>3005</v>
      </c>
      <c r="C120" s="24" t="s">
        <v>203</v>
      </c>
      <c r="D120" s="24" t="s">
        <v>3006</v>
      </c>
      <c r="E120" s="25"/>
      <c r="F120" s="25"/>
      <c r="G120" s="25"/>
      <c r="H120" s="25"/>
      <c r="I120" s="25"/>
      <c r="J120" s="25"/>
      <c r="K120" s="25"/>
      <c r="L120" s="25"/>
      <c r="M120" s="25">
        <v>30</v>
      </c>
      <c r="N120" s="25">
        <v>30</v>
      </c>
      <c r="O120" s="25"/>
      <c r="P120" s="25">
        <v>60</v>
      </c>
      <c r="Q120" s="22">
        <f t="shared" si="1"/>
        <v>120</v>
      </c>
    </row>
    <row r="121" spans="1:17" ht="15.75" customHeight="1">
      <c r="A121" s="19">
        <v>119</v>
      </c>
      <c r="B121" s="20" t="s">
        <v>3007</v>
      </c>
      <c r="C121" s="20" t="s">
        <v>203</v>
      </c>
      <c r="D121" s="20" t="s">
        <v>3008</v>
      </c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>
        <v>50</v>
      </c>
      <c r="Q121" s="22">
        <f t="shared" si="1"/>
        <v>50</v>
      </c>
    </row>
    <row r="122" spans="1:17" ht="15.75" customHeight="1">
      <c r="A122" s="23">
        <v>120</v>
      </c>
      <c r="B122" s="24" t="s">
        <v>348</v>
      </c>
      <c r="C122" s="24" t="s">
        <v>203</v>
      </c>
      <c r="D122" s="24" t="s">
        <v>349</v>
      </c>
      <c r="E122" s="25"/>
      <c r="F122" s="25"/>
      <c r="G122" s="25"/>
      <c r="H122" s="25">
        <v>320</v>
      </c>
      <c r="I122" s="25">
        <v>550</v>
      </c>
      <c r="J122" s="25">
        <v>100</v>
      </c>
      <c r="K122" s="25"/>
      <c r="L122" s="25"/>
      <c r="M122" s="25"/>
      <c r="N122" s="25"/>
      <c r="O122" s="25"/>
      <c r="P122" s="25"/>
      <c r="Q122" s="22">
        <f t="shared" si="1"/>
        <v>970</v>
      </c>
    </row>
    <row r="123" spans="1:17" ht="15.75" customHeight="1">
      <c r="A123" s="19">
        <v>121</v>
      </c>
      <c r="B123" s="20" t="s">
        <v>350</v>
      </c>
      <c r="C123" s="20" t="s">
        <v>351</v>
      </c>
      <c r="D123" s="20" t="s">
        <v>352</v>
      </c>
      <c r="E123" s="21"/>
      <c r="F123" s="21"/>
      <c r="G123" s="21">
        <v>2</v>
      </c>
      <c r="H123" s="21"/>
      <c r="I123" s="21"/>
      <c r="J123" s="21"/>
      <c r="K123" s="21"/>
      <c r="L123" s="21"/>
      <c r="M123" s="21"/>
      <c r="N123" s="21"/>
      <c r="O123" s="21"/>
      <c r="P123" s="21"/>
      <c r="Q123" s="22">
        <f t="shared" si="1"/>
        <v>2</v>
      </c>
    </row>
    <row r="124" spans="1:17" ht="15.75" customHeight="1">
      <c r="A124" s="23">
        <v>122</v>
      </c>
      <c r="B124" s="24" t="s">
        <v>353</v>
      </c>
      <c r="C124" s="24" t="s">
        <v>354</v>
      </c>
      <c r="D124" s="24" t="s">
        <v>355</v>
      </c>
      <c r="E124" s="25"/>
      <c r="F124" s="25"/>
      <c r="G124" s="25"/>
      <c r="H124" s="25"/>
      <c r="I124" s="25"/>
      <c r="J124" s="25"/>
      <c r="K124" s="25"/>
      <c r="L124" s="25"/>
      <c r="M124" s="25">
        <v>12</v>
      </c>
      <c r="N124" s="25"/>
      <c r="O124" s="25"/>
      <c r="P124" s="25"/>
      <c r="Q124" s="22">
        <f t="shared" si="1"/>
        <v>12</v>
      </c>
    </row>
    <row r="125" spans="1:17" ht="15.75" customHeight="1">
      <c r="A125" s="19">
        <v>123</v>
      </c>
      <c r="B125" s="20" t="s">
        <v>356</v>
      </c>
      <c r="C125" s="20" t="s">
        <v>357</v>
      </c>
      <c r="D125" s="20" t="s">
        <v>358</v>
      </c>
      <c r="E125" s="21"/>
      <c r="F125" s="21"/>
      <c r="G125" s="21"/>
      <c r="H125" s="21">
        <v>30</v>
      </c>
      <c r="I125" s="21"/>
      <c r="J125" s="21"/>
      <c r="K125" s="21"/>
      <c r="L125" s="21"/>
      <c r="M125" s="21"/>
      <c r="N125" s="21"/>
      <c r="O125" s="21"/>
      <c r="P125" s="21"/>
      <c r="Q125" s="22">
        <f t="shared" si="1"/>
        <v>30</v>
      </c>
    </row>
    <row r="126" spans="1:17" ht="15.75" customHeight="1">
      <c r="A126" s="23">
        <v>124</v>
      </c>
      <c r="B126" s="24" t="s">
        <v>2398</v>
      </c>
      <c r="C126" s="24" t="s">
        <v>203</v>
      </c>
      <c r="D126" s="24" t="s">
        <v>2399</v>
      </c>
      <c r="E126" s="25"/>
      <c r="F126" s="25"/>
      <c r="G126" s="25"/>
      <c r="H126" s="25"/>
      <c r="I126" s="25"/>
      <c r="J126" s="25"/>
      <c r="K126" s="25"/>
      <c r="L126" s="25"/>
      <c r="M126" s="25">
        <v>220</v>
      </c>
      <c r="N126" s="25">
        <v>20</v>
      </c>
      <c r="O126" s="25"/>
      <c r="P126" s="25">
        <v>20</v>
      </c>
      <c r="Q126" s="22">
        <f t="shared" si="1"/>
        <v>260</v>
      </c>
    </row>
    <row r="127" spans="1:17" ht="15.75" customHeight="1">
      <c r="A127" s="19">
        <v>125</v>
      </c>
      <c r="B127" s="20" t="s">
        <v>3009</v>
      </c>
      <c r="C127" s="20" t="s">
        <v>428</v>
      </c>
      <c r="D127" s="20" t="s">
        <v>32</v>
      </c>
      <c r="E127" s="21"/>
      <c r="F127" s="21"/>
      <c r="G127" s="21"/>
      <c r="H127" s="21"/>
      <c r="I127" s="21"/>
      <c r="J127" s="21"/>
      <c r="K127" s="21">
        <v>5</v>
      </c>
      <c r="L127" s="21"/>
      <c r="M127" s="21"/>
      <c r="N127" s="21"/>
      <c r="O127" s="21"/>
      <c r="P127" s="21"/>
      <c r="Q127" s="22">
        <f t="shared" si="1"/>
        <v>5</v>
      </c>
    </row>
    <row r="128" spans="1:17" ht="15.75" customHeight="1">
      <c r="A128" s="23">
        <v>126</v>
      </c>
      <c r="B128" s="24" t="s">
        <v>359</v>
      </c>
      <c r="C128" s="24" t="s">
        <v>203</v>
      </c>
      <c r="D128" s="24" t="s">
        <v>360</v>
      </c>
      <c r="E128" s="25">
        <v>20</v>
      </c>
      <c r="F128" s="25"/>
      <c r="G128" s="25"/>
      <c r="H128" s="25"/>
      <c r="I128" s="25"/>
      <c r="J128" s="25"/>
      <c r="K128" s="25"/>
      <c r="L128" s="25"/>
      <c r="M128" s="25">
        <v>20</v>
      </c>
      <c r="N128" s="25">
        <v>20</v>
      </c>
      <c r="O128" s="25"/>
      <c r="P128" s="25">
        <v>20</v>
      </c>
      <c r="Q128" s="22">
        <f t="shared" si="1"/>
        <v>80</v>
      </c>
    </row>
    <row r="129" spans="1:17" ht="15.75" customHeight="1">
      <c r="A129" s="19">
        <v>127</v>
      </c>
      <c r="B129" s="20" t="s">
        <v>363</v>
      </c>
      <c r="C129" s="20" t="s">
        <v>169</v>
      </c>
      <c r="D129" s="20" t="s">
        <v>53</v>
      </c>
      <c r="E129" s="21"/>
      <c r="F129" s="21"/>
      <c r="G129" s="21"/>
      <c r="H129" s="21">
        <v>2</v>
      </c>
      <c r="I129" s="21"/>
      <c r="J129" s="21"/>
      <c r="K129" s="21"/>
      <c r="L129" s="21"/>
      <c r="M129" s="21"/>
      <c r="N129" s="21"/>
      <c r="O129" s="21">
        <v>1</v>
      </c>
      <c r="P129" s="21"/>
      <c r="Q129" s="22">
        <f t="shared" si="1"/>
        <v>3</v>
      </c>
    </row>
    <row r="130" spans="1:17" ht="15.75" customHeight="1">
      <c r="A130" s="23">
        <v>128</v>
      </c>
      <c r="B130" s="24" t="s">
        <v>3010</v>
      </c>
      <c r="C130" s="24" t="s">
        <v>744</v>
      </c>
      <c r="D130" s="24" t="s">
        <v>3011</v>
      </c>
      <c r="E130" s="25"/>
      <c r="F130" s="25"/>
      <c r="G130" s="25">
        <v>2</v>
      </c>
      <c r="H130" s="25"/>
      <c r="I130" s="25"/>
      <c r="J130" s="25"/>
      <c r="K130" s="25"/>
      <c r="L130" s="25"/>
      <c r="M130" s="25"/>
      <c r="N130" s="25"/>
      <c r="O130" s="25"/>
      <c r="P130" s="25"/>
      <c r="Q130" s="22">
        <f t="shared" si="1"/>
        <v>2</v>
      </c>
    </row>
    <row r="131" spans="1:17" ht="15.75" customHeight="1">
      <c r="A131" s="19">
        <v>129</v>
      </c>
      <c r="B131" s="20" t="s">
        <v>377</v>
      </c>
      <c r="C131" s="20" t="s">
        <v>203</v>
      </c>
      <c r="D131" s="20" t="s">
        <v>378</v>
      </c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>
        <v>30</v>
      </c>
      <c r="Q131" s="22">
        <f t="shared" ref="Q131:Q194" si="2">SUM(E131:P131)</f>
        <v>30</v>
      </c>
    </row>
    <row r="132" spans="1:17" ht="15.75" customHeight="1">
      <c r="A132" s="23">
        <v>130</v>
      </c>
      <c r="B132" s="24" t="s">
        <v>379</v>
      </c>
      <c r="C132" s="24" t="s">
        <v>203</v>
      </c>
      <c r="D132" s="24" t="s">
        <v>380</v>
      </c>
      <c r="E132" s="25"/>
      <c r="F132" s="25"/>
      <c r="G132" s="25"/>
      <c r="H132" s="25"/>
      <c r="I132" s="25"/>
      <c r="J132" s="25"/>
      <c r="K132" s="25"/>
      <c r="L132" s="25"/>
      <c r="M132" s="25">
        <v>110</v>
      </c>
      <c r="N132" s="25">
        <v>20</v>
      </c>
      <c r="O132" s="25"/>
      <c r="P132" s="25">
        <v>70</v>
      </c>
      <c r="Q132" s="22">
        <f t="shared" si="2"/>
        <v>200</v>
      </c>
    </row>
    <row r="133" spans="1:17" ht="15.75" customHeight="1">
      <c r="A133" s="19">
        <v>131</v>
      </c>
      <c r="B133" s="20" t="s">
        <v>387</v>
      </c>
      <c r="C133" s="20" t="s">
        <v>169</v>
      </c>
      <c r="D133" s="20" t="s">
        <v>240</v>
      </c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>
        <v>10</v>
      </c>
      <c r="P133" s="21"/>
      <c r="Q133" s="22">
        <f t="shared" si="2"/>
        <v>10</v>
      </c>
    </row>
    <row r="134" spans="1:17" ht="15.75" customHeight="1">
      <c r="A134" s="23">
        <v>132</v>
      </c>
      <c r="B134" s="24" t="s">
        <v>2418</v>
      </c>
      <c r="C134" s="24" t="s">
        <v>1937</v>
      </c>
      <c r="D134" s="24" t="s">
        <v>42</v>
      </c>
      <c r="E134" s="25"/>
      <c r="F134" s="25"/>
      <c r="G134" s="25"/>
      <c r="H134" s="25"/>
      <c r="I134" s="25"/>
      <c r="J134" s="25"/>
      <c r="K134" s="25">
        <v>5</v>
      </c>
      <c r="L134" s="25"/>
      <c r="M134" s="25"/>
      <c r="N134" s="25"/>
      <c r="O134" s="25"/>
      <c r="P134" s="25"/>
      <c r="Q134" s="22">
        <f t="shared" si="2"/>
        <v>5</v>
      </c>
    </row>
    <row r="135" spans="1:17" ht="15.75" customHeight="1">
      <c r="A135" s="19">
        <v>133</v>
      </c>
      <c r="B135" s="20" t="s">
        <v>398</v>
      </c>
      <c r="C135" s="20" t="s">
        <v>169</v>
      </c>
      <c r="D135" s="20" t="s">
        <v>24</v>
      </c>
      <c r="E135" s="21"/>
      <c r="F135" s="21"/>
      <c r="G135" s="21"/>
      <c r="H135" s="21"/>
      <c r="I135" s="21"/>
      <c r="J135" s="21"/>
      <c r="K135" s="21"/>
      <c r="L135" s="21">
        <v>28</v>
      </c>
      <c r="M135" s="21"/>
      <c r="N135" s="21"/>
      <c r="O135" s="21"/>
      <c r="P135" s="21"/>
      <c r="Q135" s="22">
        <f t="shared" si="2"/>
        <v>28</v>
      </c>
    </row>
    <row r="136" spans="1:17" ht="15.75" customHeight="1">
      <c r="A136" s="23">
        <v>134</v>
      </c>
      <c r="B136" s="24" t="s">
        <v>3012</v>
      </c>
      <c r="C136" s="24" t="s">
        <v>428</v>
      </c>
      <c r="D136" s="24" t="s">
        <v>121</v>
      </c>
      <c r="E136" s="25"/>
      <c r="F136" s="25"/>
      <c r="G136" s="25"/>
      <c r="H136" s="25"/>
      <c r="I136" s="25"/>
      <c r="J136" s="25"/>
      <c r="K136" s="25">
        <v>5</v>
      </c>
      <c r="L136" s="25"/>
      <c r="M136" s="25"/>
      <c r="N136" s="25"/>
      <c r="O136" s="25"/>
      <c r="P136" s="25"/>
      <c r="Q136" s="22">
        <f t="shared" si="2"/>
        <v>5</v>
      </c>
    </row>
    <row r="137" spans="1:17" ht="15.75" customHeight="1">
      <c r="A137" s="19">
        <v>135</v>
      </c>
      <c r="B137" s="20" t="s">
        <v>471</v>
      </c>
      <c r="C137" s="20" t="s">
        <v>203</v>
      </c>
      <c r="D137" s="20" t="s">
        <v>472</v>
      </c>
      <c r="E137" s="21"/>
      <c r="F137" s="21"/>
      <c r="G137" s="21"/>
      <c r="H137" s="21"/>
      <c r="I137" s="21"/>
      <c r="J137" s="21"/>
      <c r="K137" s="21"/>
      <c r="L137" s="21"/>
      <c r="M137" s="21">
        <v>60</v>
      </c>
      <c r="N137" s="21"/>
      <c r="O137" s="21"/>
      <c r="P137" s="21">
        <v>100</v>
      </c>
      <c r="Q137" s="22">
        <f t="shared" si="2"/>
        <v>160</v>
      </c>
    </row>
    <row r="138" spans="1:17" ht="15.75" customHeight="1">
      <c r="A138" s="23">
        <v>136</v>
      </c>
      <c r="B138" s="24" t="s">
        <v>3013</v>
      </c>
      <c r="C138" s="24" t="s">
        <v>3014</v>
      </c>
      <c r="D138" s="24"/>
      <c r="E138" s="25"/>
      <c r="F138" s="25"/>
      <c r="G138" s="25"/>
      <c r="H138" s="25"/>
      <c r="I138" s="25">
        <v>28</v>
      </c>
      <c r="J138" s="25"/>
      <c r="K138" s="25"/>
      <c r="L138" s="25"/>
      <c r="M138" s="25"/>
      <c r="N138" s="25"/>
      <c r="O138" s="25"/>
      <c r="P138" s="25"/>
      <c r="Q138" s="22">
        <f t="shared" si="2"/>
        <v>28</v>
      </c>
    </row>
    <row r="139" spans="1:17" ht="15.75" customHeight="1">
      <c r="A139" s="19">
        <v>137</v>
      </c>
      <c r="B139" s="20" t="s">
        <v>3015</v>
      </c>
      <c r="C139" s="20" t="s">
        <v>3016</v>
      </c>
      <c r="D139" s="20" t="s">
        <v>3017</v>
      </c>
      <c r="E139" s="21"/>
      <c r="F139" s="21"/>
      <c r="G139" s="21"/>
      <c r="H139" s="21"/>
      <c r="I139" s="21">
        <v>2</v>
      </c>
      <c r="J139" s="21">
        <v>1</v>
      </c>
      <c r="K139" s="21"/>
      <c r="L139" s="21"/>
      <c r="M139" s="21"/>
      <c r="N139" s="21"/>
      <c r="O139" s="21"/>
      <c r="P139" s="21"/>
      <c r="Q139" s="22">
        <f t="shared" si="2"/>
        <v>3</v>
      </c>
    </row>
    <row r="140" spans="1:17" ht="15.75" customHeight="1">
      <c r="A140" s="23">
        <v>138</v>
      </c>
      <c r="B140" s="24" t="s">
        <v>3018</v>
      </c>
      <c r="C140" s="24" t="s">
        <v>3019</v>
      </c>
      <c r="D140" s="24"/>
      <c r="E140" s="25"/>
      <c r="F140" s="25"/>
      <c r="G140" s="25"/>
      <c r="H140" s="25"/>
      <c r="I140" s="25"/>
      <c r="J140" s="25">
        <v>6</v>
      </c>
      <c r="K140" s="25"/>
      <c r="L140" s="25"/>
      <c r="M140" s="25"/>
      <c r="N140" s="25"/>
      <c r="O140" s="25"/>
      <c r="P140" s="25"/>
      <c r="Q140" s="22">
        <f t="shared" si="2"/>
        <v>6</v>
      </c>
    </row>
    <row r="141" spans="1:17" ht="15.75" customHeight="1">
      <c r="A141" s="19">
        <v>139</v>
      </c>
      <c r="B141" s="20" t="s">
        <v>3020</v>
      </c>
      <c r="C141" s="20" t="s">
        <v>3021</v>
      </c>
      <c r="D141" s="20" t="s">
        <v>3022</v>
      </c>
      <c r="E141" s="21"/>
      <c r="F141" s="21"/>
      <c r="G141" s="21"/>
      <c r="H141" s="21"/>
      <c r="I141" s="21"/>
      <c r="J141" s="21"/>
      <c r="K141" s="21"/>
      <c r="L141" s="21">
        <v>15</v>
      </c>
      <c r="M141" s="21"/>
      <c r="N141" s="21"/>
      <c r="O141" s="21"/>
      <c r="P141" s="21"/>
      <c r="Q141" s="22">
        <f t="shared" si="2"/>
        <v>15</v>
      </c>
    </row>
    <row r="142" spans="1:17" ht="15.75" customHeight="1">
      <c r="A142" s="23">
        <v>140</v>
      </c>
      <c r="B142" s="24" t="s">
        <v>482</v>
      </c>
      <c r="C142" s="24" t="s">
        <v>483</v>
      </c>
      <c r="D142" s="24"/>
      <c r="E142" s="25">
        <v>23</v>
      </c>
      <c r="F142" s="25">
        <v>18</v>
      </c>
      <c r="G142" s="25"/>
      <c r="H142" s="25">
        <v>36</v>
      </c>
      <c r="I142" s="25">
        <v>6</v>
      </c>
      <c r="J142" s="25"/>
      <c r="K142" s="25">
        <v>2</v>
      </c>
      <c r="L142" s="25">
        <v>60</v>
      </c>
      <c r="M142" s="25">
        <v>11</v>
      </c>
      <c r="N142" s="25">
        <v>44</v>
      </c>
      <c r="O142" s="25"/>
      <c r="P142" s="25">
        <v>12</v>
      </c>
      <c r="Q142" s="22">
        <f t="shared" si="2"/>
        <v>212</v>
      </c>
    </row>
    <row r="143" spans="1:17" ht="15.75" customHeight="1">
      <c r="A143" s="19">
        <v>141</v>
      </c>
      <c r="B143" s="20" t="s">
        <v>484</v>
      </c>
      <c r="C143" s="20" t="s">
        <v>485</v>
      </c>
      <c r="D143" s="20"/>
      <c r="E143" s="21"/>
      <c r="F143" s="21"/>
      <c r="G143" s="21"/>
      <c r="H143" s="21">
        <v>20</v>
      </c>
      <c r="I143" s="21"/>
      <c r="J143" s="21"/>
      <c r="K143" s="21"/>
      <c r="L143" s="21">
        <v>20</v>
      </c>
      <c r="M143" s="21">
        <v>80</v>
      </c>
      <c r="N143" s="21"/>
      <c r="O143" s="21"/>
      <c r="P143" s="21"/>
      <c r="Q143" s="22">
        <f t="shared" si="2"/>
        <v>120</v>
      </c>
    </row>
    <row r="144" spans="1:17" ht="15.75" customHeight="1">
      <c r="A144" s="23">
        <v>142</v>
      </c>
      <c r="B144" s="24" t="s">
        <v>486</v>
      </c>
      <c r="C144" s="24" t="s">
        <v>487</v>
      </c>
      <c r="D144" s="24" t="s">
        <v>22</v>
      </c>
      <c r="E144" s="25">
        <v>50</v>
      </c>
      <c r="F144" s="25">
        <v>10</v>
      </c>
      <c r="G144" s="25"/>
      <c r="H144" s="25"/>
      <c r="I144" s="25"/>
      <c r="J144" s="25"/>
      <c r="K144" s="25"/>
      <c r="L144" s="25">
        <v>10</v>
      </c>
      <c r="M144" s="25"/>
      <c r="N144" s="25">
        <v>18</v>
      </c>
      <c r="O144" s="25">
        <v>1</v>
      </c>
      <c r="P144" s="25"/>
      <c r="Q144" s="22">
        <f t="shared" si="2"/>
        <v>89</v>
      </c>
    </row>
    <row r="145" spans="1:17" ht="15.75" customHeight="1">
      <c r="A145" s="19">
        <v>143</v>
      </c>
      <c r="B145" s="20" t="s">
        <v>488</v>
      </c>
      <c r="C145" s="20" t="s">
        <v>489</v>
      </c>
      <c r="D145" s="20"/>
      <c r="E145" s="21">
        <v>10</v>
      </c>
      <c r="F145" s="21"/>
      <c r="G145" s="21">
        <v>30</v>
      </c>
      <c r="H145" s="21">
        <v>4</v>
      </c>
      <c r="I145" s="21"/>
      <c r="J145" s="21"/>
      <c r="K145" s="21"/>
      <c r="L145" s="21"/>
      <c r="M145" s="21"/>
      <c r="N145" s="21"/>
      <c r="O145" s="21"/>
      <c r="P145" s="21"/>
      <c r="Q145" s="22">
        <f t="shared" si="2"/>
        <v>44</v>
      </c>
    </row>
    <row r="146" spans="1:17" ht="15.75" customHeight="1">
      <c r="A146" s="23">
        <v>144</v>
      </c>
      <c r="B146" s="24" t="s">
        <v>490</v>
      </c>
      <c r="C146" s="24" t="s">
        <v>491</v>
      </c>
      <c r="D146" s="24"/>
      <c r="E146" s="25"/>
      <c r="F146" s="25">
        <v>10</v>
      </c>
      <c r="G146" s="25"/>
      <c r="H146" s="25"/>
      <c r="I146" s="25">
        <v>30</v>
      </c>
      <c r="J146" s="25"/>
      <c r="K146" s="25"/>
      <c r="L146" s="25"/>
      <c r="M146" s="25"/>
      <c r="N146" s="25"/>
      <c r="O146" s="25">
        <v>4</v>
      </c>
      <c r="P146" s="25"/>
      <c r="Q146" s="22">
        <f t="shared" si="2"/>
        <v>44</v>
      </c>
    </row>
    <row r="147" spans="1:17" ht="15.75" customHeight="1">
      <c r="A147" s="19">
        <v>145</v>
      </c>
      <c r="B147" s="20" t="s">
        <v>492</v>
      </c>
      <c r="C147" s="20" t="s">
        <v>493</v>
      </c>
      <c r="D147" s="20"/>
      <c r="E147" s="21"/>
      <c r="F147" s="21"/>
      <c r="G147" s="21"/>
      <c r="H147" s="21">
        <v>8</v>
      </c>
      <c r="I147" s="21"/>
      <c r="J147" s="21"/>
      <c r="K147" s="21"/>
      <c r="L147" s="21">
        <v>10</v>
      </c>
      <c r="M147" s="21"/>
      <c r="N147" s="21"/>
      <c r="O147" s="21"/>
      <c r="P147" s="21"/>
      <c r="Q147" s="22">
        <f t="shared" si="2"/>
        <v>18</v>
      </c>
    </row>
    <row r="148" spans="1:17" ht="15.75" customHeight="1">
      <c r="A148" s="23">
        <v>146</v>
      </c>
      <c r="B148" s="24" t="s">
        <v>494</v>
      </c>
      <c r="C148" s="24" t="s">
        <v>495</v>
      </c>
      <c r="D148" s="24"/>
      <c r="E148" s="25"/>
      <c r="F148" s="25">
        <v>10</v>
      </c>
      <c r="G148" s="25"/>
      <c r="H148" s="25">
        <v>2</v>
      </c>
      <c r="I148" s="25"/>
      <c r="J148" s="25"/>
      <c r="K148" s="25"/>
      <c r="L148" s="25">
        <v>60</v>
      </c>
      <c r="M148" s="25">
        <v>20</v>
      </c>
      <c r="N148" s="25"/>
      <c r="O148" s="25"/>
      <c r="P148" s="25"/>
      <c r="Q148" s="22">
        <f t="shared" si="2"/>
        <v>92</v>
      </c>
    </row>
    <row r="149" spans="1:17" ht="15.75" customHeight="1">
      <c r="A149" s="19">
        <v>147</v>
      </c>
      <c r="B149" s="20" t="s">
        <v>496</v>
      </c>
      <c r="C149" s="20" t="s">
        <v>497</v>
      </c>
      <c r="D149" s="20"/>
      <c r="E149" s="21">
        <v>48</v>
      </c>
      <c r="F149" s="21">
        <v>146</v>
      </c>
      <c r="G149" s="21"/>
      <c r="H149" s="21">
        <v>24</v>
      </c>
      <c r="I149" s="21">
        <v>4</v>
      </c>
      <c r="J149" s="21"/>
      <c r="K149" s="21">
        <v>50</v>
      </c>
      <c r="L149" s="21"/>
      <c r="M149" s="21">
        <v>7</v>
      </c>
      <c r="N149" s="21"/>
      <c r="O149" s="21">
        <v>58</v>
      </c>
      <c r="P149" s="21"/>
      <c r="Q149" s="22">
        <f t="shared" si="2"/>
        <v>337</v>
      </c>
    </row>
    <row r="150" spans="1:17" ht="15.75" customHeight="1">
      <c r="A150" s="23">
        <v>148</v>
      </c>
      <c r="B150" s="24" t="s">
        <v>2446</v>
      </c>
      <c r="C150" s="24" t="s">
        <v>2447</v>
      </c>
      <c r="D150" s="24"/>
      <c r="E150" s="25"/>
      <c r="F150" s="25"/>
      <c r="G150" s="25"/>
      <c r="H150" s="25"/>
      <c r="I150" s="25"/>
      <c r="J150" s="25"/>
      <c r="K150" s="25">
        <v>10</v>
      </c>
      <c r="L150" s="25"/>
      <c r="M150" s="25"/>
      <c r="N150" s="25"/>
      <c r="O150" s="25"/>
      <c r="P150" s="25"/>
      <c r="Q150" s="22">
        <f t="shared" si="2"/>
        <v>10</v>
      </c>
    </row>
    <row r="151" spans="1:17" ht="15.75" customHeight="1">
      <c r="A151" s="19">
        <v>149</v>
      </c>
      <c r="B151" s="20" t="s">
        <v>500</v>
      </c>
      <c r="C151" s="20" t="s">
        <v>501</v>
      </c>
      <c r="D151" s="20" t="s">
        <v>502</v>
      </c>
      <c r="E151" s="21"/>
      <c r="F151" s="21">
        <v>2</v>
      </c>
      <c r="G151" s="21">
        <v>30</v>
      </c>
      <c r="H151" s="21"/>
      <c r="I151" s="21">
        <v>102</v>
      </c>
      <c r="J151" s="21"/>
      <c r="K151" s="21"/>
      <c r="L151" s="21">
        <v>50</v>
      </c>
      <c r="M151" s="21"/>
      <c r="N151" s="21">
        <v>50</v>
      </c>
      <c r="O151" s="21">
        <v>30</v>
      </c>
      <c r="P151" s="21">
        <v>57</v>
      </c>
      <c r="Q151" s="22">
        <f t="shared" si="2"/>
        <v>321</v>
      </c>
    </row>
    <row r="152" spans="1:17" ht="15.75" customHeight="1">
      <c r="A152" s="23">
        <v>150</v>
      </c>
      <c r="B152" s="24" t="s">
        <v>506</v>
      </c>
      <c r="C152" s="24" t="s">
        <v>507</v>
      </c>
      <c r="D152" s="24" t="s">
        <v>508</v>
      </c>
      <c r="E152" s="25"/>
      <c r="F152" s="25"/>
      <c r="G152" s="25">
        <v>30</v>
      </c>
      <c r="H152" s="25"/>
      <c r="I152" s="25"/>
      <c r="J152" s="25"/>
      <c r="K152" s="25"/>
      <c r="L152" s="25">
        <v>25</v>
      </c>
      <c r="M152" s="25"/>
      <c r="N152" s="25">
        <v>20</v>
      </c>
      <c r="O152" s="25"/>
      <c r="P152" s="25">
        <v>10</v>
      </c>
      <c r="Q152" s="22">
        <f t="shared" si="2"/>
        <v>85</v>
      </c>
    </row>
    <row r="153" spans="1:17" ht="15.75" customHeight="1">
      <c r="A153" s="19">
        <v>151</v>
      </c>
      <c r="B153" s="20" t="s">
        <v>512</v>
      </c>
      <c r="C153" s="20" t="s">
        <v>513</v>
      </c>
      <c r="D153" s="20" t="s">
        <v>514</v>
      </c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>
        <v>10</v>
      </c>
      <c r="Q153" s="22">
        <f t="shared" si="2"/>
        <v>10</v>
      </c>
    </row>
    <row r="154" spans="1:17" ht="15.75" customHeight="1">
      <c r="A154" s="23">
        <v>152</v>
      </c>
      <c r="B154" s="24" t="s">
        <v>515</v>
      </c>
      <c r="C154" s="24" t="s">
        <v>516</v>
      </c>
      <c r="D154" s="24" t="s">
        <v>517</v>
      </c>
      <c r="E154" s="25"/>
      <c r="F154" s="25"/>
      <c r="G154" s="25">
        <v>2</v>
      </c>
      <c r="H154" s="25"/>
      <c r="I154" s="25">
        <v>12</v>
      </c>
      <c r="J154" s="25"/>
      <c r="K154" s="25"/>
      <c r="L154" s="25">
        <v>10</v>
      </c>
      <c r="M154" s="25">
        <v>74</v>
      </c>
      <c r="N154" s="25"/>
      <c r="O154" s="25"/>
      <c r="P154" s="25">
        <v>10</v>
      </c>
      <c r="Q154" s="22">
        <f t="shared" si="2"/>
        <v>108</v>
      </c>
    </row>
    <row r="155" spans="1:17" ht="15.75" customHeight="1">
      <c r="A155" s="19">
        <v>153</v>
      </c>
      <c r="B155" s="20" t="s">
        <v>518</v>
      </c>
      <c r="C155" s="20" t="s">
        <v>519</v>
      </c>
      <c r="D155" s="20" t="s">
        <v>520</v>
      </c>
      <c r="E155" s="21">
        <v>4</v>
      </c>
      <c r="F155" s="21"/>
      <c r="G155" s="21"/>
      <c r="H155" s="21"/>
      <c r="I155" s="21">
        <v>20</v>
      </c>
      <c r="J155" s="21"/>
      <c r="K155" s="21"/>
      <c r="L155" s="21">
        <v>20</v>
      </c>
      <c r="M155" s="21">
        <v>20</v>
      </c>
      <c r="N155" s="21">
        <v>20</v>
      </c>
      <c r="O155" s="21"/>
      <c r="P155" s="21"/>
      <c r="Q155" s="22">
        <f t="shared" si="2"/>
        <v>84</v>
      </c>
    </row>
    <row r="156" spans="1:17" ht="15.75" customHeight="1">
      <c r="A156" s="23">
        <v>154</v>
      </c>
      <c r="B156" s="24" t="s">
        <v>523</v>
      </c>
      <c r="C156" s="24" t="s">
        <v>524</v>
      </c>
      <c r="D156" s="24" t="s">
        <v>525</v>
      </c>
      <c r="E156" s="25"/>
      <c r="F156" s="25"/>
      <c r="G156" s="25">
        <v>38</v>
      </c>
      <c r="H156" s="25"/>
      <c r="I156" s="25"/>
      <c r="J156" s="25"/>
      <c r="K156" s="25"/>
      <c r="L156" s="25"/>
      <c r="M156" s="25"/>
      <c r="N156" s="25"/>
      <c r="O156" s="25"/>
      <c r="P156" s="25"/>
      <c r="Q156" s="22">
        <f t="shared" si="2"/>
        <v>38</v>
      </c>
    </row>
    <row r="157" spans="1:17" ht="15.75" customHeight="1">
      <c r="A157" s="19">
        <v>155</v>
      </c>
      <c r="B157" s="20" t="s">
        <v>526</v>
      </c>
      <c r="C157" s="20" t="s">
        <v>527</v>
      </c>
      <c r="D157" s="20" t="s">
        <v>528</v>
      </c>
      <c r="E157" s="21"/>
      <c r="F157" s="21"/>
      <c r="G157" s="21"/>
      <c r="H157" s="21"/>
      <c r="I157" s="21">
        <v>10</v>
      </c>
      <c r="J157" s="21"/>
      <c r="K157" s="21"/>
      <c r="L157" s="21"/>
      <c r="M157" s="21"/>
      <c r="N157" s="21">
        <v>20</v>
      </c>
      <c r="O157" s="21"/>
      <c r="P157" s="21">
        <v>5</v>
      </c>
      <c r="Q157" s="22">
        <f t="shared" si="2"/>
        <v>35</v>
      </c>
    </row>
    <row r="158" spans="1:17" ht="15.75" customHeight="1">
      <c r="A158" s="23">
        <v>156</v>
      </c>
      <c r="B158" s="24" t="s">
        <v>529</v>
      </c>
      <c r="C158" s="24" t="s">
        <v>530</v>
      </c>
      <c r="D158" s="24" t="s">
        <v>531</v>
      </c>
      <c r="E158" s="25"/>
      <c r="F158" s="25"/>
      <c r="G158" s="25"/>
      <c r="H158" s="25"/>
      <c r="I158" s="25">
        <v>4</v>
      </c>
      <c r="J158" s="25"/>
      <c r="K158" s="25"/>
      <c r="L158" s="25"/>
      <c r="M158" s="25"/>
      <c r="N158" s="25"/>
      <c r="O158" s="25"/>
      <c r="P158" s="25"/>
      <c r="Q158" s="22">
        <f t="shared" si="2"/>
        <v>4</v>
      </c>
    </row>
    <row r="159" spans="1:17" ht="15.75" customHeight="1">
      <c r="A159" s="19">
        <v>157</v>
      </c>
      <c r="B159" s="20" t="s">
        <v>532</v>
      </c>
      <c r="C159" s="20" t="s">
        <v>533</v>
      </c>
      <c r="D159" s="20" t="s">
        <v>534</v>
      </c>
      <c r="E159" s="21"/>
      <c r="F159" s="21"/>
      <c r="G159" s="21">
        <v>1</v>
      </c>
      <c r="H159" s="21"/>
      <c r="I159" s="21"/>
      <c r="J159" s="21">
        <v>30</v>
      </c>
      <c r="K159" s="21"/>
      <c r="L159" s="21"/>
      <c r="M159" s="21">
        <v>30</v>
      </c>
      <c r="N159" s="21">
        <v>42</v>
      </c>
      <c r="O159" s="21"/>
      <c r="P159" s="21">
        <v>34</v>
      </c>
      <c r="Q159" s="22">
        <f t="shared" si="2"/>
        <v>137</v>
      </c>
    </row>
    <row r="160" spans="1:17" ht="15.75" customHeight="1">
      <c r="A160" s="23">
        <v>158</v>
      </c>
      <c r="B160" s="24" t="s">
        <v>538</v>
      </c>
      <c r="C160" s="24" t="s">
        <v>539</v>
      </c>
      <c r="D160" s="24" t="s">
        <v>540</v>
      </c>
      <c r="E160" s="25"/>
      <c r="F160" s="25"/>
      <c r="G160" s="25">
        <v>80</v>
      </c>
      <c r="H160" s="25"/>
      <c r="I160" s="25"/>
      <c r="J160" s="25">
        <v>30</v>
      </c>
      <c r="K160" s="25"/>
      <c r="L160" s="25">
        <v>30</v>
      </c>
      <c r="M160" s="25"/>
      <c r="N160" s="25"/>
      <c r="O160" s="25"/>
      <c r="P160" s="25"/>
      <c r="Q160" s="22">
        <f t="shared" si="2"/>
        <v>140</v>
      </c>
    </row>
    <row r="161" spans="1:17" ht="15.75" customHeight="1">
      <c r="A161" s="19">
        <v>159</v>
      </c>
      <c r="B161" s="20" t="s">
        <v>543</v>
      </c>
      <c r="C161" s="20" t="s">
        <v>544</v>
      </c>
      <c r="D161" s="20" t="s">
        <v>540</v>
      </c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>
        <v>30</v>
      </c>
      <c r="Q161" s="22">
        <f t="shared" si="2"/>
        <v>30</v>
      </c>
    </row>
    <row r="162" spans="1:17" ht="15.75" customHeight="1">
      <c r="A162" s="23">
        <v>160</v>
      </c>
      <c r="B162" s="24" t="s">
        <v>545</v>
      </c>
      <c r="C162" s="24" t="s">
        <v>546</v>
      </c>
      <c r="D162" s="24"/>
      <c r="E162" s="25"/>
      <c r="F162" s="25"/>
      <c r="G162" s="25"/>
      <c r="H162" s="25"/>
      <c r="I162" s="25">
        <v>2</v>
      </c>
      <c r="J162" s="25"/>
      <c r="K162" s="25"/>
      <c r="L162" s="25"/>
      <c r="M162" s="25"/>
      <c r="N162" s="25"/>
      <c r="O162" s="25"/>
      <c r="P162" s="25"/>
      <c r="Q162" s="22">
        <f t="shared" si="2"/>
        <v>2</v>
      </c>
    </row>
    <row r="163" spans="1:17" ht="15.75" customHeight="1">
      <c r="A163" s="19">
        <v>161</v>
      </c>
      <c r="B163" s="20" t="s">
        <v>547</v>
      </c>
      <c r="C163" s="20" t="s">
        <v>548</v>
      </c>
      <c r="D163" s="20" t="s">
        <v>549</v>
      </c>
      <c r="E163" s="21"/>
      <c r="F163" s="21"/>
      <c r="G163" s="21">
        <v>30</v>
      </c>
      <c r="H163" s="21"/>
      <c r="I163" s="21">
        <v>62</v>
      </c>
      <c r="J163" s="21"/>
      <c r="K163" s="21"/>
      <c r="L163" s="21">
        <v>10</v>
      </c>
      <c r="M163" s="21">
        <v>56</v>
      </c>
      <c r="N163" s="21">
        <v>38</v>
      </c>
      <c r="O163" s="21">
        <v>20</v>
      </c>
      <c r="P163" s="21">
        <v>71</v>
      </c>
      <c r="Q163" s="22">
        <f t="shared" si="2"/>
        <v>287</v>
      </c>
    </row>
    <row r="164" spans="1:17" ht="15.75" customHeight="1">
      <c r="A164" s="23">
        <v>162</v>
      </c>
      <c r="B164" s="24" t="s">
        <v>553</v>
      </c>
      <c r="C164" s="24" t="s">
        <v>554</v>
      </c>
      <c r="D164" s="24"/>
      <c r="E164" s="25"/>
      <c r="F164" s="25"/>
      <c r="G164" s="25"/>
      <c r="H164" s="25"/>
      <c r="I164" s="25">
        <v>12</v>
      </c>
      <c r="J164" s="25"/>
      <c r="K164" s="25"/>
      <c r="L164" s="25"/>
      <c r="M164" s="25"/>
      <c r="N164" s="25">
        <v>10</v>
      </c>
      <c r="O164" s="25"/>
      <c r="P164" s="25"/>
      <c r="Q164" s="22">
        <f t="shared" si="2"/>
        <v>22</v>
      </c>
    </row>
    <row r="165" spans="1:17" ht="15.75" customHeight="1">
      <c r="A165" s="19">
        <v>163</v>
      </c>
      <c r="B165" s="20" t="s">
        <v>2455</v>
      </c>
      <c r="C165" s="20" t="s">
        <v>2456</v>
      </c>
      <c r="D165" s="20"/>
      <c r="E165" s="21"/>
      <c r="F165" s="21"/>
      <c r="G165" s="21"/>
      <c r="H165" s="21"/>
      <c r="I165" s="21">
        <v>4</v>
      </c>
      <c r="J165" s="21"/>
      <c r="K165" s="21"/>
      <c r="L165" s="21"/>
      <c r="M165" s="21"/>
      <c r="N165" s="21"/>
      <c r="O165" s="21"/>
      <c r="P165" s="21"/>
      <c r="Q165" s="22">
        <f t="shared" si="2"/>
        <v>4</v>
      </c>
    </row>
    <row r="166" spans="1:17" ht="15.75" customHeight="1">
      <c r="A166" s="23">
        <v>164</v>
      </c>
      <c r="B166" s="24" t="s">
        <v>3023</v>
      </c>
      <c r="C166" s="24" t="s">
        <v>3024</v>
      </c>
      <c r="D166" s="24"/>
      <c r="E166" s="25"/>
      <c r="F166" s="25"/>
      <c r="G166" s="25"/>
      <c r="H166" s="25"/>
      <c r="I166" s="25">
        <v>2</v>
      </c>
      <c r="J166" s="25"/>
      <c r="K166" s="25"/>
      <c r="L166" s="25"/>
      <c r="M166" s="25"/>
      <c r="N166" s="25"/>
      <c r="O166" s="25"/>
      <c r="P166" s="25"/>
      <c r="Q166" s="22">
        <f t="shared" si="2"/>
        <v>2</v>
      </c>
    </row>
    <row r="167" spans="1:17" ht="15.75" customHeight="1">
      <c r="A167" s="19">
        <v>165</v>
      </c>
      <c r="B167" s="20" t="s">
        <v>557</v>
      </c>
      <c r="C167" s="20" t="s">
        <v>558</v>
      </c>
      <c r="D167" s="20" t="s">
        <v>559</v>
      </c>
      <c r="E167" s="21"/>
      <c r="F167" s="21">
        <v>30</v>
      </c>
      <c r="G167" s="21">
        <v>105</v>
      </c>
      <c r="H167" s="21">
        <v>235</v>
      </c>
      <c r="I167" s="21">
        <v>335</v>
      </c>
      <c r="J167" s="21">
        <v>223</v>
      </c>
      <c r="K167" s="21">
        <v>20</v>
      </c>
      <c r="L167" s="21">
        <v>224</v>
      </c>
      <c r="M167" s="21">
        <v>300</v>
      </c>
      <c r="N167" s="21">
        <v>60</v>
      </c>
      <c r="O167" s="21">
        <v>160</v>
      </c>
      <c r="P167" s="21">
        <v>930</v>
      </c>
      <c r="Q167" s="22">
        <f t="shared" si="2"/>
        <v>2622</v>
      </c>
    </row>
    <row r="168" spans="1:17" ht="15.75" customHeight="1">
      <c r="A168" s="23">
        <v>166</v>
      </c>
      <c r="B168" s="24" t="s">
        <v>560</v>
      </c>
      <c r="C168" s="24" t="s">
        <v>561</v>
      </c>
      <c r="D168" s="24" t="s">
        <v>562</v>
      </c>
      <c r="E168" s="25"/>
      <c r="F168" s="25"/>
      <c r="G168" s="25"/>
      <c r="H168" s="25"/>
      <c r="I168" s="25"/>
      <c r="J168" s="25">
        <v>5</v>
      </c>
      <c r="K168" s="25"/>
      <c r="L168" s="25">
        <v>14</v>
      </c>
      <c r="M168" s="25"/>
      <c r="N168" s="25"/>
      <c r="O168" s="25"/>
      <c r="P168" s="25">
        <v>80</v>
      </c>
      <c r="Q168" s="22">
        <f t="shared" si="2"/>
        <v>99</v>
      </c>
    </row>
    <row r="169" spans="1:17" ht="15.75" customHeight="1">
      <c r="A169" s="19">
        <v>167</v>
      </c>
      <c r="B169" s="20" t="s">
        <v>563</v>
      </c>
      <c r="C169" s="20" t="s">
        <v>564</v>
      </c>
      <c r="D169" s="20"/>
      <c r="E169" s="21"/>
      <c r="F169" s="21"/>
      <c r="G169" s="21"/>
      <c r="H169" s="21"/>
      <c r="I169" s="21"/>
      <c r="J169" s="21"/>
      <c r="K169" s="21"/>
      <c r="L169" s="21"/>
      <c r="M169" s="21">
        <v>50</v>
      </c>
      <c r="N169" s="21">
        <v>16</v>
      </c>
      <c r="O169" s="21"/>
      <c r="P169" s="21"/>
      <c r="Q169" s="22">
        <f t="shared" si="2"/>
        <v>66</v>
      </c>
    </row>
    <row r="170" spans="1:17" ht="15.75" customHeight="1">
      <c r="A170" s="23">
        <v>168</v>
      </c>
      <c r="B170" s="24" t="s">
        <v>565</v>
      </c>
      <c r="C170" s="24" t="s">
        <v>566</v>
      </c>
      <c r="D170" s="24"/>
      <c r="E170" s="25"/>
      <c r="F170" s="25"/>
      <c r="G170" s="25"/>
      <c r="H170" s="25"/>
      <c r="I170" s="25"/>
      <c r="J170" s="25"/>
      <c r="K170" s="25"/>
      <c r="L170" s="25"/>
      <c r="M170" s="25">
        <v>50</v>
      </c>
      <c r="N170" s="25"/>
      <c r="O170" s="25"/>
      <c r="P170" s="25"/>
      <c r="Q170" s="22">
        <f t="shared" si="2"/>
        <v>50</v>
      </c>
    </row>
    <row r="171" spans="1:17" ht="15.75" customHeight="1">
      <c r="A171" s="19">
        <v>169</v>
      </c>
      <c r="B171" s="20" t="s">
        <v>567</v>
      </c>
      <c r="C171" s="20" t="s">
        <v>568</v>
      </c>
      <c r="D171" s="20" t="s">
        <v>569</v>
      </c>
      <c r="E171" s="21"/>
      <c r="F171" s="21">
        <v>100</v>
      </c>
      <c r="G171" s="21">
        <v>164</v>
      </c>
      <c r="H171" s="21">
        <v>137</v>
      </c>
      <c r="I171" s="21">
        <v>450</v>
      </c>
      <c r="J171" s="21">
        <v>106</v>
      </c>
      <c r="K171" s="21">
        <v>31</v>
      </c>
      <c r="L171" s="21">
        <v>412</v>
      </c>
      <c r="M171" s="21">
        <v>130</v>
      </c>
      <c r="N171" s="21">
        <v>30</v>
      </c>
      <c r="O171" s="21">
        <v>560</v>
      </c>
      <c r="P171" s="21">
        <v>687</v>
      </c>
      <c r="Q171" s="22">
        <f t="shared" si="2"/>
        <v>2807</v>
      </c>
    </row>
    <row r="172" spans="1:17" ht="15.75" customHeight="1">
      <c r="A172" s="23">
        <v>170</v>
      </c>
      <c r="B172" s="24" t="s">
        <v>3025</v>
      </c>
      <c r="C172" s="24" t="s">
        <v>568</v>
      </c>
      <c r="D172" s="24" t="s">
        <v>569</v>
      </c>
      <c r="E172" s="25"/>
      <c r="F172" s="25"/>
      <c r="G172" s="25">
        <v>30</v>
      </c>
      <c r="H172" s="25"/>
      <c r="I172" s="25"/>
      <c r="J172" s="25"/>
      <c r="K172" s="25"/>
      <c r="L172" s="25"/>
      <c r="M172" s="25"/>
      <c r="N172" s="25"/>
      <c r="O172" s="25"/>
      <c r="P172" s="25"/>
      <c r="Q172" s="22">
        <f t="shared" si="2"/>
        <v>30</v>
      </c>
    </row>
    <row r="173" spans="1:17" ht="15.75" customHeight="1">
      <c r="A173" s="19">
        <v>171</v>
      </c>
      <c r="B173" s="20" t="s">
        <v>570</v>
      </c>
      <c r="C173" s="20" t="s">
        <v>571</v>
      </c>
      <c r="D173" s="20" t="s">
        <v>572</v>
      </c>
      <c r="E173" s="21"/>
      <c r="F173" s="21">
        <v>1</v>
      </c>
      <c r="G173" s="21"/>
      <c r="H173" s="21"/>
      <c r="I173" s="21"/>
      <c r="J173" s="21"/>
      <c r="K173" s="21"/>
      <c r="L173" s="21">
        <v>60</v>
      </c>
      <c r="M173" s="21">
        <v>117</v>
      </c>
      <c r="N173" s="21"/>
      <c r="O173" s="21">
        <v>52</v>
      </c>
      <c r="P173" s="21">
        <v>564</v>
      </c>
      <c r="Q173" s="22">
        <f t="shared" si="2"/>
        <v>794</v>
      </c>
    </row>
    <row r="174" spans="1:17" ht="15.75" customHeight="1">
      <c r="A174" s="23">
        <v>172</v>
      </c>
      <c r="B174" s="24" t="s">
        <v>573</v>
      </c>
      <c r="C174" s="24" t="s">
        <v>574</v>
      </c>
      <c r="D174" s="24" t="s">
        <v>575</v>
      </c>
      <c r="E174" s="25"/>
      <c r="F174" s="25">
        <v>40</v>
      </c>
      <c r="G174" s="25">
        <v>31</v>
      </c>
      <c r="H174" s="25"/>
      <c r="I174" s="25"/>
      <c r="J174" s="25">
        <v>1</v>
      </c>
      <c r="K174" s="25">
        <v>12</v>
      </c>
      <c r="L174" s="25"/>
      <c r="M174" s="25">
        <v>2</v>
      </c>
      <c r="N174" s="25"/>
      <c r="O174" s="25"/>
      <c r="P174" s="25">
        <v>54</v>
      </c>
      <c r="Q174" s="22">
        <f t="shared" si="2"/>
        <v>140</v>
      </c>
    </row>
    <row r="175" spans="1:17" ht="15.75" customHeight="1">
      <c r="A175" s="19">
        <v>173</v>
      </c>
      <c r="B175" s="20" t="s">
        <v>2461</v>
      </c>
      <c r="C175" s="20" t="s">
        <v>2462</v>
      </c>
      <c r="D175" s="20" t="s">
        <v>2463</v>
      </c>
      <c r="E175" s="21"/>
      <c r="F175" s="21">
        <v>20</v>
      </c>
      <c r="G175" s="21"/>
      <c r="H175" s="21"/>
      <c r="I175" s="21"/>
      <c r="J175" s="21"/>
      <c r="K175" s="21"/>
      <c r="L175" s="21"/>
      <c r="M175" s="21"/>
      <c r="N175" s="21"/>
      <c r="O175" s="21">
        <v>50</v>
      </c>
      <c r="P175" s="21"/>
      <c r="Q175" s="22">
        <f t="shared" si="2"/>
        <v>70</v>
      </c>
    </row>
    <row r="176" spans="1:17" ht="15.75" customHeight="1">
      <c r="A176" s="23">
        <v>174</v>
      </c>
      <c r="B176" s="24" t="s">
        <v>576</v>
      </c>
      <c r="C176" s="24" t="s">
        <v>354</v>
      </c>
      <c r="D176" s="24" t="s">
        <v>577</v>
      </c>
      <c r="E176" s="25"/>
      <c r="F176" s="25">
        <v>62</v>
      </c>
      <c r="G176" s="25">
        <v>151</v>
      </c>
      <c r="H176" s="25">
        <v>80</v>
      </c>
      <c r="I176" s="25">
        <v>166</v>
      </c>
      <c r="J176" s="25">
        <v>100</v>
      </c>
      <c r="K176" s="25"/>
      <c r="L176" s="25">
        <v>360</v>
      </c>
      <c r="M176" s="25"/>
      <c r="N176" s="25">
        <v>120</v>
      </c>
      <c r="O176" s="25">
        <v>23</v>
      </c>
      <c r="P176" s="25">
        <v>500</v>
      </c>
      <c r="Q176" s="22">
        <f t="shared" si="2"/>
        <v>1562</v>
      </c>
    </row>
    <row r="177" spans="1:17" ht="15.75" customHeight="1">
      <c r="A177" s="19">
        <v>175</v>
      </c>
      <c r="B177" s="20" t="s">
        <v>578</v>
      </c>
      <c r="C177" s="20" t="s">
        <v>579</v>
      </c>
      <c r="D177" s="20" t="s">
        <v>580</v>
      </c>
      <c r="E177" s="21"/>
      <c r="F177" s="21"/>
      <c r="G177" s="21"/>
      <c r="H177" s="21"/>
      <c r="I177" s="21"/>
      <c r="J177" s="21">
        <v>5</v>
      </c>
      <c r="K177" s="21"/>
      <c r="L177" s="21">
        <v>60</v>
      </c>
      <c r="M177" s="21"/>
      <c r="N177" s="21">
        <v>10</v>
      </c>
      <c r="O177" s="21">
        <v>85</v>
      </c>
      <c r="P177" s="21">
        <v>20</v>
      </c>
      <c r="Q177" s="22">
        <f t="shared" si="2"/>
        <v>180</v>
      </c>
    </row>
    <row r="178" spans="1:17" ht="15.75" customHeight="1">
      <c r="A178" s="23">
        <v>176</v>
      </c>
      <c r="B178" s="24" t="s">
        <v>581</v>
      </c>
      <c r="C178" s="24" t="s">
        <v>582</v>
      </c>
      <c r="D178" s="24" t="s">
        <v>583</v>
      </c>
      <c r="E178" s="25"/>
      <c r="F178" s="25">
        <v>19</v>
      </c>
      <c r="G178" s="25"/>
      <c r="H178" s="25">
        <v>32</v>
      </c>
      <c r="I178" s="25">
        <v>145</v>
      </c>
      <c r="J178" s="25">
        <v>90</v>
      </c>
      <c r="K178" s="25">
        <v>50</v>
      </c>
      <c r="L178" s="25">
        <v>305</v>
      </c>
      <c r="M178" s="25">
        <v>110</v>
      </c>
      <c r="N178" s="25"/>
      <c r="O178" s="25">
        <v>39</v>
      </c>
      <c r="P178" s="25">
        <v>100</v>
      </c>
      <c r="Q178" s="22">
        <f t="shared" si="2"/>
        <v>890</v>
      </c>
    </row>
    <row r="179" spans="1:17" ht="15.75" customHeight="1">
      <c r="A179" s="19">
        <v>177</v>
      </c>
      <c r="B179" s="20" t="s">
        <v>584</v>
      </c>
      <c r="C179" s="20" t="s">
        <v>585</v>
      </c>
      <c r="D179" s="20" t="s">
        <v>586</v>
      </c>
      <c r="E179" s="21"/>
      <c r="F179" s="21"/>
      <c r="G179" s="21"/>
      <c r="H179" s="21"/>
      <c r="I179" s="21"/>
      <c r="J179" s="21"/>
      <c r="K179" s="21">
        <v>10</v>
      </c>
      <c r="L179" s="21">
        <v>2</v>
      </c>
      <c r="M179" s="21">
        <v>112</v>
      </c>
      <c r="N179" s="21"/>
      <c r="O179" s="21">
        <v>77</v>
      </c>
      <c r="P179" s="21">
        <v>20</v>
      </c>
      <c r="Q179" s="22">
        <f t="shared" si="2"/>
        <v>221</v>
      </c>
    </row>
    <row r="180" spans="1:17" ht="15.75" customHeight="1">
      <c r="A180" s="23">
        <v>178</v>
      </c>
      <c r="B180" s="24" t="s">
        <v>587</v>
      </c>
      <c r="C180" s="24" t="s">
        <v>588</v>
      </c>
      <c r="D180" s="24" t="s">
        <v>589</v>
      </c>
      <c r="E180" s="25"/>
      <c r="F180" s="25">
        <v>156</v>
      </c>
      <c r="G180" s="25">
        <v>20</v>
      </c>
      <c r="H180" s="25"/>
      <c r="I180" s="25">
        <v>170</v>
      </c>
      <c r="J180" s="25">
        <v>12</v>
      </c>
      <c r="K180" s="25">
        <v>60</v>
      </c>
      <c r="L180" s="25">
        <v>30</v>
      </c>
      <c r="M180" s="25">
        <v>2</v>
      </c>
      <c r="N180" s="25">
        <v>30</v>
      </c>
      <c r="O180" s="25"/>
      <c r="P180" s="25">
        <v>232</v>
      </c>
      <c r="Q180" s="22">
        <f t="shared" si="2"/>
        <v>712</v>
      </c>
    </row>
    <row r="181" spans="1:17" ht="15.75" customHeight="1">
      <c r="A181" s="19">
        <v>179</v>
      </c>
      <c r="B181" s="20" t="s">
        <v>590</v>
      </c>
      <c r="C181" s="20" t="s">
        <v>591</v>
      </c>
      <c r="D181" s="20" t="s">
        <v>592</v>
      </c>
      <c r="E181" s="21"/>
      <c r="F181" s="21"/>
      <c r="G181" s="21">
        <v>130</v>
      </c>
      <c r="H181" s="21">
        <v>130</v>
      </c>
      <c r="I181" s="21">
        <v>35</v>
      </c>
      <c r="J181" s="21">
        <v>70</v>
      </c>
      <c r="K181" s="21">
        <v>60</v>
      </c>
      <c r="L181" s="21">
        <v>265</v>
      </c>
      <c r="M181" s="21">
        <v>52</v>
      </c>
      <c r="N181" s="21">
        <v>20</v>
      </c>
      <c r="O181" s="21">
        <v>20</v>
      </c>
      <c r="P181" s="21">
        <v>125</v>
      </c>
      <c r="Q181" s="22">
        <f t="shared" si="2"/>
        <v>907</v>
      </c>
    </row>
    <row r="182" spans="1:17" ht="15.75" customHeight="1">
      <c r="A182" s="23">
        <v>180</v>
      </c>
      <c r="B182" s="24" t="s">
        <v>593</v>
      </c>
      <c r="C182" s="24" t="s">
        <v>594</v>
      </c>
      <c r="D182" s="24" t="s">
        <v>595</v>
      </c>
      <c r="E182" s="25"/>
      <c r="F182" s="25"/>
      <c r="G182" s="25"/>
      <c r="H182" s="25">
        <v>4</v>
      </c>
      <c r="I182" s="25"/>
      <c r="J182" s="25"/>
      <c r="K182" s="25">
        <v>40</v>
      </c>
      <c r="L182" s="25">
        <v>6</v>
      </c>
      <c r="M182" s="25"/>
      <c r="N182" s="25">
        <v>10</v>
      </c>
      <c r="O182" s="25">
        <v>91</v>
      </c>
      <c r="P182" s="25">
        <v>10</v>
      </c>
      <c r="Q182" s="22">
        <f t="shared" si="2"/>
        <v>161</v>
      </c>
    </row>
    <row r="183" spans="1:17" ht="15.75" customHeight="1">
      <c r="A183" s="19">
        <v>181</v>
      </c>
      <c r="B183" s="20" t="s">
        <v>596</v>
      </c>
      <c r="C183" s="20" t="s">
        <v>597</v>
      </c>
      <c r="D183" s="20" t="s">
        <v>598</v>
      </c>
      <c r="E183" s="21"/>
      <c r="F183" s="21"/>
      <c r="G183" s="21">
        <v>12</v>
      </c>
      <c r="H183" s="21">
        <v>20</v>
      </c>
      <c r="I183" s="21">
        <v>40</v>
      </c>
      <c r="J183" s="21">
        <v>30</v>
      </c>
      <c r="K183" s="21">
        <v>8</v>
      </c>
      <c r="L183" s="21">
        <v>42</v>
      </c>
      <c r="M183" s="21"/>
      <c r="N183" s="21">
        <v>50</v>
      </c>
      <c r="O183" s="21"/>
      <c r="P183" s="21">
        <v>20</v>
      </c>
      <c r="Q183" s="22">
        <f t="shared" si="2"/>
        <v>222</v>
      </c>
    </row>
    <row r="184" spans="1:17" ht="15.75" customHeight="1">
      <c r="A184" s="23">
        <v>182</v>
      </c>
      <c r="B184" s="24" t="s">
        <v>599</v>
      </c>
      <c r="C184" s="24" t="s">
        <v>600</v>
      </c>
      <c r="D184" s="24" t="s">
        <v>601</v>
      </c>
      <c r="E184" s="25">
        <v>2</v>
      </c>
      <c r="F184" s="25">
        <v>130</v>
      </c>
      <c r="G184" s="25">
        <v>51</v>
      </c>
      <c r="H184" s="25">
        <v>72</v>
      </c>
      <c r="I184" s="25">
        <v>20</v>
      </c>
      <c r="J184" s="25"/>
      <c r="K184" s="25">
        <v>5</v>
      </c>
      <c r="L184" s="25">
        <v>149</v>
      </c>
      <c r="M184" s="25">
        <v>157</v>
      </c>
      <c r="N184" s="25">
        <v>284</v>
      </c>
      <c r="O184" s="25">
        <v>478</v>
      </c>
      <c r="P184" s="25">
        <v>20</v>
      </c>
      <c r="Q184" s="22">
        <f t="shared" si="2"/>
        <v>1368</v>
      </c>
    </row>
    <row r="185" spans="1:17" ht="15.75" customHeight="1">
      <c r="A185" s="19">
        <v>183</v>
      </c>
      <c r="B185" s="20" t="s">
        <v>602</v>
      </c>
      <c r="C185" s="20" t="s">
        <v>603</v>
      </c>
      <c r="D185" s="20" t="s">
        <v>604</v>
      </c>
      <c r="E185" s="21"/>
      <c r="F185" s="21"/>
      <c r="G185" s="21">
        <v>150</v>
      </c>
      <c r="H185" s="21"/>
      <c r="I185" s="21"/>
      <c r="J185" s="21"/>
      <c r="K185" s="21"/>
      <c r="L185" s="21"/>
      <c r="M185" s="21"/>
      <c r="N185" s="21"/>
      <c r="O185" s="21">
        <v>90</v>
      </c>
      <c r="P185" s="21"/>
      <c r="Q185" s="22">
        <f t="shared" si="2"/>
        <v>240</v>
      </c>
    </row>
    <row r="186" spans="1:17" ht="15.75" customHeight="1">
      <c r="A186" s="23">
        <v>184</v>
      </c>
      <c r="B186" s="24" t="s">
        <v>605</v>
      </c>
      <c r="C186" s="24" t="s">
        <v>606</v>
      </c>
      <c r="D186" s="24" t="s">
        <v>607</v>
      </c>
      <c r="E186" s="25"/>
      <c r="F186" s="25"/>
      <c r="G186" s="25"/>
      <c r="H186" s="25">
        <v>112</v>
      </c>
      <c r="I186" s="25">
        <v>90</v>
      </c>
      <c r="J186" s="25">
        <v>12</v>
      </c>
      <c r="K186" s="25"/>
      <c r="L186" s="25">
        <v>55</v>
      </c>
      <c r="M186" s="25"/>
      <c r="N186" s="25">
        <v>30</v>
      </c>
      <c r="O186" s="25">
        <v>20</v>
      </c>
      <c r="P186" s="25">
        <v>55</v>
      </c>
      <c r="Q186" s="22">
        <f t="shared" si="2"/>
        <v>374</v>
      </c>
    </row>
    <row r="187" spans="1:17" ht="15.75" customHeight="1">
      <c r="A187" s="19">
        <v>185</v>
      </c>
      <c r="B187" s="20" t="s">
        <v>608</v>
      </c>
      <c r="C187" s="20" t="s">
        <v>609</v>
      </c>
      <c r="D187" s="20" t="s">
        <v>610</v>
      </c>
      <c r="E187" s="21"/>
      <c r="F187" s="21"/>
      <c r="G187" s="21"/>
      <c r="H187" s="21"/>
      <c r="I187" s="21">
        <v>20</v>
      </c>
      <c r="J187" s="21"/>
      <c r="K187" s="21">
        <v>8</v>
      </c>
      <c r="L187" s="21"/>
      <c r="M187" s="21"/>
      <c r="N187" s="21"/>
      <c r="O187" s="21">
        <v>50</v>
      </c>
      <c r="P187" s="21"/>
      <c r="Q187" s="22">
        <f t="shared" si="2"/>
        <v>78</v>
      </c>
    </row>
    <row r="188" spans="1:17" ht="15.75" customHeight="1">
      <c r="A188" s="23">
        <v>186</v>
      </c>
      <c r="B188" s="24" t="s">
        <v>3026</v>
      </c>
      <c r="C188" s="24" t="s">
        <v>3027</v>
      </c>
      <c r="D188" s="24" t="s">
        <v>3028</v>
      </c>
      <c r="E188" s="25"/>
      <c r="F188" s="25"/>
      <c r="G188" s="25"/>
      <c r="H188" s="25"/>
      <c r="I188" s="25"/>
      <c r="J188" s="25"/>
      <c r="K188" s="25"/>
      <c r="L188" s="25"/>
      <c r="M188" s="25">
        <v>1</v>
      </c>
      <c r="N188" s="25"/>
      <c r="O188" s="25"/>
      <c r="P188" s="25">
        <v>14</v>
      </c>
      <c r="Q188" s="22">
        <f t="shared" si="2"/>
        <v>15</v>
      </c>
    </row>
    <row r="189" spans="1:17" ht="15.75" customHeight="1">
      <c r="A189" s="19">
        <v>187</v>
      </c>
      <c r="B189" s="20" t="s">
        <v>611</v>
      </c>
      <c r="C189" s="20" t="s">
        <v>612</v>
      </c>
      <c r="D189" s="20" t="s">
        <v>613</v>
      </c>
      <c r="E189" s="21"/>
      <c r="F189" s="21"/>
      <c r="G189" s="21">
        <v>60</v>
      </c>
      <c r="H189" s="21">
        <v>6</v>
      </c>
      <c r="I189" s="21">
        <v>30</v>
      </c>
      <c r="J189" s="21">
        <v>14</v>
      </c>
      <c r="K189" s="21"/>
      <c r="L189" s="21">
        <v>55</v>
      </c>
      <c r="M189" s="21"/>
      <c r="N189" s="21"/>
      <c r="O189" s="21">
        <v>60</v>
      </c>
      <c r="P189" s="21">
        <v>10</v>
      </c>
      <c r="Q189" s="22">
        <f t="shared" si="2"/>
        <v>235</v>
      </c>
    </row>
    <row r="190" spans="1:17" ht="15.75" customHeight="1">
      <c r="A190" s="23">
        <v>188</v>
      </c>
      <c r="B190" s="24" t="s">
        <v>617</v>
      </c>
      <c r="C190" s="24" t="s">
        <v>618</v>
      </c>
      <c r="D190" s="24"/>
      <c r="E190" s="25"/>
      <c r="F190" s="25"/>
      <c r="G190" s="25">
        <v>1</v>
      </c>
      <c r="H190" s="25"/>
      <c r="I190" s="25"/>
      <c r="J190" s="25"/>
      <c r="K190" s="25"/>
      <c r="L190" s="25"/>
      <c r="M190" s="25"/>
      <c r="N190" s="25"/>
      <c r="O190" s="25"/>
      <c r="P190" s="25"/>
      <c r="Q190" s="22">
        <f t="shared" si="2"/>
        <v>1</v>
      </c>
    </row>
    <row r="191" spans="1:17" ht="15.75" customHeight="1">
      <c r="A191" s="19">
        <v>189</v>
      </c>
      <c r="B191" s="20" t="s">
        <v>619</v>
      </c>
      <c r="C191" s="20" t="s">
        <v>620</v>
      </c>
      <c r="D191" s="20" t="s">
        <v>621</v>
      </c>
      <c r="E191" s="21">
        <v>60</v>
      </c>
      <c r="F191" s="21">
        <v>5</v>
      </c>
      <c r="G191" s="21">
        <v>50</v>
      </c>
      <c r="H191" s="21">
        <v>50</v>
      </c>
      <c r="I191" s="21">
        <v>102</v>
      </c>
      <c r="J191" s="21">
        <v>104</v>
      </c>
      <c r="K191" s="21">
        <v>70</v>
      </c>
      <c r="L191" s="21">
        <v>41</v>
      </c>
      <c r="M191" s="21">
        <v>10</v>
      </c>
      <c r="N191" s="21">
        <v>140</v>
      </c>
      <c r="O191" s="21">
        <v>120</v>
      </c>
      <c r="P191" s="21">
        <v>100</v>
      </c>
      <c r="Q191" s="22">
        <f t="shared" si="2"/>
        <v>852</v>
      </c>
    </row>
    <row r="192" spans="1:17" ht="15.75" customHeight="1">
      <c r="A192" s="23">
        <v>190</v>
      </c>
      <c r="B192" s="24" t="s">
        <v>622</v>
      </c>
      <c r="C192" s="24" t="s">
        <v>623</v>
      </c>
      <c r="D192" s="24" t="s">
        <v>624</v>
      </c>
      <c r="E192" s="25">
        <v>20</v>
      </c>
      <c r="F192" s="25"/>
      <c r="G192" s="25"/>
      <c r="H192" s="25"/>
      <c r="I192" s="25"/>
      <c r="J192" s="25">
        <v>5</v>
      </c>
      <c r="K192" s="25">
        <v>2</v>
      </c>
      <c r="L192" s="25"/>
      <c r="M192" s="25">
        <v>1</v>
      </c>
      <c r="N192" s="25"/>
      <c r="O192" s="25">
        <v>50</v>
      </c>
      <c r="P192" s="25">
        <v>20</v>
      </c>
      <c r="Q192" s="22">
        <f t="shared" si="2"/>
        <v>98</v>
      </c>
    </row>
    <row r="193" spans="1:17" ht="15.75" customHeight="1">
      <c r="A193" s="19">
        <v>191</v>
      </c>
      <c r="B193" s="20" t="s">
        <v>625</v>
      </c>
      <c r="C193" s="20" t="s">
        <v>626</v>
      </c>
      <c r="D193" s="20"/>
      <c r="E193" s="21"/>
      <c r="F193" s="21">
        <v>12</v>
      </c>
      <c r="G193" s="21"/>
      <c r="H193" s="21"/>
      <c r="I193" s="21"/>
      <c r="J193" s="21"/>
      <c r="K193" s="21">
        <v>60</v>
      </c>
      <c r="L193" s="21">
        <v>5</v>
      </c>
      <c r="M193" s="21"/>
      <c r="N193" s="21"/>
      <c r="O193" s="21"/>
      <c r="P193" s="21">
        <v>151</v>
      </c>
      <c r="Q193" s="22">
        <f t="shared" si="2"/>
        <v>228</v>
      </c>
    </row>
    <row r="194" spans="1:17" ht="15.75" customHeight="1">
      <c r="A194" s="23">
        <v>192</v>
      </c>
      <c r="B194" s="24" t="s">
        <v>627</v>
      </c>
      <c r="C194" s="24" t="s">
        <v>628</v>
      </c>
      <c r="D194" s="24"/>
      <c r="E194" s="25"/>
      <c r="F194" s="25">
        <v>1</v>
      </c>
      <c r="G194" s="25"/>
      <c r="H194" s="25"/>
      <c r="I194" s="25"/>
      <c r="J194" s="25"/>
      <c r="K194" s="25"/>
      <c r="L194" s="25"/>
      <c r="M194" s="25">
        <v>100</v>
      </c>
      <c r="N194" s="25"/>
      <c r="O194" s="25"/>
      <c r="P194" s="25">
        <v>146</v>
      </c>
      <c r="Q194" s="22">
        <f t="shared" si="2"/>
        <v>247</v>
      </c>
    </row>
    <row r="195" spans="1:17" ht="15.75" customHeight="1">
      <c r="A195" s="19">
        <v>193</v>
      </c>
      <c r="B195" s="20" t="s">
        <v>631</v>
      </c>
      <c r="C195" s="20" t="s">
        <v>632</v>
      </c>
      <c r="D195" s="20" t="s">
        <v>633</v>
      </c>
      <c r="E195" s="21"/>
      <c r="F195" s="21"/>
      <c r="G195" s="21">
        <v>100</v>
      </c>
      <c r="H195" s="21"/>
      <c r="I195" s="21"/>
      <c r="J195" s="21"/>
      <c r="K195" s="21"/>
      <c r="L195" s="21"/>
      <c r="M195" s="21"/>
      <c r="N195" s="21"/>
      <c r="O195" s="21"/>
      <c r="P195" s="21"/>
      <c r="Q195" s="22">
        <f t="shared" ref="Q195:Q258" si="3">SUM(E195:P195)</f>
        <v>100</v>
      </c>
    </row>
    <row r="196" spans="1:17" ht="15.75" customHeight="1">
      <c r="A196" s="23">
        <v>194</v>
      </c>
      <c r="B196" s="24" t="s">
        <v>634</v>
      </c>
      <c r="C196" s="24" t="s">
        <v>635</v>
      </c>
      <c r="D196" s="24" t="s">
        <v>636</v>
      </c>
      <c r="E196" s="25"/>
      <c r="F196" s="25"/>
      <c r="G196" s="25"/>
      <c r="H196" s="25"/>
      <c r="I196" s="25"/>
      <c r="J196" s="25"/>
      <c r="K196" s="25"/>
      <c r="L196" s="25">
        <v>80</v>
      </c>
      <c r="M196" s="25"/>
      <c r="N196" s="25"/>
      <c r="O196" s="25"/>
      <c r="P196" s="25"/>
      <c r="Q196" s="22">
        <f t="shared" si="3"/>
        <v>80</v>
      </c>
    </row>
    <row r="197" spans="1:17" ht="15.75" customHeight="1">
      <c r="A197" s="19">
        <v>195</v>
      </c>
      <c r="B197" s="20" t="s">
        <v>643</v>
      </c>
      <c r="C197" s="20" t="s">
        <v>644</v>
      </c>
      <c r="D197" s="20" t="s">
        <v>645</v>
      </c>
      <c r="E197" s="21"/>
      <c r="F197" s="21"/>
      <c r="G197" s="21">
        <v>50</v>
      </c>
      <c r="H197" s="21"/>
      <c r="I197" s="21">
        <v>50</v>
      </c>
      <c r="J197" s="21"/>
      <c r="K197" s="21"/>
      <c r="L197" s="21"/>
      <c r="M197" s="21"/>
      <c r="N197" s="21"/>
      <c r="O197" s="21"/>
      <c r="P197" s="21"/>
      <c r="Q197" s="22">
        <f t="shared" si="3"/>
        <v>100</v>
      </c>
    </row>
    <row r="198" spans="1:17" ht="15.75" customHeight="1">
      <c r="A198" s="23">
        <v>196</v>
      </c>
      <c r="B198" s="24" t="s">
        <v>646</v>
      </c>
      <c r="C198" s="24" t="s">
        <v>647</v>
      </c>
      <c r="D198" s="24" t="s">
        <v>648</v>
      </c>
      <c r="E198" s="25"/>
      <c r="F198" s="25"/>
      <c r="G198" s="25"/>
      <c r="H198" s="25">
        <v>2</v>
      </c>
      <c r="I198" s="25"/>
      <c r="J198" s="25"/>
      <c r="K198" s="25"/>
      <c r="L198" s="25"/>
      <c r="M198" s="25"/>
      <c r="N198" s="25"/>
      <c r="O198" s="25"/>
      <c r="P198" s="25"/>
      <c r="Q198" s="22">
        <f t="shared" si="3"/>
        <v>2</v>
      </c>
    </row>
    <row r="199" spans="1:17" ht="15.75" customHeight="1">
      <c r="A199" s="19">
        <v>197</v>
      </c>
      <c r="B199" s="20" t="s">
        <v>649</v>
      </c>
      <c r="C199" s="20" t="s">
        <v>650</v>
      </c>
      <c r="D199" s="20" t="s">
        <v>651</v>
      </c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>
        <v>20</v>
      </c>
      <c r="P199" s="21"/>
      <c r="Q199" s="22">
        <f t="shared" si="3"/>
        <v>20</v>
      </c>
    </row>
    <row r="200" spans="1:17" ht="15.75" customHeight="1">
      <c r="A200" s="23">
        <v>198</v>
      </c>
      <c r="B200" s="24" t="s">
        <v>652</v>
      </c>
      <c r="C200" s="24" t="s">
        <v>653</v>
      </c>
      <c r="D200" s="24" t="s">
        <v>654</v>
      </c>
      <c r="E200" s="25"/>
      <c r="F200" s="25">
        <v>4</v>
      </c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2">
        <f t="shared" si="3"/>
        <v>4</v>
      </c>
    </row>
    <row r="201" spans="1:17" ht="15.75" customHeight="1">
      <c r="A201" s="19">
        <v>199</v>
      </c>
      <c r="B201" s="20" t="s">
        <v>2471</v>
      </c>
      <c r="C201" s="20" t="s">
        <v>2472</v>
      </c>
      <c r="D201" s="20" t="s">
        <v>2473</v>
      </c>
      <c r="E201" s="21"/>
      <c r="F201" s="21">
        <v>2</v>
      </c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2">
        <f t="shared" si="3"/>
        <v>2</v>
      </c>
    </row>
    <row r="202" spans="1:17" ht="15.75" customHeight="1">
      <c r="A202" s="23">
        <v>200</v>
      </c>
      <c r="B202" s="24" t="s">
        <v>3029</v>
      </c>
      <c r="C202" s="24" t="s">
        <v>3030</v>
      </c>
      <c r="D202" s="24"/>
      <c r="E202" s="25"/>
      <c r="F202" s="25"/>
      <c r="G202" s="25"/>
      <c r="H202" s="25"/>
      <c r="I202" s="25"/>
      <c r="J202" s="25"/>
      <c r="K202" s="25"/>
      <c r="L202" s="25"/>
      <c r="M202" s="25"/>
      <c r="N202" s="25">
        <v>4</v>
      </c>
      <c r="O202" s="25"/>
      <c r="P202" s="25"/>
      <c r="Q202" s="22">
        <f t="shared" si="3"/>
        <v>4</v>
      </c>
    </row>
    <row r="203" spans="1:17" ht="15.75" customHeight="1">
      <c r="A203" s="19">
        <v>201</v>
      </c>
      <c r="B203" s="20" t="s">
        <v>2474</v>
      </c>
      <c r="C203" s="20" t="s">
        <v>2475</v>
      </c>
      <c r="D203" s="20"/>
      <c r="E203" s="21"/>
      <c r="F203" s="21"/>
      <c r="G203" s="21"/>
      <c r="H203" s="21"/>
      <c r="I203" s="21">
        <v>6</v>
      </c>
      <c r="J203" s="21"/>
      <c r="K203" s="21"/>
      <c r="L203" s="21"/>
      <c r="M203" s="21"/>
      <c r="N203" s="21"/>
      <c r="O203" s="21"/>
      <c r="P203" s="21"/>
      <c r="Q203" s="22">
        <f t="shared" si="3"/>
        <v>6</v>
      </c>
    </row>
    <row r="204" spans="1:17" ht="15.75" customHeight="1">
      <c r="A204" s="23">
        <v>202</v>
      </c>
      <c r="B204" s="24" t="s">
        <v>660</v>
      </c>
      <c r="C204" s="24" t="s">
        <v>661</v>
      </c>
      <c r="D204" s="24" t="s">
        <v>662</v>
      </c>
      <c r="E204" s="25"/>
      <c r="F204" s="25">
        <v>4</v>
      </c>
      <c r="G204" s="25"/>
      <c r="H204" s="25"/>
      <c r="I204" s="25">
        <v>4</v>
      </c>
      <c r="J204" s="25"/>
      <c r="K204" s="25"/>
      <c r="L204" s="25"/>
      <c r="M204" s="25"/>
      <c r="N204" s="25"/>
      <c r="O204" s="25"/>
      <c r="P204" s="25"/>
      <c r="Q204" s="22">
        <f t="shared" si="3"/>
        <v>8</v>
      </c>
    </row>
    <row r="205" spans="1:17" ht="15.75" customHeight="1">
      <c r="A205" s="19">
        <v>203</v>
      </c>
      <c r="B205" s="20" t="s">
        <v>663</v>
      </c>
      <c r="C205" s="20" t="s">
        <v>367</v>
      </c>
      <c r="D205" s="20" t="s">
        <v>664</v>
      </c>
      <c r="E205" s="21">
        <v>50</v>
      </c>
      <c r="F205" s="21">
        <v>100</v>
      </c>
      <c r="G205" s="21">
        <v>220</v>
      </c>
      <c r="H205" s="21">
        <v>30</v>
      </c>
      <c r="I205" s="21">
        <v>50</v>
      </c>
      <c r="J205" s="21">
        <v>141</v>
      </c>
      <c r="K205" s="21">
        <v>99</v>
      </c>
      <c r="L205" s="21">
        <v>160</v>
      </c>
      <c r="M205" s="21">
        <v>253</v>
      </c>
      <c r="N205" s="21">
        <v>218</v>
      </c>
      <c r="O205" s="21">
        <v>295</v>
      </c>
      <c r="P205" s="21">
        <v>1457</v>
      </c>
      <c r="Q205" s="22">
        <f t="shared" si="3"/>
        <v>3073</v>
      </c>
    </row>
    <row r="206" spans="1:17" ht="15.75" customHeight="1">
      <c r="A206" s="23">
        <v>204</v>
      </c>
      <c r="B206" s="24" t="s">
        <v>665</v>
      </c>
      <c r="C206" s="24" t="s">
        <v>666</v>
      </c>
      <c r="D206" s="24" t="s">
        <v>667</v>
      </c>
      <c r="E206" s="25"/>
      <c r="F206" s="25"/>
      <c r="G206" s="25"/>
      <c r="H206" s="25">
        <v>130</v>
      </c>
      <c r="I206" s="25">
        <v>170</v>
      </c>
      <c r="J206" s="25">
        <v>15</v>
      </c>
      <c r="K206" s="25"/>
      <c r="L206" s="25">
        <v>392</v>
      </c>
      <c r="M206" s="25">
        <v>395</v>
      </c>
      <c r="N206" s="25">
        <v>31</v>
      </c>
      <c r="O206" s="25"/>
      <c r="P206" s="25">
        <v>681</v>
      </c>
      <c r="Q206" s="22">
        <f t="shared" si="3"/>
        <v>1814</v>
      </c>
    </row>
    <row r="207" spans="1:17" ht="15.75" customHeight="1">
      <c r="A207" s="19">
        <v>205</v>
      </c>
      <c r="B207" s="20" t="s">
        <v>668</v>
      </c>
      <c r="C207" s="20" t="s">
        <v>669</v>
      </c>
      <c r="D207" s="20"/>
      <c r="E207" s="21"/>
      <c r="F207" s="21"/>
      <c r="G207" s="21"/>
      <c r="H207" s="21"/>
      <c r="I207" s="21">
        <v>6</v>
      </c>
      <c r="J207" s="21"/>
      <c r="K207" s="21"/>
      <c r="L207" s="21"/>
      <c r="M207" s="21"/>
      <c r="N207" s="21"/>
      <c r="O207" s="21"/>
      <c r="P207" s="21"/>
      <c r="Q207" s="22">
        <f t="shared" si="3"/>
        <v>6</v>
      </c>
    </row>
    <row r="208" spans="1:17" ht="15.75" customHeight="1">
      <c r="A208" s="23">
        <v>206</v>
      </c>
      <c r="B208" s="24" t="s">
        <v>2476</v>
      </c>
      <c r="C208" s="24" t="s">
        <v>2477</v>
      </c>
      <c r="D208" s="24"/>
      <c r="E208" s="25"/>
      <c r="F208" s="25"/>
      <c r="G208" s="25"/>
      <c r="H208" s="25"/>
      <c r="I208" s="25"/>
      <c r="J208" s="25"/>
      <c r="K208" s="25"/>
      <c r="L208" s="25"/>
      <c r="M208" s="25"/>
      <c r="N208" s="25">
        <v>25</v>
      </c>
      <c r="O208" s="25"/>
      <c r="P208" s="25"/>
      <c r="Q208" s="22">
        <f t="shared" si="3"/>
        <v>25</v>
      </c>
    </row>
    <row r="209" spans="1:17" ht="15.75" customHeight="1">
      <c r="A209" s="19">
        <v>207</v>
      </c>
      <c r="B209" s="20" t="s">
        <v>3031</v>
      </c>
      <c r="C209" s="20" t="s">
        <v>3032</v>
      </c>
      <c r="D209" s="20"/>
      <c r="E209" s="21"/>
      <c r="F209" s="21"/>
      <c r="G209" s="21"/>
      <c r="H209" s="21"/>
      <c r="I209" s="21"/>
      <c r="J209" s="21"/>
      <c r="K209" s="21"/>
      <c r="L209" s="21"/>
      <c r="M209" s="21"/>
      <c r="N209" s="21">
        <v>100</v>
      </c>
      <c r="O209" s="21"/>
      <c r="P209" s="21"/>
      <c r="Q209" s="22">
        <f t="shared" si="3"/>
        <v>100</v>
      </c>
    </row>
    <row r="210" spans="1:17" ht="15.75" customHeight="1">
      <c r="A210" s="23">
        <v>208</v>
      </c>
      <c r="B210" s="24" t="s">
        <v>675</v>
      </c>
      <c r="C210" s="24" t="s">
        <v>370</v>
      </c>
      <c r="D210" s="24" t="s">
        <v>676</v>
      </c>
      <c r="E210" s="25">
        <v>6</v>
      </c>
      <c r="F210" s="25"/>
      <c r="G210" s="25">
        <v>60</v>
      </c>
      <c r="H210" s="25">
        <v>30</v>
      </c>
      <c r="I210" s="25">
        <v>42</v>
      </c>
      <c r="J210" s="25">
        <v>38</v>
      </c>
      <c r="K210" s="25">
        <v>277</v>
      </c>
      <c r="L210" s="25">
        <v>70</v>
      </c>
      <c r="M210" s="25">
        <v>110</v>
      </c>
      <c r="N210" s="25">
        <v>40</v>
      </c>
      <c r="O210" s="25">
        <v>173</v>
      </c>
      <c r="P210" s="25">
        <v>51</v>
      </c>
      <c r="Q210" s="22">
        <f t="shared" si="3"/>
        <v>897</v>
      </c>
    </row>
    <row r="211" spans="1:17" ht="15.75" customHeight="1">
      <c r="A211" s="19">
        <v>209</v>
      </c>
      <c r="B211" s="20" t="s">
        <v>677</v>
      </c>
      <c r="C211" s="20" t="s">
        <v>678</v>
      </c>
      <c r="D211" s="20" t="s">
        <v>679</v>
      </c>
      <c r="E211" s="21"/>
      <c r="F211" s="21"/>
      <c r="G211" s="21">
        <v>70</v>
      </c>
      <c r="H211" s="21">
        <v>212</v>
      </c>
      <c r="I211" s="21">
        <v>160</v>
      </c>
      <c r="J211" s="21">
        <v>90</v>
      </c>
      <c r="K211" s="21">
        <v>160</v>
      </c>
      <c r="L211" s="21">
        <v>539</v>
      </c>
      <c r="M211" s="21">
        <v>419</v>
      </c>
      <c r="N211" s="21">
        <v>116</v>
      </c>
      <c r="O211" s="21">
        <v>253</v>
      </c>
      <c r="P211" s="21">
        <v>563</v>
      </c>
      <c r="Q211" s="22">
        <f t="shared" si="3"/>
        <v>2582</v>
      </c>
    </row>
    <row r="212" spans="1:17" ht="15.75" customHeight="1">
      <c r="A212" s="23">
        <v>210</v>
      </c>
      <c r="B212" s="24" t="s">
        <v>680</v>
      </c>
      <c r="C212" s="24" t="s">
        <v>681</v>
      </c>
      <c r="D212" s="24" t="s">
        <v>682</v>
      </c>
      <c r="E212" s="25"/>
      <c r="F212" s="25">
        <v>21</v>
      </c>
      <c r="G212" s="25">
        <v>25</v>
      </c>
      <c r="H212" s="25">
        <v>27</v>
      </c>
      <c r="I212" s="25">
        <v>33</v>
      </c>
      <c r="J212" s="25">
        <v>15</v>
      </c>
      <c r="K212" s="25">
        <v>30</v>
      </c>
      <c r="L212" s="25">
        <v>403</v>
      </c>
      <c r="M212" s="25">
        <v>261</v>
      </c>
      <c r="N212" s="25">
        <v>40</v>
      </c>
      <c r="O212" s="25">
        <v>86</v>
      </c>
      <c r="P212" s="25">
        <v>294</v>
      </c>
      <c r="Q212" s="22">
        <f t="shared" si="3"/>
        <v>1235</v>
      </c>
    </row>
    <row r="213" spans="1:17" ht="15.75" customHeight="1">
      <c r="A213" s="19">
        <v>211</v>
      </c>
      <c r="B213" s="20" t="s">
        <v>683</v>
      </c>
      <c r="C213" s="20" t="s">
        <v>684</v>
      </c>
      <c r="D213" s="20" t="s">
        <v>685</v>
      </c>
      <c r="E213" s="21">
        <v>104</v>
      </c>
      <c r="F213" s="21">
        <v>450</v>
      </c>
      <c r="G213" s="21">
        <v>410</v>
      </c>
      <c r="H213" s="21">
        <v>21</v>
      </c>
      <c r="I213" s="21">
        <v>150</v>
      </c>
      <c r="J213" s="21">
        <v>50</v>
      </c>
      <c r="K213" s="21">
        <v>304</v>
      </c>
      <c r="L213" s="21">
        <v>417</v>
      </c>
      <c r="M213" s="21">
        <v>1640</v>
      </c>
      <c r="N213" s="21">
        <v>64</v>
      </c>
      <c r="O213" s="21">
        <v>431</v>
      </c>
      <c r="P213" s="21">
        <v>505</v>
      </c>
      <c r="Q213" s="22">
        <f t="shared" si="3"/>
        <v>4546</v>
      </c>
    </row>
    <row r="214" spans="1:17" ht="15.75" customHeight="1">
      <c r="A214" s="23">
        <v>212</v>
      </c>
      <c r="B214" s="24" t="s">
        <v>689</v>
      </c>
      <c r="C214" s="24" t="s">
        <v>351</v>
      </c>
      <c r="D214" s="24" t="s">
        <v>690</v>
      </c>
      <c r="E214" s="25"/>
      <c r="F214" s="25"/>
      <c r="G214" s="25">
        <v>211</v>
      </c>
      <c r="H214" s="25">
        <v>40</v>
      </c>
      <c r="I214" s="25">
        <v>5</v>
      </c>
      <c r="J214" s="25">
        <v>180</v>
      </c>
      <c r="K214" s="25">
        <v>120</v>
      </c>
      <c r="L214" s="25">
        <v>210</v>
      </c>
      <c r="M214" s="25">
        <v>497</v>
      </c>
      <c r="N214" s="25">
        <v>60</v>
      </c>
      <c r="O214" s="25">
        <v>82</v>
      </c>
      <c r="P214" s="25">
        <v>1081</v>
      </c>
      <c r="Q214" s="22">
        <f t="shared" si="3"/>
        <v>2486</v>
      </c>
    </row>
    <row r="215" spans="1:17" ht="15.75" customHeight="1">
      <c r="A215" s="19">
        <v>213</v>
      </c>
      <c r="B215" s="20" t="s">
        <v>691</v>
      </c>
      <c r="C215" s="20" t="s">
        <v>692</v>
      </c>
      <c r="D215" s="20" t="s">
        <v>693</v>
      </c>
      <c r="E215" s="21"/>
      <c r="F215" s="21"/>
      <c r="G215" s="21"/>
      <c r="H215" s="21">
        <v>180</v>
      </c>
      <c r="I215" s="21">
        <v>45</v>
      </c>
      <c r="J215" s="21">
        <v>100</v>
      </c>
      <c r="K215" s="21">
        <v>10</v>
      </c>
      <c r="L215" s="21">
        <v>398</v>
      </c>
      <c r="M215" s="21">
        <v>251</v>
      </c>
      <c r="N215" s="21">
        <v>81</v>
      </c>
      <c r="O215" s="21">
        <v>257</v>
      </c>
      <c r="P215" s="21">
        <v>140</v>
      </c>
      <c r="Q215" s="22">
        <f t="shared" si="3"/>
        <v>1462</v>
      </c>
    </row>
    <row r="216" spans="1:17" ht="15.75" customHeight="1">
      <c r="A216" s="23">
        <v>214</v>
      </c>
      <c r="B216" s="24" t="s">
        <v>694</v>
      </c>
      <c r="C216" s="24" t="s">
        <v>357</v>
      </c>
      <c r="D216" s="24" t="s">
        <v>695</v>
      </c>
      <c r="E216" s="25"/>
      <c r="F216" s="25">
        <v>12</v>
      </c>
      <c r="G216" s="25">
        <v>70</v>
      </c>
      <c r="H216" s="25">
        <v>18</v>
      </c>
      <c r="I216" s="25"/>
      <c r="J216" s="25">
        <v>190</v>
      </c>
      <c r="K216" s="25">
        <v>50</v>
      </c>
      <c r="L216" s="25">
        <v>113</v>
      </c>
      <c r="M216" s="25">
        <v>531</v>
      </c>
      <c r="N216" s="25">
        <v>40</v>
      </c>
      <c r="O216" s="25">
        <v>143</v>
      </c>
      <c r="P216" s="25">
        <v>258</v>
      </c>
      <c r="Q216" s="22">
        <f t="shared" si="3"/>
        <v>1425</v>
      </c>
    </row>
    <row r="217" spans="1:17" ht="15.75" customHeight="1">
      <c r="A217" s="19">
        <v>215</v>
      </c>
      <c r="B217" s="20" t="s">
        <v>696</v>
      </c>
      <c r="C217" s="20" t="s">
        <v>697</v>
      </c>
      <c r="D217" s="20" t="s">
        <v>698</v>
      </c>
      <c r="E217" s="21"/>
      <c r="F217" s="21">
        <v>26</v>
      </c>
      <c r="G217" s="21">
        <v>23</v>
      </c>
      <c r="H217" s="21">
        <v>85</v>
      </c>
      <c r="I217" s="21">
        <v>15</v>
      </c>
      <c r="J217" s="21">
        <v>20</v>
      </c>
      <c r="K217" s="21">
        <v>30</v>
      </c>
      <c r="L217" s="21">
        <v>70</v>
      </c>
      <c r="M217" s="21">
        <v>270</v>
      </c>
      <c r="N217" s="21">
        <v>30</v>
      </c>
      <c r="O217" s="21">
        <v>133</v>
      </c>
      <c r="P217" s="21">
        <v>100</v>
      </c>
      <c r="Q217" s="22">
        <f t="shared" si="3"/>
        <v>802</v>
      </c>
    </row>
    <row r="218" spans="1:17" ht="15.75" customHeight="1">
      <c r="A218" s="23">
        <v>216</v>
      </c>
      <c r="B218" s="24" t="s">
        <v>3033</v>
      </c>
      <c r="C218" s="24" t="s">
        <v>2681</v>
      </c>
      <c r="D218" s="24"/>
      <c r="E218" s="25"/>
      <c r="F218" s="25"/>
      <c r="G218" s="25"/>
      <c r="H218" s="25"/>
      <c r="I218" s="25">
        <v>12</v>
      </c>
      <c r="J218" s="25"/>
      <c r="K218" s="25"/>
      <c r="L218" s="25"/>
      <c r="M218" s="25"/>
      <c r="N218" s="25"/>
      <c r="O218" s="25"/>
      <c r="P218" s="25"/>
      <c r="Q218" s="22">
        <f t="shared" si="3"/>
        <v>12</v>
      </c>
    </row>
    <row r="219" spans="1:17" ht="15.75" customHeight="1">
      <c r="A219" s="19">
        <v>217</v>
      </c>
      <c r="B219" s="20" t="s">
        <v>2490</v>
      </c>
      <c r="C219" s="20" t="s">
        <v>2491</v>
      </c>
      <c r="D219" s="20"/>
      <c r="E219" s="21"/>
      <c r="F219" s="21"/>
      <c r="G219" s="21"/>
      <c r="H219" s="21"/>
      <c r="I219" s="21">
        <v>10</v>
      </c>
      <c r="J219" s="21"/>
      <c r="K219" s="21"/>
      <c r="L219" s="21"/>
      <c r="M219" s="21"/>
      <c r="N219" s="21"/>
      <c r="O219" s="21"/>
      <c r="P219" s="21"/>
      <c r="Q219" s="22">
        <f t="shared" si="3"/>
        <v>10</v>
      </c>
    </row>
    <row r="220" spans="1:17" ht="15.75" customHeight="1">
      <c r="A220" s="23">
        <v>218</v>
      </c>
      <c r="B220" s="24" t="s">
        <v>699</v>
      </c>
      <c r="C220" s="24" t="s">
        <v>700</v>
      </c>
      <c r="D220" s="24" t="s">
        <v>701</v>
      </c>
      <c r="E220" s="25">
        <v>6</v>
      </c>
      <c r="F220" s="25">
        <v>53</v>
      </c>
      <c r="G220" s="25">
        <v>362</v>
      </c>
      <c r="H220" s="25">
        <v>5</v>
      </c>
      <c r="I220" s="25">
        <v>310</v>
      </c>
      <c r="J220" s="25">
        <v>230</v>
      </c>
      <c r="K220" s="25">
        <v>333</v>
      </c>
      <c r="L220" s="25">
        <v>182</v>
      </c>
      <c r="M220" s="25">
        <v>610</v>
      </c>
      <c r="N220" s="25">
        <v>28</v>
      </c>
      <c r="O220" s="25">
        <v>240</v>
      </c>
      <c r="P220" s="25">
        <v>440</v>
      </c>
      <c r="Q220" s="22">
        <f t="shared" si="3"/>
        <v>2799</v>
      </c>
    </row>
    <row r="221" spans="1:17" ht="15.75" customHeight="1">
      <c r="A221" s="19">
        <v>219</v>
      </c>
      <c r="B221" s="20" t="s">
        <v>702</v>
      </c>
      <c r="C221" s="20" t="s">
        <v>703</v>
      </c>
      <c r="D221" s="20" t="s">
        <v>704</v>
      </c>
      <c r="E221" s="21"/>
      <c r="F221" s="21"/>
      <c r="G221" s="21"/>
      <c r="H221" s="21"/>
      <c r="I221" s="21">
        <v>350</v>
      </c>
      <c r="J221" s="21"/>
      <c r="K221" s="21"/>
      <c r="L221" s="21">
        <v>12</v>
      </c>
      <c r="M221" s="21">
        <v>150</v>
      </c>
      <c r="N221" s="21"/>
      <c r="O221" s="21">
        <v>30</v>
      </c>
      <c r="P221" s="21"/>
      <c r="Q221" s="22">
        <f t="shared" si="3"/>
        <v>542</v>
      </c>
    </row>
    <row r="222" spans="1:17" ht="15.75" customHeight="1">
      <c r="A222" s="23">
        <v>220</v>
      </c>
      <c r="B222" s="24" t="s">
        <v>705</v>
      </c>
      <c r="C222" s="24" t="s">
        <v>480</v>
      </c>
      <c r="D222" s="24" t="s">
        <v>706</v>
      </c>
      <c r="E222" s="25"/>
      <c r="F222" s="25">
        <v>12</v>
      </c>
      <c r="G222" s="25">
        <v>11</v>
      </c>
      <c r="H222" s="25">
        <v>30</v>
      </c>
      <c r="I222" s="25"/>
      <c r="J222" s="25">
        <v>182</v>
      </c>
      <c r="K222" s="25">
        <v>20</v>
      </c>
      <c r="L222" s="25">
        <v>49</v>
      </c>
      <c r="M222" s="25">
        <v>184</v>
      </c>
      <c r="N222" s="25">
        <v>100</v>
      </c>
      <c r="O222" s="25">
        <v>12</v>
      </c>
      <c r="P222" s="25">
        <v>92</v>
      </c>
      <c r="Q222" s="22">
        <f t="shared" si="3"/>
        <v>692</v>
      </c>
    </row>
    <row r="223" spans="1:17" ht="15.75" customHeight="1">
      <c r="A223" s="19">
        <v>221</v>
      </c>
      <c r="B223" s="20" t="s">
        <v>707</v>
      </c>
      <c r="C223" s="20" t="s">
        <v>708</v>
      </c>
      <c r="D223" s="20" t="s">
        <v>709</v>
      </c>
      <c r="E223" s="21"/>
      <c r="F223" s="21"/>
      <c r="G223" s="21">
        <v>203</v>
      </c>
      <c r="H223" s="21">
        <v>70</v>
      </c>
      <c r="I223" s="21">
        <v>5</v>
      </c>
      <c r="J223" s="21"/>
      <c r="K223" s="21">
        <v>50</v>
      </c>
      <c r="L223" s="21">
        <v>52</v>
      </c>
      <c r="M223" s="21">
        <v>60</v>
      </c>
      <c r="N223" s="21">
        <v>10</v>
      </c>
      <c r="O223" s="21">
        <v>74</v>
      </c>
      <c r="P223" s="21">
        <v>60</v>
      </c>
      <c r="Q223" s="22">
        <f t="shared" si="3"/>
        <v>584</v>
      </c>
    </row>
    <row r="224" spans="1:17" ht="15.75" customHeight="1">
      <c r="A224" s="23">
        <v>222</v>
      </c>
      <c r="B224" s="24" t="s">
        <v>3034</v>
      </c>
      <c r="C224" s="24" t="s">
        <v>3035</v>
      </c>
      <c r="D224" s="24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>
        <v>5</v>
      </c>
      <c r="Q224" s="22">
        <f t="shared" si="3"/>
        <v>5</v>
      </c>
    </row>
    <row r="225" spans="1:17" ht="15.75" customHeight="1">
      <c r="A225" s="19">
        <v>223</v>
      </c>
      <c r="B225" s="20" t="s">
        <v>710</v>
      </c>
      <c r="C225" s="20" t="s">
        <v>711</v>
      </c>
      <c r="D225" s="20" t="s">
        <v>712</v>
      </c>
      <c r="E225" s="21"/>
      <c r="F225" s="21"/>
      <c r="G225" s="21"/>
      <c r="H225" s="21"/>
      <c r="I225" s="21"/>
      <c r="J225" s="21">
        <v>100</v>
      </c>
      <c r="K225" s="21">
        <v>50</v>
      </c>
      <c r="L225" s="21">
        <v>59</v>
      </c>
      <c r="M225" s="21">
        <v>95</v>
      </c>
      <c r="N225" s="21">
        <v>10</v>
      </c>
      <c r="O225" s="21">
        <v>2</v>
      </c>
      <c r="P225" s="21">
        <v>40</v>
      </c>
      <c r="Q225" s="22">
        <f t="shared" si="3"/>
        <v>356</v>
      </c>
    </row>
    <row r="226" spans="1:17" ht="15.75" customHeight="1">
      <c r="A226" s="23">
        <v>224</v>
      </c>
      <c r="B226" s="24" t="s">
        <v>713</v>
      </c>
      <c r="C226" s="24" t="s">
        <v>714</v>
      </c>
      <c r="D226" s="24" t="s">
        <v>715</v>
      </c>
      <c r="E226" s="25"/>
      <c r="F226" s="25"/>
      <c r="G226" s="25"/>
      <c r="H226" s="25">
        <v>20</v>
      </c>
      <c r="I226" s="25"/>
      <c r="J226" s="25"/>
      <c r="K226" s="25">
        <v>1</v>
      </c>
      <c r="L226" s="25">
        <v>14</v>
      </c>
      <c r="M226" s="25"/>
      <c r="N226" s="25">
        <v>10</v>
      </c>
      <c r="O226" s="25">
        <v>7</v>
      </c>
      <c r="P226" s="25">
        <v>55</v>
      </c>
      <c r="Q226" s="22">
        <f t="shared" si="3"/>
        <v>107</v>
      </c>
    </row>
    <row r="227" spans="1:17" ht="15.75" customHeight="1">
      <c r="A227" s="19">
        <v>225</v>
      </c>
      <c r="B227" s="20" t="s">
        <v>2492</v>
      </c>
      <c r="C227" s="20" t="s">
        <v>2493</v>
      </c>
      <c r="D227" s="20"/>
      <c r="E227" s="21"/>
      <c r="F227" s="21">
        <v>80</v>
      </c>
      <c r="G227" s="21"/>
      <c r="H227" s="21"/>
      <c r="I227" s="21">
        <v>40</v>
      </c>
      <c r="J227" s="21"/>
      <c r="K227" s="21"/>
      <c r="L227" s="21"/>
      <c r="M227" s="21"/>
      <c r="N227" s="21"/>
      <c r="O227" s="21"/>
      <c r="P227" s="21"/>
      <c r="Q227" s="22">
        <f t="shared" si="3"/>
        <v>120</v>
      </c>
    </row>
    <row r="228" spans="1:17" ht="15.75" customHeight="1">
      <c r="A228" s="23">
        <v>226</v>
      </c>
      <c r="B228" s="24" t="s">
        <v>719</v>
      </c>
      <c r="C228" s="24" t="s">
        <v>720</v>
      </c>
      <c r="D228" s="24" t="s">
        <v>721</v>
      </c>
      <c r="E228" s="25">
        <v>16</v>
      </c>
      <c r="F228" s="25">
        <v>5</v>
      </c>
      <c r="G228" s="25">
        <v>30</v>
      </c>
      <c r="H228" s="25">
        <v>90</v>
      </c>
      <c r="I228" s="25"/>
      <c r="J228" s="25"/>
      <c r="K228" s="25">
        <v>16</v>
      </c>
      <c r="L228" s="25">
        <v>118</v>
      </c>
      <c r="M228" s="25"/>
      <c r="N228" s="25">
        <v>10</v>
      </c>
      <c r="O228" s="25">
        <v>117</v>
      </c>
      <c r="P228" s="25">
        <v>23</v>
      </c>
      <c r="Q228" s="22">
        <f t="shared" si="3"/>
        <v>425</v>
      </c>
    </row>
    <row r="229" spans="1:17" ht="15.75" customHeight="1">
      <c r="A229" s="19">
        <v>227</v>
      </c>
      <c r="B229" s="20" t="s">
        <v>722</v>
      </c>
      <c r="C229" s="20" t="s">
        <v>723</v>
      </c>
      <c r="D229" s="20" t="s">
        <v>724</v>
      </c>
      <c r="E229" s="21"/>
      <c r="F229" s="21"/>
      <c r="G229" s="21">
        <v>244</v>
      </c>
      <c r="H229" s="21"/>
      <c r="I229" s="21">
        <v>100</v>
      </c>
      <c r="J229" s="21"/>
      <c r="K229" s="21"/>
      <c r="L229" s="21">
        <v>51</v>
      </c>
      <c r="M229" s="21">
        <v>210</v>
      </c>
      <c r="N229" s="21"/>
      <c r="O229" s="21">
        <v>3</v>
      </c>
      <c r="P229" s="21">
        <v>300</v>
      </c>
      <c r="Q229" s="22">
        <f t="shared" si="3"/>
        <v>908</v>
      </c>
    </row>
    <row r="230" spans="1:17" ht="15.75" customHeight="1">
      <c r="A230" s="23">
        <v>228</v>
      </c>
      <c r="B230" s="24" t="s">
        <v>725</v>
      </c>
      <c r="C230" s="24" t="s">
        <v>726</v>
      </c>
      <c r="D230" s="24" t="s">
        <v>727</v>
      </c>
      <c r="E230" s="25"/>
      <c r="F230" s="25"/>
      <c r="G230" s="25">
        <v>2</v>
      </c>
      <c r="H230" s="25"/>
      <c r="I230" s="25"/>
      <c r="J230" s="25">
        <v>30</v>
      </c>
      <c r="K230" s="25">
        <v>77</v>
      </c>
      <c r="L230" s="25">
        <v>20</v>
      </c>
      <c r="M230" s="25">
        <v>50</v>
      </c>
      <c r="N230" s="25">
        <v>70</v>
      </c>
      <c r="O230" s="25"/>
      <c r="P230" s="25">
        <v>40</v>
      </c>
      <c r="Q230" s="22">
        <f t="shared" si="3"/>
        <v>289</v>
      </c>
    </row>
    <row r="231" spans="1:17" ht="15.75" customHeight="1">
      <c r="A231" s="19">
        <v>229</v>
      </c>
      <c r="B231" s="20" t="s">
        <v>728</v>
      </c>
      <c r="C231" s="20" t="s">
        <v>729</v>
      </c>
      <c r="D231" s="20" t="s">
        <v>730</v>
      </c>
      <c r="E231" s="21"/>
      <c r="F231" s="21"/>
      <c r="G231" s="21">
        <v>12</v>
      </c>
      <c r="H231" s="21"/>
      <c r="I231" s="21"/>
      <c r="J231" s="21"/>
      <c r="K231" s="21"/>
      <c r="L231" s="21">
        <v>23</v>
      </c>
      <c r="M231" s="21"/>
      <c r="N231" s="21"/>
      <c r="O231" s="21"/>
      <c r="P231" s="21"/>
      <c r="Q231" s="22">
        <f t="shared" si="3"/>
        <v>35</v>
      </c>
    </row>
    <row r="232" spans="1:17" ht="15.75" customHeight="1">
      <c r="A232" s="23">
        <v>230</v>
      </c>
      <c r="B232" s="24" t="s">
        <v>731</v>
      </c>
      <c r="C232" s="24" t="s">
        <v>732</v>
      </c>
      <c r="D232" s="24" t="s">
        <v>733</v>
      </c>
      <c r="E232" s="25"/>
      <c r="F232" s="25"/>
      <c r="G232" s="25"/>
      <c r="H232" s="25"/>
      <c r="I232" s="25"/>
      <c r="J232" s="25"/>
      <c r="K232" s="25"/>
      <c r="L232" s="25">
        <v>10</v>
      </c>
      <c r="M232" s="25"/>
      <c r="N232" s="25">
        <v>50</v>
      </c>
      <c r="O232" s="25"/>
      <c r="P232" s="25">
        <v>20</v>
      </c>
      <c r="Q232" s="22">
        <f t="shared" si="3"/>
        <v>80</v>
      </c>
    </row>
    <row r="233" spans="1:17" ht="15.75" customHeight="1">
      <c r="A233" s="19">
        <v>231</v>
      </c>
      <c r="B233" s="20" t="s">
        <v>734</v>
      </c>
      <c r="C233" s="20" t="s">
        <v>735</v>
      </c>
      <c r="D233" s="20" t="s">
        <v>736</v>
      </c>
      <c r="E233" s="21"/>
      <c r="F233" s="21"/>
      <c r="G233" s="21"/>
      <c r="H233" s="21"/>
      <c r="I233" s="21">
        <v>10</v>
      </c>
      <c r="J233" s="21"/>
      <c r="K233" s="21">
        <v>3</v>
      </c>
      <c r="L233" s="21">
        <v>54</v>
      </c>
      <c r="M233" s="21"/>
      <c r="N233" s="21"/>
      <c r="O233" s="21"/>
      <c r="P233" s="21"/>
      <c r="Q233" s="22">
        <f t="shared" si="3"/>
        <v>67</v>
      </c>
    </row>
    <row r="234" spans="1:17" ht="15.75" customHeight="1">
      <c r="A234" s="23">
        <v>232</v>
      </c>
      <c r="B234" s="24" t="s">
        <v>737</v>
      </c>
      <c r="C234" s="24" t="s">
        <v>738</v>
      </c>
      <c r="D234" s="24" t="s">
        <v>739</v>
      </c>
      <c r="E234" s="25"/>
      <c r="F234" s="25">
        <v>50</v>
      </c>
      <c r="G234" s="25"/>
      <c r="H234" s="25"/>
      <c r="I234" s="25"/>
      <c r="J234" s="25"/>
      <c r="K234" s="25"/>
      <c r="L234" s="25">
        <v>100</v>
      </c>
      <c r="M234" s="25">
        <v>70</v>
      </c>
      <c r="N234" s="25"/>
      <c r="O234" s="25"/>
      <c r="P234" s="25"/>
      <c r="Q234" s="22">
        <f t="shared" si="3"/>
        <v>220</v>
      </c>
    </row>
    <row r="235" spans="1:17" ht="15.75" customHeight="1">
      <c r="A235" s="19">
        <v>233</v>
      </c>
      <c r="B235" s="20" t="s">
        <v>740</v>
      </c>
      <c r="C235" s="20" t="s">
        <v>741</v>
      </c>
      <c r="D235" s="20" t="s">
        <v>742</v>
      </c>
      <c r="E235" s="21"/>
      <c r="F235" s="21"/>
      <c r="G235" s="21">
        <v>28</v>
      </c>
      <c r="H235" s="21"/>
      <c r="I235" s="21"/>
      <c r="J235" s="21">
        <v>20</v>
      </c>
      <c r="K235" s="21"/>
      <c r="L235" s="21"/>
      <c r="M235" s="21">
        <v>100</v>
      </c>
      <c r="N235" s="21">
        <v>30</v>
      </c>
      <c r="O235" s="21"/>
      <c r="P235" s="21">
        <v>50</v>
      </c>
      <c r="Q235" s="22">
        <f t="shared" si="3"/>
        <v>228</v>
      </c>
    </row>
    <row r="236" spans="1:17" ht="15.75" customHeight="1">
      <c r="A236" s="23">
        <v>234</v>
      </c>
      <c r="B236" s="24" t="s">
        <v>2494</v>
      </c>
      <c r="C236" s="24" t="s">
        <v>2495</v>
      </c>
      <c r="D236" s="24" t="s">
        <v>2496</v>
      </c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>
        <v>10</v>
      </c>
      <c r="Q236" s="22">
        <f t="shared" si="3"/>
        <v>10</v>
      </c>
    </row>
    <row r="237" spans="1:17" ht="15.75" customHeight="1">
      <c r="A237" s="19">
        <v>235</v>
      </c>
      <c r="B237" s="20" t="s">
        <v>2497</v>
      </c>
      <c r="C237" s="20" t="s">
        <v>2498</v>
      </c>
      <c r="D237" s="20"/>
      <c r="E237" s="21"/>
      <c r="F237" s="21"/>
      <c r="G237" s="21"/>
      <c r="H237" s="21"/>
      <c r="I237" s="21">
        <v>10</v>
      </c>
      <c r="J237" s="21"/>
      <c r="K237" s="21"/>
      <c r="L237" s="21"/>
      <c r="M237" s="21"/>
      <c r="N237" s="21"/>
      <c r="O237" s="21"/>
      <c r="P237" s="21"/>
      <c r="Q237" s="22">
        <f t="shared" si="3"/>
        <v>10</v>
      </c>
    </row>
    <row r="238" spans="1:17" ht="15.75" customHeight="1">
      <c r="A238" s="23">
        <v>236</v>
      </c>
      <c r="B238" s="24" t="s">
        <v>743</v>
      </c>
      <c r="C238" s="24" t="s">
        <v>744</v>
      </c>
      <c r="D238" s="24" t="s">
        <v>745</v>
      </c>
      <c r="E238" s="25">
        <v>50</v>
      </c>
      <c r="F238" s="25">
        <v>3</v>
      </c>
      <c r="G238" s="25">
        <v>140</v>
      </c>
      <c r="H238" s="25">
        <v>24</v>
      </c>
      <c r="I238" s="25">
        <v>50</v>
      </c>
      <c r="J238" s="25">
        <v>1022</v>
      </c>
      <c r="K238" s="25">
        <v>50</v>
      </c>
      <c r="L238" s="25">
        <v>8</v>
      </c>
      <c r="M238" s="25">
        <v>554</v>
      </c>
      <c r="N238" s="25">
        <v>100</v>
      </c>
      <c r="O238" s="25">
        <v>494</v>
      </c>
      <c r="P238" s="25">
        <v>239</v>
      </c>
      <c r="Q238" s="22">
        <f t="shared" si="3"/>
        <v>2734</v>
      </c>
    </row>
    <row r="239" spans="1:17" ht="15.75" customHeight="1">
      <c r="A239" s="19">
        <v>237</v>
      </c>
      <c r="B239" s="20" t="s">
        <v>746</v>
      </c>
      <c r="C239" s="20" t="s">
        <v>747</v>
      </c>
      <c r="D239" s="20" t="s">
        <v>748</v>
      </c>
      <c r="E239" s="21"/>
      <c r="F239" s="21"/>
      <c r="G239" s="21"/>
      <c r="H239" s="21">
        <v>10</v>
      </c>
      <c r="I239" s="21"/>
      <c r="J239" s="21"/>
      <c r="K239" s="21">
        <v>95</v>
      </c>
      <c r="L239" s="21">
        <v>50</v>
      </c>
      <c r="M239" s="21">
        <v>113</v>
      </c>
      <c r="N239" s="21"/>
      <c r="O239" s="21">
        <v>150</v>
      </c>
      <c r="P239" s="21">
        <v>100</v>
      </c>
      <c r="Q239" s="22">
        <f t="shared" si="3"/>
        <v>518</v>
      </c>
    </row>
    <row r="240" spans="1:17" ht="15.75" customHeight="1">
      <c r="A240" s="23">
        <v>238</v>
      </c>
      <c r="B240" s="24" t="s">
        <v>749</v>
      </c>
      <c r="C240" s="24" t="s">
        <v>430</v>
      </c>
      <c r="D240" s="24"/>
      <c r="E240" s="25"/>
      <c r="F240" s="25"/>
      <c r="G240" s="25"/>
      <c r="H240" s="25"/>
      <c r="I240" s="25">
        <v>15</v>
      </c>
      <c r="J240" s="25">
        <v>10</v>
      </c>
      <c r="K240" s="25"/>
      <c r="L240" s="25"/>
      <c r="M240" s="25"/>
      <c r="N240" s="25"/>
      <c r="O240" s="25"/>
      <c r="P240" s="25">
        <v>15</v>
      </c>
      <c r="Q240" s="22">
        <f t="shared" si="3"/>
        <v>40</v>
      </c>
    </row>
    <row r="241" spans="1:17" ht="15.75" customHeight="1">
      <c r="A241" s="19">
        <v>239</v>
      </c>
      <c r="B241" s="20" t="s">
        <v>3036</v>
      </c>
      <c r="C241" s="20" t="s">
        <v>3037</v>
      </c>
      <c r="D241" s="20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>
        <v>10</v>
      </c>
      <c r="Q241" s="22">
        <f t="shared" si="3"/>
        <v>10</v>
      </c>
    </row>
    <row r="242" spans="1:17" ht="15.75" customHeight="1">
      <c r="A242" s="23">
        <v>240</v>
      </c>
      <c r="B242" s="24" t="s">
        <v>752</v>
      </c>
      <c r="C242" s="24" t="s">
        <v>753</v>
      </c>
      <c r="D242" s="24"/>
      <c r="E242" s="25"/>
      <c r="F242" s="25"/>
      <c r="G242" s="25"/>
      <c r="H242" s="25"/>
      <c r="I242" s="25">
        <v>28</v>
      </c>
      <c r="J242" s="25"/>
      <c r="K242" s="25"/>
      <c r="L242" s="25"/>
      <c r="M242" s="25"/>
      <c r="N242" s="25"/>
      <c r="O242" s="25"/>
      <c r="P242" s="25"/>
      <c r="Q242" s="22">
        <f t="shared" si="3"/>
        <v>28</v>
      </c>
    </row>
    <row r="243" spans="1:17" ht="15.75" customHeight="1">
      <c r="A243" s="19">
        <v>241</v>
      </c>
      <c r="B243" s="20" t="s">
        <v>754</v>
      </c>
      <c r="C243" s="20" t="s">
        <v>755</v>
      </c>
      <c r="D243" s="20"/>
      <c r="E243" s="21"/>
      <c r="F243" s="21"/>
      <c r="G243" s="21"/>
      <c r="H243" s="21"/>
      <c r="I243" s="21">
        <v>20</v>
      </c>
      <c r="J243" s="21"/>
      <c r="K243" s="21">
        <v>12</v>
      </c>
      <c r="L243" s="21"/>
      <c r="M243" s="21">
        <v>46</v>
      </c>
      <c r="N243" s="21"/>
      <c r="O243" s="21"/>
      <c r="P243" s="21"/>
      <c r="Q243" s="22">
        <f t="shared" si="3"/>
        <v>78</v>
      </c>
    </row>
    <row r="244" spans="1:17" ht="15.75" customHeight="1">
      <c r="A244" s="23">
        <v>242</v>
      </c>
      <c r="B244" s="24" t="s">
        <v>3038</v>
      </c>
      <c r="C244" s="24" t="s">
        <v>3039</v>
      </c>
      <c r="D244" s="24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>
        <v>10</v>
      </c>
      <c r="Q244" s="22">
        <f t="shared" si="3"/>
        <v>10</v>
      </c>
    </row>
    <row r="245" spans="1:17" ht="15.75" customHeight="1">
      <c r="A245" s="19">
        <v>243</v>
      </c>
      <c r="B245" s="20" t="s">
        <v>3040</v>
      </c>
      <c r="C245" s="20" t="s">
        <v>3041</v>
      </c>
      <c r="D245" s="20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>
        <v>10</v>
      </c>
      <c r="Q245" s="22">
        <f t="shared" si="3"/>
        <v>10</v>
      </c>
    </row>
    <row r="246" spans="1:17" ht="15.75" customHeight="1">
      <c r="A246" s="23">
        <v>244</v>
      </c>
      <c r="B246" s="24" t="s">
        <v>3042</v>
      </c>
      <c r="C246" s="24" t="s">
        <v>3043</v>
      </c>
      <c r="D246" s="24"/>
      <c r="E246" s="25"/>
      <c r="F246" s="25"/>
      <c r="G246" s="25"/>
      <c r="H246" s="25">
        <v>4</v>
      </c>
      <c r="I246" s="25"/>
      <c r="J246" s="25"/>
      <c r="K246" s="25"/>
      <c r="L246" s="25"/>
      <c r="M246" s="25"/>
      <c r="N246" s="25"/>
      <c r="O246" s="25"/>
      <c r="P246" s="25"/>
      <c r="Q246" s="22">
        <f t="shared" si="3"/>
        <v>4</v>
      </c>
    </row>
    <row r="247" spans="1:17" ht="15.75" customHeight="1">
      <c r="A247" s="19">
        <v>245</v>
      </c>
      <c r="B247" s="20" t="s">
        <v>3044</v>
      </c>
      <c r="C247" s="20" t="s">
        <v>3045</v>
      </c>
      <c r="D247" s="20"/>
      <c r="E247" s="21"/>
      <c r="F247" s="21"/>
      <c r="G247" s="21"/>
      <c r="H247" s="21"/>
      <c r="I247" s="21"/>
      <c r="J247" s="21"/>
      <c r="K247" s="21"/>
      <c r="L247" s="21"/>
      <c r="M247" s="21"/>
      <c r="N247" s="21">
        <v>1004</v>
      </c>
      <c r="O247" s="21"/>
      <c r="P247" s="21"/>
      <c r="Q247" s="22">
        <f t="shared" si="3"/>
        <v>1004</v>
      </c>
    </row>
    <row r="248" spans="1:17" ht="15.75" customHeight="1">
      <c r="A248" s="23">
        <v>246</v>
      </c>
      <c r="B248" s="24" t="s">
        <v>765</v>
      </c>
      <c r="C248" s="24" t="s">
        <v>766</v>
      </c>
      <c r="D248" s="24"/>
      <c r="E248" s="25"/>
      <c r="F248" s="25">
        <v>200</v>
      </c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2">
        <f t="shared" si="3"/>
        <v>200</v>
      </c>
    </row>
    <row r="249" spans="1:17" ht="15.75" customHeight="1">
      <c r="A249" s="19">
        <v>247</v>
      </c>
      <c r="B249" s="20" t="s">
        <v>2505</v>
      </c>
      <c r="C249" s="20" t="s">
        <v>2506</v>
      </c>
      <c r="D249" s="20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>
        <v>200</v>
      </c>
      <c r="Q249" s="22">
        <f t="shared" si="3"/>
        <v>200</v>
      </c>
    </row>
    <row r="250" spans="1:17" ht="15.75" customHeight="1">
      <c r="A250" s="23">
        <v>248</v>
      </c>
      <c r="B250" s="24" t="s">
        <v>3046</v>
      </c>
      <c r="C250" s="24" t="s">
        <v>3047</v>
      </c>
      <c r="D250" s="24"/>
      <c r="E250" s="25"/>
      <c r="F250" s="25"/>
      <c r="G250" s="25"/>
      <c r="H250" s="25">
        <v>200</v>
      </c>
      <c r="I250" s="25"/>
      <c r="J250" s="25"/>
      <c r="K250" s="25"/>
      <c r="L250" s="25"/>
      <c r="M250" s="25"/>
      <c r="N250" s="25"/>
      <c r="O250" s="25"/>
      <c r="P250" s="25"/>
      <c r="Q250" s="22">
        <f t="shared" si="3"/>
        <v>200</v>
      </c>
    </row>
    <row r="251" spans="1:17" ht="15.75" customHeight="1">
      <c r="A251" s="19">
        <v>249</v>
      </c>
      <c r="B251" s="20" t="s">
        <v>2509</v>
      </c>
      <c r="C251" s="20" t="s">
        <v>2510</v>
      </c>
      <c r="D251" s="20"/>
      <c r="E251" s="21"/>
      <c r="F251" s="21"/>
      <c r="G251" s="21"/>
      <c r="H251" s="21"/>
      <c r="I251" s="21">
        <v>1</v>
      </c>
      <c r="J251" s="21"/>
      <c r="K251" s="21"/>
      <c r="L251" s="21"/>
      <c r="M251" s="21"/>
      <c r="N251" s="21"/>
      <c r="O251" s="21">
        <v>4</v>
      </c>
      <c r="P251" s="21"/>
      <c r="Q251" s="22">
        <f t="shared" si="3"/>
        <v>5</v>
      </c>
    </row>
    <row r="252" spans="1:17" ht="15.75" customHeight="1">
      <c r="A252" s="23">
        <v>250</v>
      </c>
      <c r="B252" s="24" t="s">
        <v>767</v>
      </c>
      <c r="C252" s="24" t="s">
        <v>768</v>
      </c>
      <c r="D252" s="24"/>
      <c r="E252" s="25"/>
      <c r="F252" s="25"/>
      <c r="G252" s="25">
        <v>4</v>
      </c>
      <c r="H252" s="25"/>
      <c r="I252" s="25"/>
      <c r="J252" s="25"/>
      <c r="K252" s="25"/>
      <c r="L252" s="25"/>
      <c r="M252" s="25">
        <v>20</v>
      </c>
      <c r="N252" s="25"/>
      <c r="O252" s="25">
        <v>22</v>
      </c>
      <c r="P252" s="25"/>
      <c r="Q252" s="22">
        <f t="shared" si="3"/>
        <v>46</v>
      </c>
    </row>
    <row r="253" spans="1:17" ht="15.75" customHeight="1">
      <c r="A253" s="19">
        <v>251</v>
      </c>
      <c r="B253" s="20" t="s">
        <v>769</v>
      </c>
      <c r="C253" s="20" t="s">
        <v>770</v>
      </c>
      <c r="D253" s="20" t="s">
        <v>771</v>
      </c>
      <c r="E253" s="21">
        <v>5</v>
      </c>
      <c r="F253" s="21">
        <v>2</v>
      </c>
      <c r="G253" s="21">
        <v>2</v>
      </c>
      <c r="H253" s="21">
        <v>1</v>
      </c>
      <c r="I253" s="21"/>
      <c r="J253" s="21"/>
      <c r="K253" s="21"/>
      <c r="L253" s="21"/>
      <c r="M253" s="21">
        <v>10</v>
      </c>
      <c r="N253" s="21"/>
      <c r="O253" s="21">
        <v>20</v>
      </c>
      <c r="P253" s="21"/>
      <c r="Q253" s="22">
        <f t="shared" si="3"/>
        <v>40</v>
      </c>
    </row>
    <row r="254" spans="1:17" ht="15.75" customHeight="1">
      <c r="A254" s="23">
        <v>252</v>
      </c>
      <c r="B254" s="24" t="s">
        <v>772</v>
      </c>
      <c r="C254" s="24" t="s">
        <v>773</v>
      </c>
      <c r="D254" s="24" t="s">
        <v>774</v>
      </c>
      <c r="E254" s="25"/>
      <c r="F254" s="25"/>
      <c r="G254" s="25">
        <v>4</v>
      </c>
      <c r="H254" s="25"/>
      <c r="I254" s="25"/>
      <c r="J254" s="25"/>
      <c r="K254" s="25">
        <v>1</v>
      </c>
      <c r="L254" s="25">
        <v>1</v>
      </c>
      <c r="M254" s="25">
        <v>1</v>
      </c>
      <c r="N254" s="25">
        <v>1</v>
      </c>
      <c r="O254" s="25">
        <v>2</v>
      </c>
      <c r="P254" s="25"/>
      <c r="Q254" s="22">
        <f t="shared" si="3"/>
        <v>10</v>
      </c>
    </row>
    <row r="255" spans="1:17" ht="15.75" customHeight="1">
      <c r="A255" s="19">
        <v>253</v>
      </c>
      <c r="B255" s="20" t="s">
        <v>775</v>
      </c>
      <c r="C255" s="20" t="s">
        <v>776</v>
      </c>
      <c r="D255" s="20" t="s">
        <v>777</v>
      </c>
      <c r="E255" s="21">
        <v>10</v>
      </c>
      <c r="F255" s="21">
        <v>52</v>
      </c>
      <c r="G255" s="21">
        <v>351</v>
      </c>
      <c r="H255" s="21">
        <v>30</v>
      </c>
      <c r="I255" s="21">
        <v>5</v>
      </c>
      <c r="J255" s="21">
        <v>20</v>
      </c>
      <c r="K255" s="21">
        <v>22</v>
      </c>
      <c r="L255" s="21">
        <v>50</v>
      </c>
      <c r="M255" s="21">
        <v>119</v>
      </c>
      <c r="N255" s="21">
        <v>360</v>
      </c>
      <c r="O255" s="21">
        <v>153</v>
      </c>
      <c r="P255" s="21">
        <v>439</v>
      </c>
      <c r="Q255" s="22">
        <f t="shared" si="3"/>
        <v>1611</v>
      </c>
    </row>
    <row r="256" spans="1:17" ht="15.75" customHeight="1">
      <c r="A256" s="23">
        <v>254</v>
      </c>
      <c r="B256" s="24" t="s">
        <v>778</v>
      </c>
      <c r="C256" s="24" t="s">
        <v>779</v>
      </c>
      <c r="D256" s="24" t="s">
        <v>780</v>
      </c>
      <c r="E256" s="25"/>
      <c r="F256" s="25">
        <v>60</v>
      </c>
      <c r="G256" s="25">
        <v>300</v>
      </c>
      <c r="H256" s="25">
        <v>90</v>
      </c>
      <c r="I256" s="25">
        <v>162</v>
      </c>
      <c r="J256" s="25"/>
      <c r="K256" s="25"/>
      <c r="L256" s="25">
        <v>1103</v>
      </c>
      <c r="M256" s="25">
        <v>700</v>
      </c>
      <c r="N256" s="25">
        <v>100</v>
      </c>
      <c r="O256" s="25">
        <v>757</v>
      </c>
      <c r="P256" s="25">
        <v>2255</v>
      </c>
      <c r="Q256" s="22">
        <f t="shared" si="3"/>
        <v>5527</v>
      </c>
    </row>
    <row r="257" spans="1:17" ht="15.75" customHeight="1">
      <c r="A257" s="19">
        <v>255</v>
      </c>
      <c r="B257" s="20" t="s">
        <v>3048</v>
      </c>
      <c r="C257" s="20" t="s">
        <v>3049</v>
      </c>
      <c r="D257" s="20" t="s">
        <v>3050</v>
      </c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>
        <v>30</v>
      </c>
      <c r="Q257" s="22">
        <f t="shared" si="3"/>
        <v>30</v>
      </c>
    </row>
    <row r="258" spans="1:17" ht="15.75" customHeight="1">
      <c r="A258" s="23">
        <v>256</v>
      </c>
      <c r="B258" s="24" t="s">
        <v>781</v>
      </c>
      <c r="C258" s="24" t="s">
        <v>782</v>
      </c>
      <c r="D258" s="24" t="s">
        <v>783</v>
      </c>
      <c r="E258" s="25"/>
      <c r="F258" s="25"/>
      <c r="G258" s="25"/>
      <c r="H258" s="25"/>
      <c r="I258" s="25"/>
      <c r="J258" s="25"/>
      <c r="K258" s="25"/>
      <c r="L258" s="25">
        <v>100</v>
      </c>
      <c r="M258" s="25"/>
      <c r="N258" s="25"/>
      <c r="O258" s="25"/>
      <c r="P258" s="25">
        <v>20</v>
      </c>
      <c r="Q258" s="22">
        <f t="shared" si="3"/>
        <v>120</v>
      </c>
    </row>
    <row r="259" spans="1:17" ht="15.75" customHeight="1">
      <c r="A259" s="19">
        <v>257</v>
      </c>
      <c r="B259" s="20" t="s">
        <v>787</v>
      </c>
      <c r="C259" s="20" t="s">
        <v>788</v>
      </c>
      <c r="D259" s="20" t="s">
        <v>789</v>
      </c>
      <c r="E259" s="21"/>
      <c r="F259" s="21"/>
      <c r="G259" s="21"/>
      <c r="H259" s="21"/>
      <c r="I259" s="21"/>
      <c r="J259" s="21"/>
      <c r="K259" s="21"/>
      <c r="L259" s="21">
        <v>100</v>
      </c>
      <c r="M259" s="21">
        <v>1</v>
      </c>
      <c r="N259" s="21"/>
      <c r="O259" s="21"/>
      <c r="P259" s="21"/>
      <c r="Q259" s="22">
        <f t="shared" ref="Q259:Q322" si="4">SUM(E259:P259)</f>
        <v>101</v>
      </c>
    </row>
    <row r="260" spans="1:17" ht="15.75" customHeight="1">
      <c r="A260" s="23">
        <v>258</v>
      </c>
      <c r="B260" s="24" t="s">
        <v>3051</v>
      </c>
      <c r="C260" s="24" t="s">
        <v>3052</v>
      </c>
      <c r="D260" s="24" t="s">
        <v>3053</v>
      </c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>
        <v>20</v>
      </c>
      <c r="P260" s="25">
        <v>30</v>
      </c>
      <c r="Q260" s="22">
        <f t="shared" si="4"/>
        <v>50</v>
      </c>
    </row>
    <row r="261" spans="1:17" ht="15.75" customHeight="1">
      <c r="A261" s="19">
        <v>259</v>
      </c>
      <c r="B261" s="20" t="s">
        <v>790</v>
      </c>
      <c r="C261" s="20" t="s">
        <v>791</v>
      </c>
      <c r="D261" s="20"/>
      <c r="E261" s="21"/>
      <c r="F261" s="21">
        <v>64</v>
      </c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2">
        <f t="shared" si="4"/>
        <v>64</v>
      </c>
    </row>
    <row r="262" spans="1:17" ht="15.75" customHeight="1">
      <c r="A262" s="23">
        <v>260</v>
      </c>
      <c r="B262" s="24" t="s">
        <v>792</v>
      </c>
      <c r="C262" s="24" t="s">
        <v>793</v>
      </c>
      <c r="D262" s="24" t="s">
        <v>794</v>
      </c>
      <c r="E262" s="25"/>
      <c r="F262" s="25"/>
      <c r="G262" s="25">
        <v>2</v>
      </c>
      <c r="H262" s="25"/>
      <c r="I262" s="25"/>
      <c r="J262" s="25"/>
      <c r="K262" s="25"/>
      <c r="L262" s="25"/>
      <c r="M262" s="25"/>
      <c r="N262" s="25">
        <v>2</v>
      </c>
      <c r="O262" s="25"/>
      <c r="P262" s="25"/>
      <c r="Q262" s="22">
        <f t="shared" si="4"/>
        <v>4</v>
      </c>
    </row>
    <row r="263" spans="1:17" ht="15.75" customHeight="1">
      <c r="A263" s="19">
        <v>261</v>
      </c>
      <c r="B263" s="20" t="s">
        <v>795</v>
      </c>
      <c r="C263" s="20" t="s">
        <v>796</v>
      </c>
      <c r="D263" s="20" t="s">
        <v>797</v>
      </c>
      <c r="E263" s="21"/>
      <c r="F263" s="21"/>
      <c r="G263" s="21"/>
      <c r="H263" s="21"/>
      <c r="I263" s="21">
        <v>300</v>
      </c>
      <c r="J263" s="21"/>
      <c r="K263" s="21"/>
      <c r="L263" s="21"/>
      <c r="M263" s="21"/>
      <c r="N263" s="21"/>
      <c r="O263" s="21"/>
      <c r="P263" s="21"/>
      <c r="Q263" s="22">
        <f t="shared" si="4"/>
        <v>300</v>
      </c>
    </row>
    <row r="264" spans="1:17" ht="15.75" customHeight="1">
      <c r="A264" s="23">
        <v>262</v>
      </c>
      <c r="B264" s="24" t="s">
        <v>798</v>
      </c>
      <c r="C264" s="24" t="s">
        <v>799</v>
      </c>
      <c r="D264" s="24" t="s">
        <v>800</v>
      </c>
      <c r="E264" s="25">
        <v>10</v>
      </c>
      <c r="F264" s="25">
        <v>50</v>
      </c>
      <c r="G264" s="25">
        <v>54</v>
      </c>
      <c r="H264" s="25">
        <v>50</v>
      </c>
      <c r="I264" s="25">
        <v>31</v>
      </c>
      <c r="J264" s="25">
        <v>52</v>
      </c>
      <c r="K264" s="25">
        <v>53</v>
      </c>
      <c r="L264" s="25">
        <v>11</v>
      </c>
      <c r="M264" s="25">
        <v>110</v>
      </c>
      <c r="N264" s="25">
        <v>50</v>
      </c>
      <c r="O264" s="25">
        <v>111</v>
      </c>
      <c r="P264" s="25">
        <v>200</v>
      </c>
      <c r="Q264" s="22">
        <f t="shared" si="4"/>
        <v>782</v>
      </c>
    </row>
    <row r="265" spans="1:17" ht="15.75" customHeight="1">
      <c r="A265" s="19">
        <v>263</v>
      </c>
      <c r="B265" s="20" t="s">
        <v>801</v>
      </c>
      <c r="C265" s="20" t="s">
        <v>802</v>
      </c>
      <c r="D265" s="20" t="s">
        <v>803</v>
      </c>
      <c r="E265" s="21"/>
      <c r="F265" s="21">
        <v>55</v>
      </c>
      <c r="G265" s="21">
        <v>50</v>
      </c>
      <c r="H265" s="21">
        <v>352</v>
      </c>
      <c r="I265" s="21">
        <v>182</v>
      </c>
      <c r="J265" s="21"/>
      <c r="K265" s="21"/>
      <c r="L265" s="21">
        <v>812</v>
      </c>
      <c r="M265" s="21">
        <v>823</v>
      </c>
      <c r="N265" s="21"/>
      <c r="O265" s="21">
        <v>600</v>
      </c>
      <c r="P265" s="21">
        <v>813</v>
      </c>
      <c r="Q265" s="22">
        <f t="shared" si="4"/>
        <v>3687</v>
      </c>
    </row>
    <row r="266" spans="1:17" ht="15.75" customHeight="1">
      <c r="A266" s="23">
        <v>264</v>
      </c>
      <c r="B266" s="24" t="s">
        <v>3054</v>
      </c>
      <c r="C266" s="24" t="s">
        <v>3055</v>
      </c>
      <c r="D266" s="24" t="s">
        <v>3056</v>
      </c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>
        <v>30</v>
      </c>
      <c r="Q266" s="22">
        <f t="shared" si="4"/>
        <v>30</v>
      </c>
    </row>
    <row r="267" spans="1:17" ht="15.75" customHeight="1">
      <c r="A267" s="19">
        <v>265</v>
      </c>
      <c r="B267" s="20" t="s">
        <v>3057</v>
      </c>
      <c r="C267" s="20" t="s">
        <v>3058</v>
      </c>
      <c r="D267" s="20" t="s">
        <v>3059</v>
      </c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>
        <v>20</v>
      </c>
      <c r="Q267" s="22">
        <f t="shared" si="4"/>
        <v>20</v>
      </c>
    </row>
    <row r="268" spans="1:17" ht="15.75" customHeight="1">
      <c r="A268" s="23">
        <v>266</v>
      </c>
      <c r="B268" s="24" t="s">
        <v>3060</v>
      </c>
      <c r="C268" s="24" t="s">
        <v>3061</v>
      </c>
      <c r="D268" s="24" t="s">
        <v>3062</v>
      </c>
      <c r="E268" s="25"/>
      <c r="F268" s="25"/>
      <c r="G268" s="25"/>
      <c r="H268" s="25"/>
      <c r="I268" s="25">
        <v>50</v>
      </c>
      <c r="J268" s="25"/>
      <c r="K268" s="25"/>
      <c r="L268" s="25"/>
      <c r="M268" s="25"/>
      <c r="N268" s="25"/>
      <c r="O268" s="25"/>
      <c r="P268" s="25">
        <v>30</v>
      </c>
      <c r="Q268" s="22">
        <f t="shared" si="4"/>
        <v>80</v>
      </c>
    </row>
    <row r="269" spans="1:17" ht="15.75" customHeight="1">
      <c r="A269" s="19">
        <v>267</v>
      </c>
      <c r="B269" s="20" t="s">
        <v>3063</v>
      </c>
      <c r="C269" s="20" t="s">
        <v>3064</v>
      </c>
      <c r="D269" s="20" t="s">
        <v>3065</v>
      </c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>
        <v>20</v>
      </c>
      <c r="Q269" s="22">
        <f t="shared" si="4"/>
        <v>20</v>
      </c>
    </row>
    <row r="270" spans="1:17" ht="15.75" customHeight="1">
      <c r="A270" s="23">
        <v>268</v>
      </c>
      <c r="B270" s="24" t="s">
        <v>804</v>
      </c>
      <c r="C270" s="24" t="s">
        <v>805</v>
      </c>
      <c r="D270" s="24" t="s">
        <v>806</v>
      </c>
      <c r="E270" s="25"/>
      <c r="F270" s="25"/>
      <c r="G270" s="25"/>
      <c r="H270" s="25"/>
      <c r="I270" s="25"/>
      <c r="J270" s="25"/>
      <c r="K270" s="25">
        <v>50</v>
      </c>
      <c r="L270" s="25"/>
      <c r="M270" s="25"/>
      <c r="N270" s="25"/>
      <c r="O270" s="25"/>
      <c r="P270" s="25"/>
      <c r="Q270" s="22">
        <f t="shared" si="4"/>
        <v>50</v>
      </c>
    </row>
    <row r="271" spans="1:17" ht="15.75" customHeight="1">
      <c r="A271" s="19">
        <v>269</v>
      </c>
      <c r="B271" s="20" t="s">
        <v>807</v>
      </c>
      <c r="C271" s="20" t="s">
        <v>808</v>
      </c>
      <c r="D271" s="20" t="s">
        <v>809</v>
      </c>
      <c r="E271" s="21"/>
      <c r="F271" s="21"/>
      <c r="G271" s="21"/>
      <c r="H271" s="21"/>
      <c r="I271" s="21"/>
      <c r="J271" s="21"/>
      <c r="K271" s="21">
        <v>50</v>
      </c>
      <c r="L271" s="21"/>
      <c r="M271" s="21"/>
      <c r="N271" s="21"/>
      <c r="O271" s="21"/>
      <c r="P271" s="21"/>
      <c r="Q271" s="22">
        <f t="shared" si="4"/>
        <v>50</v>
      </c>
    </row>
    <row r="272" spans="1:17" ht="15.75" customHeight="1">
      <c r="A272" s="23">
        <v>270</v>
      </c>
      <c r="B272" s="24" t="s">
        <v>810</v>
      </c>
      <c r="C272" s="24" t="s">
        <v>811</v>
      </c>
      <c r="D272" s="24" t="s">
        <v>812</v>
      </c>
      <c r="E272" s="25"/>
      <c r="F272" s="25">
        <v>249</v>
      </c>
      <c r="G272" s="25"/>
      <c r="H272" s="25"/>
      <c r="I272" s="25"/>
      <c r="J272" s="25">
        <v>10</v>
      </c>
      <c r="K272" s="25">
        <v>10</v>
      </c>
      <c r="L272" s="25">
        <v>10</v>
      </c>
      <c r="M272" s="25"/>
      <c r="N272" s="25"/>
      <c r="O272" s="25">
        <v>10</v>
      </c>
      <c r="P272" s="25">
        <v>124</v>
      </c>
      <c r="Q272" s="22">
        <f t="shared" si="4"/>
        <v>413</v>
      </c>
    </row>
    <row r="273" spans="1:17" ht="15.75" customHeight="1">
      <c r="A273" s="19">
        <v>271</v>
      </c>
      <c r="B273" s="20" t="s">
        <v>813</v>
      </c>
      <c r="C273" s="20" t="s">
        <v>814</v>
      </c>
      <c r="D273" s="20" t="s">
        <v>815</v>
      </c>
      <c r="E273" s="21"/>
      <c r="F273" s="21">
        <v>100</v>
      </c>
      <c r="G273" s="21">
        <v>27</v>
      </c>
      <c r="H273" s="21"/>
      <c r="I273" s="21"/>
      <c r="J273" s="21">
        <v>143</v>
      </c>
      <c r="K273" s="21">
        <v>500</v>
      </c>
      <c r="L273" s="21"/>
      <c r="M273" s="21">
        <v>101</v>
      </c>
      <c r="N273" s="21">
        <v>200</v>
      </c>
      <c r="O273" s="21"/>
      <c r="P273" s="21"/>
      <c r="Q273" s="22">
        <f t="shared" si="4"/>
        <v>1071</v>
      </c>
    </row>
    <row r="274" spans="1:17" ht="15.75" customHeight="1">
      <c r="A274" s="23">
        <v>272</v>
      </c>
      <c r="B274" s="24" t="s">
        <v>3066</v>
      </c>
      <c r="C274" s="24" t="s">
        <v>3067</v>
      </c>
      <c r="D274" s="24"/>
      <c r="E274" s="25"/>
      <c r="F274" s="25"/>
      <c r="G274" s="25"/>
      <c r="H274" s="25"/>
      <c r="I274" s="25">
        <v>1</v>
      </c>
      <c r="J274" s="25"/>
      <c r="K274" s="25"/>
      <c r="L274" s="25"/>
      <c r="M274" s="25"/>
      <c r="N274" s="25"/>
      <c r="O274" s="25"/>
      <c r="P274" s="25"/>
      <c r="Q274" s="22">
        <f t="shared" si="4"/>
        <v>1</v>
      </c>
    </row>
    <row r="275" spans="1:17" ht="15.75" customHeight="1">
      <c r="A275" s="19">
        <v>273</v>
      </c>
      <c r="B275" s="20" t="s">
        <v>816</v>
      </c>
      <c r="C275" s="20" t="s">
        <v>817</v>
      </c>
      <c r="D275" s="20" t="s">
        <v>818</v>
      </c>
      <c r="E275" s="21"/>
      <c r="F275" s="21">
        <v>50</v>
      </c>
      <c r="G275" s="21"/>
      <c r="H275" s="21"/>
      <c r="I275" s="21"/>
      <c r="J275" s="21"/>
      <c r="K275" s="21"/>
      <c r="L275" s="21"/>
      <c r="M275" s="21"/>
      <c r="N275" s="21">
        <v>10</v>
      </c>
      <c r="O275" s="21"/>
      <c r="P275" s="21"/>
      <c r="Q275" s="22">
        <f t="shared" si="4"/>
        <v>60</v>
      </c>
    </row>
    <row r="276" spans="1:17" ht="15.75" customHeight="1">
      <c r="A276" s="23">
        <v>274</v>
      </c>
      <c r="B276" s="24" t="s">
        <v>819</v>
      </c>
      <c r="C276" s="24" t="s">
        <v>820</v>
      </c>
      <c r="D276" s="24" t="s">
        <v>821</v>
      </c>
      <c r="E276" s="25">
        <v>15</v>
      </c>
      <c r="F276" s="25"/>
      <c r="G276" s="25">
        <v>6</v>
      </c>
      <c r="H276" s="25">
        <v>45</v>
      </c>
      <c r="I276" s="25">
        <v>32</v>
      </c>
      <c r="J276" s="25">
        <v>12</v>
      </c>
      <c r="K276" s="25">
        <v>50</v>
      </c>
      <c r="L276" s="25">
        <v>220</v>
      </c>
      <c r="M276" s="25">
        <v>49</v>
      </c>
      <c r="N276" s="25">
        <v>160</v>
      </c>
      <c r="O276" s="25">
        <v>1</v>
      </c>
      <c r="P276" s="25">
        <v>311</v>
      </c>
      <c r="Q276" s="22">
        <f t="shared" si="4"/>
        <v>901</v>
      </c>
    </row>
    <row r="277" spans="1:17" ht="15.75" customHeight="1">
      <c r="A277" s="19">
        <v>275</v>
      </c>
      <c r="B277" s="20" t="s">
        <v>822</v>
      </c>
      <c r="C277" s="20" t="s">
        <v>823</v>
      </c>
      <c r="D277" s="20" t="s">
        <v>824</v>
      </c>
      <c r="E277" s="21"/>
      <c r="F277" s="21"/>
      <c r="G277" s="21">
        <v>328</v>
      </c>
      <c r="H277" s="21">
        <v>400</v>
      </c>
      <c r="I277" s="21">
        <v>80</v>
      </c>
      <c r="J277" s="21"/>
      <c r="K277" s="21"/>
      <c r="L277" s="21">
        <v>758</v>
      </c>
      <c r="M277" s="21">
        <v>411</v>
      </c>
      <c r="N277" s="21">
        <v>100</v>
      </c>
      <c r="O277" s="21">
        <v>150</v>
      </c>
      <c r="P277" s="21">
        <v>860</v>
      </c>
      <c r="Q277" s="22">
        <f t="shared" si="4"/>
        <v>3087</v>
      </c>
    </row>
    <row r="278" spans="1:17" ht="15.75" customHeight="1">
      <c r="A278" s="23">
        <v>276</v>
      </c>
      <c r="B278" s="24" t="s">
        <v>3068</v>
      </c>
      <c r="C278" s="24" t="s">
        <v>3069</v>
      </c>
      <c r="D278" s="24" t="s">
        <v>3070</v>
      </c>
      <c r="E278" s="25"/>
      <c r="F278" s="25"/>
      <c r="G278" s="25"/>
      <c r="H278" s="25"/>
      <c r="I278" s="25">
        <v>50</v>
      </c>
      <c r="J278" s="25"/>
      <c r="K278" s="25"/>
      <c r="L278" s="25"/>
      <c r="M278" s="25"/>
      <c r="N278" s="25"/>
      <c r="O278" s="25"/>
      <c r="P278" s="25">
        <v>30</v>
      </c>
      <c r="Q278" s="22">
        <f t="shared" si="4"/>
        <v>80</v>
      </c>
    </row>
    <row r="279" spans="1:17" ht="15.75" customHeight="1">
      <c r="A279" s="19">
        <v>277</v>
      </c>
      <c r="B279" s="20" t="s">
        <v>3071</v>
      </c>
      <c r="C279" s="20" t="s">
        <v>3072</v>
      </c>
      <c r="D279" s="20" t="s">
        <v>3073</v>
      </c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>
        <v>30</v>
      </c>
      <c r="Q279" s="22">
        <f t="shared" si="4"/>
        <v>30</v>
      </c>
    </row>
    <row r="280" spans="1:17" ht="15.75" customHeight="1">
      <c r="A280" s="23">
        <v>278</v>
      </c>
      <c r="B280" s="24" t="s">
        <v>828</v>
      </c>
      <c r="C280" s="24" t="s">
        <v>829</v>
      </c>
      <c r="D280" s="24" t="s">
        <v>830</v>
      </c>
      <c r="E280" s="25"/>
      <c r="F280" s="25"/>
      <c r="G280" s="25"/>
      <c r="H280" s="25"/>
      <c r="I280" s="25"/>
      <c r="J280" s="25"/>
      <c r="K280" s="25"/>
      <c r="L280" s="25"/>
      <c r="M280" s="25"/>
      <c r="N280" s="25">
        <v>10</v>
      </c>
      <c r="O280" s="25"/>
      <c r="P280" s="25"/>
      <c r="Q280" s="22">
        <f t="shared" si="4"/>
        <v>10</v>
      </c>
    </row>
    <row r="281" spans="1:17" ht="15.75" customHeight="1">
      <c r="A281" s="19">
        <v>279</v>
      </c>
      <c r="B281" s="20" t="s">
        <v>831</v>
      </c>
      <c r="C281" s="20" t="s">
        <v>832</v>
      </c>
      <c r="D281" s="20" t="s">
        <v>833</v>
      </c>
      <c r="E281" s="21">
        <v>8</v>
      </c>
      <c r="F281" s="21">
        <v>2</v>
      </c>
      <c r="G281" s="21">
        <v>5</v>
      </c>
      <c r="H281" s="21">
        <v>4</v>
      </c>
      <c r="I281" s="21">
        <v>12</v>
      </c>
      <c r="J281" s="21"/>
      <c r="K281" s="21"/>
      <c r="L281" s="21">
        <v>375</v>
      </c>
      <c r="M281" s="21">
        <v>200</v>
      </c>
      <c r="N281" s="21"/>
      <c r="O281" s="21"/>
      <c r="P281" s="21">
        <v>100</v>
      </c>
      <c r="Q281" s="22">
        <f t="shared" si="4"/>
        <v>706</v>
      </c>
    </row>
    <row r="282" spans="1:17" ht="15.75" customHeight="1">
      <c r="A282" s="23">
        <v>280</v>
      </c>
      <c r="B282" s="24" t="s">
        <v>834</v>
      </c>
      <c r="C282" s="24" t="s">
        <v>835</v>
      </c>
      <c r="D282" s="24" t="s">
        <v>836</v>
      </c>
      <c r="E282" s="25"/>
      <c r="F282" s="25"/>
      <c r="G282" s="25"/>
      <c r="H282" s="25">
        <v>320</v>
      </c>
      <c r="I282" s="25">
        <v>50</v>
      </c>
      <c r="J282" s="25"/>
      <c r="K282" s="25"/>
      <c r="L282" s="25">
        <v>402</v>
      </c>
      <c r="M282" s="25">
        <v>80</v>
      </c>
      <c r="N282" s="25"/>
      <c r="O282" s="25">
        <v>100</v>
      </c>
      <c r="P282" s="25">
        <v>350</v>
      </c>
      <c r="Q282" s="22">
        <f t="shared" si="4"/>
        <v>1302</v>
      </c>
    </row>
    <row r="283" spans="1:17" ht="15.75" customHeight="1">
      <c r="A283" s="19">
        <v>281</v>
      </c>
      <c r="B283" s="20" t="s">
        <v>3074</v>
      </c>
      <c r="C283" s="20" t="s">
        <v>3075</v>
      </c>
      <c r="D283" s="20" t="s">
        <v>3076</v>
      </c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>
        <v>10</v>
      </c>
      <c r="Q283" s="22">
        <f t="shared" si="4"/>
        <v>10</v>
      </c>
    </row>
    <row r="284" spans="1:17" ht="15.75" customHeight="1">
      <c r="A284" s="23">
        <v>282</v>
      </c>
      <c r="B284" s="24" t="s">
        <v>3077</v>
      </c>
      <c r="C284" s="24" t="s">
        <v>3078</v>
      </c>
      <c r="D284" s="24" t="s">
        <v>3079</v>
      </c>
      <c r="E284" s="25"/>
      <c r="F284" s="25"/>
      <c r="G284" s="25"/>
      <c r="H284" s="25"/>
      <c r="I284" s="25">
        <v>50</v>
      </c>
      <c r="J284" s="25"/>
      <c r="K284" s="25"/>
      <c r="L284" s="25"/>
      <c r="M284" s="25"/>
      <c r="N284" s="25"/>
      <c r="O284" s="25"/>
      <c r="P284" s="25"/>
      <c r="Q284" s="22">
        <f t="shared" si="4"/>
        <v>50</v>
      </c>
    </row>
    <row r="285" spans="1:17" ht="15.75" customHeight="1">
      <c r="A285" s="19">
        <v>283</v>
      </c>
      <c r="B285" s="20" t="s">
        <v>3080</v>
      </c>
      <c r="C285" s="20" t="s">
        <v>3081</v>
      </c>
      <c r="D285" s="20" t="s">
        <v>3082</v>
      </c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>
        <v>10</v>
      </c>
      <c r="Q285" s="22">
        <f t="shared" si="4"/>
        <v>10</v>
      </c>
    </row>
    <row r="286" spans="1:17" ht="15.75" customHeight="1">
      <c r="A286" s="23">
        <v>284</v>
      </c>
      <c r="B286" s="24" t="s">
        <v>2518</v>
      </c>
      <c r="C286" s="24" t="s">
        <v>2519</v>
      </c>
      <c r="D286" s="24"/>
      <c r="E286" s="25"/>
      <c r="F286" s="25"/>
      <c r="G286" s="25"/>
      <c r="H286" s="25"/>
      <c r="I286" s="25">
        <v>3</v>
      </c>
      <c r="J286" s="25"/>
      <c r="K286" s="25"/>
      <c r="L286" s="25"/>
      <c r="M286" s="25"/>
      <c r="N286" s="25"/>
      <c r="O286" s="25"/>
      <c r="P286" s="25"/>
      <c r="Q286" s="22">
        <f t="shared" si="4"/>
        <v>3</v>
      </c>
    </row>
    <row r="287" spans="1:17" ht="15.75" customHeight="1">
      <c r="A287" s="19">
        <v>285</v>
      </c>
      <c r="B287" s="20" t="s">
        <v>837</v>
      </c>
      <c r="C287" s="20" t="s">
        <v>838</v>
      </c>
      <c r="D287" s="20" t="s">
        <v>839</v>
      </c>
      <c r="E287" s="21"/>
      <c r="F287" s="21"/>
      <c r="G287" s="21"/>
      <c r="H287" s="21"/>
      <c r="I287" s="21"/>
      <c r="J287" s="21"/>
      <c r="K287" s="21"/>
      <c r="L287" s="21"/>
      <c r="M287" s="21">
        <v>154</v>
      </c>
      <c r="N287" s="21">
        <v>50</v>
      </c>
      <c r="O287" s="21"/>
      <c r="P287" s="21"/>
      <c r="Q287" s="22">
        <f t="shared" si="4"/>
        <v>204</v>
      </c>
    </row>
    <row r="288" spans="1:17" ht="15.75" customHeight="1">
      <c r="A288" s="23">
        <v>286</v>
      </c>
      <c r="B288" s="24" t="s">
        <v>840</v>
      </c>
      <c r="C288" s="24" t="s">
        <v>841</v>
      </c>
      <c r="D288" s="24" t="s">
        <v>842</v>
      </c>
      <c r="E288" s="25"/>
      <c r="F288" s="25"/>
      <c r="G288" s="25">
        <v>20</v>
      </c>
      <c r="H288" s="25">
        <v>200</v>
      </c>
      <c r="I288" s="25"/>
      <c r="J288" s="25"/>
      <c r="K288" s="25"/>
      <c r="L288" s="25"/>
      <c r="M288" s="25"/>
      <c r="N288" s="25">
        <v>100</v>
      </c>
      <c r="O288" s="25">
        <v>8</v>
      </c>
      <c r="P288" s="25"/>
      <c r="Q288" s="22">
        <f t="shared" si="4"/>
        <v>328</v>
      </c>
    </row>
    <row r="289" spans="1:17" ht="15.75" customHeight="1">
      <c r="A289" s="19">
        <v>287</v>
      </c>
      <c r="B289" s="20" t="s">
        <v>2522</v>
      </c>
      <c r="C289" s="20" t="s">
        <v>1287</v>
      </c>
      <c r="D289" s="20" t="s">
        <v>2523</v>
      </c>
      <c r="E289" s="21"/>
      <c r="F289" s="21">
        <v>51</v>
      </c>
      <c r="G289" s="21"/>
      <c r="H289" s="21"/>
      <c r="I289" s="21"/>
      <c r="J289" s="21"/>
      <c r="K289" s="21"/>
      <c r="L289" s="21">
        <v>4</v>
      </c>
      <c r="M289" s="21"/>
      <c r="N289" s="21"/>
      <c r="O289" s="21"/>
      <c r="P289" s="21"/>
      <c r="Q289" s="22">
        <f t="shared" si="4"/>
        <v>55</v>
      </c>
    </row>
    <row r="290" spans="1:17" ht="15.75" customHeight="1">
      <c r="A290" s="23">
        <v>288</v>
      </c>
      <c r="B290" s="24" t="s">
        <v>845</v>
      </c>
      <c r="C290" s="24" t="s">
        <v>846</v>
      </c>
      <c r="D290" s="24" t="s">
        <v>847</v>
      </c>
      <c r="E290" s="25">
        <v>8</v>
      </c>
      <c r="F290" s="25"/>
      <c r="G290" s="25">
        <v>40</v>
      </c>
      <c r="H290" s="25"/>
      <c r="I290" s="25">
        <v>10</v>
      </c>
      <c r="J290" s="25">
        <v>28</v>
      </c>
      <c r="K290" s="25">
        <v>30</v>
      </c>
      <c r="L290" s="25">
        <v>201</v>
      </c>
      <c r="M290" s="25">
        <v>419</v>
      </c>
      <c r="N290" s="25"/>
      <c r="O290" s="25">
        <v>150</v>
      </c>
      <c r="P290" s="25">
        <v>65</v>
      </c>
      <c r="Q290" s="22">
        <f t="shared" si="4"/>
        <v>951</v>
      </c>
    </row>
    <row r="291" spans="1:17" ht="15.75" customHeight="1">
      <c r="A291" s="19">
        <v>289</v>
      </c>
      <c r="B291" s="20" t="s">
        <v>848</v>
      </c>
      <c r="C291" s="20" t="s">
        <v>849</v>
      </c>
      <c r="D291" s="20" t="s">
        <v>850</v>
      </c>
      <c r="E291" s="21"/>
      <c r="F291" s="21"/>
      <c r="G291" s="21"/>
      <c r="H291" s="21">
        <v>370</v>
      </c>
      <c r="I291" s="21">
        <v>320</v>
      </c>
      <c r="J291" s="21"/>
      <c r="K291" s="21"/>
      <c r="L291" s="21">
        <v>15</v>
      </c>
      <c r="M291" s="21">
        <v>100</v>
      </c>
      <c r="N291" s="21"/>
      <c r="O291" s="21"/>
      <c r="P291" s="21">
        <v>11</v>
      </c>
      <c r="Q291" s="22">
        <f t="shared" si="4"/>
        <v>816</v>
      </c>
    </row>
    <row r="292" spans="1:17" ht="15.75" customHeight="1">
      <c r="A292" s="23">
        <v>290</v>
      </c>
      <c r="B292" s="24" t="s">
        <v>851</v>
      </c>
      <c r="C292" s="24" t="s">
        <v>852</v>
      </c>
      <c r="D292" s="24" t="s">
        <v>853</v>
      </c>
      <c r="E292" s="25"/>
      <c r="F292" s="25"/>
      <c r="G292" s="25"/>
      <c r="H292" s="25"/>
      <c r="I292" s="25"/>
      <c r="J292" s="25">
        <v>5</v>
      </c>
      <c r="K292" s="25"/>
      <c r="L292" s="25"/>
      <c r="M292" s="25">
        <v>100</v>
      </c>
      <c r="N292" s="25">
        <v>50</v>
      </c>
      <c r="O292" s="25"/>
      <c r="P292" s="25"/>
      <c r="Q292" s="22">
        <f t="shared" si="4"/>
        <v>155</v>
      </c>
    </row>
    <row r="293" spans="1:17" ht="15.75" customHeight="1">
      <c r="A293" s="19">
        <v>291</v>
      </c>
      <c r="B293" s="20" t="s">
        <v>854</v>
      </c>
      <c r="C293" s="20" t="s">
        <v>855</v>
      </c>
      <c r="D293" s="20" t="s">
        <v>856</v>
      </c>
      <c r="E293" s="21"/>
      <c r="F293" s="21"/>
      <c r="G293" s="21"/>
      <c r="H293" s="21">
        <v>310</v>
      </c>
      <c r="I293" s="21"/>
      <c r="J293" s="21">
        <v>1</v>
      </c>
      <c r="K293" s="21"/>
      <c r="L293" s="21">
        <v>4</v>
      </c>
      <c r="M293" s="21"/>
      <c r="N293" s="21"/>
      <c r="O293" s="21"/>
      <c r="P293" s="21"/>
      <c r="Q293" s="22">
        <f t="shared" si="4"/>
        <v>315</v>
      </c>
    </row>
    <row r="294" spans="1:17" ht="15.75" customHeight="1">
      <c r="A294" s="23">
        <v>292</v>
      </c>
      <c r="B294" s="24" t="s">
        <v>857</v>
      </c>
      <c r="C294" s="24" t="s">
        <v>858</v>
      </c>
      <c r="D294" s="24"/>
      <c r="E294" s="25"/>
      <c r="F294" s="25"/>
      <c r="G294" s="25">
        <v>91</v>
      </c>
      <c r="H294" s="25"/>
      <c r="I294" s="25"/>
      <c r="J294" s="25"/>
      <c r="K294" s="25"/>
      <c r="L294" s="25">
        <v>50</v>
      </c>
      <c r="M294" s="25"/>
      <c r="N294" s="25"/>
      <c r="O294" s="25"/>
      <c r="P294" s="25"/>
      <c r="Q294" s="22">
        <f t="shared" si="4"/>
        <v>141</v>
      </c>
    </row>
    <row r="295" spans="1:17" ht="15.75" customHeight="1">
      <c r="A295" s="19">
        <v>293</v>
      </c>
      <c r="B295" s="20" t="s">
        <v>859</v>
      </c>
      <c r="C295" s="20" t="s">
        <v>860</v>
      </c>
      <c r="D295" s="20" t="s">
        <v>861</v>
      </c>
      <c r="E295" s="21">
        <v>100</v>
      </c>
      <c r="F295" s="21">
        <v>83</v>
      </c>
      <c r="G295" s="21">
        <v>50</v>
      </c>
      <c r="H295" s="21">
        <v>300</v>
      </c>
      <c r="I295" s="21">
        <v>95</v>
      </c>
      <c r="J295" s="21">
        <v>350</v>
      </c>
      <c r="K295" s="21">
        <v>30</v>
      </c>
      <c r="L295" s="21">
        <v>1500</v>
      </c>
      <c r="M295" s="21">
        <v>510</v>
      </c>
      <c r="N295" s="21"/>
      <c r="O295" s="21">
        <v>300</v>
      </c>
      <c r="P295" s="21">
        <v>2240</v>
      </c>
      <c r="Q295" s="22">
        <f t="shared" si="4"/>
        <v>5558</v>
      </c>
    </row>
    <row r="296" spans="1:17" ht="15.75" customHeight="1">
      <c r="A296" s="23">
        <v>294</v>
      </c>
      <c r="B296" s="24" t="s">
        <v>3083</v>
      </c>
      <c r="C296" s="24" t="s">
        <v>3084</v>
      </c>
      <c r="D296" s="24" t="s">
        <v>3085</v>
      </c>
      <c r="E296" s="25"/>
      <c r="F296" s="25"/>
      <c r="G296" s="25"/>
      <c r="H296" s="25">
        <v>59</v>
      </c>
      <c r="I296" s="25"/>
      <c r="J296" s="25"/>
      <c r="K296" s="25"/>
      <c r="L296" s="25"/>
      <c r="M296" s="25"/>
      <c r="N296" s="25"/>
      <c r="O296" s="25"/>
      <c r="P296" s="25"/>
      <c r="Q296" s="22">
        <f t="shared" si="4"/>
        <v>59</v>
      </c>
    </row>
    <row r="297" spans="1:17" ht="15.75" customHeight="1">
      <c r="A297" s="19">
        <v>295</v>
      </c>
      <c r="B297" s="20" t="s">
        <v>862</v>
      </c>
      <c r="C297" s="20" t="s">
        <v>863</v>
      </c>
      <c r="D297" s="20" t="s">
        <v>864</v>
      </c>
      <c r="E297" s="21"/>
      <c r="F297" s="21"/>
      <c r="G297" s="21"/>
      <c r="H297" s="21">
        <v>4</v>
      </c>
      <c r="I297" s="21"/>
      <c r="J297" s="21">
        <v>3</v>
      </c>
      <c r="K297" s="21"/>
      <c r="L297" s="21"/>
      <c r="M297" s="21">
        <v>1</v>
      </c>
      <c r="N297" s="21"/>
      <c r="O297" s="21">
        <v>4</v>
      </c>
      <c r="P297" s="21"/>
      <c r="Q297" s="22">
        <f t="shared" si="4"/>
        <v>12</v>
      </c>
    </row>
    <row r="298" spans="1:17" ht="15.75" customHeight="1">
      <c r="A298" s="23">
        <v>296</v>
      </c>
      <c r="B298" s="24" t="s">
        <v>865</v>
      </c>
      <c r="C298" s="24" t="s">
        <v>866</v>
      </c>
      <c r="D298" s="24" t="s">
        <v>867</v>
      </c>
      <c r="E298" s="25"/>
      <c r="F298" s="25"/>
      <c r="G298" s="25">
        <v>11</v>
      </c>
      <c r="H298" s="25">
        <v>60</v>
      </c>
      <c r="I298" s="25"/>
      <c r="J298" s="25">
        <v>30</v>
      </c>
      <c r="K298" s="25">
        <v>10</v>
      </c>
      <c r="L298" s="25">
        <v>510</v>
      </c>
      <c r="M298" s="25">
        <v>100</v>
      </c>
      <c r="N298" s="25">
        <v>28</v>
      </c>
      <c r="O298" s="25">
        <v>26</v>
      </c>
      <c r="P298" s="25">
        <v>20</v>
      </c>
      <c r="Q298" s="22">
        <f t="shared" si="4"/>
        <v>795</v>
      </c>
    </row>
    <row r="299" spans="1:17" ht="15.75" customHeight="1">
      <c r="A299" s="19">
        <v>297</v>
      </c>
      <c r="B299" s="20" t="s">
        <v>868</v>
      </c>
      <c r="C299" s="20" t="s">
        <v>869</v>
      </c>
      <c r="D299" s="20" t="s">
        <v>870</v>
      </c>
      <c r="E299" s="21">
        <v>200</v>
      </c>
      <c r="F299" s="21">
        <v>100</v>
      </c>
      <c r="G299" s="21">
        <v>424</v>
      </c>
      <c r="H299" s="21"/>
      <c r="I299" s="21">
        <v>52</v>
      </c>
      <c r="J299" s="21">
        <v>110</v>
      </c>
      <c r="K299" s="21"/>
      <c r="L299" s="21">
        <v>5212</v>
      </c>
      <c r="M299" s="21">
        <v>3511</v>
      </c>
      <c r="N299" s="21">
        <v>2025</v>
      </c>
      <c r="O299" s="21">
        <v>2600</v>
      </c>
      <c r="P299" s="21">
        <v>7518</v>
      </c>
      <c r="Q299" s="22">
        <f t="shared" si="4"/>
        <v>21752</v>
      </c>
    </row>
    <row r="300" spans="1:17" ht="15.75" customHeight="1">
      <c r="A300" s="23">
        <v>298</v>
      </c>
      <c r="B300" s="24" t="s">
        <v>871</v>
      </c>
      <c r="C300" s="24" t="s">
        <v>872</v>
      </c>
      <c r="D300" s="24" t="s">
        <v>873</v>
      </c>
      <c r="E300" s="25"/>
      <c r="F300" s="25"/>
      <c r="G300" s="25"/>
      <c r="H300" s="25"/>
      <c r="I300" s="25"/>
      <c r="J300" s="25">
        <v>6</v>
      </c>
      <c r="K300" s="25"/>
      <c r="L300" s="25"/>
      <c r="M300" s="25">
        <v>200</v>
      </c>
      <c r="N300" s="25">
        <v>50</v>
      </c>
      <c r="O300" s="25">
        <v>9</v>
      </c>
      <c r="P300" s="25">
        <v>10</v>
      </c>
      <c r="Q300" s="22">
        <f t="shared" si="4"/>
        <v>275</v>
      </c>
    </row>
    <row r="301" spans="1:17" ht="15.75" customHeight="1">
      <c r="A301" s="19">
        <v>299</v>
      </c>
      <c r="B301" s="20" t="s">
        <v>874</v>
      </c>
      <c r="C301" s="20" t="s">
        <v>875</v>
      </c>
      <c r="D301" s="20" t="s">
        <v>876</v>
      </c>
      <c r="E301" s="21"/>
      <c r="F301" s="21">
        <v>1</v>
      </c>
      <c r="G301" s="21"/>
      <c r="H301" s="21"/>
      <c r="I301" s="21">
        <v>40</v>
      </c>
      <c r="J301" s="21">
        <v>20</v>
      </c>
      <c r="K301" s="21"/>
      <c r="L301" s="21"/>
      <c r="M301" s="21"/>
      <c r="N301" s="21"/>
      <c r="O301" s="21">
        <v>2</v>
      </c>
      <c r="P301" s="21">
        <v>10</v>
      </c>
      <c r="Q301" s="22">
        <f t="shared" si="4"/>
        <v>73</v>
      </c>
    </row>
    <row r="302" spans="1:17" ht="15.75" customHeight="1">
      <c r="A302" s="23">
        <v>300</v>
      </c>
      <c r="B302" s="24" t="s">
        <v>877</v>
      </c>
      <c r="C302" s="24" t="s">
        <v>878</v>
      </c>
      <c r="D302" s="24" t="s">
        <v>879</v>
      </c>
      <c r="E302" s="25"/>
      <c r="F302" s="25"/>
      <c r="G302" s="25"/>
      <c r="H302" s="25"/>
      <c r="I302" s="25"/>
      <c r="J302" s="25">
        <v>4</v>
      </c>
      <c r="K302" s="25"/>
      <c r="L302" s="25"/>
      <c r="M302" s="25"/>
      <c r="N302" s="25"/>
      <c r="O302" s="25"/>
      <c r="P302" s="25"/>
      <c r="Q302" s="22">
        <f t="shared" si="4"/>
        <v>4</v>
      </c>
    </row>
    <row r="303" spans="1:17" ht="15.75" customHeight="1">
      <c r="A303" s="19">
        <v>301</v>
      </c>
      <c r="B303" s="20" t="s">
        <v>880</v>
      </c>
      <c r="C303" s="20" t="s">
        <v>881</v>
      </c>
      <c r="D303" s="20" t="s">
        <v>882</v>
      </c>
      <c r="E303" s="21"/>
      <c r="F303" s="21"/>
      <c r="G303" s="21"/>
      <c r="H303" s="21"/>
      <c r="I303" s="21"/>
      <c r="J303" s="21"/>
      <c r="K303" s="21"/>
      <c r="L303" s="21">
        <v>10</v>
      </c>
      <c r="M303" s="21"/>
      <c r="N303" s="21"/>
      <c r="O303" s="21"/>
      <c r="P303" s="21"/>
      <c r="Q303" s="22">
        <f t="shared" si="4"/>
        <v>10</v>
      </c>
    </row>
    <row r="304" spans="1:17" ht="15.75" customHeight="1">
      <c r="A304" s="23">
        <v>302</v>
      </c>
      <c r="B304" s="24" t="s">
        <v>3086</v>
      </c>
      <c r="C304" s="24" t="s">
        <v>3087</v>
      </c>
      <c r="D304" s="24" t="s">
        <v>3088</v>
      </c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>
        <v>50</v>
      </c>
      <c r="Q304" s="22">
        <f t="shared" si="4"/>
        <v>50</v>
      </c>
    </row>
    <row r="305" spans="1:17" ht="15.75" customHeight="1">
      <c r="A305" s="19">
        <v>303</v>
      </c>
      <c r="B305" s="20" t="s">
        <v>886</v>
      </c>
      <c r="C305" s="20" t="s">
        <v>887</v>
      </c>
      <c r="D305" s="20" t="s">
        <v>888</v>
      </c>
      <c r="E305" s="21"/>
      <c r="F305" s="21"/>
      <c r="G305" s="21">
        <v>3</v>
      </c>
      <c r="H305" s="21"/>
      <c r="I305" s="21"/>
      <c r="J305" s="21"/>
      <c r="K305" s="21"/>
      <c r="L305" s="21"/>
      <c r="M305" s="21">
        <v>9</v>
      </c>
      <c r="N305" s="21"/>
      <c r="O305" s="21"/>
      <c r="P305" s="21">
        <v>42</v>
      </c>
      <c r="Q305" s="22">
        <f t="shared" si="4"/>
        <v>54</v>
      </c>
    </row>
    <row r="306" spans="1:17" ht="15.75" customHeight="1">
      <c r="A306" s="23">
        <v>304</v>
      </c>
      <c r="B306" s="24" t="s">
        <v>2524</v>
      </c>
      <c r="C306" s="24" t="s">
        <v>2525</v>
      </c>
      <c r="D306" s="24"/>
      <c r="E306" s="25"/>
      <c r="F306" s="25"/>
      <c r="G306" s="25">
        <v>8</v>
      </c>
      <c r="H306" s="25"/>
      <c r="I306" s="25"/>
      <c r="J306" s="25"/>
      <c r="K306" s="25"/>
      <c r="L306" s="25"/>
      <c r="M306" s="25"/>
      <c r="N306" s="25"/>
      <c r="O306" s="25"/>
      <c r="P306" s="25"/>
      <c r="Q306" s="22">
        <f t="shared" si="4"/>
        <v>8</v>
      </c>
    </row>
    <row r="307" spans="1:17" ht="15.75" customHeight="1">
      <c r="A307" s="19">
        <v>305</v>
      </c>
      <c r="B307" s="20" t="s">
        <v>2526</v>
      </c>
      <c r="C307" s="20" t="s">
        <v>2527</v>
      </c>
      <c r="D307" s="20" t="s">
        <v>2528</v>
      </c>
      <c r="E307" s="21"/>
      <c r="F307" s="21"/>
      <c r="G307" s="21"/>
      <c r="H307" s="21"/>
      <c r="I307" s="21"/>
      <c r="J307" s="21"/>
      <c r="K307" s="21">
        <v>8</v>
      </c>
      <c r="L307" s="21"/>
      <c r="M307" s="21"/>
      <c r="N307" s="21"/>
      <c r="O307" s="21"/>
      <c r="P307" s="21"/>
      <c r="Q307" s="22">
        <f t="shared" si="4"/>
        <v>8</v>
      </c>
    </row>
    <row r="308" spans="1:17" ht="15.75" customHeight="1">
      <c r="A308" s="23">
        <v>306</v>
      </c>
      <c r="B308" s="24" t="s">
        <v>892</v>
      </c>
      <c r="C308" s="24" t="s">
        <v>893</v>
      </c>
      <c r="D308" s="24" t="s">
        <v>894</v>
      </c>
      <c r="E308" s="25"/>
      <c r="F308" s="25">
        <v>10</v>
      </c>
      <c r="G308" s="25">
        <v>4</v>
      </c>
      <c r="H308" s="25"/>
      <c r="I308" s="25"/>
      <c r="J308" s="25"/>
      <c r="K308" s="25"/>
      <c r="L308" s="25"/>
      <c r="M308" s="25"/>
      <c r="N308" s="25"/>
      <c r="O308" s="25"/>
      <c r="P308" s="25"/>
      <c r="Q308" s="22">
        <f t="shared" si="4"/>
        <v>14</v>
      </c>
    </row>
    <row r="309" spans="1:17" ht="15.75" customHeight="1">
      <c r="A309" s="19">
        <v>307</v>
      </c>
      <c r="B309" s="20" t="s">
        <v>895</v>
      </c>
      <c r="C309" s="20" t="s">
        <v>896</v>
      </c>
      <c r="D309" s="20" t="s">
        <v>897</v>
      </c>
      <c r="E309" s="21">
        <v>5</v>
      </c>
      <c r="F309" s="21"/>
      <c r="G309" s="21">
        <v>15</v>
      </c>
      <c r="H309" s="21"/>
      <c r="I309" s="21"/>
      <c r="J309" s="21">
        <v>20</v>
      </c>
      <c r="K309" s="21">
        <v>75</v>
      </c>
      <c r="L309" s="21"/>
      <c r="M309" s="21">
        <v>10</v>
      </c>
      <c r="N309" s="21"/>
      <c r="O309" s="21">
        <v>20</v>
      </c>
      <c r="P309" s="21">
        <v>318</v>
      </c>
      <c r="Q309" s="22">
        <f t="shared" si="4"/>
        <v>463</v>
      </c>
    </row>
    <row r="310" spans="1:17" ht="15.75" customHeight="1">
      <c r="A310" s="23">
        <v>308</v>
      </c>
      <c r="B310" s="24" t="s">
        <v>898</v>
      </c>
      <c r="C310" s="24" t="s">
        <v>899</v>
      </c>
      <c r="D310" s="24" t="s">
        <v>900</v>
      </c>
      <c r="E310" s="25"/>
      <c r="F310" s="25">
        <v>51</v>
      </c>
      <c r="G310" s="25">
        <v>150</v>
      </c>
      <c r="H310" s="25">
        <v>129</v>
      </c>
      <c r="I310" s="25">
        <v>144</v>
      </c>
      <c r="J310" s="25">
        <v>156</v>
      </c>
      <c r="K310" s="25">
        <v>144</v>
      </c>
      <c r="L310" s="25">
        <v>174</v>
      </c>
      <c r="M310" s="25">
        <v>324</v>
      </c>
      <c r="N310" s="25">
        <v>304</v>
      </c>
      <c r="O310" s="25">
        <v>104</v>
      </c>
      <c r="P310" s="25">
        <v>135</v>
      </c>
      <c r="Q310" s="22">
        <f t="shared" si="4"/>
        <v>1815</v>
      </c>
    </row>
    <row r="311" spans="1:17" ht="15.75" customHeight="1">
      <c r="A311" s="19">
        <v>309</v>
      </c>
      <c r="B311" s="20" t="s">
        <v>901</v>
      </c>
      <c r="C311" s="20" t="s">
        <v>902</v>
      </c>
      <c r="D311" s="20" t="s">
        <v>812</v>
      </c>
      <c r="E311" s="21"/>
      <c r="F311" s="21"/>
      <c r="G311" s="21"/>
      <c r="H311" s="21"/>
      <c r="I311" s="21"/>
      <c r="J311" s="21"/>
      <c r="K311" s="21"/>
      <c r="L311" s="21"/>
      <c r="M311" s="21">
        <v>6</v>
      </c>
      <c r="N311" s="21"/>
      <c r="O311" s="21">
        <v>2</v>
      </c>
      <c r="P311" s="21"/>
      <c r="Q311" s="22">
        <f t="shared" si="4"/>
        <v>8</v>
      </c>
    </row>
    <row r="312" spans="1:17" ht="15.75" customHeight="1">
      <c r="A312" s="23">
        <v>310</v>
      </c>
      <c r="B312" s="24" t="s">
        <v>906</v>
      </c>
      <c r="C312" s="24" t="s">
        <v>907</v>
      </c>
      <c r="D312" s="24" t="s">
        <v>908</v>
      </c>
      <c r="E312" s="25"/>
      <c r="F312" s="25"/>
      <c r="G312" s="25"/>
      <c r="H312" s="25"/>
      <c r="I312" s="25"/>
      <c r="J312" s="25"/>
      <c r="K312" s="25">
        <v>1</v>
      </c>
      <c r="L312" s="25"/>
      <c r="M312" s="25">
        <v>10</v>
      </c>
      <c r="N312" s="25"/>
      <c r="O312" s="25">
        <v>3</v>
      </c>
      <c r="P312" s="25"/>
      <c r="Q312" s="22">
        <f t="shared" si="4"/>
        <v>14</v>
      </c>
    </row>
    <row r="313" spans="1:17" ht="15.75" customHeight="1">
      <c r="A313" s="19">
        <v>311</v>
      </c>
      <c r="B313" s="20" t="s">
        <v>909</v>
      </c>
      <c r="C313" s="20" t="s">
        <v>910</v>
      </c>
      <c r="D313" s="20" t="s">
        <v>911</v>
      </c>
      <c r="E313" s="21"/>
      <c r="F313" s="21"/>
      <c r="G313" s="21"/>
      <c r="H313" s="21"/>
      <c r="I313" s="21"/>
      <c r="J313" s="21"/>
      <c r="K313" s="21"/>
      <c r="L313" s="21">
        <v>55</v>
      </c>
      <c r="M313" s="21"/>
      <c r="N313" s="21"/>
      <c r="O313" s="21"/>
      <c r="P313" s="21"/>
      <c r="Q313" s="22">
        <f t="shared" si="4"/>
        <v>55</v>
      </c>
    </row>
    <row r="314" spans="1:17" ht="15.75" customHeight="1">
      <c r="A314" s="23">
        <v>312</v>
      </c>
      <c r="B314" s="24" t="s">
        <v>2533</v>
      </c>
      <c r="C314" s="24" t="s">
        <v>2534</v>
      </c>
      <c r="D314" s="24"/>
      <c r="E314" s="25"/>
      <c r="F314" s="25">
        <v>40</v>
      </c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2">
        <f t="shared" si="4"/>
        <v>40</v>
      </c>
    </row>
    <row r="315" spans="1:17" ht="15.75" customHeight="1">
      <c r="A315" s="19">
        <v>313</v>
      </c>
      <c r="B315" s="20" t="s">
        <v>912</v>
      </c>
      <c r="C315" s="20" t="s">
        <v>913</v>
      </c>
      <c r="D315" s="20" t="s">
        <v>914</v>
      </c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>
        <v>30</v>
      </c>
      <c r="Q315" s="22">
        <f t="shared" si="4"/>
        <v>30</v>
      </c>
    </row>
    <row r="316" spans="1:17" ht="15.75" customHeight="1">
      <c r="A316" s="23">
        <v>314</v>
      </c>
      <c r="B316" s="24" t="s">
        <v>2535</v>
      </c>
      <c r="C316" s="24" t="s">
        <v>2536</v>
      </c>
      <c r="D316" s="24" t="s">
        <v>2537</v>
      </c>
      <c r="E316" s="25"/>
      <c r="F316" s="25"/>
      <c r="G316" s="25"/>
      <c r="H316" s="25"/>
      <c r="I316" s="25"/>
      <c r="J316" s="25"/>
      <c r="K316" s="25"/>
      <c r="L316" s="25">
        <v>300</v>
      </c>
      <c r="M316" s="25"/>
      <c r="N316" s="25"/>
      <c r="O316" s="25"/>
      <c r="P316" s="25">
        <v>20</v>
      </c>
      <c r="Q316" s="22">
        <f t="shared" si="4"/>
        <v>320</v>
      </c>
    </row>
    <row r="317" spans="1:17" ht="15.75" customHeight="1">
      <c r="A317" s="19">
        <v>315</v>
      </c>
      <c r="B317" s="20" t="s">
        <v>917</v>
      </c>
      <c r="C317" s="20" t="s">
        <v>918</v>
      </c>
      <c r="D317" s="20" t="s">
        <v>919</v>
      </c>
      <c r="E317" s="21"/>
      <c r="F317" s="21"/>
      <c r="G317" s="21"/>
      <c r="H317" s="21"/>
      <c r="I317" s="21"/>
      <c r="J317" s="21"/>
      <c r="K317" s="21"/>
      <c r="L317" s="21"/>
      <c r="M317" s="21">
        <v>6</v>
      </c>
      <c r="N317" s="21"/>
      <c r="O317" s="21"/>
      <c r="P317" s="21"/>
      <c r="Q317" s="22">
        <f t="shared" si="4"/>
        <v>6</v>
      </c>
    </row>
    <row r="318" spans="1:17" ht="15.75" customHeight="1">
      <c r="A318" s="23">
        <v>316</v>
      </c>
      <c r="B318" s="24" t="s">
        <v>920</v>
      </c>
      <c r="C318" s="24" t="s">
        <v>921</v>
      </c>
      <c r="D318" s="24" t="s">
        <v>922</v>
      </c>
      <c r="E318" s="25"/>
      <c r="F318" s="25">
        <v>1</v>
      </c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2">
        <f t="shared" si="4"/>
        <v>1</v>
      </c>
    </row>
    <row r="319" spans="1:17" ht="15.75" customHeight="1">
      <c r="A319" s="19">
        <v>317</v>
      </c>
      <c r="B319" s="20" t="s">
        <v>3089</v>
      </c>
      <c r="C319" s="20" t="s">
        <v>3090</v>
      </c>
      <c r="D319" s="20" t="s">
        <v>919</v>
      </c>
      <c r="E319" s="21"/>
      <c r="F319" s="21"/>
      <c r="G319" s="21"/>
      <c r="H319" s="21"/>
      <c r="I319" s="21"/>
      <c r="J319" s="21"/>
      <c r="K319" s="21"/>
      <c r="L319" s="21"/>
      <c r="M319" s="21">
        <v>8</v>
      </c>
      <c r="N319" s="21"/>
      <c r="O319" s="21"/>
      <c r="P319" s="21"/>
      <c r="Q319" s="22">
        <f t="shared" si="4"/>
        <v>8</v>
      </c>
    </row>
    <row r="320" spans="1:17" ht="15.75" customHeight="1">
      <c r="A320" s="23">
        <v>318</v>
      </c>
      <c r="B320" s="24" t="s">
        <v>927</v>
      </c>
      <c r="C320" s="24" t="s">
        <v>928</v>
      </c>
      <c r="D320" s="24" t="s">
        <v>929</v>
      </c>
      <c r="E320" s="25">
        <v>10</v>
      </c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2">
        <f t="shared" si="4"/>
        <v>10</v>
      </c>
    </row>
    <row r="321" spans="1:17" ht="15.75" customHeight="1">
      <c r="A321" s="19">
        <v>319</v>
      </c>
      <c r="B321" s="20" t="s">
        <v>930</v>
      </c>
      <c r="C321" s="20" t="s">
        <v>931</v>
      </c>
      <c r="D321" s="20" t="s">
        <v>932</v>
      </c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>
        <v>40</v>
      </c>
      <c r="Q321" s="22">
        <f t="shared" si="4"/>
        <v>40</v>
      </c>
    </row>
    <row r="322" spans="1:17" ht="15.75" customHeight="1">
      <c r="A322" s="23">
        <v>320</v>
      </c>
      <c r="B322" s="24" t="s">
        <v>933</v>
      </c>
      <c r="C322" s="24" t="s">
        <v>934</v>
      </c>
      <c r="D322" s="24" t="s">
        <v>935</v>
      </c>
      <c r="E322" s="25">
        <v>20</v>
      </c>
      <c r="F322" s="25">
        <v>10</v>
      </c>
      <c r="G322" s="25">
        <v>19</v>
      </c>
      <c r="H322" s="25">
        <v>19</v>
      </c>
      <c r="I322" s="25">
        <v>10</v>
      </c>
      <c r="J322" s="25"/>
      <c r="K322" s="25"/>
      <c r="L322" s="25"/>
      <c r="M322" s="25">
        <v>50</v>
      </c>
      <c r="N322" s="25"/>
      <c r="O322" s="25"/>
      <c r="P322" s="25"/>
      <c r="Q322" s="22">
        <f t="shared" si="4"/>
        <v>128</v>
      </c>
    </row>
    <row r="323" spans="1:17" ht="15.75" customHeight="1">
      <c r="A323" s="19">
        <v>321</v>
      </c>
      <c r="B323" s="20" t="s">
        <v>936</v>
      </c>
      <c r="C323" s="20" t="s">
        <v>937</v>
      </c>
      <c r="D323" s="20" t="s">
        <v>929</v>
      </c>
      <c r="E323" s="21">
        <v>10</v>
      </c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2">
        <f t="shared" ref="Q323:Q386" si="5">SUM(E323:P323)</f>
        <v>10</v>
      </c>
    </row>
    <row r="324" spans="1:17" ht="15.75" customHeight="1">
      <c r="A324" s="23">
        <v>322</v>
      </c>
      <c r="B324" s="24" t="s">
        <v>3091</v>
      </c>
      <c r="C324" s="24" t="s">
        <v>3092</v>
      </c>
      <c r="D324" s="24" t="s">
        <v>1142</v>
      </c>
      <c r="E324" s="25">
        <v>10</v>
      </c>
      <c r="F324" s="25"/>
      <c r="G324" s="25"/>
      <c r="H324" s="25"/>
      <c r="I324" s="25">
        <v>20</v>
      </c>
      <c r="J324" s="25"/>
      <c r="K324" s="25">
        <v>5</v>
      </c>
      <c r="L324" s="25"/>
      <c r="M324" s="25">
        <v>20</v>
      </c>
      <c r="N324" s="25"/>
      <c r="O324" s="25"/>
      <c r="P324" s="25"/>
      <c r="Q324" s="22">
        <f t="shared" si="5"/>
        <v>55</v>
      </c>
    </row>
    <row r="325" spans="1:17" ht="15.75" customHeight="1">
      <c r="A325" s="19">
        <v>323</v>
      </c>
      <c r="B325" s="20" t="s">
        <v>938</v>
      </c>
      <c r="C325" s="20" t="s">
        <v>939</v>
      </c>
      <c r="D325" s="20" t="s">
        <v>935</v>
      </c>
      <c r="E325" s="21">
        <v>10</v>
      </c>
      <c r="F325" s="21"/>
      <c r="G325" s="21">
        <v>14</v>
      </c>
      <c r="H325" s="21"/>
      <c r="I325" s="21"/>
      <c r="J325" s="21"/>
      <c r="K325" s="21">
        <v>40</v>
      </c>
      <c r="L325" s="21"/>
      <c r="M325" s="21">
        <v>20</v>
      </c>
      <c r="N325" s="21"/>
      <c r="O325" s="21"/>
      <c r="P325" s="21"/>
      <c r="Q325" s="22">
        <f t="shared" si="5"/>
        <v>84</v>
      </c>
    </row>
    <row r="326" spans="1:17" ht="15.75" customHeight="1">
      <c r="A326" s="23">
        <v>324</v>
      </c>
      <c r="B326" s="24" t="s">
        <v>947</v>
      </c>
      <c r="C326" s="24" t="s">
        <v>948</v>
      </c>
      <c r="D326" s="24" t="s">
        <v>935</v>
      </c>
      <c r="E326" s="25"/>
      <c r="F326" s="25"/>
      <c r="G326" s="25"/>
      <c r="H326" s="25"/>
      <c r="I326" s="25"/>
      <c r="J326" s="25"/>
      <c r="K326" s="25"/>
      <c r="L326" s="25">
        <v>70</v>
      </c>
      <c r="M326" s="25"/>
      <c r="N326" s="25"/>
      <c r="O326" s="25"/>
      <c r="P326" s="25"/>
      <c r="Q326" s="22">
        <f t="shared" si="5"/>
        <v>70</v>
      </c>
    </row>
    <row r="327" spans="1:17" ht="15.75" customHeight="1">
      <c r="A327" s="19">
        <v>325</v>
      </c>
      <c r="B327" s="20" t="s">
        <v>2550</v>
      </c>
      <c r="C327" s="20" t="s">
        <v>2551</v>
      </c>
      <c r="D327" s="20" t="s">
        <v>1142</v>
      </c>
      <c r="E327" s="21"/>
      <c r="F327" s="21"/>
      <c r="G327" s="21"/>
      <c r="H327" s="21"/>
      <c r="I327" s="21">
        <v>20</v>
      </c>
      <c r="J327" s="21"/>
      <c r="K327" s="21">
        <v>5</v>
      </c>
      <c r="L327" s="21"/>
      <c r="M327" s="21"/>
      <c r="N327" s="21"/>
      <c r="O327" s="21"/>
      <c r="P327" s="21"/>
      <c r="Q327" s="22">
        <f t="shared" si="5"/>
        <v>25</v>
      </c>
    </row>
    <row r="328" spans="1:17" ht="15.75" customHeight="1">
      <c r="A328" s="23">
        <v>326</v>
      </c>
      <c r="B328" s="24" t="s">
        <v>3093</v>
      </c>
      <c r="C328" s="24" t="s">
        <v>3094</v>
      </c>
      <c r="D328" s="24" t="s">
        <v>935</v>
      </c>
      <c r="E328" s="25"/>
      <c r="F328" s="25"/>
      <c r="G328" s="25"/>
      <c r="H328" s="25"/>
      <c r="I328" s="25"/>
      <c r="J328" s="25"/>
      <c r="K328" s="25">
        <v>30</v>
      </c>
      <c r="L328" s="25"/>
      <c r="M328" s="25">
        <v>20</v>
      </c>
      <c r="N328" s="25"/>
      <c r="O328" s="25"/>
      <c r="P328" s="25"/>
      <c r="Q328" s="22">
        <f t="shared" si="5"/>
        <v>50</v>
      </c>
    </row>
    <row r="329" spans="1:17" ht="15.75" customHeight="1">
      <c r="A329" s="19">
        <v>327</v>
      </c>
      <c r="B329" s="20" t="s">
        <v>2552</v>
      </c>
      <c r="C329" s="20" t="s">
        <v>2553</v>
      </c>
      <c r="D329" s="20" t="s">
        <v>929</v>
      </c>
      <c r="E329" s="21"/>
      <c r="F329" s="21">
        <v>5</v>
      </c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2">
        <f t="shared" si="5"/>
        <v>5</v>
      </c>
    </row>
    <row r="330" spans="1:17" ht="15.75" customHeight="1">
      <c r="A330" s="23">
        <v>328</v>
      </c>
      <c r="B330" s="24" t="s">
        <v>3095</v>
      </c>
      <c r="C330" s="24" t="s">
        <v>1273</v>
      </c>
      <c r="D330" s="24" t="s">
        <v>932</v>
      </c>
      <c r="E330" s="25"/>
      <c r="F330" s="25">
        <v>5</v>
      </c>
      <c r="G330" s="25"/>
      <c r="H330" s="25"/>
      <c r="I330" s="25"/>
      <c r="J330" s="25"/>
      <c r="K330" s="25"/>
      <c r="L330" s="25"/>
      <c r="M330" s="25"/>
      <c r="N330" s="25"/>
      <c r="O330" s="25">
        <v>7</v>
      </c>
      <c r="P330" s="25"/>
      <c r="Q330" s="22">
        <f t="shared" si="5"/>
        <v>12</v>
      </c>
    </row>
    <row r="331" spans="1:17" ht="15.75" customHeight="1">
      <c r="A331" s="19">
        <v>329</v>
      </c>
      <c r="B331" s="20" t="s">
        <v>3096</v>
      </c>
      <c r="C331" s="20" t="s">
        <v>1329</v>
      </c>
      <c r="D331" s="20" t="s">
        <v>935</v>
      </c>
      <c r="E331" s="21"/>
      <c r="F331" s="21"/>
      <c r="G331" s="21"/>
      <c r="H331" s="21"/>
      <c r="I331" s="21"/>
      <c r="J331" s="21"/>
      <c r="K331" s="21"/>
      <c r="L331" s="21"/>
      <c r="M331" s="21">
        <v>20</v>
      </c>
      <c r="N331" s="21"/>
      <c r="O331" s="21">
        <v>1</v>
      </c>
      <c r="P331" s="21"/>
      <c r="Q331" s="22">
        <f t="shared" si="5"/>
        <v>21</v>
      </c>
    </row>
    <row r="332" spans="1:17" ht="15.75" customHeight="1">
      <c r="A332" s="23">
        <v>330</v>
      </c>
      <c r="B332" s="24" t="s">
        <v>3097</v>
      </c>
      <c r="C332" s="24" t="s">
        <v>1277</v>
      </c>
      <c r="D332" s="24" t="s">
        <v>946</v>
      </c>
      <c r="E332" s="25"/>
      <c r="F332" s="25"/>
      <c r="G332" s="25"/>
      <c r="H332" s="25"/>
      <c r="I332" s="25">
        <v>1</v>
      </c>
      <c r="J332" s="25"/>
      <c r="K332" s="25"/>
      <c r="L332" s="25"/>
      <c r="M332" s="25"/>
      <c r="N332" s="25"/>
      <c r="O332" s="25"/>
      <c r="P332" s="25"/>
      <c r="Q332" s="22">
        <f t="shared" si="5"/>
        <v>1</v>
      </c>
    </row>
    <row r="333" spans="1:17" ht="15.75" customHeight="1">
      <c r="A333" s="19">
        <v>331</v>
      </c>
      <c r="B333" s="20" t="s">
        <v>3098</v>
      </c>
      <c r="C333" s="20" t="s">
        <v>3099</v>
      </c>
      <c r="D333" s="20" t="s">
        <v>929</v>
      </c>
      <c r="E333" s="21"/>
      <c r="F333" s="21">
        <v>5</v>
      </c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2">
        <f t="shared" si="5"/>
        <v>5</v>
      </c>
    </row>
    <row r="334" spans="1:17" ht="15.75" customHeight="1">
      <c r="A334" s="23">
        <v>332</v>
      </c>
      <c r="B334" s="24" t="s">
        <v>3100</v>
      </c>
      <c r="C334" s="24" t="s">
        <v>3101</v>
      </c>
      <c r="D334" s="24" t="s">
        <v>1142</v>
      </c>
      <c r="E334" s="25"/>
      <c r="F334" s="25">
        <v>5</v>
      </c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2">
        <f t="shared" si="5"/>
        <v>5</v>
      </c>
    </row>
    <row r="335" spans="1:17" ht="15.75" customHeight="1">
      <c r="A335" s="19">
        <v>333</v>
      </c>
      <c r="B335" s="20" t="s">
        <v>3102</v>
      </c>
      <c r="C335" s="20" t="s">
        <v>3103</v>
      </c>
      <c r="D335" s="20" t="s">
        <v>935</v>
      </c>
      <c r="E335" s="21"/>
      <c r="F335" s="21"/>
      <c r="G335" s="21"/>
      <c r="H335" s="21"/>
      <c r="I335" s="21"/>
      <c r="J335" s="21"/>
      <c r="K335" s="21"/>
      <c r="L335" s="21"/>
      <c r="M335" s="21">
        <v>20</v>
      </c>
      <c r="N335" s="21"/>
      <c r="O335" s="21"/>
      <c r="P335" s="21"/>
      <c r="Q335" s="22">
        <f t="shared" si="5"/>
        <v>20</v>
      </c>
    </row>
    <row r="336" spans="1:17" ht="15.75" customHeight="1">
      <c r="A336" s="23">
        <v>334</v>
      </c>
      <c r="B336" s="24" t="s">
        <v>3104</v>
      </c>
      <c r="C336" s="24" t="s">
        <v>3105</v>
      </c>
      <c r="D336" s="24" t="s">
        <v>946</v>
      </c>
      <c r="E336" s="25"/>
      <c r="F336" s="25"/>
      <c r="G336" s="25"/>
      <c r="H336" s="25"/>
      <c r="I336" s="25"/>
      <c r="J336" s="25"/>
      <c r="K336" s="25"/>
      <c r="L336" s="25"/>
      <c r="M336" s="25"/>
      <c r="N336" s="25">
        <v>2</v>
      </c>
      <c r="O336" s="25"/>
      <c r="P336" s="25"/>
      <c r="Q336" s="22">
        <f t="shared" si="5"/>
        <v>2</v>
      </c>
    </row>
    <row r="337" spans="1:17" ht="15.75" customHeight="1">
      <c r="A337" s="19">
        <v>335</v>
      </c>
      <c r="B337" s="20" t="s">
        <v>3106</v>
      </c>
      <c r="C337" s="20" t="s">
        <v>3107</v>
      </c>
      <c r="D337" s="20" t="s">
        <v>932</v>
      </c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>
        <v>30</v>
      </c>
      <c r="Q337" s="22">
        <f t="shared" si="5"/>
        <v>30</v>
      </c>
    </row>
    <row r="338" spans="1:17" ht="15.75" customHeight="1">
      <c r="A338" s="23">
        <v>336</v>
      </c>
      <c r="B338" s="24" t="s">
        <v>3108</v>
      </c>
      <c r="C338" s="24" t="s">
        <v>3109</v>
      </c>
      <c r="D338" s="24" t="s">
        <v>929</v>
      </c>
      <c r="E338" s="25"/>
      <c r="F338" s="25"/>
      <c r="G338" s="25"/>
      <c r="H338" s="25"/>
      <c r="I338" s="25"/>
      <c r="J338" s="25"/>
      <c r="K338" s="25"/>
      <c r="L338" s="25">
        <v>40</v>
      </c>
      <c r="M338" s="25"/>
      <c r="N338" s="25"/>
      <c r="O338" s="25"/>
      <c r="P338" s="25"/>
      <c r="Q338" s="22">
        <f t="shared" si="5"/>
        <v>40</v>
      </c>
    </row>
    <row r="339" spans="1:17" ht="15.75" customHeight="1">
      <c r="A339" s="19">
        <v>337</v>
      </c>
      <c r="B339" s="20" t="s">
        <v>958</v>
      </c>
      <c r="C339" s="20" t="s">
        <v>959</v>
      </c>
      <c r="D339" s="20" t="s">
        <v>932</v>
      </c>
      <c r="E339" s="21"/>
      <c r="F339" s="21"/>
      <c r="G339" s="21"/>
      <c r="H339" s="21"/>
      <c r="I339" s="21"/>
      <c r="J339" s="21"/>
      <c r="K339" s="21">
        <v>5</v>
      </c>
      <c r="L339" s="21"/>
      <c r="M339" s="21"/>
      <c r="N339" s="21">
        <v>10</v>
      </c>
      <c r="O339" s="21"/>
      <c r="P339" s="21"/>
      <c r="Q339" s="22">
        <f t="shared" si="5"/>
        <v>15</v>
      </c>
    </row>
    <row r="340" spans="1:17" ht="15.75" customHeight="1">
      <c r="A340" s="23">
        <v>338</v>
      </c>
      <c r="B340" s="24" t="s">
        <v>3110</v>
      </c>
      <c r="C340" s="24" t="s">
        <v>3111</v>
      </c>
      <c r="D340" s="24" t="s">
        <v>3112</v>
      </c>
      <c r="E340" s="25">
        <v>9</v>
      </c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2">
        <f t="shared" si="5"/>
        <v>9</v>
      </c>
    </row>
    <row r="341" spans="1:17" ht="15.75" customHeight="1">
      <c r="A341" s="19">
        <v>339</v>
      </c>
      <c r="B341" s="20" t="s">
        <v>2560</v>
      </c>
      <c r="C341" s="20" t="s">
        <v>2561</v>
      </c>
      <c r="D341" s="20" t="s">
        <v>935</v>
      </c>
      <c r="E341" s="21"/>
      <c r="F341" s="21"/>
      <c r="G341" s="21"/>
      <c r="H341" s="21"/>
      <c r="I341" s="21"/>
      <c r="J341" s="21"/>
      <c r="K341" s="21"/>
      <c r="L341" s="21"/>
      <c r="M341" s="21"/>
      <c r="N341" s="21">
        <v>15</v>
      </c>
      <c r="O341" s="21">
        <v>92</v>
      </c>
      <c r="P341" s="21">
        <v>30</v>
      </c>
      <c r="Q341" s="22">
        <f t="shared" si="5"/>
        <v>137</v>
      </c>
    </row>
    <row r="342" spans="1:17" ht="15.75" customHeight="1">
      <c r="A342" s="23">
        <v>340</v>
      </c>
      <c r="B342" s="24" t="s">
        <v>3113</v>
      </c>
      <c r="C342" s="24" t="s">
        <v>3114</v>
      </c>
      <c r="D342" s="24" t="s">
        <v>935</v>
      </c>
      <c r="E342" s="25"/>
      <c r="F342" s="25"/>
      <c r="G342" s="25"/>
      <c r="H342" s="25"/>
      <c r="I342" s="25"/>
      <c r="J342" s="25"/>
      <c r="K342" s="25"/>
      <c r="L342" s="25"/>
      <c r="M342" s="25"/>
      <c r="N342" s="25">
        <v>34</v>
      </c>
      <c r="O342" s="25"/>
      <c r="P342" s="25"/>
      <c r="Q342" s="22">
        <f t="shared" si="5"/>
        <v>34</v>
      </c>
    </row>
    <row r="343" spans="1:17" ht="15.75" customHeight="1">
      <c r="A343" s="19">
        <v>341</v>
      </c>
      <c r="B343" s="20" t="s">
        <v>2564</v>
      </c>
      <c r="C343" s="20" t="s">
        <v>2565</v>
      </c>
      <c r="D343" s="20" t="s">
        <v>935</v>
      </c>
      <c r="E343" s="21"/>
      <c r="F343" s="21"/>
      <c r="G343" s="21"/>
      <c r="H343" s="21"/>
      <c r="I343" s="21"/>
      <c r="J343" s="21"/>
      <c r="K343" s="21"/>
      <c r="L343" s="21">
        <v>10</v>
      </c>
      <c r="M343" s="21"/>
      <c r="N343" s="21"/>
      <c r="O343" s="21"/>
      <c r="P343" s="21"/>
      <c r="Q343" s="22">
        <f t="shared" si="5"/>
        <v>10</v>
      </c>
    </row>
    <row r="344" spans="1:17" ht="15.75" customHeight="1">
      <c r="A344" s="23">
        <v>342</v>
      </c>
      <c r="B344" s="24" t="s">
        <v>2566</v>
      </c>
      <c r="C344" s="24" t="s">
        <v>2567</v>
      </c>
      <c r="D344" s="24" t="s">
        <v>2568</v>
      </c>
      <c r="E344" s="25"/>
      <c r="F344" s="25"/>
      <c r="G344" s="25"/>
      <c r="H344" s="25"/>
      <c r="I344" s="25"/>
      <c r="J344" s="25"/>
      <c r="K344" s="25">
        <v>2</v>
      </c>
      <c r="L344" s="25"/>
      <c r="M344" s="25"/>
      <c r="N344" s="25"/>
      <c r="O344" s="25">
        <v>50</v>
      </c>
      <c r="P344" s="25"/>
      <c r="Q344" s="22">
        <f t="shared" si="5"/>
        <v>52</v>
      </c>
    </row>
    <row r="345" spans="1:17" ht="15.75" customHeight="1">
      <c r="A345" s="19">
        <v>343</v>
      </c>
      <c r="B345" s="20" t="s">
        <v>2569</v>
      </c>
      <c r="C345" s="20" t="s">
        <v>2570</v>
      </c>
      <c r="D345" s="20"/>
      <c r="E345" s="21"/>
      <c r="F345" s="21"/>
      <c r="G345" s="21">
        <v>1</v>
      </c>
      <c r="H345" s="21"/>
      <c r="I345" s="21"/>
      <c r="J345" s="21"/>
      <c r="K345" s="21"/>
      <c r="L345" s="21"/>
      <c r="M345" s="21"/>
      <c r="N345" s="21"/>
      <c r="O345" s="21"/>
      <c r="P345" s="21">
        <v>59</v>
      </c>
      <c r="Q345" s="22">
        <f t="shared" si="5"/>
        <v>60</v>
      </c>
    </row>
    <row r="346" spans="1:17" ht="15.75" customHeight="1">
      <c r="A346" s="23">
        <v>344</v>
      </c>
      <c r="B346" s="24" t="s">
        <v>3115</v>
      </c>
      <c r="C346" s="24" t="s">
        <v>3116</v>
      </c>
      <c r="D346" s="24" t="s">
        <v>3117</v>
      </c>
      <c r="E346" s="25"/>
      <c r="F346" s="25"/>
      <c r="G346" s="25"/>
      <c r="H346" s="25"/>
      <c r="I346" s="25"/>
      <c r="J346" s="25"/>
      <c r="K346" s="25"/>
      <c r="L346" s="25">
        <v>100</v>
      </c>
      <c r="M346" s="25"/>
      <c r="N346" s="25"/>
      <c r="O346" s="25"/>
      <c r="P346" s="25">
        <v>20</v>
      </c>
      <c r="Q346" s="22">
        <f t="shared" si="5"/>
        <v>120</v>
      </c>
    </row>
    <row r="347" spans="1:17" ht="15.75" customHeight="1">
      <c r="A347" s="19">
        <v>345</v>
      </c>
      <c r="B347" s="20" t="s">
        <v>962</v>
      </c>
      <c r="C347" s="20" t="s">
        <v>963</v>
      </c>
      <c r="D347" s="20"/>
      <c r="E347" s="21"/>
      <c r="F347" s="21"/>
      <c r="G347" s="21"/>
      <c r="H347" s="21"/>
      <c r="I347" s="21">
        <v>6</v>
      </c>
      <c r="J347" s="21"/>
      <c r="K347" s="21"/>
      <c r="L347" s="21"/>
      <c r="M347" s="21"/>
      <c r="N347" s="21"/>
      <c r="O347" s="21"/>
      <c r="P347" s="21"/>
      <c r="Q347" s="22">
        <f t="shared" si="5"/>
        <v>6</v>
      </c>
    </row>
    <row r="348" spans="1:17" ht="15.75" customHeight="1">
      <c r="A348" s="23">
        <v>346</v>
      </c>
      <c r="B348" s="24" t="s">
        <v>3118</v>
      </c>
      <c r="C348" s="24" t="s">
        <v>3119</v>
      </c>
      <c r="D348" s="24" t="s">
        <v>932</v>
      </c>
      <c r="E348" s="25"/>
      <c r="F348" s="25">
        <v>5</v>
      </c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2">
        <f t="shared" si="5"/>
        <v>5</v>
      </c>
    </row>
    <row r="349" spans="1:17" ht="15.75" customHeight="1">
      <c r="A349" s="19">
        <v>347</v>
      </c>
      <c r="B349" s="20" t="s">
        <v>3120</v>
      </c>
      <c r="C349" s="20" t="s">
        <v>3121</v>
      </c>
      <c r="D349" s="20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>
        <v>10</v>
      </c>
      <c r="Q349" s="22">
        <f t="shared" si="5"/>
        <v>10</v>
      </c>
    </row>
    <row r="350" spans="1:17" ht="15.75" customHeight="1">
      <c r="A350" s="23">
        <v>348</v>
      </c>
      <c r="B350" s="24" t="s">
        <v>2571</v>
      </c>
      <c r="C350" s="24" t="s">
        <v>2572</v>
      </c>
      <c r="D350" s="24" t="s">
        <v>935</v>
      </c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>
        <v>85</v>
      </c>
      <c r="Q350" s="22">
        <f t="shared" si="5"/>
        <v>85</v>
      </c>
    </row>
    <row r="351" spans="1:17" ht="15.75" customHeight="1">
      <c r="A351" s="19">
        <v>349</v>
      </c>
      <c r="B351" s="20" t="s">
        <v>3122</v>
      </c>
      <c r="C351" s="20" t="s">
        <v>3123</v>
      </c>
      <c r="D351" s="20" t="s">
        <v>1142</v>
      </c>
      <c r="E351" s="21"/>
      <c r="F351" s="21">
        <v>5</v>
      </c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2">
        <f t="shared" si="5"/>
        <v>5</v>
      </c>
    </row>
    <row r="352" spans="1:17" ht="15.75" customHeight="1">
      <c r="A352" s="23">
        <v>350</v>
      </c>
      <c r="B352" s="24" t="s">
        <v>966</v>
      </c>
      <c r="C352" s="24" t="s">
        <v>967</v>
      </c>
      <c r="D352" s="24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>
        <v>10</v>
      </c>
      <c r="Q352" s="22">
        <f t="shared" si="5"/>
        <v>10</v>
      </c>
    </row>
    <row r="353" spans="1:17" ht="15.75" customHeight="1">
      <c r="A353" s="19">
        <v>351</v>
      </c>
      <c r="B353" s="20" t="s">
        <v>2578</v>
      </c>
      <c r="C353" s="20" t="s">
        <v>1233</v>
      </c>
      <c r="D353" s="20"/>
      <c r="E353" s="21"/>
      <c r="F353" s="21"/>
      <c r="G353" s="21"/>
      <c r="H353" s="21"/>
      <c r="I353" s="21"/>
      <c r="J353" s="21"/>
      <c r="K353" s="21"/>
      <c r="L353" s="21"/>
      <c r="M353" s="21">
        <v>50</v>
      </c>
      <c r="N353" s="21"/>
      <c r="O353" s="21"/>
      <c r="P353" s="21"/>
      <c r="Q353" s="22">
        <f t="shared" si="5"/>
        <v>50</v>
      </c>
    </row>
    <row r="354" spans="1:17" ht="15.75" customHeight="1">
      <c r="A354" s="23">
        <v>352</v>
      </c>
      <c r="B354" s="24" t="s">
        <v>2579</v>
      </c>
      <c r="C354" s="24" t="s">
        <v>2580</v>
      </c>
      <c r="D354" s="24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>
        <v>5</v>
      </c>
      <c r="Q354" s="22">
        <f t="shared" si="5"/>
        <v>5</v>
      </c>
    </row>
    <row r="355" spans="1:17" ht="15.75" customHeight="1">
      <c r="A355" s="19">
        <v>353</v>
      </c>
      <c r="B355" s="20" t="s">
        <v>2581</v>
      </c>
      <c r="C355" s="20" t="s">
        <v>1153</v>
      </c>
      <c r="D355" s="20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>
        <v>5</v>
      </c>
      <c r="Q355" s="22">
        <f t="shared" si="5"/>
        <v>5</v>
      </c>
    </row>
    <row r="356" spans="1:17" ht="15.75" customHeight="1">
      <c r="A356" s="23">
        <v>354</v>
      </c>
      <c r="B356" s="24" t="s">
        <v>975</v>
      </c>
      <c r="C356" s="24" t="s">
        <v>976</v>
      </c>
      <c r="D356" s="24" t="s">
        <v>977</v>
      </c>
      <c r="E356" s="25"/>
      <c r="F356" s="25"/>
      <c r="G356" s="25"/>
      <c r="H356" s="25"/>
      <c r="I356" s="25"/>
      <c r="J356" s="25"/>
      <c r="K356" s="25"/>
      <c r="L356" s="25">
        <v>100</v>
      </c>
      <c r="M356" s="25"/>
      <c r="N356" s="25"/>
      <c r="O356" s="25"/>
      <c r="P356" s="25"/>
      <c r="Q356" s="22">
        <f t="shared" si="5"/>
        <v>100</v>
      </c>
    </row>
    <row r="357" spans="1:17" ht="15.75" customHeight="1">
      <c r="A357" s="19">
        <v>355</v>
      </c>
      <c r="B357" s="20" t="s">
        <v>978</v>
      </c>
      <c r="C357" s="20" t="s">
        <v>979</v>
      </c>
      <c r="D357" s="20"/>
      <c r="E357" s="21"/>
      <c r="F357" s="21"/>
      <c r="G357" s="21">
        <v>2</v>
      </c>
      <c r="H357" s="21"/>
      <c r="I357" s="21"/>
      <c r="J357" s="21"/>
      <c r="K357" s="21"/>
      <c r="L357" s="21"/>
      <c r="M357" s="21"/>
      <c r="N357" s="21">
        <v>4</v>
      </c>
      <c r="O357" s="21"/>
      <c r="P357" s="21"/>
      <c r="Q357" s="22">
        <f t="shared" si="5"/>
        <v>6</v>
      </c>
    </row>
    <row r="358" spans="1:17" ht="15.75" customHeight="1">
      <c r="A358" s="23">
        <v>356</v>
      </c>
      <c r="B358" s="24" t="s">
        <v>3124</v>
      </c>
      <c r="C358" s="24" t="s">
        <v>3125</v>
      </c>
      <c r="D358" s="24"/>
      <c r="E358" s="25"/>
      <c r="F358" s="25"/>
      <c r="G358" s="25"/>
      <c r="H358" s="25"/>
      <c r="I358" s="25"/>
      <c r="J358" s="25"/>
      <c r="K358" s="25"/>
      <c r="L358" s="25"/>
      <c r="M358" s="25"/>
      <c r="N358" s="25">
        <v>2</v>
      </c>
      <c r="O358" s="25"/>
      <c r="P358" s="25"/>
      <c r="Q358" s="22">
        <f t="shared" si="5"/>
        <v>2</v>
      </c>
    </row>
    <row r="359" spans="1:17" ht="15.75" customHeight="1">
      <c r="A359" s="19">
        <v>357</v>
      </c>
      <c r="B359" s="20" t="s">
        <v>986</v>
      </c>
      <c r="C359" s="20" t="s">
        <v>370</v>
      </c>
      <c r="D359" s="20" t="s">
        <v>987</v>
      </c>
      <c r="E359" s="21"/>
      <c r="F359" s="21"/>
      <c r="G359" s="21"/>
      <c r="H359" s="21"/>
      <c r="I359" s="21">
        <v>50</v>
      </c>
      <c r="J359" s="21"/>
      <c r="K359" s="21"/>
      <c r="L359" s="21"/>
      <c r="M359" s="21"/>
      <c r="N359" s="21"/>
      <c r="O359" s="21"/>
      <c r="P359" s="21"/>
      <c r="Q359" s="22">
        <f t="shared" si="5"/>
        <v>50</v>
      </c>
    </row>
    <row r="360" spans="1:17" ht="15.75" customHeight="1">
      <c r="A360" s="23">
        <v>358</v>
      </c>
      <c r="B360" s="24" t="s">
        <v>988</v>
      </c>
      <c r="C360" s="24" t="s">
        <v>351</v>
      </c>
      <c r="D360" s="24" t="s">
        <v>989</v>
      </c>
      <c r="E360" s="25"/>
      <c r="F360" s="25"/>
      <c r="G360" s="25"/>
      <c r="H360" s="25"/>
      <c r="I360" s="25">
        <v>50</v>
      </c>
      <c r="J360" s="25">
        <v>10</v>
      </c>
      <c r="K360" s="25"/>
      <c r="L360" s="25"/>
      <c r="M360" s="25"/>
      <c r="N360" s="25"/>
      <c r="O360" s="25"/>
      <c r="P360" s="25"/>
      <c r="Q360" s="22">
        <f t="shared" si="5"/>
        <v>60</v>
      </c>
    </row>
    <row r="361" spans="1:17" ht="15.75" customHeight="1">
      <c r="A361" s="19">
        <v>359</v>
      </c>
      <c r="B361" s="20" t="s">
        <v>2593</v>
      </c>
      <c r="C361" s="20" t="s">
        <v>357</v>
      </c>
      <c r="D361" s="20" t="s">
        <v>2594</v>
      </c>
      <c r="E361" s="21"/>
      <c r="F361" s="21"/>
      <c r="G361" s="21"/>
      <c r="H361" s="21"/>
      <c r="I361" s="21">
        <v>50</v>
      </c>
      <c r="J361" s="21">
        <v>24</v>
      </c>
      <c r="K361" s="21"/>
      <c r="L361" s="21"/>
      <c r="M361" s="21"/>
      <c r="N361" s="21"/>
      <c r="O361" s="21"/>
      <c r="P361" s="21"/>
      <c r="Q361" s="22">
        <f t="shared" si="5"/>
        <v>74</v>
      </c>
    </row>
    <row r="362" spans="1:17" ht="15.75" customHeight="1">
      <c r="A362" s="23">
        <v>360</v>
      </c>
      <c r="B362" s="24" t="s">
        <v>2595</v>
      </c>
      <c r="C362" s="24" t="s">
        <v>480</v>
      </c>
      <c r="D362" s="24" t="s">
        <v>2596</v>
      </c>
      <c r="E362" s="25"/>
      <c r="F362" s="25"/>
      <c r="G362" s="25"/>
      <c r="H362" s="25"/>
      <c r="I362" s="25">
        <v>50</v>
      </c>
      <c r="J362" s="25"/>
      <c r="K362" s="25"/>
      <c r="L362" s="25"/>
      <c r="M362" s="25"/>
      <c r="N362" s="25"/>
      <c r="O362" s="25"/>
      <c r="P362" s="25"/>
      <c r="Q362" s="22">
        <f t="shared" si="5"/>
        <v>50</v>
      </c>
    </row>
    <row r="363" spans="1:17" ht="15.75" customHeight="1">
      <c r="A363" s="19">
        <v>361</v>
      </c>
      <c r="B363" s="20" t="s">
        <v>3126</v>
      </c>
      <c r="C363" s="20" t="s">
        <v>726</v>
      </c>
      <c r="D363" s="20" t="s">
        <v>3127</v>
      </c>
      <c r="E363" s="21"/>
      <c r="F363" s="21"/>
      <c r="G363" s="21"/>
      <c r="H363" s="21"/>
      <c r="I363" s="21">
        <v>50</v>
      </c>
      <c r="J363" s="21"/>
      <c r="K363" s="21"/>
      <c r="L363" s="21"/>
      <c r="M363" s="21"/>
      <c r="N363" s="21"/>
      <c r="O363" s="21"/>
      <c r="P363" s="21"/>
      <c r="Q363" s="22">
        <f t="shared" si="5"/>
        <v>50</v>
      </c>
    </row>
    <row r="364" spans="1:17" ht="15.75" customHeight="1">
      <c r="A364" s="23">
        <v>362</v>
      </c>
      <c r="B364" s="24" t="s">
        <v>3128</v>
      </c>
      <c r="C364" s="24" t="s">
        <v>711</v>
      </c>
      <c r="D364" s="24" t="s">
        <v>3129</v>
      </c>
      <c r="E364" s="25"/>
      <c r="F364" s="25"/>
      <c r="G364" s="25"/>
      <c r="H364" s="25"/>
      <c r="I364" s="25">
        <v>50</v>
      </c>
      <c r="J364" s="25"/>
      <c r="K364" s="25"/>
      <c r="L364" s="25"/>
      <c r="M364" s="25"/>
      <c r="N364" s="25"/>
      <c r="O364" s="25"/>
      <c r="P364" s="25"/>
      <c r="Q364" s="22">
        <f t="shared" si="5"/>
        <v>50</v>
      </c>
    </row>
    <row r="365" spans="1:17" ht="15.75" customHeight="1">
      <c r="A365" s="19">
        <v>363</v>
      </c>
      <c r="B365" s="20" t="s">
        <v>3130</v>
      </c>
      <c r="C365" s="20" t="s">
        <v>3131</v>
      </c>
      <c r="D365" s="20"/>
      <c r="E365" s="21"/>
      <c r="F365" s="21"/>
      <c r="G365" s="21"/>
      <c r="H365" s="21"/>
      <c r="I365" s="21"/>
      <c r="J365" s="21"/>
      <c r="K365" s="21"/>
      <c r="L365" s="21"/>
      <c r="M365" s="21"/>
      <c r="N365" s="21">
        <v>1</v>
      </c>
      <c r="O365" s="21"/>
      <c r="P365" s="21"/>
      <c r="Q365" s="22">
        <f t="shared" si="5"/>
        <v>1</v>
      </c>
    </row>
    <row r="366" spans="1:17" ht="15.75" customHeight="1">
      <c r="A366" s="23">
        <v>364</v>
      </c>
      <c r="B366" s="24" t="s">
        <v>990</v>
      </c>
      <c r="C366" s="24" t="s">
        <v>991</v>
      </c>
      <c r="D366" s="24"/>
      <c r="E366" s="25"/>
      <c r="F366" s="25"/>
      <c r="G366" s="25"/>
      <c r="H366" s="25">
        <v>4</v>
      </c>
      <c r="I366" s="25"/>
      <c r="J366" s="25"/>
      <c r="K366" s="25"/>
      <c r="L366" s="25"/>
      <c r="M366" s="25">
        <v>8</v>
      </c>
      <c r="N366" s="25"/>
      <c r="O366" s="25"/>
      <c r="P366" s="25"/>
      <c r="Q366" s="22">
        <f t="shared" si="5"/>
        <v>12</v>
      </c>
    </row>
    <row r="367" spans="1:17" ht="15.75" customHeight="1">
      <c r="A367" s="19">
        <v>365</v>
      </c>
      <c r="B367" s="20" t="s">
        <v>2597</v>
      </c>
      <c r="C367" s="20" t="s">
        <v>820</v>
      </c>
      <c r="D367" s="20" t="s">
        <v>2598</v>
      </c>
      <c r="E367" s="21"/>
      <c r="F367" s="21"/>
      <c r="G367" s="21"/>
      <c r="H367" s="21">
        <v>80</v>
      </c>
      <c r="I367" s="21"/>
      <c r="J367" s="21"/>
      <c r="K367" s="21"/>
      <c r="L367" s="21"/>
      <c r="M367" s="21">
        <v>50</v>
      </c>
      <c r="N367" s="21"/>
      <c r="O367" s="21"/>
      <c r="P367" s="21"/>
      <c r="Q367" s="22">
        <f t="shared" si="5"/>
        <v>130</v>
      </c>
    </row>
    <row r="368" spans="1:17" ht="15.75" customHeight="1">
      <c r="A368" s="23">
        <v>366</v>
      </c>
      <c r="B368" s="24" t="s">
        <v>992</v>
      </c>
      <c r="C368" s="24" t="s">
        <v>832</v>
      </c>
      <c r="D368" s="24" t="s">
        <v>993</v>
      </c>
      <c r="E368" s="25"/>
      <c r="F368" s="25"/>
      <c r="G368" s="25"/>
      <c r="H368" s="25">
        <v>100</v>
      </c>
      <c r="I368" s="25"/>
      <c r="J368" s="25"/>
      <c r="K368" s="25"/>
      <c r="L368" s="25"/>
      <c r="M368" s="25">
        <v>50</v>
      </c>
      <c r="N368" s="25"/>
      <c r="O368" s="25">
        <v>100</v>
      </c>
      <c r="P368" s="25"/>
      <c r="Q368" s="22">
        <f t="shared" si="5"/>
        <v>250</v>
      </c>
    </row>
    <row r="369" spans="1:17" ht="15.75" customHeight="1">
      <c r="A369" s="19">
        <v>367</v>
      </c>
      <c r="B369" s="20" t="s">
        <v>2599</v>
      </c>
      <c r="C369" s="20" t="s">
        <v>776</v>
      </c>
      <c r="D369" s="20" t="s">
        <v>2600</v>
      </c>
      <c r="E369" s="21"/>
      <c r="F369" s="21"/>
      <c r="G369" s="21"/>
      <c r="H369" s="21">
        <v>30</v>
      </c>
      <c r="I369" s="21"/>
      <c r="J369" s="21"/>
      <c r="K369" s="21"/>
      <c r="L369" s="21"/>
      <c r="M369" s="21"/>
      <c r="N369" s="21"/>
      <c r="O369" s="21"/>
      <c r="P369" s="21"/>
      <c r="Q369" s="22">
        <f t="shared" si="5"/>
        <v>30</v>
      </c>
    </row>
    <row r="370" spans="1:17" ht="15.75" customHeight="1">
      <c r="A370" s="23">
        <v>368</v>
      </c>
      <c r="B370" s="24" t="s">
        <v>994</v>
      </c>
      <c r="C370" s="24" t="s">
        <v>799</v>
      </c>
      <c r="D370" s="24" t="s">
        <v>995</v>
      </c>
      <c r="E370" s="25"/>
      <c r="F370" s="25"/>
      <c r="G370" s="25"/>
      <c r="H370" s="25">
        <v>50</v>
      </c>
      <c r="I370" s="25"/>
      <c r="J370" s="25"/>
      <c r="K370" s="25"/>
      <c r="L370" s="25"/>
      <c r="M370" s="25">
        <v>50</v>
      </c>
      <c r="N370" s="25"/>
      <c r="O370" s="25"/>
      <c r="P370" s="25"/>
      <c r="Q370" s="22">
        <f t="shared" si="5"/>
        <v>100</v>
      </c>
    </row>
    <row r="371" spans="1:17" ht="15.75" customHeight="1">
      <c r="A371" s="19">
        <v>369</v>
      </c>
      <c r="B371" s="20" t="s">
        <v>2603</v>
      </c>
      <c r="C371" s="20" t="s">
        <v>846</v>
      </c>
      <c r="D371" s="20" t="s">
        <v>2604</v>
      </c>
      <c r="E371" s="21"/>
      <c r="F371" s="21"/>
      <c r="G371" s="21"/>
      <c r="H371" s="21">
        <v>30</v>
      </c>
      <c r="I371" s="21"/>
      <c r="J371" s="21"/>
      <c r="K371" s="21"/>
      <c r="L371" s="21"/>
      <c r="M371" s="21"/>
      <c r="N371" s="21"/>
      <c r="O371" s="21"/>
      <c r="P371" s="21"/>
      <c r="Q371" s="22">
        <f t="shared" si="5"/>
        <v>30</v>
      </c>
    </row>
    <row r="372" spans="1:17" ht="15.75" customHeight="1">
      <c r="A372" s="23">
        <v>370</v>
      </c>
      <c r="B372" s="24" t="s">
        <v>3132</v>
      </c>
      <c r="C372" s="24" t="s">
        <v>3133</v>
      </c>
      <c r="D372" s="24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>
        <v>2</v>
      </c>
      <c r="Q372" s="22">
        <f t="shared" si="5"/>
        <v>2</v>
      </c>
    </row>
    <row r="373" spans="1:17" ht="15.75" customHeight="1">
      <c r="A373" s="19">
        <v>371</v>
      </c>
      <c r="B373" s="20" t="s">
        <v>3134</v>
      </c>
      <c r="C373" s="20" t="s">
        <v>3135</v>
      </c>
      <c r="D373" s="20" t="s">
        <v>3136</v>
      </c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>
        <v>10</v>
      </c>
      <c r="Q373" s="22">
        <f t="shared" si="5"/>
        <v>10</v>
      </c>
    </row>
    <row r="374" spans="1:17" ht="15.75" customHeight="1">
      <c r="A374" s="23">
        <v>372</v>
      </c>
      <c r="B374" s="24" t="s">
        <v>1000</v>
      </c>
      <c r="C374" s="24" t="s">
        <v>832</v>
      </c>
      <c r="D374" s="24" t="s">
        <v>1001</v>
      </c>
      <c r="E374" s="25"/>
      <c r="F374" s="25"/>
      <c r="G374" s="25"/>
      <c r="H374" s="25">
        <v>30</v>
      </c>
      <c r="I374" s="25"/>
      <c r="J374" s="25"/>
      <c r="K374" s="25"/>
      <c r="L374" s="25"/>
      <c r="M374" s="25"/>
      <c r="N374" s="25"/>
      <c r="O374" s="25"/>
      <c r="P374" s="25"/>
      <c r="Q374" s="22">
        <f t="shared" si="5"/>
        <v>30</v>
      </c>
    </row>
    <row r="375" spans="1:17" ht="15.75" customHeight="1">
      <c r="A375" s="19">
        <v>373</v>
      </c>
      <c r="B375" s="20" t="s">
        <v>1002</v>
      </c>
      <c r="C375" s="20" t="s">
        <v>799</v>
      </c>
      <c r="D375" s="20" t="s">
        <v>1003</v>
      </c>
      <c r="E375" s="21"/>
      <c r="F375" s="21"/>
      <c r="G375" s="21"/>
      <c r="H375" s="21">
        <v>30</v>
      </c>
      <c r="I375" s="21"/>
      <c r="J375" s="21"/>
      <c r="K375" s="21"/>
      <c r="L375" s="21"/>
      <c r="M375" s="21"/>
      <c r="N375" s="21"/>
      <c r="O375" s="21"/>
      <c r="P375" s="21"/>
      <c r="Q375" s="22">
        <f t="shared" si="5"/>
        <v>30</v>
      </c>
    </row>
    <row r="376" spans="1:17" ht="15.75" customHeight="1">
      <c r="A376" s="23">
        <v>374</v>
      </c>
      <c r="B376" s="24" t="s">
        <v>1004</v>
      </c>
      <c r="C376" s="24" t="s">
        <v>776</v>
      </c>
      <c r="D376" s="24" t="s">
        <v>1005</v>
      </c>
      <c r="E376" s="25"/>
      <c r="F376" s="25"/>
      <c r="G376" s="25"/>
      <c r="H376" s="25">
        <v>30</v>
      </c>
      <c r="I376" s="25"/>
      <c r="J376" s="25"/>
      <c r="K376" s="25"/>
      <c r="L376" s="25"/>
      <c r="M376" s="25"/>
      <c r="N376" s="25"/>
      <c r="O376" s="25"/>
      <c r="P376" s="25"/>
      <c r="Q376" s="22">
        <f t="shared" si="5"/>
        <v>30</v>
      </c>
    </row>
    <row r="377" spans="1:17" ht="15.75" customHeight="1">
      <c r="A377" s="19">
        <v>375</v>
      </c>
      <c r="B377" s="20" t="s">
        <v>3137</v>
      </c>
      <c r="C377" s="20" t="s">
        <v>678</v>
      </c>
      <c r="D377" s="20" t="s">
        <v>3138</v>
      </c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>
        <v>200</v>
      </c>
      <c r="Q377" s="22">
        <f t="shared" si="5"/>
        <v>200</v>
      </c>
    </row>
    <row r="378" spans="1:17" ht="15.75" customHeight="1">
      <c r="A378" s="23">
        <v>376</v>
      </c>
      <c r="B378" s="24" t="s">
        <v>3139</v>
      </c>
      <c r="C378" s="24" t="s">
        <v>3140</v>
      </c>
      <c r="D378" s="24"/>
      <c r="E378" s="25"/>
      <c r="F378" s="25"/>
      <c r="G378" s="25"/>
      <c r="H378" s="25"/>
      <c r="I378" s="25"/>
      <c r="J378" s="25"/>
      <c r="K378" s="25">
        <v>2</v>
      </c>
      <c r="L378" s="25"/>
      <c r="M378" s="25"/>
      <c r="N378" s="25"/>
      <c r="O378" s="25"/>
      <c r="P378" s="25"/>
      <c r="Q378" s="22">
        <f t="shared" si="5"/>
        <v>2</v>
      </c>
    </row>
    <row r="379" spans="1:17" ht="15.75" customHeight="1">
      <c r="A379" s="19">
        <v>377</v>
      </c>
      <c r="B379" s="20" t="s">
        <v>3141</v>
      </c>
      <c r="C379" s="20" t="s">
        <v>802</v>
      </c>
      <c r="D379" s="20" t="s">
        <v>1144</v>
      </c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>
        <v>10</v>
      </c>
      <c r="P379" s="21"/>
      <c r="Q379" s="22">
        <f t="shared" si="5"/>
        <v>10</v>
      </c>
    </row>
    <row r="380" spans="1:17" ht="15.75" customHeight="1">
      <c r="A380" s="23">
        <v>378</v>
      </c>
      <c r="B380" s="24" t="s">
        <v>1008</v>
      </c>
      <c r="C380" s="24" t="s">
        <v>779</v>
      </c>
      <c r="D380" s="24" t="s">
        <v>1009</v>
      </c>
      <c r="E380" s="25">
        <v>2</v>
      </c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2">
        <f t="shared" si="5"/>
        <v>2</v>
      </c>
    </row>
    <row r="381" spans="1:17" ht="15.75" customHeight="1">
      <c r="A381" s="19">
        <v>379</v>
      </c>
      <c r="B381" s="20" t="s">
        <v>1010</v>
      </c>
      <c r="C381" s="20" t="s">
        <v>802</v>
      </c>
      <c r="D381" s="20" t="s">
        <v>1011</v>
      </c>
      <c r="E381" s="21"/>
      <c r="F381" s="21"/>
      <c r="G381" s="21">
        <v>2</v>
      </c>
      <c r="H381" s="21"/>
      <c r="I381" s="21"/>
      <c r="J381" s="21"/>
      <c r="K381" s="21"/>
      <c r="L381" s="21"/>
      <c r="M381" s="21"/>
      <c r="N381" s="21"/>
      <c r="O381" s="21"/>
      <c r="P381" s="21"/>
      <c r="Q381" s="22">
        <f t="shared" si="5"/>
        <v>2</v>
      </c>
    </row>
    <row r="382" spans="1:17" ht="15.75" customHeight="1">
      <c r="A382" s="23">
        <v>380</v>
      </c>
      <c r="B382" s="24" t="s">
        <v>1014</v>
      </c>
      <c r="C382" s="24" t="s">
        <v>776</v>
      </c>
      <c r="D382" s="24" t="s">
        <v>1015</v>
      </c>
      <c r="E382" s="25"/>
      <c r="F382" s="25"/>
      <c r="G382" s="25"/>
      <c r="H382" s="25"/>
      <c r="I382" s="25">
        <v>50</v>
      </c>
      <c r="J382" s="25"/>
      <c r="K382" s="25"/>
      <c r="L382" s="25"/>
      <c r="M382" s="25"/>
      <c r="N382" s="25"/>
      <c r="O382" s="25"/>
      <c r="P382" s="25"/>
      <c r="Q382" s="22">
        <f t="shared" si="5"/>
        <v>50</v>
      </c>
    </row>
    <row r="383" spans="1:17" ht="15.75" customHeight="1">
      <c r="A383" s="19">
        <v>381</v>
      </c>
      <c r="B383" s="20" t="s">
        <v>1016</v>
      </c>
      <c r="C383" s="20" t="s">
        <v>799</v>
      </c>
      <c r="D383" s="20" t="s">
        <v>1017</v>
      </c>
      <c r="E383" s="21"/>
      <c r="F383" s="21"/>
      <c r="G383" s="21"/>
      <c r="H383" s="21"/>
      <c r="I383" s="21">
        <v>50</v>
      </c>
      <c r="J383" s="21"/>
      <c r="K383" s="21"/>
      <c r="L383" s="21"/>
      <c r="M383" s="21"/>
      <c r="N383" s="21"/>
      <c r="O383" s="21"/>
      <c r="P383" s="21"/>
      <c r="Q383" s="22">
        <f t="shared" si="5"/>
        <v>50</v>
      </c>
    </row>
    <row r="384" spans="1:17" ht="15.75" customHeight="1">
      <c r="A384" s="23">
        <v>382</v>
      </c>
      <c r="B384" s="24" t="s">
        <v>1018</v>
      </c>
      <c r="C384" s="24" t="s">
        <v>820</v>
      </c>
      <c r="D384" s="24" t="s">
        <v>1019</v>
      </c>
      <c r="E384" s="25"/>
      <c r="F384" s="25"/>
      <c r="G384" s="25"/>
      <c r="H384" s="25"/>
      <c r="I384" s="25">
        <v>50</v>
      </c>
      <c r="J384" s="25"/>
      <c r="K384" s="25"/>
      <c r="L384" s="25"/>
      <c r="M384" s="25"/>
      <c r="N384" s="25"/>
      <c r="O384" s="25"/>
      <c r="P384" s="25"/>
      <c r="Q384" s="22">
        <f t="shared" si="5"/>
        <v>50</v>
      </c>
    </row>
    <row r="385" spans="1:17" ht="15.75" customHeight="1">
      <c r="A385" s="19">
        <v>383</v>
      </c>
      <c r="B385" s="20" t="s">
        <v>1020</v>
      </c>
      <c r="C385" s="20" t="s">
        <v>832</v>
      </c>
      <c r="D385" s="20" t="s">
        <v>1021</v>
      </c>
      <c r="E385" s="21"/>
      <c r="F385" s="21"/>
      <c r="G385" s="21"/>
      <c r="H385" s="21"/>
      <c r="I385" s="21">
        <v>50</v>
      </c>
      <c r="J385" s="21"/>
      <c r="K385" s="21"/>
      <c r="L385" s="21"/>
      <c r="M385" s="21"/>
      <c r="N385" s="21"/>
      <c r="O385" s="21"/>
      <c r="P385" s="21"/>
      <c r="Q385" s="22">
        <f t="shared" si="5"/>
        <v>50</v>
      </c>
    </row>
    <row r="386" spans="1:17" ht="15.75" customHeight="1">
      <c r="A386" s="23">
        <v>384</v>
      </c>
      <c r="B386" s="24" t="s">
        <v>3142</v>
      </c>
      <c r="C386" s="24" t="s">
        <v>846</v>
      </c>
      <c r="D386" s="24" t="s">
        <v>3143</v>
      </c>
      <c r="E386" s="25"/>
      <c r="F386" s="25"/>
      <c r="G386" s="25"/>
      <c r="H386" s="25"/>
      <c r="I386" s="25">
        <v>50</v>
      </c>
      <c r="J386" s="25"/>
      <c r="K386" s="25"/>
      <c r="L386" s="25"/>
      <c r="M386" s="25"/>
      <c r="N386" s="25"/>
      <c r="O386" s="25"/>
      <c r="P386" s="25"/>
      <c r="Q386" s="22">
        <f t="shared" si="5"/>
        <v>50</v>
      </c>
    </row>
    <row r="387" spans="1:17" ht="15.75" customHeight="1">
      <c r="A387" s="19">
        <v>385</v>
      </c>
      <c r="B387" s="20" t="s">
        <v>1022</v>
      </c>
      <c r="C387" s="20" t="s">
        <v>846</v>
      </c>
      <c r="D387" s="20" t="s">
        <v>1023</v>
      </c>
      <c r="E387" s="21"/>
      <c r="F387" s="21"/>
      <c r="G387" s="21"/>
      <c r="H387" s="21">
        <v>30</v>
      </c>
      <c r="I387" s="21"/>
      <c r="J387" s="21"/>
      <c r="K387" s="21"/>
      <c r="L387" s="21"/>
      <c r="M387" s="21"/>
      <c r="N387" s="21"/>
      <c r="O387" s="21"/>
      <c r="P387" s="21"/>
      <c r="Q387" s="22">
        <f t="shared" ref="Q387:Q450" si="6">SUM(E387:P387)</f>
        <v>30</v>
      </c>
    </row>
    <row r="388" spans="1:17" ht="15.75" customHeight="1">
      <c r="A388" s="23">
        <v>386</v>
      </c>
      <c r="B388" s="24" t="s">
        <v>2609</v>
      </c>
      <c r="C388" s="24" t="s">
        <v>597</v>
      </c>
      <c r="D388" s="24" t="s">
        <v>2610</v>
      </c>
      <c r="E388" s="25"/>
      <c r="F388" s="25"/>
      <c r="G388" s="25"/>
      <c r="H388" s="25"/>
      <c r="I388" s="25">
        <v>50</v>
      </c>
      <c r="J388" s="25"/>
      <c r="K388" s="25"/>
      <c r="L388" s="25"/>
      <c r="M388" s="25"/>
      <c r="N388" s="25"/>
      <c r="O388" s="25"/>
      <c r="P388" s="25"/>
      <c r="Q388" s="22">
        <f t="shared" si="6"/>
        <v>50</v>
      </c>
    </row>
    <row r="389" spans="1:17" ht="15.75" customHeight="1">
      <c r="A389" s="19">
        <v>387</v>
      </c>
      <c r="B389" s="20" t="s">
        <v>2611</v>
      </c>
      <c r="C389" s="20" t="s">
        <v>591</v>
      </c>
      <c r="D389" s="20" t="s">
        <v>2612</v>
      </c>
      <c r="E389" s="21"/>
      <c r="F389" s="21"/>
      <c r="G389" s="21">
        <v>10</v>
      </c>
      <c r="H389" s="21"/>
      <c r="I389" s="21">
        <v>50</v>
      </c>
      <c r="J389" s="21"/>
      <c r="K389" s="21"/>
      <c r="L389" s="21"/>
      <c r="M389" s="21"/>
      <c r="N389" s="21"/>
      <c r="O389" s="21"/>
      <c r="P389" s="21"/>
      <c r="Q389" s="22">
        <f t="shared" si="6"/>
        <v>60</v>
      </c>
    </row>
    <row r="390" spans="1:17" ht="15.75" customHeight="1">
      <c r="A390" s="23">
        <v>388</v>
      </c>
      <c r="B390" s="24" t="s">
        <v>1024</v>
      </c>
      <c r="C390" s="24" t="s">
        <v>354</v>
      </c>
      <c r="D390" s="24" t="s">
        <v>1025</v>
      </c>
      <c r="E390" s="25"/>
      <c r="F390" s="25">
        <v>30</v>
      </c>
      <c r="G390" s="25">
        <v>20</v>
      </c>
      <c r="H390" s="25"/>
      <c r="I390" s="25"/>
      <c r="J390" s="25"/>
      <c r="K390" s="25"/>
      <c r="L390" s="25"/>
      <c r="M390" s="25"/>
      <c r="N390" s="25"/>
      <c r="O390" s="25"/>
      <c r="P390" s="25"/>
      <c r="Q390" s="22">
        <f t="shared" si="6"/>
        <v>50</v>
      </c>
    </row>
    <row r="391" spans="1:17" ht="15.75" customHeight="1">
      <c r="A391" s="19">
        <v>389</v>
      </c>
      <c r="B391" s="20" t="s">
        <v>1026</v>
      </c>
      <c r="C391" s="20" t="s">
        <v>568</v>
      </c>
      <c r="D391" s="20" t="s">
        <v>1027</v>
      </c>
      <c r="E391" s="21"/>
      <c r="F391" s="21">
        <v>30</v>
      </c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2">
        <f t="shared" si="6"/>
        <v>30</v>
      </c>
    </row>
    <row r="392" spans="1:17" ht="15.75" customHeight="1">
      <c r="A392" s="23">
        <v>390</v>
      </c>
      <c r="B392" s="24" t="s">
        <v>1028</v>
      </c>
      <c r="C392" s="24" t="s">
        <v>558</v>
      </c>
      <c r="D392" s="24" t="s">
        <v>1029</v>
      </c>
      <c r="E392" s="25"/>
      <c r="F392" s="25">
        <v>10</v>
      </c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2">
        <f t="shared" si="6"/>
        <v>10</v>
      </c>
    </row>
    <row r="393" spans="1:17" ht="15.75" customHeight="1">
      <c r="A393" s="19">
        <v>391</v>
      </c>
      <c r="B393" s="20" t="s">
        <v>1032</v>
      </c>
      <c r="C393" s="20" t="s">
        <v>1033</v>
      </c>
      <c r="D393" s="20" t="s">
        <v>932</v>
      </c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>
        <v>4</v>
      </c>
      <c r="Q393" s="22">
        <f t="shared" si="6"/>
        <v>4</v>
      </c>
    </row>
    <row r="394" spans="1:17" ht="15.75" customHeight="1">
      <c r="A394" s="23">
        <v>392</v>
      </c>
      <c r="B394" s="24" t="s">
        <v>3144</v>
      </c>
      <c r="C394" s="24" t="s">
        <v>666</v>
      </c>
      <c r="D394" s="24" t="s">
        <v>3145</v>
      </c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>
        <v>200</v>
      </c>
      <c r="Q394" s="22">
        <f t="shared" si="6"/>
        <v>200</v>
      </c>
    </row>
    <row r="395" spans="1:17" ht="15.75" customHeight="1">
      <c r="A395" s="19">
        <v>393</v>
      </c>
      <c r="B395" s="20" t="s">
        <v>1034</v>
      </c>
      <c r="C395" s="20" t="s">
        <v>1035</v>
      </c>
      <c r="D395" s="20"/>
      <c r="E395" s="21"/>
      <c r="F395" s="21">
        <v>9</v>
      </c>
      <c r="G395" s="21"/>
      <c r="H395" s="21"/>
      <c r="I395" s="21"/>
      <c r="J395" s="21"/>
      <c r="K395" s="21">
        <v>50</v>
      </c>
      <c r="L395" s="21"/>
      <c r="M395" s="21"/>
      <c r="N395" s="21"/>
      <c r="O395" s="21"/>
      <c r="P395" s="21"/>
      <c r="Q395" s="22">
        <f t="shared" si="6"/>
        <v>59</v>
      </c>
    </row>
    <row r="396" spans="1:17" ht="15.75" customHeight="1">
      <c r="A396" s="23">
        <v>394</v>
      </c>
      <c r="B396" s="24" t="s">
        <v>2615</v>
      </c>
      <c r="C396" s="24" t="s">
        <v>606</v>
      </c>
      <c r="D396" s="24" t="s">
        <v>2616</v>
      </c>
      <c r="E396" s="25"/>
      <c r="F396" s="25"/>
      <c r="G396" s="25"/>
      <c r="H396" s="25"/>
      <c r="I396" s="25">
        <v>50</v>
      </c>
      <c r="J396" s="25"/>
      <c r="K396" s="25"/>
      <c r="L396" s="25"/>
      <c r="M396" s="25"/>
      <c r="N396" s="25"/>
      <c r="O396" s="25"/>
      <c r="P396" s="25"/>
      <c r="Q396" s="22">
        <f t="shared" si="6"/>
        <v>50</v>
      </c>
    </row>
    <row r="397" spans="1:17" ht="15.75" customHeight="1">
      <c r="A397" s="19">
        <v>395</v>
      </c>
      <c r="B397" s="20" t="s">
        <v>3146</v>
      </c>
      <c r="C397" s="20" t="s">
        <v>609</v>
      </c>
      <c r="D397" s="20" t="s">
        <v>3147</v>
      </c>
      <c r="E397" s="21"/>
      <c r="F397" s="21"/>
      <c r="G397" s="21"/>
      <c r="H397" s="21"/>
      <c r="I397" s="21">
        <v>80</v>
      </c>
      <c r="J397" s="21"/>
      <c r="K397" s="21"/>
      <c r="L397" s="21"/>
      <c r="M397" s="21"/>
      <c r="N397" s="21"/>
      <c r="O397" s="21"/>
      <c r="P397" s="21"/>
      <c r="Q397" s="22">
        <f t="shared" si="6"/>
        <v>80</v>
      </c>
    </row>
    <row r="398" spans="1:17" ht="15.75" customHeight="1">
      <c r="A398" s="23">
        <v>396</v>
      </c>
      <c r="B398" s="24" t="s">
        <v>3148</v>
      </c>
      <c r="C398" s="24" t="s">
        <v>785</v>
      </c>
      <c r="D398" s="24" t="s">
        <v>3149</v>
      </c>
      <c r="E398" s="25"/>
      <c r="F398" s="25"/>
      <c r="G398" s="25"/>
      <c r="H398" s="25"/>
      <c r="I398" s="25">
        <v>50</v>
      </c>
      <c r="J398" s="25"/>
      <c r="K398" s="25"/>
      <c r="L398" s="25"/>
      <c r="M398" s="25"/>
      <c r="N398" s="25"/>
      <c r="O398" s="25"/>
      <c r="P398" s="25"/>
      <c r="Q398" s="22">
        <f t="shared" si="6"/>
        <v>50</v>
      </c>
    </row>
    <row r="399" spans="1:17" ht="15.75" customHeight="1">
      <c r="A399" s="19">
        <v>397</v>
      </c>
      <c r="B399" s="20" t="s">
        <v>3150</v>
      </c>
      <c r="C399" s="20" t="s">
        <v>3151</v>
      </c>
      <c r="D399" s="20" t="s">
        <v>1142</v>
      </c>
      <c r="E399" s="21">
        <v>10</v>
      </c>
      <c r="F399" s="21"/>
      <c r="G399" s="21"/>
      <c r="H399" s="21"/>
      <c r="I399" s="21">
        <v>20</v>
      </c>
      <c r="J399" s="21"/>
      <c r="K399" s="21"/>
      <c r="L399" s="21"/>
      <c r="M399" s="21">
        <v>10</v>
      </c>
      <c r="N399" s="21"/>
      <c r="O399" s="21"/>
      <c r="P399" s="21"/>
      <c r="Q399" s="22">
        <f t="shared" si="6"/>
        <v>40</v>
      </c>
    </row>
    <row r="400" spans="1:17" ht="15.75" customHeight="1">
      <c r="A400" s="23">
        <v>398</v>
      </c>
      <c r="B400" s="24" t="s">
        <v>3152</v>
      </c>
      <c r="C400" s="24" t="s">
        <v>3153</v>
      </c>
      <c r="D400" s="24"/>
      <c r="E400" s="25"/>
      <c r="F400" s="25">
        <v>170</v>
      </c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2">
        <f t="shared" si="6"/>
        <v>170</v>
      </c>
    </row>
    <row r="401" spans="1:17" ht="15.75" customHeight="1">
      <c r="A401" s="19">
        <v>399</v>
      </c>
      <c r="B401" s="20" t="s">
        <v>1036</v>
      </c>
      <c r="C401" s="20" t="s">
        <v>1037</v>
      </c>
      <c r="D401" s="20"/>
      <c r="E401" s="21"/>
      <c r="F401" s="21"/>
      <c r="G401" s="21"/>
      <c r="H401" s="21"/>
      <c r="I401" s="21"/>
      <c r="J401" s="21">
        <v>60</v>
      </c>
      <c r="K401" s="21"/>
      <c r="L401" s="21">
        <v>90</v>
      </c>
      <c r="M401" s="21"/>
      <c r="N401" s="21"/>
      <c r="O401" s="21"/>
      <c r="P401" s="21"/>
      <c r="Q401" s="22">
        <f t="shared" si="6"/>
        <v>150</v>
      </c>
    </row>
    <row r="402" spans="1:17" ht="15.75" customHeight="1">
      <c r="A402" s="23">
        <v>400</v>
      </c>
      <c r="B402" s="24" t="s">
        <v>2621</v>
      </c>
      <c r="C402" s="24" t="s">
        <v>2622</v>
      </c>
      <c r="D402" s="24"/>
      <c r="E402" s="25">
        <v>20</v>
      </c>
      <c r="F402" s="25"/>
      <c r="G402" s="25"/>
      <c r="H402" s="25">
        <v>2</v>
      </c>
      <c r="I402" s="25"/>
      <c r="J402" s="25"/>
      <c r="K402" s="25"/>
      <c r="L402" s="25"/>
      <c r="M402" s="25"/>
      <c r="N402" s="25"/>
      <c r="O402" s="25"/>
      <c r="P402" s="25"/>
      <c r="Q402" s="22">
        <f t="shared" si="6"/>
        <v>22</v>
      </c>
    </row>
    <row r="403" spans="1:17" ht="15.75" customHeight="1">
      <c r="A403" s="19">
        <v>401</v>
      </c>
      <c r="B403" s="20" t="s">
        <v>1038</v>
      </c>
      <c r="C403" s="20" t="s">
        <v>820</v>
      </c>
      <c r="D403" s="20" t="s">
        <v>1039</v>
      </c>
      <c r="E403" s="21"/>
      <c r="F403" s="21"/>
      <c r="G403" s="21"/>
      <c r="H403" s="21">
        <v>30</v>
      </c>
      <c r="I403" s="21"/>
      <c r="J403" s="21"/>
      <c r="K403" s="21"/>
      <c r="L403" s="21"/>
      <c r="M403" s="21"/>
      <c r="N403" s="21"/>
      <c r="O403" s="21"/>
      <c r="P403" s="21"/>
      <c r="Q403" s="22">
        <f t="shared" si="6"/>
        <v>30</v>
      </c>
    </row>
    <row r="404" spans="1:17" ht="15.75" customHeight="1">
      <c r="A404" s="23">
        <v>402</v>
      </c>
      <c r="B404" s="24" t="s">
        <v>3154</v>
      </c>
      <c r="C404" s="24" t="s">
        <v>367</v>
      </c>
      <c r="D404" s="24" t="s">
        <v>3155</v>
      </c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>
        <v>200</v>
      </c>
      <c r="Q404" s="22">
        <f t="shared" si="6"/>
        <v>200</v>
      </c>
    </row>
    <row r="405" spans="1:17" ht="15.75" customHeight="1">
      <c r="A405" s="19">
        <v>403</v>
      </c>
      <c r="B405" s="20" t="s">
        <v>1042</v>
      </c>
      <c r="C405" s="20" t="s">
        <v>351</v>
      </c>
      <c r="D405" s="20" t="s">
        <v>1043</v>
      </c>
      <c r="E405" s="21"/>
      <c r="F405" s="21"/>
      <c r="G405" s="21"/>
      <c r="H405" s="21"/>
      <c r="I405" s="21"/>
      <c r="J405" s="21"/>
      <c r="K405" s="21"/>
      <c r="L405" s="21">
        <v>30</v>
      </c>
      <c r="M405" s="21"/>
      <c r="N405" s="21"/>
      <c r="O405" s="21"/>
      <c r="P405" s="21">
        <v>100</v>
      </c>
      <c r="Q405" s="22">
        <f t="shared" si="6"/>
        <v>130</v>
      </c>
    </row>
    <row r="406" spans="1:17" ht="15.75" customHeight="1">
      <c r="A406" s="23">
        <v>404</v>
      </c>
      <c r="B406" s="24" t="s">
        <v>1046</v>
      </c>
      <c r="C406" s="24" t="s">
        <v>354</v>
      </c>
      <c r="D406" s="24" t="s">
        <v>1047</v>
      </c>
      <c r="E406" s="25"/>
      <c r="F406" s="25"/>
      <c r="G406" s="25">
        <v>100</v>
      </c>
      <c r="H406" s="25"/>
      <c r="I406" s="25"/>
      <c r="J406" s="25"/>
      <c r="K406" s="25"/>
      <c r="L406" s="25">
        <v>30</v>
      </c>
      <c r="M406" s="25"/>
      <c r="N406" s="25"/>
      <c r="O406" s="25"/>
      <c r="P406" s="25"/>
      <c r="Q406" s="22">
        <f t="shared" si="6"/>
        <v>130</v>
      </c>
    </row>
    <row r="407" spans="1:17" ht="15.75" customHeight="1">
      <c r="A407" s="19">
        <v>405</v>
      </c>
      <c r="B407" s="20" t="s">
        <v>1048</v>
      </c>
      <c r="C407" s="20" t="s">
        <v>582</v>
      </c>
      <c r="D407" s="20" t="s">
        <v>1049</v>
      </c>
      <c r="E407" s="21"/>
      <c r="F407" s="21"/>
      <c r="G407" s="21">
        <v>60</v>
      </c>
      <c r="H407" s="21"/>
      <c r="I407" s="21"/>
      <c r="J407" s="21"/>
      <c r="K407" s="21"/>
      <c r="L407" s="21"/>
      <c r="M407" s="21"/>
      <c r="N407" s="21"/>
      <c r="O407" s="21"/>
      <c r="P407" s="21"/>
      <c r="Q407" s="22">
        <f t="shared" si="6"/>
        <v>60</v>
      </c>
    </row>
    <row r="408" spans="1:17" ht="15.75" customHeight="1">
      <c r="A408" s="23">
        <v>406</v>
      </c>
      <c r="B408" s="24" t="s">
        <v>3156</v>
      </c>
      <c r="C408" s="24" t="s">
        <v>3157</v>
      </c>
      <c r="D408" s="24" t="s">
        <v>3158</v>
      </c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>
        <v>10</v>
      </c>
      <c r="Q408" s="22">
        <f t="shared" si="6"/>
        <v>10</v>
      </c>
    </row>
    <row r="409" spans="1:17" ht="15.75" customHeight="1">
      <c r="A409" s="19">
        <v>407</v>
      </c>
      <c r="B409" s="20" t="s">
        <v>1050</v>
      </c>
      <c r="C409" s="20" t="s">
        <v>591</v>
      </c>
      <c r="D409" s="20" t="s">
        <v>1051</v>
      </c>
      <c r="E409" s="21"/>
      <c r="F409" s="21"/>
      <c r="G409" s="21">
        <v>30</v>
      </c>
      <c r="H409" s="21"/>
      <c r="I409" s="21"/>
      <c r="J409" s="21"/>
      <c r="K409" s="21"/>
      <c r="L409" s="21"/>
      <c r="M409" s="21"/>
      <c r="N409" s="21"/>
      <c r="O409" s="21"/>
      <c r="P409" s="21"/>
      <c r="Q409" s="22">
        <f t="shared" si="6"/>
        <v>30</v>
      </c>
    </row>
    <row r="410" spans="1:17" ht="15.75" customHeight="1">
      <c r="A410" s="23">
        <v>408</v>
      </c>
      <c r="B410" s="24" t="s">
        <v>1052</v>
      </c>
      <c r="C410" s="24" t="s">
        <v>480</v>
      </c>
      <c r="D410" s="24" t="s">
        <v>1053</v>
      </c>
      <c r="E410" s="25"/>
      <c r="F410" s="25"/>
      <c r="G410" s="25">
        <v>20</v>
      </c>
      <c r="H410" s="25"/>
      <c r="I410" s="25"/>
      <c r="J410" s="25"/>
      <c r="K410" s="25"/>
      <c r="L410" s="25"/>
      <c r="M410" s="25"/>
      <c r="N410" s="25"/>
      <c r="O410" s="25"/>
      <c r="P410" s="25"/>
      <c r="Q410" s="22">
        <f t="shared" si="6"/>
        <v>20</v>
      </c>
    </row>
    <row r="411" spans="1:17" ht="15.75" customHeight="1">
      <c r="A411" s="19">
        <v>409</v>
      </c>
      <c r="B411" s="20" t="s">
        <v>1054</v>
      </c>
      <c r="C411" s="20" t="s">
        <v>1055</v>
      </c>
      <c r="D411" s="20"/>
      <c r="E411" s="21"/>
      <c r="F411" s="21">
        <v>6</v>
      </c>
      <c r="G411" s="21"/>
      <c r="H411" s="21"/>
      <c r="I411" s="21"/>
      <c r="J411" s="21"/>
      <c r="K411" s="21"/>
      <c r="L411" s="21"/>
      <c r="M411" s="21"/>
      <c r="N411" s="21">
        <v>34</v>
      </c>
      <c r="O411" s="21"/>
      <c r="P411" s="21"/>
      <c r="Q411" s="22">
        <f t="shared" si="6"/>
        <v>40</v>
      </c>
    </row>
    <row r="412" spans="1:17" ht="15.75" customHeight="1">
      <c r="A412" s="23">
        <v>410</v>
      </c>
      <c r="B412" s="24" t="s">
        <v>1056</v>
      </c>
      <c r="C412" s="24" t="s">
        <v>1057</v>
      </c>
      <c r="D412" s="24"/>
      <c r="E412" s="25"/>
      <c r="F412" s="25"/>
      <c r="G412" s="25"/>
      <c r="H412" s="25"/>
      <c r="I412" s="25"/>
      <c r="J412" s="25"/>
      <c r="K412" s="25"/>
      <c r="L412" s="25"/>
      <c r="M412" s="25">
        <v>50</v>
      </c>
      <c r="N412" s="25"/>
      <c r="O412" s="25"/>
      <c r="P412" s="25">
        <v>18</v>
      </c>
      <c r="Q412" s="22">
        <f t="shared" si="6"/>
        <v>68</v>
      </c>
    </row>
    <row r="413" spans="1:17" ht="15.75" customHeight="1">
      <c r="A413" s="19">
        <v>411</v>
      </c>
      <c r="B413" s="20" t="s">
        <v>3159</v>
      </c>
      <c r="C413" s="20" t="s">
        <v>849</v>
      </c>
      <c r="D413" s="20" t="s">
        <v>3160</v>
      </c>
      <c r="E413" s="21">
        <v>2</v>
      </c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2">
        <f t="shared" si="6"/>
        <v>2</v>
      </c>
    </row>
    <row r="414" spans="1:17" ht="15.75" customHeight="1">
      <c r="A414" s="23">
        <v>412</v>
      </c>
      <c r="B414" s="24" t="s">
        <v>3161</v>
      </c>
      <c r="C414" s="24" t="s">
        <v>3162</v>
      </c>
      <c r="D414" s="24" t="s">
        <v>932</v>
      </c>
      <c r="E414" s="25"/>
      <c r="F414" s="25"/>
      <c r="G414" s="25"/>
      <c r="H414" s="25"/>
      <c r="I414" s="25"/>
      <c r="J414" s="25"/>
      <c r="K414" s="25"/>
      <c r="L414" s="25"/>
      <c r="M414" s="25"/>
      <c r="N414" s="25">
        <v>6</v>
      </c>
      <c r="O414" s="25"/>
      <c r="P414" s="25"/>
      <c r="Q414" s="22">
        <f t="shared" si="6"/>
        <v>6</v>
      </c>
    </row>
    <row r="415" spans="1:17" ht="15.75" customHeight="1">
      <c r="A415" s="19">
        <v>413</v>
      </c>
      <c r="B415" s="20" t="s">
        <v>2623</v>
      </c>
      <c r="C415" s="20" t="s">
        <v>2624</v>
      </c>
      <c r="D415" s="20"/>
      <c r="E415" s="21"/>
      <c r="F415" s="21"/>
      <c r="G415" s="21"/>
      <c r="H415" s="21"/>
      <c r="I415" s="21"/>
      <c r="J415" s="21"/>
      <c r="K415" s="21"/>
      <c r="L415" s="21"/>
      <c r="M415" s="21"/>
      <c r="N415" s="21">
        <v>4</v>
      </c>
      <c r="O415" s="21"/>
      <c r="P415" s="21"/>
      <c r="Q415" s="22">
        <f t="shared" si="6"/>
        <v>4</v>
      </c>
    </row>
    <row r="416" spans="1:17" ht="15.75" customHeight="1">
      <c r="A416" s="23">
        <v>414</v>
      </c>
      <c r="B416" s="24" t="s">
        <v>1058</v>
      </c>
      <c r="C416" s="24" t="s">
        <v>1059</v>
      </c>
      <c r="D416" s="24"/>
      <c r="E416" s="25"/>
      <c r="F416" s="25"/>
      <c r="G416" s="25">
        <v>1</v>
      </c>
      <c r="H416" s="25"/>
      <c r="I416" s="25">
        <v>20</v>
      </c>
      <c r="J416" s="25"/>
      <c r="K416" s="25"/>
      <c r="L416" s="25"/>
      <c r="M416" s="25"/>
      <c r="N416" s="25"/>
      <c r="O416" s="25"/>
      <c r="P416" s="25"/>
      <c r="Q416" s="22">
        <f t="shared" si="6"/>
        <v>21</v>
      </c>
    </row>
    <row r="417" spans="1:17" ht="15.75" customHeight="1">
      <c r="A417" s="19">
        <v>415</v>
      </c>
      <c r="B417" s="20" t="s">
        <v>3163</v>
      </c>
      <c r="C417" s="20" t="s">
        <v>779</v>
      </c>
      <c r="D417" s="20" t="s">
        <v>3164</v>
      </c>
      <c r="E417" s="21"/>
      <c r="F417" s="21"/>
      <c r="G417" s="21">
        <v>10</v>
      </c>
      <c r="H417" s="21"/>
      <c r="I417" s="21"/>
      <c r="J417" s="21"/>
      <c r="K417" s="21"/>
      <c r="L417" s="21"/>
      <c r="M417" s="21"/>
      <c r="N417" s="21"/>
      <c r="O417" s="21"/>
      <c r="P417" s="21"/>
      <c r="Q417" s="22">
        <f t="shared" si="6"/>
        <v>10</v>
      </c>
    </row>
    <row r="418" spans="1:17" ht="15.75" customHeight="1">
      <c r="A418" s="23">
        <v>416</v>
      </c>
      <c r="B418" s="24" t="s">
        <v>3165</v>
      </c>
      <c r="C418" s="24" t="s">
        <v>3166</v>
      </c>
      <c r="D418" s="24"/>
      <c r="E418" s="25"/>
      <c r="F418" s="25">
        <v>5</v>
      </c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2">
        <f t="shared" si="6"/>
        <v>5</v>
      </c>
    </row>
    <row r="419" spans="1:17" ht="15.75" customHeight="1">
      <c r="A419" s="19">
        <v>417</v>
      </c>
      <c r="B419" s="20" t="s">
        <v>1066</v>
      </c>
      <c r="C419" s="20" t="s">
        <v>899</v>
      </c>
      <c r="D419" s="20" t="s">
        <v>1067</v>
      </c>
      <c r="E419" s="21">
        <v>1</v>
      </c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2">
        <f t="shared" si="6"/>
        <v>1</v>
      </c>
    </row>
    <row r="420" spans="1:17" ht="15.75" customHeight="1">
      <c r="A420" s="23">
        <v>418</v>
      </c>
      <c r="B420" s="24" t="s">
        <v>3167</v>
      </c>
      <c r="C420" s="24" t="s">
        <v>3168</v>
      </c>
      <c r="D420" s="24"/>
      <c r="E420" s="25"/>
      <c r="F420" s="25"/>
      <c r="G420" s="25">
        <v>4</v>
      </c>
      <c r="H420" s="25"/>
      <c r="I420" s="25"/>
      <c r="J420" s="25"/>
      <c r="K420" s="25"/>
      <c r="L420" s="25"/>
      <c r="M420" s="25"/>
      <c r="N420" s="25"/>
      <c r="O420" s="25"/>
      <c r="P420" s="25"/>
      <c r="Q420" s="22">
        <f t="shared" si="6"/>
        <v>4</v>
      </c>
    </row>
    <row r="421" spans="1:17" ht="15.75" customHeight="1">
      <c r="A421" s="19">
        <v>419</v>
      </c>
      <c r="B421" s="20" t="s">
        <v>1072</v>
      </c>
      <c r="C421" s="20" t="s">
        <v>1073</v>
      </c>
      <c r="D421" s="20"/>
      <c r="E421" s="21"/>
      <c r="F421" s="21"/>
      <c r="G421" s="21"/>
      <c r="H421" s="21"/>
      <c r="I421" s="21"/>
      <c r="J421" s="21"/>
      <c r="K421" s="21"/>
      <c r="L421" s="21"/>
      <c r="M421" s="21"/>
      <c r="N421" s="21">
        <v>10</v>
      </c>
      <c r="O421" s="21"/>
      <c r="P421" s="21"/>
      <c r="Q421" s="22">
        <f t="shared" si="6"/>
        <v>10</v>
      </c>
    </row>
    <row r="422" spans="1:17" ht="15.75" customHeight="1">
      <c r="A422" s="23">
        <v>420</v>
      </c>
      <c r="B422" s="24" t="s">
        <v>1087</v>
      </c>
      <c r="C422" s="24" t="s">
        <v>814</v>
      </c>
      <c r="D422" s="24" t="s">
        <v>1088</v>
      </c>
      <c r="E422" s="25"/>
      <c r="F422" s="25"/>
      <c r="G422" s="25"/>
      <c r="H422" s="25"/>
      <c r="I422" s="25"/>
      <c r="J422" s="25"/>
      <c r="K422" s="25"/>
      <c r="L422" s="25"/>
      <c r="M422" s="25"/>
      <c r="N422" s="25">
        <v>100</v>
      </c>
      <c r="O422" s="25"/>
      <c r="P422" s="25"/>
      <c r="Q422" s="22">
        <f t="shared" si="6"/>
        <v>100</v>
      </c>
    </row>
    <row r="423" spans="1:17" ht="15.75" customHeight="1">
      <c r="A423" s="19">
        <v>421</v>
      </c>
      <c r="B423" s="20" t="s">
        <v>1089</v>
      </c>
      <c r="C423" s="20" t="s">
        <v>841</v>
      </c>
      <c r="D423" s="20" t="s">
        <v>1090</v>
      </c>
      <c r="E423" s="21"/>
      <c r="F423" s="21"/>
      <c r="G423" s="21"/>
      <c r="H423" s="21"/>
      <c r="I423" s="21"/>
      <c r="J423" s="21"/>
      <c r="K423" s="21"/>
      <c r="L423" s="21">
        <v>20</v>
      </c>
      <c r="M423" s="21"/>
      <c r="N423" s="21"/>
      <c r="O423" s="21"/>
      <c r="P423" s="21">
        <v>100</v>
      </c>
      <c r="Q423" s="22">
        <f t="shared" si="6"/>
        <v>120</v>
      </c>
    </row>
    <row r="424" spans="1:17" ht="15.75" customHeight="1">
      <c r="A424" s="23">
        <v>422</v>
      </c>
      <c r="B424" s="24" t="s">
        <v>1091</v>
      </c>
      <c r="C424" s="24" t="s">
        <v>869</v>
      </c>
      <c r="D424" s="24" t="s">
        <v>1092</v>
      </c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>
        <v>3968</v>
      </c>
      <c r="P424" s="25">
        <v>2050</v>
      </c>
      <c r="Q424" s="22">
        <f t="shared" si="6"/>
        <v>6018</v>
      </c>
    </row>
    <row r="425" spans="1:17" ht="15.75" customHeight="1">
      <c r="A425" s="19">
        <v>423</v>
      </c>
      <c r="B425" s="20" t="s">
        <v>1093</v>
      </c>
      <c r="C425" s="20" t="s">
        <v>841</v>
      </c>
      <c r="D425" s="20" t="s">
        <v>1094</v>
      </c>
      <c r="E425" s="21"/>
      <c r="F425" s="21"/>
      <c r="G425" s="21"/>
      <c r="H425" s="21"/>
      <c r="I425" s="21"/>
      <c r="J425" s="21"/>
      <c r="K425" s="21"/>
      <c r="L425" s="21">
        <v>2000</v>
      </c>
      <c r="M425" s="21"/>
      <c r="N425" s="21"/>
      <c r="O425" s="21"/>
      <c r="P425" s="21"/>
      <c r="Q425" s="22">
        <f t="shared" si="6"/>
        <v>2000</v>
      </c>
    </row>
    <row r="426" spans="1:17" ht="15.75" customHeight="1">
      <c r="A426" s="23">
        <v>424</v>
      </c>
      <c r="B426" s="24" t="s">
        <v>3169</v>
      </c>
      <c r="C426" s="24" t="s">
        <v>3170</v>
      </c>
      <c r="D426" s="24"/>
      <c r="E426" s="25"/>
      <c r="F426" s="25"/>
      <c r="G426" s="25"/>
      <c r="H426" s="25"/>
      <c r="I426" s="25"/>
      <c r="J426" s="25"/>
      <c r="K426" s="25"/>
      <c r="L426" s="25"/>
      <c r="M426" s="25">
        <v>4</v>
      </c>
      <c r="N426" s="25"/>
      <c r="O426" s="25"/>
      <c r="P426" s="25"/>
      <c r="Q426" s="22">
        <f t="shared" si="6"/>
        <v>4</v>
      </c>
    </row>
    <row r="427" spans="1:17" ht="15.75" customHeight="1">
      <c r="A427" s="19">
        <v>425</v>
      </c>
      <c r="B427" s="20" t="s">
        <v>2629</v>
      </c>
      <c r="C427" s="20" t="s">
        <v>2630</v>
      </c>
      <c r="D427" s="20" t="s">
        <v>2631</v>
      </c>
      <c r="E427" s="21"/>
      <c r="F427" s="21"/>
      <c r="G427" s="21"/>
      <c r="H427" s="21"/>
      <c r="I427" s="21"/>
      <c r="J427" s="21"/>
      <c r="K427" s="21"/>
      <c r="L427" s="21">
        <v>10</v>
      </c>
      <c r="M427" s="21"/>
      <c r="N427" s="21"/>
      <c r="O427" s="21"/>
      <c r="P427" s="21"/>
      <c r="Q427" s="22">
        <f t="shared" si="6"/>
        <v>10</v>
      </c>
    </row>
    <row r="428" spans="1:17" ht="15.75" customHeight="1">
      <c r="A428" s="23">
        <v>426</v>
      </c>
      <c r="B428" s="24" t="s">
        <v>3171</v>
      </c>
      <c r="C428" s="24" t="s">
        <v>3172</v>
      </c>
      <c r="D428" s="24"/>
      <c r="E428" s="25"/>
      <c r="F428" s="25"/>
      <c r="G428" s="25"/>
      <c r="H428" s="25"/>
      <c r="I428" s="25"/>
      <c r="J428" s="25">
        <v>1</v>
      </c>
      <c r="K428" s="25"/>
      <c r="L428" s="25"/>
      <c r="M428" s="25"/>
      <c r="N428" s="25"/>
      <c r="O428" s="25"/>
      <c r="P428" s="25"/>
      <c r="Q428" s="22">
        <f t="shared" si="6"/>
        <v>1</v>
      </c>
    </row>
    <row r="429" spans="1:17" ht="15.75" customHeight="1">
      <c r="A429" s="19">
        <v>427</v>
      </c>
      <c r="B429" s="20" t="s">
        <v>3173</v>
      </c>
      <c r="C429" s="20" t="s">
        <v>612</v>
      </c>
      <c r="D429" s="20" t="s">
        <v>3174</v>
      </c>
      <c r="E429" s="21"/>
      <c r="F429" s="21"/>
      <c r="G429" s="21">
        <v>20</v>
      </c>
      <c r="H429" s="21"/>
      <c r="I429" s="21">
        <v>80</v>
      </c>
      <c r="J429" s="21"/>
      <c r="K429" s="21"/>
      <c r="L429" s="21"/>
      <c r="M429" s="21"/>
      <c r="N429" s="21"/>
      <c r="O429" s="21"/>
      <c r="P429" s="21"/>
      <c r="Q429" s="22">
        <f t="shared" si="6"/>
        <v>100</v>
      </c>
    </row>
    <row r="430" spans="1:17" ht="15.75" customHeight="1">
      <c r="A430" s="23">
        <v>428</v>
      </c>
      <c r="B430" s="24" t="s">
        <v>1099</v>
      </c>
      <c r="C430" s="24" t="s">
        <v>370</v>
      </c>
      <c r="D430" s="24" t="s">
        <v>1100</v>
      </c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>
        <v>100</v>
      </c>
      <c r="Q430" s="22">
        <f t="shared" si="6"/>
        <v>100</v>
      </c>
    </row>
    <row r="431" spans="1:17" ht="15.75" customHeight="1">
      <c r="A431" s="19">
        <v>429</v>
      </c>
      <c r="B431" s="20" t="s">
        <v>2642</v>
      </c>
      <c r="C431" s="20" t="s">
        <v>2643</v>
      </c>
      <c r="D431" s="20"/>
      <c r="E431" s="21"/>
      <c r="F431" s="21"/>
      <c r="G431" s="21">
        <v>38</v>
      </c>
      <c r="H431" s="21"/>
      <c r="I431" s="21"/>
      <c r="J431" s="21"/>
      <c r="K431" s="21"/>
      <c r="L431" s="21"/>
      <c r="M431" s="21"/>
      <c r="N431" s="21"/>
      <c r="O431" s="21"/>
      <c r="P431" s="21"/>
      <c r="Q431" s="22">
        <f t="shared" si="6"/>
        <v>38</v>
      </c>
    </row>
    <row r="432" spans="1:17" ht="15.75" customHeight="1">
      <c r="A432" s="23">
        <v>430</v>
      </c>
      <c r="B432" s="24" t="s">
        <v>3175</v>
      </c>
      <c r="C432" s="24" t="s">
        <v>3176</v>
      </c>
      <c r="D432" s="24" t="s">
        <v>3177</v>
      </c>
      <c r="E432" s="25"/>
      <c r="F432" s="25"/>
      <c r="G432" s="25">
        <v>23</v>
      </c>
      <c r="H432" s="25"/>
      <c r="I432" s="25"/>
      <c r="J432" s="25"/>
      <c r="K432" s="25"/>
      <c r="L432" s="25">
        <v>10</v>
      </c>
      <c r="M432" s="25"/>
      <c r="N432" s="25"/>
      <c r="O432" s="25"/>
      <c r="P432" s="25"/>
      <c r="Q432" s="22">
        <f t="shared" si="6"/>
        <v>33</v>
      </c>
    </row>
    <row r="433" spans="1:17" ht="15.75" customHeight="1">
      <c r="A433" s="19">
        <v>431</v>
      </c>
      <c r="B433" s="20" t="s">
        <v>3178</v>
      </c>
      <c r="C433" s="20" t="s">
        <v>823</v>
      </c>
      <c r="D433" s="20" t="s">
        <v>1136</v>
      </c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>
        <v>10</v>
      </c>
      <c r="P433" s="21"/>
      <c r="Q433" s="22">
        <f t="shared" si="6"/>
        <v>10</v>
      </c>
    </row>
    <row r="434" spans="1:17" ht="15.75" customHeight="1">
      <c r="A434" s="23">
        <v>432</v>
      </c>
      <c r="B434" s="24" t="s">
        <v>1110</v>
      </c>
      <c r="C434" s="24" t="s">
        <v>835</v>
      </c>
      <c r="D434" s="24" t="s">
        <v>1111</v>
      </c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>
        <v>10</v>
      </c>
      <c r="P434" s="25"/>
      <c r="Q434" s="22">
        <f t="shared" si="6"/>
        <v>10</v>
      </c>
    </row>
    <row r="435" spans="1:17" ht="15.75" customHeight="1">
      <c r="A435" s="19">
        <v>433</v>
      </c>
      <c r="B435" s="20" t="s">
        <v>3179</v>
      </c>
      <c r="C435" s="20" t="s">
        <v>726</v>
      </c>
      <c r="D435" s="27" t="s">
        <v>1154</v>
      </c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>
        <v>20</v>
      </c>
      <c r="P435" s="21"/>
      <c r="Q435" s="22">
        <f t="shared" si="6"/>
        <v>20</v>
      </c>
    </row>
    <row r="436" spans="1:17" ht="15.75" customHeight="1">
      <c r="A436" s="23">
        <v>434</v>
      </c>
      <c r="B436" s="24" t="s">
        <v>1114</v>
      </c>
      <c r="C436" s="24" t="s">
        <v>558</v>
      </c>
      <c r="D436" s="24" t="s">
        <v>1115</v>
      </c>
      <c r="E436" s="25"/>
      <c r="F436" s="25"/>
      <c r="G436" s="25"/>
      <c r="H436" s="25"/>
      <c r="I436" s="25"/>
      <c r="J436" s="25"/>
      <c r="K436" s="25"/>
      <c r="L436" s="25">
        <v>8</v>
      </c>
      <c r="M436" s="25">
        <v>3</v>
      </c>
      <c r="N436" s="25">
        <v>15</v>
      </c>
      <c r="O436" s="25"/>
      <c r="P436" s="25">
        <v>12</v>
      </c>
      <c r="Q436" s="22">
        <f t="shared" si="6"/>
        <v>38</v>
      </c>
    </row>
    <row r="437" spans="1:17" ht="15.75" customHeight="1">
      <c r="A437" s="19">
        <v>435</v>
      </c>
      <c r="B437" s="20" t="s">
        <v>1116</v>
      </c>
      <c r="C437" s="20" t="s">
        <v>1117</v>
      </c>
      <c r="D437" s="20"/>
      <c r="E437" s="21"/>
      <c r="F437" s="21"/>
      <c r="G437" s="21">
        <v>86</v>
      </c>
      <c r="H437" s="21"/>
      <c r="I437" s="21"/>
      <c r="J437" s="21"/>
      <c r="K437" s="21"/>
      <c r="L437" s="21"/>
      <c r="M437" s="21"/>
      <c r="N437" s="21"/>
      <c r="O437" s="21"/>
      <c r="P437" s="21"/>
      <c r="Q437" s="22">
        <f t="shared" si="6"/>
        <v>86</v>
      </c>
    </row>
    <row r="438" spans="1:17" ht="15.75" customHeight="1">
      <c r="A438" s="23">
        <v>436</v>
      </c>
      <c r="B438" s="24" t="s">
        <v>1118</v>
      </c>
      <c r="C438" s="24" t="s">
        <v>370</v>
      </c>
      <c r="D438" s="24" t="s">
        <v>1115</v>
      </c>
      <c r="E438" s="25"/>
      <c r="F438" s="25"/>
      <c r="G438" s="25">
        <v>1</v>
      </c>
      <c r="H438" s="25"/>
      <c r="I438" s="25"/>
      <c r="J438" s="25"/>
      <c r="K438" s="25"/>
      <c r="L438" s="25"/>
      <c r="M438" s="25"/>
      <c r="N438" s="25"/>
      <c r="O438" s="25"/>
      <c r="P438" s="25">
        <v>3</v>
      </c>
      <c r="Q438" s="22">
        <f t="shared" si="6"/>
        <v>4</v>
      </c>
    </row>
    <row r="439" spans="1:17" ht="15.75" customHeight="1">
      <c r="A439" s="19">
        <v>437</v>
      </c>
      <c r="B439" s="20" t="s">
        <v>1119</v>
      </c>
      <c r="C439" s="20" t="s">
        <v>351</v>
      </c>
      <c r="D439" s="20" t="s">
        <v>1115</v>
      </c>
      <c r="E439" s="21"/>
      <c r="F439" s="21"/>
      <c r="G439" s="21">
        <v>1</v>
      </c>
      <c r="H439" s="21"/>
      <c r="I439" s="21"/>
      <c r="J439" s="21"/>
      <c r="K439" s="21"/>
      <c r="L439" s="21"/>
      <c r="M439" s="21"/>
      <c r="N439" s="21"/>
      <c r="O439" s="21"/>
      <c r="P439" s="21"/>
      <c r="Q439" s="22">
        <f t="shared" si="6"/>
        <v>1</v>
      </c>
    </row>
    <row r="440" spans="1:17" ht="15.75" customHeight="1">
      <c r="A440" s="23">
        <v>438</v>
      </c>
      <c r="B440" s="24" t="s">
        <v>1120</v>
      </c>
      <c r="C440" s="24" t="s">
        <v>568</v>
      </c>
      <c r="D440" s="24" t="s">
        <v>1115</v>
      </c>
      <c r="E440" s="25"/>
      <c r="F440" s="25"/>
      <c r="G440" s="25">
        <v>30</v>
      </c>
      <c r="H440" s="25"/>
      <c r="I440" s="25"/>
      <c r="J440" s="25">
        <v>2</v>
      </c>
      <c r="K440" s="25"/>
      <c r="L440" s="25"/>
      <c r="M440" s="25">
        <v>2</v>
      </c>
      <c r="N440" s="25">
        <v>15</v>
      </c>
      <c r="O440" s="25"/>
      <c r="P440" s="25"/>
      <c r="Q440" s="22">
        <f t="shared" si="6"/>
        <v>49</v>
      </c>
    </row>
    <row r="441" spans="1:17" ht="15.75" customHeight="1">
      <c r="A441" s="19">
        <v>439</v>
      </c>
      <c r="B441" s="20" t="s">
        <v>2657</v>
      </c>
      <c r="C441" s="20" t="s">
        <v>354</v>
      </c>
      <c r="D441" s="20" t="s">
        <v>1115</v>
      </c>
      <c r="E441" s="21"/>
      <c r="F441" s="21"/>
      <c r="G441" s="21"/>
      <c r="H441" s="21"/>
      <c r="I441" s="21"/>
      <c r="J441" s="21">
        <v>2</v>
      </c>
      <c r="K441" s="21"/>
      <c r="L441" s="21"/>
      <c r="M441" s="21">
        <v>2</v>
      </c>
      <c r="N441" s="21">
        <v>15</v>
      </c>
      <c r="O441" s="21"/>
      <c r="P441" s="21">
        <v>3</v>
      </c>
      <c r="Q441" s="22">
        <f t="shared" si="6"/>
        <v>22</v>
      </c>
    </row>
    <row r="442" spans="1:17" ht="15.75" customHeight="1">
      <c r="A442" s="23">
        <v>440</v>
      </c>
      <c r="B442" s="24" t="s">
        <v>3180</v>
      </c>
      <c r="C442" s="24" t="s">
        <v>582</v>
      </c>
      <c r="D442" s="24" t="s">
        <v>1115</v>
      </c>
      <c r="E442" s="25"/>
      <c r="F442" s="25"/>
      <c r="G442" s="25">
        <v>1</v>
      </c>
      <c r="H442" s="25"/>
      <c r="I442" s="25">
        <v>4</v>
      </c>
      <c r="J442" s="25"/>
      <c r="K442" s="25"/>
      <c r="L442" s="25">
        <v>16</v>
      </c>
      <c r="M442" s="25"/>
      <c r="N442" s="25"/>
      <c r="O442" s="25"/>
      <c r="P442" s="25"/>
      <c r="Q442" s="22">
        <f t="shared" si="6"/>
        <v>21</v>
      </c>
    </row>
    <row r="443" spans="1:17" ht="15.75" customHeight="1">
      <c r="A443" s="19">
        <v>441</v>
      </c>
      <c r="B443" s="20" t="s">
        <v>1121</v>
      </c>
      <c r="C443" s="20" t="s">
        <v>568</v>
      </c>
      <c r="D443" s="20" t="s">
        <v>1122</v>
      </c>
      <c r="E443" s="21"/>
      <c r="F443" s="21"/>
      <c r="G443" s="21"/>
      <c r="H443" s="21"/>
      <c r="I443" s="21"/>
      <c r="J443" s="21"/>
      <c r="K443" s="21"/>
      <c r="L443" s="21"/>
      <c r="M443" s="21">
        <v>12</v>
      </c>
      <c r="N443" s="21"/>
      <c r="O443" s="21"/>
      <c r="P443" s="21"/>
      <c r="Q443" s="22">
        <f t="shared" si="6"/>
        <v>12</v>
      </c>
    </row>
    <row r="444" spans="1:17" ht="15.75" customHeight="1">
      <c r="A444" s="23">
        <v>442</v>
      </c>
      <c r="B444" s="24" t="s">
        <v>3181</v>
      </c>
      <c r="C444" s="24" t="s">
        <v>959</v>
      </c>
      <c r="D444" s="24" t="s">
        <v>3182</v>
      </c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>
        <v>50</v>
      </c>
      <c r="Q444" s="22">
        <f t="shared" si="6"/>
        <v>50</v>
      </c>
    </row>
    <row r="445" spans="1:17" ht="15.75" customHeight="1">
      <c r="A445" s="19">
        <v>443</v>
      </c>
      <c r="B445" s="20" t="s">
        <v>3183</v>
      </c>
      <c r="C445" s="20" t="s">
        <v>3184</v>
      </c>
      <c r="D445" s="20"/>
      <c r="E445" s="21"/>
      <c r="F445" s="21"/>
      <c r="G445" s="21"/>
      <c r="H445" s="21"/>
      <c r="I445" s="21"/>
      <c r="J445" s="21"/>
      <c r="K445" s="21"/>
      <c r="L445" s="21"/>
      <c r="M445" s="21"/>
      <c r="N445" s="21">
        <v>4</v>
      </c>
      <c r="O445" s="21"/>
      <c r="P445" s="21"/>
      <c r="Q445" s="22">
        <f t="shared" si="6"/>
        <v>4</v>
      </c>
    </row>
    <row r="446" spans="1:17" ht="15.75" customHeight="1">
      <c r="A446" s="23">
        <v>444</v>
      </c>
      <c r="B446" s="24" t="s">
        <v>2662</v>
      </c>
      <c r="C446" s="24" t="s">
        <v>1237</v>
      </c>
      <c r="D446" s="24"/>
      <c r="E446" s="25"/>
      <c r="F446" s="25"/>
      <c r="G446" s="25"/>
      <c r="H446" s="25"/>
      <c r="I446" s="25">
        <v>12</v>
      </c>
      <c r="J446" s="25"/>
      <c r="K446" s="25"/>
      <c r="L446" s="25"/>
      <c r="M446" s="25"/>
      <c r="N446" s="25"/>
      <c r="O446" s="25"/>
      <c r="P446" s="25"/>
      <c r="Q446" s="22">
        <f t="shared" si="6"/>
        <v>12</v>
      </c>
    </row>
    <row r="447" spans="1:17" ht="15.75" customHeight="1">
      <c r="A447" s="19">
        <v>445</v>
      </c>
      <c r="B447" s="20" t="s">
        <v>3185</v>
      </c>
      <c r="C447" s="20" t="s">
        <v>814</v>
      </c>
      <c r="D447" s="20" t="s">
        <v>3186</v>
      </c>
      <c r="E447" s="21"/>
      <c r="F447" s="21"/>
      <c r="G447" s="21"/>
      <c r="H447" s="21"/>
      <c r="I447" s="21">
        <v>70</v>
      </c>
      <c r="J447" s="21"/>
      <c r="K447" s="21"/>
      <c r="L447" s="21"/>
      <c r="M447" s="21"/>
      <c r="N447" s="21"/>
      <c r="O447" s="21"/>
      <c r="P447" s="21"/>
      <c r="Q447" s="22">
        <f t="shared" si="6"/>
        <v>70</v>
      </c>
    </row>
    <row r="448" spans="1:17" ht="15.75" customHeight="1">
      <c r="A448" s="23">
        <v>446</v>
      </c>
      <c r="B448" s="24" t="s">
        <v>3187</v>
      </c>
      <c r="C448" s="24" t="s">
        <v>3188</v>
      </c>
      <c r="D448" s="24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>
        <v>20</v>
      </c>
      <c r="Q448" s="22">
        <f t="shared" si="6"/>
        <v>20</v>
      </c>
    </row>
    <row r="449" spans="1:17" ht="15.75" customHeight="1">
      <c r="A449" s="19">
        <v>447</v>
      </c>
      <c r="B449" s="20" t="s">
        <v>3189</v>
      </c>
      <c r="C449" s="20" t="s">
        <v>3190</v>
      </c>
      <c r="D449" s="20"/>
      <c r="E449" s="21"/>
      <c r="F449" s="21"/>
      <c r="G449" s="21"/>
      <c r="H449" s="21"/>
      <c r="I449" s="21"/>
      <c r="J449" s="21"/>
      <c r="K449" s="21"/>
      <c r="L449" s="21">
        <v>20</v>
      </c>
      <c r="M449" s="21"/>
      <c r="N449" s="21"/>
      <c r="O449" s="21"/>
      <c r="P449" s="21"/>
      <c r="Q449" s="22">
        <f t="shared" si="6"/>
        <v>20</v>
      </c>
    </row>
    <row r="450" spans="1:17" ht="15.75" customHeight="1">
      <c r="A450" s="23">
        <v>448</v>
      </c>
      <c r="B450" s="24" t="s">
        <v>3191</v>
      </c>
      <c r="C450" s="24" t="s">
        <v>3192</v>
      </c>
      <c r="D450" s="24" t="s">
        <v>935</v>
      </c>
      <c r="E450" s="25"/>
      <c r="F450" s="25"/>
      <c r="G450" s="25"/>
      <c r="H450" s="25"/>
      <c r="I450" s="25"/>
      <c r="J450" s="25"/>
      <c r="K450" s="25"/>
      <c r="L450" s="25"/>
      <c r="M450" s="25">
        <v>20</v>
      </c>
      <c r="N450" s="25"/>
      <c r="O450" s="25"/>
      <c r="P450" s="25"/>
      <c r="Q450" s="22">
        <f t="shared" si="6"/>
        <v>20</v>
      </c>
    </row>
    <row r="451" spans="1:17" ht="15.75" customHeight="1">
      <c r="A451" s="19">
        <v>449</v>
      </c>
      <c r="B451" s="20" t="s">
        <v>3193</v>
      </c>
      <c r="C451" s="20" t="s">
        <v>3166</v>
      </c>
      <c r="D451" s="20" t="s">
        <v>1162</v>
      </c>
      <c r="E451" s="21"/>
      <c r="F451" s="21"/>
      <c r="G451" s="21"/>
      <c r="H451" s="21"/>
      <c r="I451" s="21"/>
      <c r="J451" s="21"/>
      <c r="K451" s="21"/>
      <c r="L451" s="21"/>
      <c r="M451" s="21">
        <v>2</v>
      </c>
      <c r="N451" s="21"/>
      <c r="O451" s="21"/>
      <c r="P451" s="21"/>
      <c r="Q451" s="22">
        <f t="shared" ref="Q451:Q514" si="7">SUM(E451:P451)</f>
        <v>2</v>
      </c>
    </row>
    <row r="452" spans="1:17" ht="15.75" customHeight="1">
      <c r="A452" s="23">
        <v>450</v>
      </c>
      <c r="B452" s="24" t="s">
        <v>3194</v>
      </c>
      <c r="C452" s="24" t="s">
        <v>495</v>
      </c>
      <c r="D452" s="24" t="s">
        <v>1162</v>
      </c>
      <c r="E452" s="25"/>
      <c r="F452" s="25"/>
      <c r="G452" s="25"/>
      <c r="H452" s="25"/>
      <c r="I452" s="25"/>
      <c r="J452" s="25"/>
      <c r="K452" s="25"/>
      <c r="L452" s="25"/>
      <c r="M452" s="25">
        <v>2</v>
      </c>
      <c r="N452" s="25">
        <v>5</v>
      </c>
      <c r="O452" s="25"/>
      <c r="P452" s="25"/>
      <c r="Q452" s="22">
        <f t="shared" si="7"/>
        <v>7</v>
      </c>
    </row>
    <row r="453" spans="1:17" ht="15.75" customHeight="1">
      <c r="A453" s="19">
        <v>451</v>
      </c>
      <c r="B453" s="20" t="s">
        <v>2676</v>
      </c>
      <c r="C453" s="20" t="s">
        <v>483</v>
      </c>
      <c r="D453" s="20" t="s">
        <v>1162</v>
      </c>
      <c r="E453" s="21"/>
      <c r="F453" s="21"/>
      <c r="G453" s="21"/>
      <c r="H453" s="21"/>
      <c r="I453" s="21"/>
      <c r="J453" s="21">
        <v>20</v>
      </c>
      <c r="K453" s="21"/>
      <c r="L453" s="21"/>
      <c r="M453" s="21">
        <v>17</v>
      </c>
      <c r="N453" s="21"/>
      <c r="O453" s="21"/>
      <c r="P453" s="21"/>
      <c r="Q453" s="22">
        <f t="shared" si="7"/>
        <v>37</v>
      </c>
    </row>
    <row r="454" spans="1:17" ht="15.75" customHeight="1">
      <c r="A454" s="23">
        <v>452</v>
      </c>
      <c r="B454" s="24" t="s">
        <v>1161</v>
      </c>
      <c r="C454" s="24" t="s">
        <v>485</v>
      </c>
      <c r="D454" s="24" t="s">
        <v>1162</v>
      </c>
      <c r="E454" s="25"/>
      <c r="F454" s="25"/>
      <c r="G454" s="25"/>
      <c r="H454" s="25"/>
      <c r="I454" s="25"/>
      <c r="J454" s="25">
        <v>51</v>
      </c>
      <c r="K454" s="25">
        <v>34</v>
      </c>
      <c r="L454" s="25"/>
      <c r="M454" s="25"/>
      <c r="N454" s="25"/>
      <c r="O454" s="25"/>
      <c r="P454" s="25"/>
      <c r="Q454" s="22">
        <f t="shared" si="7"/>
        <v>85</v>
      </c>
    </row>
    <row r="455" spans="1:17" ht="15.75" customHeight="1">
      <c r="A455" s="19">
        <v>453</v>
      </c>
      <c r="B455" s="20" t="s">
        <v>3195</v>
      </c>
      <c r="C455" s="20" t="s">
        <v>3196</v>
      </c>
      <c r="D455" s="20"/>
      <c r="E455" s="21"/>
      <c r="F455" s="21"/>
      <c r="G455" s="21"/>
      <c r="H455" s="21"/>
      <c r="I455" s="21"/>
      <c r="J455" s="21">
        <v>3</v>
      </c>
      <c r="K455" s="21"/>
      <c r="L455" s="21"/>
      <c r="M455" s="21"/>
      <c r="N455" s="21"/>
      <c r="O455" s="21"/>
      <c r="P455" s="21"/>
      <c r="Q455" s="22">
        <f t="shared" si="7"/>
        <v>3</v>
      </c>
    </row>
    <row r="456" spans="1:17" ht="15.75" customHeight="1">
      <c r="A456" s="23">
        <v>454</v>
      </c>
      <c r="B456" s="24" t="s">
        <v>3197</v>
      </c>
      <c r="C456" s="24" t="s">
        <v>3198</v>
      </c>
      <c r="D456" s="24"/>
      <c r="E456" s="25"/>
      <c r="F456" s="25"/>
      <c r="G456" s="25"/>
      <c r="H456" s="25"/>
      <c r="I456" s="25"/>
      <c r="J456" s="25"/>
      <c r="K456" s="25"/>
      <c r="L456" s="25">
        <v>15</v>
      </c>
      <c r="M456" s="25"/>
      <c r="N456" s="25"/>
      <c r="O456" s="25"/>
      <c r="P456" s="25"/>
      <c r="Q456" s="22">
        <f t="shared" si="7"/>
        <v>15</v>
      </c>
    </row>
    <row r="457" spans="1:17" ht="15.75" customHeight="1">
      <c r="A457" s="19">
        <v>455</v>
      </c>
      <c r="B457" s="20" t="s">
        <v>3199</v>
      </c>
      <c r="C457" s="20" t="s">
        <v>3200</v>
      </c>
      <c r="D457" s="20" t="s">
        <v>3201</v>
      </c>
      <c r="E457" s="21">
        <v>5</v>
      </c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2">
        <f t="shared" si="7"/>
        <v>5</v>
      </c>
    </row>
    <row r="458" spans="1:17" ht="15.75" customHeight="1">
      <c r="A458" s="23">
        <v>456</v>
      </c>
      <c r="B458" s="24" t="s">
        <v>1163</v>
      </c>
      <c r="C458" s="24" t="s">
        <v>1164</v>
      </c>
      <c r="D458" s="24"/>
      <c r="E458" s="25"/>
      <c r="F458" s="25"/>
      <c r="G458" s="25"/>
      <c r="H458" s="25"/>
      <c r="I458" s="25"/>
      <c r="J458" s="25"/>
      <c r="K458" s="25"/>
      <c r="L458" s="25"/>
      <c r="M458" s="25"/>
      <c r="N458" s="25">
        <v>2</v>
      </c>
      <c r="O458" s="25"/>
      <c r="P458" s="25">
        <v>8</v>
      </c>
      <c r="Q458" s="22">
        <f t="shared" si="7"/>
        <v>10</v>
      </c>
    </row>
    <row r="459" spans="1:17" ht="15.75" customHeight="1">
      <c r="A459" s="19">
        <v>457</v>
      </c>
      <c r="B459" s="20" t="s">
        <v>3202</v>
      </c>
      <c r="C459" s="20" t="s">
        <v>497</v>
      </c>
      <c r="D459" s="20" t="s">
        <v>3203</v>
      </c>
      <c r="E459" s="21"/>
      <c r="F459" s="21"/>
      <c r="G459" s="21"/>
      <c r="H459" s="21"/>
      <c r="I459" s="21"/>
      <c r="J459" s="21"/>
      <c r="K459" s="21"/>
      <c r="L459" s="21"/>
      <c r="M459" s="21"/>
      <c r="N459" s="21">
        <v>5</v>
      </c>
      <c r="O459" s="21"/>
      <c r="P459" s="21"/>
      <c r="Q459" s="22">
        <f t="shared" si="7"/>
        <v>5</v>
      </c>
    </row>
    <row r="460" spans="1:17" ht="15.75" customHeight="1">
      <c r="A460" s="23">
        <v>458</v>
      </c>
      <c r="B460" s="24" t="s">
        <v>3204</v>
      </c>
      <c r="C460" s="24" t="s">
        <v>1055</v>
      </c>
      <c r="D460" s="24" t="s">
        <v>3205</v>
      </c>
      <c r="E460" s="25"/>
      <c r="F460" s="25"/>
      <c r="G460" s="25"/>
      <c r="H460" s="25"/>
      <c r="I460" s="25"/>
      <c r="J460" s="25"/>
      <c r="K460" s="25"/>
      <c r="L460" s="25"/>
      <c r="M460" s="25">
        <v>2</v>
      </c>
      <c r="N460" s="25"/>
      <c r="O460" s="25"/>
      <c r="P460" s="25"/>
      <c r="Q460" s="22">
        <f t="shared" si="7"/>
        <v>2</v>
      </c>
    </row>
    <row r="461" spans="1:17" ht="15.75" customHeight="1">
      <c r="A461" s="19">
        <v>459</v>
      </c>
      <c r="B461" s="20" t="s">
        <v>3206</v>
      </c>
      <c r="C461" s="20" t="s">
        <v>1160</v>
      </c>
      <c r="D461" s="20" t="s">
        <v>3207</v>
      </c>
      <c r="E461" s="21"/>
      <c r="F461" s="21"/>
      <c r="G461" s="21"/>
      <c r="H461" s="21"/>
      <c r="I461" s="21"/>
      <c r="J461" s="21">
        <v>4</v>
      </c>
      <c r="K461" s="21"/>
      <c r="L461" s="21"/>
      <c r="M461" s="21"/>
      <c r="N461" s="21"/>
      <c r="O461" s="21"/>
      <c r="P461" s="21"/>
      <c r="Q461" s="22">
        <f t="shared" si="7"/>
        <v>4</v>
      </c>
    </row>
    <row r="462" spans="1:17" ht="15.75" customHeight="1">
      <c r="A462" s="23">
        <v>460</v>
      </c>
      <c r="B462" s="24" t="s">
        <v>3208</v>
      </c>
      <c r="C462" s="24" t="s">
        <v>487</v>
      </c>
      <c r="D462" s="24" t="s">
        <v>3209</v>
      </c>
      <c r="E462" s="25"/>
      <c r="F462" s="25"/>
      <c r="G462" s="25"/>
      <c r="H462" s="25"/>
      <c r="I462" s="25"/>
      <c r="J462" s="25"/>
      <c r="K462" s="25">
        <v>64</v>
      </c>
      <c r="L462" s="25"/>
      <c r="M462" s="25">
        <v>2</v>
      </c>
      <c r="N462" s="25"/>
      <c r="O462" s="25"/>
      <c r="P462" s="25"/>
      <c r="Q462" s="22">
        <f t="shared" si="7"/>
        <v>66</v>
      </c>
    </row>
    <row r="463" spans="1:17" ht="15.75" customHeight="1">
      <c r="A463" s="19">
        <v>461</v>
      </c>
      <c r="B463" s="20" t="s">
        <v>1183</v>
      </c>
      <c r="C463" s="20" t="s">
        <v>491</v>
      </c>
      <c r="D463" s="20" t="s">
        <v>1184</v>
      </c>
      <c r="E463" s="21"/>
      <c r="F463" s="21"/>
      <c r="G463" s="21"/>
      <c r="H463" s="21"/>
      <c r="I463" s="21"/>
      <c r="J463" s="21">
        <v>8</v>
      </c>
      <c r="K463" s="21"/>
      <c r="L463" s="21"/>
      <c r="M463" s="21"/>
      <c r="N463" s="21"/>
      <c r="O463" s="21"/>
      <c r="P463" s="21"/>
      <c r="Q463" s="22">
        <f t="shared" si="7"/>
        <v>8</v>
      </c>
    </row>
    <row r="464" spans="1:17" ht="15.75" customHeight="1">
      <c r="A464" s="23">
        <v>462</v>
      </c>
      <c r="B464" s="24" t="s">
        <v>3210</v>
      </c>
      <c r="C464" s="24" t="s">
        <v>493</v>
      </c>
      <c r="D464" s="24" t="s">
        <v>3211</v>
      </c>
      <c r="E464" s="25"/>
      <c r="F464" s="25"/>
      <c r="G464" s="25"/>
      <c r="H464" s="25"/>
      <c r="I464" s="25"/>
      <c r="J464" s="25">
        <v>3</v>
      </c>
      <c r="K464" s="25"/>
      <c r="L464" s="25"/>
      <c r="M464" s="25"/>
      <c r="N464" s="25"/>
      <c r="O464" s="25"/>
      <c r="P464" s="25"/>
      <c r="Q464" s="22">
        <f t="shared" si="7"/>
        <v>3</v>
      </c>
    </row>
    <row r="465" spans="1:17" ht="15.75" customHeight="1">
      <c r="A465" s="19">
        <v>463</v>
      </c>
      <c r="B465" s="20" t="s">
        <v>1200</v>
      </c>
      <c r="C465" s="20" t="s">
        <v>991</v>
      </c>
      <c r="D465" s="20" t="s">
        <v>1201</v>
      </c>
      <c r="E465" s="21"/>
      <c r="F465" s="21"/>
      <c r="G465" s="21"/>
      <c r="H465" s="21"/>
      <c r="I465" s="21"/>
      <c r="J465" s="21">
        <v>6</v>
      </c>
      <c r="K465" s="21"/>
      <c r="L465" s="21"/>
      <c r="M465" s="21"/>
      <c r="N465" s="21"/>
      <c r="O465" s="21"/>
      <c r="P465" s="21"/>
      <c r="Q465" s="22">
        <f t="shared" si="7"/>
        <v>6</v>
      </c>
    </row>
    <row r="466" spans="1:17" ht="15.75" customHeight="1">
      <c r="A466" s="23">
        <v>464</v>
      </c>
      <c r="B466" s="24" t="s">
        <v>1202</v>
      </c>
      <c r="C466" s="24" t="s">
        <v>1203</v>
      </c>
      <c r="D466" s="24" t="s">
        <v>1204</v>
      </c>
      <c r="E466" s="25"/>
      <c r="F466" s="25"/>
      <c r="G466" s="25"/>
      <c r="H466" s="25"/>
      <c r="I466" s="25"/>
      <c r="J466" s="25">
        <v>18</v>
      </c>
      <c r="K466" s="25"/>
      <c r="L466" s="25"/>
      <c r="M466" s="25"/>
      <c r="N466" s="25"/>
      <c r="O466" s="25"/>
      <c r="P466" s="25"/>
      <c r="Q466" s="22">
        <f t="shared" si="7"/>
        <v>18</v>
      </c>
    </row>
    <row r="467" spans="1:17" ht="15.75" customHeight="1">
      <c r="A467" s="19">
        <v>465</v>
      </c>
      <c r="B467" s="20" t="s">
        <v>1205</v>
      </c>
      <c r="C467" s="20" t="s">
        <v>1206</v>
      </c>
      <c r="D467" s="20" t="s">
        <v>1207</v>
      </c>
      <c r="E467" s="21"/>
      <c r="F467" s="21"/>
      <c r="G467" s="21"/>
      <c r="H467" s="21"/>
      <c r="I467" s="21"/>
      <c r="J467" s="21">
        <v>18</v>
      </c>
      <c r="K467" s="21"/>
      <c r="L467" s="21"/>
      <c r="M467" s="21"/>
      <c r="N467" s="21"/>
      <c r="O467" s="21"/>
      <c r="P467" s="21"/>
      <c r="Q467" s="22">
        <f t="shared" si="7"/>
        <v>18</v>
      </c>
    </row>
    <row r="468" spans="1:17" ht="15.75" customHeight="1">
      <c r="A468" s="23">
        <v>466</v>
      </c>
      <c r="B468" s="24" t="s">
        <v>2679</v>
      </c>
      <c r="C468" s="24" t="s">
        <v>1260</v>
      </c>
      <c r="D468" s="24" t="s">
        <v>613</v>
      </c>
      <c r="E468" s="25"/>
      <c r="F468" s="25">
        <v>4</v>
      </c>
      <c r="G468" s="25"/>
      <c r="H468" s="25"/>
      <c r="I468" s="25"/>
      <c r="J468" s="25"/>
      <c r="K468" s="25"/>
      <c r="L468" s="25">
        <v>10</v>
      </c>
      <c r="M468" s="25"/>
      <c r="N468" s="25"/>
      <c r="O468" s="25">
        <v>16</v>
      </c>
      <c r="P468" s="25">
        <v>20</v>
      </c>
      <c r="Q468" s="22">
        <f t="shared" si="7"/>
        <v>50</v>
      </c>
    </row>
    <row r="469" spans="1:17" ht="15.75" customHeight="1">
      <c r="A469" s="19">
        <v>467</v>
      </c>
      <c r="B469" s="20" t="s">
        <v>3212</v>
      </c>
      <c r="C469" s="20" t="s">
        <v>2445</v>
      </c>
      <c r="D469" s="20" t="s">
        <v>3213</v>
      </c>
      <c r="E469" s="21"/>
      <c r="F469" s="21"/>
      <c r="G469" s="21"/>
      <c r="H469" s="21"/>
      <c r="I469" s="21"/>
      <c r="J469" s="21">
        <v>8</v>
      </c>
      <c r="K469" s="21"/>
      <c r="L469" s="21"/>
      <c r="M469" s="21"/>
      <c r="N469" s="21"/>
      <c r="O469" s="21"/>
      <c r="P469" s="21"/>
      <c r="Q469" s="22">
        <f t="shared" si="7"/>
        <v>8</v>
      </c>
    </row>
    <row r="470" spans="1:17" ht="15.75" customHeight="1">
      <c r="A470" s="23">
        <v>468</v>
      </c>
      <c r="B470" s="24" t="s">
        <v>3214</v>
      </c>
      <c r="C470" s="24" t="s">
        <v>3215</v>
      </c>
      <c r="D470" s="24" t="s">
        <v>3216</v>
      </c>
      <c r="E470" s="25"/>
      <c r="F470" s="25"/>
      <c r="G470" s="25"/>
      <c r="H470" s="25"/>
      <c r="I470" s="25"/>
      <c r="J470" s="25"/>
      <c r="K470" s="25">
        <v>20</v>
      </c>
      <c r="L470" s="25"/>
      <c r="M470" s="25"/>
      <c r="N470" s="25"/>
      <c r="O470" s="25"/>
      <c r="P470" s="25"/>
      <c r="Q470" s="22">
        <f t="shared" si="7"/>
        <v>20</v>
      </c>
    </row>
    <row r="471" spans="1:17" ht="15.75" customHeight="1">
      <c r="A471" s="19">
        <v>469</v>
      </c>
      <c r="B471" s="20" t="s">
        <v>3217</v>
      </c>
      <c r="C471" s="20" t="s">
        <v>3218</v>
      </c>
      <c r="D471" s="20" t="s">
        <v>3219</v>
      </c>
      <c r="E471" s="21"/>
      <c r="F471" s="21"/>
      <c r="G471" s="21"/>
      <c r="H471" s="21"/>
      <c r="I471" s="21"/>
      <c r="J471" s="21">
        <v>20</v>
      </c>
      <c r="K471" s="21"/>
      <c r="L471" s="21"/>
      <c r="M471" s="21"/>
      <c r="N471" s="21"/>
      <c r="O471" s="21"/>
      <c r="P471" s="21"/>
      <c r="Q471" s="22">
        <f t="shared" si="7"/>
        <v>20</v>
      </c>
    </row>
    <row r="472" spans="1:17" ht="15.75" customHeight="1">
      <c r="A472" s="23">
        <v>470</v>
      </c>
      <c r="B472" s="24" t="s">
        <v>3220</v>
      </c>
      <c r="C472" s="24" t="s">
        <v>1073</v>
      </c>
      <c r="D472" s="24" t="s">
        <v>3221</v>
      </c>
      <c r="E472" s="25"/>
      <c r="F472" s="25"/>
      <c r="G472" s="25"/>
      <c r="H472" s="25"/>
      <c r="I472" s="25"/>
      <c r="J472" s="25">
        <v>2</v>
      </c>
      <c r="K472" s="25"/>
      <c r="L472" s="25"/>
      <c r="M472" s="25"/>
      <c r="N472" s="25"/>
      <c r="O472" s="25"/>
      <c r="P472" s="25"/>
      <c r="Q472" s="22">
        <f t="shared" si="7"/>
        <v>2</v>
      </c>
    </row>
    <row r="473" spans="1:17" ht="15.75" customHeight="1">
      <c r="A473" s="19">
        <v>471</v>
      </c>
      <c r="B473" s="20" t="s">
        <v>3222</v>
      </c>
      <c r="C473" s="20" t="s">
        <v>3223</v>
      </c>
      <c r="D473" s="20" t="s">
        <v>3224</v>
      </c>
      <c r="E473" s="21"/>
      <c r="F473" s="21"/>
      <c r="G473" s="21"/>
      <c r="H473" s="21"/>
      <c r="I473" s="21"/>
      <c r="J473" s="21"/>
      <c r="K473" s="21"/>
      <c r="L473" s="21"/>
      <c r="M473" s="21"/>
      <c r="N473" s="21">
        <v>5</v>
      </c>
      <c r="O473" s="21"/>
      <c r="P473" s="21"/>
      <c r="Q473" s="22">
        <f t="shared" si="7"/>
        <v>5</v>
      </c>
    </row>
    <row r="474" spans="1:17" ht="15.75" customHeight="1">
      <c r="A474" s="23">
        <v>472</v>
      </c>
      <c r="B474" s="24" t="s">
        <v>1208</v>
      </c>
      <c r="C474" s="24" t="s">
        <v>568</v>
      </c>
      <c r="D474" s="26" t="s">
        <v>1154</v>
      </c>
      <c r="E474" s="25"/>
      <c r="F474" s="25"/>
      <c r="G474" s="25">
        <v>30</v>
      </c>
      <c r="H474" s="25"/>
      <c r="I474" s="25"/>
      <c r="J474" s="25"/>
      <c r="K474" s="25"/>
      <c r="L474" s="25"/>
      <c r="M474" s="25"/>
      <c r="N474" s="25"/>
      <c r="O474" s="25"/>
      <c r="P474" s="25"/>
      <c r="Q474" s="22">
        <f t="shared" si="7"/>
        <v>30</v>
      </c>
    </row>
    <row r="475" spans="1:17" ht="15.75" customHeight="1">
      <c r="A475" s="19">
        <v>473</v>
      </c>
      <c r="B475" s="20" t="s">
        <v>1212</v>
      </c>
      <c r="C475" s="20" t="s">
        <v>558</v>
      </c>
      <c r="D475" s="27" t="s">
        <v>1154</v>
      </c>
      <c r="E475" s="21"/>
      <c r="F475" s="21"/>
      <c r="G475" s="21">
        <v>30</v>
      </c>
      <c r="H475" s="21"/>
      <c r="I475" s="21"/>
      <c r="J475" s="21"/>
      <c r="K475" s="21"/>
      <c r="L475" s="21"/>
      <c r="M475" s="21"/>
      <c r="N475" s="21"/>
      <c r="O475" s="21"/>
      <c r="P475" s="21"/>
      <c r="Q475" s="22">
        <f t="shared" si="7"/>
        <v>30</v>
      </c>
    </row>
    <row r="476" spans="1:17" ht="15.75" customHeight="1">
      <c r="A476" s="23">
        <v>474</v>
      </c>
      <c r="B476" s="24" t="s">
        <v>1216</v>
      </c>
      <c r="C476" s="24" t="s">
        <v>606</v>
      </c>
      <c r="D476" s="26" t="s">
        <v>1154</v>
      </c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>
        <v>10</v>
      </c>
      <c r="P476" s="25"/>
      <c r="Q476" s="22">
        <f t="shared" si="7"/>
        <v>10</v>
      </c>
    </row>
    <row r="477" spans="1:17" ht="15.75" customHeight="1">
      <c r="A477" s="19">
        <v>475</v>
      </c>
      <c r="B477" s="20" t="s">
        <v>3225</v>
      </c>
      <c r="C477" s="20" t="s">
        <v>3226</v>
      </c>
      <c r="D477" s="20"/>
      <c r="E477" s="21"/>
      <c r="F477" s="21"/>
      <c r="G477" s="21"/>
      <c r="H477" s="21"/>
      <c r="I477" s="21"/>
      <c r="J477" s="21"/>
      <c r="K477" s="21"/>
      <c r="L477" s="21">
        <v>4</v>
      </c>
      <c r="M477" s="21"/>
      <c r="N477" s="21"/>
      <c r="O477" s="21"/>
      <c r="P477" s="21"/>
      <c r="Q477" s="22">
        <f t="shared" si="7"/>
        <v>4</v>
      </c>
    </row>
    <row r="478" spans="1:17" ht="15.75" customHeight="1">
      <c r="A478" s="23">
        <v>476</v>
      </c>
      <c r="B478" s="24" t="s">
        <v>1220</v>
      </c>
      <c r="C478" s="24" t="s">
        <v>1221</v>
      </c>
      <c r="D478" s="24"/>
      <c r="E478" s="25"/>
      <c r="F478" s="25">
        <v>50</v>
      </c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2">
        <f t="shared" si="7"/>
        <v>50</v>
      </c>
    </row>
    <row r="479" spans="1:17" ht="15.75" customHeight="1">
      <c r="A479" s="19">
        <v>477</v>
      </c>
      <c r="B479" s="20" t="s">
        <v>2682</v>
      </c>
      <c r="C479" s="20" t="s">
        <v>588</v>
      </c>
      <c r="D479" s="27" t="s">
        <v>1154</v>
      </c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>
        <v>100</v>
      </c>
      <c r="Q479" s="22">
        <f t="shared" si="7"/>
        <v>100</v>
      </c>
    </row>
    <row r="480" spans="1:17" ht="15.75" customHeight="1">
      <c r="A480" s="23">
        <v>478</v>
      </c>
      <c r="B480" s="24" t="s">
        <v>1222</v>
      </c>
      <c r="C480" s="24" t="s">
        <v>711</v>
      </c>
      <c r="D480" s="26" t="s">
        <v>1154</v>
      </c>
      <c r="E480" s="25"/>
      <c r="F480" s="25"/>
      <c r="G480" s="25">
        <v>30</v>
      </c>
      <c r="H480" s="25"/>
      <c r="I480" s="25"/>
      <c r="J480" s="25"/>
      <c r="K480" s="25"/>
      <c r="L480" s="25"/>
      <c r="M480" s="25"/>
      <c r="N480" s="25"/>
      <c r="O480" s="25"/>
      <c r="P480" s="25"/>
      <c r="Q480" s="22">
        <f t="shared" si="7"/>
        <v>30</v>
      </c>
    </row>
    <row r="481" spans="1:17" ht="15.75" customHeight="1">
      <c r="A481" s="19">
        <v>479</v>
      </c>
      <c r="B481" s="20" t="s">
        <v>3227</v>
      </c>
      <c r="C481" s="20" t="s">
        <v>3228</v>
      </c>
      <c r="D481" s="20" t="s">
        <v>3229</v>
      </c>
      <c r="E481" s="21"/>
      <c r="F481" s="21"/>
      <c r="G481" s="21"/>
      <c r="H481" s="21"/>
      <c r="I481" s="21"/>
      <c r="J481" s="21"/>
      <c r="K481" s="21"/>
      <c r="L481" s="21">
        <v>4</v>
      </c>
      <c r="M481" s="21"/>
      <c r="N481" s="21"/>
      <c r="O481" s="21"/>
      <c r="P481" s="21"/>
      <c r="Q481" s="22">
        <f t="shared" si="7"/>
        <v>4</v>
      </c>
    </row>
    <row r="482" spans="1:17" ht="15.75" customHeight="1">
      <c r="A482" s="23">
        <v>480</v>
      </c>
      <c r="B482" s="24" t="s">
        <v>1266</v>
      </c>
      <c r="C482" s="24" t="s">
        <v>1267</v>
      </c>
      <c r="D482" s="24"/>
      <c r="E482" s="25"/>
      <c r="F482" s="25"/>
      <c r="G482" s="25"/>
      <c r="H482" s="25"/>
      <c r="I482" s="25"/>
      <c r="J482" s="25"/>
      <c r="K482" s="25"/>
      <c r="L482" s="25">
        <v>20</v>
      </c>
      <c r="M482" s="25"/>
      <c r="N482" s="25"/>
      <c r="O482" s="25"/>
      <c r="P482" s="25"/>
      <c r="Q482" s="22">
        <f t="shared" si="7"/>
        <v>20</v>
      </c>
    </row>
    <row r="483" spans="1:17" ht="15.75" customHeight="1">
      <c r="A483" s="19">
        <v>481</v>
      </c>
      <c r="B483" s="20" t="s">
        <v>1334</v>
      </c>
      <c r="C483" s="20" t="s">
        <v>1335</v>
      </c>
      <c r="D483" s="20"/>
      <c r="E483" s="21"/>
      <c r="F483" s="21"/>
      <c r="G483" s="21"/>
      <c r="H483" s="21"/>
      <c r="I483" s="21"/>
      <c r="J483" s="21"/>
      <c r="K483" s="21"/>
      <c r="L483" s="21"/>
      <c r="M483" s="21">
        <v>50</v>
      </c>
      <c r="N483" s="21"/>
      <c r="O483" s="21"/>
      <c r="P483" s="21">
        <v>14</v>
      </c>
      <c r="Q483" s="22">
        <f t="shared" si="7"/>
        <v>64</v>
      </c>
    </row>
    <row r="484" spans="1:17" ht="15.75" customHeight="1">
      <c r="A484" s="23">
        <v>482</v>
      </c>
      <c r="B484" s="24" t="s">
        <v>2710</v>
      </c>
      <c r="C484" s="24" t="s">
        <v>2711</v>
      </c>
      <c r="D484" s="24"/>
      <c r="E484" s="25"/>
      <c r="F484" s="25"/>
      <c r="G484" s="25"/>
      <c r="H484" s="25"/>
      <c r="I484" s="25">
        <v>5</v>
      </c>
      <c r="J484" s="25"/>
      <c r="K484" s="25"/>
      <c r="L484" s="25"/>
      <c r="M484" s="25"/>
      <c r="N484" s="25"/>
      <c r="O484" s="25"/>
      <c r="P484" s="25"/>
      <c r="Q484" s="22">
        <f t="shared" si="7"/>
        <v>5</v>
      </c>
    </row>
    <row r="485" spans="1:17" ht="15.75" customHeight="1">
      <c r="A485" s="19">
        <v>483</v>
      </c>
      <c r="B485" s="20" t="s">
        <v>2731</v>
      </c>
      <c r="C485" s="20" t="s">
        <v>2732</v>
      </c>
      <c r="D485" s="20"/>
      <c r="E485" s="21"/>
      <c r="F485" s="21"/>
      <c r="G485" s="21"/>
      <c r="H485" s="21"/>
      <c r="I485" s="21">
        <v>5</v>
      </c>
      <c r="J485" s="21"/>
      <c r="K485" s="21"/>
      <c r="L485" s="21"/>
      <c r="M485" s="21"/>
      <c r="N485" s="21"/>
      <c r="O485" s="21"/>
      <c r="P485" s="21"/>
      <c r="Q485" s="22">
        <f t="shared" si="7"/>
        <v>5</v>
      </c>
    </row>
    <row r="486" spans="1:17" ht="15.75" customHeight="1">
      <c r="A486" s="23">
        <v>484</v>
      </c>
      <c r="B486" s="24" t="s">
        <v>3230</v>
      </c>
      <c r="C486" s="24" t="s">
        <v>3231</v>
      </c>
      <c r="D486" s="24"/>
      <c r="E486" s="25"/>
      <c r="F486" s="25">
        <v>29</v>
      </c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2">
        <f t="shared" si="7"/>
        <v>29</v>
      </c>
    </row>
    <row r="487" spans="1:17" ht="15.75" customHeight="1">
      <c r="A487" s="19">
        <v>485</v>
      </c>
      <c r="B487" s="20" t="s">
        <v>3232</v>
      </c>
      <c r="C487" s="20" t="s">
        <v>628</v>
      </c>
      <c r="D487" s="27" t="s">
        <v>1104</v>
      </c>
      <c r="E487" s="21"/>
      <c r="F487" s="21"/>
      <c r="G487" s="21">
        <v>60</v>
      </c>
      <c r="H487" s="21"/>
      <c r="I487" s="21"/>
      <c r="J487" s="21"/>
      <c r="K487" s="21"/>
      <c r="L487" s="21"/>
      <c r="M487" s="21"/>
      <c r="N487" s="21"/>
      <c r="O487" s="21"/>
      <c r="P487" s="21"/>
      <c r="Q487" s="22">
        <f t="shared" si="7"/>
        <v>60</v>
      </c>
    </row>
    <row r="488" spans="1:17" ht="15.75" customHeight="1">
      <c r="A488" s="23">
        <v>486</v>
      </c>
      <c r="B488" s="24" t="s">
        <v>3233</v>
      </c>
      <c r="C488" s="24" t="s">
        <v>3234</v>
      </c>
      <c r="D488" s="24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>
        <v>10</v>
      </c>
      <c r="Q488" s="22">
        <f t="shared" si="7"/>
        <v>10</v>
      </c>
    </row>
    <row r="489" spans="1:17" ht="15.75" customHeight="1">
      <c r="A489" s="19">
        <v>487</v>
      </c>
      <c r="B489" s="20" t="s">
        <v>3235</v>
      </c>
      <c r="C489" s="20" t="s">
        <v>3236</v>
      </c>
      <c r="D489" s="20"/>
      <c r="E489" s="21"/>
      <c r="F489" s="21">
        <v>3</v>
      </c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2">
        <f t="shared" si="7"/>
        <v>3</v>
      </c>
    </row>
    <row r="490" spans="1:17" ht="15.75" customHeight="1">
      <c r="A490" s="23">
        <v>488</v>
      </c>
      <c r="B490" s="24" t="s">
        <v>3237</v>
      </c>
      <c r="C490" s="24" t="s">
        <v>3238</v>
      </c>
      <c r="D490" s="24"/>
      <c r="E490" s="25"/>
      <c r="F490" s="25">
        <v>3</v>
      </c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2">
        <f t="shared" si="7"/>
        <v>3</v>
      </c>
    </row>
    <row r="491" spans="1:17" ht="15.75" customHeight="1">
      <c r="A491" s="19">
        <v>489</v>
      </c>
      <c r="B491" s="20" t="s">
        <v>3239</v>
      </c>
      <c r="C491" s="20" t="s">
        <v>3240</v>
      </c>
      <c r="D491" s="20"/>
      <c r="E491" s="21"/>
      <c r="F491" s="21"/>
      <c r="G491" s="21">
        <v>5</v>
      </c>
      <c r="H491" s="21"/>
      <c r="I491" s="21"/>
      <c r="J491" s="21"/>
      <c r="K491" s="21"/>
      <c r="L491" s="21"/>
      <c r="M491" s="21"/>
      <c r="N491" s="21"/>
      <c r="O491" s="21"/>
      <c r="P491" s="21"/>
      <c r="Q491" s="22">
        <f t="shared" si="7"/>
        <v>5</v>
      </c>
    </row>
    <row r="492" spans="1:17" ht="15.75" customHeight="1">
      <c r="A492" s="23">
        <v>490</v>
      </c>
      <c r="B492" s="24" t="s">
        <v>3241</v>
      </c>
      <c r="C492" s="24" t="s">
        <v>3242</v>
      </c>
      <c r="D492" s="24"/>
      <c r="E492" s="25"/>
      <c r="F492" s="25"/>
      <c r="G492" s="25">
        <v>15</v>
      </c>
      <c r="H492" s="25"/>
      <c r="I492" s="25"/>
      <c r="J492" s="25"/>
      <c r="K492" s="25"/>
      <c r="L492" s="25"/>
      <c r="M492" s="25"/>
      <c r="N492" s="25"/>
      <c r="O492" s="25"/>
      <c r="P492" s="25"/>
      <c r="Q492" s="22">
        <f t="shared" si="7"/>
        <v>15</v>
      </c>
    </row>
    <row r="493" spans="1:17" ht="15.75" customHeight="1">
      <c r="A493" s="19">
        <v>491</v>
      </c>
      <c r="B493" s="20" t="s">
        <v>3243</v>
      </c>
      <c r="C493" s="20" t="s">
        <v>3244</v>
      </c>
      <c r="D493" s="20"/>
      <c r="E493" s="21"/>
      <c r="F493" s="21"/>
      <c r="G493" s="21">
        <v>10</v>
      </c>
      <c r="H493" s="21"/>
      <c r="I493" s="21"/>
      <c r="J493" s="21"/>
      <c r="K493" s="21"/>
      <c r="L493" s="21"/>
      <c r="M493" s="21"/>
      <c r="N493" s="21"/>
      <c r="O493" s="21"/>
      <c r="P493" s="21"/>
      <c r="Q493" s="22">
        <f t="shared" si="7"/>
        <v>10</v>
      </c>
    </row>
    <row r="494" spans="1:17" ht="15.75" customHeight="1">
      <c r="A494" s="23">
        <v>492</v>
      </c>
      <c r="B494" s="24" t="s">
        <v>3245</v>
      </c>
      <c r="C494" s="24" t="s">
        <v>588</v>
      </c>
      <c r="D494" s="24"/>
      <c r="E494" s="25"/>
      <c r="F494" s="25"/>
      <c r="G494" s="25">
        <v>5</v>
      </c>
      <c r="H494" s="25"/>
      <c r="I494" s="25"/>
      <c r="J494" s="25"/>
      <c r="K494" s="25"/>
      <c r="L494" s="25"/>
      <c r="M494" s="25"/>
      <c r="N494" s="25"/>
      <c r="O494" s="25"/>
      <c r="P494" s="25"/>
      <c r="Q494" s="22">
        <f t="shared" si="7"/>
        <v>5</v>
      </c>
    </row>
    <row r="495" spans="1:17" ht="15.75" customHeight="1">
      <c r="A495" s="19">
        <v>493</v>
      </c>
      <c r="B495" s="20" t="s">
        <v>3246</v>
      </c>
      <c r="C495" s="20" t="s">
        <v>3247</v>
      </c>
      <c r="D495" s="20"/>
      <c r="E495" s="21"/>
      <c r="F495" s="21"/>
      <c r="G495" s="21">
        <v>5</v>
      </c>
      <c r="H495" s="21"/>
      <c r="I495" s="21"/>
      <c r="J495" s="21"/>
      <c r="K495" s="21"/>
      <c r="L495" s="21"/>
      <c r="M495" s="21"/>
      <c r="N495" s="21"/>
      <c r="O495" s="21"/>
      <c r="P495" s="21"/>
      <c r="Q495" s="22">
        <f t="shared" si="7"/>
        <v>5</v>
      </c>
    </row>
    <row r="496" spans="1:17" ht="15.75" customHeight="1">
      <c r="A496" s="23">
        <v>494</v>
      </c>
      <c r="B496" s="24" t="s">
        <v>3248</v>
      </c>
      <c r="C496" s="24" t="s">
        <v>3249</v>
      </c>
      <c r="D496" s="24"/>
      <c r="E496" s="25"/>
      <c r="F496" s="25"/>
      <c r="G496" s="25"/>
      <c r="H496" s="25">
        <v>8</v>
      </c>
      <c r="I496" s="25"/>
      <c r="J496" s="25"/>
      <c r="K496" s="25"/>
      <c r="L496" s="25"/>
      <c r="M496" s="25"/>
      <c r="N496" s="25"/>
      <c r="O496" s="25"/>
      <c r="P496" s="25"/>
      <c r="Q496" s="22">
        <f t="shared" si="7"/>
        <v>8</v>
      </c>
    </row>
    <row r="497" spans="1:17" ht="15.75" customHeight="1">
      <c r="A497" s="19">
        <v>495</v>
      </c>
      <c r="B497" s="20" t="s">
        <v>3250</v>
      </c>
      <c r="C497" s="20" t="s">
        <v>3251</v>
      </c>
      <c r="D497" s="20"/>
      <c r="E497" s="21"/>
      <c r="F497" s="21"/>
      <c r="G497" s="21"/>
      <c r="H497" s="21">
        <v>40</v>
      </c>
      <c r="I497" s="21"/>
      <c r="J497" s="21"/>
      <c r="K497" s="21"/>
      <c r="L497" s="21"/>
      <c r="M497" s="21"/>
      <c r="N497" s="21"/>
      <c r="O497" s="21"/>
      <c r="P497" s="21"/>
      <c r="Q497" s="22">
        <f t="shared" si="7"/>
        <v>40</v>
      </c>
    </row>
    <row r="498" spans="1:17" ht="15.75" customHeight="1">
      <c r="A498" s="23">
        <v>496</v>
      </c>
      <c r="B498" s="24" t="s">
        <v>3252</v>
      </c>
      <c r="C498" s="24" t="s">
        <v>516</v>
      </c>
      <c r="D498" s="24"/>
      <c r="E498" s="25"/>
      <c r="F498" s="25"/>
      <c r="G498" s="25"/>
      <c r="H498" s="25"/>
      <c r="I498" s="25">
        <v>5</v>
      </c>
      <c r="J498" s="25"/>
      <c r="K498" s="25"/>
      <c r="L498" s="25"/>
      <c r="M498" s="25"/>
      <c r="N498" s="25"/>
      <c r="O498" s="25"/>
      <c r="P498" s="25"/>
      <c r="Q498" s="22">
        <f t="shared" si="7"/>
        <v>5</v>
      </c>
    </row>
    <row r="499" spans="1:17" ht="15.75" customHeight="1">
      <c r="A499" s="19">
        <v>497</v>
      </c>
      <c r="B499" s="20" t="s">
        <v>3253</v>
      </c>
      <c r="C499" s="20" t="s">
        <v>507</v>
      </c>
      <c r="D499" s="20"/>
      <c r="E499" s="21"/>
      <c r="F499" s="21"/>
      <c r="G499" s="21"/>
      <c r="H499" s="21"/>
      <c r="I499" s="21">
        <v>5</v>
      </c>
      <c r="J499" s="21"/>
      <c r="K499" s="21"/>
      <c r="L499" s="21"/>
      <c r="M499" s="21"/>
      <c r="N499" s="21"/>
      <c r="O499" s="21"/>
      <c r="P499" s="21"/>
      <c r="Q499" s="22">
        <f t="shared" si="7"/>
        <v>5</v>
      </c>
    </row>
    <row r="500" spans="1:17" ht="15.75" customHeight="1">
      <c r="A500" s="23">
        <v>498</v>
      </c>
      <c r="B500" s="24" t="s">
        <v>3254</v>
      </c>
      <c r="C500" s="24" t="s">
        <v>3255</v>
      </c>
      <c r="D500" s="24"/>
      <c r="E500" s="25"/>
      <c r="F500" s="25"/>
      <c r="G500" s="25"/>
      <c r="H500" s="25"/>
      <c r="I500" s="25">
        <v>2</v>
      </c>
      <c r="J500" s="25"/>
      <c r="K500" s="25"/>
      <c r="L500" s="25"/>
      <c r="M500" s="25"/>
      <c r="N500" s="25"/>
      <c r="O500" s="25"/>
      <c r="P500" s="25"/>
      <c r="Q500" s="22">
        <f t="shared" si="7"/>
        <v>2</v>
      </c>
    </row>
    <row r="501" spans="1:17" ht="15.75" customHeight="1">
      <c r="A501" s="19">
        <v>499</v>
      </c>
      <c r="B501" s="20" t="s">
        <v>3256</v>
      </c>
      <c r="C501" s="20" t="s">
        <v>3257</v>
      </c>
      <c r="D501" s="20"/>
      <c r="E501" s="21"/>
      <c r="F501" s="21"/>
      <c r="G501" s="21"/>
      <c r="H501" s="21"/>
      <c r="I501" s="21"/>
      <c r="J501" s="21">
        <v>10</v>
      </c>
      <c r="K501" s="21"/>
      <c r="L501" s="21"/>
      <c r="M501" s="21"/>
      <c r="N501" s="21"/>
      <c r="O501" s="21"/>
      <c r="P501" s="21"/>
      <c r="Q501" s="22">
        <f t="shared" si="7"/>
        <v>10</v>
      </c>
    </row>
    <row r="502" spans="1:17" ht="15.75" customHeight="1">
      <c r="A502" s="23">
        <v>500</v>
      </c>
      <c r="B502" s="24" t="s">
        <v>3258</v>
      </c>
      <c r="C502" s="24" t="s">
        <v>3259</v>
      </c>
      <c r="D502" s="24"/>
      <c r="E502" s="25"/>
      <c r="F502" s="25"/>
      <c r="G502" s="25"/>
      <c r="H502" s="25"/>
      <c r="I502" s="25"/>
      <c r="J502" s="25">
        <v>10</v>
      </c>
      <c r="K502" s="25"/>
      <c r="L502" s="25"/>
      <c r="M502" s="25"/>
      <c r="N502" s="25"/>
      <c r="O502" s="25"/>
      <c r="P502" s="25"/>
      <c r="Q502" s="22">
        <f t="shared" si="7"/>
        <v>10</v>
      </c>
    </row>
    <row r="503" spans="1:17" ht="15.75" customHeight="1">
      <c r="A503" s="19">
        <v>501</v>
      </c>
      <c r="B503" s="20" t="s">
        <v>3260</v>
      </c>
      <c r="C503" s="20" t="s">
        <v>3261</v>
      </c>
      <c r="D503" s="20" t="s">
        <v>3229</v>
      </c>
      <c r="E503" s="21"/>
      <c r="F503" s="21"/>
      <c r="G503" s="21"/>
      <c r="H503" s="21"/>
      <c r="I503" s="21"/>
      <c r="J503" s="21"/>
      <c r="K503" s="21"/>
      <c r="L503" s="21">
        <v>1</v>
      </c>
      <c r="M503" s="21"/>
      <c r="N503" s="21"/>
      <c r="O503" s="21"/>
      <c r="P503" s="21"/>
      <c r="Q503" s="22">
        <f t="shared" si="7"/>
        <v>1</v>
      </c>
    </row>
    <row r="504" spans="1:17" ht="15.75" customHeight="1">
      <c r="A504" s="23">
        <v>502</v>
      </c>
      <c r="B504" s="24" t="s">
        <v>3262</v>
      </c>
      <c r="C504" s="24" t="s">
        <v>620</v>
      </c>
      <c r="D504" s="24" t="s">
        <v>3263</v>
      </c>
      <c r="E504" s="25"/>
      <c r="F504" s="25"/>
      <c r="G504" s="25"/>
      <c r="H504" s="25"/>
      <c r="I504" s="25"/>
      <c r="J504" s="25"/>
      <c r="K504" s="25"/>
      <c r="L504" s="25">
        <v>8</v>
      </c>
      <c r="M504" s="25"/>
      <c r="N504" s="25"/>
      <c r="O504" s="25"/>
      <c r="P504" s="25"/>
      <c r="Q504" s="22">
        <f t="shared" si="7"/>
        <v>8</v>
      </c>
    </row>
    <row r="505" spans="1:17" ht="15.75" customHeight="1">
      <c r="A505" s="19">
        <v>503</v>
      </c>
      <c r="B505" s="20" t="s">
        <v>3264</v>
      </c>
      <c r="C505" s="20" t="s">
        <v>2447</v>
      </c>
      <c r="D505" s="20" t="s">
        <v>3265</v>
      </c>
      <c r="E505" s="21"/>
      <c r="F505" s="21"/>
      <c r="G505" s="21"/>
      <c r="H505" s="21"/>
      <c r="I505" s="21"/>
      <c r="J505" s="21"/>
      <c r="K505" s="21"/>
      <c r="L505" s="21">
        <v>3</v>
      </c>
      <c r="M505" s="21"/>
      <c r="N505" s="21"/>
      <c r="O505" s="21"/>
      <c r="P505" s="21"/>
      <c r="Q505" s="22">
        <f t="shared" si="7"/>
        <v>3</v>
      </c>
    </row>
    <row r="506" spans="1:17" ht="15.75" customHeight="1">
      <c r="A506" s="23">
        <v>504</v>
      </c>
      <c r="B506" s="24" t="s">
        <v>3266</v>
      </c>
      <c r="C506" s="24" t="s">
        <v>3267</v>
      </c>
      <c r="D506" s="24" t="s">
        <v>3265</v>
      </c>
      <c r="E506" s="25"/>
      <c r="F506" s="25"/>
      <c r="G506" s="25"/>
      <c r="H506" s="25"/>
      <c r="I506" s="25"/>
      <c r="J506" s="25"/>
      <c r="K506" s="25"/>
      <c r="L506" s="25">
        <v>3</v>
      </c>
      <c r="M506" s="25"/>
      <c r="N506" s="25"/>
      <c r="O506" s="25"/>
      <c r="P506" s="25"/>
      <c r="Q506" s="22">
        <f t="shared" si="7"/>
        <v>3</v>
      </c>
    </row>
    <row r="507" spans="1:17" ht="15.75" customHeight="1">
      <c r="A507" s="19">
        <v>505</v>
      </c>
      <c r="B507" s="20" t="s">
        <v>3268</v>
      </c>
      <c r="C507" s="20" t="s">
        <v>483</v>
      </c>
      <c r="D507" s="20" t="s">
        <v>3265</v>
      </c>
      <c r="E507" s="21"/>
      <c r="F507" s="21"/>
      <c r="G507" s="21"/>
      <c r="H507" s="21"/>
      <c r="I507" s="21"/>
      <c r="J507" s="21"/>
      <c r="K507" s="21"/>
      <c r="L507" s="21">
        <v>17</v>
      </c>
      <c r="M507" s="21"/>
      <c r="N507" s="21"/>
      <c r="O507" s="21"/>
      <c r="P507" s="21"/>
      <c r="Q507" s="22">
        <f t="shared" si="7"/>
        <v>17</v>
      </c>
    </row>
    <row r="508" spans="1:17" ht="15.75" customHeight="1">
      <c r="A508" s="23">
        <v>506</v>
      </c>
      <c r="B508" s="24" t="s">
        <v>3269</v>
      </c>
      <c r="C508" s="24" t="s">
        <v>1160</v>
      </c>
      <c r="D508" s="24" t="s">
        <v>3265</v>
      </c>
      <c r="E508" s="25"/>
      <c r="F508" s="25"/>
      <c r="G508" s="25"/>
      <c r="H508" s="25"/>
      <c r="I508" s="25"/>
      <c r="J508" s="25"/>
      <c r="K508" s="25"/>
      <c r="L508" s="25">
        <v>31</v>
      </c>
      <c r="M508" s="25"/>
      <c r="N508" s="25"/>
      <c r="O508" s="25"/>
      <c r="P508" s="25"/>
      <c r="Q508" s="22">
        <f t="shared" si="7"/>
        <v>31</v>
      </c>
    </row>
    <row r="509" spans="1:17" ht="15.75" customHeight="1">
      <c r="A509" s="19">
        <v>507</v>
      </c>
      <c r="B509" s="20" t="s">
        <v>3270</v>
      </c>
      <c r="C509" s="20" t="s">
        <v>1146</v>
      </c>
      <c r="D509" s="20" t="s">
        <v>3265</v>
      </c>
      <c r="E509" s="21"/>
      <c r="F509" s="21"/>
      <c r="G509" s="21"/>
      <c r="H509" s="21"/>
      <c r="I509" s="21"/>
      <c r="J509" s="21"/>
      <c r="K509" s="21"/>
      <c r="L509" s="21">
        <v>31</v>
      </c>
      <c r="M509" s="21"/>
      <c r="N509" s="21"/>
      <c r="O509" s="21"/>
      <c r="P509" s="21"/>
      <c r="Q509" s="22">
        <f t="shared" si="7"/>
        <v>31</v>
      </c>
    </row>
    <row r="510" spans="1:17" ht="15.75" customHeight="1">
      <c r="A510" s="23">
        <v>508</v>
      </c>
      <c r="B510" s="24" t="s">
        <v>3271</v>
      </c>
      <c r="C510" s="24" t="s">
        <v>2628</v>
      </c>
      <c r="D510" s="24" t="s">
        <v>3265</v>
      </c>
      <c r="E510" s="25"/>
      <c r="F510" s="25"/>
      <c r="G510" s="25"/>
      <c r="H510" s="25"/>
      <c r="I510" s="25"/>
      <c r="J510" s="25"/>
      <c r="K510" s="25"/>
      <c r="L510" s="25">
        <v>39</v>
      </c>
      <c r="M510" s="25"/>
      <c r="N510" s="25"/>
      <c r="O510" s="25"/>
      <c r="P510" s="25"/>
      <c r="Q510" s="22">
        <f t="shared" si="7"/>
        <v>39</v>
      </c>
    </row>
    <row r="511" spans="1:17" ht="15.75" customHeight="1">
      <c r="A511" s="19">
        <v>509</v>
      </c>
      <c r="B511" s="20" t="s">
        <v>3272</v>
      </c>
      <c r="C511" s="20" t="s">
        <v>2694</v>
      </c>
      <c r="D511" s="20" t="s">
        <v>3265</v>
      </c>
      <c r="E511" s="21"/>
      <c r="F511" s="21"/>
      <c r="G511" s="21"/>
      <c r="H511" s="21"/>
      <c r="I511" s="21"/>
      <c r="J511" s="21"/>
      <c r="K511" s="21"/>
      <c r="L511" s="21">
        <v>77</v>
      </c>
      <c r="M511" s="21"/>
      <c r="N511" s="21"/>
      <c r="O511" s="21"/>
      <c r="P511" s="21"/>
      <c r="Q511" s="22">
        <f t="shared" si="7"/>
        <v>77</v>
      </c>
    </row>
    <row r="512" spans="1:17" ht="15.75" customHeight="1">
      <c r="A512" s="23">
        <v>510</v>
      </c>
      <c r="B512" s="24" t="s">
        <v>3273</v>
      </c>
      <c r="C512" s="24" t="s">
        <v>485</v>
      </c>
      <c r="D512" s="24" t="s">
        <v>3265</v>
      </c>
      <c r="E512" s="25"/>
      <c r="F512" s="25"/>
      <c r="G512" s="25"/>
      <c r="H512" s="25"/>
      <c r="I512" s="25"/>
      <c r="J512" s="25"/>
      <c r="K512" s="25"/>
      <c r="L512" s="25">
        <v>115</v>
      </c>
      <c r="M512" s="25"/>
      <c r="N512" s="25"/>
      <c r="O512" s="25"/>
      <c r="P512" s="25"/>
      <c r="Q512" s="22">
        <f t="shared" si="7"/>
        <v>115</v>
      </c>
    </row>
    <row r="513" spans="1:17" ht="15.75" customHeight="1">
      <c r="A513" s="19">
        <v>511</v>
      </c>
      <c r="B513" s="20" t="s">
        <v>3274</v>
      </c>
      <c r="C513" s="20" t="s">
        <v>2696</v>
      </c>
      <c r="D513" s="20" t="s">
        <v>3265</v>
      </c>
      <c r="E513" s="21"/>
      <c r="F513" s="21"/>
      <c r="G513" s="21"/>
      <c r="H513" s="21"/>
      <c r="I513" s="21"/>
      <c r="J513" s="21"/>
      <c r="K513" s="21"/>
      <c r="L513" s="21">
        <v>100</v>
      </c>
      <c r="M513" s="21"/>
      <c r="N513" s="21"/>
      <c r="O513" s="21"/>
      <c r="P513" s="21"/>
      <c r="Q513" s="22">
        <f t="shared" si="7"/>
        <v>100</v>
      </c>
    </row>
    <row r="514" spans="1:17" ht="15.75" customHeight="1">
      <c r="A514" s="23">
        <v>512</v>
      </c>
      <c r="B514" s="24" t="s">
        <v>3275</v>
      </c>
      <c r="C514" s="24" t="s">
        <v>2698</v>
      </c>
      <c r="D514" s="24" t="s">
        <v>3265</v>
      </c>
      <c r="E514" s="25"/>
      <c r="F514" s="25"/>
      <c r="G514" s="25"/>
      <c r="H514" s="25"/>
      <c r="I514" s="25"/>
      <c r="J514" s="25"/>
      <c r="K514" s="25"/>
      <c r="L514" s="25">
        <v>74</v>
      </c>
      <c r="M514" s="25">
        <v>6</v>
      </c>
      <c r="N514" s="25"/>
      <c r="O514" s="25"/>
      <c r="P514" s="25"/>
      <c r="Q514" s="22">
        <f t="shared" si="7"/>
        <v>80</v>
      </c>
    </row>
    <row r="515" spans="1:17" ht="15.75" customHeight="1">
      <c r="A515" s="19">
        <v>513</v>
      </c>
      <c r="B515" s="20" t="s">
        <v>3276</v>
      </c>
      <c r="C515" s="20" t="s">
        <v>489</v>
      </c>
      <c r="D515" s="20" t="s">
        <v>3265</v>
      </c>
      <c r="E515" s="21"/>
      <c r="F515" s="21"/>
      <c r="G515" s="21"/>
      <c r="H515" s="21"/>
      <c r="I515" s="21"/>
      <c r="J515" s="21"/>
      <c r="K515" s="21"/>
      <c r="L515" s="21">
        <v>22</v>
      </c>
      <c r="M515" s="21"/>
      <c r="N515" s="21"/>
      <c r="O515" s="21"/>
      <c r="P515" s="21"/>
      <c r="Q515" s="22">
        <f t="shared" ref="Q515:Q578" si="8">SUM(E515:P515)</f>
        <v>22</v>
      </c>
    </row>
    <row r="516" spans="1:17" ht="15.75" customHeight="1">
      <c r="A516" s="23">
        <v>514</v>
      </c>
      <c r="B516" s="24" t="s">
        <v>3277</v>
      </c>
      <c r="C516" s="24" t="s">
        <v>1173</v>
      </c>
      <c r="D516" s="24" t="s">
        <v>3265</v>
      </c>
      <c r="E516" s="25"/>
      <c r="F516" s="25"/>
      <c r="G516" s="25"/>
      <c r="H516" s="25"/>
      <c r="I516" s="25"/>
      <c r="J516" s="25"/>
      <c r="K516" s="25"/>
      <c r="L516" s="25">
        <v>22</v>
      </c>
      <c r="M516" s="25"/>
      <c r="N516" s="25"/>
      <c r="O516" s="25"/>
      <c r="P516" s="25"/>
      <c r="Q516" s="22">
        <f t="shared" si="8"/>
        <v>22</v>
      </c>
    </row>
    <row r="517" spans="1:17" ht="15.75" customHeight="1">
      <c r="A517" s="19">
        <v>515</v>
      </c>
      <c r="B517" s="20" t="s">
        <v>3278</v>
      </c>
      <c r="C517" s="20" t="s">
        <v>1176</v>
      </c>
      <c r="D517" s="20" t="s">
        <v>3265</v>
      </c>
      <c r="E517" s="21"/>
      <c r="F517" s="21"/>
      <c r="G517" s="21"/>
      <c r="H517" s="21"/>
      <c r="I517" s="21"/>
      <c r="J517" s="21"/>
      <c r="K517" s="21"/>
      <c r="L517" s="21">
        <v>22</v>
      </c>
      <c r="M517" s="21"/>
      <c r="N517" s="21"/>
      <c r="O517" s="21"/>
      <c r="P517" s="21"/>
      <c r="Q517" s="22">
        <f t="shared" si="8"/>
        <v>22</v>
      </c>
    </row>
    <row r="518" spans="1:17" ht="15.75" customHeight="1">
      <c r="A518" s="23">
        <v>516</v>
      </c>
      <c r="B518" s="24" t="s">
        <v>3279</v>
      </c>
      <c r="C518" s="24" t="s">
        <v>969</v>
      </c>
      <c r="D518" s="24" t="s">
        <v>3265</v>
      </c>
      <c r="E518" s="25"/>
      <c r="F518" s="25"/>
      <c r="G518" s="25"/>
      <c r="H518" s="25"/>
      <c r="I518" s="25"/>
      <c r="J518" s="25"/>
      <c r="K518" s="25"/>
      <c r="L518" s="25">
        <v>22</v>
      </c>
      <c r="M518" s="25"/>
      <c r="N518" s="25"/>
      <c r="O518" s="25"/>
      <c r="P518" s="25"/>
      <c r="Q518" s="22">
        <f t="shared" si="8"/>
        <v>22</v>
      </c>
    </row>
    <row r="519" spans="1:17" ht="15.75" customHeight="1">
      <c r="A519" s="19">
        <v>517</v>
      </c>
      <c r="B519" s="20" t="s">
        <v>3280</v>
      </c>
      <c r="C519" s="20" t="s">
        <v>3281</v>
      </c>
      <c r="D519" s="20"/>
      <c r="E519" s="21"/>
      <c r="F519" s="21"/>
      <c r="G519" s="21"/>
      <c r="H519" s="21"/>
      <c r="I519" s="21"/>
      <c r="J519" s="21"/>
      <c r="K519" s="21"/>
      <c r="L519" s="21">
        <v>28</v>
      </c>
      <c r="M519" s="21"/>
      <c r="N519" s="21"/>
      <c r="O519" s="21"/>
      <c r="P519" s="21"/>
      <c r="Q519" s="22">
        <f t="shared" si="8"/>
        <v>28</v>
      </c>
    </row>
    <row r="520" spans="1:17" ht="15.75" customHeight="1">
      <c r="A520" s="23">
        <v>518</v>
      </c>
      <c r="B520" s="24" t="s">
        <v>3282</v>
      </c>
      <c r="C520" s="24" t="s">
        <v>3283</v>
      </c>
      <c r="D520" s="24"/>
      <c r="E520" s="25"/>
      <c r="F520" s="25"/>
      <c r="G520" s="25"/>
      <c r="H520" s="25"/>
      <c r="I520" s="25"/>
      <c r="J520" s="25"/>
      <c r="K520" s="25"/>
      <c r="L520" s="25"/>
      <c r="M520" s="25"/>
      <c r="N520" s="25">
        <v>1</v>
      </c>
      <c r="O520" s="25"/>
      <c r="P520" s="25"/>
      <c r="Q520" s="22">
        <f t="shared" si="8"/>
        <v>1</v>
      </c>
    </row>
    <row r="521" spans="1:17" ht="15.75" customHeight="1">
      <c r="A521" s="19">
        <v>519</v>
      </c>
      <c r="B521" s="20" t="s">
        <v>3284</v>
      </c>
      <c r="C521" s="20" t="s">
        <v>597</v>
      </c>
      <c r="D521" s="20" t="s">
        <v>1115</v>
      </c>
      <c r="E521" s="21"/>
      <c r="F521" s="21"/>
      <c r="G521" s="21"/>
      <c r="H521" s="21"/>
      <c r="I521" s="21"/>
      <c r="J521" s="21"/>
      <c r="K521" s="21"/>
      <c r="L521" s="21"/>
      <c r="M521" s="21"/>
      <c r="N521" s="21">
        <v>30</v>
      </c>
      <c r="O521" s="21"/>
      <c r="P521" s="21"/>
      <c r="Q521" s="22">
        <f t="shared" si="8"/>
        <v>30</v>
      </c>
    </row>
    <row r="522" spans="1:17" ht="15.75" customHeight="1">
      <c r="A522" s="23">
        <v>520</v>
      </c>
      <c r="B522" s="24" t="s">
        <v>3285</v>
      </c>
      <c r="C522" s="24" t="s">
        <v>606</v>
      </c>
      <c r="D522" s="24" t="s">
        <v>1115</v>
      </c>
      <c r="E522" s="25"/>
      <c r="F522" s="25"/>
      <c r="G522" s="25"/>
      <c r="H522" s="25"/>
      <c r="I522" s="25"/>
      <c r="J522" s="25"/>
      <c r="K522" s="25"/>
      <c r="L522" s="25"/>
      <c r="M522" s="25"/>
      <c r="N522" s="25">
        <v>20</v>
      </c>
      <c r="O522" s="25"/>
      <c r="P522" s="25"/>
      <c r="Q522" s="22">
        <f t="shared" si="8"/>
        <v>20</v>
      </c>
    </row>
    <row r="523" spans="1:17" ht="15.75" customHeight="1">
      <c r="A523" s="19">
        <v>521</v>
      </c>
      <c r="B523" s="20" t="s">
        <v>3286</v>
      </c>
      <c r="C523" s="20" t="s">
        <v>3287</v>
      </c>
      <c r="D523" s="20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>
        <v>1</v>
      </c>
      <c r="P523" s="21"/>
      <c r="Q523" s="22">
        <f t="shared" si="8"/>
        <v>1</v>
      </c>
    </row>
    <row r="524" spans="1:17" ht="15.75" customHeight="1">
      <c r="A524" s="23">
        <v>522</v>
      </c>
      <c r="B524" s="24" t="s">
        <v>3288</v>
      </c>
      <c r="C524" s="24" t="s">
        <v>732</v>
      </c>
      <c r="D524" s="24" t="s">
        <v>3289</v>
      </c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>
        <v>5</v>
      </c>
      <c r="P524" s="25"/>
      <c r="Q524" s="22">
        <f t="shared" si="8"/>
        <v>5</v>
      </c>
    </row>
    <row r="525" spans="1:17" ht="15.75" customHeight="1">
      <c r="A525" s="19">
        <v>523</v>
      </c>
      <c r="B525" s="20" t="s">
        <v>3290</v>
      </c>
      <c r="C525" s="20" t="s">
        <v>3291</v>
      </c>
      <c r="D525" s="20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>
        <v>5</v>
      </c>
      <c r="Q525" s="22">
        <f t="shared" si="8"/>
        <v>5</v>
      </c>
    </row>
    <row r="526" spans="1:17" ht="15.75" customHeight="1">
      <c r="A526" s="23">
        <v>524</v>
      </c>
      <c r="B526" s="24" t="s">
        <v>3292</v>
      </c>
      <c r="C526" s="24" t="s">
        <v>3293</v>
      </c>
      <c r="D526" s="24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>
        <v>5</v>
      </c>
      <c r="Q526" s="22">
        <f t="shared" si="8"/>
        <v>5</v>
      </c>
    </row>
    <row r="527" spans="1:17" ht="15.75" customHeight="1">
      <c r="A527" s="19">
        <v>525</v>
      </c>
      <c r="B527" s="20" t="s">
        <v>3294</v>
      </c>
      <c r="C527" s="20" t="s">
        <v>3295</v>
      </c>
      <c r="D527" s="20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>
        <v>5</v>
      </c>
      <c r="Q527" s="22">
        <f t="shared" si="8"/>
        <v>5</v>
      </c>
    </row>
    <row r="528" spans="1:17" ht="15.75" customHeight="1">
      <c r="A528" s="23">
        <v>526</v>
      </c>
      <c r="B528" s="24" t="s">
        <v>3296</v>
      </c>
      <c r="C528" s="24" t="s">
        <v>3297</v>
      </c>
      <c r="D528" s="24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>
        <v>10</v>
      </c>
      <c r="Q528" s="22">
        <f t="shared" si="8"/>
        <v>10</v>
      </c>
    </row>
    <row r="529" spans="1:17" ht="15.75" customHeight="1">
      <c r="A529" s="19">
        <v>527</v>
      </c>
      <c r="B529" s="20" t="s">
        <v>3298</v>
      </c>
      <c r="C529" s="20" t="s">
        <v>3299</v>
      </c>
      <c r="D529" s="20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>
        <v>10</v>
      </c>
      <c r="Q529" s="22">
        <f t="shared" si="8"/>
        <v>10</v>
      </c>
    </row>
    <row r="530" spans="1:17" ht="15.75" customHeight="1">
      <c r="A530" s="23">
        <v>528</v>
      </c>
      <c r="B530" s="24" t="s">
        <v>3300</v>
      </c>
      <c r="C530" s="24" t="s">
        <v>3301</v>
      </c>
      <c r="D530" s="24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>
        <v>10</v>
      </c>
      <c r="Q530" s="22">
        <f t="shared" si="8"/>
        <v>10</v>
      </c>
    </row>
    <row r="531" spans="1:17" ht="15.75" customHeight="1">
      <c r="A531" s="19">
        <v>529</v>
      </c>
      <c r="B531" s="20" t="s">
        <v>3302</v>
      </c>
      <c r="C531" s="20" t="s">
        <v>3303</v>
      </c>
      <c r="D531" s="20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>
        <v>20</v>
      </c>
      <c r="Q531" s="22">
        <f t="shared" si="8"/>
        <v>20</v>
      </c>
    </row>
    <row r="532" spans="1:17" ht="15.75" customHeight="1">
      <c r="A532" s="23">
        <v>530</v>
      </c>
      <c r="B532" s="24" t="s">
        <v>3304</v>
      </c>
      <c r="C532" s="24" t="s">
        <v>3305</v>
      </c>
      <c r="D532" s="24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>
        <v>20</v>
      </c>
      <c r="Q532" s="22">
        <f t="shared" si="8"/>
        <v>20</v>
      </c>
    </row>
    <row r="533" spans="1:17" ht="15.75" customHeight="1">
      <c r="A533" s="19">
        <v>531</v>
      </c>
      <c r="B533" s="20" t="s">
        <v>3306</v>
      </c>
      <c r="C533" s="20" t="s">
        <v>3307</v>
      </c>
      <c r="D533" s="20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>
        <v>20</v>
      </c>
      <c r="Q533" s="22">
        <f t="shared" si="8"/>
        <v>20</v>
      </c>
    </row>
    <row r="534" spans="1:17" ht="15.75" customHeight="1">
      <c r="A534" s="23">
        <v>532</v>
      </c>
      <c r="B534" s="24" t="s">
        <v>3308</v>
      </c>
      <c r="C534" s="24" t="s">
        <v>3309</v>
      </c>
      <c r="D534" s="24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>
        <v>20</v>
      </c>
      <c r="Q534" s="22">
        <f t="shared" si="8"/>
        <v>20</v>
      </c>
    </row>
    <row r="535" spans="1:17" ht="15.75" customHeight="1">
      <c r="A535" s="19">
        <v>533</v>
      </c>
      <c r="B535" s="20" t="s">
        <v>3310</v>
      </c>
      <c r="C535" s="20" t="s">
        <v>3311</v>
      </c>
      <c r="D535" s="20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>
        <v>20</v>
      </c>
      <c r="Q535" s="22">
        <f t="shared" si="8"/>
        <v>20</v>
      </c>
    </row>
    <row r="536" spans="1:17" ht="15.75" customHeight="1">
      <c r="A536" s="23">
        <v>534</v>
      </c>
      <c r="B536" s="24" t="s">
        <v>3312</v>
      </c>
      <c r="C536" s="24" t="s">
        <v>3313</v>
      </c>
      <c r="D536" s="24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>
        <v>20</v>
      </c>
      <c r="Q536" s="22">
        <f t="shared" si="8"/>
        <v>20</v>
      </c>
    </row>
    <row r="537" spans="1:17" ht="15.75" customHeight="1">
      <c r="A537" s="19">
        <v>535</v>
      </c>
      <c r="B537" s="20" t="s">
        <v>3314</v>
      </c>
      <c r="C537" s="20" t="s">
        <v>3315</v>
      </c>
      <c r="D537" s="20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>
        <v>20</v>
      </c>
      <c r="Q537" s="22">
        <f t="shared" si="8"/>
        <v>20</v>
      </c>
    </row>
    <row r="538" spans="1:17" ht="15.75" customHeight="1">
      <c r="A538" s="23">
        <v>536</v>
      </c>
      <c r="B538" s="24" t="s">
        <v>3316</v>
      </c>
      <c r="C538" s="24" t="s">
        <v>3317</v>
      </c>
      <c r="D538" s="24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>
        <v>10</v>
      </c>
      <c r="Q538" s="22">
        <f t="shared" si="8"/>
        <v>10</v>
      </c>
    </row>
    <row r="539" spans="1:17" ht="15.75" customHeight="1">
      <c r="A539" s="19">
        <v>537</v>
      </c>
      <c r="B539" s="20" t="s">
        <v>3318</v>
      </c>
      <c r="C539" s="20" t="s">
        <v>3319</v>
      </c>
      <c r="D539" s="20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>
        <v>10</v>
      </c>
      <c r="Q539" s="22">
        <f t="shared" si="8"/>
        <v>10</v>
      </c>
    </row>
    <row r="540" spans="1:17" ht="15.75" customHeight="1">
      <c r="A540" s="23">
        <v>538</v>
      </c>
      <c r="B540" s="24" t="s">
        <v>3320</v>
      </c>
      <c r="C540" s="24" t="s">
        <v>3321</v>
      </c>
      <c r="D540" s="24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>
        <v>10</v>
      </c>
      <c r="Q540" s="22">
        <f t="shared" si="8"/>
        <v>10</v>
      </c>
    </row>
    <row r="541" spans="1:17" ht="15.75" customHeight="1">
      <c r="A541" s="19">
        <v>539</v>
      </c>
      <c r="B541" s="20" t="s">
        <v>3322</v>
      </c>
      <c r="C541" s="20" t="s">
        <v>3323</v>
      </c>
      <c r="D541" s="20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>
        <v>10</v>
      </c>
      <c r="Q541" s="22">
        <f t="shared" si="8"/>
        <v>10</v>
      </c>
    </row>
    <row r="542" spans="1:17" ht="15.75" customHeight="1">
      <c r="A542" s="23">
        <v>540</v>
      </c>
      <c r="B542" s="24" t="s">
        <v>1349</v>
      </c>
      <c r="C542" s="24" t="s">
        <v>1350</v>
      </c>
      <c r="D542" s="24" t="s">
        <v>32</v>
      </c>
      <c r="E542" s="25"/>
      <c r="F542" s="25"/>
      <c r="G542" s="25"/>
      <c r="H542" s="25"/>
      <c r="I542" s="25"/>
      <c r="J542" s="25"/>
      <c r="K542" s="25"/>
      <c r="L542" s="25"/>
      <c r="M542" s="25"/>
      <c r="N542" s="25">
        <v>12</v>
      </c>
      <c r="O542" s="25"/>
      <c r="P542" s="25"/>
      <c r="Q542" s="22">
        <f t="shared" si="8"/>
        <v>12</v>
      </c>
    </row>
    <row r="543" spans="1:17" ht="15.75" customHeight="1">
      <c r="A543" s="19">
        <v>541</v>
      </c>
      <c r="B543" s="20" t="s">
        <v>3324</v>
      </c>
      <c r="C543" s="20" t="s">
        <v>1350</v>
      </c>
      <c r="D543" s="20" t="s">
        <v>24</v>
      </c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>
        <v>4</v>
      </c>
      <c r="Q543" s="22">
        <f t="shared" si="8"/>
        <v>4</v>
      </c>
    </row>
    <row r="544" spans="1:17" ht="15.75" customHeight="1">
      <c r="A544" s="23">
        <v>542</v>
      </c>
      <c r="B544" s="24" t="s">
        <v>1387</v>
      </c>
      <c r="C544" s="24" t="s">
        <v>1388</v>
      </c>
      <c r="D544" s="24" t="s">
        <v>24</v>
      </c>
      <c r="E544" s="25">
        <v>26</v>
      </c>
      <c r="F544" s="25"/>
      <c r="G544" s="25"/>
      <c r="H544" s="25">
        <v>2</v>
      </c>
      <c r="I544" s="25"/>
      <c r="J544" s="25"/>
      <c r="K544" s="25"/>
      <c r="L544" s="25"/>
      <c r="M544" s="25"/>
      <c r="N544" s="25"/>
      <c r="O544" s="25"/>
      <c r="P544" s="25"/>
      <c r="Q544" s="22">
        <f t="shared" si="8"/>
        <v>28</v>
      </c>
    </row>
    <row r="545" spans="1:17" ht="15.75" customHeight="1">
      <c r="A545" s="19">
        <v>543</v>
      </c>
      <c r="B545" s="20" t="s">
        <v>3325</v>
      </c>
      <c r="C545" s="20" t="s">
        <v>3326</v>
      </c>
      <c r="D545" s="20" t="s">
        <v>3327</v>
      </c>
      <c r="E545" s="21"/>
      <c r="F545" s="21"/>
      <c r="G545" s="21"/>
      <c r="H545" s="21"/>
      <c r="I545" s="21">
        <v>24</v>
      </c>
      <c r="J545" s="21"/>
      <c r="K545" s="21"/>
      <c r="L545" s="21"/>
      <c r="M545" s="21"/>
      <c r="N545" s="21"/>
      <c r="O545" s="21"/>
      <c r="P545" s="21"/>
      <c r="Q545" s="22">
        <f t="shared" si="8"/>
        <v>24</v>
      </c>
    </row>
    <row r="546" spans="1:17" ht="15.75" customHeight="1">
      <c r="A546" s="23">
        <v>544</v>
      </c>
      <c r="B546" s="24" t="s">
        <v>1397</v>
      </c>
      <c r="C546" s="24" t="s">
        <v>1398</v>
      </c>
      <c r="D546" s="24" t="s">
        <v>1396</v>
      </c>
      <c r="E546" s="25">
        <v>12</v>
      </c>
      <c r="F546" s="25"/>
      <c r="G546" s="25"/>
      <c r="H546" s="25"/>
      <c r="I546" s="25"/>
      <c r="J546" s="25"/>
      <c r="K546" s="25"/>
      <c r="L546" s="25">
        <v>50</v>
      </c>
      <c r="M546" s="25"/>
      <c r="N546" s="25"/>
      <c r="O546" s="25"/>
      <c r="P546" s="25"/>
      <c r="Q546" s="22">
        <f t="shared" si="8"/>
        <v>62</v>
      </c>
    </row>
    <row r="547" spans="1:17" ht="15.75" customHeight="1">
      <c r="A547" s="19">
        <v>545</v>
      </c>
      <c r="B547" s="20" t="s">
        <v>1401</v>
      </c>
      <c r="C547" s="20" t="s">
        <v>1402</v>
      </c>
      <c r="D547" s="20" t="s">
        <v>1396</v>
      </c>
      <c r="E547" s="21">
        <v>10</v>
      </c>
      <c r="F547" s="21"/>
      <c r="G547" s="21">
        <v>50</v>
      </c>
      <c r="H547" s="21"/>
      <c r="I547" s="21">
        <v>20</v>
      </c>
      <c r="J547" s="21">
        <v>30</v>
      </c>
      <c r="K547" s="21">
        <v>36</v>
      </c>
      <c r="L547" s="21">
        <v>61</v>
      </c>
      <c r="M547" s="21">
        <v>50</v>
      </c>
      <c r="N547" s="21">
        <v>80</v>
      </c>
      <c r="O547" s="21"/>
      <c r="P547" s="21">
        <v>60</v>
      </c>
      <c r="Q547" s="22">
        <f t="shared" si="8"/>
        <v>397</v>
      </c>
    </row>
    <row r="548" spans="1:17" ht="15.75" customHeight="1">
      <c r="A548" s="23">
        <v>546</v>
      </c>
      <c r="B548" s="24" t="s">
        <v>2766</v>
      </c>
      <c r="C548" s="24" t="s">
        <v>2767</v>
      </c>
      <c r="D548" s="24" t="s">
        <v>2768</v>
      </c>
      <c r="E548" s="25"/>
      <c r="F548" s="25"/>
      <c r="G548" s="25"/>
      <c r="H548" s="25"/>
      <c r="I548" s="25">
        <v>15</v>
      </c>
      <c r="J548" s="25">
        <v>24</v>
      </c>
      <c r="K548" s="25"/>
      <c r="L548" s="25"/>
      <c r="M548" s="25"/>
      <c r="N548" s="25"/>
      <c r="O548" s="25"/>
      <c r="P548" s="25"/>
      <c r="Q548" s="22">
        <f t="shared" si="8"/>
        <v>39</v>
      </c>
    </row>
    <row r="549" spans="1:17" ht="15.75" customHeight="1">
      <c r="A549" s="19">
        <v>547</v>
      </c>
      <c r="B549" s="20" t="s">
        <v>1403</v>
      </c>
      <c r="C549" s="20" t="s">
        <v>1404</v>
      </c>
      <c r="D549" s="20" t="s">
        <v>284</v>
      </c>
      <c r="E549" s="21">
        <v>200</v>
      </c>
      <c r="F549" s="21">
        <v>120</v>
      </c>
      <c r="G549" s="21"/>
      <c r="H549" s="21">
        <v>100</v>
      </c>
      <c r="I549" s="21"/>
      <c r="J549" s="21"/>
      <c r="K549" s="21"/>
      <c r="L549" s="21"/>
      <c r="M549" s="21"/>
      <c r="N549" s="21"/>
      <c r="O549" s="21"/>
      <c r="P549" s="21"/>
      <c r="Q549" s="22">
        <f t="shared" si="8"/>
        <v>420</v>
      </c>
    </row>
    <row r="550" spans="1:17" ht="15.75" customHeight="1">
      <c r="A550" s="23">
        <v>548</v>
      </c>
      <c r="B550" s="24" t="s">
        <v>1405</v>
      </c>
      <c r="C550" s="24" t="s">
        <v>1406</v>
      </c>
      <c r="D550" s="24" t="s">
        <v>1396</v>
      </c>
      <c r="E550" s="25"/>
      <c r="F550" s="25">
        <v>22</v>
      </c>
      <c r="G550" s="25">
        <v>133</v>
      </c>
      <c r="H550" s="25">
        <v>115</v>
      </c>
      <c r="I550" s="25"/>
      <c r="J550" s="25">
        <v>80</v>
      </c>
      <c r="K550" s="25">
        <v>20</v>
      </c>
      <c r="L550" s="25">
        <v>5</v>
      </c>
      <c r="M550" s="25">
        <v>255</v>
      </c>
      <c r="N550" s="25">
        <v>35</v>
      </c>
      <c r="O550" s="25">
        <v>30</v>
      </c>
      <c r="P550" s="25">
        <v>200</v>
      </c>
      <c r="Q550" s="22">
        <f t="shared" si="8"/>
        <v>895</v>
      </c>
    </row>
    <row r="551" spans="1:17" ht="15.75" customHeight="1">
      <c r="A551" s="19">
        <v>549</v>
      </c>
      <c r="B551" s="20" t="s">
        <v>1407</v>
      </c>
      <c r="C551" s="20" t="s">
        <v>1408</v>
      </c>
      <c r="D551" s="20" t="s">
        <v>284</v>
      </c>
      <c r="E551" s="21">
        <v>755</v>
      </c>
      <c r="F551" s="21">
        <v>300</v>
      </c>
      <c r="G551" s="21">
        <v>20</v>
      </c>
      <c r="H551" s="21">
        <v>500</v>
      </c>
      <c r="I551" s="21">
        <v>300</v>
      </c>
      <c r="J551" s="21"/>
      <c r="K551" s="21">
        <v>300</v>
      </c>
      <c r="L551" s="21">
        <v>200</v>
      </c>
      <c r="M551" s="21"/>
      <c r="N551" s="21"/>
      <c r="O551" s="21">
        <v>250</v>
      </c>
      <c r="P551" s="21"/>
      <c r="Q551" s="22">
        <f t="shared" si="8"/>
        <v>2625</v>
      </c>
    </row>
    <row r="552" spans="1:17" ht="15.75" customHeight="1">
      <c r="A552" s="23">
        <v>550</v>
      </c>
      <c r="B552" s="24" t="s">
        <v>3328</v>
      </c>
      <c r="C552" s="24" t="s">
        <v>3329</v>
      </c>
      <c r="D552" s="24" t="s">
        <v>284</v>
      </c>
      <c r="E552" s="25"/>
      <c r="F552" s="25">
        <v>226</v>
      </c>
      <c r="G552" s="25"/>
      <c r="H552" s="25"/>
      <c r="I552" s="25"/>
      <c r="J552" s="25"/>
      <c r="K552" s="25"/>
      <c r="L552" s="25"/>
      <c r="M552" s="25"/>
      <c r="N552" s="25"/>
      <c r="O552" s="25"/>
      <c r="P552" s="25">
        <v>40</v>
      </c>
      <c r="Q552" s="22">
        <f t="shared" si="8"/>
        <v>266</v>
      </c>
    </row>
    <row r="553" spans="1:17" ht="15.75" customHeight="1">
      <c r="A553" s="19">
        <v>551</v>
      </c>
      <c r="B553" s="20" t="s">
        <v>1409</v>
      </c>
      <c r="C553" s="20" t="s">
        <v>1410</v>
      </c>
      <c r="D553" s="20" t="s">
        <v>1411</v>
      </c>
      <c r="E553" s="21">
        <v>50</v>
      </c>
      <c r="F553" s="21"/>
      <c r="G553" s="21"/>
      <c r="H553" s="21"/>
      <c r="I553" s="21">
        <v>58</v>
      </c>
      <c r="J553" s="21"/>
      <c r="K553" s="21">
        <v>50</v>
      </c>
      <c r="L553" s="21"/>
      <c r="M553" s="21"/>
      <c r="N553" s="21"/>
      <c r="O553" s="21"/>
      <c r="P553" s="21"/>
      <c r="Q553" s="22">
        <f t="shared" si="8"/>
        <v>158</v>
      </c>
    </row>
    <row r="554" spans="1:17" ht="15.75" customHeight="1">
      <c r="A554" s="23">
        <v>552</v>
      </c>
      <c r="B554" s="24" t="s">
        <v>1412</v>
      </c>
      <c r="C554" s="24" t="s">
        <v>1413</v>
      </c>
      <c r="D554" s="24" t="s">
        <v>284</v>
      </c>
      <c r="E554" s="25"/>
      <c r="F554" s="25"/>
      <c r="G554" s="25">
        <v>12</v>
      </c>
      <c r="H554" s="25"/>
      <c r="I554" s="25"/>
      <c r="J554" s="25">
        <v>48</v>
      </c>
      <c r="K554" s="25"/>
      <c r="L554" s="25"/>
      <c r="M554" s="25">
        <v>10</v>
      </c>
      <c r="N554" s="25"/>
      <c r="O554" s="25">
        <v>24</v>
      </c>
      <c r="P554" s="25"/>
      <c r="Q554" s="22">
        <f t="shared" si="8"/>
        <v>94</v>
      </c>
    </row>
    <row r="555" spans="1:17" ht="15.75" customHeight="1">
      <c r="A555" s="19">
        <v>553</v>
      </c>
      <c r="B555" s="20" t="s">
        <v>1414</v>
      </c>
      <c r="C555" s="20" t="s">
        <v>1415</v>
      </c>
      <c r="D555" s="20" t="s">
        <v>1396</v>
      </c>
      <c r="E555" s="21">
        <v>10</v>
      </c>
      <c r="F555" s="21">
        <v>315</v>
      </c>
      <c r="G555" s="21"/>
      <c r="H555" s="21">
        <v>232</v>
      </c>
      <c r="I555" s="21">
        <v>79</v>
      </c>
      <c r="J555" s="21">
        <v>97</v>
      </c>
      <c r="K555" s="21"/>
      <c r="L555" s="21">
        <v>80</v>
      </c>
      <c r="M555" s="21">
        <v>20</v>
      </c>
      <c r="N555" s="21">
        <v>26</v>
      </c>
      <c r="O555" s="21"/>
      <c r="P555" s="21">
        <v>127</v>
      </c>
      <c r="Q555" s="22">
        <f t="shared" si="8"/>
        <v>986</v>
      </c>
    </row>
    <row r="556" spans="1:17" ht="15.75" customHeight="1">
      <c r="A556" s="23">
        <v>554</v>
      </c>
      <c r="B556" s="24" t="s">
        <v>1416</v>
      </c>
      <c r="C556" s="24" t="s">
        <v>1417</v>
      </c>
      <c r="D556" s="24" t="s">
        <v>284</v>
      </c>
      <c r="E556" s="25">
        <v>6426</v>
      </c>
      <c r="F556" s="25">
        <v>2848</v>
      </c>
      <c r="G556" s="25">
        <v>314</v>
      </c>
      <c r="H556" s="25">
        <v>1726</v>
      </c>
      <c r="I556" s="25">
        <v>700</v>
      </c>
      <c r="J556" s="25">
        <v>810</v>
      </c>
      <c r="K556" s="25">
        <v>1128</v>
      </c>
      <c r="L556" s="25">
        <v>400</v>
      </c>
      <c r="M556" s="25">
        <v>100</v>
      </c>
      <c r="N556" s="25">
        <v>52</v>
      </c>
      <c r="O556" s="25">
        <v>438</v>
      </c>
      <c r="P556" s="25">
        <v>500</v>
      </c>
      <c r="Q556" s="22">
        <f t="shared" si="8"/>
        <v>15442</v>
      </c>
    </row>
    <row r="557" spans="1:17" ht="15.75" customHeight="1">
      <c r="A557" s="19">
        <v>555</v>
      </c>
      <c r="B557" s="20" t="s">
        <v>1420</v>
      </c>
      <c r="C557" s="20" t="s">
        <v>1421</v>
      </c>
      <c r="D557" s="20" t="s">
        <v>284</v>
      </c>
      <c r="E557" s="21">
        <v>224</v>
      </c>
      <c r="F557" s="21">
        <v>340</v>
      </c>
      <c r="G557" s="21">
        <v>120</v>
      </c>
      <c r="H557" s="21">
        <v>203</v>
      </c>
      <c r="I557" s="21">
        <v>30</v>
      </c>
      <c r="J557" s="21">
        <v>272</v>
      </c>
      <c r="K557" s="21">
        <v>40</v>
      </c>
      <c r="L557" s="21">
        <v>306</v>
      </c>
      <c r="M557" s="21">
        <v>302</v>
      </c>
      <c r="N557" s="21">
        <v>426</v>
      </c>
      <c r="O557" s="21">
        <v>450</v>
      </c>
      <c r="P557" s="21">
        <v>162</v>
      </c>
      <c r="Q557" s="22">
        <f t="shared" si="8"/>
        <v>2875</v>
      </c>
    </row>
    <row r="558" spans="1:17" ht="15.75" customHeight="1">
      <c r="A558" s="23">
        <v>556</v>
      </c>
      <c r="B558" s="24" t="s">
        <v>3330</v>
      </c>
      <c r="C558" s="24" t="s">
        <v>3331</v>
      </c>
      <c r="D558" s="24" t="s">
        <v>284</v>
      </c>
      <c r="E558" s="25"/>
      <c r="F558" s="25">
        <v>184</v>
      </c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2">
        <f t="shared" si="8"/>
        <v>184</v>
      </c>
    </row>
    <row r="559" spans="1:17" ht="15.75" customHeight="1">
      <c r="A559" s="19">
        <v>557</v>
      </c>
      <c r="B559" s="20" t="s">
        <v>1422</v>
      </c>
      <c r="C559" s="20" t="s">
        <v>1423</v>
      </c>
      <c r="D559" s="20" t="s">
        <v>284</v>
      </c>
      <c r="E559" s="21"/>
      <c r="F559" s="21">
        <v>80</v>
      </c>
      <c r="G559" s="21"/>
      <c r="H559" s="21">
        <v>1</v>
      </c>
      <c r="I559" s="21"/>
      <c r="J559" s="21"/>
      <c r="K559" s="21"/>
      <c r="L559" s="21">
        <v>72</v>
      </c>
      <c r="M559" s="21">
        <v>32</v>
      </c>
      <c r="N559" s="21"/>
      <c r="O559" s="21"/>
      <c r="P559" s="21">
        <v>24</v>
      </c>
      <c r="Q559" s="22">
        <f t="shared" si="8"/>
        <v>209</v>
      </c>
    </row>
    <row r="560" spans="1:17" ht="15.75" customHeight="1">
      <c r="A560" s="23">
        <v>558</v>
      </c>
      <c r="B560" s="24" t="s">
        <v>1424</v>
      </c>
      <c r="C560" s="24" t="s">
        <v>1415</v>
      </c>
      <c r="D560" s="24" t="s">
        <v>1425</v>
      </c>
      <c r="E560" s="25">
        <v>5</v>
      </c>
      <c r="F560" s="25">
        <v>60</v>
      </c>
      <c r="G560" s="25">
        <v>10</v>
      </c>
      <c r="H560" s="25"/>
      <c r="I560" s="25">
        <v>60</v>
      </c>
      <c r="J560" s="25"/>
      <c r="K560" s="25"/>
      <c r="L560" s="25"/>
      <c r="M560" s="25">
        <v>105</v>
      </c>
      <c r="N560" s="25"/>
      <c r="O560" s="25"/>
      <c r="P560" s="25"/>
      <c r="Q560" s="22">
        <f t="shared" si="8"/>
        <v>240</v>
      </c>
    </row>
    <row r="561" spans="1:17" ht="15.75" customHeight="1">
      <c r="A561" s="19">
        <v>559</v>
      </c>
      <c r="B561" s="20" t="s">
        <v>1426</v>
      </c>
      <c r="C561" s="20" t="s">
        <v>1406</v>
      </c>
      <c r="D561" s="20" t="s">
        <v>1425</v>
      </c>
      <c r="E561" s="21">
        <v>7</v>
      </c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2">
        <f t="shared" si="8"/>
        <v>7</v>
      </c>
    </row>
    <row r="562" spans="1:17" ht="15.75" customHeight="1">
      <c r="A562" s="23">
        <v>560</v>
      </c>
      <c r="B562" s="24" t="s">
        <v>1427</v>
      </c>
      <c r="C562" s="24" t="s">
        <v>1428</v>
      </c>
      <c r="D562" s="24" t="s">
        <v>1429</v>
      </c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>
        <v>50</v>
      </c>
      <c r="P562" s="25"/>
      <c r="Q562" s="22">
        <f t="shared" si="8"/>
        <v>50</v>
      </c>
    </row>
    <row r="563" spans="1:17" ht="15.75" customHeight="1">
      <c r="A563" s="19">
        <v>561</v>
      </c>
      <c r="B563" s="20" t="s">
        <v>1430</v>
      </c>
      <c r="C563" s="20" t="s">
        <v>1431</v>
      </c>
      <c r="D563" s="20" t="s">
        <v>284</v>
      </c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>
        <v>3</v>
      </c>
      <c r="P563" s="21"/>
      <c r="Q563" s="22">
        <f t="shared" si="8"/>
        <v>3</v>
      </c>
    </row>
    <row r="564" spans="1:17" ht="15.75" customHeight="1">
      <c r="A564" s="23">
        <v>562</v>
      </c>
      <c r="B564" s="24" t="s">
        <v>1434</v>
      </c>
      <c r="C564" s="24" t="s">
        <v>1402</v>
      </c>
      <c r="D564" s="24" t="s">
        <v>1425</v>
      </c>
      <c r="E564" s="25"/>
      <c r="F564" s="25"/>
      <c r="G564" s="25">
        <v>5</v>
      </c>
      <c r="H564" s="25"/>
      <c r="I564" s="25"/>
      <c r="J564" s="25"/>
      <c r="K564" s="25">
        <v>10</v>
      </c>
      <c r="L564" s="25"/>
      <c r="M564" s="25">
        <v>15</v>
      </c>
      <c r="N564" s="25"/>
      <c r="O564" s="25"/>
      <c r="P564" s="25"/>
      <c r="Q564" s="22">
        <f t="shared" si="8"/>
        <v>30</v>
      </c>
    </row>
    <row r="565" spans="1:17" ht="15.75" customHeight="1">
      <c r="A565" s="19">
        <v>563</v>
      </c>
      <c r="B565" s="20" t="s">
        <v>3332</v>
      </c>
      <c r="C565" s="20" t="s">
        <v>3333</v>
      </c>
      <c r="D565" s="20" t="s">
        <v>284</v>
      </c>
      <c r="E565" s="21"/>
      <c r="F565" s="21"/>
      <c r="G565" s="21"/>
      <c r="H565" s="21"/>
      <c r="I565" s="21"/>
      <c r="J565" s="21"/>
      <c r="K565" s="21"/>
      <c r="L565" s="21"/>
      <c r="M565" s="21">
        <v>2</v>
      </c>
      <c r="N565" s="21"/>
      <c r="O565" s="21"/>
      <c r="P565" s="21"/>
      <c r="Q565" s="22">
        <f t="shared" si="8"/>
        <v>2</v>
      </c>
    </row>
    <row r="566" spans="1:17" ht="15.75" customHeight="1">
      <c r="A566" s="23">
        <v>564</v>
      </c>
      <c r="B566" s="24" t="s">
        <v>1443</v>
      </c>
      <c r="C566" s="24" t="s">
        <v>1444</v>
      </c>
      <c r="D566" s="24" t="s">
        <v>284</v>
      </c>
      <c r="E566" s="25"/>
      <c r="F566" s="25"/>
      <c r="G566" s="25"/>
      <c r="H566" s="25">
        <v>1</v>
      </c>
      <c r="I566" s="25"/>
      <c r="J566" s="25"/>
      <c r="K566" s="25"/>
      <c r="L566" s="25"/>
      <c r="M566" s="25">
        <v>24</v>
      </c>
      <c r="N566" s="25"/>
      <c r="O566" s="25">
        <v>20</v>
      </c>
      <c r="P566" s="25"/>
      <c r="Q566" s="22">
        <f t="shared" si="8"/>
        <v>45</v>
      </c>
    </row>
    <row r="567" spans="1:17" ht="15.75" customHeight="1">
      <c r="A567" s="19">
        <v>565</v>
      </c>
      <c r="B567" s="20" t="s">
        <v>1448</v>
      </c>
      <c r="C567" s="20" t="s">
        <v>1449</v>
      </c>
      <c r="D567" s="20" t="s">
        <v>1447</v>
      </c>
      <c r="E567" s="21"/>
      <c r="F567" s="21"/>
      <c r="G567" s="21">
        <v>50</v>
      </c>
      <c r="H567" s="21"/>
      <c r="I567" s="21"/>
      <c r="J567" s="21"/>
      <c r="K567" s="21"/>
      <c r="L567" s="21"/>
      <c r="M567" s="21"/>
      <c r="N567" s="21"/>
      <c r="O567" s="21"/>
      <c r="P567" s="21"/>
      <c r="Q567" s="22">
        <f t="shared" si="8"/>
        <v>50</v>
      </c>
    </row>
    <row r="568" spans="1:17" ht="15.75" customHeight="1">
      <c r="A568" s="23">
        <v>566</v>
      </c>
      <c r="B568" s="24" t="s">
        <v>2776</v>
      </c>
      <c r="C568" s="24" t="s">
        <v>2777</v>
      </c>
      <c r="D568" s="24" t="s">
        <v>284</v>
      </c>
      <c r="E568" s="25"/>
      <c r="F568" s="25">
        <v>1</v>
      </c>
      <c r="G568" s="25"/>
      <c r="H568" s="25"/>
      <c r="I568" s="25"/>
      <c r="J568" s="25">
        <v>1</v>
      </c>
      <c r="K568" s="25"/>
      <c r="L568" s="25"/>
      <c r="M568" s="25">
        <v>4</v>
      </c>
      <c r="N568" s="25"/>
      <c r="O568" s="25"/>
      <c r="P568" s="25"/>
      <c r="Q568" s="22">
        <f t="shared" si="8"/>
        <v>6</v>
      </c>
    </row>
    <row r="569" spans="1:17" ht="15.75" customHeight="1">
      <c r="A569" s="19">
        <v>567</v>
      </c>
      <c r="B569" s="20" t="s">
        <v>3334</v>
      </c>
      <c r="C569" s="20" t="s">
        <v>1406</v>
      </c>
      <c r="D569" s="20" t="s">
        <v>1458</v>
      </c>
      <c r="E569" s="21"/>
      <c r="F569" s="21">
        <v>4</v>
      </c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2">
        <f t="shared" si="8"/>
        <v>4</v>
      </c>
    </row>
    <row r="570" spans="1:17" ht="15.75" customHeight="1">
      <c r="A570" s="23">
        <v>568</v>
      </c>
      <c r="B570" s="24" t="s">
        <v>2780</v>
      </c>
      <c r="C570" s="24" t="s">
        <v>2781</v>
      </c>
      <c r="D570" s="24" t="s">
        <v>1411</v>
      </c>
      <c r="E570" s="25"/>
      <c r="F570" s="25"/>
      <c r="G570" s="25"/>
      <c r="H570" s="25"/>
      <c r="I570" s="25"/>
      <c r="J570" s="25"/>
      <c r="K570" s="25"/>
      <c r="L570" s="25"/>
      <c r="M570" s="25">
        <v>192</v>
      </c>
      <c r="N570" s="25"/>
      <c r="O570" s="25">
        <v>50</v>
      </c>
      <c r="P570" s="25"/>
      <c r="Q570" s="22">
        <f t="shared" si="8"/>
        <v>242</v>
      </c>
    </row>
    <row r="571" spans="1:17" ht="15.75" customHeight="1">
      <c r="A571" s="19">
        <v>569</v>
      </c>
      <c r="B571" s="20" t="s">
        <v>3335</v>
      </c>
      <c r="C571" s="20" t="s">
        <v>1415</v>
      </c>
      <c r="D571" s="20" t="s">
        <v>3336</v>
      </c>
      <c r="E571" s="21"/>
      <c r="F571" s="21"/>
      <c r="G571" s="21"/>
      <c r="H571" s="21"/>
      <c r="I571" s="21">
        <v>300</v>
      </c>
      <c r="J571" s="21"/>
      <c r="K571" s="21"/>
      <c r="L571" s="21"/>
      <c r="M571" s="21"/>
      <c r="N571" s="21"/>
      <c r="O571" s="21"/>
      <c r="P571" s="21"/>
      <c r="Q571" s="22">
        <f t="shared" si="8"/>
        <v>300</v>
      </c>
    </row>
    <row r="572" spans="1:17" ht="15.75" customHeight="1">
      <c r="A572" s="23">
        <v>570</v>
      </c>
      <c r="B572" s="24" t="s">
        <v>3337</v>
      </c>
      <c r="C572" s="24" t="s">
        <v>1423</v>
      </c>
      <c r="D572" s="24" t="s">
        <v>1447</v>
      </c>
      <c r="E572" s="25"/>
      <c r="F572" s="25"/>
      <c r="G572" s="25"/>
      <c r="H572" s="25"/>
      <c r="I572" s="25"/>
      <c r="J572" s="25">
        <v>40</v>
      </c>
      <c r="K572" s="25"/>
      <c r="L572" s="25"/>
      <c r="M572" s="25"/>
      <c r="N572" s="25"/>
      <c r="O572" s="25"/>
      <c r="P572" s="25"/>
      <c r="Q572" s="22">
        <f t="shared" si="8"/>
        <v>40</v>
      </c>
    </row>
    <row r="573" spans="1:17" ht="15.75" customHeight="1">
      <c r="A573" s="19">
        <v>571</v>
      </c>
      <c r="B573" s="20" t="s">
        <v>3338</v>
      </c>
      <c r="C573" s="20" t="s">
        <v>1466</v>
      </c>
      <c r="D573" s="20" t="s">
        <v>20</v>
      </c>
      <c r="E573" s="21"/>
      <c r="F573" s="21"/>
      <c r="G573" s="21"/>
      <c r="H573" s="21">
        <v>400</v>
      </c>
      <c r="I573" s="21">
        <v>100</v>
      </c>
      <c r="J573" s="21">
        <v>100</v>
      </c>
      <c r="K573" s="21"/>
      <c r="L573" s="21"/>
      <c r="M573" s="21"/>
      <c r="N573" s="21"/>
      <c r="O573" s="21"/>
      <c r="P573" s="21"/>
      <c r="Q573" s="22">
        <f t="shared" si="8"/>
        <v>600</v>
      </c>
    </row>
    <row r="574" spans="1:17" ht="15.75" customHeight="1">
      <c r="A574" s="23">
        <v>572</v>
      </c>
      <c r="B574" s="24" t="s">
        <v>1465</v>
      </c>
      <c r="C574" s="24" t="s">
        <v>1466</v>
      </c>
      <c r="D574" s="24" t="s">
        <v>32</v>
      </c>
      <c r="E574" s="25"/>
      <c r="F574" s="25"/>
      <c r="G574" s="25"/>
      <c r="H574" s="25">
        <v>30</v>
      </c>
      <c r="I574" s="25">
        <v>400</v>
      </c>
      <c r="J574" s="25">
        <v>100</v>
      </c>
      <c r="K574" s="25"/>
      <c r="L574" s="25"/>
      <c r="M574" s="25"/>
      <c r="N574" s="25"/>
      <c r="O574" s="25"/>
      <c r="P574" s="25"/>
      <c r="Q574" s="22">
        <f t="shared" si="8"/>
        <v>530</v>
      </c>
    </row>
    <row r="575" spans="1:17" ht="15.75" customHeight="1">
      <c r="A575" s="19">
        <v>573</v>
      </c>
      <c r="B575" s="20" t="s">
        <v>3339</v>
      </c>
      <c r="C575" s="20" t="s">
        <v>1466</v>
      </c>
      <c r="D575" s="20" t="s">
        <v>22</v>
      </c>
      <c r="E575" s="21"/>
      <c r="F575" s="21"/>
      <c r="G575" s="21"/>
      <c r="H575" s="21"/>
      <c r="I575" s="21">
        <v>50</v>
      </c>
      <c r="J575" s="21"/>
      <c r="K575" s="21"/>
      <c r="L575" s="21"/>
      <c r="M575" s="21"/>
      <c r="N575" s="21"/>
      <c r="O575" s="21"/>
      <c r="P575" s="21"/>
      <c r="Q575" s="22">
        <f t="shared" si="8"/>
        <v>50</v>
      </c>
    </row>
    <row r="576" spans="1:17" ht="15.75" customHeight="1">
      <c r="A576" s="23">
        <v>574</v>
      </c>
      <c r="B576" s="24" t="s">
        <v>3340</v>
      </c>
      <c r="C576" s="24" t="s">
        <v>1466</v>
      </c>
      <c r="D576" s="24" t="s">
        <v>45</v>
      </c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>
        <v>13</v>
      </c>
      <c r="Q576" s="22">
        <f t="shared" si="8"/>
        <v>13</v>
      </c>
    </row>
    <row r="577" spans="1:17" ht="15.75" customHeight="1">
      <c r="A577" s="19">
        <v>575</v>
      </c>
      <c r="B577" s="20" t="s">
        <v>1469</v>
      </c>
      <c r="C577" s="20" t="s">
        <v>1466</v>
      </c>
      <c r="D577" s="20" t="s">
        <v>26</v>
      </c>
      <c r="E577" s="21"/>
      <c r="F577" s="21"/>
      <c r="G577" s="21"/>
      <c r="H577" s="21">
        <v>10</v>
      </c>
      <c r="I577" s="21"/>
      <c r="J577" s="21"/>
      <c r="K577" s="21"/>
      <c r="L577" s="21"/>
      <c r="M577" s="21"/>
      <c r="N577" s="21"/>
      <c r="O577" s="21"/>
      <c r="P577" s="21"/>
      <c r="Q577" s="22">
        <f t="shared" si="8"/>
        <v>10</v>
      </c>
    </row>
    <row r="578" spans="1:17" ht="15.75" customHeight="1">
      <c r="A578" s="23">
        <v>576</v>
      </c>
      <c r="B578" s="24" t="s">
        <v>1482</v>
      </c>
      <c r="C578" s="24" t="s">
        <v>1481</v>
      </c>
      <c r="D578" s="24" t="s">
        <v>32</v>
      </c>
      <c r="E578" s="25"/>
      <c r="F578" s="25"/>
      <c r="G578" s="25">
        <v>20</v>
      </c>
      <c r="H578" s="25"/>
      <c r="I578" s="25"/>
      <c r="J578" s="25"/>
      <c r="K578" s="25"/>
      <c r="L578" s="25"/>
      <c r="M578" s="25">
        <v>2</v>
      </c>
      <c r="N578" s="25"/>
      <c r="O578" s="25"/>
      <c r="P578" s="25"/>
      <c r="Q578" s="22">
        <f t="shared" si="8"/>
        <v>22</v>
      </c>
    </row>
    <row r="579" spans="1:17" ht="15.75" customHeight="1">
      <c r="A579" s="19">
        <v>577</v>
      </c>
      <c r="B579" s="20" t="s">
        <v>1483</v>
      </c>
      <c r="C579" s="20" t="s">
        <v>1481</v>
      </c>
      <c r="D579" s="20" t="s">
        <v>42</v>
      </c>
      <c r="E579" s="21"/>
      <c r="F579" s="21">
        <v>1</v>
      </c>
      <c r="G579" s="21"/>
      <c r="H579" s="21">
        <v>10</v>
      </c>
      <c r="I579" s="21"/>
      <c r="J579" s="21">
        <v>3</v>
      </c>
      <c r="K579" s="21">
        <v>21</v>
      </c>
      <c r="L579" s="21"/>
      <c r="M579" s="21"/>
      <c r="N579" s="21">
        <v>3</v>
      </c>
      <c r="O579" s="21">
        <v>8</v>
      </c>
      <c r="P579" s="21"/>
      <c r="Q579" s="22">
        <f t="shared" ref="Q579:Q642" si="9">SUM(E579:P579)</f>
        <v>46</v>
      </c>
    </row>
    <row r="580" spans="1:17" ht="15.75" customHeight="1">
      <c r="A580" s="23">
        <v>578</v>
      </c>
      <c r="B580" s="24" t="s">
        <v>1485</v>
      </c>
      <c r="C580" s="24" t="s">
        <v>1481</v>
      </c>
      <c r="D580" s="24" t="s">
        <v>45</v>
      </c>
      <c r="E580" s="25"/>
      <c r="F580" s="25"/>
      <c r="G580" s="25"/>
      <c r="H580" s="25"/>
      <c r="I580" s="25"/>
      <c r="J580" s="25">
        <v>9</v>
      </c>
      <c r="K580" s="25">
        <v>2</v>
      </c>
      <c r="L580" s="25"/>
      <c r="M580" s="25"/>
      <c r="N580" s="25"/>
      <c r="O580" s="25">
        <v>6</v>
      </c>
      <c r="P580" s="25"/>
      <c r="Q580" s="22">
        <f t="shared" si="9"/>
        <v>17</v>
      </c>
    </row>
    <row r="581" spans="1:17" ht="15.75" customHeight="1">
      <c r="A581" s="19">
        <v>579</v>
      </c>
      <c r="B581" s="20" t="s">
        <v>1486</v>
      </c>
      <c r="C581" s="20" t="s">
        <v>1481</v>
      </c>
      <c r="D581" s="20" t="s">
        <v>24</v>
      </c>
      <c r="E581" s="21"/>
      <c r="F581" s="21"/>
      <c r="G581" s="21"/>
      <c r="H581" s="21"/>
      <c r="I581" s="21"/>
      <c r="J581" s="21"/>
      <c r="K581" s="21"/>
      <c r="L581" s="21"/>
      <c r="M581" s="21">
        <v>1</v>
      </c>
      <c r="N581" s="21"/>
      <c r="O581" s="21"/>
      <c r="P581" s="21">
        <v>5</v>
      </c>
      <c r="Q581" s="22">
        <f t="shared" si="9"/>
        <v>6</v>
      </c>
    </row>
    <row r="582" spans="1:17" ht="15.75" customHeight="1">
      <c r="A582" s="23">
        <v>580</v>
      </c>
      <c r="B582" s="24" t="s">
        <v>2792</v>
      </c>
      <c r="C582" s="24" t="s">
        <v>1481</v>
      </c>
      <c r="D582" s="24" t="s">
        <v>26</v>
      </c>
      <c r="E582" s="25"/>
      <c r="F582" s="25"/>
      <c r="G582" s="25"/>
      <c r="H582" s="25">
        <v>1</v>
      </c>
      <c r="I582" s="25"/>
      <c r="J582" s="25"/>
      <c r="K582" s="25"/>
      <c r="L582" s="25"/>
      <c r="M582" s="25"/>
      <c r="N582" s="25"/>
      <c r="O582" s="25"/>
      <c r="P582" s="25">
        <v>4</v>
      </c>
      <c r="Q582" s="22">
        <f t="shared" si="9"/>
        <v>5</v>
      </c>
    </row>
    <row r="583" spans="1:17" ht="15.75" customHeight="1">
      <c r="A583" s="19">
        <v>581</v>
      </c>
      <c r="B583" s="20" t="s">
        <v>1488</v>
      </c>
      <c r="C583" s="20" t="s">
        <v>1489</v>
      </c>
      <c r="D583" s="20" t="s">
        <v>259</v>
      </c>
      <c r="E583" s="21"/>
      <c r="F583" s="21"/>
      <c r="G583" s="21"/>
      <c r="H583" s="21"/>
      <c r="I583" s="21"/>
      <c r="J583" s="21"/>
      <c r="K583" s="21"/>
      <c r="L583" s="21">
        <v>2</v>
      </c>
      <c r="M583" s="21"/>
      <c r="N583" s="21"/>
      <c r="O583" s="21"/>
      <c r="P583" s="21"/>
      <c r="Q583" s="22">
        <f t="shared" si="9"/>
        <v>2</v>
      </c>
    </row>
    <row r="584" spans="1:17" ht="15.75" customHeight="1">
      <c r="A584" s="23">
        <v>582</v>
      </c>
      <c r="B584" s="24" t="s">
        <v>2793</v>
      </c>
      <c r="C584" s="24" t="s">
        <v>1493</v>
      </c>
      <c r="D584" s="24" t="s">
        <v>32</v>
      </c>
      <c r="E584" s="25"/>
      <c r="F584" s="25"/>
      <c r="G584" s="25">
        <v>30</v>
      </c>
      <c r="H584" s="25"/>
      <c r="I584" s="25"/>
      <c r="J584" s="25"/>
      <c r="K584" s="25"/>
      <c r="L584" s="25"/>
      <c r="M584" s="25"/>
      <c r="N584" s="25"/>
      <c r="O584" s="25"/>
      <c r="P584" s="25"/>
      <c r="Q584" s="22">
        <f t="shared" si="9"/>
        <v>30</v>
      </c>
    </row>
    <row r="585" spans="1:17" ht="15.75" customHeight="1">
      <c r="A585" s="19">
        <v>583</v>
      </c>
      <c r="B585" s="20" t="s">
        <v>1496</v>
      </c>
      <c r="C585" s="20" t="s">
        <v>1493</v>
      </c>
      <c r="D585" s="20" t="s">
        <v>42</v>
      </c>
      <c r="E585" s="21"/>
      <c r="F585" s="21">
        <v>3</v>
      </c>
      <c r="G585" s="21"/>
      <c r="H585" s="21"/>
      <c r="I585" s="21">
        <v>3</v>
      </c>
      <c r="J585" s="21">
        <v>5</v>
      </c>
      <c r="K585" s="21">
        <v>12</v>
      </c>
      <c r="L585" s="21"/>
      <c r="M585" s="21">
        <v>4</v>
      </c>
      <c r="N585" s="21">
        <v>5</v>
      </c>
      <c r="O585" s="21">
        <v>1</v>
      </c>
      <c r="P585" s="21">
        <v>7</v>
      </c>
      <c r="Q585" s="22">
        <f t="shared" si="9"/>
        <v>40</v>
      </c>
    </row>
    <row r="586" spans="1:17" ht="15.75" customHeight="1">
      <c r="A586" s="23">
        <v>584</v>
      </c>
      <c r="B586" s="24" t="s">
        <v>1497</v>
      </c>
      <c r="C586" s="24" t="s">
        <v>1493</v>
      </c>
      <c r="D586" s="24" t="s">
        <v>22</v>
      </c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>
        <v>10</v>
      </c>
      <c r="Q586" s="22">
        <f t="shared" si="9"/>
        <v>10</v>
      </c>
    </row>
    <row r="587" spans="1:17" ht="15.75" customHeight="1">
      <c r="A587" s="19">
        <v>585</v>
      </c>
      <c r="B587" s="20" t="s">
        <v>1498</v>
      </c>
      <c r="C587" s="20" t="s">
        <v>1493</v>
      </c>
      <c r="D587" s="20" t="s">
        <v>45</v>
      </c>
      <c r="E587" s="21">
        <v>9</v>
      </c>
      <c r="F587" s="21">
        <v>1</v>
      </c>
      <c r="G587" s="21"/>
      <c r="H587" s="21"/>
      <c r="I587" s="21">
        <v>8</v>
      </c>
      <c r="J587" s="21"/>
      <c r="K587" s="21">
        <v>2</v>
      </c>
      <c r="L587" s="21">
        <v>103</v>
      </c>
      <c r="M587" s="21"/>
      <c r="N587" s="21"/>
      <c r="O587" s="21"/>
      <c r="P587" s="21"/>
      <c r="Q587" s="22">
        <f t="shared" si="9"/>
        <v>123</v>
      </c>
    </row>
    <row r="588" spans="1:17" ht="15.75" customHeight="1">
      <c r="A588" s="23">
        <v>586</v>
      </c>
      <c r="B588" s="24" t="s">
        <v>1500</v>
      </c>
      <c r="C588" s="24" t="s">
        <v>1493</v>
      </c>
      <c r="D588" s="24" t="s">
        <v>24</v>
      </c>
      <c r="E588" s="25"/>
      <c r="F588" s="25"/>
      <c r="G588" s="25">
        <v>400</v>
      </c>
      <c r="H588" s="25"/>
      <c r="I588" s="25">
        <v>50</v>
      </c>
      <c r="J588" s="25"/>
      <c r="K588" s="25"/>
      <c r="L588" s="25"/>
      <c r="M588" s="25"/>
      <c r="N588" s="25"/>
      <c r="O588" s="25"/>
      <c r="P588" s="25"/>
      <c r="Q588" s="22">
        <f t="shared" si="9"/>
        <v>450</v>
      </c>
    </row>
    <row r="589" spans="1:17" ht="15.75" customHeight="1">
      <c r="A589" s="19">
        <v>587</v>
      </c>
      <c r="B589" s="20" t="s">
        <v>1501</v>
      </c>
      <c r="C589" s="20" t="s">
        <v>1493</v>
      </c>
      <c r="D589" s="20" t="s">
        <v>26</v>
      </c>
      <c r="E589" s="21"/>
      <c r="F589" s="21"/>
      <c r="G589" s="21">
        <v>2</v>
      </c>
      <c r="H589" s="21"/>
      <c r="I589" s="21"/>
      <c r="J589" s="21"/>
      <c r="K589" s="21"/>
      <c r="L589" s="21">
        <v>1</v>
      </c>
      <c r="M589" s="21"/>
      <c r="N589" s="21"/>
      <c r="O589" s="21"/>
      <c r="P589" s="21">
        <v>10</v>
      </c>
      <c r="Q589" s="22">
        <f t="shared" si="9"/>
        <v>13</v>
      </c>
    </row>
    <row r="590" spans="1:17" ht="15.75" customHeight="1">
      <c r="A590" s="23">
        <v>588</v>
      </c>
      <c r="B590" s="24" t="s">
        <v>3341</v>
      </c>
      <c r="C590" s="24" t="s">
        <v>1504</v>
      </c>
      <c r="D590" s="24" t="s">
        <v>42</v>
      </c>
      <c r="E590" s="25"/>
      <c r="F590" s="25"/>
      <c r="G590" s="25">
        <v>100</v>
      </c>
      <c r="H590" s="25"/>
      <c r="I590" s="25"/>
      <c r="J590" s="25"/>
      <c r="K590" s="25"/>
      <c r="L590" s="25"/>
      <c r="M590" s="25"/>
      <c r="N590" s="25"/>
      <c r="O590" s="25"/>
      <c r="P590" s="25"/>
      <c r="Q590" s="22">
        <f t="shared" si="9"/>
        <v>100</v>
      </c>
    </row>
    <row r="591" spans="1:17" ht="15.75" customHeight="1">
      <c r="A591" s="19">
        <v>589</v>
      </c>
      <c r="B591" s="20" t="s">
        <v>1507</v>
      </c>
      <c r="C591" s="20" t="s">
        <v>1504</v>
      </c>
      <c r="D591" s="20" t="s">
        <v>24</v>
      </c>
      <c r="E591" s="21"/>
      <c r="F591" s="21"/>
      <c r="G591" s="21">
        <v>300</v>
      </c>
      <c r="H591" s="21"/>
      <c r="I591" s="21"/>
      <c r="J591" s="21"/>
      <c r="K591" s="21"/>
      <c r="L591" s="21"/>
      <c r="M591" s="21"/>
      <c r="N591" s="21"/>
      <c r="O591" s="21"/>
      <c r="P591" s="21"/>
      <c r="Q591" s="22">
        <f t="shared" si="9"/>
        <v>300</v>
      </c>
    </row>
    <row r="592" spans="1:17" ht="15.75" customHeight="1">
      <c r="A592" s="23">
        <v>590</v>
      </c>
      <c r="B592" s="24" t="s">
        <v>1511</v>
      </c>
      <c r="C592" s="24" t="s">
        <v>1510</v>
      </c>
      <c r="D592" s="24" t="s">
        <v>32</v>
      </c>
      <c r="E592" s="25"/>
      <c r="F592" s="25">
        <v>4</v>
      </c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2">
        <f t="shared" si="9"/>
        <v>4</v>
      </c>
    </row>
    <row r="593" spans="1:17" ht="15.75" customHeight="1">
      <c r="A593" s="19">
        <v>591</v>
      </c>
      <c r="B593" s="20" t="s">
        <v>3342</v>
      </c>
      <c r="C593" s="20" t="s">
        <v>1466</v>
      </c>
      <c r="D593" s="20" t="s">
        <v>3008</v>
      </c>
      <c r="E593" s="21"/>
      <c r="F593" s="21"/>
      <c r="G593" s="21"/>
      <c r="H593" s="21">
        <v>150</v>
      </c>
      <c r="I593" s="21">
        <v>200</v>
      </c>
      <c r="J593" s="21"/>
      <c r="K593" s="21"/>
      <c r="L593" s="21"/>
      <c r="M593" s="21"/>
      <c r="N593" s="21"/>
      <c r="O593" s="21"/>
      <c r="P593" s="21"/>
      <c r="Q593" s="22">
        <f t="shared" si="9"/>
        <v>350</v>
      </c>
    </row>
    <row r="594" spans="1:17" ht="15.75" customHeight="1">
      <c r="A594" s="23">
        <v>592</v>
      </c>
      <c r="B594" s="24" t="s">
        <v>1514</v>
      </c>
      <c r="C594" s="24" t="s">
        <v>1471</v>
      </c>
      <c r="D594" s="24" t="s">
        <v>1515</v>
      </c>
      <c r="E594" s="25"/>
      <c r="F594" s="25"/>
      <c r="G594" s="25"/>
      <c r="H594" s="25"/>
      <c r="I594" s="25"/>
      <c r="J594" s="25"/>
      <c r="K594" s="25">
        <v>100</v>
      </c>
      <c r="L594" s="25"/>
      <c r="M594" s="25"/>
      <c r="N594" s="25">
        <v>100</v>
      </c>
      <c r="O594" s="25"/>
      <c r="P594" s="25"/>
      <c r="Q594" s="22">
        <f t="shared" si="9"/>
        <v>200</v>
      </c>
    </row>
    <row r="595" spans="1:17" ht="15.75" customHeight="1">
      <c r="A595" s="19">
        <v>593</v>
      </c>
      <c r="B595" s="20" t="s">
        <v>2805</v>
      </c>
      <c r="C595" s="20" t="s">
        <v>869</v>
      </c>
      <c r="D595" s="20" t="s">
        <v>2806</v>
      </c>
      <c r="E595" s="21"/>
      <c r="F595" s="21"/>
      <c r="G595" s="21"/>
      <c r="H595" s="21"/>
      <c r="I595" s="21"/>
      <c r="J595" s="21"/>
      <c r="K595" s="21"/>
      <c r="L595" s="21"/>
      <c r="M595" s="21"/>
      <c r="N595" s="21">
        <v>100</v>
      </c>
      <c r="O595" s="21"/>
      <c r="P595" s="21"/>
      <c r="Q595" s="22">
        <f t="shared" si="9"/>
        <v>100</v>
      </c>
    </row>
    <row r="596" spans="1:17" ht="15.75" customHeight="1">
      <c r="A596" s="23">
        <v>594</v>
      </c>
      <c r="B596" s="24" t="s">
        <v>3343</v>
      </c>
      <c r="C596" s="24" t="s">
        <v>3344</v>
      </c>
      <c r="D596" s="24"/>
      <c r="E596" s="25"/>
      <c r="F596" s="25"/>
      <c r="G596" s="25"/>
      <c r="H596" s="25"/>
      <c r="I596" s="25"/>
      <c r="J596" s="25">
        <v>526</v>
      </c>
      <c r="K596" s="25"/>
      <c r="L596" s="25">
        <v>18</v>
      </c>
      <c r="M596" s="25"/>
      <c r="N596" s="25"/>
      <c r="O596" s="25"/>
      <c r="P596" s="25"/>
      <c r="Q596" s="22">
        <f t="shared" si="9"/>
        <v>544</v>
      </c>
    </row>
    <row r="597" spans="1:17" ht="15.75" customHeight="1">
      <c r="A597" s="19">
        <v>595</v>
      </c>
      <c r="B597" s="20" t="s">
        <v>3345</v>
      </c>
      <c r="C597" s="20" t="s">
        <v>3346</v>
      </c>
      <c r="D597" s="20"/>
      <c r="E597" s="21"/>
      <c r="F597" s="21"/>
      <c r="G597" s="21"/>
      <c r="H597" s="21"/>
      <c r="I597" s="21"/>
      <c r="J597" s="21"/>
      <c r="K597" s="21"/>
      <c r="L597" s="21">
        <v>19</v>
      </c>
      <c r="M597" s="21"/>
      <c r="N597" s="21"/>
      <c r="O597" s="21"/>
      <c r="P597" s="21"/>
      <c r="Q597" s="22">
        <f t="shared" si="9"/>
        <v>19</v>
      </c>
    </row>
    <row r="598" spans="1:17" ht="15.75" customHeight="1">
      <c r="A598" s="23">
        <v>596</v>
      </c>
      <c r="B598" s="24" t="s">
        <v>3347</v>
      </c>
      <c r="C598" s="24" t="s">
        <v>3348</v>
      </c>
      <c r="D598" s="24" t="s">
        <v>3349</v>
      </c>
      <c r="E598" s="25"/>
      <c r="F598" s="25"/>
      <c r="G598" s="25"/>
      <c r="H598" s="25"/>
      <c r="I598" s="25"/>
      <c r="J598" s="25"/>
      <c r="K598" s="25"/>
      <c r="L598" s="25"/>
      <c r="M598" s="25">
        <v>150</v>
      </c>
      <c r="N598" s="25"/>
      <c r="O598" s="25"/>
      <c r="P598" s="25"/>
      <c r="Q598" s="22">
        <f t="shared" si="9"/>
        <v>150</v>
      </c>
    </row>
    <row r="599" spans="1:17" ht="15.75" customHeight="1">
      <c r="A599" s="19">
        <v>597</v>
      </c>
      <c r="B599" s="20" t="s">
        <v>3350</v>
      </c>
      <c r="C599" s="20" t="s">
        <v>3348</v>
      </c>
      <c r="D599" s="20" t="s">
        <v>3351</v>
      </c>
      <c r="E599" s="21"/>
      <c r="F599" s="21"/>
      <c r="G599" s="21"/>
      <c r="H599" s="21"/>
      <c r="I599" s="21"/>
      <c r="J599" s="21"/>
      <c r="K599" s="21"/>
      <c r="L599" s="21"/>
      <c r="M599" s="21">
        <v>200</v>
      </c>
      <c r="N599" s="21"/>
      <c r="O599" s="21"/>
      <c r="P599" s="21"/>
      <c r="Q599" s="22">
        <f t="shared" si="9"/>
        <v>200</v>
      </c>
    </row>
    <row r="600" spans="1:17" ht="15.75" customHeight="1">
      <c r="A600" s="23">
        <v>598</v>
      </c>
      <c r="B600" s="24" t="s">
        <v>3352</v>
      </c>
      <c r="C600" s="24" t="s">
        <v>1460</v>
      </c>
      <c r="D600" s="24" t="s">
        <v>3353</v>
      </c>
      <c r="E600" s="25"/>
      <c r="F600" s="25"/>
      <c r="G600" s="25"/>
      <c r="H600" s="25"/>
      <c r="I600" s="25"/>
      <c r="J600" s="25"/>
      <c r="K600" s="25"/>
      <c r="L600" s="25"/>
      <c r="M600" s="25"/>
      <c r="N600" s="25">
        <v>30</v>
      </c>
      <c r="O600" s="25"/>
      <c r="P600" s="25"/>
      <c r="Q600" s="22">
        <f t="shared" si="9"/>
        <v>30</v>
      </c>
    </row>
    <row r="601" spans="1:17" ht="15.75" customHeight="1">
      <c r="A601" s="19">
        <v>599</v>
      </c>
      <c r="B601" s="20" t="s">
        <v>3354</v>
      </c>
      <c r="C601" s="20" t="s">
        <v>1466</v>
      </c>
      <c r="D601" s="20" t="s">
        <v>3355</v>
      </c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>
        <v>30</v>
      </c>
      <c r="Q601" s="22">
        <f t="shared" si="9"/>
        <v>30</v>
      </c>
    </row>
    <row r="602" spans="1:17" ht="15.75" customHeight="1">
      <c r="A602" s="23">
        <v>600</v>
      </c>
      <c r="B602" s="24" t="s">
        <v>3356</v>
      </c>
      <c r="C602" s="24" t="s">
        <v>3357</v>
      </c>
      <c r="D602" s="24" t="s">
        <v>932</v>
      </c>
      <c r="E602" s="25"/>
      <c r="F602" s="25"/>
      <c r="G602" s="25"/>
      <c r="H602" s="25"/>
      <c r="I602" s="25"/>
      <c r="J602" s="25"/>
      <c r="K602" s="25"/>
      <c r="L602" s="25">
        <v>15</v>
      </c>
      <c r="M602" s="25"/>
      <c r="N602" s="25">
        <v>29</v>
      </c>
      <c r="O602" s="25"/>
      <c r="P602" s="25"/>
      <c r="Q602" s="22">
        <f t="shared" si="9"/>
        <v>44</v>
      </c>
    </row>
    <row r="603" spans="1:17" ht="15.75" customHeight="1">
      <c r="A603" s="19">
        <v>601</v>
      </c>
      <c r="B603" s="20" t="s">
        <v>3358</v>
      </c>
      <c r="C603" s="20" t="s">
        <v>1649</v>
      </c>
      <c r="D603" s="20" t="s">
        <v>3359</v>
      </c>
      <c r="E603" s="21"/>
      <c r="F603" s="21"/>
      <c r="G603" s="21">
        <v>2</v>
      </c>
      <c r="H603" s="21"/>
      <c r="I603" s="21"/>
      <c r="J603" s="21"/>
      <c r="K603" s="21"/>
      <c r="L603" s="21"/>
      <c r="M603" s="21"/>
      <c r="N603" s="21"/>
      <c r="O603" s="21"/>
      <c r="P603" s="21"/>
      <c r="Q603" s="22">
        <f t="shared" si="9"/>
        <v>2</v>
      </c>
    </row>
    <row r="604" spans="1:17" ht="15.75" customHeight="1">
      <c r="A604" s="23">
        <v>602</v>
      </c>
      <c r="B604" s="24" t="s">
        <v>1543</v>
      </c>
      <c r="C604" s="24" t="s">
        <v>1544</v>
      </c>
      <c r="D604" s="24" t="s">
        <v>1545</v>
      </c>
      <c r="E604" s="25"/>
      <c r="F604" s="25"/>
      <c r="G604" s="25"/>
      <c r="H604" s="25"/>
      <c r="I604" s="25"/>
      <c r="J604" s="25"/>
      <c r="K604" s="25"/>
      <c r="L604" s="25">
        <v>10</v>
      </c>
      <c r="M604" s="25"/>
      <c r="N604" s="25"/>
      <c r="O604" s="25"/>
      <c r="P604" s="25"/>
      <c r="Q604" s="22">
        <f t="shared" si="9"/>
        <v>10</v>
      </c>
    </row>
    <row r="605" spans="1:17" ht="15.75" customHeight="1">
      <c r="A605" s="19">
        <v>603</v>
      </c>
      <c r="B605" s="20" t="s">
        <v>2821</v>
      </c>
      <c r="C605" s="20" t="s">
        <v>1544</v>
      </c>
      <c r="D605" s="20" t="s">
        <v>2822</v>
      </c>
      <c r="E605" s="21"/>
      <c r="F605" s="21"/>
      <c r="G605" s="21"/>
      <c r="H605" s="21"/>
      <c r="I605" s="21"/>
      <c r="J605" s="21"/>
      <c r="K605" s="21"/>
      <c r="L605" s="21">
        <v>8</v>
      </c>
      <c r="M605" s="21"/>
      <c r="N605" s="21"/>
      <c r="O605" s="21"/>
      <c r="P605" s="21"/>
      <c r="Q605" s="22">
        <f t="shared" si="9"/>
        <v>8</v>
      </c>
    </row>
    <row r="606" spans="1:17" ht="15.75" customHeight="1">
      <c r="A606" s="23">
        <v>604</v>
      </c>
      <c r="B606" s="24" t="s">
        <v>1548</v>
      </c>
      <c r="C606" s="24" t="s">
        <v>448</v>
      </c>
      <c r="D606" s="24" t="s">
        <v>1549</v>
      </c>
      <c r="E606" s="25"/>
      <c r="F606" s="25"/>
      <c r="G606" s="25"/>
      <c r="H606" s="25"/>
      <c r="I606" s="25"/>
      <c r="J606" s="25"/>
      <c r="K606" s="25">
        <v>30</v>
      </c>
      <c r="L606" s="25">
        <v>10</v>
      </c>
      <c r="M606" s="25"/>
      <c r="N606" s="25"/>
      <c r="O606" s="25"/>
      <c r="P606" s="25">
        <v>10</v>
      </c>
      <c r="Q606" s="22">
        <f t="shared" si="9"/>
        <v>50</v>
      </c>
    </row>
    <row r="607" spans="1:17" ht="15.75" customHeight="1">
      <c r="A607" s="19">
        <v>605</v>
      </c>
      <c r="B607" s="20" t="s">
        <v>1550</v>
      </c>
      <c r="C607" s="20" t="s">
        <v>448</v>
      </c>
      <c r="D607" s="20" t="s">
        <v>1551</v>
      </c>
      <c r="E607" s="21"/>
      <c r="F607" s="21"/>
      <c r="G607" s="21">
        <v>20</v>
      </c>
      <c r="H607" s="21"/>
      <c r="I607" s="21"/>
      <c r="J607" s="21"/>
      <c r="K607" s="21">
        <v>30</v>
      </c>
      <c r="L607" s="21">
        <v>10</v>
      </c>
      <c r="M607" s="21"/>
      <c r="N607" s="21"/>
      <c r="O607" s="21"/>
      <c r="P607" s="21"/>
      <c r="Q607" s="22">
        <f t="shared" si="9"/>
        <v>60</v>
      </c>
    </row>
    <row r="608" spans="1:17" ht="15.75" customHeight="1">
      <c r="A608" s="23">
        <v>606</v>
      </c>
      <c r="B608" s="24" t="s">
        <v>1552</v>
      </c>
      <c r="C608" s="24" t="s">
        <v>448</v>
      </c>
      <c r="D608" s="24" t="s">
        <v>1553</v>
      </c>
      <c r="E608" s="25"/>
      <c r="F608" s="25"/>
      <c r="G608" s="25"/>
      <c r="H608" s="25"/>
      <c r="I608" s="25"/>
      <c r="J608" s="25"/>
      <c r="K608" s="25"/>
      <c r="L608" s="25">
        <v>5</v>
      </c>
      <c r="M608" s="25"/>
      <c r="N608" s="25"/>
      <c r="O608" s="25"/>
      <c r="P608" s="25">
        <v>5</v>
      </c>
      <c r="Q608" s="22">
        <f t="shared" si="9"/>
        <v>10</v>
      </c>
    </row>
    <row r="609" spans="1:17" ht="15.75" customHeight="1">
      <c r="A609" s="19">
        <v>607</v>
      </c>
      <c r="B609" s="20" t="s">
        <v>1554</v>
      </c>
      <c r="C609" s="20" t="s">
        <v>448</v>
      </c>
      <c r="D609" s="20" t="s">
        <v>1555</v>
      </c>
      <c r="E609" s="21"/>
      <c r="F609" s="21"/>
      <c r="G609" s="21"/>
      <c r="H609" s="21"/>
      <c r="I609" s="21"/>
      <c r="J609" s="21"/>
      <c r="K609" s="21"/>
      <c r="L609" s="21">
        <v>10</v>
      </c>
      <c r="M609" s="21"/>
      <c r="N609" s="21"/>
      <c r="O609" s="21"/>
      <c r="P609" s="21"/>
      <c r="Q609" s="22">
        <f t="shared" si="9"/>
        <v>10</v>
      </c>
    </row>
    <row r="610" spans="1:17" ht="15.75" customHeight="1">
      <c r="A610" s="23">
        <v>608</v>
      </c>
      <c r="B610" s="24" t="s">
        <v>2825</v>
      </c>
      <c r="C610" s="24" t="s">
        <v>362</v>
      </c>
      <c r="D610" s="24" t="s">
        <v>2826</v>
      </c>
      <c r="E610" s="25"/>
      <c r="F610" s="25"/>
      <c r="G610" s="25"/>
      <c r="H610" s="25">
        <v>20</v>
      </c>
      <c r="I610" s="25">
        <v>10</v>
      </c>
      <c r="J610" s="25">
        <v>10</v>
      </c>
      <c r="K610" s="25"/>
      <c r="L610" s="25"/>
      <c r="M610" s="25"/>
      <c r="N610" s="25"/>
      <c r="O610" s="25"/>
      <c r="P610" s="25"/>
      <c r="Q610" s="22">
        <f t="shared" si="9"/>
        <v>40</v>
      </c>
    </row>
    <row r="611" spans="1:17" ht="15.75" customHeight="1">
      <c r="A611" s="19">
        <v>609</v>
      </c>
      <c r="B611" s="20" t="s">
        <v>2827</v>
      </c>
      <c r="C611" s="20" t="s">
        <v>206</v>
      </c>
      <c r="D611" s="20" t="s">
        <v>2828</v>
      </c>
      <c r="E611" s="21"/>
      <c r="F611" s="21"/>
      <c r="G611" s="21">
        <v>4</v>
      </c>
      <c r="H611" s="21"/>
      <c r="I611" s="21"/>
      <c r="J611" s="21"/>
      <c r="K611" s="21"/>
      <c r="L611" s="21"/>
      <c r="M611" s="21"/>
      <c r="N611" s="21"/>
      <c r="O611" s="21"/>
      <c r="P611" s="21"/>
      <c r="Q611" s="22">
        <f t="shared" si="9"/>
        <v>4</v>
      </c>
    </row>
    <row r="612" spans="1:17" ht="15.75" customHeight="1">
      <c r="A612" s="23">
        <v>610</v>
      </c>
      <c r="B612" s="24" t="s">
        <v>1558</v>
      </c>
      <c r="C612" s="24" t="s">
        <v>211</v>
      </c>
      <c r="D612" s="24" t="s">
        <v>1559</v>
      </c>
      <c r="E612" s="25"/>
      <c r="F612" s="25">
        <v>20</v>
      </c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2">
        <f t="shared" si="9"/>
        <v>20</v>
      </c>
    </row>
    <row r="613" spans="1:17" ht="15.75" customHeight="1">
      <c r="A613" s="19">
        <v>611</v>
      </c>
      <c r="B613" s="20" t="s">
        <v>1560</v>
      </c>
      <c r="C613" s="20" t="s">
        <v>211</v>
      </c>
      <c r="D613" s="20" t="s">
        <v>1561</v>
      </c>
      <c r="E613" s="21"/>
      <c r="F613" s="21">
        <v>20</v>
      </c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2">
        <f t="shared" si="9"/>
        <v>20</v>
      </c>
    </row>
    <row r="614" spans="1:17" ht="15.75" customHeight="1">
      <c r="A614" s="23">
        <v>612</v>
      </c>
      <c r="B614" s="24" t="s">
        <v>3360</v>
      </c>
      <c r="C614" s="24" t="s">
        <v>180</v>
      </c>
      <c r="D614" s="24" t="s">
        <v>3361</v>
      </c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>
        <v>20</v>
      </c>
      <c r="Q614" s="22">
        <f t="shared" si="9"/>
        <v>20</v>
      </c>
    </row>
    <row r="615" spans="1:17" ht="15.75" customHeight="1">
      <c r="A615" s="19">
        <v>613</v>
      </c>
      <c r="B615" s="20" t="s">
        <v>2831</v>
      </c>
      <c r="C615" s="20" t="s">
        <v>203</v>
      </c>
      <c r="D615" s="20" t="s">
        <v>2832</v>
      </c>
      <c r="E615" s="21"/>
      <c r="F615" s="21"/>
      <c r="G615" s="21"/>
      <c r="H615" s="21"/>
      <c r="I615" s="21"/>
      <c r="J615" s="21"/>
      <c r="K615" s="21"/>
      <c r="L615" s="21"/>
      <c r="M615" s="21"/>
      <c r="N615" s="21">
        <v>30</v>
      </c>
      <c r="O615" s="21"/>
      <c r="P615" s="21"/>
      <c r="Q615" s="22">
        <f t="shared" si="9"/>
        <v>30</v>
      </c>
    </row>
    <row r="616" spans="1:17" ht="15.75" customHeight="1">
      <c r="A616" s="23">
        <v>614</v>
      </c>
      <c r="B616" s="24" t="s">
        <v>2833</v>
      </c>
      <c r="C616" s="24" t="s">
        <v>203</v>
      </c>
      <c r="D616" s="24" t="s">
        <v>2834</v>
      </c>
      <c r="E616" s="25"/>
      <c r="F616" s="25"/>
      <c r="G616" s="25"/>
      <c r="H616" s="25"/>
      <c r="I616" s="25"/>
      <c r="J616" s="25"/>
      <c r="K616" s="25"/>
      <c r="L616" s="25"/>
      <c r="M616" s="25"/>
      <c r="N616" s="25">
        <v>20</v>
      </c>
      <c r="O616" s="25"/>
      <c r="P616" s="25"/>
      <c r="Q616" s="22">
        <f t="shared" si="9"/>
        <v>20</v>
      </c>
    </row>
    <row r="617" spans="1:17" ht="15.75" customHeight="1">
      <c r="A617" s="19">
        <v>615</v>
      </c>
      <c r="B617" s="20" t="s">
        <v>2835</v>
      </c>
      <c r="C617" s="20" t="s">
        <v>203</v>
      </c>
      <c r="D617" s="20" t="s">
        <v>1578</v>
      </c>
      <c r="E617" s="21"/>
      <c r="F617" s="21">
        <v>14</v>
      </c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2">
        <f t="shared" si="9"/>
        <v>14</v>
      </c>
    </row>
    <row r="618" spans="1:17" ht="15.75" customHeight="1">
      <c r="A618" s="23">
        <v>616</v>
      </c>
      <c r="B618" s="24" t="s">
        <v>3362</v>
      </c>
      <c r="C618" s="24" t="s">
        <v>244</v>
      </c>
      <c r="D618" s="24" t="s">
        <v>3363</v>
      </c>
      <c r="E618" s="25"/>
      <c r="F618" s="25"/>
      <c r="G618" s="25"/>
      <c r="H618" s="25"/>
      <c r="I618" s="25"/>
      <c r="J618" s="25"/>
      <c r="K618" s="25">
        <v>10</v>
      </c>
      <c r="L618" s="25"/>
      <c r="M618" s="25"/>
      <c r="N618" s="25"/>
      <c r="O618" s="25"/>
      <c r="P618" s="25"/>
      <c r="Q618" s="22">
        <f t="shared" si="9"/>
        <v>10</v>
      </c>
    </row>
    <row r="619" spans="1:17" ht="15.75" customHeight="1">
      <c r="A619" s="19">
        <v>617</v>
      </c>
      <c r="B619" s="20" t="s">
        <v>3364</v>
      </c>
      <c r="C619" s="20" t="s">
        <v>244</v>
      </c>
      <c r="D619" s="20" t="s">
        <v>3365</v>
      </c>
      <c r="E619" s="21">
        <v>10</v>
      </c>
      <c r="F619" s="21">
        <v>5</v>
      </c>
      <c r="G619" s="21"/>
      <c r="H619" s="21"/>
      <c r="I619" s="21"/>
      <c r="J619" s="21"/>
      <c r="K619" s="21"/>
      <c r="L619" s="21"/>
      <c r="M619" s="21"/>
      <c r="N619" s="21"/>
      <c r="O619" s="21">
        <v>5</v>
      </c>
      <c r="P619" s="21"/>
      <c r="Q619" s="22">
        <f t="shared" si="9"/>
        <v>20</v>
      </c>
    </row>
    <row r="620" spans="1:17" ht="15.75" customHeight="1">
      <c r="A620" s="23">
        <v>618</v>
      </c>
      <c r="B620" s="24" t="s">
        <v>2836</v>
      </c>
      <c r="C620" s="24" t="s">
        <v>194</v>
      </c>
      <c r="D620" s="24" t="s">
        <v>2837</v>
      </c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>
        <v>10</v>
      </c>
      <c r="Q620" s="22">
        <f t="shared" si="9"/>
        <v>10</v>
      </c>
    </row>
    <row r="621" spans="1:17" ht="15.75" customHeight="1">
      <c r="A621" s="19">
        <v>619</v>
      </c>
      <c r="B621" s="20" t="s">
        <v>1569</v>
      </c>
      <c r="C621" s="20" t="s">
        <v>194</v>
      </c>
      <c r="D621" s="20" t="s">
        <v>1570</v>
      </c>
      <c r="E621" s="21"/>
      <c r="F621" s="21"/>
      <c r="G621" s="21"/>
      <c r="H621" s="21"/>
      <c r="I621" s="21"/>
      <c r="J621" s="21"/>
      <c r="K621" s="21"/>
      <c r="L621" s="21">
        <v>1</v>
      </c>
      <c r="M621" s="21"/>
      <c r="N621" s="21"/>
      <c r="O621" s="21"/>
      <c r="P621" s="21"/>
      <c r="Q621" s="22">
        <f t="shared" si="9"/>
        <v>1</v>
      </c>
    </row>
    <row r="622" spans="1:17" ht="15.75" customHeight="1">
      <c r="A622" s="23">
        <v>620</v>
      </c>
      <c r="B622" s="24" t="s">
        <v>3366</v>
      </c>
      <c r="C622" s="24" t="s">
        <v>194</v>
      </c>
      <c r="D622" s="24" t="s">
        <v>3367</v>
      </c>
      <c r="E622" s="25"/>
      <c r="F622" s="25"/>
      <c r="G622" s="25"/>
      <c r="H622" s="25"/>
      <c r="I622" s="25"/>
      <c r="J622" s="25"/>
      <c r="K622" s="25"/>
      <c r="L622" s="25"/>
      <c r="M622" s="25">
        <v>15</v>
      </c>
      <c r="N622" s="25">
        <v>10</v>
      </c>
      <c r="O622" s="25">
        <v>8</v>
      </c>
      <c r="P622" s="25"/>
      <c r="Q622" s="22">
        <f t="shared" si="9"/>
        <v>33</v>
      </c>
    </row>
    <row r="623" spans="1:17" ht="15.75" customHeight="1">
      <c r="A623" s="19">
        <v>621</v>
      </c>
      <c r="B623" s="20" t="s">
        <v>1573</v>
      </c>
      <c r="C623" s="20" t="s">
        <v>253</v>
      </c>
      <c r="D623" s="20" t="s">
        <v>1574</v>
      </c>
      <c r="E623" s="21"/>
      <c r="F623" s="21"/>
      <c r="G623" s="21">
        <v>30</v>
      </c>
      <c r="H623" s="21">
        <v>30</v>
      </c>
      <c r="I623" s="21"/>
      <c r="J623" s="21"/>
      <c r="K623" s="21"/>
      <c r="L623" s="21"/>
      <c r="M623" s="21"/>
      <c r="N623" s="21"/>
      <c r="O623" s="21">
        <v>50</v>
      </c>
      <c r="P623" s="21">
        <v>20</v>
      </c>
      <c r="Q623" s="22">
        <f t="shared" si="9"/>
        <v>130</v>
      </c>
    </row>
    <row r="624" spans="1:17" ht="15.75" customHeight="1">
      <c r="A624" s="23">
        <v>622</v>
      </c>
      <c r="B624" s="24" t="s">
        <v>2838</v>
      </c>
      <c r="C624" s="24" t="s">
        <v>253</v>
      </c>
      <c r="D624" s="24" t="s">
        <v>2839</v>
      </c>
      <c r="E624" s="25"/>
      <c r="F624" s="25">
        <v>10</v>
      </c>
      <c r="G624" s="25"/>
      <c r="H624" s="25"/>
      <c r="I624" s="25">
        <v>40</v>
      </c>
      <c r="J624" s="25">
        <v>10</v>
      </c>
      <c r="K624" s="25">
        <v>50</v>
      </c>
      <c r="L624" s="25"/>
      <c r="M624" s="25"/>
      <c r="N624" s="25"/>
      <c r="O624" s="25">
        <v>10</v>
      </c>
      <c r="P624" s="25"/>
      <c r="Q624" s="22">
        <f t="shared" si="9"/>
        <v>120</v>
      </c>
    </row>
    <row r="625" spans="1:17" ht="15.75" customHeight="1">
      <c r="A625" s="19">
        <v>623</v>
      </c>
      <c r="B625" s="20" t="s">
        <v>1577</v>
      </c>
      <c r="C625" s="20" t="s">
        <v>253</v>
      </c>
      <c r="D625" s="20" t="s">
        <v>1578</v>
      </c>
      <c r="E625" s="21"/>
      <c r="F625" s="21"/>
      <c r="G625" s="21">
        <v>2</v>
      </c>
      <c r="H625" s="21"/>
      <c r="I625" s="21"/>
      <c r="J625" s="21">
        <v>4</v>
      </c>
      <c r="K625" s="21">
        <v>2</v>
      </c>
      <c r="L625" s="21"/>
      <c r="M625" s="21"/>
      <c r="N625" s="21"/>
      <c r="O625" s="21"/>
      <c r="P625" s="21"/>
      <c r="Q625" s="22">
        <f t="shared" si="9"/>
        <v>8</v>
      </c>
    </row>
    <row r="626" spans="1:17" ht="15.75" customHeight="1">
      <c r="A626" s="23">
        <v>624</v>
      </c>
      <c r="B626" s="24" t="s">
        <v>1579</v>
      </c>
      <c r="C626" s="24" t="s">
        <v>1580</v>
      </c>
      <c r="D626" s="24" t="s">
        <v>1581</v>
      </c>
      <c r="E626" s="25"/>
      <c r="F626" s="25"/>
      <c r="G626" s="25"/>
      <c r="H626" s="25"/>
      <c r="I626" s="25"/>
      <c r="J626" s="25"/>
      <c r="K626" s="25"/>
      <c r="L626" s="25"/>
      <c r="M626" s="25">
        <v>10</v>
      </c>
      <c r="N626" s="25"/>
      <c r="O626" s="25"/>
      <c r="P626" s="25"/>
      <c r="Q626" s="22">
        <f t="shared" si="9"/>
        <v>10</v>
      </c>
    </row>
    <row r="627" spans="1:17" ht="15.75" customHeight="1">
      <c r="A627" s="19">
        <v>625</v>
      </c>
      <c r="B627" s="20" t="s">
        <v>1582</v>
      </c>
      <c r="C627" s="20" t="s">
        <v>1580</v>
      </c>
      <c r="D627" s="20" t="s">
        <v>1583</v>
      </c>
      <c r="E627" s="21"/>
      <c r="F627" s="21"/>
      <c r="G627" s="21"/>
      <c r="H627" s="21"/>
      <c r="I627" s="21"/>
      <c r="J627" s="21"/>
      <c r="K627" s="21"/>
      <c r="L627" s="21"/>
      <c r="M627" s="21">
        <v>10</v>
      </c>
      <c r="N627" s="21"/>
      <c r="O627" s="21"/>
      <c r="P627" s="21"/>
      <c r="Q627" s="22">
        <f t="shared" si="9"/>
        <v>10</v>
      </c>
    </row>
    <row r="628" spans="1:17" ht="15.75" customHeight="1">
      <c r="A628" s="23">
        <v>626</v>
      </c>
      <c r="B628" s="24" t="s">
        <v>2840</v>
      </c>
      <c r="C628" s="24" t="s">
        <v>2841</v>
      </c>
      <c r="D628" s="24" t="s">
        <v>2842</v>
      </c>
      <c r="E628" s="25"/>
      <c r="F628" s="25"/>
      <c r="G628" s="25"/>
      <c r="H628" s="25"/>
      <c r="I628" s="25">
        <v>10</v>
      </c>
      <c r="J628" s="25"/>
      <c r="K628" s="25"/>
      <c r="L628" s="25"/>
      <c r="M628" s="25"/>
      <c r="N628" s="25"/>
      <c r="O628" s="25"/>
      <c r="P628" s="25"/>
      <c r="Q628" s="22">
        <f t="shared" si="9"/>
        <v>10</v>
      </c>
    </row>
    <row r="629" spans="1:17" ht="15.75" customHeight="1">
      <c r="A629" s="19">
        <v>627</v>
      </c>
      <c r="B629" s="20" t="s">
        <v>1592</v>
      </c>
      <c r="C629" s="20" t="s">
        <v>263</v>
      </c>
      <c r="D629" s="20" t="s">
        <v>1593</v>
      </c>
      <c r="E629" s="21"/>
      <c r="F629" s="21"/>
      <c r="G629" s="21"/>
      <c r="H629" s="21"/>
      <c r="I629" s="21"/>
      <c r="J629" s="21"/>
      <c r="K629" s="21"/>
      <c r="L629" s="21"/>
      <c r="M629" s="21">
        <v>5</v>
      </c>
      <c r="N629" s="21"/>
      <c r="O629" s="21"/>
      <c r="P629" s="21"/>
      <c r="Q629" s="22">
        <f t="shared" si="9"/>
        <v>5</v>
      </c>
    </row>
    <row r="630" spans="1:17" ht="15.75" customHeight="1">
      <c r="A630" s="23">
        <v>628</v>
      </c>
      <c r="B630" s="24" t="s">
        <v>3368</v>
      </c>
      <c r="C630" s="24" t="s">
        <v>271</v>
      </c>
      <c r="D630" s="24" t="s">
        <v>3369</v>
      </c>
      <c r="E630" s="25"/>
      <c r="F630" s="25"/>
      <c r="G630" s="25"/>
      <c r="H630" s="25"/>
      <c r="I630" s="25">
        <v>10</v>
      </c>
      <c r="J630" s="25"/>
      <c r="K630" s="25"/>
      <c r="L630" s="25"/>
      <c r="M630" s="25"/>
      <c r="N630" s="25"/>
      <c r="O630" s="25"/>
      <c r="P630" s="25"/>
      <c r="Q630" s="22">
        <f t="shared" si="9"/>
        <v>10</v>
      </c>
    </row>
    <row r="631" spans="1:17" ht="15.75" customHeight="1">
      <c r="A631" s="19">
        <v>629</v>
      </c>
      <c r="B631" s="20" t="s">
        <v>3370</v>
      </c>
      <c r="C631" s="20" t="s">
        <v>271</v>
      </c>
      <c r="D631" s="20" t="s">
        <v>3371</v>
      </c>
      <c r="E631" s="21"/>
      <c r="F631" s="21"/>
      <c r="G631" s="21"/>
      <c r="H631" s="21"/>
      <c r="I631" s="21">
        <v>10</v>
      </c>
      <c r="J631" s="21"/>
      <c r="K631" s="21"/>
      <c r="L631" s="21"/>
      <c r="M631" s="21"/>
      <c r="N631" s="21"/>
      <c r="O631" s="21"/>
      <c r="P631" s="21"/>
      <c r="Q631" s="22">
        <f t="shared" si="9"/>
        <v>10</v>
      </c>
    </row>
    <row r="632" spans="1:17" ht="15.75" customHeight="1">
      <c r="A632" s="23">
        <v>630</v>
      </c>
      <c r="B632" s="24" t="s">
        <v>1594</v>
      </c>
      <c r="C632" s="24" t="s">
        <v>278</v>
      </c>
      <c r="D632" s="24" t="s">
        <v>1595</v>
      </c>
      <c r="E632" s="25"/>
      <c r="F632" s="25"/>
      <c r="G632" s="25">
        <v>20</v>
      </c>
      <c r="H632" s="25"/>
      <c r="I632" s="25"/>
      <c r="J632" s="25"/>
      <c r="K632" s="25"/>
      <c r="L632" s="25">
        <v>5</v>
      </c>
      <c r="M632" s="25"/>
      <c r="N632" s="25"/>
      <c r="O632" s="25"/>
      <c r="P632" s="25">
        <v>2</v>
      </c>
      <c r="Q632" s="22">
        <f t="shared" si="9"/>
        <v>27</v>
      </c>
    </row>
    <row r="633" spans="1:17" ht="15.75" customHeight="1">
      <c r="A633" s="19">
        <v>631</v>
      </c>
      <c r="B633" s="20" t="s">
        <v>2851</v>
      </c>
      <c r="C633" s="20" t="s">
        <v>278</v>
      </c>
      <c r="D633" s="20" t="s">
        <v>2852</v>
      </c>
      <c r="E633" s="21"/>
      <c r="F633" s="21"/>
      <c r="G633" s="21"/>
      <c r="H633" s="21">
        <v>5</v>
      </c>
      <c r="I633" s="21"/>
      <c r="J633" s="21"/>
      <c r="K633" s="21"/>
      <c r="L633" s="21"/>
      <c r="M633" s="21"/>
      <c r="N633" s="21"/>
      <c r="O633" s="21"/>
      <c r="P633" s="21"/>
      <c r="Q633" s="22">
        <f t="shared" si="9"/>
        <v>5</v>
      </c>
    </row>
    <row r="634" spans="1:17" ht="15.75" customHeight="1">
      <c r="A634" s="23">
        <v>632</v>
      </c>
      <c r="B634" s="24" t="s">
        <v>1598</v>
      </c>
      <c r="C634" s="24" t="s">
        <v>283</v>
      </c>
      <c r="D634" s="24" t="s">
        <v>1599</v>
      </c>
      <c r="E634" s="25">
        <v>2</v>
      </c>
      <c r="F634" s="25"/>
      <c r="G634" s="25">
        <v>10</v>
      </c>
      <c r="H634" s="25"/>
      <c r="I634" s="25"/>
      <c r="J634" s="25"/>
      <c r="K634" s="25">
        <v>28</v>
      </c>
      <c r="L634" s="25">
        <v>8</v>
      </c>
      <c r="M634" s="25"/>
      <c r="N634" s="25"/>
      <c r="O634" s="25"/>
      <c r="P634" s="25">
        <v>2</v>
      </c>
      <c r="Q634" s="22">
        <f t="shared" si="9"/>
        <v>50</v>
      </c>
    </row>
    <row r="635" spans="1:17" ht="15.75" customHeight="1">
      <c r="A635" s="19">
        <v>633</v>
      </c>
      <c r="B635" s="20" t="s">
        <v>1602</v>
      </c>
      <c r="C635" s="20" t="s">
        <v>294</v>
      </c>
      <c r="D635" s="20" t="s">
        <v>1603</v>
      </c>
      <c r="E635" s="21"/>
      <c r="F635" s="21"/>
      <c r="G635" s="21"/>
      <c r="H635" s="21">
        <v>25</v>
      </c>
      <c r="I635" s="21"/>
      <c r="J635" s="21"/>
      <c r="K635" s="21"/>
      <c r="L635" s="21">
        <v>50</v>
      </c>
      <c r="M635" s="21"/>
      <c r="N635" s="21"/>
      <c r="O635" s="21"/>
      <c r="P635" s="21">
        <v>10</v>
      </c>
      <c r="Q635" s="22">
        <f t="shared" si="9"/>
        <v>85</v>
      </c>
    </row>
    <row r="636" spans="1:17" ht="15.75" customHeight="1">
      <c r="A636" s="23">
        <v>634</v>
      </c>
      <c r="B636" s="24" t="s">
        <v>1604</v>
      </c>
      <c r="C636" s="24" t="s">
        <v>294</v>
      </c>
      <c r="D636" s="24" t="s">
        <v>1605</v>
      </c>
      <c r="E636" s="25"/>
      <c r="F636" s="25"/>
      <c r="G636" s="25">
        <v>70</v>
      </c>
      <c r="H636" s="25"/>
      <c r="I636" s="25">
        <v>10</v>
      </c>
      <c r="J636" s="25">
        <v>20</v>
      </c>
      <c r="K636" s="25"/>
      <c r="L636" s="25"/>
      <c r="M636" s="25"/>
      <c r="N636" s="25"/>
      <c r="O636" s="25"/>
      <c r="P636" s="25">
        <v>10</v>
      </c>
      <c r="Q636" s="22">
        <f t="shared" si="9"/>
        <v>110</v>
      </c>
    </row>
    <row r="637" spans="1:17" ht="15.75" customHeight="1">
      <c r="A637" s="19">
        <v>635</v>
      </c>
      <c r="B637" s="20" t="s">
        <v>1608</v>
      </c>
      <c r="C637" s="20" t="s">
        <v>180</v>
      </c>
      <c r="D637" s="20" t="s">
        <v>1609</v>
      </c>
      <c r="E637" s="21"/>
      <c r="F637" s="21">
        <v>5</v>
      </c>
      <c r="G637" s="21"/>
      <c r="H637" s="21">
        <v>10</v>
      </c>
      <c r="I637" s="21"/>
      <c r="J637" s="21">
        <v>20</v>
      </c>
      <c r="K637" s="21"/>
      <c r="L637" s="21">
        <v>10</v>
      </c>
      <c r="M637" s="21"/>
      <c r="N637" s="21"/>
      <c r="O637" s="21">
        <v>6</v>
      </c>
      <c r="P637" s="21">
        <v>8</v>
      </c>
      <c r="Q637" s="22">
        <f t="shared" si="9"/>
        <v>59</v>
      </c>
    </row>
    <row r="638" spans="1:17" ht="15.75" customHeight="1">
      <c r="A638" s="23">
        <v>636</v>
      </c>
      <c r="B638" s="24" t="s">
        <v>1610</v>
      </c>
      <c r="C638" s="24" t="s">
        <v>180</v>
      </c>
      <c r="D638" s="24" t="s">
        <v>1611</v>
      </c>
      <c r="E638" s="25"/>
      <c r="F638" s="25"/>
      <c r="G638" s="25">
        <v>6</v>
      </c>
      <c r="H638" s="25"/>
      <c r="I638" s="25">
        <v>10</v>
      </c>
      <c r="J638" s="25"/>
      <c r="K638" s="25"/>
      <c r="L638" s="25"/>
      <c r="M638" s="25"/>
      <c r="N638" s="25">
        <v>10</v>
      </c>
      <c r="O638" s="25">
        <v>7</v>
      </c>
      <c r="P638" s="25"/>
      <c r="Q638" s="22">
        <f t="shared" si="9"/>
        <v>33</v>
      </c>
    </row>
    <row r="639" spans="1:17" ht="15.75" customHeight="1">
      <c r="A639" s="19">
        <v>637</v>
      </c>
      <c r="B639" s="20" t="s">
        <v>1612</v>
      </c>
      <c r="C639" s="20" t="s">
        <v>180</v>
      </c>
      <c r="D639" s="20" t="s">
        <v>1613</v>
      </c>
      <c r="E639" s="21"/>
      <c r="F639" s="21"/>
      <c r="G639" s="21"/>
      <c r="H639" s="21">
        <v>10</v>
      </c>
      <c r="I639" s="21"/>
      <c r="J639" s="21"/>
      <c r="K639" s="21"/>
      <c r="L639" s="21"/>
      <c r="M639" s="21">
        <v>10</v>
      </c>
      <c r="N639" s="21"/>
      <c r="O639" s="21"/>
      <c r="P639" s="21"/>
      <c r="Q639" s="22">
        <f t="shared" si="9"/>
        <v>20</v>
      </c>
    </row>
    <row r="640" spans="1:17" ht="15.75" customHeight="1">
      <c r="A640" s="23">
        <v>638</v>
      </c>
      <c r="B640" s="24" t="s">
        <v>1614</v>
      </c>
      <c r="C640" s="24" t="s">
        <v>194</v>
      </c>
      <c r="D640" s="24" t="s">
        <v>1615</v>
      </c>
      <c r="E640" s="25"/>
      <c r="F640" s="25"/>
      <c r="G640" s="25"/>
      <c r="H640" s="25"/>
      <c r="I640" s="25"/>
      <c r="J640" s="25"/>
      <c r="K640" s="25"/>
      <c r="L640" s="25">
        <v>7</v>
      </c>
      <c r="M640" s="25">
        <v>24</v>
      </c>
      <c r="N640" s="25"/>
      <c r="O640" s="25"/>
      <c r="P640" s="25">
        <v>15</v>
      </c>
      <c r="Q640" s="22">
        <f t="shared" si="9"/>
        <v>46</v>
      </c>
    </row>
    <row r="641" spans="1:17" ht="15.75" customHeight="1">
      <c r="A641" s="19">
        <v>639</v>
      </c>
      <c r="B641" s="20" t="s">
        <v>1616</v>
      </c>
      <c r="C641" s="20" t="s">
        <v>194</v>
      </c>
      <c r="D641" s="20" t="s">
        <v>1617</v>
      </c>
      <c r="E641" s="21"/>
      <c r="F641" s="21"/>
      <c r="G641" s="21"/>
      <c r="H641" s="21"/>
      <c r="I641" s="21"/>
      <c r="J641" s="21"/>
      <c r="K641" s="21">
        <v>4</v>
      </c>
      <c r="L641" s="21"/>
      <c r="M641" s="21">
        <v>15</v>
      </c>
      <c r="N641" s="21"/>
      <c r="O641" s="21">
        <v>8</v>
      </c>
      <c r="P641" s="21">
        <v>5</v>
      </c>
      <c r="Q641" s="22">
        <f t="shared" si="9"/>
        <v>32</v>
      </c>
    </row>
    <row r="642" spans="1:17" ht="15.75" customHeight="1">
      <c r="A642" s="23">
        <v>640</v>
      </c>
      <c r="B642" s="24" t="s">
        <v>1618</v>
      </c>
      <c r="C642" s="24" t="s">
        <v>194</v>
      </c>
      <c r="D642" s="24" t="s">
        <v>1619</v>
      </c>
      <c r="E642" s="25"/>
      <c r="F642" s="25"/>
      <c r="G642" s="25"/>
      <c r="H642" s="25"/>
      <c r="I642" s="25"/>
      <c r="J642" s="25"/>
      <c r="K642" s="25"/>
      <c r="L642" s="25"/>
      <c r="M642" s="25">
        <v>15</v>
      </c>
      <c r="N642" s="25"/>
      <c r="O642" s="25">
        <v>20</v>
      </c>
      <c r="P642" s="25"/>
      <c r="Q642" s="22">
        <f t="shared" si="9"/>
        <v>35</v>
      </c>
    </row>
    <row r="643" spans="1:17" ht="15.75" customHeight="1">
      <c r="A643" s="19">
        <v>641</v>
      </c>
      <c r="B643" s="20" t="s">
        <v>1620</v>
      </c>
      <c r="C643" s="20" t="s">
        <v>194</v>
      </c>
      <c r="D643" s="20" t="s">
        <v>1621</v>
      </c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>
        <v>10</v>
      </c>
      <c r="P643" s="21">
        <v>10</v>
      </c>
      <c r="Q643" s="22">
        <f t="shared" ref="Q643:Q706" si="10">SUM(E643:P643)</f>
        <v>20</v>
      </c>
    </row>
    <row r="644" spans="1:17" ht="15.75" customHeight="1">
      <c r="A644" s="23">
        <v>642</v>
      </c>
      <c r="B644" s="24" t="s">
        <v>1626</v>
      </c>
      <c r="C644" s="24" t="s">
        <v>180</v>
      </c>
      <c r="D644" s="24" t="s">
        <v>1627</v>
      </c>
      <c r="E644" s="25"/>
      <c r="F644" s="25"/>
      <c r="G644" s="25"/>
      <c r="H644" s="25">
        <v>8</v>
      </c>
      <c r="I644" s="25"/>
      <c r="J644" s="25"/>
      <c r="K644" s="25"/>
      <c r="L644" s="25"/>
      <c r="M644" s="25">
        <v>10</v>
      </c>
      <c r="N644" s="25"/>
      <c r="O644" s="25"/>
      <c r="P644" s="25"/>
      <c r="Q644" s="22">
        <f t="shared" si="10"/>
        <v>18</v>
      </c>
    </row>
    <row r="645" spans="1:17" ht="15.75" customHeight="1">
      <c r="A645" s="19">
        <v>643</v>
      </c>
      <c r="B645" s="20" t="s">
        <v>1628</v>
      </c>
      <c r="C645" s="20" t="s">
        <v>180</v>
      </c>
      <c r="D645" s="20" t="s">
        <v>1629</v>
      </c>
      <c r="E645" s="21"/>
      <c r="F645" s="21">
        <v>118</v>
      </c>
      <c r="G645" s="21">
        <v>112</v>
      </c>
      <c r="H645" s="21">
        <v>98</v>
      </c>
      <c r="I645" s="21">
        <v>10</v>
      </c>
      <c r="J645" s="21">
        <v>36</v>
      </c>
      <c r="K645" s="21">
        <v>45</v>
      </c>
      <c r="L645" s="21">
        <v>65</v>
      </c>
      <c r="M645" s="21">
        <v>340</v>
      </c>
      <c r="N645" s="21">
        <v>262</v>
      </c>
      <c r="O645" s="21">
        <v>108</v>
      </c>
      <c r="P645" s="21">
        <v>110</v>
      </c>
      <c r="Q645" s="22">
        <f t="shared" si="10"/>
        <v>1304</v>
      </c>
    </row>
    <row r="646" spans="1:17" ht="15.75" customHeight="1">
      <c r="A646" s="23">
        <v>644</v>
      </c>
      <c r="B646" s="24" t="s">
        <v>1630</v>
      </c>
      <c r="C646" s="24" t="s">
        <v>180</v>
      </c>
      <c r="D646" s="24" t="s">
        <v>1629</v>
      </c>
      <c r="E646" s="25"/>
      <c r="F646" s="25">
        <v>10</v>
      </c>
      <c r="G646" s="25"/>
      <c r="H646" s="25">
        <v>10</v>
      </c>
      <c r="I646" s="25"/>
      <c r="J646" s="25"/>
      <c r="K646" s="25"/>
      <c r="L646" s="25"/>
      <c r="M646" s="25"/>
      <c r="N646" s="25"/>
      <c r="O646" s="25"/>
      <c r="P646" s="25"/>
      <c r="Q646" s="22">
        <f t="shared" si="10"/>
        <v>20</v>
      </c>
    </row>
    <row r="647" spans="1:17" ht="15.75" customHeight="1">
      <c r="A647" s="19">
        <v>645</v>
      </c>
      <c r="B647" s="20" t="s">
        <v>1631</v>
      </c>
      <c r="C647" s="20" t="s">
        <v>180</v>
      </c>
      <c r="D647" s="20" t="s">
        <v>1632</v>
      </c>
      <c r="E647" s="21">
        <v>5</v>
      </c>
      <c r="F647" s="21">
        <v>156</v>
      </c>
      <c r="G647" s="21">
        <v>45</v>
      </c>
      <c r="H647" s="21">
        <v>84</v>
      </c>
      <c r="I647" s="21">
        <v>30</v>
      </c>
      <c r="J647" s="21">
        <v>30</v>
      </c>
      <c r="K647" s="21">
        <v>18</v>
      </c>
      <c r="L647" s="21">
        <v>115</v>
      </c>
      <c r="M647" s="21">
        <v>133</v>
      </c>
      <c r="N647" s="21">
        <v>75</v>
      </c>
      <c r="O647" s="21">
        <v>44</v>
      </c>
      <c r="P647" s="21">
        <v>75</v>
      </c>
      <c r="Q647" s="22">
        <f t="shared" si="10"/>
        <v>810</v>
      </c>
    </row>
    <row r="648" spans="1:17" ht="15.75" customHeight="1">
      <c r="A648" s="23">
        <v>646</v>
      </c>
      <c r="B648" s="24" t="s">
        <v>1633</v>
      </c>
      <c r="C648" s="24" t="s">
        <v>180</v>
      </c>
      <c r="D648" s="24" t="s">
        <v>1634</v>
      </c>
      <c r="E648" s="25">
        <v>5</v>
      </c>
      <c r="F648" s="25">
        <v>55</v>
      </c>
      <c r="G648" s="25">
        <v>20</v>
      </c>
      <c r="H648" s="25">
        <v>48</v>
      </c>
      <c r="I648" s="25">
        <v>4</v>
      </c>
      <c r="J648" s="25">
        <v>30</v>
      </c>
      <c r="K648" s="25">
        <v>10</v>
      </c>
      <c r="L648" s="25">
        <v>50</v>
      </c>
      <c r="M648" s="25">
        <v>31</v>
      </c>
      <c r="N648" s="25">
        <v>20</v>
      </c>
      <c r="O648" s="25">
        <v>24</v>
      </c>
      <c r="P648" s="25">
        <v>20</v>
      </c>
      <c r="Q648" s="22">
        <f t="shared" si="10"/>
        <v>317</v>
      </c>
    </row>
    <row r="649" spans="1:17" ht="15.75" customHeight="1">
      <c r="A649" s="19">
        <v>647</v>
      </c>
      <c r="B649" s="20" t="s">
        <v>1635</v>
      </c>
      <c r="C649" s="20" t="s">
        <v>180</v>
      </c>
      <c r="D649" s="20" t="s">
        <v>1636</v>
      </c>
      <c r="E649" s="21"/>
      <c r="F649" s="21">
        <v>15</v>
      </c>
      <c r="G649" s="21"/>
      <c r="H649" s="21"/>
      <c r="I649" s="21"/>
      <c r="J649" s="21">
        <v>22</v>
      </c>
      <c r="K649" s="21">
        <v>1</v>
      </c>
      <c r="L649" s="21">
        <v>89</v>
      </c>
      <c r="M649" s="21">
        <v>63</v>
      </c>
      <c r="N649" s="21"/>
      <c r="O649" s="21">
        <v>6</v>
      </c>
      <c r="P649" s="21">
        <v>30</v>
      </c>
      <c r="Q649" s="22">
        <f t="shared" si="10"/>
        <v>226</v>
      </c>
    </row>
    <row r="650" spans="1:17" ht="15.75" customHeight="1">
      <c r="A650" s="23">
        <v>648</v>
      </c>
      <c r="B650" s="24" t="s">
        <v>1637</v>
      </c>
      <c r="C650" s="24" t="s">
        <v>180</v>
      </c>
      <c r="D650" s="24" t="s">
        <v>1638</v>
      </c>
      <c r="E650" s="25">
        <v>50</v>
      </c>
      <c r="F650" s="25"/>
      <c r="G650" s="25">
        <v>30</v>
      </c>
      <c r="H650" s="25">
        <v>10</v>
      </c>
      <c r="I650" s="25">
        <v>22</v>
      </c>
      <c r="J650" s="25"/>
      <c r="K650" s="25"/>
      <c r="L650" s="25">
        <v>30</v>
      </c>
      <c r="M650" s="25">
        <v>28</v>
      </c>
      <c r="N650" s="25">
        <v>40</v>
      </c>
      <c r="O650" s="25">
        <v>47</v>
      </c>
      <c r="P650" s="25">
        <v>50</v>
      </c>
      <c r="Q650" s="22">
        <f t="shared" si="10"/>
        <v>307</v>
      </c>
    </row>
    <row r="651" spans="1:17" ht="15.75" customHeight="1">
      <c r="A651" s="19">
        <v>649</v>
      </c>
      <c r="B651" s="20" t="s">
        <v>1639</v>
      </c>
      <c r="C651" s="20" t="s">
        <v>180</v>
      </c>
      <c r="D651" s="20" t="s">
        <v>1640</v>
      </c>
      <c r="E651" s="21"/>
      <c r="F651" s="21">
        <v>4</v>
      </c>
      <c r="G651" s="21">
        <v>1</v>
      </c>
      <c r="H651" s="21">
        <v>20</v>
      </c>
      <c r="I651" s="21">
        <v>10</v>
      </c>
      <c r="J651" s="21">
        <v>10</v>
      </c>
      <c r="K651" s="21">
        <v>40</v>
      </c>
      <c r="L651" s="21">
        <v>72</v>
      </c>
      <c r="M651" s="21">
        <v>30</v>
      </c>
      <c r="N651" s="21">
        <v>10</v>
      </c>
      <c r="O651" s="21">
        <v>40</v>
      </c>
      <c r="P651" s="21"/>
      <c r="Q651" s="22">
        <f t="shared" si="10"/>
        <v>237</v>
      </c>
    </row>
    <row r="652" spans="1:17" ht="15.75" customHeight="1">
      <c r="A652" s="23">
        <v>650</v>
      </c>
      <c r="B652" s="24" t="s">
        <v>1641</v>
      </c>
      <c r="C652" s="24" t="s">
        <v>169</v>
      </c>
      <c r="D652" s="24" t="s">
        <v>20</v>
      </c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>
        <v>30</v>
      </c>
      <c r="P652" s="25">
        <v>10</v>
      </c>
      <c r="Q652" s="22">
        <f t="shared" si="10"/>
        <v>40</v>
      </c>
    </row>
    <row r="653" spans="1:17" ht="15.75" customHeight="1">
      <c r="A653" s="19">
        <v>651</v>
      </c>
      <c r="B653" s="20" t="s">
        <v>1642</v>
      </c>
      <c r="C653" s="20" t="s">
        <v>169</v>
      </c>
      <c r="D653" s="20" t="s">
        <v>32</v>
      </c>
      <c r="E653" s="21"/>
      <c r="F653" s="21"/>
      <c r="G653" s="21"/>
      <c r="H653" s="21">
        <v>5</v>
      </c>
      <c r="I653" s="21"/>
      <c r="J653" s="21"/>
      <c r="K653" s="21">
        <v>5</v>
      </c>
      <c r="L653" s="21">
        <v>10</v>
      </c>
      <c r="M653" s="21"/>
      <c r="N653" s="21"/>
      <c r="O653" s="21">
        <v>9</v>
      </c>
      <c r="P653" s="21"/>
      <c r="Q653" s="22">
        <f t="shared" si="10"/>
        <v>29</v>
      </c>
    </row>
    <row r="654" spans="1:17" ht="15.75" customHeight="1">
      <c r="A654" s="23">
        <v>652</v>
      </c>
      <c r="B654" s="24" t="s">
        <v>1643</v>
      </c>
      <c r="C654" s="24" t="s">
        <v>169</v>
      </c>
      <c r="D654" s="24" t="s">
        <v>22</v>
      </c>
      <c r="E654" s="25"/>
      <c r="F654" s="25"/>
      <c r="G654" s="25"/>
      <c r="H654" s="25"/>
      <c r="I654" s="25"/>
      <c r="J654" s="25"/>
      <c r="K654" s="25"/>
      <c r="L654" s="25">
        <v>10</v>
      </c>
      <c r="M654" s="25"/>
      <c r="N654" s="25"/>
      <c r="O654" s="25">
        <v>15</v>
      </c>
      <c r="P654" s="25"/>
      <c r="Q654" s="22">
        <f t="shared" si="10"/>
        <v>25</v>
      </c>
    </row>
    <row r="655" spans="1:17" ht="15.75" customHeight="1">
      <c r="A655" s="19">
        <v>653</v>
      </c>
      <c r="B655" s="20" t="s">
        <v>1644</v>
      </c>
      <c r="C655" s="20" t="s">
        <v>169</v>
      </c>
      <c r="D655" s="20" t="s">
        <v>121</v>
      </c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>
        <v>5</v>
      </c>
      <c r="Q655" s="22">
        <f t="shared" si="10"/>
        <v>5</v>
      </c>
    </row>
    <row r="656" spans="1:17" ht="15.75" customHeight="1">
      <c r="A656" s="23">
        <v>654</v>
      </c>
      <c r="B656" s="24" t="s">
        <v>1645</v>
      </c>
      <c r="C656" s="24" t="s">
        <v>169</v>
      </c>
      <c r="D656" s="24" t="s">
        <v>26</v>
      </c>
      <c r="E656" s="25"/>
      <c r="F656" s="25"/>
      <c r="G656" s="25"/>
      <c r="H656" s="25"/>
      <c r="I656" s="25"/>
      <c r="J656" s="25">
        <v>16</v>
      </c>
      <c r="K656" s="25"/>
      <c r="L656" s="25">
        <v>123</v>
      </c>
      <c r="M656" s="25">
        <v>30</v>
      </c>
      <c r="N656" s="25"/>
      <c r="O656" s="25"/>
      <c r="P656" s="25"/>
      <c r="Q656" s="22">
        <f t="shared" si="10"/>
        <v>169</v>
      </c>
    </row>
    <row r="657" spans="1:17" ht="15.75" customHeight="1">
      <c r="A657" s="19">
        <v>655</v>
      </c>
      <c r="B657" s="20" t="s">
        <v>2857</v>
      </c>
      <c r="C657" s="20" t="s">
        <v>203</v>
      </c>
      <c r="D657" s="20" t="s">
        <v>374</v>
      </c>
      <c r="E657" s="21"/>
      <c r="F657" s="21"/>
      <c r="G657" s="21"/>
      <c r="H657" s="21">
        <v>20</v>
      </c>
      <c r="I657" s="21"/>
      <c r="J657" s="21"/>
      <c r="K657" s="21"/>
      <c r="L657" s="21"/>
      <c r="M657" s="21"/>
      <c r="N657" s="21"/>
      <c r="O657" s="21"/>
      <c r="P657" s="21"/>
      <c r="Q657" s="22">
        <f t="shared" si="10"/>
        <v>20</v>
      </c>
    </row>
    <row r="658" spans="1:17" ht="15.75" customHeight="1">
      <c r="A658" s="23">
        <v>656</v>
      </c>
      <c r="B658" s="24" t="s">
        <v>1648</v>
      </c>
      <c r="C658" s="24" t="s">
        <v>1649</v>
      </c>
      <c r="D658" s="24" t="s">
        <v>1650</v>
      </c>
      <c r="E658" s="25"/>
      <c r="F658" s="25"/>
      <c r="G658" s="25">
        <v>15</v>
      </c>
      <c r="H658" s="25">
        <v>4</v>
      </c>
      <c r="I658" s="25"/>
      <c r="J658" s="25"/>
      <c r="K658" s="25"/>
      <c r="L658" s="25">
        <v>10</v>
      </c>
      <c r="M658" s="25"/>
      <c r="N658" s="25"/>
      <c r="O658" s="25">
        <v>10</v>
      </c>
      <c r="P658" s="25">
        <v>4</v>
      </c>
      <c r="Q658" s="22">
        <f t="shared" si="10"/>
        <v>43</v>
      </c>
    </row>
    <row r="659" spans="1:17" ht="15.75" customHeight="1">
      <c r="A659" s="19">
        <v>657</v>
      </c>
      <c r="B659" s="20" t="s">
        <v>1651</v>
      </c>
      <c r="C659" s="20" t="s">
        <v>1649</v>
      </c>
      <c r="D659" s="20" t="s">
        <v>1652</v>
      </c>
      <c r="E659" s="21"/>
      <c r="F659" s="21"/>
      <c r="G659" s="21">
        <v>10</v>
      </c>
      <c r="H659" s="21">
        <v>4</v>
      </c>
      <c r="I659" s="21"/>
      <c r="J659" s="21"/>
      <c r="K659" s="21"/>
      <c r="L659" s="21"/>
      <c r="M659" s="21"/>
      <c r="N659" s="21"/>
      <c r="O659" s="21">
        <v>5</v>
      </c>
      <c r="P659" s="21">
        <v>20</v>
      </c>
      <c r="Q659" s="22">
        <f t="shared" si="10"/>
        <v>39</v>
      </c>
    </row>
    <row r="660" spans="1:17" ht="15.75" customHeight="1">
      <c r="A660" s="23">
        <v>658</v>
      </c>
      <c r="B660" s="24" t="s">
        <v>1653</v>
      </c>
      <c r="C660" s="24" t="s">
        <v>1649</v>
      </c>
      <c r="D660" s="24" t="s">
        <v>1654</v>
      </c>
      <c r="E660" s="25"/>
      <c r="F660" s="25"/>
      <c r="G660" s="25"/>
      <c r="H660" s="25"/>
      <c r="I660" s="25"/>
      <c r="J660" s="25">
        <v>20</v>
      </c>
      <c r="K660" s="25"/>
      <c r="L660" s="25"/>
      <c r="M660" s="25">
        <v>5</v>
      </c>
      <c r="N660" s="25"/>
      <c r="O660" s="25"/>
      <c r="P660" s="25">
        <v>20</v>
      </c>
      <c r="Q660" s="22">
        <f t="shared" si="10"/>
        <v>45</v>
      </c>
    </row>
    <row r="661" spans="1:17" ht="15.75" customHeight="1">
      <c r="A661" s="19">
        <v>659</v>
      </c>
      <c r="B661" s="20" t="s">
        <v>1659</v>
      </c>
      <c r="C661" s="20" t="s">
        <v>1649</v>
      </c>
      <c r="D661" s="20" t="s">
        <v>1660</v>
      </c>
      <c r="E661" s="21"/>
      <c r="F661" s="21"/>
      <c r="G661" s="21">
        <v>5</v>
      </c>
      <c r="H661" s="21"/>
      <c r="I661" s="21"/>
      <c r="J661" s="21"/>
      <c r="K661" s="21"/>
      <c r="L661" s="21"/>
      <c r="M661" s="21"/>
      <c r="N661" s="21"/>
      <c r="O661" s="21"/>
      <c r="P661" s="21">
        <v>4</v>
      </c>
      <c r="Q661" s="22">
        <f t="shared" si="10"/>
        <v>9</v>
      </c>
    </row>
    <row r="662" spans="1:17" ht="15.75" customHeight="1">
      <c r="A662" s="23">
        <v>660</v>
      </c>
      <c r="B662" s="24" t="s">
        <v>1661</v>
      </c>
      <c r="C662" s="24" t="s">
        <v>448</v>
      </c>
      <c r="D662" s="24" t="s">
        <v>1662</v>
      </c>
      <c r="E662" s="25"/>
      <c r="F662" s="25">
        <v>10</v>
      </c>
      <c r="G662" s="25"/>
      <c r="H662" s="25"/>
      <c r="I662" s="25"/>
      <c r="J662" s="25"/>
      <c r="K662" s="25"/>
      <c r="L662" s="25"/>
      <c r="M662" s="25"/>
      <c r="N662" s="25"/>
      <c r="O662" s="25"/>
      <c r="P662" s="25">
        <v>10</v>
      </c>
      <c r="Q662" s="22">
        <f t="shared" si="10"/>
        <v>20</v>
      </c>
    </row>
    <row r="663" spans="1:17" ht="15.75" customHeight="1">
      <c r="A663" s="19">
        <v>661</v>
      </c>
      <c r="B663" s="20" t="s">
        <v>1663</v>
      </c>
      <c r="C663" s="20" t="s">
        <v>448</v>
      </c>
      <c r="D663" s="20" t="s">
        <v>1664</v>
      </c>
      <c r="E663" s="21"/>
      <c r="F663" s="21">
        <v>10</v>
      </c>
      <c r="G663" s="21"/>
      <c r="H663" s="21"/>
      <c r="I663" s="21"/>
      <c r="J663" s="21"/>
      <c r="K663" s="21">
        <v>30</v>
      </c>
      <c r="L663" s="21">
        <v>10</v>
      </c>
      <c r="M663" s="21"/>
      <c r="N663" s="21"/>
      <c r="O663" s="21"/>
      <c r="P663" s="21"/>
      <c r="Q663" s="22">
        <f t="shared" si="10"/>
        <v>50</v>
      </c>
    </row>
    <row r="664" spans="1:17" ht="15.75" customHeight="1">
      <c r="A664" s="23">
        <v>662</v>
      </c>
      <c r="B664" s="24" t="s">
        <v>1665</v>
      </c>
      <c r="C664" s="24" t="s">
        <v>206</v>
      </c>
      <c r="D664" s="24" t="s">
        <v>1666</v>
      </c>
      <c r="E664" s="25"/>
      <c r="F664" s="25">
        <v>260</v>
      </c>
      <c r="G664" s="25">
        <v>100</v>
      </c>
      <c r="H664" s="25">
        <v>165</v>
      </c>
      <c r="I664" s="25">
        <v>50</v>
      </c>
      <c r="J664" s="25">
        <v>40</v>
      </c>
      <c r="K664" s="25">
        <v>56</v>
      </c>
      <c r="L664" s="25">
        <v>50</v>
      </c>
      <c r="M664" s="25">
        <v>78</v>
      </c>
      <c r="N664" s="25">
        <v>115</v>
      </c>
      <c r="O664" s="25">
        <v>60</v>
      </c>
      <c r="P664" s="25">
        <v>79</v>
      </c>
      <c r="Q664" s="22">
        <f t="shared" si="10"/>
        <v>1053</v>
      </c>
    </row>
    <row r="665" spans="1:17" ht="15.75" customHeight="1">
      <c r="A665" s="19">
        <v>663</v>
      </c>
      <c r="B665" s="20" t="s">
        <v>1669</v>
      </c>
      <c r="C665" s="20" t="s">
        <v>206</v>
      </c>
      <c r="D665" s="20" t="s">
        <v>1670</v>
      </c>
      <c r="E665" s="21">
        <v>64</v>
      </c>
      <c r="F665" s="21">
        <v>593</v>
      </c>
      <c r="G665" s="21">
        <v>76</v>
      </c>
      <c r="H665" s="21">
        <v>220</v>
      </c>
      <c r="I665" s="21">
        <v>100</v>
      </c>
      <c r="J665" s="21">
        <v>160</v>
      </c>
      <c r="K665" s="21">
        <v>60</v>
      </c>
      <c r="L665" s="21">
        <v>115</v>
      </c>
      <c r="M665" s="21">
        <v>126</v>
      </c>
      <c r="N665" s="21">
        <v>150</v>
      </c>
      <c r="O665" s="21">
        <v>115</v>
      </c>
      <c r="P665" s="21">
        <v>115</v>
      </c>
      <c r="Q665" s="22">
        <f t="shared" si="10"/>
        <v>1894</v>
      </c>
    </row>
    <row r="666" spans="1:17" ht="15.75" customHeight="1">
      <c r="A666" s="23">
        <v>664</v>
      </c>
      <c r="B666" s="24" t="s">
        <v>1671</v>
      </c>
      <c r="C666" s="24" t="s">
        <v>206</v>
      </c>
      <c r="D666" s="24" t="s">
        <v>1672</v>
      </c>
      <c r="E666" s="25">
        <v>18</v>
      </c>
      <c r="F666" s="25">
        <v>205</v>
      </c>
      <c r="G666" s="25">
        <v>62</v>
      </c>
      <c r="H666" s="25">
        <v>186</v>
      </c>
      <c r="I666" s="25">
        <v>80</v>
      </c>
      <c r="J666" s="25">
        <v>90</v>
      </c>
      <c r="K666" s="25"/>
      <c r="L666" s="25">
        <v>50</v>
      </c>
      <c r="M666" s="25">
        <v>95</v>
      </c>
      <c r="N666" s="25">
        <v>70</v>
      </c>
      <c r="O666" s="25">
        <v>87</v>
      </c>
      <c r="P666" s="25">
        <v>80</v>
      </c>
      <c r="Q666" s="22">
        <f t="shared" si="10"/>
        <v>1023</v>
      </c>
    </row>
    <row r="667" spans="1:17" ht="15.75" customHeight="1">
      <c r="A667" s="19">
        <v>665</v>
      </c>
      <c r="B667" s="20" t="s">
        <v>1673</v>
      </c>
      <c r="C667" s="20" t="s">
        <v>206</v>
      </c>
      <c r="D667" s="20" t="s">
        <v>1674</v>
      </c>
      <c r="E667" s="21">
        <v>60</v>
      </c>
      <c r="F667" s="21">
        <v>160</v>
      </c>
      <c r="G667" s="21">
        <v>49</v>
      </c>
      <c r="H667" s="21">
        <v>68</v>
      </c>
      <c r="I667" s="21">
        <v>26</v>
      </c>
      <c r="J667" s="21">
        <v>46</v>
      </c>
      <c r="K667" s="21"/>
      <c r="L667" s="21">
        <v>25</v>
      </c>
      <c r="M667" s="21">
        <v>15</v>
      </c>
      <c r="N667" s="21">
        <v>48</v>
      </c>
      <c r="O667" s="21">
        <v>25</v>
      </c>
      <c r="P667" s="21">
        <v>20</v>
      </c>
      <c r="Q667" s="22">
        <f t="shared" si="10"/>
        <v>542</v>
      </c>
    </row>
    <row r="668" spans="1:17" ht="15.75" customHeight="1">
      <c r="A668" s="23">
        <v>666</v>
      </c>
      <c r="B668" s="24" t="s">
        <v>1675</v>
      </c>
      <c r="C668" s="24" t="s">
        <v>206</v>
      </c>
      <c r="D668" s="24" t="s">
        <v>1676</v>
      </c>
      <c r="E668" s="25">
        <v>18</v>
      </c>
      <c r="F668" s="25">
        <v>19</v>
      </c>
      <c r="G668" s="25">
        <v>71</v>
      </c>
      <c r="H668" s="25">
        <v>40</v>
      </c>
      <c r="I668" s="25">
        <v>10</v>
      </c>
      <c r="J668" s="25"/>
      <c r="K668" s="25">
        <v>48</v>
      </c>
      <c r="L668" s="25"/>
      <c r="M668" s="25">
        <v>31</v>
      </c>
      <c r="N668" s="25"/>
      <c r="O668" s="25"/>
      <c r="P668" s="25">
        <v>37</v>
      </c>
      <c r="Q668" s="22">
        <f t="shared" si="10"/>
        <v>274</v>
      </c>
    </row>
    <row r="669" spans="1:17" ht="15.75" customHeight="1">
      <c r="A669" s="19">
        <v>667</v>
      </c>
      <c r="B669" s="20" t="s">
        <v>1677</v>
      </c>
      <c r="C669" s="20" t="s">
        <v>206</v>
      </c>
      <c r="D669" s="20" t="s">
        <v>1678</v>
      </c>
      <c r="E669" s="21"/>
      <c r="F669" s="21">
        <v>5</v>
      </c>
      <c r="G669" s="21">
        <v>20</v>
      </c>
      <c r="H669" s="21">
        <v>20</v>
      </c>
      <c r="I669" s="21">
        <v>10</v>
      </c>
      <c r="J669" s="21">
        <v>2</v>
      </c>
      <c r="K669" s="21"/>
      <c r="L669" s="21">
        <v>5</v>
      </c>
      <c r="M669" s="21"/>
      <c r="N669" s="21"/>
      <c r="O669" s="21"/>
      <c r="P669" s="21"/>
      <c r="Q669" s="22">
        <f t="shared" si="10"/>
        <v>62</v>
      </c>
    </row>
    <row r="670" spans="1:17" ht="15.75" customHeight="1">
      <c r="A670" s="23">
        <v>668</v>
      </c>
      <c r="B670" s="24" t="s">
        <v>1679</v>
      </c>
      <c r="C670" s="24" t="s">
        <v>206</v>
      </c>
      <c r="D670" s="24" t="s">
        <v>1680</v>
      </c>
      <c r="E670" s="25"/>
      <c r="F670" s="25"/>
      <c r="G670" s="25">
        <v>10</v>
      </c>
      <c r="H670" s="25"/>
      <c r="I670" s="25">
        <v>10</v>
      </c>
      <c r="J670" s="25">
        <v>20</v>
      </c>
      <c r="K670" s="25"/>
      <c r="L670" s="25"/>
      <c r="M670" s="25"/>
      <c r="N670" s="25"/>
      <c r="O670" s="25"/>
      <c r="P670" s="25"/>
      <c r="Q670" s="22">
        <f t="shared" si="10"/>
        <v>40</v>
      </c>
    </row>
    <row r="671" spans="1:17" ht="15.75" customHeight="1">
      <c r="A671" s="19">
        <v>669</v>
      </c>
      <c r="B671" s="20" t="s">
        <v>1681</v>
      </c>
      <c r="C671" s="20" t="s">
        <v>206</v>
      </c>
      <c r="D671" s="20" t="s">
        <v>1682</v>
      </c>
      <c r="E671" s="21"/>
      <c r="F671" s="21">
        <v>4</v>
      </c>
      <c r="G671" s="21"/>
      <c r="H671" s="21"/>
      <c r="I671" s="21">
        <v>10</v>
      </c>
      <c r="J671" s="21"/>
      <c r="K671" s="21">
        <v>2</v>
      </c>
      <c r="L671" s="21"/>
      <c r="M671" s="21"/>
      <c r="N671" s="21"/>
      <c r="O671" s="21"/>
      <c r="P671" s="21"/>
      <c r="Q671" s="22">
        <f t="shared" si="10"/>
        <v>16</v>
      </c>
    </row>
    <row r="672" spans="1:17" ht="15.75" customHeight="1">
      <c r="A672" s="23">
        <v>670</v>
      </c>
      <c r="B672" s="24" t="s">
        <v>1683</v>
      </c>
      <c r="C672" s="24" t="s">
        <v>206</v>
      </c>
      <c r="D672" s="24" t="s">
        <v>1578</v>
      </c>
      <c r="E672" s="25">
        <v>5</v>
      </c>
      <c r="F672" s="25">
        <v>4</v>
      </c>
      <c r="G672" s="25"/>
      <c r="H672" s="25"/>
      <c r="I672" s="25">
        <v>10</v>
      </c>
      <c r="J672" s="25"/>
      <c r="K672" s="25"/>
      <c r="L672" s="25"/>
      <c r="M672" s="25">
        <v>11</v>
      </c>
      <c r="N672" s="25"/>
      <c r="O672" s="25"/>
      <c r="P672" s="25"/>
      <c r="Q672" s="22">
        <f t="shared" si="10"/>
        <v>30</v>
      </c>
    </row>
    <row r="673" spans="1:17" ht="15.75" customHeight="1">
      <c r="A673" s="19">
        <v>671</v>
      </c>
      <c r="B673" s="20" t="s">
        <v>1684</v>
      </c>
      <c r="C673" s="20" t="s">
        <v>206</v>
      </c>
      <c r="D673" s="20" t="s">
        <v>1685</v>
      </c>
      <c r="E673" s="21"/>
      <c r="F673" s="21"/>
      <c r="G673" s="21"/>
      <c r="H673" s="21"/>
      <c r="I673" s="21"/>
      <c r="J673" s="21"/>
      <c r="K673" s="21"/>
      <c r="L673" s="21"/>
      <c r="M673" s="21">
        <v>12</v>
      </c>
      <c r="N673" s="21"/>
      <c r="O673" s="21"/>
      <c r="P673" s="21"/>
      <c r="Q673" s="22">
        <f t="shared" si="10"/>
        <v>12</v>
      </c>
    </row>
    <row r="674" spans="1:17" ht="15.75" customHeight="1">
      <c r="A674" s="23">
        <v>672</v>
      </c>
      <c r="B674" s="24" t="s">
        <v>1686</v>
      </c>
      <c r="C674" s="24" t="s">
        <v>206</v>
      </c>
      <c r="D674" s="24" t="s">
        <v>1687</v>
      </c>
      <c r="E674" s="25"/>
      <c r="F674" s="25"/>
      <c r="G674" s="25">
        <v>20</v>
      </c>
      <c r="H674" s="25"/>
      <c r="I674" s="25">
        <v>15</v>
      </c>
      <c r="J674" s="25"/>
      <c r="K674" s="25"/>
      <c r="L674" s="25">
        <v>10</v>
      </c>
      <c r="M674" s="25">
        <v>10</v>
      </c>
      <c r="N674" s="25"/>
      <c r="O674" s="25"/>
      <c r="P674" s="25">
        <v>4</v>
      </c>
      <c r="Q674" s="22">
        <f t="shared" si="10"/>
        <v>59</v>
      </c>
    </row>
    <row r="675" spans="1:17" ht="15.75" customHeight="1">
      <c r="A675" s="19">
        <v>673</v>
      </c>
      <c r="B675" s="20" t="s">
        <v>1692</v>
      </c>
      <c r="C675" s="20" t="s">
        <v>206</v>
      </c>
      <c r="D675" s="20" t="s">
        <v>1693</v>
      </c>
      <c r="E675" s="21"/>
      <c r="F675" s="21"/>
      <c r="G675" s="21">
        <v>7</v>
      </c>
      <c r="H675" s="21"/>
      <c r="I675" s="21"/>
      <c r="J675" s="21">
        <v>6</v>
      </c>
      <c r="K675" s="21"/>
      <c r="L675" s="21">
        <v>13</v>
      </c>
      <c r="M675" s="21"/>
      <c r="N675" s="21"/>
      <c r="O675" s="21"/>
      <c r="P675" s="21">
        <v>5</v>
      </c>
      <c r="Q675" s="22">
        <f t="shared" si="10"/>
        <v>31</v>
      </c>
    </row>
    <row r="676" spans="1:17" ht="15.75" customHeight="1">
      <c r="A676" s="23">
        <v>674</v>
      </c>
      <c r="B676" s="24" t="s">
        <v>1694</v>
      </c>
      <c r="C676" s="24" t="s">
        <v>206</v>
      </c>
      <c r="D676" s="24" t="s">
        <v>1695</v>
      </c>
      <c r="E676" s="25"/>
      <c r="F676" s="25">
        <v>20</v>
      </c>
      <c r="G676" s="25"/>
      <c r="H676" s="25"/>
      <c r="I676" s="25"/>
      <c r="J676" s="25"/>
      <c r="K676" s="25">
        <v>20</v>
      </c>
      <c r="L676" s="25"/>
      <c r="M676" s="25"/>
      <c r="N676" s="25"/>
      <c r="O676" s="25"/>
      <c r="P676" s="25"/>
      <c r="Q676" s="22">
        <f t="shared" si="10"/>
        <v>40</v>
      </c>
    </row>
    <row r="677" spans="1:17" ht="15.75" customHeight="1">
      <c r="A677" s="19">
        <v>675</v>
      </c>
      <c r="B677" s="20" t="s">
        <v>3372</v>
      </c>
      <c r="C677" s="20" t="s">
        <v>206</v>
      </c>
      <c r="D677" s="20" t="s">
        <v>1700</v>
      </c>
      <c r="E677" s="21"/>
      <c r="F677" s="21"/>
      <c r="G677" s="21"/>
      <c r="H677" s="21"/>
      <c r="I677" s="21"/>
      <c r="J677" s="21"/>
      <c r="K677" s="21"/>
      <c r="L677" s="21"/>
      <c r="M677" s="21">
        <v>4</v>
      </c>
      <c r="N677" s="21"/>
      <c r="O677" s="21"/>
      <c r="P677" s="21"/>
      <c r="Q677" s="22">
        <f t="shared" si="10"/>
        <v>4</v>
      </c>
    </row>
    <row r="678" spans="1:17" ht="15.75" customHeight="1">
      <c r="A678" s="23">
        <v>676</v>
      </c>
      <c r="B678" s="24" t="s">
        <v>1696</v>
      </c>
      <c r="C678" s="24" t="s">
        <v>211</v>
      </c>
      <c r="D678" s="24" t="s">
        <v>1697</v>
      </c>
      <c r="E678" s="25">
        <v>45</v>
      </c>
      <c r="F678" s="25">
        <v>135</v>
      </c>
      <c r="G678" s="25">
        <v>50</v>
      </c>
      <c r="H678" s="25">
        <v>15</v>
      </c>
      <c r="I678" s="25">
        <v>7</v>
      </c>
      <c r="J678" s="25"/>
      <c r="K678" s="25">
        <v>30</v>
      </c>
      <c r="L678" s="25">
        <v>20</v>
      </c>
      <c r="M678" s="25">
        <v>62</v>
      </c>
      <c r="N678" s="25">
        <v>35</v>
      </c>
      <c r="O678" s="25">
        <v>35</v>
      </c>
      <c r="P678" s="25">
        <v>10</v>
      </c>
      <c r="Q678" s="22">
        <f t="shared" si="10"/>
        <v>444</v>
      </c>
    </row>
    <row r="679" spans="1:17" ht="15.75" customHeight="1">
      <c r="A679" s="19">
        <v>677</v>
      </c>
      <c r="B679" s="20" t="s">
        <v>1701</v>
      </c>
      <c r="C679" s="20" t="s">
        <v>211</v>
      </c>
      <c r="D679" s="20" t="s">
        <v>1702</v>
      </c>
      <c r="E679" s="21">
        <v>25</v>
      </c>
      <c r="F679" s="21">
        <v>145</v>
      </c>
      <c r="G679" s="21">
        <v>324</v>
      </c>
      <c r="H679" s="21">
        <v>80</v>
      </c>
      <c r="I679" s="21">
        <v>50</v>
      </c>
      <c r="J679" s="21"/>
      <c r="K679" s="21">
        <v>5</v>
      </c>
      <c r="L679" s="21">
        <v>50</v>
      </c>
      <c r="M679" s="21">
        <v>40</v>
      </c>
      <c r="N679" s="21">
        <v>45</v>
      </c>
      <c r="O679" s="21">
        <v>60</v>
      </c>
      <c r="P679" s="21">
        <v>63</v>
      </c>
      <c r="Q679" s="22">
        <f t="shared" si="10"/>
        <v>887</v>
      </c>
    </row>
    <row r="680" spans="1:17" ht="15.75" customHeight="1">
      <c r="A680" s="23">
        <v>678</v>
      </c>
      <c r="B680" s="24" t="s">
        <v>1703</v>
      </c>
      <c r="C680" s="24" t="s">
        <v>211</v>
      </c>
      <c r="D680" s="24" t="s">
        <v>1704</v>
      </c>
      <c r="E680" s="25"/>
      <c r="F680" s="25">
        <v>130</v>
      </c>
      <c r="G680" s="25">
        <v>214</v>
      </c>
      <c r="H680" s="25">
        <v>30</v>
      </c>
      <c r="I680" s="25">
        <v>75</v>
      </c>
      <c r="J680" s="25"/>
      <c r="K680" s="25">
        <v>20</v>
      </c>
      <c r="L680" s="25">
        <v>50</v>
      </c>
      <c r="M680" s="25">
        <v>60</v>
      </c>
      <c r="N680" s="25">
        <v>35</v>
      </c>
      <c r="O680" s="25">
        <v>40</v>
      </c>
      <c r="P680" s="25">
        <v>70</v>
      </c>
      <c r="Q680" s="22">
        <f t="shared" si="10"/>
        <v>724</v>
      </c>
    </row>
    <row r="681" spans="1:17" ht="15.75" customHeight="1">
      <c r="A681" s="19">
        <v>679</v>
      </c>
      <c r="B681" s="20" t="s">
        <v>1705</v>
      </c>
      <c r="C681" s="20" t="s">
        <v>211</v>
      </c>
      <c r="D681" s="20" t="s">
        <v>1706</v>
      </c>
      <c r="E681" s="21"/>
      <c r="F681" s="21">
        <v>45</v>
      </c>
      <c r="G681" s="21">
        <v>130</v>
      </c>
      <c r="H681" s="21"/>
      <c r="I681" s="21">
        <v>20</v>
      </c>
      <c r="J681" s="21">
        <v>10</v>
      </c>
      <c r="K681" s="21"/>
      <c r="L681" s="21">
        <v>50</v>
      </c>
      <c r="M681" s="21">
        <v>30</v>
      </c>
      <c r="N681" s="21">
        <v>10</v>
      </c>
      <c r="O681" s="21">
        <v>20</v>
      </c>
      <c r="P681" s="21">
        <v>60</v>
      </c>
      <c r="Q681" s="22">
        <f t="shared" si="10"/>
        <v>375</v>
      </c>
    </row>
    <row r="682" spans="1:17" ht="15.75" customHeight="1">
      <c r="A682" s="23">
        <v>680</v>
      </c>
      <c r="B682" s="24" t="s">
        <v>1707</v>
      </c>
      <c r="C682" s="24" t="s">
        <v>211</v>
      </c>
      <c r="D682" s="24" t="s">
        <v>1708</v>
      </c>
      <c r="E682" s="25"/>
      <c r="F682" s="25">
        <v>20</v>
      </c>
      <c r="G682" s="25">
        <v>20</v>
      </c>
      <c r="H682" s="25"/>
      <c r="I682" s="25">
        <v>10</v>
      </c>
      <c r="J682" s="25"/>
      <c r="K682" s="25">
        <v>20</v>
      </c>
      <c r="L682" s="25">
        <v>5</v>
      </c>
      <c r="M682" s="25">
        <v>30</v>
      </c>
      <c r="N682" s="25"/>
      <c r="O682" s="25">
        <v>10</v>
      </c>
      <c r="P682" s="25">
        <v>52</v>
      </c>
      <c r="Q682" s="22">
        <f t="shared" si="10"/>
        <v>167</v>
      </c>
    </row>
    <row r="683" spans="1:17" ht="15.75" customHeight="1">
      <c r="A683" s="19">
        <v>681</v>
      </c>
      <c r="B683" s="20" t="s">
        <v>1709</v>
      </c>
      <c r="C683" s="20" t="s">
        <v>211</v>
      </c>
      <c r="D683" s="20" t="s">
        <v>1678</v>
      </c>
      <c r="E683" s="21"/>
      <c r="F683" s="21"/>
      <c r="G683" s="21"/>
      <c r="H683" s="21"/>
      <c r="I683" s="21"/>
      <c r="J683" s="21"/>
      <c r="K683" s="21"/>
      <c r="L683" s="21">
        <v>50</v>
      </c>
      <c r="M683" s="21"/>
      <c r="N683" s="21">
        <v>5</v>
      </c>
      <c r="O683" s="21"/>
      <c r="P683" s="21"/>
      <c r="Q683" s="22">
        <f t="shared" si="10"/>
        <v>55</v>
      </c>
    </row>
    <row r="684" spans="1:17" ht="15.75" customHeight="1">
      <c r="A684" s="23">
        <v>682</v>
      </c>
      <c r="B684" s="24" t="s">
        <v>1710</v>
      </c>
      <c r="C684" s="24" t="s">
        <v>211</v>
      </c>
      <c r="D684" s="24" t="s">
        <v>1682</v>
      </c>
      <c r="E684" s="25"/>
      <c r="F684" s="25">
        <v>5</v>
      </c>
      <c r="G684" s="25"/>
      <c r="H684" s="25"/>
      <c r="I684" s="25"/>
      <c r="J684" s="25"/>
      <c r="K684" s="25"/>
      <c r="L684" s="25"/>
      <c r="M684" s="25"/>
      <c r="N684" s="25"/>
      <c r="O684" s="25"/>
      <c r="P684" s="25">
        <v>4</v>
      </c>
      <c r="Q684" s="22">
        <f t="shared" si="10"/>
        <v>9</v>
      </c>
    </row>
    <row r="685" spans="1:17" ht="15.75" customHeight="1">
      <c r="A685" s="19">
        <v>683</v>
      </c>
      <c r="B685" s="20" t="s">
        <v>1711</v>
      </c>
      <c r="C685" s="20" t="s">
        <v>211</v>
      </c>
      <c r="D685" s="20" t="s">
        <v>1712</v>
      </c>
      <c r="E685" s="21"/>
      <c r="F685" s="21"/>
      <c r="G685" s="21"/>
      <c r="H685" s="21"/>
      <c r="I685" s="21">
        <v>38</v>
      </c>
      <c r="J685" s="21"/>
      <c r="K685" s="21"/>
      <c r="L685" s="21"/>
      <c r="M685" s="21"/>
      <c r="N685" s="21"/>
      <c r="O685" s="21"/>
      <c r="P685" s="21">
        <v>3</v>
      </c>
      <c r="Q685" s="22">
        <f t="shared" si="10"/>
        <v>41</v>
      </c>
    </row>
    <row r="686" spans="1:17" ht="15.75" customHeight="1">
      <c r="A686" s="23">
        <v>684</v>
      </c>
      <c r="B686" s="24" t="s">
        <v>1713</v>
      </c>
      <c r="C686" s="24" t="s">
        <v>203</v>
      </c>
      <c r="D686" s="24" t="s">
        <v>1714</v>
      </c>
      <c r="E686" s="25">
        <v>406</v>
      </c>
      <c r="F686" s="25">
        <v>1105</v>
      </c>
      <c r="G686" s="25">
        <v>510</v>
      </c>
      <c r="H686" s="25">
        <v>616</v>
      </c>
      <c r="I686" s="25">
        <v>1651</v>
      </c>
      <c r="J686" s="25">
        <v>1147</v>
      </c>
      <c r="K686" s="25">
        <v>612</v>
      </c>
      <c r="L686" s="25">
        <v>265</v>
      </c>
      <c r="M686" s="25">
        <v>637</v>
      </c>
      <c r="N686" s="25">
        <v>1211</v>
      </c>
      <c r="O686" s="25">
        <v>1335</v>
      </c>
      <c r="P686" s="25">
        <v>1535</v>
      </c>
      <c r="Q686" s="22">
        <f t="shared" si="10"/>
        <v>11030</v>
      </c>
    </row>
    <row r="687" spans="1:17" ht="15.75" customHeight="1">
      <c r="A687" s="19">
        <v>685</v>
      </c>
      <c r="B687" s="20" t="s">
        <v>1715</v>
      </c>
      <c r="C687" s="20" t="s">
        <v>203</v>
      </c>
      <c r="D687" s="20" t="s">
        <v>1716</v>
      </c>
      <c r="E687" s="21"/>
      <c r="F687" s="21">
        <v>20</v>
      </c>
      <c r="G687" s="21">
        <v>20</v>
      </c>
      <c r="H687" s="21"/>
      <c r="I687" s="21">
        <v>30</v>
      </c>
      <c r="J687" s="21">
        <v>40</v>
      </c>
      <c r="K687" s="21"/>
      <c r="L687" s="21"/>
      <c r="M687" s="21"/>
      <c r="N687" s="21">
        <v>10</v>
      </c>
      <c r="O687" s="21">
        <v>30</v>
      </c>
      <c r="P687" s="21"/>
      <c r="Q687" s="22">
        <f t="shared" si="10"/>
        <v>150</v>
      </c>
    </row>
    <row r="688" spans="1:17" ht="15.75" customHeight="1">
      <c r="A688" s="23">
        <v>686</v>
      </c>
      <c r="B688" s="24" t="s">
        <v>1717</v>
      </c>
      <c r="C688" s="24" t="s">
        <v>203</v>
      </c>
      <c r="D688" s="24" t="s">
        <v>1718</v>
      </c>
      <c r="E688" s="25"/>
      <c r="F688" s="25"/>
      <c r="G688" s="25"/>
      <c r="H688" s="25"/>
      <c r="I688" s="25">
        <v>10</v>
      </c>
      <c r="J688" s="25">
        <v>8</v>
      </c>
      <c r="K688" s="25">
        <v>84</v>
      </c>
      <c r="L688" s="25"/>
      <c r="M688" s="25">
        <v>10</v>
      </c>
      <c r="N688" s="25">
        <v>23</v>
      </c>
      <c r="O688" s="25">
        <v>10</v>
      </c>
      <c r="P688" s="25">
        <v>10</v>
      </c>
      <c r="Q688" s="22">
        <f t="shared" si="10"/>
        <v>155</v>
      </c>
    </row>
    <row r="689" spans="1:17" ht="15.75" customHeight="1">
      <c r="A689" s="19">
        <v>687</v>
      </c>
      <c r="B689" s="20" t="s">
        <v>1719</v>
      </c>
      <c r="C689" s="20" t="s">
        <v>203</v>
      </c>
      <c r="D689" s="20" t="s">
        <v>1720</v>
      </c>
      <c r="E689" s="21">
        <v>505</v>
      </c>
      <c r="F689" s="21">
        <v>1328</v>
      </c>
      <c r="G689" s="21">
        <v>599</v>
      </c>
      <c r="H689" s="21">
        <v>604</v>
      </c>
      <c r="I689" s="21">
        <v>801</v>
      </c>
      <c r="J689" s="21">
        <v>1023</v>
      </c>
      <c r="K689" s="21">
        <v>608</v>
      </c>
      <c r="L689" s="21">
        <v>460</v>
      </c>
      <c r="M689" s="21">
        <v>649</v>
      </c>
      <c r="N689" s="21">
        <v>611</v>
      </c>
      <c r="O689" s="21">
        <v>708</v>
      </c>
      <c r="P689" s="21">
        <v>1072</v>
      </c>
      <c r="Q689" s="22">
        <f t="shared" si="10"/>
        <v>8968</v>
      </c>
    </row>
    <row r="690" spans="1:17" ht="15.75" customHeight="1">
      <c r="A690" s="23">
        <v>688</v>
      </c>
      <c r="B690" s="24" t="s">
        <v>1723</v>
      </c>
      <c r="C690" s="24" t="s">
        <v>203</v>
      </c>
      <c r="D690" s="24" t="s">
        <v>1724</v>
      </c>
      <c r="E690" s="25">
        <v>40</v>
      </c>
      <c r="F690" s="25"/>
      <c r="G690" s="25">
        <v>20</v>
      </c>
      <c r="H690" s="25"/>
      <c r="I690" s="25"/>
      <c r="J690" s="25"/>
      <c r="K690" s="25"/>
      <c r="L690" s="25"/>
      <c r="M690" s="25"/>
      <c r="N690" s="25"/>
      <c r="O690" s="25"/>
      <c r="P690" s="25"/>
      <c r="Q690" s="22">
        <f t="shared" si="10"/>
        <v>60</v>
      </c>
    </row>
    <row r="691" spans="1:17" ht="15.75" customHeight="1">
      <c r="A691" s="19">
        <v>689</v>
      </c>
      <c r="B691" s="20" t="s">
        <v>1725</v>
      </c>
      <c r="C691" s="20" t="s">
        <v>203</v>
      </c>
      <c r="D691" s="20" t="s">
        <v>1726</v>
      </c>
      <c r="E691" s="21">
        <v>110</v>
      </c>
      <c r="F691" s="21">
        <v>963</v>
      </c>
      <c r="G691" s="21">
        <v>368</v>
      </c>
      <c r="H691" s="21">
        <v>294</v>
      </c>
      <c r="I691" s="21">
        <v>242</v>
      </c>
      <c r="J691" s="21">
        <v>184</v>
      </c>
      <c r="K691" s="21">
        <v>315</v>
      </c>
      <c r="L691" s="21">
        <v>180</v>
      </c>
      <c r="M691" s="21">
        <v>339</v>
      </c>
      <c r="N691" s="21">
        <v>444</v>
      </c>
      <c r="O691" s="21">
        <v>281</v>
      </c>
      <c r="P691" s="21">
        <v>436</v>
      </c>
      <c r="Q691" s="22">
        <f t="shared" si="10"/>
        <v>4156</v>
      </c>
    </row>
    <row r="692" spans="1:17" ht="15.75" customHeight="1">
      <c r="A692" s="23">
        <v>690</v>
      </c>
      <c r="B692" s="24" t="s">
        <v>1727</v>
      </c>
      <c r="C692" s="24" t="s">
        <v>203</v>
      </c>
      <c r="D692" s="24" t="s">
        <v>1728</v>
      </c>
      <c r="E692" s="25">
        <v>80</v>
      </c>
      <c r="F692" s="25">
        <v>436</v>
      </c>
      <c r="G692" s="25">
        <v>200</v>
      </c>
      <c r="H692" s="25">
        <v>101</v>
      </c>
      <c r="I692" s="25">
        <v>156</v>
      </c>
      <c r="J692" s="25">
        <v>95</v>
      </c>
      <c r="K692" s="25">
        <v>260</v>
      </c>
      <c r="L692" s="25">
        <v>310</v>
      </c>
      <c r="M692" s="25">
        <v>196</v>
      </c>
      <c r="N692" s="25">
        <v>276</v>
      </c>
      <c r="O692" s="25">
        <v>150</v>
      </c>
      <c r="P692" s="25">
        <v>264</v>
      </c>
      <c r="Q692" s="22">
        <f t="shared" si="10"/>
        <v>2524</v>
      </c>
    </row>
    <row r="693" spans="1:17" ht="15.75" customHeight="1">
      <c r="A693" s="19">
        <v>691</v>
      </c>
      <c r="B693" s="20" t="s">
        <v>1729</v>
      </c>
      <c r="C693" s="20" t="s">
        <v>203</v>
      </c>
      <c r="D693" s="20" t="s">
        <v>1730</v>
      </c>
      <c r="E693" s="21">
        <v>30</v>
      </c>
      <c r="F693" s="21">
        <v>210</v>
      </c>
      <c r="G693" s="21">
        <v>45</v>
      </c>
      <c r="H693" s="21">
        <v>80</v>
      </c>
      <c r="I693" s="21">
        <v>105</v>
      </c>
      <c r="J693" s="21">
        <v>120</v>
      </c>
      <c r="K693" s="21">
        <v>190</v>
      </c>
      <c r="L693" s="21">
        <v>80</v>
      </c>
      <c r="M693" s="21"/>
      <c r="N693" s="21">
        <v>100</v>
      </c>
      <c r="O693" s="21">
        <v>60</v>
      </c>
      <c r="P693" s="21">
        <v>150</v>
      </c>
      <c r="Q693" s="22">
        <f t="shared" si="10"/>
        <v>1170</v>
      </c>
    </row>
    <row r="694" spans="1:17" ht="15.75" customHeight="1">
      <c r="A694" s="23">
        <v>692</v>
      </c>
      <c r="B694" s="24" t="s">
        <v>1731</v>
      </c>
      <c r="C694" s="24" t="s">
        <v>203</v>
      </c>
      <c r="D694" s="24" t="s">
        <v>1732</v>
      </c>
      <c r="E694" s="25">
        <v>10</v>
      </c>
      <c r="F694" s="25">
        <v>145</v>
      </c>
      <c r="G694" s="25">
        <v>100</v>
      </c>
      <c r="H694" s="25">
        <v>46</v>
      </c>
      <c r="I694" s="25">
        <v>56</v>
      </c>
      <c r="J694" s="25">
        <v>110</v>
      </c>
      <c r="K694" s="25">
        <v>48</v>
      </c>
      <c r="L694" s="25">
        <v>180</v>
      </c>
      <c r="M694" s="25">
        <v>117</v>
      </c>
      <c r="N694" s="25">
        <v>213</v>
      </c>
      <c r="O694" s="25">
        <v>34</v>
      </c>
      <c r="P694" s="25">
        <v>129</v>
      </c>
      <c r="Q694" s="22">
        <f t="shared" si="10"/>
        <v>1188</v>
      </c>
    </row>
    <row r="695" spans="1:17" ht="15.75" customHeight="1">
      <c r="A695" s="19">
        <v>693</v>
      </c>
      <c r="B695" s="20" t="s">
        <v>1733</v>
      </c>
      <c r="C695" s="20" t="s">
        <v>203</v>
      </c>
      <c r="D695" s="20" t="s">
        <v>1734</v>
      </c>
      <c r="E695" s="21">
        <v>6</v>
      </c>
      <c r="F695" s="21">
        <v>18</v>
      </c>
      <c r="G695" s="21">
        <v>6</v>
      </c>
      <c r="H695" s="21">
        <v>18</v>
      </c>
      <c r="I695" s="21">
        <v>161</v>
      </c>
      <c r="J695" s="21">
        <v>22</v>
      </c>
      <c r="K695" s="21">
        <v>20</v>
      </c>
      <c r="L695" s="21">
        <v>90</v>
      </c>
      <c r="M695" s="21">
        <v>12</v>
      </c>
      <c r="N695" s="21">
        <v>14</v>
      </c>
      <c r="O695" s="21">
        <v>76</v>
      </c>
      <c r="P695" s="21">
        <v>40</v>
      </c>
      <c r="Q695" s="22">
        <f t="shared" si="10"/>
        <v>483</v>
      </c>
    </row>
    <row r="696" spans="1:17" ht="15.75" customHeight="1">
      <c r="A696" s="23">
        <v>694</v>
      </c>
      <c r="B696" s="24" t="s">
        <v>1735</v>
      </c>
      <c r="C696" s="24" t="s">
        <v>203</v>
      </c>
      <c r="D696" s="24" t="s">
        <v>1736</v>
      </c>
      <c r="E696" s="25">
        <v>525</v>
      </c>
      <c r="F696" s="25">
        <v>585</v>
      </c>
      <c r="G696" s="25">
        <v>480</v>
      </c>
      <c r="H696" s="25">
        <v>425</v>
      </c>
      <c r="I696" s="25">
        <v>162</v>
      </c>
      <c r="J696" s="25">
        <v>189</v>
      </c>
      <c r="K696" s="25">
        <v>341</v>
      </c>
      <c r="L696" s="25">
        <v>363</v>
      </c>
      <c r="M696" s="25">
        <v>220</v>
      </c>
      <c r="N696" s="25">
        <v>210</v>
      </c>
      <c r="O696" s="25">
        <v>230</v>
      </c>
      <c r="P696" s="25">
        <v>197</v>
      </c>
      <c r="Q696" s="22">
        <f t="shared" si="10"/>
        <v>3927</v>
      </c>
    </row>
    <row r="697" spans="1:17" ht="15.75" customHeight="1">
      <c r="A697" s="19">
        <v>695</v>
      </c>
      <c r="B697" s="20" t="s">
        <v>1737</v>
      </c>
      <c r="C697" s="20" t="s">
        <v>203</v>
      </c>
      <c r="D697" s="20" t="s">
        <v>1738</v>
      </c>
      <c r="E697" s="21">
        <v>6</v>
      </c>
      <c r="F697" s="21">
        <v>16</v>
      </c>
      <c r="G697" s="21">
        <v>20</v>
      </c>
      <c r="H697" s="21">
        <v>10</v>
      </c>
      <c r="I697" s="21">
        <v>27</v>
      </c>
      <c r="J697" s="21">
        <v>60</v>
      </c>
      <c r="K697" s="21">
        <v>10</v>
      </c>
      <c r="L697" s="21">
        <v>40</v>
      </c>
      <c r="M697" s="21">
        <v>20</v>
      </c>
      <c r="N697" s="21">
        <v>24</v>
      </c>
      <c r="O697" s="21">
        <v>36</v>
      </c>
      <c r="P697" s="21">
        <v>10</v>
      </c>
      <c r="Q697" s="22">
        <f t="shared" si="10"/>
        <v>279</v>
      </c>
    </row>
    <row r="698" spans="1:17" ht="15.75" customHeight="1">
      <c r="A698" s="23">
        <v>696</v>
      </c>
      <c r="B698" s="24" t="s">
        <v>1739</v>
      </c>
      <c r="C698" s="24" t="s">
        <v>203</v>
      </c>
      <c r="D698" s="24" t="s">
        <v>1578</v>
      </c>
      <c r="E698" s="25">
        <v>10</v>
      </c>
      <c r="F698" s="25"/>
      <c r="G698" s="25"/>
      <c r="H698" s="25"/>
      <c r="I698" s="25">
        <v>20</v>
      </c>
      <c r="J698" s="25">
        <v>10</v>
      </c>
      <c r="K698" s="25"/>
      <c r="L698" s="25"/>
      <c r="M698" s="25">
        <v>24</v>
      </c>
      <c r="N698" s="25">
        <v>4</v>
      </c>
      <c r="O698" s="25">
        <v>6</v>
      </c>
      <c r="P698" s="25">
        <v>10</v>
      </c>
      <c r="Q698" s="22">
        <f t="shared" si="10"/>
        <v>84</v>
      </c>
    </row>
    <row r="699" spans="1:17" ht="15.75" customHeight="1">
      <c r="A699" s="19">
        <v>697</v>
      </c>
      <c r="B699" s="20" t="s">
        <v>1740</v>
      </c>
      <c r="C699" s="20" t="s">
        <v>203</v>
      </c>
      <c r="D699" s="20" t="s">
        <v>1741</v>
      </c>
      <c r="E699" s="21"/>
      <c r="F699" s="21"/>
      <c r="G699" s="21"/>
      <c r="H699" s="21"/>
      <c r="I699" s="21">
        <v>20</v>
      </c>
      <c r="J699" s="21">
        <v>30</v>
      </c>
      <c r="K699" s="21"/>
      <c r="L699" s="21">
        <v>60</v>
      </c>
      <c r="M699" s="21">
        <v>120</v>
      </c>
      <c r="N699" s="21"/>
      <c r="O699" s="21"/>
      <c r="P699" s="21">
        <v>20</v>
      </c>
      <c r="Q699" s="22">
        <f t="shared" si="10"/>
        <v>250</v>
      </c>
    </row>
    <row r="700" spans="1:17" ht="15.75" customHeight="1">
      <c r="A700" s="23">
        <v>698</v>
      </c>
      <c r="B700" s="24" t="s">
        <v>1742</v>
      </c>
      <c r="C700" s="24" t="s">
        <v>203</v>
      </c>
      <c r="D700" s="24" t="s">
        <v>1685</v>
      </c>
      <c r="E700" s="25"/>
      <c r="F700" s="25">
        <v>22</v>
      </c>
      <c r="G700" s="25"/>
      <c r="H700" s="25"/>
      <c r="I700" s="25">
        <v>10</v>
      </c>
      <c r="J700" s="25">
        <v>10</v>
      </c>
      <c r="K700" s="25"/>
      <c r="L700" s="25"/>
      <c r="M700" s="25">
        <v>4</v>
      </c>
      <c r="N700" s="25">
        <v>4</v>
      </c>
      <c r="O700" s="25"/>
      <c r="P700" s="25"/>
      <c r="Q700" s="22">
        <f t="shared" si="10"/>
        <v>50</v>
      </c>
    </row>
    <row r="701" spans="1:17" ht="15.75" customHeight="1">
      <c r="A701" s="19">
        <v>699</v>
      </c>
      <c r="B701" s="20" t="s">
        <v>1743</v>
      </c>
      <c r="C701" s="20" t="s">
        <v>203</v>
      </c>
      <c r="D701" s="20" t="s">
        <v>1744</v>
      </c>
      <c r="E701" s="21"/>
      <c r="F701" s="21"/>
      <c r="G701" s="21"/>
      <c r="H701" s="21"/>
      <c r="I701" s="21">
        <v>10</v>
      </c>
      <c r="J701" s="21"/>
      <c r="K701" s="21"/>
      <c r="L701" s="21"/>
      <c r="M701" s="21"/>
      <c r="N701" s="21"/>
      <c r="O701" s="21"/>
      <c r="P701" s="21"/>
      <c r="Q701" s="22">
        <f t="shared" si="10"/>
        <v>10</v>
      </c>
    </row>
    <row r="702" spans="1:17" ht="15.75" customHeight="1">
      <c r="A702" s="23">
        <v>700</v>
      </c>
      <c r="B702" s="24" t="s">
        <v>1745</v>
      </c>
      <c r="C702" s="24" t="s">
        <v>203</v>
      </c>
      <c r="D702" s="24" t="s">
        <v>1746</v>
      </c>
      <c r="E702" s="25">
        <v>9</v>
      </c>
      <c r="F702" s="25">
        <v>35</v>
      </c>
      <c r="G702" s="25">
        <v>90</v>
      </c>
      <c r="H702" s="25">
        <v>20</v>
      </c>
      <c r="I702" s="25"/>
      <c r="J702" s="25">
        <v>170</v>
      </c>
      <c r="K702" s="25">
        <v>270</v>
      </c>
      <c r="L702" s="25">
        <v>50</v>
      </c>
      <c r="M702" s="25">
        <v>147</v>
      </c>
      <c r="N702" s="25">
        <v>137</v>
      </c>
      <c r="O702" s="25">
        <v>140</v>
      </c>
      <c r="P702" s="25">
        <v>20</v>
      </c>
      <c r="Q702" s="22">
        <f t="shared" si="10"/>
        <v>1088</v>
      </c>
    </row>
    <row r="703" spans="1:17" ht="15.75" customHeight="1">
      <c r="A703" s="19">
        <v>701</v>
      </c>
      <c r="B703" s="20" t="s">
        <v>1747</v>
      </c>
      <c r="C703" s="20" t="s">
        <v>203</v>
      </c>
      <c r="D703" s="20" t="s">
        <v>1689</v>
      </c>
      <c r="E703" s="21"/>
      <c r="F703" s="21"/>
      <c r="G703" s="21"/>
      <c r="H703" s="21"/>
      <c r="I703" s="21"/>
      <c r="J703" s="21">
        <v>4</v>
      </c>
      <c r="K703" s="21"/>
      <c r="L703" s="21"/>
      <c r="M703" s="21">
        <v>3</v>
      </c>
      <c r="N703" s="21">
        <v>5</v>
      </c>
      <c r="O703" s="21"/>
      <c r="P703" s="21"/>
      <c r="Q703" s="22">
        <f t="shared" si="10"/>
        <v>12</v>
      </c>
    </row>
    <row r="704" spans="1:17" ht="15.75" customHeight="1">
      <c r="A704" s="23">
        <v>702</v>
      </c>
      <c r="B704" s="24" t="s">
        <v>1748</v>
      </c>
      <c r="C704" s="24" t="s">
        <v>203</v>
      </c>
      <c r="D704" s="24" t="s">
        <v>1749</v>
      </c>
      <c r="E704" s="25"/>
      <c r="F704" s="25">
        <v>55</v>
      </c>
      <c r="G704" s="25">
        <v>20</v>
      </c>
      <c r="H704" s="25"/>
      <c r="I704" s="25"/>
      <c r="J704" s="25"/>
      <c r="K704" s="25">
        <v>30</v>
      </c>
      <c r="L704" s="25">
        <v>1</v>
      </c>
      <c r="M704" s="25">
        <v>12</v>
      </c>
      <c r="N704" s="25"/>
      <c r="O704" s="25"/>
      <c r="P704" s="25"/>
      <c r="Q704" s="22">
        <f t="shared" si="10"/>
        <v>118</v>
      </c>
    </row>
    <row r="705" spans="1:17" ht="15.75" customHeight="1">
      <c r="A705" s="19">
        <v>703</v>
      </c>
      <c r="B705" s="20" t="s">
        <v>1750</v>
      </c>
      <c r="C705" s="20" t="s">
        <v>203</v>
      </c>
      <c r="D705" s="20" t="s">
        <v>1751</v>
      </c>
      <c r="E705" s="21">
        <v>40</v>
      </c>
      <c r="F705" s="21">
        <v>195</v>
      </c>
      <c r="G705" s="21">
        <v>40</v>
      </c>
      <c r="H705" s="21">
        <v>110</v>
      </c>
      <c r="I705" s="21">
        <v>90</v>
      </c>
      <c r="J705" s="21">
        <v>22</v>
      </c>
      <c r="K705" s="21">
        <v>122</v>
      </c>
      <c r="L705" s="21">
        <v>10</v>
      </c>
      <c r="M705" s="21">
        <v>320</v>
      </c>
      <c r="N705" s="21">
        <v>70</v>
      </c>
      <c r="O705" s="21">
        <v>67</v>
      </c>
      <c r="P705" s="21">
        <v>20</v>
      </c>
      <c r="Q705" s="22">
        <f t="shared" si="10"/>
        <v>1106</v>
      </c>
    </row>
    <row r="706" spans="1:17" ht="15.75" customHeight="1">
      <c r="A706" s="23">
        <v>704</v>
      </c>
      <c r="B706" s="24" t="s">
        <v>1752</v>
      </c>
      <c r="C706" s="24" t="s">
        <v>203</v>
      </c>
      <c r="D706" s="24" t="s">
        <v>1753</v>
      </c>
      <c r="E706" s="25">
        <v>9</v>
      </c>
      <c r="F706" s="25">
        <v>69</v>
      </c>
      <c r="G706" s="25"/>
      <c r="H706" s="25"/>
      <c r="I706" s="25">
        <v>45</v>
      </c>
      <c r="J706" s="25"/>
      <c r="K706" s="25">
        <v>40</v>
      </c>
      <c r="L706" s="25"/>
      <c r="M706" s="25">
        <v>30</v>
      </c>
      <c r="N706" s="25">
        <v>30</v>
      </c>
      <c r="O706" s="25">
        <v>100</v>
      </c>
      <c r="P706" s="25">
        <v>160</v>
      </c>
      <c r="Q706" s="22">
        <f t="shared" si="10"/>
        <v>483</v>
      </c>
    </row>
    <row r="707" spans="1:17" ht="15.75" customHeight="1">
      <c r="A707" s="19">
        <v>705</v>
      </c>
      <c r="B707" s="20" t="s">
        <v>1754</v>
      </c>
      <c r="C707" s="20" t="s">
        <v>244</v>
      </c>
      <c r="D707" s="20" t="s">
        <v>1755</v>
      </c>
      <c r="E707" s="21">
        <v>30</v>
      </c>
      <c r="F707" s="21">
        <v>40</v>
      </c>
      <c r="G707" s="21">
        <v>50</v>
      </c>
      <c r="H707" s="21">
        <v>74</v>
      </c>
      <c r="I707" s="21">
        <v>65</v>
      </c>
      <c r="J707" s="21">
        <v>30</v>
      </c>
      <c r="K707" s="21">
        <v>52</v>
      </c>
      <c r="L707" s="21">
        <v>10</v>
      </c>
      <c r="M707" s="21">
        <v>12</v>
      </c>
      <c r="N707" s="21">
        <v>10</v>
      </c>
      <c r="O707" s="21">
        <v>10</v>
      </c>
      <c r="P707" s="21">
        <v>60</v>
      </c>
      <c r="Q707" s="22">
        <f t="shared" ref="Q707:Q770" si="11">SUM(E707:P707)</f>
        <v>443</v>
      </c>
    </row>
    <row r="708" spans="1:17" ht="15.75" customHeight="1">
      <c r="A708" s="23">
        <v>706</v>
      </c>
      <c r="B708" s="24" t="s">
        <v>1756</v>
      </c>
      <c r="C708" s="24" t="s">
        <v>244</v>
      </c>
      <c r="D708" s="24" t="s">
        <v>1757</v>
      </c>
      <c r="E708" s="25">
        <v>20</v>
      </c>
      <c r="F708" s="25">
        <v>95</v>
      </c>
      <c r="G708" s="25">
        <v>40</v>
      </c>
      <c r="H708" s="25">
        <v>55</v>
      </c>
      <c r="I708" s="25">
        <v>80</v>
      </c>
      <c r="J708" s="25">
        <v>34</v>
      </c>
      <c r="K708" s="25">
        <v>61</v>
      </c>
      <c r="L708" s="25"/>
      <c r="M708" s="25">
        <v>31</v>
      </c>
      <c r="N708" s="25">
        <v>40</v>
      </c>
      <c r="O708" s="25">
        <v>10</v>
      </c>
      <c r="P708" s="25">
        <v>65</v>
      </c>
      <c r="Q708" s="22">
        <f t="shared" si="11"/>
        <v>531</v>
      </c>
    </row>
    <row r="709" spans="1:17" ht="15.75" customHeight="1">
      <c r="A709" s="19">
        <v>707</v>
      </c>
      <c r="B709" s="20" t="s">
        <v>1758</v>
      </c>
      <c r="C709" s="20" t="s">
        <v>244</v>
      </c>
      <c r="D709" s="20" t="s">
        <v>1759</v>
      </c>
      <c r="E709" s="21">
        <v>50</v>
      </c>
      <c r="F709" s="21">
        <v>50</v>
      </c>
      <c r="G709" s="21">
        <v>20</v>
      </c>
      <c r="H709" s="21"/>
      <c r="I709" s="21"/>
      <c r="J709" s="21">
        <v>50</v>
      </c>
      <c r="K709" s="21">
        <v>30</v>
      </c>
      <c r="L709" s="21"/>
      <c r="M709" s="21">
        <v>50</v>
      </c>
      <c r="N709" s="21"/>
      <c r="O709" s="21"/>
      <c r="P709" s="21">
        <v>30</v>
      </c>
      <c r="Q709" s="22">
        <f t="shared" si="11"/>
        <v>280</v>
      </c>
    </row>
    <row r="710" spans="1:17" ht="15.75" customHeight="1">
      <c r="A710" s="23">
        <v>708</v>
      </c>
      <c r="B710" s="24" t="s">
        <v>1760</v>
      </c>
      <c r="C710" s="24" t="s">
        <v>244</v>
      </c>
      <c r="D710" s="24" t="s">
        <v>1761</v>
      </c>
      <c r="E710" s="25"/>
      <c r="F710" s="25">
        <v>100</v>
      </c>
      <c r="G710" s="25"/>
      <c r="H710" s="25">
        <v>31</v>
      </c>
      <c r="I710" s="25">
        <v>20</v>
      </c>
      <c r="J710" s="25">
        <v>24</v>
      </c>
      <c r="K710" s="25">
        <v>33</v>
      </c>
      <c r="L710" s="25">
        <v>20</v>
      </c>
      <c r="M710" s="25">
        <v>14</v>
      </c>
      <c r="N710" s="25">
        <v>30</v>
      </c>
      <c r="O710" s="25"/>
      <c r="P710" s="25"/>
      <c r="Q710" s="22">
        <f t="shared" si="11"/>
        <v>272</v>
      </c>
    </row>
    <row r="711" spans="1:17" ht="15.75" customHeight="1">
      <c r="A711" s="19">
        <v>709</v>
      </c>
      <c r="B711" s="20" t="s">
        <v>1762</v>
      </c>
      <c r="C711" s="20" t="s">
        <v>244</v>
      </c>
      <c r="D711" s="20" t="s">
        <v>1763</v>
      </c>
      <c r="E711" s="21"/>
      <c r="F711" s="21"/>
      <c r="G711" s="21"/>
      <c r="H711" s="21"/>
      <c r="I711" s="21"/>
      <c r="J711" s="21">
        <v>4</v>
      </c>
      <c r="K711" s="21">
        <v>22</v>
      </c>
      <c r="L711" s="21"/>
      <c r="M711" s="21"/>
      <c r="N711" s="21"/>
      <c r="O711" s="21"/>
      <c r="P711" s="21"/>
      <c r="Q711" s="22">
        <f t="shared" si="11"/>
        <v>26</v>
      </c>
    </row>
    <row r="712" spans="1:17" ht="15.75" customHeight="1">
      <c r="A712" s="23">
        <v>710</v>
      </c>
      <c r="B712" s="24" t="s">
        <v>1764</v>
      </c>
      <c r="C712" s="24" t="s">
        <v>244</v>
      </c>
      <c r="D712" s="24" t="s">
        <v>1765</v>
      </c>
      <c r="E712" s="25">
        <v>20</v>
      </c>
      <c r="F712" s="25">
        <v>40</v>
      </c>
      <c r="G712" s="25">
        <v>30</v>
      </c>
      <c r="H712" s="25">
        <v>130</v>
      </c>
      <c r="I712" s="25">
        <v>30</v>
      </c>
      <c r="J712" s="25">
        <v>60</v>
      </c>
      <c r="K712" s="25">
        <v>89</v>
      </c>
      <c r="L712" s="25">
        <v>30</v>
      </c>
      <c r="M712" s="25">
        <v>60</v>
      </c>
      <c r="N712" s="25">
        <v>95</v>
      </c>
      <c r="O712" s="25">
        <v>20</v>
      </c>
      <c r="P712" s="25">
        <v>110</v>
      </c>
      <c r="Q712" s="22">
        <f t="shared" si="11"/>
        <v>714</v>
      </c>
    </row>
    <row r="713" spans="1:17" ht="15.75" customHeight="1">
      <c r="A713" s="19">
        <v>711</v>
      </c>
      <c r="B713" s="20" t="s">
        <v>1766</v>
      </c>
      <c r="C713" s="20" t="s">
        <v>244</v>
      </c>
      <c r="D713" s="20" t="s">
        <v>1767</v>
      </c>
      <c r="E713" s="21"/>
      <c r="F713" s="21"/>
      <c r="G713" s="21"/>
      <c r="H713" s="21"/>
      <c r="I713" s="21"/>
      <c r="J713" s="21"/>
      <c r="K713" s="21">
        <v>28</v>
      </c>
      <c r="L713" s="21">
        <v>18</v>
      </c>
      <c r="M713" s="21">
        <v>2</v>
      </c>
      <c r="N713" s="21"/>
      <c r="O713" s="21"/>
      <c r="P713" s="21">
        <v>4</v>
      </c>
      <c r="Q713" s="22">
        <f t="shared" si="11"/>
        <v>52</v>
      </c>
    </row>
    <row r="714" spans="1:17" ht="15.75" customHeight="1">
      <c r="A714" s="23">
        <v>712</v>
      </c>
      <c r="B714" s="24" t="s">
        <v>1768</v>
      </c>
      <c r="C714" s="24" t="s">
        <v>244</v>
      </c>
      <c r="D714" s="24" t="s">
        <v>1678</v>
      </c>
      <c r="E714" s="25"/>
      <c r="F714" s="25"/>
      <c r="G714" s="25"/>
      <c r="H714" s="25"/>
      <c r="I714" s="25"/>
      <c r="J714" s="25"/>
      <c r="K714" s="25">
        <v>2</v>
      </c>
      <c r="L714" s="25"/>
      <c r="M714" s="25"/>
      <c r="N714" s="25"/>
      <c r="O714" s="25"/>
      <c r="P714" s="25"/>
      <c r="Q714" s="22">
        <f t="shared" si="11"/>
        <v>2</v>
      </c>
    </row>
    <row r="715" spans="1:17" ht="15.75" customHeight="1">
      <c r="A715" s="19">
        <v>713</v>
      </c>
      <c r="B715" s="20" t="s">
        <v>1769</v>
      </c>
      <c r="C715" s="20" t="s">
        <v>244</v>
      </c>
      <c r="D715" s="20" t="s">
        <v>1770</v>
      </c>
      <c r="E715" s="21">
        <v>326</v>
      </c>
      <c r="F715" s="21">
        <v>725</v>
      </c>
      <c r="G715" s="21">
        <v>265</v>
      </c>
      <c r="H715" s="21">
        <v>62</v>
      </c>
      <c r="I715" s="21">
        <v>203</v>
      </c>
      <c r="J715" s="21">
        <v>268</v>
      </c>
      <c r="K715" s="21">
        <v>124</v>
      </c>
      <c r="L715" s="21">
        <v>320</v>
      </c>
      <c r="M715" s="21">
        <v>144</v>
      </c>
      <c r="N715" s="21">
        <v>280</v>
      </c>
      <c r="O715" s="21">
        <v>290</v>
      </c>
      <c r="P715" s="21">
        <v>120</v>
      </c>
      <c r="Q715" s="22">
        <f t="shared" si="11"/>
        <v>3127</v>
      </c>
    </row>
    <row r="716" spans="1:17" ht="15.75" customHeight="1">
      <c r="A716" s="23">
        <v>714</v>
      </c>
      <c r="B716" s="24" t="s">
        <v>1771</v>
      </c>
      <c r="C716" s="24" t="s">
        <v>244</v>
      </c>
      <c r="D716" s="24" t="s">
        <v>1772</v>
      </c>
      <c r="E716" s="25"/>
      <c r="F716" s="25"/>
      <c r="G716" s="25">
        <v>50</v>
      </c>
      <c r="H716" s="25">
        <v>10</v>
      </c>
      <c r="I716" s="25">
        <v>10</v>
      </c>
      <c r="J716" s="25">
        <v>40</v>
      </c>
      <c r="K716" s="25">
        <v>30</v>
      </c>
      <c r="L716" s="25">
        <v>10</v>
      </c>
      <c r="M716" s="25">
        <v>20</v>
      </c>
      <c r="N716" s="25"/>
      <c r="O716" s="25"/>
      <c r="P716" s="25">
        <v>30</v>
      </c>
      <c r="Q716" s="22">
        <f t="shared" si="11"/>
        <v>200</v>
      </c>
    </row>
    <row r="717" spans="1:17" ht="15.75" customHeight="1">
      <c r="A717" s="19">
        <v>715</v>
      </c>
      <c r="B717" s="20" t="s">
        <v>1773</v>
      </c>
      <c r="C717" s="20" t="s">
        <v>244</v>
      </c>
      <c r="D717" s="20" t="s">
        <v>1774</v>
      </c>
      <c r="E717" s="21"/>
      <c r="F717" s="21">
        <v>50</v>
      </c>
      <c r="G717" s="21"/>
      <c r="H717" s="21">
        <v>30</v>
      </c>
      <c r="I717" s="21"/>
      <c r="J717" s="21"/>
      <c r="K717" s="21">
        <v>30</v>
      </c>
      <c r="L717" s="21"/>
      <c r="M717" s="21"/>
      <c r="N717" s="21"/>
      <c r="O717" s="21"/>
      <c r="P717" s="21"/>
      <c r="Q717" s="22">
        <f t="shared" si="11"/>
        <v>110</v>
      </c>
    </row>
    <row r="718" spans="1:17" ht="15.75" customHeight="1">
      <c r="A718" s="23">
        <v>716</v>
      </c>
      <c r="B718" s="24" t="s">
        <v>1775</v>
      </c>
      <c r="C718" s="24" t="s">
        <v>253</v>
      </c>
      <c r="D718" s="24" t="s">
        <v>1776</v>
      </c>
      <c r="E718" s="25">
        <v>225</v>
      </c>
      <c r="F718" s="25">
        <v>417</v>
      </c>
      <c r="G718" s="25">
        <v>221</v>
      </c>
      <c r="H718" s="25">
        <v>210</v>
      </c>
      <c r="I718" s="25">
        <v>20</v>
      </c>
      <c r="J718" s="25">
        <v>46</v>
      </c>
      <c r="K718" s="25">
        <v>186</v>
      </c>
      <c r="L718" s="25">
        <v>144</v>
      </c>
      <c r="M718" s="25">
        <v>90</v>
      </c>
      <c r="N718" s="25">
        <v>210</v>
      </c>
      <c r="O718" s="25">
        <v>278</v>
      </c>
      <c r="P718" s="25">
        <v>198</v>
      </c>
      <c r="Q718" s="22">
        <f t="shared" si="11"/>
        <v>2245</v>
      </c>
    </row>
    <row r="719" spans="1:17" ht="15.75" customHeight="1">
      <c r="A719" s="19">
        <v>717</v>
      </c>
      <c r="B719" s="20" t="s">
        <v>1777</v>
      </c>
      <c r="C719" s="20" t="s">
        <v>253</v>
      </c>
      <c r="D719" s="20" t="s">
        <v>1778</v>
      </c>
      <c r="E719" s="21"/>
      <c r="F719" s="21">
        <v>20</v>
      </c>
      <c r="G719" s="21"/>
      <c r="H719" s="21"/>
      <c r="I719" s="21"/>
      <c r="J719" s="21"/>
      <c r="K719" s="21"/>
      <c r="L719" s="21"/>
      <c r="M719" s="21">
        <v>20</v>
      </c>
      <c r="N719" s="21">
        <v>20</v>
      </c>
      <c r="O719" s="21">
        <v>80</v>
      </c>
      <c r="P719" s="21"/>
      <c r="Q719" s="22">
        <f t="shared" si="11"/>
        <v>140</v>
      </c>
    </row>
    <row r="720" spans="1:17" ht="15.75" customHeight="1">
      <c r="A720" s="23">
        <v>718</v>
      </c>
      <c r="B720" s="24" t="s">
        <v>1780</v>
      </c>
      <c r="C720" s="24" t="s">
        <v>253</v>
      </c>
      <c r="D720" s="24" t="s">
        <v>1781</v>
      </c>
      <c r="E720" s="25">
        <v>352</v>
      </c>
      <c r="F720" s="25">
        <v>590</v>
      </c>
      <c r="G720" s="25">
        <v>175</v>
      </c>
      <c r="H720" s="25">
        <v>372</v>
      </c>
      <c r="I720" s="25">
        <v>100</v>
      </c>
      <c r="J720" s="25">
        <v>285</v>
      </c>
      <c r="K720" s="25">
        <v>254</v>
      </c>
      <c r="L720" s="25">
        <v>220</v>
      </c>
      <c r="M720" s="25">
        <v>125</v>
      </c>
      <c r="N720" s="25">
        <v>110</v>
      </c>
      <c r="O720" s="25">
        <v>249</v>
      </c>
      <c r="P720" s="25">
        <v>194</v>
      </c>
      <c r="Q720" s="22">
        <f t="shared" si="11"/>
        <v>3026</v>
      </c>
    </row>
    <row r="721" spans="1:17" ht="15.75" customHeight="1">
      <c r="A721" s="19">
        <v>719</v>
      </c>
      <c r="B721" s="20" t="s">
        <v>1784</v>
      </c>
      <c r="C721" s="20" t="s">
        <v>253</v>
      </c>
      <c r="D721" s="20" t="s">
        <v>1722</v>
      </c>
      <c r="E721" s="21"/>
      <c r="F721" s="21"/>
      <c r="G721" s="21"/>
      <c r="H721" s="21"/>
      <c r="I721" s="21"/>
      <c r="J721" s="21"/>
      <c r="K721" s="21"/>
      <c r="L721" s="21"/>
      <c r="M721" s="21"/>
      <c r="N721" s="21">
        <v>20</v>
      </c>
      <c r="O721" s="21"/>
      <c r="P721" s="21"/>
      <c r="Q721" s="22">
        <f t="shared" si="11"/>
        <v>20</v>
      </c>
    </row>
    <row r="722" spans="1:17" ht="15.75" customHeight="1">
      <c r="A722" s="23">
        <v>720</v>
      </c>
      <c r="B722" s="24" t="s">
        <v>1785</v>
      </c>
      <c r="C722" s="24" t="s">
        <v>253</v>
      </c>
      <c r="D722" s="24" t="s">
        <v>1786</v>
      </c>
      <c r="E722" s="25">
        <v>95</v>
      </c>
      <c r="F722" s="25">
        <v>170</v>
      </c>
      <c r="G722" s="25">
        <v>165</v>
      </c>
      <c r="H722" s="25">
        <v>121</v>
      </c>
      <c r="I722" s="25">
        <v>78</v>
      </c>
      <c r="J722" s="25">
        <v>175</v>
      </c>
      <c r="K722" s="25">
        <v>83</v>
      </c>
      <c r="L722" s="25">
        <v>35</v>
      </c>
      <c r="M722" s="25">
        <v>143</v>
      </c>
      <c r="N722" s="25">
        <v>139</v>
      </c>
      <c r="O722" s="25">
        <v>138</v>
      </c>
      <c r="P722" s="25">
        <v>145</v>
      </c>
      <c r="Q722" s="22">
        <f t="shared" si="11"/>
        <v>1487</v>
      </c>
    </row>
    <row r="723" spans="1:17" ht="15.75" customHeight="1">
      <c r="A723" s="19">
        <v>721</v>
      </c>
      <c r="B723" s="20" t="s">
        <v>1787</v>
      </c>
      <c r="C723" s="20" t="s">
        <v>253</v>
      </c>
      <c r="D723" s="20" t="s">
        <v>1788</v>
      </c>
      <c r="E723" s="21">
        <v>70</v>
      </c>
      <c r="F723" s="21">
        <v>40</v>
      </c>
      <c r="G723" s="21">
        <v>20</v>
      </c>
      <c r="H723" s="21">
        <v>5</v>
      </c>
      <c r="I723" s="21">
        <v>2</v>
      </c>
      <c r="J723" s="21">
        <v>105</v>
      </c>
      <c r="K723" s="21">
        <v>75</v>
      </c>
      <c r="L723" s="21">
        <v>15</v>
      </c>
      <c r="M723" s="21">
        <v>41</v>
      </c>
      <c r="N723" s="21">
        <v>75</v>
      </c>
      <c r="O723" s="21">
        <v>90</v>
      </c>
      <c r="P723" s="21">
        <v>129</v>
      </c>
      <c r="Q723" s="22">
        <f t="shared" si="11"/>
        <v>667</v>
      </c>
    </row>
    <row r="724" spans="1:17" ht="15.75" customHeight="1">
      <c r="A724" s="23">
        <v>722</v>
      </c>
      <c r="B724" s="24" t="s">
        <v>1789</v>
      </c>
      <c r="C724" s="24" t="s">
        <v>253</v>
      </c>
      <c r="D724" s="24" t="s">
        <v>1790</v>
      </c>
      <c r="E724" s="25">
        <v>15</v>
      </c>
      <c r="F724" s="25">
        <v>30</v>
      </c>
      <c r="G724" s="25"/>
      <c r="H724" s="25">
        <v>5</v>
      </c>
      <c r="I724" s="25">
        <v>150</v>
      </c>
      <c r="J724" s="25">
        <v>18</v>
      </c>
      <c r="K724" s="25">
        <v>53</v>
      </c>
      <c r="L724" s="25"/>
      <c r="M724" s="25"/>
      <c r="N724" s="25"/>
      <c r="O724" s="25">
        <v>50</v>
      </c>
      <c r="P724" s="25">
        <v>10</v>
      </c>
      <c r="Q724" s="22">
        <f t="shared" si="11"/>
        <v>331</v>
      </c>
    </row>
    <row r="725" spans="1:17" ht="15.75" customHeight="1">
      <c r="A725" s="19">
        <v>723</v>
      </c>
      <c r="B725" s="20" t="s">
        <v>1791</v>
      </c>
      <c r="C725" s="20" t="s">
        <v>253</v>
      </c>
      <c r="D725" s="20" t="s">
        <v>1792</v>
      </c>
      <c r="E725" s="21">
        <v>15</v>
      </c>
      <c r="F725" s="21">
        <v>10</v>
      </c>
      <c r="G725" s="21">
        <v>70</v>
      </c>
      <c r="H725" s="21">
        <v>20</v>
      </c>
      <c r="I725" s="21"/>
      <c r="J725" s="21">
        <v>20</v>
      </c>
      <c r="K725" s="21">
        <v>25</v>
      </c>
      <c r="L725" s="21">
        <v>1</v>
      </c>
      <c r="M725" s="21">
        <v>70</v>
      </c>
      <c r="N725" s="21">
        <v>20</v>
      </c>
      <c r="O725" s="21"/>
      <c r="P725" s="21">
        <v>16</v>
      </c>
      <c r="Q725" s="22">
        <f t="shared" si="11"/>
        <v>267</v>
      </c>
    </row>
    <row r="726" spans="1:17" ht="15.75" customHeight="1">
      <c r="A726" s="23">
        <v>724</v>
      </c>
      <c r="B726" s="24" t="s">
        <v>1793</v>
      </c>
      <c r="C726" s="24" t="s">
        <v>253</v>
      </c>
      <c r="D726" s="24" t="s">
        <v>1794</v>
      </c>
      <c r="E726" s="25">
        <v>67</v>
      </c>
      <c r="F726" s="25">
        <v>214</v>
      </c>
      <c r="G726" s="25">
        <v>63</v>
      </c>
      <c r="H726" s="25">
        <v>220</v>
      </c>
      <c r="I726" s="25">
        <v>120</v>
      </c>
      <c r="J726" s="25">
        <v>30</v>
      </c>
      <c r="K726" s="25">
        <v>182</v>
      </c>
      <c r="L726" s="25">
        <v>160</v>
      </c>
      <c r="M726" s="25">
        <v>29</v>
      </c>
      <c r="N726" s="25">
        <v>10</v>
      </c>
      <c r="O726" s="25">
        <v>204</v>
      </c>
      <c r="P726" s="25">
        <v>150</v>
      </c>
      <c r="Q726" s="22">
        <f t="shared" si="11"/>
        <v>1449</v>
      </c>
    </row>
    <row r="727" spans="1:17" ht="15.75" customHeight="1">
      <c r="A727" s="19">
        <v>725</v>
      </c>
      <c r="B727" s="20" t="s">
        <v>1795</v>
      </c>
      <c r="C727" s="20" t="s">
        <v>253</v>
      </c>
      <c r="D727" s="20" t="s">
        <v>1796</v>
      </c>
      <c r="E727" s="21">
        <v>5</v>
      </c>
      <c r="F727" s="21">
        <v>10</v>
      </c>
      <c r="G727" s="21"/>
      <c r="H727" s="21">
        <v>10</v>
      </c>
      <c r="I727" s="21"/>
      <c r="J727" s="21">
        <v>10</v>
      </c>
      <c r="K727" s="21">
        <v>2</v>
      </c>
      <c r="L727" s="21">
        <v>10</v>
      </c>
      <c r="M727" s="21"/>
      <c r="N727" s="21"/>
      <c r="O727" s="21">
        <v>14</v>
      </c>
      <c r="P727" s="21"/>
      <c r="Q727" s="22">
        <f t="shared" si="11"/>
        <v>61</v>
      </c>
    </row>
    <row r="728" spans="1:17" ht="15.75" customHeight="1">
      <c r="A728" s="23">
        <v>726</v>
      </c>
      <c r="B728" s="24" t="s">
        <v>1797</v>
      </c>
      <c r="C728" s="24" t="s">
        <v>253</v>
      </c>
      <c r="D728" s="24" t="s">
        <v>1798</v>
      </c>
      <c r="E728" s="25"/>
      <c r="F728" s="25"/>
      <c r="G728" s="25">
        <v>20</v>
      </c>
      <c r="H728" s="25">
        <v>50</v>
      </c>
      <c r="I728" s="25">
        <v>10</v>
      </c>
      <c r="J728" s="25">
        <v>40</v>
      </c>
      <c r="K728" s="25"/>
      <c r="L728" s="25"/>
      <c r="M728" s="25">
        <v>40</v>
      </c>
      <c r="N728" s="25"/>
      <c r="O728" s="25"/>
      <c r="P728" s="25">
        <v>20</v>
      </c>
      <c r="Q728" s="22">
        <f t="shared" si="11"/>
        <v>180</v>
      </c>
    </row>
    <row r="729" spans="1:17" ht="15.75" customHeight="1">
      <c r="A729" s="19">
        <v>727</v>
      </c>
      <c r="B729" s="20" t="s">
        <v>1799</v>
      </c>
      <c r="C729" s="20" t="s">
        <v>253</v>
      </c>
      <c r="D729" s="20" t="s">
        <v>1800</v>
      </c>
      <c r="E729" s="21">
        <v>19</v>
      </c>
      <c r="F729" s="21">
        <v>40</v>
      </c>
      <c r="G729" s="21">
        <v>20</v>
      </c>
      <c r="H729" s="21"/>
      <c r="I729" s="21"/>
      <c r="J729" s="21">
        <v>20</v>
      </c>
      <c r="K729" s="21">
        <v>47</v>
      </c>
      <c r="L729" s="21">
        <v>40</v>
      </c>
      <c r="M729" s="21">
        <v>20</v>
      </c>
      <c r="N729" s="21"/>
      <c r="O729" s="21"/>
      <c r="P729" s="21">
        <v>30</v>
      </c>
      <c r="Q729" s="22">
        <f t="shared" si="11"/>
        <v>236</v>
      </c>
    </row>
    <row r="730" spans="1:17" ht="15.75" customHeight="1">
      <c r="A730" s="23">
        <v>728</v>
      </c>
      <c r="B730" s="24" t="s">
        <v>1802</v>
      </c>
      <c r="C730" s="24" t="s">
        <v>253</v>
      </c>
      <c r="D730" s="24" t="s">
        <v>1803</v>
      </c>
      <c r="E730" s="25"/>
      <c r="F730" s="25">
        <v>10</v>
      </c>
      <c r="G730" s="25"/>
      <c r="H730" s="25"/>
      <c r="I730" s="25"/>
      <c r="J730" s="25"/>
      <c r="K730" s="25">
        <v>40</v>
      </c>
      <c r="L730" s="25"/>
      <c r="M730" s="25"/>
      <c r="N730" s="25"/>
      <c r="O730" s="25"/>
      <c r="P730" s="25"/>
      <c r="Q730" s="22">
        <f t="shared" si="11"/>
        <v>50</v>
      </c>
    </row>
    <row r="731" spans="1:17" ht="15.75" customHeight="1">
      <c r="A731" s="19">
        <v>729</v>
      </c>
      <c r="B731" s="20" t="s">
        <v>1804</v>
      </c>
      <c r="C731" s="20" t="s">
        <v>253</v>
      </c>
      <c r="D731" s="20" t="s">
        <v>1805</v>
      </c>
      <c r="E731" s="21"/>
      <c r="F731" s="21">
        <v>20</v>
      </c>
      <c r="G731" s="21">
        <v>30</v>
      </c>
      <c r="H731" s="21">
        <v>95</v>
      </c>
      <c r="I731" s="21">
        <v>40</v>
      </c>
      <c r="J731" s="21">
        <v>20</v>
      </c>
      <c r="K731" s="21">
        <v>35</v>
      </c>
      <c r="L731" s="21">
        <v>40</v>
      </c>
      <c r="M731" s="21">
        <v>10</v>
      </c>
      <c r="N731" s="21"/>
      <c r="O731" s="21">
        <v>60</v>
      </c>
      <c r="P731" s="21"/>
      <c r="Q731" s="22">
        <f t="shared" si="11"/>
        <v>350</v>
      </c>
    </row>
    <row r="732" spans="1:17" ht="15.75" customHeight="1">
      <c r="A732" s="23">
        <v>730</v>
      </c>
      <c r="B732" s="24" t="s">
        <v>1806</v>
      </c>
      <c r="C732" s="24" t="s">
        <v>253</v>
      </c>
      <c r="D732" s="24" t="s">
        <v>1807</v>
      </c>
      <c r="E732" s="25"/>
      <c r="F732" s="25">
        <v>10</v>
      </c>
      <c r="G732" s="25">
        <v>284</v>
      </c>
      <c r="H732" s="25"/>
      <c r="I732" s="25">
        <v>40</v>
      </c>
      <c r="J732" s="25"/>
      <c r="K732" s="25">
        <v>20</v>
      </c>
      <c r="L732" s="25"/>
      <c r="M732" s="25">
        <v>20</v>
      </c>
      <c r="N732" s="25"/>
      <c r="O732" s="25">
        <v>20</v>
      </c>
      <c r="P732" s="25"/>
      <c r="Q732" s="22">
        <f t="shared" si="11"/>
        <v>394</v>
      </c>
    </row>
    <row r="733" spans="1:17" ht="15.75" customHeight="1">
      <c r="A733" s="19">
        <v>731</v>
      </c>
      <c r="B733" s="20" t="s">
        <v>1808</v>
      </c>
      <c r="C733" s="20" t="s">
        <v>263</v>
      </c>
      <c r="D733" s="20" t="s">
        <v>1809</v>
      </c>
      <c r="E733" s="21"/>
      <c r="F733" s="21"/>
      <c r="G733" s="21"/>
      <c r="H733" s="21"/>
      <c r="I733" s="21"/>
      <c r="J733" s="21"/>
      <c r="K733" s="21"/>
      <c r="L733" s="21">
        <v>30</v>
      </c>
      <c r="M733" s="21">
        <v>20</v>
      </c>
      <c r="N733" s="21"/>
      <c r="O733" s="21">
        <v>20</v>
      </c>
      <c r="P733" s="21"/>
      <c r="Q733" s="22">
        <f t="shared" si="11"/>
        <v>70</v>
      </c>
    </row>
    <row r="734" spans="1:17" ht="15.75" customHeight="1">
      <c r="A734" s="23">
        <v>732</v>
      </c>
      <c r="B734" s="24" t="s">
        <v>1811</v>
      </c>
      <c r="C734" s="24" t="s">
        <v>263</v>
      </c>
      <c r="D734" s="24" t="s">
        <v>1812</v>
      </c>
      <c r="E734" s="25"/>
      <c r="F734" s="25"/>
      <c r="G734" s="25"/>
      <c r="H734" s="25"/>
      <c r="I734" s="25"/>
      <c r="J734" s="25">
        <v>10</v>
      </c>
      <c r="K734" s="25"/>
      <c r="L734" s="25">
        <v>20</v>
      </c>
      <c r="M734" s="25">
        <v>20</v>
      </c>
      <c r="N734" s="25"/>
      <c r="O734" s="25">
        <v>10</v>
      </c>
      <c r="P734" s="25"/>
      <c r="Q734" s="22">
        <f t="shared" si="11"/>
        <v>60</v>
      </c>
    </row>
    <row r="735" spans="1:17" ht="15.75" customHeight="1">
      <c r="A735" s="19">
        <v>733</v>
      </c>
      <c r="B735" s="20" t="s">
        <v>1813</v>
      </c>
      <c r="C735" s="20" t="s">
        <v>263</v>
      </c>
      <c r="D735" s="20" t="s">
        <v>1814</v>
      </c>
      <c r="E735" s="21"/>
      <c r="F735" s="21"/>
      <c r="G735" s="21"/>
      <c r="H735" s="21"/>
      <c r="I735" s="21"/>
      <c r="J735" s="21">
        <v>20</v>
      </c>
      <c r="K735" s="21"/>
      <c r="L735" s="21"/>
      <c r="M735" s="21"/>
      <c r="N735" s="21"/>
      <c r="O735" s="21">
        <v>10</v>
      </c>
      <c r="P735" s="21"/>
      <c r="Q735" s="22">
        <f t="shared" si="11"/>
        <v>30</v>
      </c>
    </row>
    <row r="736" spans="1:17" ht="15.75" customHeight="1">
      <c r="A736" s="23">
        <v>734</v>
      </c>
      <c r="B736" s="24" t="s">
        <v>1817</v>
      </c>
      <c r="C736" s="24" t="s">
        <v>263</v>
      </c>
      <c r="D736" s="24" t="s">
        <v>1818</v>
      </c>
      <c r="E736" s="25"/>
      <c r="F736" s="25">
        <v>70</v>
      </c>
      <c r="G736" s="25">
        <v>180</v>
      </c>
      <c r="H736" s="25">
        <v>40</v>
      </c>
      <c r="I736" s="25"/>
      <c r="J736" s="25"/>
      <c r="K736" s="25"/>
      <c r="L736" s="25">
        <v>30</v>
      </c>
      <c r="M736" s="25">
        <v>20</v>
      </c>
      <c r="N736" s="25"/>
      <c r="O736" s="25"/>
      <c r="P736" s="25"/>
      <c r="Q736" s="22">
        <f t="shared" si="11"/>
        <v>340</v>
      </c>
    </row>
    <row r="737" spans="1:17" ht="15.75" customHeight="1">
      <c r="A737" s="19">
        <v>735</v>
      </c>
      <c r="B737" s="20" t="s">
        <v>1821</v>
      </c>
      <c r="C737" s="20" t="s">
        <v>263</v>
      </c>
      <c r="D737" s="20" t="s">
        <v>1822</v>
      </c>
      <c r="E737" s="21"/>
      <c r="F737" s="21"/>
      <c r="G737" s="21">
        <v>20</v>
      </c>
      <c r="H737" s="21">
        <v>20</v>
      </c>
      <c r="I737" s="21"/>
      <c r="J737" s="21"/>
      <c r="K737" s="21"/>
      <c r="L737" s="21"/>
      <c r="M737" s="21"/>
      <c r="N737" s="21"/>
      <c r="O737" s="21"/>
      <c r="P737" s="21"/>
      <c r="Q737" s="22">
        <f t="shared" si="11"/>
        <v>40</v>
      </c>
    </row>
    <row r="738" spans="1:17" ht="15.75" customHeight="1">
      <c r="A738" s="23">
        <v>736</v>
      </c>
      <c r="B738" s="24" t="s">
        <v>1823</v>
      </c>
      <c r="C738" s="24" t="s">
        <v>271</v>
      </c>
      <c r="D738" s="24" t="s">
        <v>1824</v>
      </c>
      <c r="E738" s="25">
        <v>10</v>
      </c>
      <c r="F738" s="25">
        <v>50</v>
      </c>
      <c r="G738" s="25">
        <v>40</v>
      </c>
      <c r="H738" s="25">
        <v>30</v>
      </c>
      <c r="I738" s="25">
        <v>40</v>
      </c>
      <c r="J738" s="25">
        <v>20</v>
      </c>
      <c r="K738" s="25">
        <v>25</v>
      </c>
      <c r="L738" s="25">
        <v>10</v>
      </c>
      <c r="M738" s="25">
        <v>10</v>
      </c>
      <c r="N738" s="25">
        <v>65</v>
      </c>
      <c r="O738" s="25">
        <v>60</v>
      </c>
      <c r="P738" s="25">
        <v>80</v>
      </c>
      <c r="Q738" s="22">
        <f t="shared" si="11"/>
        <v>440</v>
      </c>
    </row>
    <row r="739" spans="1:17" ht="15.75" customHeight="1">
      <c r="A739" s="19">
        <v>737</v>
      </c>
      <c r="B739" s="20" t="s">
        <v>1825</v>
      </c>
      <c r="C739" s="20" t="s">
        <v>271</v>
      </c>
      <c r="D739" s="20" t="s">
        <v>1668</v>
      </c>
      <c r="E739" s="21"/>
      <c r="F739" s="21">
        <v>10</v>
      </c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2">
        <f t="shared" si="11"/>
        <v>10</v>
      </c>
    </row>
    <row r="740" spans="1:17" ht="15.75" customHeight="1">
      <c r="A740" s="23">
        <v>738</v>
      </c>
      <c r="B740" s="24" t="s">
        <v>1826</v>
      </c>
      <c r="C740" s="24" t="s">
        <v>271</v>
      </c>
      <c r="D740" s="24" t="s">
        <v>1827</v>
      </c>
      <c r="E740" s="25">
        <v>25</v>
      </c>
      <c r="F740" s="25">
        <v>90</v>
      </c>
      <c r="G740" s="25">
        <v>50</v>
      </c>
      <c r="H740" s="25">
        <v>34</v>
      </c>
      <c r="I740" s="25">
        <v>15</v>
      </c>
      <c r="J740" s="25">
        <v>45</v>
      </c>
      <c r="K740" s="25">
        <v>65</v>
      </c>
      <c r="L740" s="25">
        <v>51</v>
      </c>
      <c r="M740" s="25">
        <v>20</v>
      </c>
      <c r="N740" s="25">
        <v>130</v>
      </c>
      <c r="O740" s="25">
        <v>70</v>
      </c>
      <c r="P740" s="25">
        <v>120</v>
      </c>
      <c r="Q740" s="22">
        <f t="shared" si="11"/>
        <v>715</v>
      </c>
    </row>
    <row r="741" spans="1:17" ht="15.75" customHeight="1">
      <c r="A741" s="19">
        <v>739</v>
      </c>
      <c r="B741" s="20" t="s">
        <v>1829</v>
      </c>
      <c r="C741" s="20" t="s">
        <v>271</v>
      </c>
      <c r="D741" s="20" t="s">
        <v>1830</v>
      </c>
      <c r="E741" s="21">
        <v>23</v>
      </c>
      <c r="F741" s="21">
        <v>115</v>
      </c>
      <c r="G741" s="21">
        <v>30</v>
      </c>
      <c r="H741" s="21">
        <v>98</v>
      </c>
      <c r="I741" s="21">
        <v>35</v>
      </c>
      <c r="J741" s="21">
        <v>70</v>
      </c>
      <c r="K741" s="21">
        <v>20</v>
      </c>
      <c r="L741" s="21">
        <v>10</v>
      </c>
      <c r="M741" s="21">
        <v>48</v>
      </c>
      <c r="N741" s="21">
        <v>41</v>
      </c>
      <c r="O741" s="21">
        <v>50</v>
      </c>
      <c r="P741" s="21">
        <v>45</v>
      </c>
      <c r="Q741" s="22">
        <f t="shared" si="11"/>
        <v>585</v>
      </c>
    </row>
    <row r="742" spans="1:17" ht="15.75" customHeight="1">
      <c r="A742" s="23">
        <v>740</v>
      </c>
      <c r="B742" s="24" t="s">
        <v>1831</v>
      </c>
      <c r="C742" s="24" t="s">
        <v>271</v>
      </c>
      <c r="D742" s="24" t="s">
        <v>1832</v>
      </c>
      <c r="E742" s="25">
        <v>10</v>
      </c>
      <c r="F742" s="25">
        <v>10</v>
      </c>
      <c r="G742" s="25"/>
      <c r="H742" s="25"/>
      <c r="I742" s="25"/>
      <c r="J742" s="25">
        <v>22</v>
      </c>
      <c r="K742" s="25">
        <v>40</v>
      </c>
      <c r="L742" s="25"/>
      <c r="M742" s="25">
        <v>30</v>
      </c>
      <c r="N742" s="25">
        <v>38</v>
      </c>
      <c r="O742" s="25">
        <v>6</v>
      </c>
      <c r="P742" s="25">
        <v>60</v>
      </c>
      <c r="Q742" s="22">
        <f t="shared" si="11"/>
        <v>216</v>
      </c>
    </row>
    <row r="743" spans="1:17" ht="15.75" customHeight="1">
      <c r="A743" s="19">
        <v>741</v>
      </c>
      <c r="B743" s="20" t="s">
        <v>1833</v>
      </c>
      <c r="C743" s="20" t="s">
        <v>271</v>
      </c>
      <c r="D743" s="20" t="s">
        <v>1834</v>
      </c>
      <c r="E743" s="21"/>
      <c r="F743" s="21">
        <v>10</v>
      </c>
      <c r="G743" s="21">
        <v>10</v>
      </c>
      <c r="H743" s="21"/>
      <c r="I743" s="21"/>
      <c r="J743" s="21"/>
      <c r="K743" s="21">
        <v>41</v>
      </c>
      <c r="L743" s="21">
        <v>9</v>
      </c>
      <c r="M743" s="21">
        <v>45</v>
      </c>
      <c r="N743" s="21"/>
      <c r="O743" s="21"/>
      <c r="P743" s="21">
        <v>12</v>
      </c>
      <c r="Q743" s="22">
        <f t="shared" si="11"/>
        <v>127</v>
      </c>
    </row>
    <row r="744" spans="1:17" ht="15.75" customHeight="1">
      <c r="A744" s="23">
        <v>742</v>
      </c>
      <c r="B744" s="24" t="s">
        <v>1835</v>
      </c>
      <c r="C744" s="24" t="s">
        <v>271</v>
      </c>
      <c r="D744" s="24" t="s">
        <v>1678</v>
      </c>
      <c r="E744" s="25"/>
      <c r="F744" s="25"/>
      <c r="G744" s="25"/>
      <c r="H744" s="25"/>
      <c r="I744" s="25"/>
      <c r="J744" s="25"/>
      <c r="K744" s="25"/>
      <c r="L744" s="25"/>
      <c r="M744" s="25"/>
      <c r="N744" s="25">
        <v>6</v>
      </c>
      <c r="O744" s="25"/>
      <c r="P744" s="25"/>
      <c r="Q744" s="22">
        <f t="shared" si="11"/>
        <v>6</v>
      </c>
    </row>
    <row r="745" spans="1:17" ht="15.75" customHeight="1">
      <c r="A745" s="19">
        <v>743</v>
      </c>
      <c r="B745" s="20" t="s">
        <v>1836</v>
      </c>
      <c r="C745" s="20" t="s">
        <v>271</v>
      </c>
      <c r="D745" s="20" t="s">
        <v>1837</v>
      </c>
      <c r="E745" s="21"/>
      <c r="F745" s="21"/>
      <c r="G745" s="21"/>
      <c r="H745" s="21">
        <v>30</v>
      </c>
      <c r="I745" s="21">
        <v>10</v>
      </c>
      <c r="J745" s="21"/>
      <c r="K745" s="21"/>
      <c r="L745" s="21"/>
      <c r="M745" s="21"/>
      <c r="N745" s="21"/>
      <c r="O745" s="21"/>
      <c r="P745" s="21"/>
      <c r="Q745" s="22">
        <f t="shared" si="11"/>
        <v>40</v>
      </c>
    </row>
    <row r="746" spans="1:17" ht="15.75" customHeight="1">
      <c r="A746" s="23">
        <v>744</v>
      </c>
      <c r="B746" s="24" t="s">
        <v>1840</v>
      </c>
      <c r="C746" s="24" t="s">
        <v>271</v>
      </c>
      <c r="D746" s="24" t="s">
        <v>1841</v>
      </c>
      <c r="E746" s="25"/>
      <c r="F746" s="25">
        <v>20</v>
      </c>
      <c r="G746" s="25"/>
      <c r="H746" s="25"/>
      <c r="I746" s="25"/>
      <c r="J746" s="25"/>
      <c r="K746" s="25">
        <v>5</v>
      </c>
      <c r="L746" s="25"/>
      <c r="M746" s="25"/>
      <c r="N746" s="25"/>
      <c r="O746" s="25"/>
      <c r="P746" s="25"/>
      <c r="Q746" s="22">
        <f t="shared" si="11"/>
        <v>25</v>
      </c>
    </row>
    <row r="747" spans="1:17" ht="15.75" customHeight="1">
      <c r="A747" s="19">
        <v>745</v>
      </c>
      <c r="B747" s="20" t="s">
        <v>1843</v>
      </c>
      <c r="C747" s="20" t="s">
        <v>271</v>
      </c>
      <c r="D747" s="20" t="s">
        <v>1844</v>
      </c>
      <c r="E747" s="21"/>
      <c r="F747" s="21"/>
      <c r="G747" s="21"/>
      <c r="H747" s="21"/>
      <c r="I747" s="21"/>
      <c r="J747" s="21">
        <v>20</v>
      </c>
      <c r="K747" s="21">
        <v>20</v>
      </c>
      <c r="L747" s="21"/>
      <c r="M747" s="21"/>
      <c r="N747" s="21"/>
      <c r="O747" s="21"/>
      <c r="P747" s="21"/>
      <c r="Q747" s="22">
        <f t="shared" si="11"/>
        <v>40</v>
      </c>
    </row>
    <row r="748" spans="1:17" ht="15.75" customHeight="1">
      <c r="A748" s="23">
        <v>746</v>
      </c>
      <c r="B748" s="24" t="s">
        <v>1845</v>
      </c>
      <c r="C748" s="24" t="s">
        <v>278</v>
      </c>
      <c r="D748" s="24" t="s">
        <v>1846</v>
      </c>
      <c r="E748" s="25">
        <v>5</v>
      </c>
      <c r="F748" s="25"/>
      <c r="G748" s="25"/>
      <c r="H748" s="25">
        <v>5</v>
      </c>
      <c r="I748" s="25"/>
      <c r="J748" s="25"/>
      <c r="K748" s="25"/>
      <c r="L748" s="25">
        <v>35</v>
      </c>
      <c r="M748" s="25"/>
      <c r="N748" s="25">
        <v>5</v>
      </c>
      <c r="O748" s="25"/>
      <c r="P748" s="25"/>
      <c r="Q748" s="22">
        <f t="shared" si="11"/>
        <v>50</v>
      </c>
    </row>
    <row r="749" spans="1:17" ht="15.75" customHeight="1">
      <c r="A749" s="19">
        <v>747</v>
      </c>
      <c r="B749" s="20" t="s">
        <v>1848</v>
      </c>
      <c r="C749" s="20" t="s">
        <v>278</v>
      </c>
      <c r="D749" s="20" t="s">
        <v>1849</v>
      </c>
      <c r="E749" s="21">
        <v>15</v>
      </c>
      <c r="F749" s="21"/>
      <c r="G749" s="21">
        <v>60</v>
      </c>
      <c r="H749" s="21">
        <v>25</v>
      </c>
      <c r="I749" s="21">
        <v>30</v>
      </c>
      <c r="J749" s="21"/>
      <c r="K749" s="21">
        <v>50</v>
      </c>
      <c r="L749" s="21">
        <v>5</v>
      </c>
      <c r="M749" s="21">
        <v>48</v>
      </c>
      <c r="N749" s="21"/>
      <c r="O749" s="21"/>
      <c r="P749" s="21"/>
      <c r="Q749" s="22">
        <f t="shared" si="11"/>
        <v>233</v>
      </c>
    </row>
    <row r="750" spans="1:17" ht="15.75" customHeight="1">
      <c r="A750" s="23">
        <v>748</v>
      </c>
      <c r="B750" s="24" t="s">
        <v>1850</v>
      </c>
      <c r="C750" s="24" t="s">
        <v>278</v>
      </c>
      <c r="D750" s="24" t="s">
        <v>1851</v>
      </c>
      <c r="E750" s="25">
        <v>15</v>
      </c>
      <c r="F750" s="25"/>
      <c r="G750" s="25">
        <v>10</v>
      </c>
      <c r="H750" s="25">
        <v>5</v>
      </c>
      <c r="I750" s="25"/>
      <c r="J750" s="25"/>
      <c r="K750" s="25">
        <v>50</v>
      </c>
      <c r="L750" s="25">
        <v>5</v>
      </c>
      <c r="M750" s="25">
        <v>35</v>
      </c>
      <c r="N750" s="25"/>
      <c r="O750" s="25"/>
      <c r="P750" s="25"/>
      <c r="Q750" s="22">
        <f t="shared" si="11"/>
        <v>120</v>
      </c>
    </row>
    <row r="751" spans="1:17" ht="15.75" customHeight="1">
      <c r="A751" s="19">
        <v>749</v>
      </c>
      <c r="B751" s="20" t="s">
        <v>1852</v>
      </c>
      <c r="C751" s="20" t="s">
        <v>278</v>
      </c>
      <c r="D751" s="20" t="s">
        <v>1853</v>
      </c>
      <c r="E751" s="21">
        <v>10</v>
      </c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2">
        <f t="shared" si="11"/>
        <v>10</v>
      </c>
    </row>
    <row r="752" spans="1:17" ht="15.75" customHeight="1">
      <c r="A752" s="23">
        <v>750</v>
      </c>
      <c r="B752" s="24" t="s">
        <v>1854</v>
      </c>
      <c r="C752" s="24" t="s">
        <v>283</v>
      </c>
      <c r="D752" s="24" t="s">
        <v>1855</v>
      </c>
      <c r="E752" s="25">
        <v>30</v>
      </c>
      <c r="F752" s="25"/>
      <c r="G752" s="25">
        <v>20</v>
      </c>
      <c r="H752" s="25">
        <v>20</v>
      </c>
      <c r="I752" s="25">
        <v>6</v>
      </c>
      <c r="J752" s="25"/>
      <c r="K752" s="25">
        <v>20</v>
      </c>
      <c r="L752" s="25">
        <v>63</v>
      </c>
      <c r="M752" s="25"/>
      <c r="N752" s="25"/>
      <c r="O752" s="25"/>
      <c r="P752" s="25"/>
      <c r="Q752" s="22">
        <f t="shared" si="11"/>
        <v>159</v>
      </c>
    </row>
    <row r="753" spans="1:17" ht="15.75" customHeight="1">
      <c r="A753" s="19">
        <v>751</v>
      </c>
      <c r="B753" s="20" t="s">
        <v>1857</v>
      </c>
      <c r="C753" s="20" t="s">
        <v>283</v>
      </c>
      <c r="D753" s="20" t="s">
        <v>1858</v>
      </c>
      <c r="E753" s="21">
        <v>30</v>
      </c>
      <c r="F753" s="21">
        <v>10</v>
      </c>
      <c r="G753" s="21">
        <v>30</v>
      </c>
      <c r="H753" s="21">
        <v>10</v>
      </c>
      <c r="I753" s="21">
        <v>20</v>
      </c>
      <c r="J753" s="21">
        <v>50</v>
      </c>
      <c r="K753" s="21">
        <v>30</v>
      </c>
      <c r="L753" s="21">
        <v>30</v>
      </c>
      <c r="M753" s="21"/>
      <c r="N753" s="21"/>
      <c r="O753" s="21"/>
      <c r="P753" s="21">
        <v>20</v>
      </c>
      <c r="Q753" s="22">
        <f t="shared" si="11"/>
        <v>230</v>
      </c>
    </row>
    <row r="754" spans="1:17" ht="15.75" customHeight="1">
      <c r="A754" s="23">
        <v>752</v>
      </c>
      <c r="B754" s="24" t="s">
        <v>1859</v>
      </c>
      <c r="C754" s="24" t="s">
        <v>283</v>
      </c>
      <c r="D754" s="24" t="s">
        <v>1860</v>
      </c>
      <c r="E754" s="25"/>
      <c r="F754" s="25"/>
      <c r="G754" s="25">
        <v>20</v>
      </c>
      <c r="H754" s="25"/>
      <c r="I754" s="25"/>
      <c r="J754" s="25"/>
      <c r="K754" s="25">
        <v>20</v>
      </c>
      <c r="L754" s="25"/>
      <c r="M754" s="25"/>
      <c r="N754" s="25"/>
      <c r="O754" s="25"/>
      <c r="P754" s="25"/>
      <c r="Q754" s="22">
        <f t="shared" si="11"/>
        <v>40</v>
      </c>
    </row>
    <row r="755" spans="1:17" ht="15.75" customHeight="1">
      <c r="A755" s="19">
        <v>753</v>
      </c>
      <c r="B755" s="20" t="s">
        <v>1861</v>
      </c>
      <c r="C755" s="20" t="s">
        <v>283</v>
      </c>
      <c r="D755" s="20" t="s">
        <v>1862</v>
      </c>
      <c r="E755" s="21">
        <v>10</v>
      </c>
      <c r="F755" s="21"/>
      <c r="G755" s="21">
        <v>20</v>
      </c>
      <c r="H755" s="21">
        <v>10</v>
      </c>
      <c r="I755" s="21"/>
      <c r="J755" s="21"/>
      <c r="K755" s="21"/>
      <c r="L755" s="21"/>
      <c r="M755" s="21"/>
      <c r="N755" s="21">
        <v>20</v>
      </c>
      <c r="O755" s="21"/>
      <c r="P755" s="21"/>
      <c r="Q755" s="22">
        <f t="shared" si="11"/>
        <v>60</v>
      </c>
    </row>
    <row r="756" spans="1:17" ht="15.75" customHeight="1">
      <c r="A756" s="23">
        <v>754</v>
      </c>
      <c r="B756" s="24" t="s">
        <v>1863</v>
      </c>
      <c r="C756" s="24" t="s">
        <v>283</v>
      </c>
      <c r="D756" s="24" t="s">
        <v>1864</v>
      </c>
      <c r="E756" s="25"/>
      <c r="F756" s="25">
        <v>180</v>
      </c>
      <c r="G756" s="25"/>
      <c r="H756" s="25">
        <v>140</v>
      </c>
      <c r="I756" s="25">
        <v>50</v>
      </c>
      <c r="J756" s="25"/>
      <c r="K756" s="25"/>
      <c r="L756" s="25"/>
      <c r="M756" s="25">
        <v>50</v>
      </c>
      <c r="N756" s="25">
        <v>20</v>
      </c>
      <c r="O756" s="25"/>
      <c r="P756" s="25">
        <v>30</v>
      </c>
      <c r="Q756" s="22">
        <f t="shared" si="11"/>
        <v>470</v>
      </c>
    </row>
    <row r="757" spans="1:17" ht="15.75" customHeight="1">
      <c r="A757" s="19">
        <v>755</v>
      </c>
      <c r="B757" s="20" t="s">
        <v>1865</v>
      </c>
      <c r="C757" s="20" t="s">
        <v>283</v>
      </c>
      <c r="D757" s="20" t="s">
        <v>1866</v>
      </c>
      <c r="E757" s="21">
        <v>110</v>
      </c>
      <c r="F757" s="21">
        <v>202</v>
      </c>
      <c r="G757" s="21">
        <v>19</v>
      </c>
      <c r="H757" s="21">
        <v>351</v>
      </c>
      <c r="I757" s="21">
        <v>280</v>
      </c>
      <c r="J757" s="21">
        <v>220</v>
      </c>
      <c r="K757" s="21">
        <v>125</v>
      </c>
      <c r="L757" s="21">
        <v>410</v>
      </c>
      <c r="M757" s="21">
        <v>430</v>
      </c>
      <c r="N757" s="21">
        <v>90</v>
      </c>
      <c r="O757" s="21">
        <v>255</v>
      </c>
      <c r="P757" s="21">
        <v>410</v>
      </c>
      <c r="Q757" s="22">
        <f t="shared" si="11"/>
        <v>2902</v>
      </c>
    </row>
    <row r="758" spans="1:17" ht="15.75" customHeight="1">
      <c r="A758" s="23">
        <v>756</v>
      </c>
      <c r="B758" s="24" t="s">
        <v>1867</v>
      </c>
      <c r="C758" s="24" t="s">
        <v>283</v>
      </c>
      <c r="D758" s="24" t="s">
        <v>1868</v>
      </c>
      <c r="E758" s="25"/>
      <c r="F758" s="25"/>
      <c r="G758" s="25">
        <v>20</v>
      </c>
      <c r="H758" s="25"/>
      <c r="I758" s="25"/>
      <c r="J758" s="25"/>
      <c r="K758" s="25"/>
      <c r="L758" s="25"/>
      <c r="M758" s="25">
        <v>60</v>
      </c>
      <c r="N758" s="25"/>
      <c r="O758" s="25"/>
      <c r="P758" s="25"/>
      <c r="Q758" s="22">
        <f t="shared" si="11"/>
        <v>80</v>
      </c>
    </row>
    <row r="759" spans="1:17" ht="15.75" customHeight="1">
      <c r="A759" s="19">
        <v>757</v>
      </c>
      <c r="B759" s="20" t="s">
        <v>1869</v>
      </c>
      <c r="C759" s="20" t="s">
        <v>283</v>
      </c>
      <c r="D759" s="20" t="s">
        <v>1870</v>
      </c>
      <c r="E759" s="21"/>
      <c r="F759" s="21"/>
      <c r="G759" s="21">
        <v>15</v>
      </c>
      <c r="H759" s="21"/>
      <c r="I759" s="21">
        <v>10</v>
      </c>
      <c r="J759" s="21"/>
      <c r="K759" s="21"/>
      <c r="L759" s="21"/>
      <c r="M759" s="21">
        <v>20</v>
      </c>
      <c r="N759" s="21"/>
      <c r="O759" s="21"/>
      <c r="P759" s="21">
        <v>32</v>
      </c>
      <c r="Q759" s="22">
        <f t="shared" si="11"/>
        <v>77</v>
      </c>
    </row>
    <row r="760" spans="1:17" ht="15.75" customHeight="1">
      <c r="A760" s="23">
        <v>758</v>
      </c>
      <c r="B760" s="24" t="s">
        <v>1871</v>
      </c>
      <c r="C760" s="24" t="s">
        <v>283</v>
      </c>
      <c r="D760" s="24" t="s">
        <v>1872</v>
      </c>
      <c r="E760" s="25"/>
      <c r="F760" s="25">
        <v>10</v>
      </c>
      <c r="G760" s="25">
        <v>20</v>
      </c>
      <c r="H760" s="25"/>
      <c r="I760" s="25"/>
      <c r="J760" s="25"/>
      <c r="K760" s="25"/>
      <c r="L760" s="25">
        <v>20</v>
      </c>
      <c r="M760" s="25">
        <v>40</v>
      </c>
      <c r="N760" s="25"/>
      <c r="O760" s="25"/>
      <c r="P760" s="25"/>
      <c r="Q760" s="22">
        <f t="shared" si="11"/>
        <v>90</v>
      </c>
    </row>
    <row r="761" spans="1:17" ht="15.75" customHeight="1">
      <c r="A761" s="19">
        <v>759</v>
      </c>
      <c r="B761" s="20" t="s">
        <v>1873</v>
      </c>
      <c r="C761" s="20" t="s">
        <v>294</v>
      </c>
      <c r="D761" s="20" t="s">
        <v>1874</v>
      </c>
      <c r="E761" s="21"/>
      <c r="F761" s="21">
        <v>120</v>
      </c>
      <c r="G761" s="21">
        <v>175</v>
      </c>
      <c r="H761" s="21">
        <v>31</v>
      </c>
      <c r="I761" s="21">
        <v>25</v>
      </c>
      <c r="J761" s="21">
        <v>50</v>
      </c>
      <c r="K761" s="21">
        <v>20</v>
      </c>
      <c r="L761" s="21">
        <v>95</v>
      </c>
      <c r="M761" s="21">
        <v>90</v>
      </c>
      <c r="N761" s="21">
        <v>145</v>
      </c>
      <c r="O761" s="21">
        <v>110</v>
      </c>
      <c r="P761" s="21">
        <v>65</v>
      </c>
      <c r="Q761" s="22">
        <f t="shared" si="11"/>
        <v>926</v>
      </c>
    </row>
    <row r="762" spans="1:17" ht="15.75" customHeight="1">
      <c r="A762" s="23">
        <v>760</v>
      </c>
      <c r="B762" s="24" t="s">
        <v>1875</v>
      </c>
      <c r="C762" s="24" t="s">
        <v>294</v>
      </c>
      <c r="D762" s="24" t="s">
        <v>1876</v>
      </c>
      <c r="E762" s="25">
        <v>50</v>
      </c>
      <c r="F762" s="25">
        <v>30</v>
      </c>
      <c r="G762" s="25">
        <v>70</v>
      </c>
      <c r="H762" s="25">
        <v>55</v>
      </c>
      <c r="I762" s="25">
        <v>5</v>
      </c>
      <c r="J762" s="25"/>
      <c r="K762" s="25">
        <v>10</v>
      </c>
      <c r="L762" s="25">
        <v>75</v>
      </c>
      <c r="M762" s="25">
        <v>23</v>
      </c>
      <c r="N762" s="25">
        <v>10</v>
      </c>
      <c r="O762" s="25">
        <v>92</v>
      </c>
      <c r="P762" s="25">
        <v>25</v>
      </c>
      <c r="Q762" s="22">
        <f t="shared" si="11"/>
        <v>445</v>
      </c>
    </row>
    <row r="763" spans="1:17" ht="15.75" customHeight="1">
      <c r="A763" s="19">
        <v>761</v>
      </c>
      <c r="B763" s="20" t="s">
        <v>1877</v>
      </c>
      <c r="C763" s="20" t="s">
        <v>294</v>
      </c>
      <c r="D763" s="20" t="s">
        <v>1878</v>
      </c>
      <c r="E763" s="21">
        <v>150</v>
      </c>
      <c r="F763" s="21">
        <v>80</v>
      </c>
      <c r="G763" s="21">
        <v>410</v>
      </c>
      <c r="H763" s="21">
        <v>120</v>
      </c>
      <c r="I763" s="21"/>
      <c r="J763" s="21">
        <v>30</v>
      </c>
      <c r="K763" s="21">
        <v>30</v>
      </c>
      <c r="L763" s="21">
        <v>180</v>
      </c>
      <c r="M763" s="21">
        <v>100</v>
      </c>
      <c r="N763" s="21">
        <v>20</v>
      </c>
      <c r="O763" s="21"/>
      <c r="P763" s="21">
        <v>40</v>
      </c>
      <c r="Q763" s="22">
        <f t="shared" si="11"/>
        <v>1160</v>
      </c>
    </row>
    <row r="764" spans="1:17" ht="15.75" customHeight="1">
      <c r="A764" s="23">
        <v>762</v>
      </c>
      <c r="B764" s="24" t="s">
        <v>1879</v>
      </c>
      <c r="C764" s="24" t="s">
        <v>294</v>
      </c>
      <c r="D764" s="24" t="s">
        <v>1880</v>
      </c>
      <c r="E764" s="25"/>
      <c r="F764" s="25">
        <v>10</v>
      </c>
      <c r="G764" s="25">
        <v>45</v>
      </c>
      <c r="H764" s="25"/>
      <c r="I764" s="25">
        <v>5</v>
      </c>
      <c r="J764" s="25">
        <v>10</v>
      </c>
      <c r="K764" s="25">
        <v>25</v>
      </c>
      <c r="L764" s="25">
        <v>85</v>
      </c>
      <c r="M764" s="25">
        <v>27</v>
      </c>
      <c r="N764" s="25">
        <v>20</v>
      </c>
      <c r="O764" s="25">
        <v>10</v>
      </c>
      <c r="P764" s="25">
        <v>33</v>
      </c>
      <c r="Q764" s="22">
        <f t="shared" si="11"/>
        <v>270</v>
      </c>
    </row>
    <row r="765" spans="1:17" ht="15.75" customHeight="1">
      <c r="A765" s="19">
        <v>763</v>
      </c>
      <c r="B765" s="20" t="s">
        <v>1881</v>
      </c>
      <c r="C765" s="20" t="s">
        <v>294</v>
      </c>
      <c r="D765" s="20" t="s">
        <v>1882</v>
      </c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>
        <v>3</v>
      </c>
      <c r="P765" s="21">
        <v>20</v>
      </c>
      <c r="Q765" s="22">
        <f t="shared" si="11"/>
        <v>23</v>
      </c>
    </row>
    <row r="766" spans="1:17" ht="15.75" customHeight="1">
      <c r="A766" s="23">
        <v>764</v>
      </c>
      <c r="B766" s="24" t="s">
        <v>1883</v>
      </c>
      <c r="C766" s="24" t="s">
        <v>294</v>
      </c>
      <c r="D766" s="24" t="s">
        <v>1884</v>
      </c>
      <c r="E766" s="25">
        <v>120</v>
      </c>
      <c r="F766" s="25">
        <v>60</v>
      </c>
      <c r="G766" s="25">
        <v>50</v>
      </c>
      <c r="H766" s="25">
        <v>30</v>
      </c>
      <c r="I766" s="25"/>
      <c r="J766" s="25">
        <v>70</v>
      </c>
      <c r="K766" s="25">
        <v>10</v>
      </c>
      <c r="L766" s="25">
        <v>20</v>
      </c>
      <c r="M766" s="25"/>
      <c r="N766" s="25">
        <v>70</v>
      </c>
      <c r="O766" s="25"/>
      <c r="P766" s="25"/>
      <c r="Q766" s="22">
        <f t="shared" si="11"/>
        <v>430</v>
      </c>
    </row>
    <row r="767" spans="1:17" ht="15.75" customHeight="1">
      <c r="A767" s="19">
        <v>765</v>
      </c>
      <c r="B767" s="20" t="s">
        <v>1885</v>
      </c>
      <c r="C767" s="20" t="s">
        <v>294</v>
      </c>
      <c r="D767" s="20" t="s">
        <v>1886</v>
      </c>
      <c r="E767" s="21"/>
      <c r="F767" s="21"/>
      <c r="G767" s="21">
        <v>10</v>
      </c>
      <c r="H767" s="21"/>
      <c r="I767" s="21">
        <v>35</v>
      </c>
      <c r="J767" s="21"/>
      <c r="K767" s="21">
        <v>5</v>
      </c>
      <c r="L767" s="21">
        <v>1</v>
      </c>
      <c r="M767" s="21">
        <v>5</v>
      </c>
      <c r="N767" s="21">
        <v>15</v>
      </c>
      <c r="O767" s="21"/>
      <c r="P767" s="21">
        <v>1</v>
      </c>
      <c r="Q767" s="22">
        <f t="shared" si="11"/>
        <v>72</v>
      </c>
    </row>
    <row r="768" spans="1:17" ht="15.75" customHeight="1">
      <c r="A768" s="23">
        <v>766</v>
      </c>
      <c r="B768" s="24" t="s">
        <v>1887</v>
      </c>
      <c r="C768" s="24" t="s">
        <v>294</v>
      </c>
      <c r="D768" s="24" t="s">
        <v>1888</v>
      </c>
      <c r="E768" s="25">
        <v>280</v>
      </c>
      <c r="F768" s="25">
        <v>84</v>
      </c>
      <c r="G768" s="25">
        <v>522</v>
      </c>
      <c r="H768" s="25">
        <v>250</v>
      </c>
      <c r="I768" s="25">
        <v>480</v>
      </c>
      <c r="J768" s="25">
        <v>240</v>
      </c>
      <c r="K768" s="25">
        <v>50</v>
      </c>
      <c r="L768" s="25">
        <v>374</v>
      </c>
      <c r="M768" s="25">
        <v>296</v>
      </c>
      <c r="N768" s="25">
        <v>20</v>
      </c>
      <c r="O768" s="25">
        <v>230</v>
      </c>
      <c r="P768" s="25">
        <v>130</v>
      </c>
      <c r="Q768" s="22">
        <f t="shared" si="11"/>
        <v>2956</v>
      </c>
    </row>
    <row r="769" spans="1:17" ht="15.75" customHeight="1">
      <c r="A769" s="19">
        <v>767</v>
      </c>
      <c r="B769" s="20" t="s">
        <v>1891</v>
      </c>
      <c r="C769" s="20" t="s">
        <v>294</v>
      </c>
      <c r="D769" s="20" t="s">
        <v>1892</v>
      </c>
      <c r="E769" s="21"/>
      <c r="F769" s="21"/>
      <c r="G769" s="21">
        <v>40</v>
      </c>
      <c r="H769" s="21">
        <v>30</v>
      </c>
      <c r="I769" s="21">
        <v>30</v>
      </c>
      <c r="J769" s="21">
        <v>30</v>
      </c>
      <c r="K769" s="21"/>
      <c r="L769" s="21">
        <v>30</v>
      </c>
      <c r="M769" s="21"/>
      <c r="N769" s="21"/>
      <c r="O769" s="21"/>
      <c r="P769" s="21">
        <v>20</v>
      </c>
      <c r="Q769" s="22">
        <f t="shared" si="11"/>
        <v>180</v>
      </c>
    </row>
    <row r="770" spans="1:17" ht="15.75" customHeight="1">
      <c r="A770" s="23">
        <v>768</v>
      </c>
      <c r="B770" s="24" t="s">
        <v>1893</v>
      </c>
      <c r="C770" s="24" t="s">
        <v>294</v>
      </c>
      <c r="D770" s="24" t="s">
        <v>1894</v>
      </c>
      <c r="E770" s="25">
        <v>40</v>
      </c>
      <c r="F770" s="25">
        <v>40</v>
      </c>
      <c r="G770" s="25">
        <v>54</v>
      </c>
      <c r="H770" s="25"/>
      <c r="I770" s="25"/>
      <c r="J770" s="25">
        <v>20</v>
      </c>
      <c r="K770" s="25">
        <v>40</v>
      </c>
      <c r="L770" s="25">
        <v>35</v>
      </c>
      <c r="M770" s="25">
        <v>10</v>
      </c>
      <c r="N770" s="25"/>
      <c r="O770" s="25">
        <v>80</v>
      </c>
      <c r="P770" s="25">
        <v>116</v>
      </c>
      <c r="Q770" s="22">
        <f t="shared" si="11"/>
        <v>435</v>
      </c>
    </row>
    <row r="771" spans="1:17" ht="15.75" customHeight="1">
      <c r="A771" s="19">
        <v>769</v>
      </c>
      <c r="B771" s="20" t="s">
        <v>1897</v>
      </c>
      <c r="C771" s="20" t="s">
        <v>294</v>
      </c>
      <c r="D771" s="20" t="s">
        <v>1898</v>
      </c>
      <c r="E771" s="21">
        <v>40</v>
      </c>
      <c r="F771" s="21">
        <v>20</v>
      </c>
      <c r="G771" s="21"/>
      <c r="H771" s="21">
        <v>25</v>
      </c>
      <c r="I771" s="21"/>
      <c r="J771" s="21">
        <v>90</v>
      </c>
      <c r="K771" s="21">
        <v>10</v>
      </c>
      <c r="L771" s="21"/>
      <c r="M771" s="21">
        <v>40</v>
      </c>
      <c r="N771" s="21">
        <v>20</v>
      </c>
      <c r="O771" s="21">
        <v>2</v>
      </c>
      <c r="P771" s="21"/>
      <c r="Q771" s="22">
        <f t="shared" ref="Q771:Q834" si="12">SUM(E771:P771)</f>
        <v>247</v>
      </c>
    </row>
    <row r="772" spans="1:17" ht="15.75" customHeight="1">
      <c r="A772" s="23">
        <v>770</v>
      </c>
      <c r="B772" s="24" t="s">
        <v>3373</v>
      </c>
      <c r="C772" s="24" t="s">
        <v>294</v>
      </c>
      <c r="D772" s="24" t="s">
        <v>2280</v>
      </c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>
        <v>2</v>
      </c>
      <c r="P772" s="25"/>
      <c r="Q772" s="22">
        <f t="shared" si="12"/>
        <v>2</v>
      </c>
    </row>
    <row r="773" spans="1:17" ht="15.75" customHeight="1">
      <c r="A773" s="19">
        <v>771</v>
      </c>
      <c r="B773" s="20" t="s">
        <v>3374</v>
      </c>
      <c r="C773" s="20" t="s">
        <v>294</v>
      </c>
      <c r="D773" s="20" t="s">
        <v>2110</v>
      </c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>
        <v>2</v>
      </c>
      <c r="P773" s="21"/>
      <c r="Q773" s="22">
        <f t="shared" si="12"/>
        <v>2</v>
      </c>
    </row>
    <row r="774" spans="1:17" ht="15.75" customHeight="1">
      <c r="A774" s="23">
        <v>772</v>
      </c>
      <c r="B774" s="24" t="s">
        <v>3375</v>
      </c>
      <c r="C774" s="24" t="s">
        <v>294</v>
      </c>
      <c r="D774" s="24" t="s">
        <v>2118</v>
      </c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>
        <v>2</v>
      </c>
      <c r="P774" s="25"/>
      <c r="Q774" s="22">
        <f t="shared" si="12"/>
        <v>2</v>
      </c>
    </row>
    <row r="775" spans="1:17" ht="15.75" customHeight="1">
      <c r="A775" s="19">
        <v>773</v>
      </c>
      <c r="B775" s="20" t="s">
        <v>3376</v>
      </c>
      <c r="C775" s="20" t="s">
        <v>294</v>
      </c>
      <c r="D775" s="20" t="s">
        <v>1906</v>
      </c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>
        <v>3</v>
      </c>
      <c r="P775" s="21"/>
      <c r="Q775" s="22">
        <f t="shared" si="12"/>
        <v>3</v>
      </c>
    </row>
    <row r="776" spans="1:17" ht="15.75" customHeight="1">
      <c r="A776" s="23">
        <v>774</v>
      </c>
      <c r="B776" s="24" t="s">
        <v>3377</v>
      </c>
      <c r="C776" s="24" t="s">
        <v>294</v>
      </c>
      <c r="D776" s="24" t="s">
        <v>3378</v>
      </c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>
        <v>1</v>
      </c>
      <c r="P776" s="25"/>
      <c r="Q776" s="22">
        <f t="shared" si="12"/>
        <v>1</v>
      </c>
    </row>
    <row r="777" spans="1:17" ht="15.75" customHeight="1">
      <c r="A777" s="19">
        <v>775</v>
      </c>
      <c r="B777" s="20" t="s">
        <v>1899</v>
      </c>
      <c r="C777" s="20" t="s">
        <v>362</v>
      </c>
      <c r="D777" s="20" t="s">
        <v>1900</v>
      </c>
      <c r="E777" s="21"/>
      <c r="F777" s="21"/>
      <c r="G777" s="21">
        <v>35</v>
      </c>
      <c r="H777" s="21"/>
      <c r="I777" s="21"/>
      <c r="J777" s="21"/>
      <c r="K777" s="21">
        <v>60</v>
      </c>
      <c r="L777" s="21">
        <v>35</v>
      </c>
      <c r="M777" s="21"/>
      <c r="N777" s="21">
        <v>15</v>
      </c>
      <c r="O777" s="21"/>
      <c r="P777" s="21"/>
      <c r="Q777" s="22">
        <f t="shared" si="12"/>
        <v>145</v>
      </c>
    </row>
    <row r="778" spans="1:17" ht="15.75" customHeight="1">
      <c r="A778" s="23">
        <v>776</v>
      </c>
      <c r="B778" s="24" t="s">
        <v>1901</v>
      </c>
      <c r="C778" s="24" t="s">
        <v>362</v>
      </c>
      <c r="D778" s="24" t="s">
        <v>1902</v>
      </c>
      <c r="E778" s="25"/>
      <c r="F778" s="25"/>
      <c r="G778" s="25"/>
      <c r="H778" s="25"/>
      <c r="I778" s="25"/>
      <c r="J778" s="25"/>
      <c r="K778" s="25"/>
      <c r="L778" s="25">
        <v>30</v>
      </c>
      <c r="M778" s="25"/>
      <c r="N778" s="25">
        <v>10</v>
      </c>
      <c r="O778" s="25"/>
      <c r="P778" s="25"/>
      <c r="Q778" s="22">
        <f t="shared" si="12"/>
        <v>40</v>
      </c>
    </row>
    <row r="779" spans="1:17" ht="15.75" customHeight="1">
      <c r="A779" s="19">
        <v>777</v>
      </c>
      <c r="B779" s="20" t="s">
        <v>1903</v>
      </c>
      <c r="C779" s="20" t="s">
        <v>362</v>
      </c>
      <c r="D779" s="20" t="s">
        <v>1904</v>
      </c>
      <c r="E779" s="21"/>
      <c r="F779" s="21"/>
      <c r="G779" s="21"/>
      <c r="H779" s="21"/>
      <c r="I779" s="21">
        <v>20</v>
      </c>
      <c r="J779" s="21"/>
      <c r="K779" s="21">
        <v>35</v>
      </c>
      <c r="L779" s="21"/>
      <c r="M779" s="21"/>
      <c r="N779" s="21"/>
      <c r="O779" s="21"/>
      <c r="P779" s="21"/>
      <c r="Q779" s="22">
        <f t="shared" si="12"/>
        <v>55</v>
      </c>
    </row>
    <row r="780" spans="1:17" ht="15.75" customHeight="1">
      <c r="A780" s="23">
        <v>778</v>
      </c>
      <c r="B780" s="24" t="s">
        <v>1907</v>
      </c>
      <c r="C780" s="24" t="s">
        <v>1908</v>
      </c>
      <c r="D780" s="24" t="s">
        <v>1909</v>
      </c>
      <c r="E780" s="25"/>
      <c r="F780" s="25"/>
      <c r="G780" s="25"/>
      <c r="H780" s="25"/>
      <c r="I780" s="25"/>
      <c r="J780" s="25"/>
      <c r="K780" s="25"/>
      <c r="L780" s="25"/>
      <c r="M780" s="25">
        <v>7</v>
      </c>
      <c r="N780" s="25"/>
      <c r="O780" s="25"/>
      <c r="P780" s="25"/>
      <c r="Q780" s="22">
        <f t="shared" si="12"/>
        <v>7</v>
      </c>
    </row>
    <row r="781" spans="1:17" ht="15.75" customHeight="1">
      <c r="A781" s="19">
        <v>779</v>
      </c>
      <c r="B781" s="20" t="s">
        <v>1910</v>
      </c>
      <c r="C781" s="20" t="s">
        <v>1908</v>
      </c>
      <c r="D781" s="20" t="s">
        <v>1911</v>
      </c>
      <c r="E781" s="21"/>
      <c r="F781" s="21"/>
      <c r="G781" s="21"/>
      <c r="H781" s="21"/>
      <c r="I781" s="21">
        <v>10</v>
      </c>
      <c r="J781" s="21"/>
      <c r="K781" s="21"/>
      <c r="L781" s="21"/>
      <c r="M781" s="21">
        <v>5</v>
      </c>
      <c r="N781" s="21"/>
      <c r="O781" s="21"/>
      <c r="P781" s="21"/>
      <c r="Q781" s="22">
        <f t="shared" si="12"/>
        <v>15</v>
      </c>
    </row>
    <row r="782" spans="1:17" ht="15.75" customHeight="1">
      <c r="A782" s="23">
        <v>780</v>
      </c>
      <c r="B782" s="24" t="s">
        <v>1912</v>
      </c>
      <c r="C782" s="24" t="s">
        <v>1908</v>
      </c>
      <c r="D782" s="24" t="s">
        <v>1913</v>
      </c>
      <c r="E782" s="25"/>
      <c r="F782" s="25"/>
      <c r="G782" s="25"/>
      <c r="H782" s="25"/>
      <c r="I782" s="25">
        <v>10</v>
      </c>
      <c r="J782" s="25"/>
      <c r="K782" s="25">
        <v>55</v>
      </c>
      <c r="L782" s="25"/>
      <c r="M782" s="25">
        <v>10</v>
      </c>
      <c r="N782" s="25"/>
      <c r="O782" s="25"/>
      <c r="P782" s="25"/>
      <c r="Q782" s="22">
        <f t="shared" si="12"/>
        <v>75</v>
      </c>
    </row>
    <row r="783" spans="1:17" ht="15.75" customHeight="1">
      <c r="A783" s="19">
        <v>781</v>
      </c>
      <c r="B783" s="20" t="s">
        <v>2864</v>
      </c>
      <c r="C783" s="20" t="s">
        <v>1908</v>
      </c>
      <c r="D783" s="20" t="s">
        <v>1904</v>
      </c>
      <c r="E783" s="21"/>
      <c r="F783" s="21"/>
      <c r="G783" s="21"/>
      <c r="H783" s="21"/>
      <c r="I783" s="21">
        <v>10</v>
      </c>
      <c r="J783" s="21"/>
      <c r="K783" s="21">
        <v>5</v>
      </c>
      <c r="L783" s="21"/>
      <c r="M783" s="21"/>
      <c r="N783" s="21"/>
      <c r="O783" s="21"/>
      <c r="P783" s="21"/>
      <c r="Q783" s="22">
        <f t="shared" si="12"/>
        <v>15</v>
      </c>
    </row>
    <row r="784" spans="1:17" ht="15.75" customHeight="1">
      <c r="A784" s="23">
        <v>782</v>
      </c>
      <c r="B784" s="24" t="s">
        <v>3379</v>
      </c>
      <c r="C784" s="24" t="s">
        <v>1908</v>
      </c>
      <c r="D784" s="24" t="s">
        <v>2870</v>
      </c>
      <c r="E784" s="25"/>
      <c r="F784" s="25"/>
      <c r="G784" s="25">
        <v>10</v>
      </c>
      <c r="H784" s="25"/>
      <c r="I784" s="25"/>
      <c r="J784" s="25"/>
      <c r="K784" s="25">
        <v>20</v>
      </c>
      <c r="L784" s="25"/>
      <c r="M784" s="25"/>
      <c r="N784" s="25"/>
      <c r="O784" s="25"/>
      <c r="P784" s="25"/>
      <c r="Q784" s="22">
        <f t="shared" si="12"/>
        <v>30</v>
      </c>
    </row>
    <row r="785" spans="1:17" ht="15.75" customHeight="1">
      <c r="A785" s="19">
        <v>783</v>
      </c>
      <c r="B785" s="20" t="s">
        <v>2866</v>
      </c>
      <c r="C785" s="20" t="s">
        <v>211</v>
      </c>
      <c r="D785" s="20" t="s">
        <v>1578</v>
      </c>
      <c r="E785" s="21"/>
      <c r="F785" s="21">
        <v>4</v>
      </c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2">
        <f t="shared" si="12"/>
        <v>4</v>
      </c>
    </row>
    <row r="786" spans="1:17" ht="15.75" customHeight="1">
      <c r="A786" s="23">
        <v>784</v>
      </c>
      <c r="B786" s="24" t="s">
        <v>3380</v>
      </c>
      <c r="C786" s="24" t="s">
        <v>1504</v>
      </c>
      <c r="D786" s="24" t="s">
        <v>3381</v>
      </c>
      <c r="E786" s="25"/>
      <c r="F786" s="25"/>
      <c r="G786" s="25"/>
      <c r="H786" s="25"/>
      <c r="I786" s="25"/>
      <c r="J786" s="25"/>
      <c r="K786" s="25">
        <v>30</v>
      </c>
      <c r="L786" s="25"/>
      <c r="M786" s="25"/>
      <c r="N786" s="25"/>
      <c r="O786" s="25"/>
      <c r="P786" s="25"/>
      <c r="Q786" s="22">
        <f t="shared" si="12"/>
        <v>30</v>
      </c>
    </row>
    <row r="787" spans="1:17" ht="15.75" customHeight="1">
      <c r="A787" s="19">
        <v>785</v>
      </c>
      <c r="B787" s="20" t="s">
        <v>1919</v>
      </c>
      <c r="C787" s="20" t="s">
        <v>362</v>
      </c>
      <c r="D787" s="20" t="s">
        <v>1920</v>
      </c>
      <c r="E787" s="21">
        <v>40</v>
      </c>
      <c r="F787" s="21"/>
      <c r="G787" s="21"/>
      <c r="H787" s="21"/>
      <c r="I787" s="21"/>
      <c r="J787" s="21"/>
      <c r="K787" s="21"/>
      <c r="L787" s="21">
        <v>10</v>
      </c>
      <c r="M787" s="21"/>
      <c r="N787" s="21"/>
      <c r="O787" s="21"/>
      <c r="P787" s="21"/>
      <c r="Q787" s="22">
        <f t="shared" si="12"/>
        <v>50</v>
      </c>
    </row>
    <row r="788" spans="1:17" ht="15.75" customHeight="1">
      <c r="A788" s="23">
        <v>786</v>
      </c>
      <c r="B788" s="24" t="s">
        <v>3382</v>
      </c>
      <c r="C788" s="24" t="s">
        <v>253</v>
      </c>
      <c r="D788" s="24" t="s">
        <v>3383</v>
      </c>
      <c r="E788" s="25"/>
      <c r="F788" s="25"/>
      <c r="G788" s="25"/>
      <c r="H788" s="25"/>
      <c r="I788" s="25"/>
      <c r="J788" s="25">
        <v>2</v>
      </c>
      <c r="K788" s="25"/>
      <c r="L788" s="25"/>
      <c r="M788" s="25"/>
      <c r="N788" s="25"/>
      <c r="O788" s="25"/>
      <c r="P788" s="25"/>
      <c r="Q788" s="22">
        <f t="shared" si="12"/>
        <v>2</v>
      </c>
    </row>
    <row r="789" spans="1:17" ht="15.75" customHeight="1">
      <c r="A789" s="19">
        <v>787</v>
      </c>
      <c r="B789" s="20" t="s">
        <v>3384</v>
      </c>
      <c r="C789" s="20" t="s">
        <v>253</v>
      </c>
      <c r="D789" s="20" t="s">
        <v>1906</v>
      </c>
      <c r="E789" s="21"/>
      <c r="F789" s="21"/>
      <c r="G789" s="21"/>
      <c r="H789" s="21"/>
      <c r="I789" s="21"/>
      <c r="J789" s="21">
        <v>17</v>
      </c>
      <c r="K789" s="21"/>
      <c r="L789" s="21"/>
      <c r="M789" s="21"/>
      <c r="N789" s="21"/>
      <c r="O789" s="21"/>
      <c r="P789" s="21"/>
      <c r="Q789" s="22">
        <f t="shared" si="12"/>
        <v>17</v>
      </c>
    </row>
    <row r="790" spans="1:17" ht="15.75" customHeight="1">
      <c r="A790" s="23">
        <v>788</v>
      </c>
      <c r="B790" s="24" t="s">
        <v>3385</v>
      </c>
      <c r="C790" s="24" t="s">
        <v>211</v>
      </c>
      <c r="D790" s="24" t="s">
        <v>1691</v>
      </c>
      <c r="E790" s="25"/>
      <c r="F790" s="25"/>
      <c r="G790" s="25"/>
      <c r="H790" s="25"/>
      <c r="I790" s="25"/>
      <c r="J790" s="25">
        <v>2</v>
      </c>
      <c r="K790" s="25"/>
      <c r="L790" s="25"/>
      <c r="M790" s="25"/>
      <c r="N790" s="25"/>
      <c r="O790" s="25"/>
      <c r="P790" s="25"/>
      <c r="Q790" s="22">
        <f t="shared" si="12"/>
        <v>2</v>
      </c>
    </row>
    <row r="791" spans="1:17" ht="15.75" customHeight="1">
      <c r="A791" s="19">
        <v>789</v>
      </c>
      <c r="B791" s="20" t="s">
        <v>3386</v>
      </c>
      <c r="C791" s="20" t="s">
        <v>271</v>
      </c>
      <c r="D791" s="20" t="s">
        <v>3387</v>
      </c>
      <c r="E791" s="21"/>
      <c r="F791" s="21"/>
      <c r="G791" s="21"/>
      <c r="H791" s="21"/>
      <c r="I791" s="21"/>
      <c r="J791" s="21">
        <v>12</v>
      </c>
      <c r="K791" s="21"/>
      <c r="L791" s="21"/>
      <c r="M791" s="21"/>
      <c r="N791" s="21"/>
      <c r="O791" s="21"/>
      <c r="P791" s="21"/>
      <c r="Q791" s="22">
        <f t="shared" si="12"/>
        <v>12</v>
      </c>
    </row>
    <row r="792" spans="1:17" ht="15.75" customHeight="1">
      <c r="A792" s="23">
        <v>790</v>
      </c>
      <c r="B792" s="24" t="s">
        <v>1928</v>
      </c>
      <c r="C792" s="24" t="s">
        <v>1929</v>
      </c>
      <c r="D792" s="24" t="s">
        <v>1913</v>
      </c>
      <c r="E792" s="25"/>
      <c r="F792" s="25"/>
      <c r="G792" s="25"/>
      <c r="H792" s="25"/>
      <c r="I792" s="25"/>
      <c r="J792" s="25"/>
      <c r="K792" s="25">
        <v>20</v>
      </c>
      <c r="L792" s="25"/>
      <c r="M792" s="25"/>
      <c r="N792" s="25"/>
      <c r="O792" s="25"/>
      <c r="P792" s="25"/>
      <c r="Q792" s="22">
        <f t="shared" si="12"/>
        <v>20</v>
      </c>
    </row>
    <row r="793" spans="1:17" ht="15.75" customHeight="1">
      <c r="A793" s="19">
        <v>791</v>
      </c>
      <c r="B793" s="20" t="s">
        <v>1930</v>
      </c>
      <c r="C793" s="20" t="s">
        <v>1929</v>
      </c>
      <c r="D793" s="20" t="s">
        <v>1911</v>
      </c>
      <c r="E793" s="21"/>
      <c r="F793" s="21">
        <v>5</v>
      </c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2">
        <f t="shared" si="12"/>
        <v>5</v>
      </c>
    </row>
    <row r="794" spans="1:17" ht="15.75" customHeight="1">
      <c r="A794" s="23">
        <v>792</v>
      </c>
      <c r="B794" s="24" t="s">
        <v>1931</v>
      </c>
      <c r="C794" s="24" t="s">
        <v>362</v>
      </c>
      <c r="D794" s="24" t="s">
        <v>1932</v>
      </c>
      <c r="E794" s="25">
        <v>20</v>
      </c>
      <c r="F794" s="25"/>
      <c r="G794" s="25"/>
      <c r="H794" s="25">
        <v>35</v>
      </c>
      <c r="I794" s="25"/>
      <c r="J794" s="25"/>
      <c r="K794" s="25">
        <v>32</v>
      </c>
      <c r="L794" s="25"/>
      <c r="M794" s="25"/>
      <c r="N794" s="25">
        <v>15</v>
      </c>
      <c r="O794" s="25">
        <v>10</v>
      </c>
      <c r="P794" s="25"/>
      <c r="Q794" s="22">
        <f t="shared" si="12"/>
        <v>112</v>
      </c>
    </row>
    <row r="795" spans="1:17" ht="15.75" customHeight="1">
      <c r="A795" s="19">
        <v>793</v>
      </c>
      <c r="B795" s="20" t="s">
        <v>2877</v>
      </c>
      <c r="C795" s="20" t="s">
        <v>1925</v>
      </c>
      <c r="D795" s="20" t="s">
        <v>1913</v>
      </c>
      <c r="E795" s="21"/>
      <c r="F795" s="21"/>
      <c r="G795" s="21"/>
      <c r="H795" s="21"/>
      <c r="I795" s="21">
        <v>20</v>
      </c>
      <c r="J795" s="21"/>
      <c r="K795" s="21">
        <v>20</v>
      </c>
      <c r="L795" s="21">
        <v>5</v>
      </c>
      <c r="M795" s="21"/>
      <c r="N795" s="21"/>
      <c r="O795" s="21"/>
      <c r="P795" s="21"/>
      <c r="Q795" s="22">
        <f t="shared" si="12"/>
        <v>45</v>
      </c>
    </row>
    <row r="796" spans="1:17" ht="15.75" customHeight="1">
      <c r="A796" s="23">
        <v>794</v>
      </c>
      <c r="B796" s="24" t="s">
        <v>1939</v>
      </c>
      <c r="C796" s="24" t="s">
        <v>362</v>
      </c>
      <c r="D796" s="24" t="s">
        <v>1940</v>
      </c>
      <c r="E796" s="25">
        <v>2</v>
      </c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2">
        <f t="shared" si="12"/>
        <v>2</v>
      </c>
    </row>
    <row r="797" spans="1:17" ht="15.75" customHeight="1">
      <c r="A797" s="19">
        <v>795</v>
      </c>
      <c r="B797" s="20" t="s">
        <v>1941</v>
      </c>
      <c r="C797" s="20" t="s">
        <v>1908</v>
      </c>
      <c r="D797" s="20" t="s">
        <v>45</v>
      </c>
      <c r="E797" s="21"/>
      <c r="F797" s="21"/>
      <c r="G797" s="21"/>
      <c r="H797" s="21"/>
      <c r="I797" s="21"/>
      <c r="J797" s="21"/>
      <c r="K797" s="21"/>
      <c r="L797" s="21"/>
      <c r="M797" s="21">
        <v>5</v>
      </c>
      <c r="N797" s="21"/>
      <c r="O797" s="21"/>
      <c r="P797" s="21"/>
      <c r="Q797" s="22">
        <f t="shared" si="12"/>
        <v>5</v>
      </c>
    </row>
    <row r="798" spans="1:17" ht="15.75" customHeight="1">
      <c r="A798" s="23">
        <v>796</v>
      </c>
      <c r="B798" s="24" t="s">
        <v>2881</v>
      </c>
      <c r="C798" s="24" t="s">
        <v>1350</v>
      </c>
      <c r="D798" s="24" t="s">
        <v>2882</v>
      </c>
      <c r="E798" s="25"/>
      <c r="F798" s="25"/>
      <c r="G798" s="25"/>
      <c r="H798" s="25"/>
      <c r="I798" s="25"/>
      <c r="J798" s="25"/>
      <c r="K798" s="25"/>
      <c r="L798" s="25"/>
      <c r="M798" s="25"/>
      <c r="N798" s="25">
        <v>1</v>
      </c>
      <c r="O798" s="25">
        <v>6</v>
      </c>
      <c r="P798" s="25"/>
      <c r="Q798" s="22">
        <f t="shared" si="12"/>
        <v>7</v>
      </c>
    </row>
    <row r="799" spans="1:17" ht="15.75" customHeight="1">
      <c r="A799" s="19">
        <v>797</v>
      </c>
      <c r="B799" s="20" t="s">
        <v>3388</v>
      </c>
      <c r="C799" s="20" t="s">
        <v>1350</v>
      </c>
      <c r="D799" s="20" t="s">
        <v>3389</v>
      </c>
      <c r="E799" s="21"/>
      <c r="F799" s="21"/>
      <c r="G799" s="21"/>
      <c r="H799" s="21"/>
      <c r="I799" s="21"/>
      <c r="J799" s="21"/>
      <c r="K799" s="21"/>
      <c r="L799" s="21"/>
      <c r="M799" s="21"/>
      <c r="N799" s="21">
        <v>30</v>
      </c>
      <c r="O799" s="21"/>
      <c r="P799" s="21"/>
      <c r="Q799" s="22">
        <f t="shared" si="12"/>
        <v>30</v>
      </c>
    </row>
    <row r="800" spans="1:17" ht="15.75" customHeight="1">
      <c r="A800" s="23">
        <v>798</v>
      </c>
      <c r="B800" s="24" t="s">
        <v>2883</v>
      </c>
      <c r="C800" s="24" t="s">
        <v>1350</v>
      </c>
      <c r="D800" s="24" t="s">
        <v>2884</v>
      </c>
      <c r="E800" s="25"/>
      <c r="F800" s="25"/>
      <c r="G800" s="25"/>
      <c r="H800" s="25"/>
      <c r="I800" s="25"/>
      <c r="J800" s="25"/>
      <c r="K800" s="25"/>
      <c r="L800" s="25"/>
      <c r="M800" s="25"/>
      <c r="N800" s="25">
        <v>6</v>
      </c>
      <c r="O800" s="25"/>
      <c r="P800" s="25"/>
      <c r="Q800" s="22">
        <f t="shared" si="12"/>
        <v>6</v>
      </c>
    </row>
    <row r="801" spans="1:17" ht="15.75" customHeight="1">
      <c r="A801" s="19">
        <v>799</v>
      </c>
      <c r="B801" s="20" t="s">
        <v>3390</v>
      </c>
      <c r="C801" s="20" t="s">
        <v>3391</v>
      </c>
      <c r="D801" s="20" t="s">
        <v>3392</v>
      </c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>
        <v>1</v>
      </c>
      <c r="Q801" s="22">
        <f t="shared" si="12"/>
        <v>1</v>
      </c>
    </row>
    <row r="802" spans="1:17" ht="15.75" customHeight="1">
      <c r="A802" s="23">
        <v>800</v>
      </c>
      <c r="B802" s="24" t="s">
        <v>1969</v>
      </c>
      <c r="C802" s="24" t="s">
        <v>1357</v>
      </c>
      <c r="D802" s="24" t="s">
        <v>1970</v>
      </c>
      <c r="E802" s="25"/>
      <c r="F802" s="25"/>
      <c r="G802" s="25">
        <v>9</v>
      </c>
      <c r="H802" s="25">
        <v>63</v>
      </c>
      <c r="I802" s="25">
        <v>62</v>
      </c>
      <c r="J802" s="25">
        <v>79</v>
      </c>
      <c r="K802" s="25">
        <v>40</v>
      </c>
      <c r="L802" s="25"/>
      <c r="M802" s="25"/>
      <c r="N802" s="25">
        <v>14</v>
      </c>
      <c r="O802" s="25"/>
      <c r="P802" s="25">
        <v>10</v>
      </c>
      <c r="Q802" s="22">
        <f t="shared" si="12"/>
        <v>277</v>
      </c>
    </row>
    <row r="803" spans="1:17" ht="15.75" customHeight="1">
      <c r="A803" s="19">
        <v>801</v>
      </c>
      <c r="B803" s="20" t="s">
        <v>1971</v>
      </c>
      <c r="C803" s="20" t="s">
        <v>1357</v>
      </c>
      <c r="D803" s="20" t="s">
        <v>1972</v>
      </c>
      <c r="E803" s="21"/>
      <c r="F803" s="21">
        <v>11</v>
      </c>
      <c r="G803" s="21">
        <v>67</v>
      </c>
      <c r="H803" s="21">
        <v>2</v>
      </c>
      <c r="I803" s="21"/>
      <c r="J803" s="21"/>
      <c r="K803" s="21">
        <v>6</v>
      </c>
      <c r="L803" s="21">
        <v>21</v>
      </c>
      <c r="M803" s="21"/>
      <c r="N803" s="21"/>
      <c r="O803" s="21"/>
      <c r="P803" s="21"/>
      <c r="Q803" s="22">
        <f t="shared" si="12"/>
        <v>107</v>
      </c>
    </row>
    <row r="804" spans="1:17" ht="15.75" customHeight="1">
      <c r="A804" s="23">
        <v>802</v>
      </c>
      <c r="B804" s="24" t="s">
        <v>1973</v>
      </c>
      <c r="C804" s="24" t="s">
        <v>1357</v>
      </c>
      <c r="D804" s="24" t="s">
        <v>1974</v>
      </c>
      <c r="E804" s="25">
        <v>20</v>
      </c>
      <c r="F804" s="25">
        <v>30</v>
      </c>
      <c r="G804" s="25">
        <v>29</v>
      </c>
      <c r="H804" s="25">
        <v>11</v>
      </c>
      <c r="I804" s="25">
        <v>4</v>
      </c>
      <c r="J804" s="25">
        <v>1</v>
      </c>
      <c r="K804" s="25"/>
      <c r="L804" s="25"/>
      <c r="M804" s="25"/>
      <c r="N804" s="25">
        <v>8</v>
      </c>
      <c r="O804" s="25"/>
      <c r="P804" s="25"/>
      <c r="Q804" s="22">
        <f t="shared" si="12"/>
        <v>103</v>
      </c>
    </row>
    <row r="805" spans="1:17" ht="15.75" customHeight="1">
      <c r="A805" s="19">
        <v>803</v>
      </c>
      <c r="B805" s="20" t="s">
        <v>1975</v>
      </c>
      <c r="C805" s="20" t="s">
        <v>1357</v>
      </c>
      <c r="D805" s="20" t="s">
        <v>1976</v>
      </c>
      <c r="E805" s="21"/>
      <c r="F805" s="21">
        <v>34</v>
      </c>
      <c r="G805" s="21"/>
      <c r="H805" s="21"/>
      <c r="I805" s="21"/>
      <c r="J805" s="21"/>
      <c r="K805" s="21"/>
      <c r="L805" s="21"/>
      <c r="M805" s="21"/>
      <c r="N805" s="21"/>
      <c r="O805" s="21"/>
      <c r="P805" s="21">
        <v>58</v>
      </c>
      <c r="Q805" s="22">
        <f t="shared" si="12"/>
        <v>92</v>
      </c>
    </row>
    <row r="806" spans="1:17" ht="15.75" customHeight="1">
      <c r="A806" s="23">
        <v>804</v>
      </c>
      <c r="B806" s="24" t="s">
        <v>1977</v>
      </c>
      <c r="C806" s="24" t="s">
        <v>1357</v>
      </c>
      <c r="D806" s="24" t="s">
        <v>1978</v>
      </c>
      <c r="E806" s="25">
        <v>45</v>
      </c>
      <c r="F806" s="25">
        <v>50</v>
      </c>
      <c r="G806" s="25">
        <v>36</v>
      </c>
      <c r="H806" s="25"/>
      <c r="I806" s="25">
        <v>39</v>
      </c>
      <c r="J806" s="25"/>
      <c r="K806" s="25"/>
      <c r="L806" s="25">
        <v>56</v>
      </c>
      <c r="M806" s="25"/>
      <c r="N806" s="25"/>
      <c r="O806" s="25"/>
      <c r="P806" s="25"/>
      <c r="Q806" s="22">
        <f t="shared" si="12"/>
        <v>226</v>
      </c>
    </row>
    <row r="807" spans="1:17" ht="15.75" customHeight="1">
      <c r="A807" s="19">
        <v>805</v>
      </c>
      <c r="B807" s="20" t="s">
        <v>1979</v>
      </c>
      <c r="C807" s="20" t="s">
        <v>1357</v>
      </c>
      <c r="D807" s="20" t="s">
        <v>1980</v>
      </c>
      <c r="E807" s="21"/>
      <c r="F807" s="21">
        <v>10</v>
      </c>
      <c r="G807" s="21"/>
      <c r="H807" s="21">
        <v>70</v>
      </c>
      <c r="I807" s="21"/>
      <c r="J807" s="21"/>
      <c r="K807" s="21"/>
      <c r="L807" s="21"/>
      <c r="M807" s="21"/>
      <c r="N807" s="21">
        <v>30</v>
      </c>
      <c r="O807" s="21">
        <v>20</v>
      </c>
      <c r="P807" s="21">
        <v>80</v>
      </c>
      <c r="Q807" s="22">
        <f t="shared" si="12"/>
        <v>210</v>
      </c>
    </row>
    <row r="808" spans="1:17" ht="15.75" customHeight="1">
      <c r="A808" s="23">
        <v>806</v>
      </c>
      <c r="B808" s="24" t="s">
        <v>1981</v>
      </c>
      <c r="C808" s="24" t="s">
        <v>1357</v>
      </c>
      <c r="D808" s="24" t="s">
        <v>1982</v>
      </c>
      <c r="E808" s="25"/>
      <c r="F808" s="25">
        <v>10</v>
      </c>
      <c r="G808" s="25"/>
      <c r="H808" s="25">
        <v>10</v>
      </c>
      <c r="I808" s="25"/>
      <c r="J808" s="25"/>
      <c r="K808" s="25"/>
      <c r="L808" s="25"/>
      <c r="M808" s="25"/>
      <c r="N808" s="25"/>
      <c r="O808" s="25"/>
      <c r="P808" s="25">
        <v>21</v>
      </c>
      <c r="Q808" s="22">
        <f t="shared" si="12"/>
        <v>41</v>
      </c>
    </row>
    <row r="809" spans="1:17" ht="15.75" customHeight="1">
      <c r="A809" s="19">
        <v>807</v>
      </c>
      <c r="B809" s="20" t="s">
        <v>1983</v>
      </c>
      <c r="C809" s="20" t="s">
        <v>1357</v>
      </c>
      <c r="D809" s="20" t="s">
        <v>1984</v>
      </c>
      <c r="E809" s="21"/>
      <c r="F809" s="21">
        <v>20</v>
      </c>
      <c r="G809" s="21">
        <v>14</v>
      </c>
      <c r="H809" s="21">
        <v>10</v>
      </c>
      <c r="I809" s="21">
        <v>10</v>
      </c>
      <c r="J809" s="21">
        <v>20</v>
      </c>
      <c r="K809" s="21">
        <v>16</v>
      </c>
      <c r="L809" s="21">
        <v>5</v>
      </c>
      <c r="M809" s="21"/>
      <c r="N809" s="21">
        <v>10</v>
      </c>
      <c r="O809" s="21">
        <v>20</v>
      </c>
      <c r="P809" s="21">
        <v>18</v>
      </c>
      <c r="Q809" s="22">
        <f t="shared" si="12"/>
        <v>143</v>
      </c>
    </row>
    <row r="810" spans="1:17" ht="15.75" customHeight="1">
      <c r="A810" s="23">
        <v>808</v>
      </c>
      <c r="B810" s="24" t="s">
        <v>1985</v>
      </c>
      <c r="C810" s="24" t="s">
        <v>1357</v>
      </c>
      <c r="D810" s="24" t="s">
        <v>1986</v>
      </c>
      <c r="E810" s="25"/>
      <c r="F810" s="25"/>
      <c r="G810" s="25"/>
      <c r="H810" s="25"/>
      <c r="I810" s="25"/>
      <c r="J810" s="25"/>
      <c r="K810" s="25">
        <v>23</v>
      </c>
      <c r="L810" s="25"/>
      <c r="M810" s="25"/>
      <c r="N810" s="25"/>
      <c r="O810" s="25"/>
      <c r="P810" s="25"/>
      <c r="Q810" s="22">
        <f t="shared" si="12"/>
        <v>23</v>
      </c>
    </row>
    <row r="811" spans="1:17" ht="15.75" customHeight="1">
      <c r="A811" s="19">
        <v>809</v>
      </c>
      <c r="B811" s="20" t="s">
        <v>1987</v>
      </c>
      <c r="C811" s="20" t="s">
        <v>1390</v>
      </c>
      <c r="D811" s="20" t="s">
        <v>1988</v>
      </c>
      <c r="E811" s="21"/>
      <c r="F811" s="21"/>
      <c r="G811" s="21"/>
      <c r="H811" s="21"/>
      <c r="I811" s="21">
        <v>3</v>
      </c>
      <c r="J811" s="21"/>
      <c r="K811" s="21"/>
      <c r="L811" s="21"/>
      <c r="M811" s="21"/>
      <c r="N811" s="21"/>
      <c r="O811" s="21"/>
      <c r="P811" s="21"/>
      <c r="Q811" s="22">
        <f t="shared" si="12"/>
        <v>3</v>
      </c>
    </row>
    <row r="812" spans="1:17" ht="15.75" customHeight="1">
      <c r="A812" s="23">
        <v>810</v>
      </c>
      <c r="B812" s="24" t="s">
        <v>2896</v>
      </c>
      <c r="C812" s="24" t="s">
        <v>1363</v>
      </c>
      <c r="D812" s="24" t="s">
        <v>2897</v>
      </c>
      <c r="E812" s="25"/>
      <c r="F812" s="25"/>
      <c r="G812" s="25"/>
      <c r="H812" s="25">
        <v>5</v>
      </c>
      <c r="I812" s="25">
        <v>18</v>
      </c>
      <c r="J812" s="25">
        <v>12</v>
      </c>
      <c r="K812" s="25">
        <v>12</v>
      </c>
      <c r="L812" s="25"/>
      <c r="M812" s="25"/>
      <c r="N812" s="25">
        <v>30</v>
      </c>
      <c r="O812" s="25"/>
      <c r="P812" s="25"/>
      <c r="Q812" s="22">
        <f t="shared" si="12"/>
        <v>77</v>
      </c>
    </row>
    <row r="813" spans="1:17" ht="15.75" customHeight="1">
      <c r="A813" s="19">
        <v>811</v>
      </c>
      <c r="B813" s="20" t="s">
        <v>1989</v>
      </c>
      <c r="C813" s="20" t="s">
        <v>1363</v>
      </c>
      <c r="D813" s="20" t="s">
        <v>1990</v>
      </c>
      <c r="E813" s="21"/>
      <c r="F813" s="21">
        <v>5</v>
      </c>
      <c r="G813" s="21">
        <v>10</v>
      </c>
      <c r="H813" s="21"/>
      <c r="I813" s="21"/>
      <c r="J813" s="21"/>
      <c r="K813" s="21"/>
      <c r="L813" s="21">
        <v>21</v>
      </c>
      <c r="M813" s="21"/>
      <c r="N813" s="21"/>
      <c r="O813" s="21"/>
      <c r="P813" s="21"/>
      <c r="Q813" s="22">
        <f t="shared" si="12"/>
        <v>36</v>
      </c>
    </row>
    <row r="814" spans="1:17" ht="15.75" customHeight="1">
      <c r="A814" s="23">
        <v>812</v>
      </c>
      <c r="B814" s="24" t="s">
        <v>2898</v>
      </c>
      <c r="C814" s="24" t="s">
        <v>1363</v>
      </c>
      <c r="D814" s="24" t="s">
        <v>2899</v>
      </c>
      <c r="E814" s="25"/>
      <c r="F814" s="25">
        <v>214</v>
      </c>
      <c r="G814" s="25">
        <v>32</v>
      </c>
      <c r="H814" s="25">
        <v>4</v>
      </c>
      <c r="I814" s="25"/>
      <c r="J814" s="25">
        <v>1</v>
      </c>
      <c r="K814" s="25"/>
      <c r="L814" s="25"/>
      <c r="M814" s="25"/>
      <c r="N814" s="25">
        <v>4</v>
      </c>
      <c r="O814" s="25"/>
      <c r="P814" s="25"/>
      <c r="Q814" s="22">
        <f t="shared" si="12"/>
        <v>255</v>
      </c>
    </row>
    <row r="815" spans="1:17" ht="15.75" customHeight="1">
      <c r="A815" s="19">
        <v>813</v>
      </c>
      <c r="B815" s="20" t="s">
        <v>2900</v>
      </c>
      <c r="C815" s="20" t="s">
        <v>1363</v>
      </c>
      <c r="D815" s="20" t="s">
        <v>2901</v>
      </c>
      <c r="E815" s="21"/>
      <c r="F815" s="21"/>
      <c r="G815" s="21">
        <v>42</v>
      </c>
      <c r="H815" s="21"/>
      <c r="I815" s="21"/>
      <c r="J815" s="21"/>
      <c r="K815" s="21"/>
      <c r="L815" s="21">
        <v>26</v>
      </c>
      <c r="M815" s="21"/>
      <c r="N815" s="21"/>
      <c r="O815" s="21"/>
      <c r="P815" s="21"/>
      <c r="Q815" s="22">
        <f t="shared" si="12"/>
        <v>68</v>
      </c>
    </row>
    <row r="816" spans="1:17" ht="15.75" customHeight="1">
      <c r="A816" s="23">
        <v>814</v>
      </c>
      <c r="B816" s="24" t="s">
        <v>1991</v>
      </c>
      <c r="C816" s="24" t="s">
        <v>1363</v>
      </c>
      <c r="D816" s="24" t="s">
        <v>1992</v>
      </c>
      <c r="E816" s="25"/>
      <c r="F816" s="25"/>
      <c r="G816" s="25"/>
      <c r="H816" s="25">
        <v>50</v>
      </c>
      <c r="I816" s="25"/>
      <c r="J816" s="25"/>
      <c r="K816" s="25"/>
      <c r="L816" s="25"/>
      <c r="M816" s="25"/>
      <c r="N816" s="25">
        <v>30</v>
      </c>
      <c r="O816" s="25"/>
      <c r="P816" s="25">
        <v>15</v>
      </c>
      <c r="Q816" s="22">
        <f t="shared" si="12"/>
        <v>95</v>
      </c>
    </row>
    <row r="817" spans="1:17" ht="15.75" customHeight="1">
      <c r="A817" s="19">
        <v>815</v>
      </c>
      <c r="B817" s="20" t="s">
        <v>1993</v>
      </c>
      <c r="C817" s="20" t="s">
        <v>1363</v>
      </c>
      <c r="D817" s="20" t="s">
        <v>1994</v>
      </c>
      <c r="E817" s="21"/>
      <c r="F817" s="21">
        <v>20</v>
      </c>
      <c r="G817" s="21"/>
      <c r="H817" s="21">
        <v>50</v>
      </c>
      <c r="I817" s="21"/>
      <c r="J817" s="21"/>
      <c r="K817" s="21">
        <v>50</v>
      </c>
      <c r="L817" s="21">
        <v>5</v>
      </c>
      <c r="M817" s="21">
        <v>5</v>
      </c>
      <c r="N817" s="21">
        <v>60</v>
      </c>
      <c r="O817" s="21"/>
      <c r="P817" s="21"/>
      <c r="Q817" s="22">
        <f t="shared" si="12"/>
        <v>190</v>
      </c>
    </row>
    <row r="818" spans="1:17" ht="15.75" customHeight="1">
      <c r="A818" s="23">
        <v>816</v>
      </c>
      <c r="B818" s="24" t="s">
        <v>1995</v>
      </c>
      <c r="C818" s="24" t="s">
        <v>1363</v>
      </c>
      <c r="D818" s="24" t="s">
        <v>1996</v>
      </c>
      <c r="E818" s="25"/>
      <c r="F818" s="25"/>
      <c r="G818" s="25">
        <v>15</v>
      </c>
      <c r="H818" s="25"/>
      <c r="I818" s="25">
        <v>10</v>
      </c>
      <c r="J818" s="25"/>
      <c r="K818" s="25"/>
      <c r="L818" s="25"/>
      <c r="M818" s="25"/>
      <c r="N818" s="25"/>
      <c r="O818" s="25"/>
      <c r="P818" s="25">
        <v>3</v>
      </c>
      <c r="Q818" s="22">
        <f t="shared" si="12"/>
        <v>28</v>
      </c>
    </row>
    <row r="819" spans="1:17" ht="15.75" customHeight="1">
      <c r="A819" s="19">
        <v>817</v>
      </c>
      <c r="B819" s="20" t="s">
        <v>2001</v>
      </c>
      <c r="C819" s="20" t="s">
        <v>1363</v>
      </c>
      <c r="D819" s="20" t="s">
        <v>2002</v>
      </c>
      <c r="E819" s="21"/>
      <c r="F819" s="21">
        <v>42</v>
      </c>
      <c r="G819" s="21"/>
      <c r="H819" s="21"/>
      <c r="I819" s="21"/>
      <c r="J819" s="21"/>
      <c r="K819" s="21"/>
      <c r="L819" s="21"/>
      <c r="M819" s="21"/>
      <c r="N819" s="21"/>
      <c r="O819" s="21"/>
      <c r="P819" s="21">
        <v>54</v>
      </c>
      <c r="Q819" s="22">
        <f t="shared" si="12"/>
        <v>96</v>
      </c>
    </row>
    <row r="820" spans="1:17" ht="15.75" customHeight="1">
      <c r="A820" s="23">
        <v>818</v>
      </c>
      <c r="B820" s="24" t="s">
        <v>2003</v>
      </c>
      <c r="C820" s="24" t="s">
        <v>1357</v>
      </c>
      <c r="D820" s="24" t="s">
        <v>2004</v>
      </c>
      <c r="E820" s="25">
        <v>2</v>
      </c>
      <c r="F820" s="25">
        <v>20</v>
      </c>
      <c r="G820" s="25">
        <v>17</v>
      </c>
      <c r="H820" s="25">
        <v>100</v>
      </c>
      <c r="I820" s="25"/>
      <c r="J820" s="25">
        <v>55</v>
      </c>
      <c r="K820" s="25"/>
      <c r="L820" s="25">
        <v>15</v>
      </c>
      <c r="M820" s="25">
        <v>10</v>
      </c>
      <c r="N820" s="25">
        <v>60</v>
      </c>
      <c r="O820" s="25">
        <v>40</v>
      </c>
      <c r="P820" s="25">
        <v>8</v>
      </c>
      <c r="Q820" s="22">
        <f t="shared" si="12"/>
        <v>327</v>
      </c>
    </row>
    <row r="821" spans="1:17" ht="15.75" customHeight="1">
      <c r="A821" s="19">
        <v>819</v>
      </c>
      <c r="B821" s="20" t="s">
        <v>2005</v>
      </c>
      <c r="C821" s="20" t="s">
        <v>1363</v>
      </c>
      <c r="D821" s="20" t="s">
        <v>2006</v>
      </c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>
        <v>10</v>
      </c>
      <c r="P821" s="21">
        <v>5</v>
      </c>
      <c r="Q821" s="22">
        <f t="shared" si="12"/>
        <v>15</v>
      </c>
    </row>
    <row r="822" spans="1:17" ht="15.75" customHeight="1">
      <c r="A822" s="23">
        <v>820</v>
      </c>
      <c r="B822" s="24" t="s">
        <v>2017</v>
      </c>
      <c r="C822" s="24" t="s">
        <v>1460</v>
      </c>
      <c r="D822" s="24" t="s">
        <v>2018</v>
      </c>
      <c r="E822" s="25">
        <v>30</v>
      </c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>
        <v>10</v>
      </c>
      <c r="Q822" s="22">
        <f t="shared" si="12"/>
        <v>40</v>
      </c>
    </row>
    <row r="823" spans="1:17" ht="15.75" customHeight="1">
      <c r="A823" s="19">
        <v>821</v>
      </c>
      <c r="B823" s="20" t="s">
        <v>2906</v>
      </c>
      <c r="C823" s="20" t="s">
        <v>1460</v>
      </c>
      <c r="D823" s="20" t="s">
        <v>2907</v>
      </c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>
        <v>10</v>
      </c>
      <c r="P823" s="21"/>
      <c r="Q823" s="22">
        <f t="shared" si="12"/>
        <v>10</v>
      </c>
    </row>
    <row r="824" spans="1:17" ht="15.75" customHeight="1">
      <c r="A824" s="23">
        <v>822</v>
      </c>
      <c r="B824" s="24" t="s">
        <v>2023</v>
      </c>
      <c r="C824" s="24" t="s">
        <v>1460</v>
      </c>
      <c r="D824" s="24" t="s">
        <v>2024</v>
      </c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>
        <v>20</v>
      </c>
      <c r="Q824" s="22">
        <f t="shared" si="12"/>
        <v>20</v>
      </c>
    </row>
    <row r="825" spans="1:17" ht="15.75" customHeight="1">
      <c r="A825" s="19">
        <v>823</v>
      </c>
      <c r="B825" s="20" t="s">
        <v>2027</v>
      </c>
      <c r="C825" s="20" t="s">
        <v>1463</v>
      </c>
      <c r="D825" s="20" t="s">
        <v>2028</v>
      </c>
      <c r="E825" s="21"/>
      <c r="F825" s="21">
        <v>30</v>
      </c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2">
        <f t="shared" si="12"/>
        <v>30</v>
      </c>
    </row>
    <row r="826" spans="1:17" ht="15.75" customHeight="1">
      <c r="A826" s="23">
        <v>824</v>
      </c>
      <c r="B826" s="24" t="s">
        <v>2031</v>
      </c>
      <c r="C826" s="24" t="s">
        <v>1463</v>
      </c>
      <c r="D826" s="24" t="s">
        <v>2032</v>
      </c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>
        <v>30</v>
      </c>
      <c r="Q826" s="22">
        <f t="shared" si="12"/>
        <v>30</v>
      </c>
    </row>
    <row r="827" spans="1:17" ht="15.75" customHeight="1">
      <c r="A827" s="19">
        <v>825</v>
      </c>
      <c r="B827" s="20" t="s">
        <v>2033</v>
      </c>
      <c r="C827" s="20" t="s">
        <v>1463</v>
      </c>
      <c r="D827" s="20" t="s">
        <v>2034</v>
      </c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>
        <v>30</v>
      </c>
      <c r="Q827" s="22">
        <f t="shared" si="12"/>
        <v>30</v>
      </c>
    </row>
    <row r="828" spans="1:17" ht="15.75" customHeight="1">
      <c r="A828" s="23">
        <v>826</v>
      </c>
      <c r="B828" s="24" t="s">
        <v>3393</v>
      </c>
      <c r="C828" s="24" t="s">
        <v>2038</v>
      </c>
      <c r="D828" s="24" t="s">
        <v>3394</v>
      </c>
      <c r="E828" s="25"/>
      <c r="F828" s="25">
        <v>5</v>
      </c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2">
        <f t="shared" si="12"/>
        <v>5</v>
      </c>
    </row>
    <row r="829" spans="1:17" ht="15.75" customHeight="1">
      <c r="A829" s="19">
        <v>827</v>
      </c>
      <c r="B829" s="20" t="s">
        <v>3395</v>
      </c>
      <c r="C829" s="20" t="s">
        <v>2038</v>
      </c>
      <c r="D829" s="20" t="s">
        <v>3396</v>
      </c>
      <c r="E829" s="21"/>
      <c r="F829" s="21">
        <v>5</v>
      </c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2">
        <f t="shared" si="12"/>
        <v>5</v>
      </c>
    </row>
    <row r="830" spans="1:17" ht="15.75" customHeight="1">
      <c r="A830" s="23">
        <v>828</v>
      </c>
      <c r="B830" s="24" t="s">
        <v>3397</v>
      </c>
      <c r="C830" s="24" t="s">
        <v>2038</v>
      </c>
      <c r="D830" s="24" t="s">
        <v>3398</v>
      </c>
      <c r="E830" s="25"/>
      <c r="F830" s="25"/>
      <c r="G830" s="25">
        <v>3</v>
      </c>
      <c r="H830" s="25"/>
      <c r="I830" s="25"/>
      <c r="J830" s="25"/>
      <c r="K830" s="25"/>
      <c r="L830" s="25"/>
      <c r="M830" s="25"/>
      <c r="N830" s="25"/>
      <c r="O830" s="25"/>
      <c r="P830" s="25"/>
      <c r="Q830" s="22">
        <f t="shared" si="12"/>
        <v>3</v>
      </c>
    </row>
    <row r="831" spans="1:17" ht="15.75" customHeight="1">
      <c r="A831" s="19">
        <v>829</v>
      </c>
      <c r="B831" s="20" t="s">
        <v>3399</v>
      </c>
      <c r="C831" s="20" t="s">
        <v>1475</v>
      </c>
      <c r="D831" s="20" t="s">
        <v>3400</v>
      </c>
      <c r="E831" s="21"/>
      <c r="F831" s="21"/>
      <c r="G831" s="21"/>
      <c r="H831" s="21"/>
      <c r="I831" s="21"/>
      <c r="J831" s="21">
        <v>18</v>
      </c>
      <c r="K831" s="21"/>
      <c r="L831" s="21"/>
      <c r="M831" s="21">
        <v>60</v>
      </c>
      <c r="N831" s="21"/>
      <c r="O831" s="21"/>
      <c r="P831" s="21"/>
      <c r="Q831" s="22">
        <f t="shared" si="12"/>
        <v>78</v>
      </c>
    </row>
    <row r="832" spans="1:17" ht="15.75" customHeight="1">
      <c r="A832" s="23">
        <v>830</v>
      </c>
      <c r="B832" s="24" t="s">
        <v>3401</v>
      </c>
      <c r="C832" s="24" t="s">
        <v>1475</v>
      </c>
      <c r="D832" s="24" t="s">
        <v>3402</v>
      </c>
      <c r="E832" s="25"/>
      <c r="F832" s="25"/>
      <c r="G832" s="25"/>
      <c r="H832" s="25"/>
      <c r="I832" s="25"/>
      <c r="J832" s="25">
        <v>100</v>
      </c>
      <c r="K832" s="25">
        <v>200</v>
      </c>
      <c r="L832" s="25"/>
      <c r="M832" s="25"/>
      <c r="N832" s="25"/>
      <c r="O832" s="25"/>
      <c r="P832" s="25"/>
      <c r="Q832" s="22">
        <f t="shared" si="12"/>
        <v>300</v>
      </c>
    </row>
    <row r="833" spans="1:17" ht="15.75" customHeight="1">
      <c r="A833" s="19">
        <v>831</v>
      </c>
      <c r="B833" s="20" t="s">
        <v>3403</v>
      </c>
      <c r="C833" s="20" t="s">
        <v>2041</v>
      </c>
      <c r="D833" s="20" t="s">
        <v>3404</v>
      </c>
      <c r="E833" s="21"/>
      <c r="F833" s="21"/>
      <c r="G833" s="21"/>
      <c r="H833" s="21"/>
      <c r="I833" s="21"/>
      <c r="J833" s="21"/>
      <c r="K833" s="21"/>
      <c r="L833" s="21">
        <v>15</v>
      </c>
      <c r="M833" s="21"/>
      <c r="N833" s="21"/>
      <c r="O833" s="21"/>
      <c r="P833" s="21"/>
      <c r="Q833" s="22">
        <f t="shared" si="12"/>
        <v>15</v>
      </c>
    </row>
    <row r="834" spans="1:17" ht="15.75" customHeight="1">
      <c r="A834" s="23">
        <v>832</v>
      </c>
      <c r="B834" s="24" t="s">
        <v>2043</v>
      </c>
      <c r="C834" s="24" t="s">
        <v>2041</v>
      </c>
      <c r="D834" s="24" t="s">
        <v>2044</v>
      </c>
      <c r="E834" s="25"/>
      <c r="F834" s="25"/>
      <c r="G834" s="25"/>
      <c r="H834" s="25"/>
      <c r="I834" s="25"/>
      <c r="J834" s="25">
        <v>10</v>
      </c>
      <c r="K834" s="25"/>
      <c r="L834" s="25"/>
      <c r="M834" s="25"/>
      <c r="N834" s="25"/>
      <c r="O834" s="25"/>
      <c r="P834" s="25"/>
      <c r="Q834" s="22">
        <f t="shared" si="12"/>
        <v>10</v>
      </c>
    </row>
    <row r="835" spans="1:17" ht="15.75" customHeight="1">
      <c r="A835" s="19">
        <v>833</v>
      </c>
      <c r="B835" s="20" t="s">
        <v>2910</v>
      </c>
      <c r="C835" s="20" t="s">
        <v>2041</v>
      </c>
      <c r="D835" s="20" t="s">
        <v>2911</v>
      </c>
      <c r="E835" s="21"/>
      <c r="F835" s="21"/>
      <c r="G835" s="21"/>
      <c r="H835" s="21">
        <v>10</v>
      </c>
      <c r="I835" s="21">
        <v>25</v>
      </c>
      <c r="J835" s="21">
        <v>30</v>
      </c>
      <c r="K835" s="21"/>
      <c r="L835" s="21">
        <v>35</v>
      </c>
      <c r="M835" s="21"/>
      <c r="N835" s="21"/>
      <c r="O835" s="21"/>
      <c r="P835" s="21"/>
      <c r="Q835" s="22">
        <f t="shared" ref="Q835:Q898" si="13">SUM(E835:P835)</f>
        <v>100</v>
      </c>
    </row>
    <row r="836" spans="1:17" ht="15.75" customHeight="1">
      <c r="A836" s="23">
        <v>834</v>
      </c>
      <c r="B836" s="24" t="s">
        <v>3405</v>
      </c>
      <c r="C836" s="24" t="s">
        <v>1481</v>
      </c>
      <c r="D836" s="24" t="s">
        <v>3406</v>
      </c>
      <c r="E836" s="25"/>
      <c r="F836" s="25"/>
      <c r="G836" s="25"/>
      <c r="H836" s="25">
        <v>5</v>
      </c>
      <c r="I836" s="25"/>
      <c r="J836" s="25"/>
      <c r="K836" s="25"/>
      <c r="L836" s="25"/>
      <c r="M836" s="25"/>
      <c r="N836" s="25"/>
      <c r="O836" s="25"/>
      <c r="P836" s="25"/>
      <c r="Q836" s="22">
        <f t="shared" si="13"/>
        <v>5</v>
      </c>
    </row>
    <row r="837" spans="1:17" ht="15.75" customHeight="1">
      <c r="A837" s="19">
        <v>835</v>
      </c>
      <c r="B837" s="20" t="s">
        <v>2057</v>
      </c>
      <c r="C837" s="20" t="s">
        <v>1489</v>
      </c>
      <c r="D837" s="20" t="s">
        <v>2058</v>
      </c>
      <c r="E837" s="21"/>
      <c r="F837" s="21"/>
      <c r="G837" s="21"/>
      <c r="H837" s="21"/>
      <c r="I837" s="21"/>
      <c r="J837" s="21"/>
      <c r="K837" s="21"/>
      <c r="L837" s="21"/>
      <c r="M837" s="21"/>
      <c r="N837" s="21">
        <v>10</v>
      </c>
      <c r="O837" s="21"/>
      <c r="P837" s="21">
        <v>10</v>
      </c>
      <c r="Q837" s="22">
        <f t="shared" si="13"/>
        <v>20</v>
      </c>
    </row>
    <row r="838" spans="1:17" ht="15.75" customHeight="1">
      <c r="A838" s="23">
        <v>836</v>
      </c>
      <c r="B838" s="24" t="s">
        <v>3407</v>
      </c>
      <c r="C838" s="24" t="s">
        <v>1489</v>
      </c>
      <c r="D838" s="24" t="s">
        <v>3408</v>
      </c>
      <c r="E838" s="25"/>
      <c r="F838" s="25"/>
      <c r="G838" s="25"/>
      <c r="H838" s="25"/>
      <c r="I838" s="25"/>
      <c r="J838" s="25"/>
      <c r="K838" s="25">
        <v>10</v>
      </c>
      <c r="L838" s="25"/>
      <c r="M838" s="25"/>
      <c r="N838" s="25"/>
      <c r="O838" s="25"/>
      <c r="P838" s="25"/>
      <c r="Q838" s="22">
        <f t="shared" si="13"/>
        <v>10</v>
      </c>
    </row>
    <row r="839" spans="1:17" ht="15.75" customHeight="1">
      <c r="A839" s="19">
        <v>837</v>
      </c>
      <c r="B839" s="20" t="s">
        <v>3409</v>
      </c>
      <c r="C839" s="20" t="s">
        <v>3410</v>
      </c>
      <c r="D839" s="20" t="s">
        <v>3411</v>
      </c>
      <c r="E839" s="21"/>
      <c r="F839" s="21"/>
      <c r="G839" s="21">
        <v>3</v>
      </c>
      <c r="H839" s="21"/>
      <c r="I839" s="21"/>
      <c r="J839" s="21"/>
      <c r="K839" s="21"/>
      <c r="L839" s="21"/>
      <c r="M839" s="21"/>
      <c r="N839" s="21"/>
      <c r="O839" s="21"/>
      <c r="P839" s="21"/>
      <c r="Q839" s="22">
        <f t="shared" si="13"/>
        <v>3</v>
      </c>
    </row>
    <row r="840" spans="1:17" ht="15.75" customHeight="1">
      <c r="A840" s="23">
        <v>838</v>
      </c>
      <c r="B840" s="24" t="s">
        <v>3412</v>
      </c>
      <c r="C840" s="24" t="s">
        <v>1491</v>
      </c>
      <c r="D840" s="24" t="s">
        <v>3413</v>
      </c>
      <c r="E840" s="25"/>
      <c r="F840" s="25"/>
      <c r="G840" s="25">
        <v>3</v>
      </c>
      <c r="H840" s="25"/>
      <c r="I840" s="25"/>
      <c r="J840" s="25"/>
      <c r="K840" s="25"/>
      <c r="L840" s="25"/>
      <c r="M840" s="25"/>
      <c r="N840" s="25"/>
      <c r="O840" s="25"/>
      <c r="P840" s="25"/>
      <c r="Q840" s="22">
        <f t="shared" si="13"/>
        <v>3</v>
      </c>
    </row>
    <row r="841" spans="1:17" ht="15.75" customHeight="1">
      <c r="A841" s="19">
        <v>839</v>
      </c>
      <c r="B841" s="20" t="s">
        <v>2916</v>
      </c>
      <c r="C841" s="20" t="s">
        <v>1491</v>
      </c>
      <c r="D841" s="20" t="s">
        <v>2917</v>
      </c>
      <c r="E841" s="21">
        <v>50</v>
      </c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2">
        <f t="shared" si="13"/>
        <v>50</v>
      </c>
    </row>
    <row r="842" spans="1:17" ht="15.75" customHeight="1">
      <c r="A842" s="23">
        <v>840</v>
      </c>
      <c r="B842" s="24" t="s">
        <v>3414</v>
      </c>
      <c r="C842" s="24" t="s">
        <v>1493</v>
      </c>
      <c r="D842" s="24" t="s">
        <v>3415</v>
      </c>
      <c r="E842" s="25">
        <v>40</v>
      </c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2">
        <f t="shared" si="13"/>
        <v>40</v>
      </c>
    </row>
    <row r="843" spans="1:17" ht="15.75" customHeight="1">
      <c r="A843" s="19">
        <v>841</v>
      </c>
      <c r="B843" s="20" t="s">
        <v>3416</v>
      </c>
      <c r="C843" s="20" t="s">
        <v>1493</v>
      </c>
      <c r="D843" s="20" t="s">
        <v>3417</v>
      </c>
      <c r="E843" s="21"/>
      <c r="F843" s="21"/>
      <c r="G843" s="21"/>
      <c r="H843" s="21"/>
      <c r="I843" s="21"/>
      <c r="J843" s="21"/>
      <c r="K843" s="21"/>
      <c r="L843" s="21">
        <v>15</v>
      </c>
      <c r="M843" s="21"/>
      <c r="N843" s="21"/>
      <c r="O843" s="21"/>
      <c r="P843" s="21"/>
      <c r="Q843" s="22">
        <f t="shared" si="13"/>
        <v>15</v>
      </c>
    </row>
    <row r="844" spans="1:17" ht="15.75" customHeight="1">
      <c r="A844" s="23">
        <v>842</v>
      </c>
      <c r="B844" s="24" t="s">
        <v>2067</v>
      </c>
      <c r="C844" s="24" t="s">
        <v>2068</v>
      </c>
      <c r="D844" s="24" t="s">
        <v>2069</v>
      </c>
      <c r="E844" s="25"/>
      <c r="F844" s="25"/>
      <c r="G844" s="25">
        <v>3</v>
      </c>
      <c r="H844" s="25"/>
      <c r="I844" s="25"/>
      <c r="J844" s="25"/>
      <c r="K844" s="25"/>
      <c r="L844" s="25"/>
      <c r="M844" s="25"/>
      <c r="N844" s="25"/>
      <c r="O844" s="25"/>
      <c r="P844" s="25"/>
      <c r="Q844" s="22">
        <f t="shared" si="13"/>
        <v>3</v>
      </c>
    </row>
    <row r="845" spans="1:17" ht="15.75" customHeight="1">
      <c r="A845" s="19">
        <v>843</v>
      </c>
      <c r="B845" s="20" t="s">
        <v>2070</v>
      </c>
      <c r="C845" s="20" t="s">
        <v>1504</v>
      </c>
      <c r="D845" s="20" t="s">
        <v>2071</v>
      </c>
      <c r="E845" s="21"/>
      <c r="F845" s="21"/>
      <c r="G845" s="21"/>
      <c r="H845" s="21"/>
      <c r="I845" s="21"/>
      <c r="J845" s="21"/>
      <c r="K845" s="21"/>
      <c r="L845" s="21">
        <v>1</v>
      </c>
      <c r="M845" s="21"/>
      <c r="N845" s="21"/>
      <c r="O845" s="21"/>
      <c r="P845" s="21">
        <v>10</v>
      </c>
      <c r="Q845" s="22">
        <f t="shared" si="13"/>
        <v>11</v>
      </c>
    </row>
    <row r="846" spans="1:17" ht="15.75" customHeight="1">
      <c r="A846" s="23">
        <v>844</v>
      </c>
      <c r="B846" s="24" t="s">
        <v>2075</v>
      </c>
      <c r="C846" s="24" t="s">
        <v>2068</v>
      </c>
      <c r="D846" s="24" t="s">
        <v>2076</v>
      </c>
      <c r="E846" s="25"/>
      <c r="F846" s="25"/>
      <c r="G846" s="25">
        <v>200</v>
      </c>
      <c r="H846" s="25"/>
      <c r="I846" s="25"/>
      <c r="J846" s="25"/>
      <c r="K846" s="25"/>
      <c r="L846" s="25"/>
      <c r="M846" s="25"/>
      <c r="N846" s="25"/>
      <c r="O846" s="25"/>
      <c r="P846" s="25"/>
      <c r="Q846" s="22">
        <f t="shared" si="13"/>
        <v>200</v>
      </c>
    </row>
    <row r="847" spans="1:17" ht="15.75" customHeight="1">
      <c r="A847" s="19">
        <v>845</v>
      </c>
      <c r="B847" s="20" t="s">
        <v>2077</v>
      </c>
      <c r="C847" s="20" t="s">
        <v>2008</v>
      </c>
      <c r="D847" s="20" t="s">
        <v>2078</v>
      </c>
      <c r="E847" s="21"/>
      <c r="F847" s="21"/>
      <c r="G847" s="21"/>
      <c r="H847" s="21"/>
      <c r="I847" s="21"/>
      <c r="J847" s="21">
        <v>10</v>
      </c>
      <c r="K847" s="21"/>
      <c r="L847" s="21"/>
      <c r="M847" s="21"/>
      <c r="N847" s="21"/>
      <c r="O847" s="21"/>
      <c r="P847" s="21"/>
      <c r="Q847" s="22">
        <f t="shared" si="13"/>
        <v>10</v>
      </c>
    </row>
    <row r="848" spans="1:17" ht="15.75" customHeight="1">
      <c r="A848" s="23">
        <v>846</v>
      </c>
      <c r="B848" s="24" t="s">
        <v>2079</v>
      </c>
      <c r="C848" s="24" t="s">
        <v>2008</v>
      </c>
      <c r="D848" s="24" t="s">
        <v>2080</v>
      </c>
      <c r="E848" s="25"/>
      <c r="F848" s="25"/>
      <c r="G848" s="25">
        <v>10</v>
      </c>
      <c r="H848" s="25"/>
      <c r="I848" s="25"/>
      <c r="J848" s="25"/>
      <c r="K848" s="25"/>
      <c r="L848" s="25"/>
      <c r="M848" s="25"/>
      <c r="N848" s="25"/>
      <c r="O848" s="25"/>
      <c r="P848" s="25"/>
      <c r="Q848" s="22">
        <f t="shared" si="13"/>
        <v>10</v>
      </c>
    </row>
    <row r="849" spans="1:17" ht="15.75" customHeight="1">
      <c r="A849" s="19">
        <v>847</v>
      </c>
      <c r="B849" s="20" t="s">
        <v>2082</v>
      </c>
      <c r="C849" s="20" t="s">
        <v>1460</v>
      </c>
      <c r="D849" s="20" t="s">
        <v>2083</v>
      </c>
      <c r="E849" s="21">
        <v>30</v>
      </c>
      <c r="F849" s="21">
        <v>55</v>
      </c>
      <c r="G849" s="21">
        <v>25</v>
      </c>
      <c r="H849" s="21">
        <v>50</v>
      </c>
      <c r="I849" s="21"/>
      <c r="J849" s="21">
        <v>30</v>
      </c>
      <c r="K849" s="21">
        <v>10</v>
      </c>
      <c r="L849" s="21"/>
      <c r="M849" s="21"/>
      <c r="N849" s="21">
        <v>20</v>
      </c>
      <c r="O849" s="21"/>
      <c r="P849" s="21"/>
      <c r="Q849" s="22">
        <f t="shared" si="13"/>
        <v>220</v>
      </c>
    </row>
    <row r="850" spans="1:17" ht="15.75" customHeight="1">
      <c r="A850" s="23">
        <v>848</v>
      </c>
      <c r="B850" s="24" t="s">
        <v>2085</v>
      </c>
      <c r="C850" s="24" t="s">
        <v>1460</v>
      </c>
      <c r="D850" s="24" t="s">
        <v>1700</v>
      </c>
      <c r="E850" s="25"/>
      <c r="F850" s="25"/>
      <c r="G850" s="25"/>
      <c r="H850" s="25"/>
      <c r="I850" s="25"/>
      <c r="J850" s="25"/>
      <c r="K850" s="25">
        <v>30</v>
      </c>
      <c r="L850" s="25"/>
      <c r="M850" s="25"/>
      <c r="N850" s="25"/>
      <c r="O850" s="25"/>
      <c r="P850" s="25"/>
      <c r="Q850" s="22">
        <f t="shared" si="13"/>
        <v>30</v>
      </c>
    </row>
    <row r="851" spans="1:17" ht="15.75" customHeight="1">
      <c r="A851" s="19">
        <v>849</v>
      </c>
      <c r="B851" s="20" t="s">
        <v>2086</v>
      </c>
      <c r="C851" s="20" t="s">
        <v>1460</v>
      </c>
      <c r="D851" s="20" t="s">
        <v>2087</v>
      </c>
      <c r="E851" s="21">
        <v>130</v>
      </c>
      <c r="F851" s="21">
        <v>120</v>
      </c>
      <c r="G851" s="21">
        <v>21</v>
      </c>
      <c r="H851" s="21">
        <v>66</v>
      </c>
      <c r="I851" s="21">
        <v>21</v>
      </c>
      <c r="J851" s="21">
        <v>21</v>
      </c>
      <c r="K851" s="21">
        <v>40</v>
      </c>
      <c r="L851" s="21"/>
      <c r="M851" s="21"/>
      <c r="N851" s="21">
        <v>20</v>
      </c>
      <c r="O851" s="21">
        <v>30</v>
      </c>
      <c r="P851" s="21"/>
      <c r="Q851" s="22">
        <f t="shared" si="13"/>
        <v>469</v>
      </c>
    </row>
    <row r="852" spans="1:17" ht="15.75" customHeight="1">
      <c r="A852" s="23">
        <v>850</v>
      </c>
      <c r="B852" s="24" t="s">
        <v>2088</v>
      </c>
      <c r="C852" s="24" t="s">
        <v>1460</v>
      </c>
      <c r="D852" s="24" t="s">
        <v>2089</v>
      </c>
      <c r="E852" s="25">
        <v>80</v>
      </c>
      <c r="F852" s="25">
        <v>60</v>
      </c>
      <c r="G852" s="25">
        <v>5</v>
      </c>
      <c r="H852" s="25">
        <v>50</v>
      </c>
      <c r="I852" s="25"/>
      <c r="J852" s="25">
        <v>20</v>
      </c>
      <c r="K852" s="25">
        <v>40</v>
      </c>
      <c r="L852" s="25"/>
      <c r="M852" s="25"/>
      <c r="N852" s="25">
        <v>50</v>
      </c>
      <c r="O852" s="25"/>
      <c r="P852" s="25"/>
      <c r="Q852" s="22">
        <f t="shared" si="13"/>
        <v>305</v>
      </c>
    </row>
    <row r="853" spans="1:17" ht="15.75" customHeight="1">
      <c r="A853" s="19">
        <v>851</v>
      </c>
      <c r="B853" s="20" t="s">
        <v>2092</v>
      </c>
      <c r="C853" s="20" t="s">
        <v>1460</v>
      </c>
      <c r="D853" s="20" t="s">
        <v>2093</v>
      </c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>
        <v>1</v>
      </c>
      <c r="Q853" s="22">
        <f t="shared" si="13"/>
        <v>1</v>
      </c>
    </row>
    <row r="854" spans="1:17" ht="15.75" customHeight="1">
      <c r="A854" s="23">
        <v>852</v>
      </c>
      <c r="B854" s="24" t="s">
        <v>2096</v>
      </c>
      <c r="C854" s="24" t="s">
        <v>1463</v>
      </c>
      <c r="D854" s="24" t="s">
        <v>2097</v>
      </c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>
        <v>30</v>
      </c>
      <c r="Q854" s="22">
        <f t="shared" si="13"/>
        <v>30</v>
      </c>
    </row>
    <row r="855" spans="1:17" ht="15.75" customHeight="1">
      <c r="A855" s="19">
        <v>853</v>
      </c>
      <c r="B855" s="20" t="s">
        <v>2098</v>
      </c>
      <c r="C855" s="20" t="s">
        <v>1463</v>
      </c>
      <c r="D855" s="20" t="s">
        <v>2099</v>
      </c>
      <c r="E855" s="21">
        <v>50</v>
      </c>
      <c r="F855" s="21"/>
      <c r="G855" s="21"/>
      <c r="H855" s="21"/>
      <c r="I855" s="21"/>
      <c r="J855" s="21"/>
      <c r="K855" s="21"/>
      <c r="L855" s="21">
        <v>20</v>
      </c>
      <c r="M855" s="21"/>
      <c r="N855" s="21"/>
      <c r="O855" s="21"/>
      <c r="P855" s="21"/>
      <c r="Q855" s="22">
        <f t="shared" si="13"/>
        <v>70</v>
      </c>
    </row>
    <row r="856" spans="1:17" ht="15.75" customHeight="1">
      <c r="A856" s="23">
        <v>854</v>
      </c>
      <c r="B856" s="24" t="s">
        <v>2100</v>
      </c>
      <c r="C856" s="24" t="s">
        <v>1463</v>
      </c>
      <c r="D856" s="24" t="s">
        <v>2101</v>
      </c>
      <c r="E856" s="25">
        <v>50</v>
      </c>
      <c r="F856" s="25">
        <v>10</v>
      </c>
      <c r="G856" s="25"/>
      <c r="H856" s="25"/>
      <c r="I856" s="25"/>
      <c r="J856" s="25">
        <v>30</v>
      </c>
      <c r="K856" s="25"/>
      <c r="L856" s="25"/>
      <c r="M856" s="25"/>
      <c r="N856" s="25"/>
      <c r="O856" s="25"/>
      <c r="P856" s="25"/>
      <c r="Q856" s="22">
        <f t="shared" si="13"/>
        <v>90</v>
      </c>
    </row>
    <row r="857" spans="1:17" ht="15.75" customHeight="1">
      <c r="A857" s="19">
        <v>855</v>
      </c>
      <c r="B857" s="20" t="s">
        <v>2102</v>
      </c>
      <c r="C857" s="20" t="s">
        <v>1463</v>
      </c>
      <c r="D857" s="20" t="s">
        <v>2103</v>
      </c>
      <c r="E857" s="21"/>
      <c r="F857" s="21"/>
      <c r="G857" s="21"/>
      <c r="H857" s="21"/>
      <c r="I857" s="21"/>
      <c r="J857" s="21"/>
      <c r="K857" s="21"/>
      <c r="L857" s="21">
        <v>3</v>
      </c>
      <c r="M857" s="21"/>
      <c r="N857" s="21"/>
      <c r="O857" s="21"/>
      <c r="P857" s="21"/>
      <c r="Q857" s="22">
        <f t="shared" si="13"/>
        <v>3</v>
      </c>
    </row>
    <row r="858" spans="1:17" ht="15.75" customHeight="1">
      <c r="A858" s="23">
        <v>856</v>
      </c>
      <c r="B858" s="24" t="s">
        <v>2928</v>
      </c>
      <c r="C858" s="24" t="s">
        <v>2929</v>
      </c>
      <c r="D858" s="24" t="s">
        <v>1911</v>
      </c>
      <c r="E858" s="25"/>
      <c r="F858" s="25">
        <v>8</v>
      </c>
      <c r="G858" s="25">
        <v>10</v>
      </c>
      <c r="H858" s="25">
        <v>10</v>
      </c>
      <c r="I858" s="25"/>
      <c r="J858" s="25">
        <v>10</v>
      </c>
      <c r="K858" s="25">
        <v>6</v>
      </c>
      <c r="L858" s="25"/>
      <c r="M858" s="25">
        <v>4</v>
      </c>
      <c r="N858" s="25"/>
      <c r="O858" s="25"/>
      <c r="P858" s="25"/>
      <c r="Q858" s="22">
        <f t="shared" si="13"/>
        <v>48</v>
      </c>
    </row>
    <row r="859" spans="1:17" ht="15.75" customHeight="1">
      <c r="A859" s="19">
        <v>857</v>
      </c>
      <c r="B859" s="20" t="s">
        <v>2930</v>
      </c>
      <c r="C859" s="20" t="s">
        <v>2929</v>
      </c>
      <c r="D859" s="20" t="s">
        <v>1913</v>
      </c>
      <c r="E859" s="21"/>
      <c r="F859" s="21"/>
      <c r="G859" s="21">
        <v>10</v>
      </c>
      <c r="H859" s="21"/>
      <c r="I859" s="21"/>
      <c r="J859" s="21">
        <v>10</v>
      </c>
      <c r="K859" s="21">
        <v>10</v>
      </c>
      <c r="L859" s="21">
        <v>9</v>
      </c>
      <c r="M859" s="21"/>
      <c r="N859" s="21"/>
      <c r="O859" s="21"/>
      <c r="P859" s="21"/>
      <c r="Q859" s="22">
        <f t="shared" si="13"/>
        <v>39</v>
      </c>
    </row>
    <row r="860" spans="1:17" ht="15.75" customHeight="1">
      <c r="A860" s="23">
        <v>858</v>
      </c>
      <c r="B860" s="24" t="s">
        <v>2931</v>
      </c>
      <c r="C860" s="24" t="s">
        <v>2929</v>
      </c>
      <c r="D860" s="24" t="s">
        <v>1904</v>
      </c>
      <c r="E860" s="25"/>
      <c r="F860" s="25"/>
      <c r="G860" s="25"/>
      <c r="H860" s="25"/>
      <c r="I860" s="25"/>
      <c r="J860" s="25"/>
      <c r="K860" s="25"/>
      <c r="L860" s="25">
        <v>10</v>
      </c>
      <c r="M860" s="25">
        <v>1</v>
      </c>
      <c r="N860" s="25"/>
      <c r="O860" s="25"/>
      <c r="P860" s="25"/>
      <c r="Q860" s="22">
        <f t="shared" si="13"/>
        <v>11</v>
      </c>
    </row>
    <row r="861" spans="1:17" ht="15.75" customHeight="1">
      <c r="A861" s="19">
        <v>859</v>
      </c>
      <c r="B861" s="20" t="s">
        <v>2104</v>
      </c>
      <c r="C861" s="20" t="s">
        <v>1466</v>
      </c>
      <c r="D861" s="20" t="s">
        <v>2105</v>
      </c>
      <c r="E861" s="21">
        <v>230</v>
      </c>
      <c r="F861" s="21">
        <v>90</v>
      </c>
      <c r="G861" s="21">
        <v>105</v>
      </c>
      <c r="H861" s="21">
        <v>40</v>
      </c>
      <c r="I861" s="21">
        <v>50</v>
      </c>
      <c r="J861" s="21">
        <v>210</v>
      </c>
      <c r="K861" s="21">
        <v>120</v>
      </c>
      <c r="L861" s="21">
        <v>10</v>
      </c>
      <c r="M861" s="21">
        <v>50</v>
      </c>
      <c r="N861" s="21">
        <v>600</v>
      </c>
      <c r="O861" s="21">
        <v>50</v>
      </c>
      <c r="P861" s="21">
        <v>220</v>
      </c>
      <c r="Q861" s="22">
        <f t="shared" si="13"/>
        <v>1775</v>
      </c>
    </row>
    <row r="862" spans="1:17" ht="15.75" customHeight="1">
      <c r="A862" s="23">
        <v>860</v>
      </c>
      <c r="B862" s="24" t="s">
        <v>2932</v>
      </c>
      <c r="C862" s="24" t="s">
        <v>1466</v>
      </c>
      <c r="D862" s="24" t="s">
        <v>1700</v>
      </c>
      <c r="E862" s="25"/>
      <c r="F862" s="25">
        <v>10</v>
      </c>
      <c r="G862" s="25"/>
      <c r="H862" s="25"/>
      <c r="I862" s="25"/>
      <c r="J862" s="25"/>
      <c r="K862" s="25"/>
      <c r="L862" s="25"/>
      <c r="M862" s="25"/>
      <c r="N862" s="25"/>
      <c r="O862" s="25"/>
      <c r="P862" s="25">
        <v>10</v>
      </c>
      <c r="Q862" s="22">
        <f t="shared" si="13"/>
        <v>20</v>
      </c>
    </row>
    <row r="863" spans="1:17" ht="15.75" customHeight="1">
      <c r="A863" s="19">
        <v>861</v>
      </c>
      <c r="B863" s="20" t="s">
        <v>2107</v>
      </c>
      <c r="C863" s="20" t="s">
        <v>1466</v>
      </c>
      <c r="D863" s="20" t="s">
        <v>2108</v>
      </c>
      <c r="E863" s="21">
        <v>130</v>
      </c>
      <c r="F863" s="21">
        <v>190</v>
      </c>
      <c r="G863" s="21">
        <v>25</v>
      </c>
      <c r="H863" s="21">
        <v>90</v>
      </c>
      <c r="I863" s="21">
        <v>71</v>
      </c>
      <c r="J863" s="21">
        <v>251</v>
      </c>
      <c r="K863" s="21">
        <v>125</v>
      </c>
      <c r="L863" s="21">
        <v>170</v>
      </c>
      <c r="M863" s="21">
        <v>160</v>
      </c>
      <c r="N863" s="21">
        <v>260</v>
      </c>
      <c r="O863" s="21">
        <v>600</v>
      </c>
      <c r="P863" s="21">
        <v>65</v>
      </c>
      <c r="Q863" s="22">
        <f t="shared" si="13"/>
        <v>2137</v>
      </c>
    </row>
    <row r="864" spans="1:17" ht="15.75" customHeight="1">
      <c r="A864" s="23">
        <v>862</v>
      </c>
      <c r="B864" s="24" t="s">
        <v>2112</v>
      </c>
      <c r="C864" s="24" t="s">
        <v>1466</v>
      </c>
      <c r="D864" s="24" t="s">
        <v>1722</v>
      </c>
      <c r="E864" s="25"/>
      <c r="F864" s="25"/>
      <c r="G864" s="25"/>
      <c r="H864" s="25"/>
      <c r="I864" s="25"/>
      <c r="J864" s="25"/>
      <c r="K864" s="25">
        <v>60</v>
      </c>
      <c r="L864" s="25"/>
      <c r="M864" s="25"/>
      <c r="N864" s="25"/>
      <c r="O864" s="25"/>
      <c r="P864" s="25"/>
      <c r="Q864" s="22">
        <f t="shared" si="13"/>
        <v>60</v>
      </c>
    </row>
    <row r="865" spans="1:17" ht="15.75" customHeight="1">
      <c r="A865" s="19">
        <v>863</v>
      </c>
      <c r="B865" s="20" t="s">
        <v>2113</v>
      </c>
      <c r="C865" s="20" t="s">
        <v>1466</v>
      </c>
      <c r="D865" s="20" t="s">
        <v>2114</v>
      </c>
      <c r="E865" s="21"/>
      <c r="F865" s="21"/>
      <c r="G865" s="21">
        <v>20</v>
      </c>
      <c r="H865" s="21">
        <v>50</v>
      </c>
      <c r="I865" s="21">
        <v>28</v>
      </c>
      <c r="J865" s="21"/>
      <c r="K865" s="21">
        <v>70</v>
      </c>
      <c r="L865" s="21"/>
      <c r="M865" s="21"/>
      <c r="N865" s="21">
        <v>50</v>
      </c>
      <c r="O865" s="21"/>
      <c r="P865" s="21"/>
      <c r="Q865" s="22">
        <f t="shared" si="13"/>
        <v>218</v>
      </c>
    </row>
    <row r="866" spans="1:17" ht="15.75" customHeight="1">
      <c r="A866" s="23">
        <v>864</v>
      </c>
      <c r="B866" s="24" t="s">
        <v>2115</v>
      </c>
      <c r="C866" s="24" t="s">
        <v>1466</v>
      </c>
      <c r="D866" s="24" t="s">
        <v>2116</v>
      </c>
      <c r="E866" s="25">
        <v>280</v>
      </c>
      <c r="F866" s="25">
        <v>140</v>
      </c>
      <c r="G866" s="25">
        <v>25</v>
      </c>
      <c r="H866" s="25"/>
      <c r="I866" s="25"/>
      <c r="J866" s="25">
        <v>20</v>
      </c>
      <c r="K866" s="25">
        <v>60</v>
      </c>
      <c r="L866" s="25">
        <v>30</v>
      </c>
      <c r="M866" s="25">
        <v>20</v>
      </c>
      <c r="N866" s="25">
        <v>50</v>
      </c>
      <c r="O866" s="25">
        <v>150</v>
      </c>
      <c r="P866" s="25">
        <v>60</v>
      </c>
      <c r="Q866" s="22">
        <f t="shared" si="13"/>
        <v>835</v>
      </c>
    </row>
    <row r="867" spans="1:17" ht="15.75" customHeight="1">
      <c r="A867" s="19">
        <v>865</v>
      </c>
      <c r="B867" s="20" t="s">
        <v>2119</v>
      </c>
      <c r="C867" s="20" t="s">
        <v>1466</v>
      </c>
      <c r="D867" s="20" t="s">
        <v>2120</v>
      </c>
      <c r="E867" s="21"/>
      <c r="F867" s="21"/>
      <c r="G867" s="21">
        <v>1</v>
      </c>
      <c r="H867" s="21">
        <v>1</v>
      </c>
      <c r="I867" s="21"/>
      <c r="J867" s="21">
        <v>2</v>
      </c>
      <c r="K867" s="21"/>
      <c r="L867" s="21"/>
      <c r="M867" s="21"/>
      <c r="N867" s="21">
        <v>30</v>
      </c>
      <c r="O867" s="21">
        <v>150</v>
      </c>
      <c r="P867" s="21">
        <v>5</v>
      </c>
      <c r="Q867" s="22">
        <f t="shared" si="13"/>
        <v>189</v>
      </c>
    </row>
    <row r="868" spans="1:17" ht="15.75" customHeight="1">
      <c r="A868" s="23">
        <v>866</v>
      </c>
      <c r="B868" s="24" t="s">
        <v>2121</v>
      </c>
      <c r="C868" s="24" t="s">
        <v>1466</v>
      </c>
      <c r="D868" s="24" t="s">
        <v>2122</v>
      </c>
      <c r="E868" s="25"/>
      <c r="F868" s="25"/>
      <c r="G868" s="25"/>
      <c r="H868" s="25"/>
      <c r="I868" s="25">
        <v>30</v>
      </c>
      <c r="J868" s="25"/>
      <c r="K868" s="25"/>
      <c r="L868" s="25">
        <v>20</v>
      </c>
      <c r="M868" s="25"/>
      <c r="N868" s="25"/>
      <c r="O868" s="25"/>
      <c r="P868" s="25"/>
      <c r="Q868" s="22">
        <f t="shared" si="13"/>
        <v>50</v>
      </c>
    </row>
    <row r="869" spans="1:17" ht="15.75" customHeight="1">
      <c r="A869" s="19">
        <v>867</v>
      </c>
      <c r="B869" s="20" t="s">
        <v>2123</v>
      </c>
      <c r="C869" s="20" t="s">
        <v>1466</v>
      </c>
      <c r="D869" s="20" t="s">
        <v>2124</v>
      </c>
      <c r="E869" s="21"/>
      <c r="F869" s="21">
        <v>10</v>
      </c>
      <c r="G869" s="21">
        <v>20</v>
      </c>
      <c r="H869" s="21"/>
      <c r="I869" s="21"/>
      <c r="J869" s="21"/>
      <c r="K869" s="21">
        <v>30</v>
      </c>
      <c r="L869" s="21"/>
      <c r="M869" s="21"/>
      <c r="N869" s="21"/>
      <c r="O869" s="21"/>
      <c r="P869" s="21">
        <v>12</v>
      </c>
      <c r="Q869" s="22">
        <f t="shared" si="13"/>
        <v>72</v>
      </c>
    </row>
    <row r="870" spans="1:17" ht="15.75" customHeight="1">
      <c r="A870" s="23">
        <v>868</v>
      </c>
      <c r="B870" s="24" t="s">
        <v>2125</v>
      </c>
      <c r="C870" s="24" t="s">
        <v>1466</v>
      </c>
      <c r="D870" s="24" t="s">
        <v>2126</v>
      </c>
      <c r="E870" s="25">
        <v>100</v>
      </c>
      <c r="F870" s="25">
        <v>30</v>
      </c>
      <c r="G870" s="25">
        <v>260</v>
      </c>
      <c r="H870" s="25">
        <v>100</v>
      </c>
      <c r="I870" s="25"/>
      <c r="J870" s="25">
        <v>12</v>
      </c>
      <c r="K870" s="25">
        <v>110</v>
      </c>
      <c r="L870" s="25">
        <v>50</v>
      </c>
      <c r="M870" s="25">
        <v>70</v>
      </c>
      <c r="N870" s="25"/>
      <c r="O870" s="25">
        <v>100</v>
      </c>
      <c r="P870" s="25">
        <v>35</v>
      </c>
      <c r="Q870" s="22">
        <f t="shared" si="13"/>
        <v>867</v>
      </c>
    </row>
    <row r="871" spans="1:17" ht="15.75" customHeight="1">
      <c r="A871" s="19">
        <v>869</v>
      </c>
      <c r="B871" s="20" t="s">
        <v>2127</v>
      </c>
      <c r="C871" s="20" t="s">
        <v>1466</v>
      </c>
      <c r="D871" s="20" t="s">
        <v>2128</v>
      </c>
      <c r="E871" s="21"/>
      <c r="F871" s="21">
        <v>200</v>
      </c>
      <c r="G871" s="21">
        <v>10</v>
      </c>
      <c r="H871" s="21">
        <v>10</v>
      </c>
      <c r="I871" s="21">
        <v>70</v>
      </c>
      <c r="J871" s="21"/>
      <c r="K871" s="21"/>
      <c r="L871" s="21"/>
      <c r="M871" s="21">
        <v>30</v>
      </c>
      <c r="N871" s="21"/>
      <c r="O871" s="21"/>
      <c r="P871" s="21"/>
      <c r="Q871" s="22">
        <f t="shared" si="13"/>
        <v>320</v>
      </c>
    </row>
    <row r="872" spans="1:17" ht="15.75" customHeight="1">
      <c r="A872" s="23">
        <v>870</v>
      </c>
      <c r="B872" s="24" t="s">
        <v>2129</v>
      </c>
      <c r="C872" s="24" t="s">
        <v>1466</v>
      </c>
      <c r="D872" s="24" t="s">
        <v>2130</v>
      </c>
      <c r="E872" s="25"/>
      <c r="F872" s="25">
        <v>20</v>
      </c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2">
        <f t="shared" si="13"/>
        <v>20</v>
      </c>
    </row>
    <row r="873" spans="1:17" ht="15.75" customHeight="1">
      <c r="A873" s="19">
        <v>871</v>
      </c>
      <c r="B873" s="20" t="s">
        <v>2131</v>
      </c>
      <c r="C873" s="20" t="s">
        <v>1466</v>
      </c>
      <c r="D873" s="20" t="s">
        <v>2132</v>
      </c>
      <c r="E873" s="21"/>
      <c r="F873" s="21">
        <v>30</v>
      </c>
      <c r="G873" s="21"/>
      <c r="H873" s="21"/>
      <c r="I873" s="21"/>
      <c r="J873" s="21">
        <v>20</v>
      </c>
      <c r="K873" s="21"/>
      <c r="L873" s="21"/>
      <c r="M873" s="21"/>
      <c r="N873" s="21">
        <v>200</v>
      </c>
      <c r="O873" s="21"/>
      <c r="P873" s="21"/>
      <c r="Q873" s="22">
        <f t="shared" si="13"/>
        <v>250</v>
      </c>
    </row>
    <row r="874" spans="1:17" ht="15.75" customHeight="1">
      <c r="A874" s="23">
        <v>872</v>
      </c>
      <c r="B874" s="24" t="s">
        <v>2135</v>
      </c>
      <c r="C874" s="24" t="s">
        <v>1471</v>
      </c>
      <c r="D874" s="24" t="s">
        <v>2136</v>
      </c>
      <c r="E874" s="25"/>
      <c r="F874" s="25">
        <v>15</v>
      </c>
      <c r="G874" s="25"/>
      <c r="H874" s="25"/>
      <c r="I874" s="25">
        <v>20</v>
      </c>
      <c r="J874" s="25"/>
      <c r="K874" s="25">
        <v>10</v>
      </c>
      <c r="L874" s="25"/>
      <c r="M874" s="25">
        <v>4</v>
      </c>
      <c r="N874" s="25"/>
      <c r="O874" s="25"/>
      <c r="P874" s="25"/>
      <c r="Q874" s="22">
        <f t="shared" si="13"/>
        <v>49</v>
      </c>
    </row>
    <row r="875" spans="1:17" ht="15.75" customHeight="1">
      <c r="A875" s="19">
        <v>873</v>
      </c>
      <c r="B875" s="20" t="s">
        <v>2137</v>
      </c>
      <c r="C875" s="20" t="s">
        <v>1471</v>
      </c>
      <c r="D875" s="20" t="s">
        <v>2138</v>
      </c>
      <c r="E875" s="21">
        <v>100</v>
      </c>
      <c r="F875" s="21"/>
      <c r="G875" s="21"/>
      <c r="H875" s="21">
        <v>30</v>
      </c>
      <c r="I875" s="21">
        <v>20</v>
      </c>
      <c r="J875" s="21"/>
      <c r="K875" s="21">
        <v>20</v>
      </c>
      <c r="L875" s="21"/>
      <c r="M875" s="21"/>
      <c r="N875" s="21"/>
      <c r="O875" s="21"/>
      <c r="P875" s="21">
        <v>10</v>
      </c>
      <c r="Q875" s="22">
        <f t="shared" si="13"/>
        <v>180</v>
      </c>
    </row>
    <row r="876" spans="1:17" ht="15.75" customHeight="1">
      <c r="A876" s="23">
        <v>874</v>
      </c>
      <c r="B876" s="24" t="s">
        <v>2139</v>
      </c>
      <c r="C876" s="24" t="s">
        <v>1471</v>
      </c>
      <c r="D876" s="24" t="s">
        <v>2140</v>
      </c>
      <c r="E876" s="25"/>
      <c r="F876" s="25"/>
      <c r="G876" s="25">
        <v>8</v>
      </c>
      <c r="H876" s="25"/>
      <c r="I876" s="25"/>
      <c r="J876" s="25"/>
      <c r="K876" s="25"/>
      <c r="L876" s="25"/>
      <c r="M876" s="25"/>
      <c r="N876" s="25"/>
      <c r="O876" s="25"/>
      <c r="P876" s="25"/>
      <c r="Q876" s="22">
        <f t="shared" si="13"/>
        <v>8</v>
      </c>
    </row>
    <row r="877" spans="1:17" ht="15.75" customHeight="1">
      <c r="A877" s="19">
        <v>875</v>
      </c>
      <c r="B877" s="20" t="s">
        <v>2141</v>
      </c>
      <c r="C877" s="20" t="s">
        <v>1471</v>
      </c>
      <c r="D877" s="20" t="s">
        <v>2142</v>
      </c>
      <c r="E877" s="21">
        <v>50</v>
      </c>
      <c r="F877" s="21">
        <v>4</v>
      </c>
      <c r="G877" s="21"/>
      <c r="H877" s="21"/>
      <c r="I877" s="21"/>
      <c r="J877" s="21"/>
      <c r="K877" s="21">
        <v>30</v>
      </c>
      <c r="L877" s="21"/>
      <c r="M877" s="21"/>
      <c r="N877" s="21"/>
      <c r="O877" s="21"/>
      <c r="P877" s="21"/>
      <c r="Q877" s="22">
        <f t="shared" si="13"/>
        <v>84</v>
      </c>
    </row>
    <row r="878" spans="1:17" ht="15.75" customHeight="1">
      <c r="A878" s="23">
        <v>876</v>
      </c>
      <c r="B878" s="24" t="s">
        <v>2147</v>
      </c>
      <c r="C878" s="24" t="s">
        <v>1471</v>
      </c>
      <c r="D878" s="24" t="s">
        <v>2148</v>
      </c>
      <c r="E878" s="25"/>
      <c r="F878" s="25"/>
      <c r="G878" s="25"/>
      <c r="H878" s="25"/>
      <c r="I878" s="25">
        <v>30</v>
      </c>
      <c r="J878" s="25"/>
      <c r="K878" s="25"/>
      <c r="L878" s="25"/>
      <c r="M878" s="25">
        <v>1</v>
      </c>
      <c r="N878" s="25">
        <v>100</v>
      </c>
      <c r="O878" s="25"/>
      <c r="P878" s="25"/>
      <c r="Q878" s="22">
        <f t="shared" si="13"/>
        <v>131</v>
      </c>
    </row>
    <row r="879" spans="1:17" ht="15.75" customHeight="1">
      <c r="A879" s="19">
        <v>877</v>
      </c>
      <c r="B879" s="20" t="s">
        <v>2149</v>
      </c>
      <c r="C879" s="20" t="s">
        <v>1471</v>
      </c>
      <c r="D879" s="20" t="s">
        <v>2150</v>
      </c>
      <c r="E879" s="21"/>
      <c r="F879" s="21"/>
      <c r="G879" s="21">
        <v>20</v>
      </c>
      <c r="H879" s="21"/>
      <c r="I879" s="21">
        <v>10</v>
      </c>
      <c r="J879" s="21">
        <v>50</v>
      </c>
      <c r="K879" s="21"/>
      <c r="L879" s="21"/>
      <c r="M879" s="21">
        <v>15</v>
      </c>
      <c r="N879" s="21"/>
      <c r="O879" s="21"/>
      <c r="P879" s="21"/>
      <c r="Q879" s="22">
        <f t="shared" si="13"/>
        <v>95</v>
      </c>
    </row>
    <row r="880" spans="1:17" ht="15.75" customHeight="1">
      <c r="A880" s="23">
        <v>878</v>
      </c>
      <c r="B880" s="24" t="s">
        <v>2153</v>
      </c>
      <c r="C880" s="24" t="s">
        <v>1475</v>
      </c>
      <c r="D880" s="24" t="s">
        <v>2154</v>
      </c>
      <c r="E880" s="25">
        <v>100</v>
      </c>
      <c r="F880" s="25">
        <v>50</v>
      </c>
      <c r="G880" s="25">
        <v>41</v>
      </c>
      <c r="H880" s="25">
        <v>110</v>
      </c>
      <c r="I880" s="25">
        <v>179</v>
      </c>
      <c r="J880" s="25">
        <v>405</v>
      </c>
      <c r="K880" s="25">
        <v>162</v>
      </c>
      <c r="L880" s="25">
        <v>30</v>
      </c>
      <c r="M880" s="25">
        <v>150</v>
      </c>
      <c r="N880" s="25">
        <v>199</v>
      </c>
      <c r="O880" s="25">
        <v>180</v>
      </c>
      <c r="P880" s="25">
        <v>135</v>
      </c>
      <c r="Q880" s="22">
        <f t="shared" si="13"/>
        <v>1741</v>
      </c>
    </row>
    <row r="881" spans="1:17" ht="15.75" customHeight="1">
      <c r="A881" s="19">
        <v>879</v>
      </c>
      <c r="B881" s="20" t="s">
        <v>2155</v>
      </c>
      <c r="C881" s="20" t="s">
        <v>1475</v>
      </c>
      <c r="D881" s="20" t="s">
        <v>1668</v>
      </c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>
        <v>5</v>
      </c>
      <c r="P881" s="21">
        <v>20</v>
      </c>
      <c r="Q881" s="22">
        <f t="shared" si="13"/>
        <v>25</v>
      </c>
    </row>
    <row r="882" spans="1:17" ht="15.75" customHeight="1">
      <c r="A882" s="23">
        <v>880</v>
      </c>
      <c r="B882" s="24" t="s">
        <v>2156</v>
      </c>
      <c r="C882" s="24" t="s">
        <v>1475</v>
      </c>
      <c r="D882" s="24" t="s">
        <v>1911</v>
      </c>
      <c r="E882" s="25">
        <v>110</v>
      </c>
      <c r="F882" s="25">
        <v>220</v>
      </c>
      <c r="G882" s="25">
        <v>105</v>
      </c>
      <c r="H882" s="25">
        <v>175</v>
      </c>
      <c r="I882" s="25">
        <v>141</v>
      </c>
      <c r="J882" s="25">
        <v>102</v>
      </c>
      <c r="K882" s="25">
        <v>85</v>
      </c>
      <c r="L882" s="25">
        <v>145</v>
      </c>
      <c r="M882" s="25">
        <v>50</v>
      </c>
      <c r="N882" s="25">
        <v>100</v>
      </c>
      <c r="O882" s="25">
        <v>345</v>
      </c>
      <c r="P882" s="25">
        <v>111</v>
      </c>
      <c r="Q882" s="22">
        <f t="shared" si="13"/>
        <v>1689</v>
      </c>
    </row>
    <row r="883" spans="1:17" ht="15.75" customHeight="1">
      <c r="A883" s="19">
        <v>881</v>
      </c>
      <c r="B883" s="20" t="s">
        <v>2158</v>
      </c>
      <c r="C883" s="20" t="s">
        <v>1475</v>
      </c>
      <c r="D883" s="20" t="s">
        <v>2159</v>
      </c>
      <c r="E883" s="21"/>
      <c r="F883" s="21"/>
      <c r="G883" s="21">
        <v>13</v>
      </c>
      <c r="H883" s="21">
        <v>100</v>
      </c>
      <c r="I883" s="21">
        <v>6</v>
      </c>
      <c r="J883" s="21">
        <v>100</v>
      </c>
      <c r="K883" s="21">
        <v>200</v>
      </c>
      <c r="L883" s="21"/>
      <c r="M883" s="21"/>
      <c r="N883" s="21"/>
      <c r="O883" s="21"/>
      <c r="P883" s="21"/>
      <c r="Q883" s="22">
        <f t="shared" si="13"/>
        <v>419</v>
      </c>
    </row>
    <row r="884" spans="1:17" ht="15.75" customHeight="1">
      <c r="A884" s="23">
        <v>882</v>
      </c>
      <c r="B884" s="24" t="s">
        <v>2160</v>
      </c>
      <c r="C884" s="24" t="s">
        <v>1475</v>
      </c>
      <c r="D884" s="24" t="s">
        <v>2161</v>
      </c>
      <c r="E884" s="25">
        <v>26</v>
      </c>
      <c r="F884" s="25">
        <v>105</v>
      </c>
      <c r="G884" s="25">
        <v>55</v>
      </c>
      <c r="H884" s="25">
        <v>70</v>
      </c>
      <c r="I884" s="25">
        <v>70</v>
      </c>
      <c r="J884" s="25">
        <v>40</v>
      </c>
      <c r="K884" s="25">
        <v>40</v>
      </c>
      <c r="L884" s="25">
        <v>50</v>
      </c>
      <c r="M884" s="25">
        <v>101</v>
      </c>
      <c r="N884" s="25">
        <v>10</v>
      </c>
      <c r="O884" s="25">
        <v>30</v>
      </c>
      <c r="P884" s="25"/>
      <c r="Q884" s="22">
        <f t="shared" si="13"/>
        <v>597</v>
      </c>
    </row>
    <row r="885" spans="1:17" ht="15.75" customHeight="1">
      <c r="A885" s="19">
        <v>883</v>
      </c>
      <c r="B885" s="20" t="s">
        <v>2162</v>
      </c>
      <c r="C885" s="20" t="s">
        <v>1475</v>
      </c>
      <c r="D885" s="20" t="s">
        <v>2163</v>
      </c>
      <c r="E885" s="21">
        <v>14</v>
      </c>
      <c r="F885" s="21"/>
      <c r="G885" s="21">
        <v>25</v>
      </c>
      <c r="H885" s="21"/>
      <c r="I885" s="21"/>
      <c r="J885" s="21">
        <v>5</v>
      </c>
      <c r="K885" s="21"/>
      <c r="L885" s="21">
        <v>25</v>
      </c>
      <c r="M885" s="21">
        <v>40</v>
      </c>
      <c r="N885" s="21"/>
      <c r="O885" s="21">
        <v>10</v>
      </c>
      <c r="P885" s="21">
        <v>1</v>
      </c>
      <c r="Q885" s="22">
        <f t="shared" si="13"/>
        <v>120</v>
      </c>
    </row>
    <row r="886" spans="1:17" ht="15.75" customHeight="1">
      <c r="A886" s="23">
        <v>884</v>
      </c>
      <c r="B886" s="24" t="s">
        <v>2164</v>
      </c>
      <c r="C886" s="24" t="s">
        <v>1475</v>
      </c>
      <c r="D886" s="24" t="s">
        <v>2165</v>
      </c>
      <c r="E886" s="25"/>
      <c r="F886" s="25"/>
      <c r="G886" s="25"/>
      <c r="H886" s="25">
        <v>10</v>
      </c>
      <c r="I886" s="25">
        <v>30</v>
      </c>
      <c r="J886" s="25">
        <v>100</v>
      </c>
      <c r="K886" s="25"/>
      <c r="L886" s="25"/>
      <c r="M886" s="25"/>
      <c r="N886" s="25"/>
      <c r="O886" s="25">
        <v>20</v>
      </c>
      <c r="P886" s="25"/>
      <c r="Q886" s="22">
        <f t="shared" si="13"/>
        <v>160</v>
      </c>
    </row>
    <row r="887" spans="1:17" ht="15.75" customHeight="1">
      <c r="A887" s="19">
        <v>885</v>
      </c>
      <c r="B887" s="20" t="s">
        <v>2166</v>
      </c>
      <c r="C887" s="20" t="s">
        <v>1475</v>
      </c>
      <c r="D887" s="20" t="s">
        <v>2167</v>
      </c>
      <c r="E887" s="21"/>
      <c r="F887" s="21"/>
      <c r="G887" s="21"/>
      <c r="H887" s="21"/>
      <c r="I887" s="21"/>
      <c r="J887" s="21"/>
      <c r="K887" s="21"/>
      <c r="L887" s="21"/>
      <c r="M887" s="21">
        <v>5</v>
      </c>
      <c r="N887" s="21"/>
      <c r="O887" s="21">
        <v>25</v>
      </c>
      <c r="P887" s="21">
        <v>12</v>
      </c>
      <c r="Q887" s="22">
        <f t="shared" si="13"/>
        <v>42</v>
      </c>
    </row>
    <row r="888" spans="1:17" ht="15.75" customHeight="1">
      <c r="A888" s="23">
        <v>886</v>
      </c>
      <c r="B888" s="24" t="s">
        <v>2168</v>
      </c>
      <c r="C888" s="24" t="s">
        <v>1475</v>
      </c>
      <c r="D888" s="24" t="s">
        <v>2169</v>
      </c>
      <c r="E888" s="25">
        <v>70</v>
      </c>
      <c r="F888" s="25">
        <v>70</v>
      </c>
      <c r="G888" s="25">
        <v>53</v>
      </c>
      <c r="H888" s="25">
        <v>30</v>
      </c>
      <c r="I888" s="25">
        <v>50</v>
      </c>
      <c r="J888" s="25">
        <v>120</v>
      </c>
      <c r="K888" s="25">
        <v>20</v>
      </c>
      <c r="L888" s="25"/>
      <c r="M888" s="25">
        <v>60</v>
      </c>
      <c r="N888" s="25"/>
      <c r="O888" s="25">
        <v>30</v>
      </c>
      <c r="P888" s="25">
        <v>215</v>
      </c>
      <c r="Q888" s="22">
        <f t="shared" si="13"/>
        <v>718</v>
      </c>
    </row>
    <row r="889" spans="1:17" ht="15.75" customHeight="1">
      <c r="A889" s="19">
        <v>887</v>
      </c>
      <c r="B889" s="20" t="s">
        <v>2170</v>
      </c>
      <c r="C889" s="20" t="s">
        <v>1475</v>
      </c>
      <c r="D889" s="20" t="s">
        <v>2171</v>
      </c>
      <c r="E889" s="21"/>
      <c r="F889" s="21">
        <v>50</v>
      </c>
      <c r="G889" s="21"/>
      <c r="H889" s="21">
        <v>20</v>
      </c>
      <c r="I889" s="21">
        <v>50</v>
      </c>
      <c r="J889" s="21"/>
      <c r="K889" s="21">
        <v>14</v>
      </c>
      <c r="L889" s="21">
        <v>20</v>
      </c>
      <c r="M889" s="21"/>
      <c r="N889" s="21">
        <v>110</v>
      </c>
      <c r="O889" s="21"/>
      <c r="P889" s="21"/>
      <c r="Q889" s="22">
        <f t="shared" si="13"/>
        <v>264</v>
      </c>
    </row>
    <row r="890" spans="1:17" ht="15.75" customHeight="1">
      <c r="A890" s="23">
        <v>888</v>
      </c>
      <c r="B890" s="24" t="s">
        <v>2172</v>
      </c>
      <c r="C890" s="24" t="s">
        <v>1475</v>
      </c>
      <c r="D890" s="24" t="s">
        <v>2173</v>
      </c>
      <c r="E890" s="25"/>
      <c r="F890" s="25"/>
      <c r="G890" s="25"/>
      <c r="H890" s="25"/>
      <c r="I890" s="25"/>
      <c r="J890" s="25"/>
      <c r="K890" s="25">
        <v>30</v>
      </c>
      <c r="L890" s="25"/>
      <c r="M890" s="25"/>
      <c r="N890" s="25">
        <v>20</v>
      </c>
      <c r="O890" s="25"/>
      <c r="P890" s="25"/>
      <c r="Q890" s="22">
        <f t="shared" si="13"/>
        <v>50</v>
      </c>
    </row>
    <row r="891" spans="1:17" ht="15.75" customHeight="1">
      <c r="A891" s="19">
        <v>889</v>
      </c>
      <c r="B891" s="20" t="s">
        <v>2174</v>
      </c>
      <c r="C891" s="20" t="s">
        <v>1475</v>
      </c>
      <c r="D891" s="20" t="s">
        <v>2175</v>
      </c>
      <c r="E891" s="21"/>
      <c r="F891" s="21">
        <v>15</v>
      </c>
      <c r="G891" s="21"/>
      <c r="H891" s="21"/>
      <c r="I891" s="21">
        <v>18</v>
      </c>
      <c r="J891" s="21">
        <v>15</v>
      </c>
      <c r="K891" s="21"/>
      <c r="L891" s="21"/>
      <c r="M891" s="21">
        <v>14</v>
      </c>
      <c r="N891" s="21">
        <v>70</v>
      </c>
      <c r="O891" s="21">
        <v>40</v>
      </c>
      <c r="P891" s="21">
        <v>40</v>
      </c>
      <c r="Q891" s="22">
        <f t="shared" si="13"/>
        <v>212</v>
      </c>
    </row>
    <row r="892" spans="1:17" ht="15.75" customHeight="1">
      <c r="A892" s="23">
        <v>890</v>
      </c>
      <c r="B892" s="24" t="s">
        <v>2176</v>
      </c>
      <c r="C892" s="24" t="s">
        <v>1475</v>
      </c>
      <c r="D892" s="24" t="s">
        <v>2177</v>
      </c>
      <c r="E892" s="25"/>
      <c r="F892" s="25"/>
      <c r="G892" s="25">
        <v>10</v>
      </c>
      <c r="H892" s="25">
        <v>10</v>
      </c>
      <c r="I892" s="25"/>
      <c r="J892" s="25"/>
      <c r="K892" s="25"/>
      <c r="L892" s="25"/>
      <c r="M892" s="25"/>
      <c r="N892" s="25">
        <v>20</v>
      </c>
      <c r="O892" s="25">
        <v>50</v>
      </c>
      <c r="P892" s="25">
        <v>50</v>
      </c>
      <c r="Q892" s="22">
        <f t="shared" si="13"/>
        <v>140</v>
      </c>
    </row>
    <row r="893" spans="1:17" ht="15.75" customHeight="1">
      <c r="A893" s="19">
        <v>891</v>
      </c>
      <c r="B893" s="20" t="s">
        <v>2178</v>
      </c>
      <c r="C893" s="20" t="s">
        <v>1475</v>
      </c>
      <c r="D893" s="20" t="s">
        <v>2179</v>
      </c>
      <c r="E893" s="21"/>
      <c r="F893" s="21"/>
      <c r="G893" s="21"/>
      <c r="H893" s="21"/>
      <c r="I893" s="21"/>
      <c r="J893" s="21"/>
      <c r="K893" s="21"/>
      <c r="L893" s="21"/>
      <c r="M893" s="21"/>
      <c r="N893" s="21">
        <v>20</v>
      </c>
      <c r="O893" s="21">
        <v>50</v>
      </c>
      <c r="P893" s="21">
        <v>50</v>
      </c>
      <c r="Q893" s="22">
        <f t="shared" si="13"/>
        <v>120</v>
      </c>
    </row>
    <row r="894" spans="1:17" ht="15.75" customHeight="1">
      <c r="A894" s="23">
        <v>892</v>
      </c>
      <c r="B894" s="24" t="s">
        <v>3418</v>
      </c>
      <c r="C894" s="24" t="s">
        <v>1475</v>
      </c>
      <c r="D894" s="24" t="s">
        <v>1678</v>
      </c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>
        <v>10</v>
      </c>
      <c r="P894" s="25">
        <v>48</v>
      </c>
      <c r="Q894" s="22">
        <f t="shared" si="13"/>
        <v>58</v>
      </c>
    </row>
    <row r="895" spans="1:17" ht="15.75" customHeight="1">
      <c r="A895" s="19">
        <v>893</v>
      </c>
      <c r="B895" s="20" t="s">
        <v>3419</v>
      </c>
      <c r="C895" s="20" t="s">
        <v>1475</v>
      </c>
      <c r="D895" s="20" t="s">
        <v>2280</v>
      </c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>
        <v>20</v>
      </c>
      <c r="P895" s="21">
        <v>30</v>
      </c>
      <c r="Q895" s="22">
        <f t="shared" si="13"/>
        <v>50</v>
      </c>
    </row>
    <row r="896" spans="1:17" ht="15.75" customHeight="1">
      <c r="A896" s="23">
        <v>894</v>
      </c>
      <c r="B896" s="24" t="s">
        <v>3420</v>
      </c>
      <c r="C896" s="24" t="s">
        <v>1475</v>
      </c>
      <c r="D896" s="24" t="s">
        <v>1700</v>
      </c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>
        <v>30</v>
      </c>
      <c r="Q896" s="22">
        <f t="shared" si="13"/>
        <v>30</v>
      </c>
    </row>
    <row r="897" spans="1:17" ht="15.75" customHeight="1">
      <c r="A897" s="19">
        <v>895</v>
      </c>
      <c r="B897" s="20" t="s">
        <v>2181</v>
      </c>
      <c r="C897" s="20" t="s">
        <v>1481</v>
      </c>
      <c r="D897" s="20" t="s">
        <v>2182</v>
      </c>
      <c r="E897" s="21">
        <v>15</v>
      </c>
      <c r="F897" s="21"/>
      <c r="G897" s="21"/>
      <c r="H897" s="21">
        <v>15</v>
      </c>
      <c r="I897" s="21">
        <v>12</v>
      </c>
      <c r="J897" s="21">
        <v>10</v>
      </c>
      <c r="K897" s="21"/>
      <c r="L897" s="21"/>
      <c r="M897" s="21">
        <v>20</v>
      </c>
      <c r="N897" s="21"/>
      <c r="O897" s="21"/>
      <c r="P897" s="21"/>
      <c r="Q897" s="22">
        <f t="shared" si="13"/>
        <v>72</v>
      </c>
    </row>
    <row r="898" spans="1:17" ht="15.75" customHeight="1">
      <c r="A898" s="23">
        <v>896</v>
      </c>
      <c r="B898" s="24" t="s">
        <v>2184</v>
      </c>
      <c r="C898" s="24" t="s">
        <v>1481</v>
      </c>
      <c r="D898" s="24" t="s">
        <v>2185</v>
      </c>
      <c r="E898" s="25"/>
      <c r="F898" s="25"/>
      <c r="G898" s="25"/>
      <c r="H898" s="25">
        <v>5</v>
      </c>
      <c r="I898" s="25"/>
      <c r="J898" s="25"/>
      <c r="K898" s="25"/>
      <c r="L898" s="25">
        <v>20</v>
      </c>
      <c r="M898" s="25">
        <v>20</v>
      </c>
      <c r="N898" s="25"/>
      <c r="O898" s="25"/>
      <c r="P898" s="25"/>
      <c r="Q898" s="22">
        <f t="shared" si="13"/>
        <v>45</v>
      </c>
    </row>
    <row r="899" spans="1:17" ht="15.75" customHeight="1">
      <c r="A899" s="19">
        <v>897</v>
      </c>
      <c r="B899" s="20" t="s">
        <v>2186</v>
      </c>
      <c r="C899" s="20" t="s">
        <v>1481</v>
      </c>
      <c r="D899" s="20" t="s">
        <v>2187</v>
      </c>
      <c r="E899" s="21"/>
      <c r="F899" s="21"/>
      <c r="G899" s="21">
        <v>20</v>
      </c>
      <c r="H899" s="21"/>
      <c r="I899" s="21"/>
      <c r="J899" s="21"/>
      <c r="K899" s="21"/>
      <c r="L899" s="21"/>
      <c r="M899" s="21"/>
      <c r="N899" s="21"/>
      <c r="O899" s="21"/>
      <c r="P899" s="21"/>
      <c r="Q899" s="22">
        <f t="shared" ref="Q899:Q962" si="14">SUM(E899:P899)</f>
        <v>20</v>
      </c>
    </row>
    <row r="900" spans="1:17" ht="15.75" customHeight="1">
      <c r="A900" s="23">
        <v>898</v>
      </c>
      <c r="B900" s="24" t="s">
        <v>2192</v>
      </c>
      <c r="C900" s="24" t="s">
        <v>1481</v>
      </c>
      <c r="D900" s="24" t="s">
        <v>2193</v>
      </c>
      <c r="E900" s="25">
        <v>300</v>
      </c>
      <c r="F900" s="25">
        <v>640</v>
      </c>
      <c r="G900" s="25">
        <v>220</v>
      </c>
      <c r="H900" s="25">
        <v>270</v>
      </c>
      <c r="I900" s="25">
        <v>90</v>
      </c>
      <c r="J900" s="25">
        <v>130</v>
      </c>
      <c r="K900" s="25">
        <v>180</v>
      </c>
      <c r="L900" s="25">
        <v>20</v>
      </c>
      <c r="M900" s="25">
        <v>70</v>
      </c>
      <c r="N900" s="25"/>
      <c r="O900" s="25">
        <v>50</v>
      </c>
      <c r="P900" s="25">
        <v>45</v>
      </c>
      <c r="Q900" s="22">
        <f t="shared" si="14"/>
        <v>2015</v>
      </c>
    </row>
    <row r="901" spans="1:17" ht="15.75" customHeight="1">
      <c r="A901" s="19">
        <v>899</v>
      </c>
      <c r="B901" s="20" t="s">
        <v>2194</v>
      </c>
      <c r="C901" s="20" t="s">
        <v>1481</v>
      </c>
      <c r="D901" s="20" t="s">
        <v>2195</v>
      </c>
      <c r="E901" s="21"/>
      <c r="F901" s="21"/>
      <c r="G901" s="21">
        <v>20</v>
      </c>
      <c r="H901" s="21"/>
      <c r="I901" s="21"/>
      <c r="J901" s="21"/>
      <c r="K901" s="21"/>
      <c r="L901" s="21"/>
      <c r="M901" s="21"/>
      <c r="N901" s="21"/>
      <c r="O901" s="21"/>
      <c r="P901" s="21"/>
      <c r="Q901" s="22">
        <f t="shared" si="14"/>
        <v>20</v>
      </c>
    </row>
    <row r="902" spans="1:17" ht="15.75" customHeight="1">
      <c r="A902" s="23">
        <v>900</v>
      </c>
      <c r="B902" s="24" t="s">
        <v>2196</v>
      </c>
      <c r="C902" s="24" t="s">
        <v>1489</v>
      </c>
      <c r="D902" s="24" t="s">
        <v>2197</v>
      </c>
      <c r="E902" s="25"/>
      <c r="F902" s="25">
        <v>10</v>
      </c>
      <c r="G902" s="25">
        <v>15</v>
      </c>
      <c r="H902" s="25">
        <v>60</v>
      </c>
      <c r="I902" s="25">
        <v>20</v>
      </c>
      <c r="J902" s="25">
        <v>56</v>
      </c>
      <c r="K902" s="25">
        <v>35</v>
      </c>
      <c r="L902" s="25">
        <v>10</v>
      </c>
      <c r="M902" s="25">
        <v>70</v>
      </c>
      <c r="N902" s="25"/>
      <c r="O902" s="25"/>
      <c r="P902" s="25">
        <v>40</v>
      </c>
      <c r="Q902" s="22">
        <f t="shared" si="14"/>
        <v>316</v>
      </c>
    </row>
    <row r="903" spans="1:17" ht="15.75" customHeight="1">
      <c r="A903" s="19">
        <v>901</v>
      </c>
      <c r="B903" s="20" t="s">
        <v>2198</v>
      </c>
      <c r="C903" s="20" t="s">
        <v>1489</v>
      </c>
      <c r="D903" s="20" t="s">
        <v>2199</v>
      </c>
      <c r="E903" s="21">
        <v>10</v>
      </c>
      <c r="F903" s="21">
        <v>70</v>
      </c>
      <c r="G903" s="21">
        <v>51</v>
      </c>
      <c r="H903" s="21">
        <v>105</v>
      </c>
      <c r="I903" s="21"/>
      <c r="J903" s="21">
        <v>86</v>
      </c>
      <c r="K903" s="21">
        <v>36</v>
      </c>
      <c r="L903" s="21">
        <v>30</v>
      </c>
      <c r="M903" s="21">
        <v>50</v>
      </c>
      <c r="N903" s="21">
        <v>40</v>
      </c>
      <c r="O903" s="21">
        <v>30</v>
      </c>
      <c r="P903" s="21">
        <v>50</v>
      </c>
      <c r="Q903" s="22">
        <f t="shared" si="14"/>
        <v>558</v>
      </c>
    </row>
    <row r="904" spans="1:17" ht="15.75" customHeight="1">
      <c r="A904" s="23">
        <v>902</v>
      </c>
      <c r="B904" s="24" t="s">
        <v>2200</v>
      </c>
      <c r="C904" s="24" t="s">
        <v>1489</v>
      </c>
      <c r="D904" s="24" t="s">
        <v>2201</v>
      </c>
      <c r="E904" s="25">
        <v>35</v>
      </c>
      <c r="F904" s="25">
        <v>10</v>
      </c>
      <c r="G904" s="25">
        <v>5</v>
      </c>
      <c r="H904" s="25">
        <v>50</v>
      </c>
      <c r="I904" s="25">
        <v>12</v>
      </c>
      <c r="J904" s="25">
        <v>24</v>
      </c>
      <c r="K904" s="25">
        <v>34</v>
      </c>
      <c r="L904" s="25"/>
      <c r="M904" s="25"/>
      <c r="N904" s="25">
        <v>30</v>
      </c>
      <c r="O904" s="25">
        <v>50</v>
      </c>
      <c r="P904" s="25">
        <v>20</v>
      </c>
      <c r="Q904" s="22">
        <f t="shared" si="14"/>
        <v>270</v>
      </c>
    </row>
    <row r="905" spans="1:17" ht="15.75" customHeight="1">
      <c r="A905" s="19">
        <v>903</v>
      </c>
      <c r="B905" s="20" t="s">
        <v>2202</v>
      </c>
      <c r="C905" s="20" t="s">
        <v>1489</v>
      </c>
      <c r="D905" s="20" t="s">
        <v>2203</v>
      </c>
      <c r="E905" s="21"/>
      <c r="F905" s="21"/>
      <c r="G905" s="21">
        <v>2</v>
      </c>
      <c r="H905" s="21">
        <v>10</v>
      </c>
      <c r="I905" s="21">
        <v>11</v>
      </c>
      <c r="J905" s="21"/>
      <c r="K905" s="21"/>
      <c r="L905" s="21"/>
      <c r="M905" s="21"/>
      <c r="N905" s="21"/>
      <c r="O905" s="21">
        <v>35</v>
      </c>
      <c r="P905" s="21">
        <v>26</v>
      </c>
      <c r="Q905" s="22">
        <f t="shared" si="14"/>
        <v>84</v>
      </c>
    </row>
    <row r="906" spans="1:17" ht="15.75" customHeight="1">
      <c r="A906" s="23">
        <v>904</v>
      </c>
      <c r="B906" s="24" t="s">
        <v>2204</v>
      </c>
      <c r="C906" s="24" t="s">
        <v>1489</v>
      </c>
      <c r="D906" s="24" t="s">
        <v>2205</v>
      </c>
      <c r="E906" s="25"/>
      <c r="F906" s="25"/>
      <c r="G906" s="25">
        <v>16</v>
      </c>
      <c r="H906" s="25">
        <v>31</v>
      </c>
      <c r="I906" s="25"/>
      <c r="J906" s="25"/>
      <c r="K906" s="25"/>
      <c r="L906" s="25"/>
      <c r="M906" s="25"/>
      <c r="N906" s="25"/>
      <c r="O906" s="25">
        <v>20</v>
      </c>
      <c r="P906" s="25"/>
      <c r="Q906" s="22">
        <f t="shared" si="14"/>
        <v>67</v>
      </c>
    </row>
    <row r="907" spans="1:17" ht="15.75" customHeight="1">
      <c r="A907" s="19">
        <v>905</v>
      </c>
      <c r="B907" s="20" t="s">
        <v>2206</v>
      </c>
      <c r="C907" s="20" t="s">
        <v>1489</v>
      </c>
      <c r="D907" s="20" t="s">
        <v>2207</v>
      </c>
      <c r="E907" s="21"/>
      <c r="F907" s="21">
        <v>10</v>
      </c>
      <c r="G907" s="21"/>
      <c r="H907" s="21">
        <v>20</v>
      </c>
      <c r="I907" s="21">
        <v>20</v>
      </c>
      <c r="J907" s="21"/>
      <c r="K907" s="21"/>
      <c r="L907" s="21"/>
      <c r="M907" s="21"/>
      <c r="N907" s="21"/>
      <c r="O907" s="21">
        <v>5</v>
      </c>
      <c r="P907" s="21"/>
      <c r="Q907" s="22">
        <f t="shared" si="14"/>
        <v>55</v>
      </c>
    </row>
    <row r="908" spans="1:17" ht="15.75" customHeight="1">
      <c r="A908" s="23">
        <v>906</v>
      </c>
      <c r="B908" s="24" t="s">
        <v>2210</v>
      </c>
      <c r="C908" s="24" t="s">
        <v>1491</v>
      </c>
      <c r="D908" s="24" t="s">
        <v>2211</v>
      </c>
      <c r="E908" s="25">
        <v>20</v>
      </c>
      <c r="F908" s="25"/>
      <c r="G908" s="25">
        <v>20</v>
      </c>
      <c r="H908" s="25">
        <v>40</v>
      </c>
      <c r="I908" s="25"/>
      <c r="J908" s="25"/>
      <c r="K908" s="25"/>
      <c r="L908" s="25">
        <v>20</v>
      </c>
      <c r="M908" s="25">
        <v>30</v>
      </c>
      <c r="N908" s="25"/>
      <c r="O908" s="25"/>
      <c r="P908" s="25">
        <v>5</v>
      </c>
      <c r="Q908" s="22">
        <f t="shared" si="14"/>
        <v>135</v>
      </c>
    </row>
    <row r="909" spans="1:17" ht="15.75" customHeight="1">
      <c r="A909" s="19">
        <v>907</v>
      </c>
      <c r="B909" s="20" t="s">
        <v>2213</v>
      </c>
      <c r="C909" s="20" t="s">
        <v>1491</v>
      </c>
      <c r="D909" s="20" t="s">
        <v>2214</v>
      </c>
      <c r="E909" s="21">
        <v>72</v>
      </c>
      <c r="F909" s="21"/>
      <c r="G909" s="21"/>
      <c r="H909" s="21">
        <v>20</v>
      </c>
      <c r="I909" s="21">
        <v>50</v>
      </c>
      <c r="J909" s="21"/>
      <c r="K909" s="21"/>
      <c r="L909" s="21">
        <v>40</v>
      </c>
      <c r="M909" s="21">
        <v>30</v>
      </c>
      <c r="N909" s="21">
        <v>42</v>
      </c>
      <c r="O909" s="21"/>
      <c r="P909" s="21">
        <v>5</v>
      </c>
      <c r="Q909" s="22">
        <f t="shared" si="14"/>
        <v>259</v>
      </c>
    </row>
    <row r="910" spans="1:17" ht="15.75" customHeight="1">
      <c r="A910" s="23">
        <v>908</v>
      </c>
      <c r="B910" s="24" t="s">
        <v>2215</v>
      </c>
      <c r="C910" s="24" t="s">
        <v>1491</v>
      </c>
      <c r="D910" s="24" t="s">
        <v>2216</v>
      </c>
      <c r="E910" s="25">
        <v>20</v>
      </c>
      <c r="F910" s="25"/>
      <c r="G910" s="25"/>
      <c r="H910" s="25">
        <v>20</v>
      </c>
      <c r="I910" s="25">
        <v>3</v>
      </c>
      <c r="J910" s="25"/>
      <c r="K910" s="25"/>
      <c r="L910" s="25">
        <v>40</v>
      </c>
      <c r="M910" s="25">
        <v>20</v>
      </c>
      <c r="N910" s="25">
        <v>30</v>
      </c>
      <c r="O910" s="25"/>
      <c r="P910" s="25"/>
      <c r="Q910" s="22">
        <f t="shared" si="14"/>
        <v>133</v>
      </c>
    </row>
    <row r="911" spans="1:17" ht="15.75" customHeight="1">
      <c r="A911" s="19">
        <v>909</v>
      </c>
      <c r="B911" s="20" t="s">
        <v>2217</v>
      </c>
      <c r="C911" s="20" t="s">
        <v>1491</v>
      </c>
      <c r="D911" s="20" t="s">
        <v>2218</v>
      </c>
      <c r="E911" s="21"/>
      <c r="F911" s="21"/>
      <c r="G911" s="21"/>
      <c r="H911" s="21"/>
      <c r="I911" s="21"/>
      <c r="J911" s="21"/>
      <c r="K911" s="21"/>
      <c r="L911" s="21">
        <v>30</v>
      </c>
      <c r="M911" s="21">
        <v>10</v>
      </c>
      <c r="N911" s="21"/>
      <c r="O911" s="21"/>
      <c r="P911" s="21"/>
      <c r="Q911" s="22">
        <f t="shared" si="14"/>
        <v>40</v>
      </c>
    </row>
    <row r="912" spans="1:17" ht="15.75" customHeight="1">
      <c r="A912" s="23">
        <v>910</v>
      </c>
      <c r="B912" s="24" t="s">
        <v>2223</v>
      </c>
      <c r="C912" s="24" t="s">
        <v>1493</v>
      </c>
      <c r="D912" s="24" t="s">
        <v>2224</v>
      </c>
      <c r="E912" s="25">
        <v>5</v>
      </c>
      <c r="F912" s="25"/>
      <c r="G912" s="25"/>
      <c r="H912" s="25"/>
      <c r="I912" s="25"/>
      <c r="J912" s="25"/>
      <c r="K912" s="25">
        <v>6</v>
      </c>
      <c r="L912" s="25">
        <v>15</v>
      </c>
      <c r="M912" s="25"/>
      <c r="N912" s="25"/>
      <c r="O912" s="25"/>
      <c r="P912" s="25">
        <v>10</v>
      </c>
      <c r="Q912" s="22">
        <f t="shared" si="14"/>
        <v>36</v>
      </c>
    </row>
    <row r="913" spans="1:17" ht="15.75" customHeight="1">
      <c r="A913" s="19">
        <v>911</v>
      </c>
      <c r="B913" s="20" t="s">
        <v>2225</v>
      </c>
      <c r="C913" s="20" t="s">
        <v>1493</v>
      </c>
      <c r="D913" s="20" t="s">
        <v>2226</v>
      </c>
      <c r="E913" s="21"/>
      <c r="F913" s="21"/>
      <c r="G913" s="21"/>
      <c r="H913" s="21"/>
      <c r="I913" s="21"/>
      <c r="J913" s="21">
        <v>10</v>
      </c>
      <c r="K913" s="21">
        <v>14</v>
      </c>
      <c r="L913" s="21">
        <v>65</v>
      </c>
      <c r="M913" s="21">
        <v>50</v>
      </c>
      <c r="N913" s="21"/>
      <c r="O913" s="21"/>
      <c r="P913" s="21">
        <v>10</v>
      </c>
      <c r="Q913" s="22">
        <f t="shared" si="14"/>
        <v>149</v>
      </c>
    </row>
    <row r="914" spans="1:17" ht="15.75" customHeight="1">
      <c r="A914" s="23">
        <v>912</v>
      </c>
      <c r="B914" s="24" t="s">
        <v>2227</v>
      </c>
      <c r="C914" s="24" t="s">
        <v>1493</v>
      </c>
      <c r="D914" s="24" t="s">
        <v>2228</v>
      </c>
      <c r="E914" s="25">
        <v>100</v>
      </c>
      <c r="F914" s="25">
        <v>140</v>
      </c>
      <c r="G914" s="25">
        <v>33</v>
      </c>
      <c r="H914" s="25">
        <v>10</v>
      </c>
      <c r="I914" s="25">
        <v>220</v>
      </c>
      <c r="J914" s="25"/>
      <c r="K914" s="25">
        <v>230</v>
      </c>
      <c r="L914" s="25">
        <v>80</v>
      </c>
      <c r="M914" s="25"/>
      <c r="N914" s="25"/>
      <c r="O914" s="25">
        <v>360</v>
      </c>
      <c r="P914" s="25">
        <v>150</v>
      </c>
      <c r="Q914" s="22">
        <f t="shared" si="14"/>
        <v>1323</v>
      </c>
    </row>
    <row r="915" spans="1:17" ht="15.75" customHeight="1">
      <c r="A915" s="19">
        <v>913</v>
      </c>
      <c r="B915" s="20" t="s">
        <v>2229</v>
      </c>
      <c r="C915" s="20" t="s">
        <v>1493</v>
      </c>
      <c r="D915" s="20" t="s">
        <v>2230</v>
      </c>
      <c r="E915" s="21"/>
      <c r="F915" s="21"/>
      <c r="G915" s="21"/>
      <c r="H915" s="21">
        <v>5</v>
      </c>
      <c r="I915" s="21"/>
      <c r="J915" s="21"/>
      <c r="K915" s="21"/>
      <c r="L915" s="21"/>
      <c r="M915" s="21">
        <v>29</v>
      </c>
      <c r="N915" s="21"/>
      <c r="O915" s="21"/>
      <c r="P915" s="21"/>
      <c r="Q915" s="22">
        <f t="shared" si="14"/>
        <v>34</v>
      </c>
    </row>
    <row r="916" spans="1:17" ht="15.75" customHeight="1">
      <c r="A916" s="23">
        <v>914</v>
      </c>
      <c r="B916" s="24" t="s">
        <v>2231</v>
      </c>
      <c r="C916" s="24" t="s">
        <v>1493</v>
      </c>
      <c r="D916" s="24" t="s">
        <v>2232</v>
      </c>
      <c r="E916" s="25">
        <v>70</v>
      </c>
      <c r="F916" s="25">
        <v>30</v>
      </c>
      <c r="G916" s="25">
        <v>60</v>
      </c>
      <c r="H916" s="25">
        <v>320</v>
      </c>
      <c r="I916" s="25">
        <v>150</v>
      </c>
      <c r="J916" s="25">
        <v>70</v>
      </c>
      <c r="K916" s="25">
        <v>20</v>
      </c>
      <c r="L916" s="25">
        <v>20</v>
      </c>
      <c r="M916" s="25">
        <v>70</v>
      </c>
      <c r="N916" s="25">
        <v>20</v>
      </c>
      <c r="O916" s="25">
        <v>140</v>
      </c>
      <c r="P916" s="25">
        <v>120</v>
      </c>
      <c r="Q916" s="22">
        <f t="shared" si="14"/>
        <v>1090</v>
      </c>
    </row>
    <row r="917" spans="1:17" ht="15.75" customHeight="1">
      <c r="A917" s="19">
        <v>915</v>
      </c>
      <c r="B917" s="20" t="s">
        <v>2233</v>
      </c>
      <c r="C917" s="20" t="s">
        <v>1493</v>
      </c>
      <c r="D917" s="20" t="s">
        <v>2234</v>
      </c>
      <c r="E917" s="21">
        <v>385</v>
      </c>
      <c r="F917" s="21">
        <v>1550</v>
      </c>
      <c r="G917" s="21">
        <v>750</v>
      </c>
      <c r="H917" s="21">
        <v>715</v>
      </c>
      <c r="I917" s="21">
        <v>1050</v>
      </c>
      <c r="J917" s="21">
        <v>520</v>
      </c>
      <c r="K917" s="21">
        <v>440</v>
      </c>
      <c r="L917" s="21">
        <v>640</v>
      </c>
      <c r="M917" s="21">
        <v>540</v>
      </c>
      <c r="N917" s="21">
        <v>360</v>
      </c>
      <c r="O917" s="21">
        <v>1080</v>
      </c>
      <c r="P917" s="21">
        <v>200</v>
      </c>
      <c r="Q917" s="22">
        <f t="shared" si="14"/>
        <v>8230</v>
      </c>
    </row>
    <row r="918" spans="1:17" ht="15.75" customHeight="1">
      <c r="A918" s="23">
        <v>916</v>
      </c>
      <c r="B918" s="24" t="s">
        <v>2235</v>
      </c>
      <c r="C918" s="24" t="s">
        <v>1493</v>
      </c>
      <c r="D918" s="24" t="s">
        <v>2236</v>
      </c>
      <c r="E918" s="25"/>
      <c r="F918" s="25"/>
      <c r="G918" s="25"/>
      <c r="H918" s="25"/>
      <c r="I918" s="25"/>
      <c r="J918" s="25">
        <v>60</v>
      </c>
      <c r="K918" s="25"/>
      <c r="L918" s="25"/>
      <c r="M918" s="25"/>
      <c r="N918" s="25"/>
      <c r="O918" s="25"/>
      <c r="P918" s="25"/>
      <c r="Q918" s="22">
        <f t="shared" si="14"/>
        <v>60</v>
      </c>
    </row>
    <row r="919" spans="1:17" ht="15.75" customHeight="1">
      <c r="A919" s="19">
        <v>917</v>
      </c>
      <c r="B919" s="20" t="s">
        <v>2239</v>
      </c>
      <c r="C919" s="20" t="s">
        <v>1504</v>
      </c>
      <c r="D919" s="20" t="s">
        <v>2240</v>
      </c>
      <c r="E919" s="21">
        <v>70</v>
      </c>
      <c r="F919" s="21">
        <v>405</v>
      </c>
      <c r="G919" s="21">
        <v>20</v>
      </c>
      <c r="H919" s="21">
        <v>500</v>
      </c>
      <c r="I919" s="21">
        <v>290</v>
      </c>
      <c r="J919" s="21">
        <v>370</v>
      </c>
      <c r="K919" s="21">
        <v>130</v>
      </c>
      <c r="L919" s="21">
        <v>215</v>
      </c>
      <c r="M919" s="21">
        <v>152</v>
      </c>
      <c r="N919" s="21">
        <v>200</v>
      </c>
      <c r="O919" s="21">
        <v>391</v>
      </c>
      <c r="P919" s="21">
        <v>265</v>
      </c>
      <c r="Q919" s="22">
        <f t="shared" si="14"/>
        <v>3008</v>
      </c>
    </row>
    <row r="920" spans="1:17" ht="15.75" customHeight="1">
      <c r="A920" s="23">
        <v>918</v>
      </c>
      <c r="B920" s="24" t="s">
        <v>2242</v>
      </c>
      <c r="C920" s="24" t="s">
        <v>1504</v>
      </c>
      <c r="D920" s="24" t="s">
        <v>2243</v>
      </c>
      <c r="E920" s="25"/>
      <c r="F920" s="25">
        <v>50</v>
      </c>
      <c r="G920" s="25"/>
      <c r="H920" s="25">
        <v>200</v>
      </c>
      <c r="I920" s="25">
        <v>100</v>
      </c>
      <c r="J920" s="25">
        <v>62</v>
      </c>
      <c r="K920" s="25"/>
      <c r="L920" s="25">
        <v>15</v>
      </c>
      <c r="M920" s="25">
        <v>120</v>
      </c>
      <c r="N920" s="25">
        <v>56</v>
      </c>
      <c r="O920" s="25">
        <v>75</v>
      </c>
      <c r="P920" s="25">
        <v>135</v>
      </c>
      <c r="Q920" s="22">
        <f t="shared" si="14"/>
        <v>813</v>
      </c>
    </row>
    <row r="921" spans="1:17" ht="15.75" customHeight="1">
      <c r="A921" s="19">
        <v>919</v>
      </c>
      <c r="B921" s="20" t="s">
        <v>2244</v>
      </c>
      <c r="C921" s="20" t="s">
        <v>1504</v>
      </c>
      <c r="D921" s="20" t="s">
        <v>2245</v>
      </c>
      <c r="E921" s="21">
        <v>30</v>
      </c>
      <c r="F921" s="21">
        <v>4910</v>
      </c>
      <c r="G921" s="21">
        <v>484</v>
      </c>
      <c r="H921" s="21">
        <v>3727</v>
      </c>
      <c r="I921" s="21">
        <v>4681</v>
      </c>
      <c r="J921" s="21">
        <v>2672</v>
      </c>
      <c r="K921" s="21">
        <v>2850</v>
      </c>
      <c r="L921" s="21">
        <v>1310</v>
      </c>
      <c r="M921" s="21">
        <v>420</v>
      </c>
      <c r="N921" s="21">
        <v>200</v>
      </c>
      <c r="O921" s="21">
        <v>470</v>
      </c>
      <c r="P921" s="21">
        <v>410</v>
      </c>
      <c r="Q921" s="22">
        <f t="shared" si="14"/>
        <v>22164</v>
      </c>
    </row>
    <row r="922" spans="1:17" ht="15.75" customHeight="1">
      <c r="A922" s="23">
        <v>920</v>
      </c>
      <c r="B922" s="24" t="s">
        <v>2246</v>
      </c>
      <c r="C922" s="24" t="s">
        <v>1504</v>
      </c>
      <c r="D922" s="24" t="s">
        <v>2247</v>
      </c>
      <c r="E922" s="25"/>
      <c r="F922" s="25"/>
      <c r="G922" s="25"/>
      <c r="H922" s="25">
        <v>50</v>
      </c>
      <c r="I922" s="25"/>
      <c r="J922" s="25">
        <v>20</v>
      </c>
      <c r="K922" s="25"/>
      <c r="L922" s="25"/>
      <c r="M922" s="25"/>
      <c r="N922" s="25"/>
      <c r="O922" s="25"/>
      <c r="P922" s="25">
        <v>42</v>
      </c>
      <c r="Q922" s="22">
        <f t="shared" si="14"/>
        <v>112</v>
      </c>
    </row>
    <row r="923" spans="1:17" ht="15.75" customHeight="1">
      <c r="A923" s="19">
        <v>921</v>
      </c>
      <c r="B923" s="20" t="s">
        <v>2248</v>
      </c>
      <c r="C923" s="20" t="s">
        <v>1504</v>
      </c>
      <c r="D923" s="20" t="s">
        <v>2249</v>
      </c>
      <c r="E923" s="21"/>
      <c r="F923" s="21"/>
      <c r="G923" s="21"/>
      <c r="H923" s="21">
        <v>10</v>
      </c>
      <c r="I923" s="21"/>
      <c r="J923" s="21">
        <v>2</v>
      </c>
      <c r="K923" s="21"/>
      <c r="L923" s="21">
        <v>8</v>
      </c>
      <c r="M923" s="21"/>
      <c r="N923" s="21"/>
      <c r="O923" s="21"/>
      <c r="P923" s="21"/>
      <c r="Q923" s="22">
        <f t="shared" si="14"/>
        <v>20</v>
      </c>
    </row>
    <row r="924" spans="1:17" ht="15.75" customHeight="1">
      <c r="A924" s="23">
        <v>922</v>
      </c>
      <c r="B924" s="24" t="s">
        <v>2250</v>
      </c>
      <c r="C924" s="24" t="s">
        <v>1504</v>
      </c>
      <c r="D924" s="24" t="s">
        <v>2251</v>
      </c>
      <c r="E924" s="25">
        <v>50</v>
      </c>
      <c r="F924" s="25">
        <v>670</v>
      </c>
      <c r="G924" s="25"/>
      <c r="H924" s="25">
        <v>350</v>
      </c>
      <c r="I924" s="25">
        <v>270</v>
      </c>
      <c r="J924" s="25">
        <v>350</v>
      </c>
      <c r="K924" s="25">
        <v>50</v>
      </c>
      <c r="L924" s="25">
        <v>100</v>
      </c>
      <c r="M924" s="25">
        <v>250</v>
      </c>
      <c r="N924" s="25">
        <v>100</v>
      </c>
      <c r="O924" s="25">
        <v>100</v>
      </c>
      <c r="P924" s="25">
        <v>295</v>
      </c>
      <c r="Q924" s="22">
        <f t="shared" si="14"/>
        <v>2585</v>
      </c>
    </row>
    <row r="925" spans="1:17" ht="15.75" customHeight="1">
      <c r="A925" s="19">
        <v>923</v>
      </c>
      <c r="B925" s="20" t="s">
        <v>2252</v>
      </c>
      <c r="C925" s="20" t="s">
        <v>1504</v>
      </c>
      <c r="D925" s="20" t="s">
        <v>2253</v>
      </c>
      <c r="E925" s="21">
        <v>980</v>
      </c>
      <c r="F925" s="21">
        <v>4040</v>
      </c>
      <c r="G925" s="21">
        <v>1681</v>
      </c>
      <c r="H925" s="21">
        <v>1970</v>
      </c>
      <c r="I925" s="21">
        <v>2640</v>
      </c>
      <c r="J925" s="21">
        <v>1650</v>
      </c>
      <c r="K925" s="21">
        <v>2445</v>
      </c>
      <c r="L925" s="21">
        <v>2460</v>
      </c>
      <c r="M925" s="21">
        <v>1370</v>
      </c>
      <c r="N925" s="21">
        <v>1410</v>
      </c>
      <c r="O925" s="21">
        <v>1150</v>
      </c>
      <c r="P925" s="21">
        <v>1210</v>
      </c>
      <c r="Q925" s="22">
        <f t="shared" si="14"/>
        <v>23006</v>
      </c>
    </row>
    <row r="926" spans="1:17" ht="15.75" customHeight="1">
      <c r="A926" s="23">
        <v>924</v>
      </c>
      <c r="B926" s="24" t="s">
        <v>2254</v>
      </c>
      <c r="C926" s="24" t="s">
        <v>1504</v>
      </c>
      <c r="D926" s="24" t="s">
        <v>2255</v>
      </c>
      <c r="E926" s="25">
        <v>50</v>
      </c>
      <c r="F926" s="25">
        <v>30</v>
      </c>
      <c r="G926" s="25"/>
      <c r="H926" s="25">
        <v>60</v>
      </c>
      <c r="I926" s="25"/>
      <c r="J926" s="25">
        <v>100</v>
      </c>
      <c r="K926" s="25">
        <v>250</v>
      </c>
      <c r="L926" s="25"/>
      <c r="M926" s="25"/>
      <c r="N926" s="25"/>
      <c r="O926" s="25"/>
      <c r="P926" s="25"/>
      <c r="Q926" s="22">
        <f t="shared" si="14"/>
        <v>490</v>
      </c>
    </row>
    <row r="927" spans="1:17" ht="15.75" customHeight="1">
      <c r="A927" s="19">
        <v>925</v>
      </c>
      <c r="B927" s="20" t="s">
        <v>2256</v>
      </c>
      <c r="C927" s="20" t="s">
        <v>1504</v>
      </c>
      <c r="D927" s="20" t="s">
        <v>2257</v>
      </c>
      <c r="E927" s="21"/>
      <c r="F927" s="21">
        <v>1540</v>
      </c>
      <c r="G927" s="21">
        <v>72</v>
      </c>
      <c r="H927" s="21">
        <v>160</v>
      </c>
      <c r="I927" s="21">
        <v>100</v>
      </c>
      <c r="J927" s="21">
        <v>20</v>
      </c>
      <c r="K927" s="21">
        <v>345</v>
      </c>
      <c r="L927" s="21">
        <v>20</v>
      </c>
      <c r="M927" s="21"/>
      <c r="N927" s="21">
        <v>40</v>
      </c>
      <c r="O927" s="21">
        <v>100</v>
      </c>
      <c r="P927" s="21">
        <v>40</v>
      </c>
      <c r="Q927" s="22">
        <f t="shared" si="14"/>
        <v>2437</v>
      </c>
    </row>
    <row r="928" spans="1:17" ht="15.75" customHeight="1">
      <c r="A928" s="23">
        <v>926</v>
      </c>
      <c r="B928" s="24" t="s">
        <v>2258</v>
      </c>
      <c r="C928" s="24" t="s">
        <v>1504</v>
      </c>
      <c r="D928" s="24" t="s">
        <v>2259</v>
      </c>
      <c r="E928" s="25"/>
      <c r="F928" s="25">
        <v>100</v>
      </c>
      <c r="G928" s="25"/>
      <c r="H928" s="25"/>
      <c r="I928" s="25">
        <v>100</v>
      </c>
      <c r="J928" s="25">
        <v>200</v>
      </c>
      <c r="K928" s="25"/>
      <c r="L928" s="25">
        <v>15</v>
      </c>
      <c r="M928" s="25">
        <v>1</v>
      </c>
      <c r="N928" s="25">
        <v>100</v>
      </c>
      <c r="O928" s="25">
        <v>70</v>
      </c>
      <c r="P928" s="25">
        <v>160</v>
      </c>
      <c r="Q928" s="22">
        <f t="shared" si="14"/>
        <v>746</v>
      </c>
    </row>
    <row r="929" spans="1:17" ht="15.75" customHeight="1">
      <c r="A929" s="19">
        <v>927</v>
      </c>
      <c r="B929" s="20" t="s">
        <v>2260</v>
      </c>
      <c r="C929" s="20" t="s">
        <v>1504</v>
      </c>
      <c r="D929" s="20" t="s">
        <v>2261</v>
      </c>
      <c r="E929" s="21">
        <v>30</v>
      </c>
      <c r="F929" s="21"/>
      <c r="G929" s="21">
        <v>60</v>
      </c>
      <c r="H929" s="21"/>
      <c r="I929" s="21">
        <v>40</v>
      </c>
      <c r="J929" s="21">
        <v>30</v>
      </c>
      <c r="K929" s="21">
        <v>30</v>
      </c>
      <c r="L929" s="21">
        <v>100</v>
      </c>
      <c r="M929" s="21"/>
      <c r="N929" s="21"/>
      <c r="O929" s="21"/>
      <c r="P929" s="21"/>
      <c r="Q929" s="22">
        <f t="shared" si="14"/>
        <v>290</v>
      </c>
    </row>
    <row r="930" spans="1:17" ht="15.75" customHeight="1">
      <c r="A930" s="23">
        <v>928</v>
      </c>
      <c r="B930" s="24" t="s">
        <v>2264</v>
      </c>
      <c r="C930" s="24" t="s">
        <v>1504</v>
      </c>
      <c r="D930" s="24" t="s">
        <v>2265</v>
      </c>
      <c r="E930" s="25"/>
      <c r="F930" s="25"/>
      <c r="G930" s="25"/>
      <c r="H930" s="25">
        <v>200</v>
      </c>
      <c r="I930" s="25"/>
      <c r="J930" s="25"/>
      <c r="K930" s="25">
        <v>4</v>
      </c>
      <c r="L930" s="25"/>
      <c r="M930" s="25"/>
      <c r="N930" s="25"/>
      <c r="O930" s="25"/>
      <c r="P930" s="25"/>
      <c r="Q930" s="22">
        <f t="shared" si="14"/>
        <v>204</v>
      </c>
    </row>
    <row r="931" spans="1:17" ht="15.75" customHeight="1">
      <c r="A931" s="19">
        <v>929</v>
      </c>
      <c r="B931" s="20" t="s">
        <v>2939</v>
      </c>
      <c r="C931" s="20" t="s">
        <v>2273</v>
      </c>
      <c r="D931" s="20" t="s">
        <v>1913</v>
      </c>
      <c r="E931" s="21"/>
      <c r="F931" s="21"/>
      <c r="G931" s="21"/>
      <c r="H931" s="21"/>
      <c r="I931" s="21"/>
      <c r="J931" s="21">
        <v>10</v>
      </c>
      <c r="K931" s="21">
        <v>2</v>
      </c>
      <c r="L931" s="21">
        <v>4</v>
      </c>
      <c r="M931" s="21">
        <v>1</v>
      </c>
      <c r="N931" s="21"/>
      <c r="O931" s="21"/>
      <c r="P931" s="21"/>
      <c r="Q931" s="22">
        <f t="shared" si="14"/>
        <v>17</v>
      </c>
    </row>
    <row r="932" spans="1:17" ht="15.75" customHeight="1">
      <c r="A932" s="23">
        <v>930</v>
      </c>
      <c r="B932" s="24" t="s">
        <v>2271</v>
      </c>
      <c r="C932" s="24" t="s">
        <v>1523</v>
      </c>
      <c r="D932" s="24" t="s">
        <v>1909</v>
      </c>
      <c r="E932" s="25"/>
      <c r="F932" s="25"/>
      <c r="G932" s="25"/>
      <c r="H932" s="25"/>
      <c r="I932" s="25"/>
      <c r="J932" s="25"/>
      <c r="K932" s="25">
        <v>20</v>
      </c>
      <c r="L932" s="25"/>
      <c r="M932" s="25"/>
      <c r="N932" s="25"/>
      <c r="O932" s="25"/>
      <c r="P932" s="25"/>
      <c r="Q932" s="22">
        <f t="shared" si="14"/>
        <v>20</v>
      </c>
    </row>
    <row r="933" spans="1:17" ht="15.75" customHeight="1">
      <c r="A933" s="19">
        <v>931</v>
      </c>
      <c r="B933" s="20" t="s">
        <v>2272</v>
      </c>
      <c r="C933" s="20" t="s">
        <v>2273</v>
      </c>
      <c r="D933" s="20" t="s">
        <v>1909</v>
      </c>
      <c r="E933" s="21"/>
      <c r="F933" s="21"/>
      <c r="G933" s="21"/>
      <c r="H933" s="21"/>
      <c r="I933" s="21"/>
      <c r="J933" s="21"/>
      <c r="K933" s="21">
        <v>15</v>
      </c>
      <c r="L933" s="21"/>
      <c r="M933" s="21"/>
      <c r="N933" s="21"/>
      <c r="O933" s="21"/>
      <c r="P933" s="21"/>
      <c r="Q933" s="22">
        <f t="shared" si="14"/>
        <v>15</v>
      </c>
    </row>
    <row r="934" spans="1:17" ht="15.75" customHeight="1">
      <c r="A934" s="23">
        <v>932</v>
      </c>
      <c r="B934" s="24" t="s">
        <v>3421</v>
      </c>
      <c r="C934" s="24" t="s">
        <v>2301</v>
      </c>
      <c r="D934" s="24" t="s">
        <v>2873</v>
      </c>
      <c r="E934" s="25"/>
      <c r="F934" s="25"/>
      <c r="G934" s="25"/>
      <c r="H934" s="25"/>
      <c r="I934" s="25"/>
      <c r="J934" s="25"/>
      <c r="K934" s="25"/>
      <c r="L934" s="25">
        <v>10</v>
      </c>
      <c r="M934" s="25"/>
      <c r="N934" s="25"/>
      <c r="O934" s="25"/>
      <c r="P934" s="25"/>
      <c r="Q934" s="22">
        <f t="shared" si="14"/>
        <v>10</v>
      </c>
    </row>
    <row r="935" spans="1:17" ht="15.75" customHeight="1">
      <c r="A935" s="19">
        <v>933</v>
      </c>
      <c r="B935" s="20" t="s">
        <v>2279</v>
      </c>
      <c r="C935" s="20" t="s">
        <v>1466</v>
      </c>
      <c r="D935" s="20" t="s">
        <v>2280</v>
      </c>
      <c r="E935" s="21"/>
      <c r="F935" s="21"/>
      <c r="G935" s="21"/>
      <c r="H935" s="21"/>
      <c r="I935" s="21"/>
      <c r="J935" s="21"/>
      <c r="K935" s="21"/>
      <c r="L935" s="21"/>
      <c r="M935" s="21"/>
      <c r="N935" s="21">
        <v>10</v>
      </c>
      <c r="O935" s="21"/>
      <c r="P935" s="21"/>
      <c r="Q935" s="22">
        <f t="shared" si="14"/>
        <v>10</v>
      </c>
    </row>
    <row r="936" spans="1:17" ht="15.75" customHeight="1">
      <c r="A936" s="23">
        <v>934</v>
      </c>
      <c r="B936" s="24" t="s">
        <v>2285</v>
      </c>
      <c r="C936" s="24" t="s">
        <v>1463</v>
      </c>
      <c r="D936" s="24" t="s">
        <v>1700</v>
      </c>
      <c r="E936" s="25"/>
      <c r="F936" s="25">
        <v>10</v>
      </c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2">
        <f t="shared" si="14"/>
        <v>10</v>
      </c>
    </row>
    <row r="937" spans="1:17" ht="15.75" customHeight="1">
      <c r="A937" s="19">
        <v>935</v>
      </c>
      <c r="B937" s="20" t="s">
        <v>3422</v>
      </c>
      <c r="C937" s="20" t="s">
        <v>1466</v>
      </c>
      <c r="D937" s="20" t="s">
        <v>3423</v>
      </c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>
        <v>4</v>
      </c>
      <c r="Q937" s="22">
        <f t="shared" si="14"/>
        <v>4</v>
      </c>
    </row>
    <row r="938" spans="1:17" ht="15.75" customHeight="1">
      <c r="A938" s="23">
        <v>936</v>
      </c>
      <c r="B938" s="24" t="s">
        <v>2292</v>
      </c>
      <c r="C938" s="24" t="s">
        <v>2273</v>
      </c>
      <c r="D938" s="24" t="s">
        <v>1911</v>
      </c>
      <c r="E938" s="25"/>
      <c r="F938" s="25"/>
      <c r="G938" s="25"/>
      <c r="H938" s="25"/>
      <c r="I938" s="25"/>
      <c r="J938" s="25">
        <v>10</v>
      </c>
      <c r="K938" s="25">
        <v>17</v>
      </c>
      <c r="L938" s="25"/>
      <c r="M938" s="25"/>
      <c r="N938" s="25"/>
      <c r="O938" s="25"/>
      <c r="P938" s="25"/>
      <c r="Q938" s="22">
        <f t="shared" si="14"/>
        <v>27</v>
      </c>
    </row>
    <row r="939" spans="1:17" ht="15.75" customHeight="1">
      <c r="A939" s="19">
        <v>937</v>
      </c>
      <c r="B939" s="20" t="s">
        <v>2295</v>
      </c>
      <c r="C939" s="20" t="s">
        <v>2294</v>
      </c>
      <c r="D939" s="20" t="s">
        <v>1913</v>
      </c>
      <c r="E939" s="21"/>
      <c r="F939" s="21"/>
      <c r="G939" s="21"/>
      <c r="H939" s="21"/>
      <c r="I939" s="21"/>
      <c r="J939" s="21"/>
      <c r="K939" s="21"/>
      <c r="L939" s="21"/>
      <c r="M939" s="21">
        <v>1</v>
      </c>
      <c r="N939" s="21"/>
      <c r="O939" s="21"/>
      <c r="P939" s="21"/>
      <c r="Q939" s="22">
        <f t="shared" si="14"/>
        <v>1</v>
      </c>
    </row>
    <row r="940" spans="1:17" ht="15.75" customHeight="1">
      <c r="A940" s="23">
        <v>938</v>
      </c>
      <c r="B940" s="24" t="s">
        <v>2296</v>
      </c>
      <c r="C940" s="24" t="s">
        <v>1523</v>
      </c>
      <c r="D940" s="24" t="s">
        <v>1911</v>
      </c>
      <c r="E940" s="25"/>
      <c r="F940" s="25"/>
      <c r="G940" s="25"/>
      <c r="H940" s="25"/>
      <c r="I940" s="25"/>
      <c r="J940" s="25"/>
      <c r="K940" s="25">
        <v>20</v>
      </c>
      <c r="L940" s="25"/>
      <c r="M940" s="25"/>
      <c r="N940" s="25"/>
      <c r="O940" s="25"/>
      <c r="P940" s="25"/>
      <c r="Q940" s="22">
        <f t="shared" si="14"/>
        <v>20</v>
      </c>
    </row>
    <row r="941" spans="1:17" ht="15.75" customHeight="1">
      <c r="A941" s="19">
        <v>939</v>
      </c>
      <c r="B941" s="20" t="s">
        <v>2949</v>
      </c>
      <c r="C941" s="20" t="s">
        <v>2929</v>
      </c>
      <c r="D941" s="20" t="s">
        <v>1909</v>
      </c>
      <c r="E941" s="21"/>
      <c r="F941" s="21"/>
      <c r="G941" s="21"/>
      <c r="H941" s="21"/>
      <c r="I941" s="21"/>
      <c r="J941" s="21"/>
      <c r="K941" s="21">
        <v>25</v>
      </c>
      <c r="L941" s="21">
        <v>2</v>
      </c>
      <c r="M941" s="21">
        <v>6</v>
      </c>
      <c r="N941" s="21"/>
      <c r="O941" s="21"/>
      <c r="P941" s="21"/>
      <c r="Q941" s="22">
        <f t="shared" si="14"/>
        <v>33</v>
      </c>
    </row>
    <row r="942" spans="1:17" ht="15.75" customHeight="1">
      <c r="A942" s="23">
        <v>940</v>
      </c>
      <c r="B942" s="24" t="s">
        <v>3424</v>
      </c>
      <c r="C942" s="24" t="s">
        <v>1471</v>
      </c>
      <c r="D942" s="24" t="s">
        <v>1678</v>
      </c>
      <c r="E942" s="25"/>
      <c r="F942" s="25"/>
      <c r="G942" s="25"/>
      <c r="H942" s="25"/>
      <c r="I942" s="25">
        <v>30</v>
      </c>
      <c r="J942" s="25"/>
      <c r="K942" s="25"/>
      <c r="L942" s="25"/>
      <c r="M942" s="25"/>
      <c r="N942" s="25"/>
      <c r="O942" s="25"/>
      <c r="P942" s="25"/>
      <c r="Q942" s="22">
        <f t="shared" si="14"/>
        <v>30</v>
      </c>
    </row>
    <row r="943" spans="1:17" ht="15.75" customHeight="1">
      <c r="A943" s="19">
        <v>941</v>
      </c>
      <c r="B943" s="20" t="s">
        <v>3425</v>
      </c>
      <c r="C943" s="20" t="s">
        <v>2929</v>
      </c>
      <c r="D943" s="20" t="s">
        <v>3426</v>
      </c>
      <c r="E943" s="21"/>
      <c r="F943" s="21"/>
      <c r="G943" s="21"/>
      <c r="H943" s="21"/>
      <c r="I943" s="21"/>
      <c r="J943" s="21"/>
      <c r="K943" s="21">
        <v>20</v>
      </c>
      <c r="L943" s="21"/>
      <c r="M943" s="21"/>
      <c r="N943" s="21"/>
      <c r="O943" s="21"/>
      <c r="P943" s="21"/>
      <c r="Q943" s="22">
        <f t="shared" si="14"/>
        <v>20</v>
      </c>
    </row>
    <row r="944" spans="1:17" ht="15.75" customHeight="1">
      <c r="A944" s="23">
        <v>942</v>
      </c>
      <c r="B944" s="24" t="s">
        <v>3427</v>
      </c>
      <c r="C944" s="24" t="s">
        <v>1504</v>
      </c>
      <c r="D944" s="24" t="s">
        <v>1916</v>
      </c>
      <c r="E944" s="25">
        <v>100</v>
      </c>
      <c r="F944" s="25"/>
      <c r="G944" s="25"/>
      <c r="H944" s="25">
        <v>100</v>
      </c>
      <c r="I944" s="25"/>
      <c r="J944" s="25"/>
      <c r="K944" s="25"/>
      <c r="L944" s="25"/>
      <c r="M944" s="25">
        <v>50</v>
      </c>
      <c r="N944" s="25"/>
      <c r="O944" s="25"/>
      <c r="P944" s="25"/>
      <c r="Q944" s="22">
        <f t="shared" si="14"/>
        <v>250</v>
      </c>
    </row>
    <row r="945" spans="1:17" ht="15.75" customHeight="1">
      <c r="A945" s="19">
        <v>943</v>
      </c>
      <c r="B945" s="20" t="s">
        <v>3428</v>
      </c>
      <c r="C945" s="20" t="s">
        <v>2273</v>
      </c>
      <c r="D945" s="20" t="s">
        <v>1678</v>
      </c>
      <c r="E945" s="21"/>
      <c r="F945" s="21"/>
      <c r="G945" s="21"/>
      <c r="H945" s="21"/>
      <c r="I945" s="21"/>
      <c r="J945" s="21"/>
      <c r="K945" s="21">
        <v>1</v>
      </c>
      <c r="L945" s="21">
        <v>1</v>
      </c>
      <c r="M945" s="21"/>
      <c r="N945" s="21"/>
      <c r="O945" s="21"/>
      <c r="P945" s="21"/>
      <c r="Q945" s="22">
        <f t="shared" si="14"/>
        <v>2</v>
      </c>
    </row>
    <row r="946" spans="1:17" ht="15.75" customHeight="1">
      <c r="A946" s="23">
        <v>944</v>
      </c>
      <c r="B946" s="24" t="s">
        <v>3428</v>
      </c>
      <c r="C946" s="24" t="s">
        <v>2958</v>
      </c>
      <c r="D946" s="24" t="s">
        <v>1678</v>
      </c>
      <c r="E946" s="25"/>
      <c r="F946" s="25"/>
      <c r="G946" s="25"/>
      <c r="H946" s="25"/>
      <c r="I946" s="25"/>
      <c r="J946" s="25"/>
      <c r="K946" s="25">
        <v>10</v>
      </c>
      <c r="L946" s="25"/>
      <c r="M946" s="25"/>
      <c r="N946" s="25"/>
      <c r="O946" s="25"/>
      <c r="P946" s="25"/>
      <c r="Q946" s="22">
        <f t="shared" si="14"/>
        <v>10</v>
      </c>
    </row>
    <row r="947" spans="1:17" ht="15.75" customHeight="1">
      <c r="A947" s="19">
        <v>945</v>
      </c>
      <c r="B947" s="20" t="s">
        <v>3429</v>
      </c>
      <c r="C947" s="20" t="s">
        <v>2958</v>
      </c>
      <c r="D947" s="20" t="s">
        <v>1682</v>
      </c>
      <c r="E947" s="21"/>
      <c r="F947" s="21"/>
      <c r="G947" s="21"/>
      <c r="H947" s="21"/>
      <c r="I947" s="21"/>
      <c r="J947" s="21"/>
      <c r="K947" s="21">
        <v>10</v>
      </c>
      <c r="L947" s="21"/>
      <c r="M947" s="21"/>
      <c r="N947" s="21"/>
      <c r="O947" s="21"/>
      <c r="P947" s="21"/>
      <c r="Q947" s="22">
        <f t="shared" si="14"/>
        <v>10</v>
      </c>
    </row>
    <row r="948" spans="1:17" ht="15.75" customHeight="1">
      <c r="A948" s="23">
        <v>946</v>
      </c>
      <c r="B948" s="24" t="s">
        <v>3430</v>
      </c>
      <c r="C948" s="24" t="s">
        <v>3431</v>
      </c>
      <c r="D948" s="24" t="s">
        <v>3432</v>
      </c>
      <c r="E948" s="25"/>
      <c r="F948" s="25"/>
      <c r="G948" s="25"/>
      <c r="H948" s="25"/>
      <c r="I948" s="25"/>
      <c r="J948" s="25"/>
      <c r="K948" s="25"/>
      <c r="L948" s="25">
        <v>2</v>
      </c>
      <c r="M948" s="25"/>
      <c r="N948" s="25"/>
      <c r="O948" s="25"/>
      <c r="P948" s="25"/>
      <c r="Q948" s="22">
        <f t="shared" si="14"/>
        <v>2</v>
      </c>
    </row>
    <row r="949" spans="1:17" ht="15.75" customHeight="1">
      <c r="A949" s="19">
        <v>947</v>
      </c>
      <c r="B949" s="20" t="s">
        <v>3433</v>
      </c>
      <c r="C949" s="20" t="s">
        <v>1510</v>
      </c>
      <c r="D949" s="20" t="s">
        <v>1913</v>
      </c>
      <c r="E949" s="21"/>
      <c r="F949" s="21"/>
      <c r="G949" s="21"/>
      <c r="H949" s="21"/>
      <c r="I949" s="21"/>
      <c r="J949" s="21"/>
      <c r="K949" s="21">
        <v>10</v>
      </c>
      <c r="L949" s="21"/>
      <c r="M949" s="21"/>
      <c r="N949" s="21"/>
      <c r="O949" s="21"/>
      <c r="P949" s="21"/>
      <c r="Q949" s="22">
        <f t="shared" si="14"/>
        <v>10</v>
      </c>
    </row>
    <row r="950" spans="1:17" ht="15.75" customHeight="1">
      <c r="A950" s="23">
        <v>948</v>
      </c>
      <c r="B950" s="24" t="s">
        <v>2303</v>
      </c>
      <c r="C950" s="24" t="s">
        <v>1504</v>
      </c>
      <c r="D950" s="24" t="s">
        <v>2304</v>
      </c>
      <c r="E950" s="25"/>
      <c r="F950" s="25"/>
      <c r="G950" s="25"/>
      <c r="H950" s="25"/>
      <c r="I950" s="25"/>
      <c r="J950" s="25"/>
      <c r="K950" s="25"/>
      <c r="L950" s="25">
        <v>5</v>
      </c>
      <c r="M950" s="25"/>
      <c r="N950" s="25"/>
      <c r="O950" s="25"/>
      <c r="P950" s="25">
        <v>2</v>
      </c>
      <c r="Q950" s="22">
        <f t="shared" si="14"/>
        <v>7</v>
      </c>
    </row>
    <row r="951" spans="1:17" ht="15.75" customHeight="1">
      <c r="A951" s="19">
        <v>949</v>
      </c>
      <c r="B951" s="20" t="s">
        <v>2305</v>
      </c>
      <c r="C951" s="20" t="s">
        <v>1481</v>
      </c>
      <c r="D951" s="20" t="s">
        <v>20</v>
      </c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>
        <v>2</v>
      </c>
      <c r="Q951" s="22">
        <f t="shared" si="14"/>
        <v>2</v>
      </c>
    </row>
    <row r="952" spans="1:17" ht="15.75" customHeight="1">
      <c r="A952" s="23">
        <v>950</v>
      </c>
      <c r="B952" s="24" t="s">
        <v>2306</v>
      </c>
      <c r="C952" s="24" t="s">
        <v>1504</v>
      </c>
      <c r="D952" s="24" t="s">
        <v>24</v>
      </c>
      <c r="E952" s="25"/>
      <c r="F952" s="25"/>
      <c r="G952" s="25"/>
      <c r="H952" s="25"/>
      <c r="I952" s="25"/>
      <c r="J952" s="25"/>
      <c r="K952" s="25"/>
      <c r="L952" s="25"/>
      <c r="M952" s="25">
        <v>10</v>
      </c>
      <c r="N952" s="25"/>
      <c r="O952" s="25"/>
      <c r="P952" s="25"/>
      <c r="Q952" s="22">
        <f t="shared" si="14"/>
        <v>10</v>
      </c>
    </row>
    <row r="954" spans="1:17" ht="18" customHeight="1">
      <c r="C954" s="28" t="s">
        <v>2307</v>
      </c>
      <c r="E954" s="29">
        <f t="shared" ref="E954:Q954" si="15">SUM(E3:E952)</f>
        <v>17864</v>
      </c>
      <c r="F954" s="29">
        <f t="shared" si="15"/>
        <v>35459</v>
      </c>
      <c r="G954" s="29">
        <f t="shared" si="15"/>
        <v>20408</v>
      </c>
      <c r="H954" s="29">
        <f t="shared" si="15"/>
        <v>26779</v>
      </c>
      <c r="I954" s="29">
        <f t="shared" si="15"/>
        <v>26945</v>
      </c>
      <c r="J954" s="29">
        <f t="shared" si="15"/>
        <v>21653</v>
      </c>
      <c r="K954" s="29">
        <f t="shared" si="15"/>
        <v>20961</v>
      </c>
      <c r="L954" s="29">
        <f t="shared" si="15"/>
        <v>35542</v>
      </c>
      <c r="M954" s="29">
        <f t="shared" si="15"/>
        <v>30975</v>
      </c>
      <c r="N954" s="29">
        <f t="shared" si="15"/>
        <v>19987</v>
      </c>
      <c r="O954" s="29">
        <f t="shared" si="15"/>
        <v>29532</v>
      </c>
      <c r="P954" s="29">
        <f t="shared" si="15"/>
        <v>45789</v>
      </c>
      <c r="Q954" s="29">
        <f t="shared" si="15"/>
        <v>331894</v>
      </c>
    </row>
  </sheetData>
  <mergeCells count="1">
    <mergeCell ref="A1:R1"/>
  </mergeCells>
  <phoneticPr fontId="3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66"/>
  <sheetViews>
    <sheetView showGridLines="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ColWidth="8.6640625" defaultRowHeight="14.4"/>
  <cols>
    <col min="1" max="1" width="5" customWidth="1"/>
    <col min="2" max="2" width="16" customWidth="1"/>
    <col min="3" max="3" width="38" customWidth="1"/>
    <col min="4" max="4" width="22" customWidth="1"/>
    <col min="5" max="16" width="7" customWidth="1"/>
    <col min="17" max="17" width="10" customWidth="1"/>
  </cols>
  <sheetData>
    <row r="1" spans="1:18" ht="24" customHeight="1">
      <c r="A1" s="14" t="s">
        <v>3434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36" customHeight="1">
      <c r="A2" s="15" t="s">
        <v>1</v>
      </c>
      <c r="B2" s="16" t="s">
        <v>2</v>
      </c>
      <c r="C2" s="16" t="s">
        <v>3</v>
      </c>
      <c r="D2" s="16" t="s">
        <v>4</v>
      </c>
      <c r="E2" s="32" t="s">
        <v>5</v>
      </c>
      <c r="F2" s="32" t="s">
        <v>6</v>
      </c>
      <c r="G2" s="32" t="s">
        <v>7</v>
      </c>
      <c r="H2" s="32" t="s">
        <v>8</v>
      </c>
      <c r="I2" s="32" t="s">
        <v>9</v>
      </c>
      <c r="J2" s="32" t="s">
        <v>10</v>
      </c>
      <c r="K2" s="32" t="s">
        <v>11</v>
      </c>
      <c r="L2" s="32" t="s">
        <v>12</v>
      </c>
      <c r="M2" s="32" t="s">
        <v>13</v>
      </c>
      <c r="N2" s="32" t="s">
        <v>14</v>
      </c>
      <c r="O2" s="32" t="s">
        <v>15</v>
      </c>
      <c r="P2" s="32" t="s">
        <v>16</v>
      </c>
      <c r="Q2" s="18" t="s">
        <v>17</v>
      </c>
    </row>
    <row r="3" spans="1:18" ht="15.75" customHeight="1">
      <c r="A3" s="19">
        <v>1</v>
      </c>
      <c r="B3" s="20" t="s">
        <v>23</v>
      </c>
      <c r="C3" s="20" t="s">
        <v>19</v>
      </c>
      <c r="D3" s="20" t="s">
        <v>24</v>
      </c>
      <c r="E3" s="21">
        <v>50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2">
        <f t="shared" ref="Q3:Q66" si="0">SUM(E3:P3)</f>
        <v>50</v>
      </c>
    </row>
    <row r="4" spans="1:18" ht="15.75" customHeight="1">
      <c r="A4" s="23">
        <v>2</v>
      </c>
      <c r="B4" s="24" t="s">
        <v>25</v>
      </c>
      <c r="C4" s="24" t="s">
        <v>19</v>
      </c>
      <c r="D4" s="24" t="s">
        <v>26</v>
      </c>
      <c r="E4" s="25"/>
      <c r="F4" s="25">
        <v>10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2">
        <f t="shared" si="0"/>
        <v>10</v>
      </c>
    </row>
    <row r="5" spans="1:18" ht="15.75" customHeight="1">
      <c r="A5" s="19">
        <v>3</v>
      </c>
      <c r="B5" s="20" t="s">
        <v>27</v>
      </c>
      <c r="C5" s="20" t="s">
        <v>28</v>
      </c>
      <c r="D5" s="20" t="s">
        <v>20</v>
      </c>
      <c r="E5" s="21">
        <v>110</v>
      </c>
      <c r="F5" s="21">
        <v>10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2">
        <f t="shared" si="0"/>
        <v>120</v>
      </c>
    </row>
    <row r="6" spans="1:18" ht="15.75" customHeight="1">
      <c r="A6" s="23">
        <v>4</v>
      </c>
      <c r="B6" s="24" t="s">
        <v>2309</v>
      </c>
      <c r="C6" s="24" t="s">
        <v>28</v>
      </c>
      <c r="D6" s="24" t="s">
        <v>22</v>
      </c>
      <c r="E6" s="25"/>
      <c r="F6" s="25">
        <v>10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2">
        <f t="shared" si="0"/>
        <v>10</v>
      </c>
    </row>
    <row r="7" spans="1:18" ht="15.75" customHeight="1">
      <c r="A7" s="19">
        <v>5</v>
      </c>
      <c r="B7" s="20" t="s">
        <v>29</v>
      </c>
      <c r="C7" s="20" t="s">
        <v>30</v>
      </c>
      <c r="D7" s="20" t="s">
        <v>20</v>
      </c>
      <c r="E7" s="21">
        <v>5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2">
        <f t="shared" si="0"/>
        <v>5</v>
      </c>
    </row>
    <row r="8" spans="1:18" ht="15.75" customHeight="1">
      <c r="A8" s="23">
        <v>6</v>
      </c>
      <c r="B8" s="24" t="s">
        <v>2971</v>
      </c>
      <c r="C8" s="24" t="s">
        <v>30</v>
      </c>
      <c r="D8" s="24" t="s">
        <v>50</v>
      </c>
      <c r="E8" s="25"/>
      <c r="F8" s="25">
        <v>1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2">
        <f t="shared" si="0"/>
        <v>1</v>
      </c>
    </row>
    <row r="9" spans="1:18" ht="15.75" customHeight="1">
      <c r="A9" s="19">
        <v>7</v>
      </c>
      <c r="B9" s="20" t="s">
        <v>36</v>
      </c>
      <c r="C9" s="20" t="s">
        <v>30</v>
      </c>
      <c r="D9" s="20" t="s">
        <v>26</v>
      </c>
      <c r="E9" s="21"/>
      <c r="F9" s="21"/>
      <c r="G9" s="21"/>
      <c r="H9" s="21">
        <v>50</v>
      </c>
      <c r="I9" s="21"/>
      <c r="J9" s="21"/>
      <c r="K9" s="21"/>
      <c r="L9" s="21"/>
      <c r="M9" s="21"/>
      <c r="N9" s="21"/>
      <c r="O9" s="21"/>
      <c r="P9" s="21"/>
      <c r="Q9" s="22">
        <f t="shared" si="0"/>
        <v>50</v>
      </c>
    </row>
    <row r="10" spans="1:18" ht="15.75" customHeight="1">
      <c r="A10" s="23">
        <v>8</v>
      </c>
      <c r="B10" s="24" t="s">
        <v>48</v>
      </c>
      <c r="C10" s="24" t="s">
        <v>38</v>
      </c>
      <c r="D10" s="24" t="s">
        <v>24</v>
      </c>
      <c r="E10" s="25"/>
      <c r="F10" s="25"/>
      <c r="G10" s="25">
        <v>20</v>
      </c>
      <c r="H10" s="25"/>
      <c r="I10" s="25"/>
      <c r="J10" s="25"/>
      <c r="K10" s="25"/>
      <c r="L10" s="25"/>
      <c r="M10" s="25"/>
      <c r="N10" s="25"/>
      <c r="O10" s="25"/>
      <c r="P10" s="25"/>
      <c r="Q10" s="22">
        <f t="shared" si="0"/>
        <v>20</v>
      </c>
    </row>
    <row r="11" spans="1:18" ht="15.75" customHeight="1">
      <c r="A11" s="19">
        <v>9</v>
      </c>
      <c r="B11" s="20" t="s">
        <v>67</v>
      </c>
      <c r="C11" s="20" t="s">
        <v>30</v>
      </c>
      <c r="D11" s="20" t="s">
        <v>57</v>
      </c>
      <c r="E11" s="21"/>
      <c r="F11" s="21"/>
      <c r="G11" s="21"/>
      <c r="H11" s="21">
        <v>20</v>
      </c>
      <c r="I11" s="21"/>
      <c r="J11" s="21"/>
      <c r="K11" s="21"/>
      <c r="L11" s="21"/>
      <c r="M11" s="21"/>
      <c r="N11" s="21"/>
      <c r="O11" s="21"/>
      <c r="P11" s="21"/>
      <c r="Q11" s="22">
        <f t="shared" si="0"/>
        <v>20</v>
      </c>
    </row>
    <row r="12" spans="1:18" ht="15.75" customHeight="1">
      <c r="A12" s="23">
        <v>10</v>
      </c>
      <c r="B12" s="24" t="s">
        <v>3435</v>
      </c>
      <c r="C12" s="24" t="s">
        <v>63</v>
      </c>
      <c r="D12" s="24" t="s">
        <v>26</v>
      </c>
      <c r="E12" s="25">
        <v>10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2">
        <f t="shared" si="0"/>
        <v>10</v>
      </c>
    </row>
    <row r="13" spans="1:18" ht="15.75" customHeight="1">
      <c r="A13" s="19">
        <v>11</v>
      </c>
      <c r="B13" s="20" t="s">
        <v>70</v>
      </c>
      <c r="C13" s="20" t="s">
        <v>28</v>
      </c>
      <c r="D13" s="20" t="s">
        <v>32</v>
      </c>
      <c r="E13" s="21">
        <v>110</v>
      </c>
      <c r="F13" s="21">
        <v>10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2">
        <f t="shared" si="0"/>
        <v>120</v>
      </c>
    </row>
    <row r="14" spans="1:18" ht="15.75" customHeight="1">
      <c r="A14" s="23">
        <v>12</v>
      </c>
      <c r="B14" s="24" t="s">
        <v>3436</v>
      </c>
      <c r="C14" s="24" t="s">
        <v>28</v>
      </c>
      <c r="D14" s="24" t="s">
        <v>24</v>
      </c>
      <c r="E14" s="25"/>
      <c r="F14" s="25">
        <v>10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2">
        <f t="shared" si="0"/>
        <v>10</v>
      </c>
    </row>
    <row r="15" spans="1:18" ht="15.75" customHeight="1">
      <c r="A15" s="19">
        <v>13</v>
      </c>
      <c r="B15" s="20" t="s">
        <v>2321</v>
      </c>
      <c r="C15" s="20" t="s">
        <v>28</v>
      </c>
      <c r="D15" s="20" t="s">
        <v>26</v>
      </c>
      <c r="E15" s="21">
        <v>20</v>
      </c>
      <c r="F15" s="21">
        <v>10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2">
        <f t="shared" si="0"/>
        <v>30</v>
      </c>
    </row>
    <row r="16" spans="1:18" ht="15.75" customHeight="1">
      <c r="A16" s="23">
        <v>14</v>
      </c>
      <c r="B16" s="24" t="s">
        <v>3437</v>
      </c>
      <c r="C16" s="24" t="s">
        <v>110</v>
      </c>
      <c r="D16" s="24" t="s">
        <v>78</v>
      </c>
      <c r="E16" s="25">
        <v>40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2">
        <f t="shared" si="0"/>
        <v>40</v>
      </c>
    </row>
    <row r="17" spans="1:17" ht="15.75" customHeight="1">
      <c r="A17" s="19">
        <v>15</v>
      </c>
      <c r="B17" s="20" t="s">
        <v>79</v>
      </c>
      <c r="C17" s="20" t="s">
        <v>80</v>
      </c>
      <c r="D17" s="20" t="s">
        <v>78</v>
      </c>
      <c r="E17" s="21">
        <v>10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2">
        <f t="shared" si="0"/>
        <v>10</v>
      </c>
    </row>
    <row r="18" spans="1:17" ht="15.75" customHeight="1">
      <c r="A18" s="23">
        <v>16</v>
      </c>
      <c r="B18" s="24" t="s">
        <v>3438</v>
      </c>
      <c r="C18" s="24" t="s">
        <v>113</v>
      </c>
      <c r="D18" s="24" t="s">
        <v>78</v>
      </c>
      <c r="E18" s="25">
        <v>10</v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2">
        <f t="shared" si="0"/>
        <v>10</v>
      </c>
    </row>
    <row r="19" spans="1:17" ht="15.75" customHeight="1">
      <c r="A19" s="19">
        <v>17</v>
      </c>
      <c r="B19" s="20" t="s">
        <v>85</v>
      </c>
      <c r="C19" s="20" t="s">
        <v>28</v>
      </c>
      <c r="D19" s="20" t="s">
        <v>57</v>
      </c>
      <c r="E19" s="21"/>
      <c r="F19" s="21">
        <v>10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2">
        <f t="shared" si="0"/>
        <v>10</v>
      </c>
    </row>
    <row r="20" spans="1:17" ht="15.75" customHeight="1">
      <c r="A20" s="23">
        <v>18</v>
      </c>
      <c r="B20" s="24" t="s">
        <v>3439</v>
      </c>
      <c r="C20" s="24" t="s">
        <v>3440</v>
      </c>
      <c r="D20" s="24" t="s">
        <v>20</v>
      </c>
      <c r="E20" s="25">
        <v>5</v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2">
        <f t="shared" si="0"/>
        <v>5</v>
      </c>
    </row>
    <row r="21" spans="1:17" ht="15.75" customHeight="1">
      <c r="A21" s="19">
        <v>19</v>
      </c>
      <c r="B21" s="20" t="s">
        <v>3441</v>
      </c>
      <c r="C21" s="20" t="s">
        <v>3442</v>
      </c>
      <c r="D21" s="20" t="s">
        <v>78</v>
      </c>
      <c r="E21" s="21">
        <v>40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2">
        <f t="shared" si="0"/>
        <v>40</v>
      </c>
    </row>
    <row r="22" spans="1:17" ht="15.75" customHeight="1">
      <c r="A22" s="23">
        <v>20</v>
      </c>
      <c r="B22" s="24" t="s">
        <v>122</v>
      </c>
      <c r="C22" s="24" t="s">
        <v>123</v>
      </c>
      <c r="D22" s="24" t="s">
        <v>124</v>
      </c>
      <c r="E22" s="25"/>
      <c r="F22" s="25">
        <v>30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2">
        <f t="shared" si="0"/>
        <v>30</v>
      </c>
    </row>
    <row r="23" spans="1:17" ht="15.75" customHeight="1">
      <c r="A23" s="19">
        <v>21</v>
      </c>
      <c r="B23" s="20" t="s">
        <v>2333</v>
      </c>
      <c r="C23" s="20" t="s">
        <v>75</v>
      </c>
      <c r="D23" s="20" t="s">
        <v>26</v>
      </c>
      <c r="E23" s="21">
        <v>30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2">
        <f t="shared" si="0"/>
        <v>30</v>
      </c>
    </row>
    <row r="24" spans="1:17" ht="15.75" customHeight="1">
      <c r="A24" s="23">
        <v>22</v>
      </c>
      <c r="B24" s="24" t="s">
        <v>150</v>
      </c>
      <c r="C24" s="24" t="s">
        <v>75</v>
      </c>
      <c r="D24" s="24" t="s">
        <v>22</v>
      </c>
      <c r="E24" s="25">
        <v>20</v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2">
        <f t="shared" si="0"/>
        <v>20</v>
      </c>
    </row>
    <row r="25" spans="1:17" ht="15.75" customHeight="1">
      <c r="A25" s="19">
        <v>23</v>
      </c>
      <c r="B25" s="20" t="s">
        <v>3443</v>
      </c>
      <c r="C25" s="20" t="s">
        <v>3444</v>
      </c>
      <c r="D25" s="20" t="s">
        <v>32</v>
      </c>
      <c r="E25" s="21">
        <v>110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2">
        <f t="shared" si="0"/>
        <v>110</v>
      </c>
    </row>
    <row r="26" spans="1:17" ht="15.75" customHeight="1">
      <c r="A26" s="23">
        <v>24</v>
      </c>
      <c r="B26" s="24" t="s">
        <v>3445</v>
      </c>
      <c r="C26" s="24" t="s">
        <v>3444</v>
      </c>
      <c r="D26" s="24" t="s">
        <v>20</v>
      </c>
      <c r="E26" s="25">
        <v>110</v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2">
        <f t="shared" si="0"/>
        <v>110</v>
      </c>
    </row>
    <row r="27" spans="1:17" ht="15.75" customHeight="1">
      <c r="A27" s="19">
        <v>25</v>
      </c>
      <c r="B27" s="20" t="s">
        <v>3446</v>
      </c>
      <c r="C27" s="20" t="s">
        <v>2995</v>
      </c>
      <c r="D27" s="20" t="s">
        <v>22</v>
      </c>
      <c r="E27" s="21">
        <v>70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2">
        <f t="shared" si="0"/>
        <v>70</v>
      </c>
    </row>
    <row r="28" spans="1:17" ht="15.75" customHeight="1">
      <c r="A28" s="23">
        <v>26</v>
      </c>
      <c r="B28" s="24" t="s">
        <v>3447</v>
      </c>
      <c r="C28" s="24" t="s">
        <v>2995</v>
      </c>
      <c r="D28" s="24" t="s">
        <v>20</v>
      </c>
      <c r="E28" s="25">
        <v>70</v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2">
        <f t="shared" si="0"/>
        <v>70</v>
      </c>
    </row>
    <row r="29" spans="1:17" ht="15.75" customHeight="1">
      <c r="A29" s="19">
        <v>27</v>
      </c>
      <c r="B29" s="20" t="s">
        <v>3448</v>
      </c>
      <c r="C29" s="20" t="s">
        <v>84</v>
      </c>
      <c r="D29" s="20" t="s">
        <v>3449</v>
      </c>
      <c r="E29" s="21"/>
      <c r="F29" s="21"/>
      <c r="G29" s="21"/>
      <c r="H29" s="21">
        <v>50</v>
      </c>
      <c r="I29" s="21"/>
      <c r="J29" s="21"/>
      <c r="K29" s="21"/>
      <c r="L29" s="21"/>
      <c r="M29" s="21"/>
      <c r="N29" s="21"/>
      <c r="O29" s="21"/>
      <c r="P29" s="21"/>
      <c r="Q29" s="22">
        <f t="shared" si="0"/>
        <v>50</v>
      </c>
    </row>
    <row r="30" spans="1:17" ht="15.75" customHeight="1">
      <c r="A30" s="23">
        <v>28</v>
      </c>
      <c r="B30" s="24" t="s">
        <v>168</v>
      </c>
      <c r="C30" s="24" t="s">
        <v>169</v>
      </c>
      <c r="D30" s="24" t="s">
        <v>170</v>
      </c>
      <c r="E30" s="25">
        <v>7</v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2">
        <f t="shared" si="0"/>
        <v>7</v>
      </c>
    </row>
    <row r="31" spans="1:17" ht="15.75" customHeight="1">
      <c r="A31" s="19">
        <v>29</v>
      </c>
      <c r="B31" s="20" t="s">
        <v>178</v>
      </c>
      <c r="C31" s="20" t="s">
        <v>169</v>
      </c>
      <c r="D31" s="20" t="s">
        <v>57</v>
      </c>
      <c r="E31" s="21"/>
      <c r="F31" s="21">
        <v>50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2">
        <f t="shared" si="0"/>
        <v>50</v>
      </c>
    </row>
    <row r="32" spans="1:17" ht="15.75" customHeight="1">
      <c r="A32" s="23">
        <v>30</v>
      </c>
      <c r="B32" s="24" t="s">
        <v>2365</v>
      </c>
      <c r="C32" s="24" t="s">
        <v>2366</v>
      </c>
      <c r="D32" s="24" t="s">
        <v>20</v>
      </c>
      <c r="E32" s="25"/>
      <c r="F32" s="25">
        <v>10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2">
        <f t="shared" si="0"/>
        <v>10</v>
      </c>
    </row>
    <row r="33" spans="1:17" ht="15.75" customHeight="1">
      <c r="A33" s="19">
        <v>31</v>
      </c>
      <c r="B33" s="20" t="s">
        <v>187</v>
      </c>
      <c r="C33" s="20" t="s">
        <v>180</v>
      </c>
      <c r="D33" s="20" t="s">
        <v>173</v>
      </c>
      <c r="E33" s="21"/>
      <c r="F33" s="21">
        <v>3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2">
        <f t="shared" si="0"/>
        <v>3</v>
      </c>
    </row>
    <row r="34" spans="1:17" ht="15.75" customHeight="1">
      <c r="A34" s="23">
        <v>32</v>
      </c>
      <c r="B34" s="24" t="s">
        <v>188</v>
      </c>
      <c r="C34" s="24" t="s">
        <v>180</v>
      </c>
      <c r="D34" s="24" t="s">
        <v>87</v>
      </c>
      <c r="E34" s="25"/>
      <c r="F34" s="25">
        <v>7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2">
        <f t="shared" si="0"/>
        <v>7</v>
      </c>
    </row>
    <row r="35" spans="1:17" ht="15.75" customHeight="1">
      <c r="A35" s="19">
        <v>33</v>
      </c>
      <c r="B35" s="20" t="s">
        <v>2367</v>
      </c>
      <c r="C35" s="20" t="s">
        <v>180</v>
      </c>
      <c r="D35" s="20" t="s">
        <v>35</v>
      </c>
      <c r="E35" s="21"/>
      <c r="F35" s="21">
        <v>3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2">
        <f t="shared" si="0"/>
        <v>3</v>
      </c>
    </row>
    <row r="36" spans="1:17" ht="15.75" customHeight="1">
      <c r="A36" s="23">
        <v>34</v>
      </c>
      <c r="B36" s="24" t="s">
        <v>2368</v>
      </c>
      <c r="C36" s="24" t="s">
        <v>180</v>
      </c>
      <c r="D36" s="24" t="s">
        <v>50</v>
      </c>
      <c r="E36" s="25">
        <v>2</v>
      </c>
      <c r="F36" s="25">
        <v>2</v>
      </c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2">
        <f t="shared" si="0"/>
        <v>4</v>
      </c>
    </row>
    <row r="37" spans="1:17" ht="15.75" customHeight="1">
      <c r="A37" s="19">
        <v>35</v>
      </c>
      <c r="B37" s="20" t="s">
        <v>189</v>
      </c>
      <c r="C37" s="20" t="s">
        <v>180</v>
      </c>
      <c r="D37" s="20" t="s">
        <v>190</v>
      </c>
      <c r="E37" s="21"/>
      <c r="F37" s="21">
        <v>5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2">
        <f t="shared" si="0"/>
        <v>5</v>
      </c>
    </row>
    <row r="38" spans="1:17" ht="15.75" customHeight="1">
      <c r="A38" s="23">
        <v>36</v>
      </c>
      <c r="B38" s="24" t="s">
        <v>191</v>
      </c>
      <c r="C38" s="24" t="s">
        <v>180</v>
      </c>
      <c r="D38" s="24" t="s">
        <v>53</v>
      </c>
      <c r="E38" s="25"/>
      <c r="F38" s="25">
        <v>7</v>
      </c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2">
        <f t="shared" si="0"/>
        <v>7</v>
      </c>
    </row>
    <row r="39" spans="1:17" ht="15.75" customHeight="1">
      <c r="A39" s="19">
        <v>37</v>
      </c>
      <c r="B39" s="20" t="s">
        <v>218</v>
      </c>
      <c r="C39" s="20" t="s">
        <v>211</v>
      </c>
      <c r="D39" s="20" t="s">
        <v>50</v>
      </c>
      <c r="E39" s="21"/>
      <c r="F39" s="21">
        <v>2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2">
        <f t="shared" si="0"/>
        <v>2</v>
      </c>
    </row>
    <row r="40" spans="1:17" ht="15.75" customHeight="1">
      <c r="A40" s="23">
        <v>38</v>
      </c>
      <c r="B40" s="24" t="s">
        <v>3450</v>
      </c>
      <c r="C40" s="24" t="s">
        <v>203</v>
      </c>
      <c r="D40" s="24" t="s">
        <v>1515</v>
      </c>
      <c r="E40" s="25"/>
      <c r="F40" s="25">
        <v>50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2">
        <f t="shared" si="0"/>
        <v>50</v>
      </c>
    </row>
    <row r="41" spans="1:17" ht="15.75" customHeight="1">
      <c r="A41" s="19">
        <v>39</v>
      </c>
      <c r="B41" s="20" t="s">
        <v>219</v>
      </c>
      <c r="C41" s="20" t="s">
        <v>203</v>
      </c>
      <c r="D41" s="20" t="s">
        <v>20</v>
      </c>
      <c r="E41" s="21">
        <v>100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2">
        <f t="shared" si="0"/>
        <v>100</v>
      </c>
    </row>
    <row r="42" spans="1:17" ht="15.75" customHeight="1">
      <c r="A42" s="23">
        <v>40</v>
      </c>
      <c r="B42" s="24" t="s">
        <v>237</v>
      </c>
      <c r="C42" s="24" t="s">
        <v>203</v>
      </c>
      <c r="D42" s="24" t="s">
        <v>238</v>
      </c>
      <c r="E42" s="25"/>
      <c r="F42" s="25">
        <v>2</v>
      </c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2">
        <f t="shared" si="0"/>
        <v>2</v>
      </c>
    </row>
    <row r="43" spans="1:17" ht="15.75" customHeight="1">
      <c r="A43" s="19">
        <v>41</v>
      </c>
      <c r="B43" s="20" t="s">
        <v>239</v>
      </c>
      <c r="C43" s="20" t="s">
        <v>203</v>
      </c>
      <c r="D43" s="20" t="s">
        <v>240</v>
      </c>
      <c r="E43" s="21">
        <v>1000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2">
        <f t="shared" si="0"/>
        <v>1000</v>
      </c>
    </row>
    <row r="44" spans="1:17" ht="15.75" customHeight="1">
      <c r="A44" s="23">
        <v>42</v>
      </c>
      <c r="B44" s="24" t="s">
        <v>276</v>
      </c>
      <c r="C44" s="24" t="s">
        <v>271</v>
      </c>
      <c r="D44" s="24" t="s">
        <v>24</v>
      </c>
      <c r="E44" s="25"/>
      <c r="F44" s="25">
        <v>1</v>
      </c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2">
        <f t="shared" si="0"/>
        <v>1</v>
      </c>
    </row>
    <row r="45" spans="1:17" ht="15.75" customHeight="1">
      <c r="A45" s="19">
        <v>43</v>
      </c>
      <c r="B45" s="20" t="s">
        <v>307</v>
      </c>
      <c r="C45" s="20" t="s">
        <v>169</v>
      </c>
      <c r="D45" s="20" t="s">
        <v>118</v>
      </c>
      <c r="E45" s="21"/>
      <c r="F45" s="21">
        <v>50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2">
        <f t="shared" si="0"/>
        <v>50</v>
      </c>
    </row>
    <row r="46" spans="1:17" ht="15.75" customHeight="1">
      <c r="A46" s="23">
        <v>44</v>
      </c>
      <c r="B46" s="24" t="s">
        <v>3451</v>
      </c>
      <c r="C46" s="24" t="s">
        <v>2366</v>
      </c>
      <c r="D46" s="24" t="s">
        <v>32</v>
      </c>
      <c r="E46" s="25"/>
      <c r="F46" s="25">
        <v>10</v>
      </c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2">
        <f t="shared" si="0"/>
        <v>10</v>
      </c>
    </row>
    <row r="47" spans="1:17" ht="15.75" customHeight="1">
      <c r="A47" s="19">
        <v>45</v>
      </c>
      <c r="B47" s="20" t="s">
        <v>313</v>
      </c>
      <c r="C47" s="20" t="s">
        <v>169</v>
      </c>
      <c r="D47" s="20" t="s">
        <v>259</v>
      </c>
      <c r="E47" s="21">
        <v>20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2">
        <f t="shared" si="0"/>
        <v>20</v>
      </c>
    </row>
    <row r="48" spans="1:17" ht="15.75" customHeight="1">
      <c r="A48" s="23">
        <v>46</v>
      </c>
      <c r="B48" s="24" t="s">
        <v>322</v>
      </c>
      <c r="C48" s="24" t="s">
        <v>169</v>
      </c>
      <c r="D48" s="24" t="s">
        <v>42</v>
      </c>
      <c r="E48" s="25"/>
      <c r="F48" s="25"/>
      <c r="G48" s="25"/>
      <c r="H48" s="25">
        <v>90</v>
      </c>
      <c r="I48" s="25"/>
      <c r="J48" s="25"/>
      <c r="K48" s="25"/>
      <c r="L48" s="25"/>
      <c r="M48" s="25"/>
      <c r="N48" s="25"/>
      <c r="O48" s="25"/>
      <c r="P48" s="25"/>
      <c r="Q48" s="22">
        <f t="shared" si="0"/>
        <v>90</v>
      </c>
    </row>
    <row r="49" spans="1:17" ht="15.75" customHeight="1">
      <c r="A49" s="19">
        <v>47</v>
      </c>
      <c r="B49" s="20" t="s">
        <v>3005</v>
      </c>
      <c r="C49" s="20" t="s">
        <v>203</v>
      </c>
      <c r="D49" s="20" t="s">
        <v>3006</v>
      </c>
      <c r="E49" s="21"/>
      <c r="F49" s="21">
        <v>50</v>
      </c>
      <c r="G49" s="21"/>
      <c r="H49" s="21">
        <v>90</v>
      </c>
      <c r="I49" s="21"/>
      <c r="J49" s="21"/>
      <c r="K49" s="21"/>
      <c r="L49" s="21"/>
      <c r="M49" s="21"/>
      <c r="N49" s="21"/>
      <c r="O49" s="21"/>
      <c r="P49" s="21"/>
      <c r="Q49" s="22">
        <f t="shared" si="0"/>
        <v>140</v>
      </c>
    </row>
    <row r="50" spans="1:17" ht="15.75" customHeight="1">
      <c r="A50" s="23">
        <v>48</v>
      </c>
      <c r="B50" s="24" t="s">
        <v>387</v>
      </c>
      <c r="C50" s="24" t="s">
        <v>169</v>
      </c>
      <c r="D50" s="24" t="s">
        <v>240</v>
      </c>
      <c r="E50" s="25">
        <v>10</v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2">
        <f t="shared" si="0"/>
        <v>10</v>
      </c>
    </row>
    <row r="51" spans="1:17" ht="15.75" customHeight="1">
      <c r="A51" s="19">
        <v>49</v>
      </c>
      <c r="B51" s="20" t="s">
        <v>398</v>
      </c>
      <c r="C51" s="20" t="s">
        <v>169</v>
      </c>
      <c r="D51" s="20" t="s">
        <v>24</v>
      </c>
      <c r="E51" s="21">
        <v>20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2">
        <f t="shared" si="0"/>
        <v>20</v>
      </c>
    </row>
    <row r="52" spans="1:17" ht="15.75" customHeight="1">
      <c r="A52" s="23">
        <v>50</v>
      </c>
      <c r="B52" s="24" t="s">
        <v>482</v>
      </c>
      <c r="C52" s="24" t="s">
        <v>483</v>
      </c>
      <c r="D52" s="24"/>
      <c r="E52" s="25">
        <v>26</v>
      </c>
      <c r="F52" s="25"/>
      <c r="G52" s="25"/>
      <c r="H52" s="25">
        <v>6</v>
      </c>
      <c r="I52" s="25"/>
      <c r="J52" s="25"/>
      <c r="K52" s="25"/>
      <c r="L52" s="25"/>
      <c r="M52" s="25"/>
      <c r="N52" s="25"/>
      <c r="O52" s="25"/>
      <c r="P52" s="25"/>
      <c r="Q52" s="22">
        <f t="shared" si="0"/>
        <v>32</v>
      </c>
    </row>
    <row r="53" spans="1:17" ht="15.75" customHeight="1">
      <c r="A53" s="19">
        <v>51</v>
      </c>
      <c r="B53" s="20" t="s">
        <v>484</v>
      </c>
      <c r="C53" s="20" t="s">
        <v>485</v>
      </c>
      <c r="D53" s="20"/>
      <c r="E53" s="21">
        <v>116</v>
      </c>
      <c r="F53" s="21">
        <v>18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2">
        <f t="shared" si="0"/>
        <v>134</v>
      </c>
    </row>
    <row r="54" spans="1:17" ht="15.75" customHeight="1">
      <c r="A54" s="23">
        <v>52</v>
      </c>
      <c r="B54" s="24" t="s">
        <v>486</v>
      </c>
      <c r="C54" s="24" t="s">
        <v>487</v>
      </c>
      <c r="D54" s="24" t="s">
        <v>22</v>
      </c>
      <c r="E54" s="25">
        <v>6</v>
      </c>
      <c r="F54" s="25">
        <v>20</v>
      </c>
      <c r="G54" s="25"/>
      <c r="H54" s="25">
        <v>4</v>
      </c>
      <c r="I54" s="25"/>
      <c r="J54" s="25"/>
      <c r="K54" s="25"/>
      <c r="L54" s="25"/>
      <c r="M54" s="25"/>
      <c r="N54" s="25"/>
      <c r="O54" s="25"/>
      <c r="P54" s="25"/>
      <c r="Q54" s="22">
        <f t="shared" si="0"/>
        <v>30</v>
      </c>
    </row>
    <row r="55" spans="1:17" ht="15.75" customHeight="1">
      <c r="A55" s="19">
        <v>53</v>
      </c>
      <c r="B55" s="20" t="s">
        <v>488</v>
      </c>
      <c r="C55" s="20" t="s">
        <v>489</v>
      </c>
      <c r="D55" s="20"/>
      <c r="E55" s="21"/>
      <c r="F55" s="21">
        <v>40</v>
      </c>
      <c r="G55" s="21"/>
      <c r="H55" s="21">
        <v>2</v>
      </c>
      <c r="I55" s="21"/>
      <c r="J55" s="21"/>
      <c r="K55" s="21"/>
      <c r="L55" s="21"/>
      <c r="M55" s="21"/>
      <c r="N55" s="21"/>
      <c r="O55" s="21"/>
      <c r="P55" s="21"/>
      <c r="Q55" s="22">
        <f t="shared" si="0"/>
        <v>42</v>
      </c>
    </row>
    <row r="56" spans="1:17" ht="15.75" customHeight="1">
      <c r="A56" s="23">
        <v>54</v>
      </c>
      <c r="B56" s="24" t="s">
        <v>490</v>
      </c>
      <c r="C56" s="24" t="s">
        <v>491</v>
      </c>
      <c r="D56" s="24"/>
      <c r="E56" s="25"/>
      <c r="F56" s="25"/>
      <c r="G56" s="25"/>
      <c r="H56" s="25">
        <v>6</v>
      </c>
      <c r="I56" s="25"/>
      <c r="J56" s="25"/>
      <c r="K56" s="25"/>
      <c r="L56" s="25"/>
      <c r="M56" s="25"/>
      <c r="N56" s="25"/>
      <c r="O56" s="25"/>
      <c r="P56" s="25"/>
      <c r="Q56" s="22">
        <f t="shared" si="0"/>
        <v>6</v>
      </c>
    </row>
    <row r="57" spans="1:17" ht="15.75" customHeight="1">
      <c r="A57" s="19">
        <v>55</v>
      </c>
      <c r="B57" s="20" t="s">
        <v>492</v>
      </c>
      <c r="C57" s="20" t="s">
        <v>493</v>
      </c>
      <c r="D57" s="20"/>
      <c r="E57" s="21"/>
      <c r="F57" s="21"/>
      <c r="G57" s="21"/>
      <c r="H57" s="21">
        <v>2</v>
      </c>
      <c r="I57" s="21"/>
      <c r="J57" s="21"/>
      <c r="K57" s="21"/>
      <c r="L57" s="21"/>
      <c r="M57" s="21"/>
      <c r="N57" s="21"/>
      <c r="O57" s="21"/>
      <c r="P57" s="21"/>
      <c r="Q57" s="22">
        <f t="shared" si="0"/>
        <v>2</v>
      </c>
    </row>
    <row r="58" spans="1:17" ht="15.75" customHeight="1">
      <c r="A58" s="23">
        <v>56</v>
      </c>
      <c r="B58" s="24" t="s">
        <v>494</v>
      </c>
      <c r="C58" s="24" t="s">
        <v>495</v>
      </c>
      <c r="D58" s="24"/>
      <c r="E58" s="25"/>
      <c r="F58" s="25"/>
      <c r="G58" s="25"/>
      <c r="H58" s="25">
        <v>10</v>
      </c>
      <c r="I58" s="25"/>
      <c r="J58" s="25"/>
      <c r="K58" s="25"/>
      <c r="L58" s="25"/>
      <c r="M58" s="25"/>
      <c r="N58" s="25"/>
      <c r="O58" s="25"/>
      <c r="P58" s="25"/>
      <c r="Q58" s="22">
        <f t="shared" si="0"/>
        <v>10</v>
      </c>
    </row>
    <row r="59" spans="1:17" ht="15.75" customHeight="1">
      <c r="A59" s="19">
        <v>57</v>
      </c>
      <c r="B59" s="20" t="s">
        <v>496</v>
      </c>
      <c r="C59" s="20" t="s">
        <v>497</v>
      </c>
      <c r="D59" s="20"/>
      <c r="E59" s="21"/>
      <c r="F59" s="21"/>
      <c r="G59" s="21">
        <v>10</v>
      </c>
      <c r="H59" s="21">
        <v>16</v>
      </c>
      <c r="I59" s="21"/>
      <c r="J59" s="21"/>
      <c r="K59" s="21"/>
      <c r="L59" s="21"/>
      <c r="M59" s="21"/>
      <c r="N59" s="21"/>
      <c r="O59" s="21"/>
      <c r="P59" s="21"/>
      <c r="Q59" s="22">
        <f t="shared" si="0"/>
        <v>26</v>
      </c>
    </row>
    <row r="60" spans="1:17" ht="15.75" customHeight="1">
      <c r="A60" s="23">
        <v>58</v>
      </c>
      <c r="B60" s="24" t="s">
        <v>506</v>
      </c>
      <c r="C60" s="24" t="s">
        <v>507</v>
      </c>
      <c r="D60" s="24" t="s">
        <v>508</v>
      </c>
      <c r="E60" s="25">
        <v>70</v>
      </c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2">
        <f t="shared" si="0"/>
        <v>70</v>
      </c>
    </row>
    <row r="61" spans="1:17" ht="15.75" customHeight="1">
      <c r="A61" s="19">
        <v>59</v>
      </c>
      <c r="B61" s="20" t="s">
        <v>557</v>
      </c>
      <c r="C61" s="20" t="s">
        <v>558</v>
      </c>
      <c r="D61" s="20" t="s">
        <v>559</v>
      </c>
      <c r="E61" s="21">
        <v>30</v>
      </c>
      <c r="F61" s="21">
        <v>92</v>
      </c>
      <c r="G61" s="21">
        <v>41</v>
      </c>
      <c r="H61" s="21">
        <v>86</v>
      </c>
      <c r="I61" s="21"/>
      <c r="J61" s="21"/>
      <c r="K61" s="21"/>
      <c r="L61" s="21"/>
      <c r="M61" s="21"/>
      <c r="N61" s="21"/>
      <c r="O61" s="21"/>
      <c r="P61" s="21"/>
      <c r="Q61" s="22">
        <f t="shared" si="0"/>
        <v>249</v>
      </c>
    </row>
    <row r="62" spans="1:17" ht="15.75" customHeight="1">
      <c r="A62" s="23">
        <v>60</v>
      </c>
      <c r="B62" s="24" t="s">
        <v>3452</v>
      </c>
      <c r="C62" s="24" t="s">
        <v>558</v>
      </c>
      <c r="D62" s="24" t="s">
        <v>3453</v>
      </c>
      <c r="E62" s="25"/>
      <c r="F62" s="25"/>
      <c r="G62" s="25"/>
      <c r="H62" s="25">
        <v>30</v>
      </c>
      <c r="I62" s="25"/>
      <c r="J62" s="25"/>
      <c r="K62" s="25"/>
      <c r="L62" s="25"/>
      <c r="M62" s="25"/>
      <c r="N62" s="25"/>
      <c r="O62" s="25"/>
      <c r="P62" s="25"/>
      <c r="Q62" s="22">
        <f t="shared" si="0"/>
        <v>30</v>
      </c>
    </row>
    <row r="63" spans="1:17" ht="15.75" customHeight="1">
      <c r="A63" s="19">
        <v>61</v>
      </c>
      <c r="B63" s="20" t="s">
        <v>567</v>
      </c>
      <c r="C63" s="20" t="s">
        <v>568</v>
      </c>
      <c r="D63" s="20" t="s">
        <v>569</v>
      </c>
      <c r="E63" s="21"/>
      <c r="F63" s="21">
        <v>89</v>
      </c>
      <c r="G63" s="21">
        <v>40</v>
      </c>
      <c r="H63" s="21">
        <v>120</v>
      </c>
      <c r="I63" s="21"/>
      <c r="J63" s="21"/>
      <c r="K63" s="21"/>
      <c r="L63" s="21"/>
      <c r="M63" s="21"/>
      <c r="N63" s="21"/>
      <c r="O63" s="21"/>
      <c r="P63" s="21"/>
      <c r="Q63" s="22">
        <f t="shared" si="0"/>
        <v>249</v>
      </c>
    </row>
    <row r="64" spans="1:17" ht="15.75" customHeight="1">
      <c r="A64" s="23">
        <v>62</v>
      </c>
      <c r="B64" s="24" t="s">
        <v>3025</v>
      </c>
      <c r="C64" s="24" t="s">
        <v>568</v>
      </c>
      <c r="D64" s="24" t="s">
        <v>569</v>
      </c>
      <c r="E64" s="25"/>
      <c r="F64" s="25"/>
      <c r="G64" s="25"/>
      <c r="H64" s="25">
        <v>30</v>
      </c>
      <c r="I64" s="25"/>
      <c r="J64" s="25"/>
      <c r="K64" s="25"/>
      <c r="L64" s="25"/>
      <c r="M64" s="25"/>
      <c r="N64" s="25"/>
      <c r="O64" s="25"/>
      <c r="P64" s="25"/>
      <c r="Q64" s="22">
        <f t="shared" si="0"/>
        <v>30</v>
      </c>
    </row>
    <row r="65" spans="1:17" ht="15.75" customHeight="1">
      <c r="A65" s="19">
        <v>63</v>
      </c>
      <c r="B65" s="20" t="s">
        <v>573</v>
      </c>
      <c r="C65" s="20" t="s">
        <v>574</v>
      </c>
      <c r="D65" s="20" t="s">
        <v>575</v>
      </c>
      <c r="E65" s="21">
        <v>4</v>
      </c>
      <c r="F65" s="21">
        <v>300</v>
      </c>
      <c r="G65" s="21">
        <v>36</v>
      </c>
      <c r="H65" s="21"/>
      <c r="I65" s="21"/>
      <c r="J65" s="21"/>
      <c r="K65" s="21"/>
      <c r="L65" s="21"/>
      <c r="M65" s="21"/>
      <c r="N65" s="21"/>
      <c r="O65" s="21"/>
      <c r="P65" s="21"/>
      <c r="Q65" s="22">
        <f t="shared" si="0"/>
        <v>340</v>
      </c>
    </row>
    <row r="66" spans="1:17" ht="15.75" customHeight="1">
      <c r="A66" s="23">
        <v>64</v>
      </c>
      <c r="B66" s="24" t="s">
        <v>576</v>
      </c>
      <c r="C66" s="24" t="s">
        <v>354</v>
      </c>
      <c r="D66" s="24" t="s">
        <v>577</v>
      </c>
      <c r="E66" s="25">
        <v>30</v>
      </c>
      <c r="F66" s="25">
        <v>30</v>
      </c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2">
        <f t="shared" si="0"/>
        <v>60</v>
      </c>
    </row>
    <row r="67" spans="1:17" ht="15.75" customHeight="1">
      <c r="A67" s="19">
        <v>65</v>
      </c>
      <c r="B67" s="20" t="s">
        <v>581</v>
      </c>
      <c r="C67" s="20" t="s">
        <v>582</v>
      </c>
      <c r="D67" s="20" t="s">
        <v>583</v>
      </c>
      <c r="E67" s="21">
        <v>30</v>
      </c>
      <c r="F67" s="21">
        <v>42</v>
      </c>
      <c r="G67" s="21"/>
      <c r="H67" s="21">
        <v>10</v>
      </c>
      <c r="I67" s="21"/>
      <c r="J67" s="21"/>
      <c r="K67" s="21"/>
      <c r="L67" s="21"/>
      <c r="M67" s="21"/>
      <c r="N67" s="21"/>
      <c r="O67" s="21"/>
      <c r="P67" s="21"/>
      <c r="Q67" s="22">
        <f t="shared" ref="Q67:Q130" si="1">SUM(E67:P67)</f>
        <v>82</v>
      </c>
    </row>
    <row r="68" spans="1:17" ht="15.75" customHeight="1">
      <c r="A68" s="23">
        <v>66</v>
      </c>
      <c r="B68" s="24" t="s">
        <v>587</v>
      </c>
      <c r="C68" s="24" t="s">
        <v>588</v>
      </c>
      <c r="D68" s="24" t="s">
        <v>589</v>
      </c>
      <c r="E68" s="25"/>
      <c r="F68" s="25"/>
      <c r="G68" s="25">
        <v>60</v>
      </c>
      <c r="H68" s="25"/>
      <c r="I68" s="25"/>
      <c r="J68" s="25"/>
      <c r="K68" s="25"/>
      <c r="L68" s="25"/>
      <c r="M68" s="25"/>
      <c r="N68" s="25"/>
      <c r="O68" s="25"/>
      <c r="P68" s="25"/>
      <c r="Q68" s="22">
        <f t="shared" si="1"/>
        <v>60</v>
      </c>
    </row>
    <row r="69" spans="1:17" ht="15.75" customHeight="1">
      <c r="A69" s="19">
        <v>67</v>
      </c>
      <c r="B69" s="20" t="s">
        <v>590</v>
      </c>
      <c r="C69" s="20" t="s">
        <v>591</v>
      </c>
      <c r="D69" s="20" t="s">
        <v>592</v>
      </c>
      <c r="E69" s="21"/>
      <c r="F69" s="21"/>
      <c r="G69" s="21"/>
      <c r="H69" s="21">
        <v>9</v>
      </c>
      <c r="I69" s="21"/>
      <c r="J69" s="21"/>
      <c r="K69" s="21"/>
      <c r="L69" s="21"/>
      <c r="M69" s="21"/>
      <c r="N69" s="21"/>
      <c r="O69" s="21"/>
      <c r="P69" s="21"/>
      <c r="Q69" s="22">
        <f t="shared" si="1"/>
        <v>9</v>
      </c>
    </row>
    <row r="70" spans="1:17" ht="15.75" customHeight="1">
      <c r="A70" s="23">
        <v>68</v>
      </c>
      <c r="B70" s="24" t="s">
        <v>596</v>
      </c>
      <c r="C70" s="24" t="s">
        <v>597</v>
      </c>
      <c r="D70" s="24" t="s">
        <v>598</v>
      </c>
      <c r="E70" s="25"/>
      <c r="F70" s="25"/>
      <c r="G70" s="25"/>
      <c r="H70" s="25">
        <v>5</v>
      </c>
      <c r="I70" s="25"/>
      <c r="J70" s="25"/>
      <c r="K70" s="25"/>
      <c r="L70" s="25"/>
      <c r="M70" s="25"/>
      <c r="N70" s="25"/>
      <c r="O70" s="25"/>
      <c r="P70" s="25"/>
      <c r="Q70" s="22">
        <f t="shared" si="1"/>
        <v>5</v>
      </c>
    </row>
    <row r="71" spans="1:17" ht="15.75" customHeight="1">
      <c r="A71" s="19">
        <v>69</v>
      </c>
      <c r="B71" s="20" t="s">
        <v>599</v>
      </c>
      <c r="C71" s="20" t="s">
        <v>600</v>
      </c>
      <c r="D71" s="20" t="s">
        <v>601</v>
      </c>
      <c r="E71" s="21"/>
      <c r="F71" s="21">
        <v>302</v>
      </c>
      <c r="G71" s="21">
        <v>16</v>
      </c>
      <c r="H71" s="21">
        <v>6</v>
      </c>
      <c r="I71" s="21"/>
      <c r="J71" s="21"/>
      <c r="K71" s="21"/>
      <c r="L71" s="21"/>
      <c r="M71" s="21"/>
      <c r="N71" s="21"/>
      <c r="O71" s="21"/>
      <c r="P71" s="21"/>
      <c r="Q71" s="22">
        <f t="shared" si="1"/>
        <v>324</v>
      </c>
    </row>
    <row r="72" spans="1:17" ht="15.75" customHeight="1">
      <c r="A72" s="23">
        <v>70</v>
      </c>
      <c r="B72" s="24" t="s">
        <v>619</v>
      </c>
      <c r="C72" s="24" t="s">
        <v>620</v>
      </c>
      <c r="D72" s="24" t="s">
        <v>621</v>
      </c>
      <c r="E72" s="25">
        <v>20</v>
      </c>
      <c r="F72" s="25">
        <v>304</v>
      </c>
      <c r="G72" s="25">
        <v>25</v>
      </c>
      <c r="H72" s="25"/>
      <c r="I72" s="25"/>
      <c r="J72" s="25"/>
      <c r="K72" s="25"/>
      <c r="L72" s="25"/>
      <c r="M72" s="25"/>
      <c r="N72" s="25"/>
      <c r="O72" s="25"/>
      <c r="P72" s="25"/>
      <c r="Q72" s="22">
        <f t="shared" si="1"/>
        <v>349</v>
      </c>
    </row>
    <row r="73" spans="1:17" ht="15.75" customHeight="1">
      <c r="A73" s="19">
        <v>71</v>
      </c>
      <c r="B73" s="20" t="s">
        <v>2474</v>
      </c>
      <c r="C73" s="20" t="s">
        <v>2475</v>
      </c>
      <c r="D73" s="20"/>
      <c r="E73" s="21"/>
      <c r="F73" s="21">
        <v>10</v>
      </c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2">
        <f t="shared" si="1"/>
        <v>10</v>
      </c>
    </row>
    <row r="74" spans="1:17" ht="15.75" customHeight="1">
      <c r="A74" s="23">
        <v>72</v>
      </c>
      <c r="B74" s="24" t="s">
        <v>663</v>
      </c>
      <c r="C74" s="24" t="s">
        <v>367</v>
      </c>
      <c r="D74" s="24" t="s">
        <v>664</v>
      </c>
      <c r="E74" s="25">
        <v>350</v>
      </c>
      <c r="F74" s="25">
        <v>342</v>
      </c>
      <c r="G74" s="25">
        <v>9</v>
      </c>
      <c r="H74" s="25">
        <v>50</v>
      </c>
      <c r="I74" s="25"/>
      <c r="J74" s="25"/>
      <c r="K74" s="25"/>
      <c r="L74" s="25"/>
      <c r="M74" s="25"/>
      <c r="N74" s="25"/>
      <c r="O74" s="25"/>
      <c r="P74" s="25"/>
      <c r="Q74" s="22">
        <f t="shared" si="1"/>
        <v>751</v>
      </c>
    </row>
    <row r="75" spans="1:17" ht="15.75" customHeight="1">
      <c r="A75" s="19">
        <v>73</v>
      </c>
      <c r="B75" s="20" t="s">
        <v>665</v>
      </c>
      <c r="C75" s="20" t="s">
        <v>666</v>
      </c>
      <c r="D75" s="20" t="s">
        <v>667</v>
      </c>
      <c r="E75" s="21">
        <v>156</v>
      </c>
      <c r="F75" s="21">
        <v>8</v>
      </c>
      <c r="G75" s="21">
        <v>321</v>
      </c>
      <c r="H75" s="21">
        <v>310</v>
      </c>
      <c r="I75" s="21"/>
      <c r="J75" s="21"/>
      <c r="K75" s="21"/>
      <c r="L75" s="21"/>
      <c r="M75" s="21"/>
      <c r="N75" s="21"/>
      <c r="O75" s="21"/>
      <c r="P75" s="21"/>
      <c r="Q75" s="22">
        <f t="shared" si="1"/>
        <v>795</v>
      </c>
    </row>
    <row r="76" spans="1:17" ht="15.75" customHeight="1">
      <c r="A76" s="23">
        <v>74</v>
      </c>
      <c r="B76" s="24" t="s">
        <v>3454</v>
      </c>
      <c r="C76" s="24" t="s">
        <v>666</v>
      </c>
      <c r="D76" s="24" t="s">
        <v>3145</v>
      </c>
      <c r="E76" s="25"/>
      <c r="F76" s="25"/>
      <c r="G76" s="25"/>
      <c r="H76" s="25">
        <v>100</v>
      </c>
      <c r="I76" s="25"/>
      <c r="J76" s="25"/>
      <c r="K76" s="25"/>
      <c r="L76" s="25"/>
      <c r="M76" s="25"/>
      <c r="N76" s="25"/>
      <c r="O76" s="25"/>
      <c r="P76" s="25"/>
      <c r="Q76" s="22">
        <f t="shared" si="1"/>
        <v>100</v>
      </c>
    </row>
    <row r="77" spans="1:17" ht="15.75" customHeight="1">
      <c r="A77" s="19">
        <v>75</v>
      </c>
      <c r="B77" s="20" t="s">
        <v>675</v>
      </c>
      <c r="C77" s="20" t="s">
        <v>370</v>
      </c>
      <c r="D77" s="20" t="s">
        <v>676</v>
      </c>
      <c r="E77" s="21">
        <v>104</v>
      </c>
      <c r="F77" s="21">
        <v>190</v>
      </c>
      <c r="G77" s="21">
        <v>60</v>
      </c>
      <c r="H77" s="21">
        <v>30</v>
      </c>
      <c r="I77" s="21"/>
      <c r="J77" s="21"/>
      <c r="K77" s="21"/>
      <c r="L77" s="21"/>
      <c r="M77" s="21"/>
      <c r="N77" s="21"/>
      <c r="O77" s="21"/>
      <c r="P77" s="21"/>
      <c r="Q77" s="22">
        <f t="shared" si="1"/>
        <v>384</v>
      </c>
    </row>
    <row r="78" spans="1:17" ht="15.75" customHeight="1">
      <c r="A78" s="23">
        <v>76</v>
      </c>
      <c r="B78" s="24" t="s">
        <v>677</v>
      </c>
      <c r="C78" s="24" t="s">
        <v>678</v>
      </c>
      <c r="D78" s="24" t="s">
        <v>679</v>
      </c>
      <c r="E78" s="25"/>
      <c r="F78" s="25">
        <v>14</v>
      </c>
      <c r="G78" s="25">
        <v>222</v>
      </c>
      <c r="H78" s="25">
        <v>148</v>
      </c>
      <c r="I78" s="25"/>
      <c r="J78" s="25"/>
      <c r="K78" s="25"/>
      <c r="L78" s="25"/>
      <c r="M78" s="25"/>
      <c r="N78" s="25"/>
      <c r="O78" s="25"/>
      <c r="P78" s="25"/>
      <c r="Q78" s="22">
        <f t="shared" si="1"/>
        <v>384</v>
      </c>
    </row>
    <row r="79" spans="1:17" ht="15.75" customHeight="1">
      <c r="A79" s="19">
        <v>77</v>
      </c>
      <c r="B79" s="20" t="s">
        <v>680</v>
      </c>
      <c r="C79" s="20" t="s">
        <v>681</v>
      </c>
      <c r="D79" s="20" t="s">
        <v>682</v>
      </c>
      <c r="E79" s="21">
        <v>154</v>
      </c>
      <c r="F79" s="21">
        <v>500</v>
      </c>
      <c r="G79" s="21">
        <v>12</v>
      </c>
      <c r="H79" s="21">
        <v>5</v>
      </c>
      <c r="I79" s="21"/>
      <c r="J79" s="21"/>
      <c r="K79" s="21"/>
      <c r="L79" s="21"/>
      <c r="M79" s="21"/>
      <c r="N79" s="21"/>
      <c r="O79" s="21"/>
      <c r="P79" s="21"/>
      <c r="Q79" s="22">
        <f t="shared" si="1"/>
        <v>671</v>
      </c>
    </row>
    <row r="80" spans="1:17" ht="15.75" customHeight="1">
      <c r="A80" s="23">
        <v>78</v>
      </c>
      <c r="B80" s="24" t="s">
        <v>683</v>
      </c>
      <c r="C80" s="24" t="s">
        <v>684</v>
      </c>
      <c r="D80" s="24" t="s">
        <v>685</v>
      </c>
      <c r="E80" s="25">
        <v>380</v>
      </c>
      <c r="F80" s="25">
        <v>42</v>
      </c>
      <c r="G80" s="25">
        <v>322</v>
      </c>
      <c r="H80" s="25">
        <v>434</v>
      </c>
      <c r="I80" s="25"/>
      <c r="J80" s="25"/>
      <c r="K80" s="25"/>
      <c r="L80" s="25"/>
      <c r="M80" s="25"/>
      <c r="N80" s="25"/>
      <c r="O80" s="25"/>
      <c r="P80" s="25"/>
      <c r="Q80" s="22">
        <f t="shared" si="1"/>
        <v>1178</v>
      </c>
    </row>
    <row r="81" spans="1:17" ht="15.75" customHeight="1">
      <c r="A81" s="19">
        <v>79</v>
      </c>
      <c r="B81" s="20" t="s">
        <v>689</v>
      </c>
      <c r="C81" s="20" t="s">
        <v>351</v>
      </c>
      <c r="D81" s="20" t="s">
        <v>690</v>
      </c>
      <c r="E81" s="21">
        <v>50</v>
      </c>
      <c r="F81" s="21">
        <v>453</v>
      </c>
      <c r="G81" s="21">
        <v>92</v>
      </c>
      <c r="H81" s="21">
        <v>60</v>
      </c>
      <c r="I81" s="21"/>
      <c r="J81" s="21"/>
      <c r="K81" s="21"/>
      <c r="L81" s="21"/>
      <c r="M81" s="21"/>
      <c r="N81" s="21"/>
      <c r="O81" s="21"/>
      <c r="P81" s="21"/>
      <c r="Q81" s="22">
        <f t="shared" si="1"/>
        <v>655</v>
      </c>
    </row>
    <row r="82" spans="1:17" ht="15.75" customHeight="1">
      <c r="A82" s="23">
        <v>80</v>
      </c>
      <c r="B82" s="24" t="s">
        <v>691</v>
      </c>
      <c r="C82" s="24" t="s">
        <v>692</v>
      </c>
      <c r="D82" s="24" t="s">
        <v>693</v>
      </c>
      <c r="E82" s="25">
        <v>59</v>
      </c>
      <c r="F82" s="25"/>
      <c r="G82" s="25">
        <v>140</v>
      </c>
      <c r="H82" s="25">
        <v>120</v>
      </c>
      <c r="I82" s="25"/>
      <c r="J82" s="25"/>
      <c r="K82" s="25"/>
      <c r="L82" s="25"/>
      <c r="M82" s="25"/>
      <c r="N82" s="25"/>
      <c r="O82" s="25"/>
      <c r="P82" s="25"/>
      <c r="Q82" s="22">
        <f t="shared" si="1"/>
        <v>319</v>
      </c>
    </row>
    <row r="83" spans="1:17" ht="15.75" customHeight="1">
      <c r="A83" s="19">
        <v>81</v>
      </c>
      <c r="B83" s="20" t="s">
        <v>694</v>
      </c>
      <c r="C83" s="20" t="s">
        <v>357</v>
      </c>
      <c r="D83" s="20" t="s">
        <v>695</v>
      </c>
      <c r="E83" s="21"/>
      <c r="F83" s="21">
        <v>300</v>
      </c>
      <c r="G83" s="21">
        <v>2</v>
      </c>
      <c r="H83" s="21"/>
      <c r="I83" s="21"/>
      <c r="J83" s="21"/>
      <c r="K83" s="21"/>
      <c r="L83" s="21"/>
      <c r="M83" s="21"/>
      <c r="N83" s="21"/>
      <c r="O83" s="21"/>
      <c r="P83" s="21"/>
      <c r="Q83" s="22">
        <f t="shared" si="1"/>
        <v>302</v>
      </c>
    </row>
    <row r="84" spans="1:17" ht="15.75" customHeight="1">
      <c r="A84" s="23">
        <v>82</v>
      </c>
      <c r="B84" s="24" t="s">
        <v>696</v>
      </c>
      <c r="C84" s="24" t="s">
        <v>697</v>
      </c>
      <c r="D84" s="24" t="s">
        <v>698</v>
      </c>
      <c r="E84" s="25"/>
      <c r="F84" s="25">
        <v>28</v>
      </c>
      <c r="G84" s="25">
        <v>100</v>
      </c>
      <c r="H84" s="25"/>
      <c r="I84" s="25"/>
      <c r="J84" s="25"/>
      <c r="K84" s="25"/>
      <c r="L84" s="25"/>
      <c r="M84" s="25"/>
      <c r="N84" s="25"/>
      <c r="O84" s="25"/>
      <c r="P84" s="25"/>
      <c r="Q84" s="22">
        <f t="shared" si="1"/>
        <v>128</v>
      </c>
    </row>
    <row r="85" spans="1:17" ht="15.75" customHeight="1">
      <c r="A85" s="19">
        <v>83</v>
      </c>
      <c r="B85" s="20" t="s">
        <v>699</v>
      </c>
      <c r="C85" s="20" t="s">
        <v>700</v>
      </c>
      <c r="D85" s="20" t="s">
        <v>701</v>
      </c>
      <c r="E85" s="21">
        <v>398</v>
      </c>
      <c r="F85" s="21">
        <v>210</v>
      </c>
      <c r="G85" s="21">
        <v>127</v>
      </c>
      <c r="H85" s="21">
        <v>40</v>
      </c>
      <c r="I85" s="21"/>
      <c r="J85" s="21"/>
      <c r="K85" s="21"/>
      <c r="L85" s="21"/>
      <c r="M85" s="21"/>
      <c r="N85" s="21"/>
      <c r="O85" s="21"/>
      <c r="P85" s="21"/>
      <c r="Q85" s="22">
        <f t="shared" si="1"/>
        <v>775</v>
      </c>
    </row>
    <row r="86" spans="1:17" ht="15.75" customHeight="1">
      <c r="A86" s="23">
        <v>84</v>
      </c>
      <c r="B86" s="24" t="s">
        <v>702</v>
      </c>
      <c r="C86" s="24" t="s">
        <v>703</v>
      </c>
      <c r="D86" s="24" t="s">
        <v>704</v>
      </c>
      <c r="E86" s="25">
        <v>10</v>
      </c>
      <c r="F86" s="25"/>
      <c r="G86" s="25">
        <v>10</v>
      </c>
      <c r="H86" s="25"/>
      <c r="I86" s="25"/>
      <c r="J86" s="25"/>
      <c r="K86" s="25"/>
      <c r="L86" s="25"/>
      <c r="M86" s="25"/>
      <c r="N86" s="25"/>
      <c r="O86" s="25"/>
      <c r="P86" s="25"/>
      <c r="Q86" s="22">
        <f t="shared" si="1"/>
        <v>20</v>
      </c>
    </row>
    <row r="87" spans="1:17" ht="15.75" customHeight="1">
      <c r="A87" s="19">
        <v>85</v>
      </c>
      <c r="B87" s="20" t="s">
        <v>705</v>
      </c>
      <c r="C87" s="20" t="s">
        <v>480</v>
      </c>
      <c r="D87" s="20" t="s">
        <v>706</v>
      </c>
      <c r="E87" s="21">
        <v>2</v>
      </c>
      <c r="F87" s="21">
        <v>246</v>
      </c>
      <c r="G87" s="21">
        <v>60</v>
      </c>
      <c r="H87" s="21">
        <v>28</v>
      </c>
      <c r="I87" s="21"/>
      <c r="J87" s="21"/>
      <c r="K87" s="21"/>
      <c r="L87" s="21"/>
      <c r="M87" s="21"/>
      <c r="N87" s="21"/>
      <c r="O87" s="21"/>
      <c r="P87" s="21"/>
      <c r="Q87" s="22">
        <f t="shared" si="1"/>
        <v>336</v>
      </c>
    </row>
    <row r="88" spans="1:17" ht="15.75" customHeight="1">
      <c r="A88" s="23">
        <v>86</v>
      </c>
      <c r="B88" s="24" t="s">
        <v>707</v>
      </c>
      <c r="C88" s="24" t="s">
        <v>708</v>
      </c>
      <c r="D88" s="24" t="s">
        <v>709</v>
      </c>
      <c r="E88" s="25">
        <v>60</v>
      </c>
      <c r="F88" s="25"/>
      <c r="G88" s="25">
        <v>50</v>
      </c>
      <c r="H88" s="25"/>
      <c r="I88" s="25"/>
      <c r="J88" s="25"/>
      <c r="K88" s="25"/>
      <c r="L88" s="25"/>
      <c r="M88" s="25"/>
      <c r="N88" s="25"/>
      <c r="O88" s="25"/>
      <c r="P88" s="25"/>
      <c r="Q88" s="22">
        <f t="shared" si="1"/>
        <v>110</v>
      </c>
    </row>
    <row r="89" spans="1:17" ht="15.75" customHeight="1">
      <c r="A89" s="19">
        <v>87</v>
      </c>
      <c r="B89" s="20" t="s">
        <v>710</v>
      </c>
      <c r="C89" s="20" t="s">
        <v>711</v>
      </c>
      <c r="D89" s="20" t="s">
        <v>712</v>
      </c>
      <c r="E89" s="21"/>
      <c r="F89" s="21">
        <v>200</v>
      </c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2">
        <f t="shared" si="1"/>
        <v>200</v>
      </c>
    </row>
    <row r="90" spans="1:17" ht="15.75" customHeight="1">
      <c r="A90" s="23">
        <v>88</v>
      </c>
      <c r="B90" s="24" t="s">
        <v>719</v>
      </c>
      <c r="C90" s="24" t="s">
        <v>720</v>
      </c>
      <c r="D90" s="24" t="s">
        <v>721</v>
      </c>
      <c r="E90" s="25">
        <v>3</v>
      </c>
      <c r="F90" s="25">
        <v>42</v>
      </c>
      <c r="G90" s="25">
        <v>173</v>
      </c>
      <c r="H90" s="25">
        <v>4</v>
      </c>
      <c r="I90" s="25"/>
      <c r="J90" s="25"/>
      <c r="K90" s="25"/>
      <c r="L90" s="25"/>
      <c r="M90" s="25"/>
      <c r="N90" s="25"/>
      <c r="O90" s="25"/>
      <c r="P90" s="25"/>
      <c r="Q90" s="22">
        <f t="shared" si="1"/>
        <v>222</v>
      </c>
    </row>
    <row r="91" spans="1:17" ht="15.75" customHeight="1">
      <c r="A91" s="19">
        <v>89</v>
      </c>
      <c r="B91" s="20" t="s">
        <v>722</v>
      </c>
      <c r="C91" s="20" t="s">
        <v>723</v>
      </c>
      <c r="D91" s="20" t="s">
        <v>724</v>
      </c>
      <c r="E91" s="21">
        <v>19</v>
      </c>
      <c r="F91" s="21"/>
      <c r="G91" s="21">
        <v>3</v>
      </c>
      <c r="H91" s="21">
        <v>350</v>
      </c>
      <c r="I91" s="21"/>
      <c r="J91" s="21"/>
      <c r="K91" s="21"/>
      <c r="L91" s="21"/>
      <c r="M91" s="21"/>
      <c r="N91" s="21"/>
      <c r="O91" s="21"/>
      <c r="P91" s="21"/>
      <c r="Q91" s="22">
        <f t="shared" si="1"/>
        <v>372</v>
      </c>
    </row>
    <row r="92" spans="1:17" ht="15.75" customHeight="1">
      <c r="A92" s="23">
        <v>90</v>
      </c>
      <c r="B92" s="24" t="s">
        <v>725</v>
      </c>
      <c r="C92" s="24" t="s">
        <v>726</v>
      </c>
      <c r="D92" s="24" t="s">
        <v>727</v>
      </c>
      <c r="E92" s="25"/>
      <c r="F92" s="25">
        <v>70</v>
      </c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2">
        <f t="shared" si="1"/>
        <v>70</v>
      </c>
    </row>
    <row r="93" spans="1:17" ht="15.75" customHeight="1">
      <c r="A93" s="19">
        <v>91</v>
      </c>
      <c r="B93" s="20" t="s">
        <v>731</v>
      </c>
      <c r="C93" s="20" t="s">
        <v>732</v>
      </c>
      <c r="D93" s="20" t="s">
        <v>733</v>
      </c>
      <c r="E93" s="21"/>
      <c r="F93" s="21">
        <v>20</v>
      </c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2">
        <f t="shared" si="1"/>
        <v>20</v>
      </c>
    </row>
    <row r="94" spans="1:17" ht="15.75" customHeight="1">
      <c r="A94" s="23">
        <v>92</v>
      </c>
      <c r="B94" s="24" t="s">
        <v>737</v>
      </c>
      <c r="C94" s="24" t="s">
        <v>738</v>
      </c>
      <c r="D94" s="24" t="s">
        <v>739</v>
      </c>
      <c r="E94" s="25"/>
      <c r="F94" s="25">
        <v>300</v>
      </c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2">
        <f t="shared" si="1"/>
        <v>300</v>
      </c>
    </row>
    <row r="95" spans="1:17" ht="15.75" customHeight="1">
      <c r="A95" s="19">
        <v>93</v>
      </c>
      <c r="B95" s="20" t="s">
        <v>740</v>
      </c>
      <c r="C95" s="20" t="s">
        <v>741</v>
      </c>
      <c r="D95" s="20" t="s">
        <v>742</v>
      </c>
      <c r="E95" s="21"/>
      <c r="F95" s="21">
        <v>50</v>
      </c>
      <c r="G95" s="21"/>
      <c r="H95" s="21">
        <v>8</v>
      </c>
      <c r="I95" s="21"/>
      <c r="J95" s="21"/>
      <c r="K95" s="21"/>
      <c r="L95" s="21"/>
      <c r="M95" s="21"/>
      <c r="N95" s="21"/>
      <c r="O95" s="21"/>
      <c r="P95" s="21"/>
      <c r="Q95" s="22">
        <f t="shared" si="1"/>
        <v>58</v>
      </c>
    </row>
    <row r="96" spans="1:17" ht="15.75" customHeight="1">
      <c r="A96" s="23">
        <v>94</v>
      </c>
      <c r="B96" s="24" t="s">
        <v>743</v>
      </c>
      <c r="C96" s="24" t="s">
        <v>744</v>
      </c>
      <c r="D96" s="24" t="s">
        <v>745</v>
      </c>
      <c r="E96" s="25">
        <v>150</v>
      </c>
      <c r="F96" s="25">
        <v>606</v>
      </c>
      <c r="G96" s="25">
        <v>108</v>
      </c>
      <c r="H96" s="25"/>
      <c r="I96" s="25"/>
      <c r="J96" s="25"/>
      <c r="K96" s="25"/>
      <c r="L96" s="25"/>
      <c r="M96" s="25"/>
      <c r="N96" s="25"/>
      <c r="O96" s="25"/>
      <c r="P96" s="25"/>
      <c r="Q96" s="22">
        <f t="shared" si="1"/>
        <v>864</v>
      </c>
    </row>
    <row r="97" spans="1:17" ht="15.75" customHeight="1">
      <c r="A97" s="19">
        <v>95</v>
      </c>
      <c r="B97" s="20" t="s">
        <v>746</v>
      </c>
      <c r="C97" s="20" t="s">
        <v>747</v>
      </c>
      <c r="D97" s="20" t="s">
        <v>748</v>
      </c>
      <c r="E97" s="21">
        <v>20</v>
      </c>
      <c r="F97" s="21"/>
      <c r="G97" s="21"/>
      <c r="H97" s="21">
        <v>27</v>
      </c>
      <c r="I97" s="21"/>
      <c r="J97" s="21"/>
      <c r="K97" s="21"/>
      <c r="L97" s="21"/>
      <c r="M97" s="21"/>
      <c r="N97" s="21"/>
      <c r="O97" s="21"/>
      <c r="P97" s="21"/>
      <c r="Q97" s="22">
        <f t="shared" si="1"/>
        <v>47</v>
      </c>
    </row>
    <row r="98" spans="1:17" ht="15.75" customHeight="1">
      <c r="A98" s="23">
        <v>96</v>
      </c>
      <c r="B98" s="24" t="s">
        <v>749</v>
      </c>
      <c r="C98" s="24" t="s">
        <v>430</v>
      </c>
      <c r="D98" s="24"/>
      <c r="E98" s="25"/>
      <c r="F98" s="25"/>
      <c r="G98" s="25"/>
      <c r="H98" s="25">
        <v>10</v>
      </c>
      <c r="I98" s="25"/>
      <c r="J98" s="25"/>
      <c r="K98" s="25"/>
      <c r="L98" s="25"/>
      <c r="M98" s="25"/>
      <c r="N98" s="25"/>
      <c r="O98" s="25"/>
      <c r="P98" s="25"/>
      <c r="Q98" s="22">
        <f t="shared" si="1"/>
        <v>10</v>
      </c>
    </row>
    <row r="99" spans="1:17" ht="15.75" customHeight="1">
      <c r="A99" s="19">
        <v>97</v>
      </c>
      <c r="B99" s="20" t="s">
        <v>752</v>
      </c>
      <c r="C99" s="20" t="s">
        <v>753</v>
      </c>
      <c r="D99" s="20"/>
      <c r="E99" s="21"/>
      <c r="F99" s="21"/>
      <c r="G99" s="21"/>
      <c r="H99" s="21">
        <v>10</v>
      </c>
      <c r="I99" s="21"/>
      <c r="J99" s="21"/>
      <c r="K99" s="21"/>
      <c r="L99" s="21"/>
      <c r="M99" s="21"/>
      <c r="N99" s="21"/>
      <c r="O99" s="21"/>
      <c r="P99" s="21"/>
      <c r="Q99" s="22">
        <f t="shared" si="1"/>
        <v>10</v>
      </c>
    </row>
    <row r="100" spans="1:17" ht="15.75" customHeight="1">
      <c r="A100" s="23">
        <v>98</v>
      </c>
      <c r="B100" s="24" t="s">
        <v>767</v>
      </c>
      <c r="C100" s="24" t="s">
        <v>768</v>
      </c>
      <c r="D100" s="24"/>
      <c r="E100" s="25"/>
      <c r="F100" s="25">
        <v>40</v>
      </c>
      <c r="G100" s="25">
        <v>5</v>
      </c>
      <c r="H100" s="25"/>
      <c r="I100" s="25"/>
      <c r="J100" s="25"/>
      <c r="K100" s="25"/>
      <c r="L100" s="25"/>
      <c r="M100" s="25"/>
      <c r="N100" s="25"/>
      <c r="O100" s="25"/>
      <c r="P100" s="25"/>
      <c r="Q100" s="22">
        <f t="shared" si="1"/>
        <v>45</v>
      </c>
    </row>
    <row r="101" spans="1:17" ht="15.75" customHeight="1">
      <c r="A101" s="19">
        <v>99</v>
      </c>
      <c r="B101" s="20" t="s">
        <v>772</v>
      </c>
      <c r="C101" s="20" t="s">
        <v>773</v>
      </c>
      <c r="D101" s="20" t="s">
        <v>774</v>
      </c>
      <c r="E101" s="21">
        <v>1</v>
      </c>
      <c r="F101" s="21"/>
      <c r="G101" s="21">
        <v>4</v>
      </c>
      <c r="H101" s="21">
        <v>1</v>
      </c>
      <c r="I101" s="21"/>
      <c r="J101" s="21"/>
      <c r="K101" s="21"/>
      <c r="L101" s="21"/>
      <c r="M101" s="21"/>
      <c r="N101" s="21"/>
      <c r="O101" s="21"/>
      <c r="P101" s="21"/>
      <c r="Q101" s="22">
        <f t="shared" si="1"/>
        <v>6</v>
      </c>
    </row>
    <row r="102" spans="1:17" ht="15.75" customHeight="1">
      <c r="A102" s="23">
        <v>100</v>
      </c>
      <c r="B102" s="24" t="s">
        <v>775</v>
      </c>
      <c r="C102" s="24" t="s">
        <v>776</v>
      </c>
      <c r="D102" s="24" t="s">
        <v>777</v>
      </c>
      <c r="E102" s="25">
        <v>12</v>
      </c>
      <c r="F102" s="25">
        <v>890</v>
      </c>
      <c r="G102" s="25">
        <v>180</v>
      </c>
      <c r="H102" s="25">
        <v>10</v>
      </c>
      <c r="I102" s="25"/>
      <c r="J102" s="25"/>
      <c r="K102" s="25"/>
      <c r="L102" s="25"/>
      <c r="M102" s="25"/>
      <c r="N102" s="25"/>
      <c r="O102" s="25"/>
      <c r="P102" s="25"/>
      <c r="Q102" s="22">
        <f t="shared" si="1"/>
        <v>1092</v>
      </c>
    </row>
    <row r="103" spans="1:17" ht="15.75" customHeight="1">
      <c r="A103" s="19">
        <v>101</v>
      </c>
      <c r="B103" s="20" t="s">
        <v>778</v>
      </c>
      <c r="C103" s="20" t="s">
        <v>779</v>
      </c>
      <c r="D103" s="20" t="s">
        <v>780</v>
      </c>
      <c r="E103" s="21">
        <v>110</v>
      </c>
      <c r="F103" s="21">
        <v>200</v>
      </c>
      <c r="G103" s="21">
        <v>430</v>
      </c>
      <c r="H103" s="21">
        <v>216</v>
      </c>
      <c r="I103" s="21"/>
      <c r="J103" s="21"/>
      <c r="K103" s="21"/>
      <c r="L103" s="21"/>
      <c r="M103" s="21"/>
      <c r="N103" s="21"/>
      <c r="O103" s="21"/>
      <c r="P103" s="21"/>
      <c r="Q103" s="22">
        <f t="shared" si="1"/>
        <v>956</v>
      </c>
    </row>
    <row r="104" spans="1:17" ht="15.75" customHeight="1">
      <c r="A104" s="23">
        <v>102</v>
      </c>
      <c r="B104" s="24" t="s">
        <v>790</v>
      </c>
      <c r="C104" s="24" t="s">
        <v>791</v>
      </c>
      <c r="D104" s="24"/>
      <c r="E104" s="25"/>
      <c r="F104" s="25">
        <v>40</v>
      </c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2">
        <f t="shared" si="1"/>
        <v>40</v>
      </c>
    </row>
    <row r="105" spans="1:17" ht="15.75" customHeight="1">
      <c r="A105" s="19">
        <v>103</v>
      </c>
      <c r="B105" s="20" t="s">
        <v>795</v>
      </c>
      <c r="C105" s="20" t="s">
        <v>796</v>
      </c>
      <c r="D105" s="20" t="s">
        <v>797</v>
      </c>
      <c r="E105" s="21"/>
      <c r="F105" s="21"/>
      <c r="G105" s="21">
        <v>2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2">
        <f t="shared" si="1"/>
        <v>2</v>
      </c>
    </row>
    <row r="106" spans="1:17" ht="15.75" customHeight="1">
      <c r="A106" s="23">
        <v>104</v>
      </c>
      <c r="B106" s="24" t="s">
        <v>798</v>
      </c>
      <c r="C106" s="24" t="s">
        <v>799</v>
      </c>
      <c r="D106" s="24" t="s">
        <v>800</v>
      </c>
      <c r="E106" s="25"/>
      <c r="F106" s="25">
        <v>590</v>
      </c>
      <c r="G106" s="25">
        <v>110</v>
      </c>
      <c r="H106" s="25">
        <v>10</v>
      </c>
      <c r="I106" s="25"/>
      <c r="J106" s="25"/>
      <c r="K106" s="25"/>
      <c r="L106" s="25"/>
      <c r="M106" s="25"/>
      <c r="N106" s="25"/>
      <c r="O106" s="25"/>
      <c r="P106" s="25"/>
      <c r="Q106" s="22">
        <f t="shared" si="1"/>
        <v>710</v>
      </c>
    </row>
    <row r="107" spans="1:17" ht="15.75" customHeight="1">
      <c r="A107" s="19">
        <v>105</v>
      </c>
      <c r="B107" s="20" t="s">
        <v>801</v>
      </c>
      <c r="C107" s="20" t="s">
        <v>802</v>
      </c>
      <c r="D107" s="20" t="s">
        <v>803</v>
      </c>
      <c r="E107" s="21">
        <v>204</v>
      </c>
      <c r="F107" s="21">
        <v>150</v>
      </c>
      <c r="G107" s="21">
        <v>80</v>
      </c>
      <c r="H107" s="21">
        <v>124</v>
      </c>
      <c r="I107" s="21"/>
      <c r="J107" s="21"/>
      <c r="K107" s="21"/>
      <c r="L107" s="21"/>
      <c r="M107" s="21"/>
      <c r="N107" s="21"/>
      <c r="O107" s="21"/>
      <c r="P107" s="21"/>
      <c r="Q107" s="22">
        <f t="shared" si="1"/>
        <v>558</v>
      </c>
    </row>
    <row r="108" spans="1:17" ht="15.75" customHeight="1">
      <c r="A108" s="23">
        <v>106</v>
      </c>
      <c r="B108" s="24" t="s">
        <v>810</v>
      </c>
      <c r="C108" s="24" t="s">
        <v>811</v>
      </c>
      <c r="D108" s="24" t="s">
        <v>812</v>
      </c>
      <c r="E108" s="25"/>
      <c r="F108" s="25">
        <v>100</v>
      </c>
      <c r="G108" s="25">
        <v>50</v>
      </c>
      <c r="H108" s="25"/>
      <c r="I108" s="25"/>
      <c r="J108" s="25"/>
      <c r="K108" s="25"/>
      <c r="L108" s="25"/>
      <c r="M108" s="25"/>
      <c r="N108" s="25"/>
      <c r="O108" s="25"/>
      <c r="P108" s="25"/>
      <c r="Q108" s="22">
        <f t="shared" si="1"/>
        <v>150</v>
      </c>
    </row>
    <row r="109" spans="1:17" ht="15.75" customHeight="1">
      <c r="A109" s="19">
        <v>107</v>
      </c>
      <c r="B109" s="20" t="s">
        <v>813</v>
      </c>
      <c r="C109" s="20" t="s">
        <v>814</v>
      </c>
      <c r="D109" s="20" t="s">
        <v>815</v>
      </c>
      <c r="E109" s="21">
        <v>500</v>
      </c>
      <c r="F109" s="21">
        <v>206</v>
      </c>
      <c r="G109" s="21"/>
      <c r="H109" s="21">
        <v>58</v>
      </c>
      <c r="I109" s="21"/>
      <c r="J109" s="21"/>
      <c r="K109" s="21"/>
      <c r="L109" s="21"/>
      <c r="M109" s="21"/>
      <c r="N109" s="21"/>
      <c r="O109" s="21"/>
      <c r="P109" s="21"/>
      <c r="Q109" s="22">
        <f t="shared" si="1"/>
        <v>764</v>
      </c>
    </row>
    <row r="110" spans="1:17" ht="15.75" customHeight="1">
      <c r="A110" s="23">
        <v>108</v>
      </c>
      <c r="B110" s="24" t="s">
        <v>2511</v>
      </c>
      <c r="C110" s="24" t="s">
        <v>2512</v>
      </c>
      <c r="D110" s="24"/>
      <c r="E110" s="25"/>
      <c r="F110" s="25">
        <v>40</v>
      </c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2">
        <f t="shared" si="1"/>
        <v>40</v>
      </c>
    </row>
    <row r="111" spans="1:17" ht="15.75" customHeight="1">
      <c r="A111" s="19">
        <v>109</v>
      </c>
      <c r="B111" s="20" t="s">
        <v>819</v>
      </c>
      <c r="C111" s="20" t="s">
        <v>820</v>
      </c>
      <c r="D111" s="20" t="s">
        <v>821</v>
      </c>
      <c r="E111" s="21"/>
      <c r="F111" s="21">
        <v>750</v>
      </c>
      <c r="G111" s="21"/>
      <c r="H111" s="21">
        <v>5</v>
      </c>
      <c r="I111" s="21"/>
      <c r="J111" s="21"/>
      <c r="K111" s="21"/>
      <c r="L111" s="21"/>
      <c r="M111" s="21"/>
      <c r="N111" s="21"/>
      <c r="O111" s="21"/>
      <c r="P111" s="21"/>
      <c r="Q111" s="22">
        <f t="shared" si="1"/>
        <v>755</v>
      </c>
    </row>
    <row r="112" spans="1:17" ht="15.75" customHeight="1">
      <c r="A112" s="23">
        <v>110</v>
      </c>
      <c r="B112" s="24" t="s">
        <v>822</v>
      </c>
      <c r="C112" s="24" t="s">
        <v>823</v>
      </c>
      <c r="D112" s="24" t="s">
        <v>824</v>
      </c>
      <c r="E112" s="25">
        <v>354</v>
      </c>
      <c r="F112" s="25">
        <v>50</v>
      </c>
      <c r="G112" s="25"/>
      <c r="H112" s="25">
        <v>117</v>
      </c>
      <c r="I112" s="25"/>
      <c r="J112" s="25"/>
      <c r="K112" s="25"/>
      <c r="L112" s="25"/>
      <c r="M112" s="25"/>
      <c r="N112" s="25"/>
      <c r="O112" s="25"/>
      <c r="P112" s="25"/>
      <c r="Q112" s="22">
        <f t="shared" si="1"/>
        <v>521</v>
      </c>
    </row>
    <row r="113" spans="1:17" ht="15.75" customHeight="1">
      <c r="A113" s="19">
        <v>111</v>
      </c>
      <c r="B113" s="20" t="s">
        <v>831</v>
      </c>
      <c r="C113" s="20" t="s">
        <v>832</v>
      </c>
      <c r="D113" s="20" t="s">
        <v>833</v>
      </c>
      <c r="E113" s="21"/>
      <c r="F113" s="21">
        <v>450</v>
      </c>
      <c r="G113" s="21"/>
      <c r="H113" s="21">
        <v>5</v>
      </c>
      <c r="I113" s="21"/>
      <c r="J113" s="21"/>
      <c r="K113" s="21"/>
      <c r="L113" s="21"/>
      <c r="M113" s="21"/>
      <c r="N113" s="21"/>
      <c r="O113" s="21"/>
      <c r="P113" s="21"/>
      <c r="Q113" s="22">
        <f t="shared" si="1"/>
        <v>455</v>
      </c>
    </row>
    <row r="114" spans="1:17" ht="15.75" customHeight="1">
      <c r="A114" s="23">
        <v>112</v>
      </c>
      <c r="B114" s="24" t="s">
        <v>834</v>
      </c>
      <c r="C114" s="24" t="s">
        <v>835</v>
      </c>
      <c r="D114" s="24" t="s">
        <v>836</v>
      </c>
      <c r="E114" s="25">
        <v>100</v>
      </c>
      <c r="F114" s="25">
        <v>50</v>
      </c>
      <c r="G114" s="25">
        <v>2</v>
      </c>
      <c r="H114" s="25">
        <v>30</v>
      </c>
      <c r="I114" s="25"/>
      <c r="J114" s="25"/>
      <c r="K114" s="25"/>
      <c r="L114" s="25"/>
      <c r="M114" s="25"/>
      <c r="N114" s="25"/>
      <c r="O114" s="25"/>
      <c r="P114" s="25"/>
      <c r="Q114" s="22">
        <f t="shared" si="1"/>
        <v>182</v>
      </c>
    </row>
    <row r="115" spans="1:17" ht="15.75" customHeight="1">
      <c r="A115" s="19">
        <v>113</v>
      </c>
      <c r="B115" s="20" t="s">
        <v>2518</v>
      </c>
      <c r="C115" s="20" t="s">
        <v>2519</v>
      </c>
      <c r="D115" s="20"/>
      <c r="E115" s="21">
        <v>10</v>
      </c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2">
        <f t="shared" si="1"/>
        <v>10</v>
      </c>
    </row>
    <row r="116" spans="1:17" ht="15.75" customHeight="1">
      <c r="A116" s="23">
        <v>114</v>
      </c>
      <c r="B116" s="24" t="s">
        <v>840</v>
      </c>
      <c r="C116" s="24" t="s">
        <v>841</v>
      </c>
      <c r="D116" s="24" t="s">
        <v>842</v>
      </c>
      <c r="E116" s="25"/>
      <c r="F116" s="25">
        <v>34</v>
      </c>
      <c r="G116" s="25"/>
      <c r="H116" s="25">
        <v>100</v>
      </c>
      <c r="I116" s="25"/>
      <c r="J116" s="25"/>
      <c r="K116" s="25"/>
      <c r="L116" s="25"/>
      <c r="M116" s="25"/>
      <c r="N116" s="25"/>
      <c r="O116" s="25"/>
      <c r="P116" s="25"/>
      <c r="Q116" s="22">
        <f t="shared" si="1"/>
        <v>134</v>
      </c>
    </row>
    <row r="117" spans="1:17" ht="15.75" customHeight="1">
      <c r="A117" s="19">
        <v>115</v>
      </c>
      <c r="B117" s="20" t="s">
        <v>843</v>
      </c>
      <c r="C117" s="20" t="s">
        <v>844</v>
      </c>
      <c r="D117" s="20"/>
      <c r="E117" s="21"/>
      <c r="F117" s="21">
        <v>1</v>
      </c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2">
        <f t="shared" si="1"/>
        <v>1</v>
      </c>
    </row>
    <row r="118" spans="1:17" ht="15.75" customHeight="1">
      <c r="A118" s="23">
        <v>116</v>
      </c>
      <c r="B118" s="24" t="s">
        <v>2522</v>
      </c>
      <c r="C118" s="24" t="s">
        <v>1287</v>
      </c>
      <c r="D118" s="24" t="s">
        <v>2523</v>
      </c>
      <c r="E118" s="25"/>
      <c r="F118" s="25"/>
      <c r="G118" s="25">
        <v>50</v>
      </c>
      <c r="H118" s="25"/>
      <c r="I118" s="25"/>
      <c r="J118" s="25"/>
      <c r="K118" s="25"/>
      <c r="L118" s="25"/>
      <c r="M118" s="25"/>
      <c r="N118" s="25"/>
      <c r="O118" s="25"/>
      <c r="P118" s="25"/>
      <c r="Q118" s="22">
        <f t="shared" si="1"/>
        <v>50</v>
      </c>
    </row>
    <row r="119" spans="1:17" ht="15.75" customHeight="1">
      <c r="A119" s="19">
        <v>117</v>
      </c>
      <c r="B119" s="20" t="s">
        <v>845</v>
      </c>
      <c r="C119" s="20" t="s">
        <v>846</v>
      </c>
      <c r="D119" s="20" t="s">
        <v>847</v>
      </c>
      <c r="E119" s="21">
        <v>3</v>
      </c>
      <c r="F119" s="21">
        <v>300</v>
      </c>
      <c r="G119" s="21"/>
      <c r="H119" s="21">
        <v>5</v>
      </c>
      <c r="I119" s="21"/>
      <c r="J119" s="21"/>
      <c r="K119" s="21"/>
      <c r="L119" s="21"/>
      <c r="M119" s="21"/>
      <c r="N119" s="21"/>
      <c r="O119" s="21"/>
      <c r="P119" s="21"/>
      <c r="Q119" s="22">
        <f t="shared" si="1"/>
        <v>308</v>
      </c>
    </row>
    <row r="120" spans="1:17" ht="15.75" customHeight="1">
      <c r="A120" s="23">
        <v>118</v>
      </c>
      <c r="B120" s="24" t="s">
        <v>848</v>
      </c>
      <c r="C120" s="24" t="s">
        <v>849</v>
      </c>
      <c r="D120" s="24" t="s">
        <v>850</v>
      </c>
      <c r="E120" s="25"/>
      <c r="F120" s="25">
        <v>100</v>
      </c>
      <c r="G120" s="25"/>
      <c r="H120" s="25">
        <v>10</v>
      </c>
      <c r="I120" s="25"/>
      <c r="J120" s="25"/>
      <c r="K120" s="25"/>
      <c r="L120" s="25"/>
      <c r="M120" s="25"/>
      <c r="N120" s="25"/>
      <c r="O120" s="25"/>
      <c r="P120" s="25"/>
      <c r="Q120" s="22">
        <f t="shared" si="1"/>
        <v>110</v>
      </c>
    </row>
    <row r="121" spans="1:17" ht="15.75" customHeight="1">
      <c r="A121" s="19">
        <v>119</v>
      </c>
      <c r="B121" s="20" t="s">
        <v>851</v>
      </c>
      <c r="C121" s="20" t="s">
        <v>852</v>
      </c>
      <c r="D121" s="20" t="s">
        <v>853</v>
      </c>
      <c r="E121" s="21"/>
      <c r="F121" s="21">
        <v>100</v>
      </c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2">
        <f t="shared" si="1"/>
        <v>100</v>
      </c>
    </row>
    <row r="122" spans="1:17" ht="15.75" customHeight="1">
      <c r="A122" s="23">
        <v>120</v>
      </c>
      <c r="B122" s="24" t="s">
        <v>859</v>
      </c>
      <c r="C122" s="24" t="s">
        <v>860</v>
      </c>
      <c r="D122" s="24" t="s">
        <v>861</v>
      </c>
      <c r="E122" s="25">
        <v>850</v>
      </c>
      <c r="F122" s="25">
        <v>240</v>
      </c>
      <c r="G122" s="25">
        <v>50</v>
      </c>
      <c r="H122" s="25"/>
      <c r="I122" s="25"/>
      <c r="J122" s="25"/>
      <c r="K122" s="25"/>
      <c r="L122" s="25"/>
      <c r="M122" s="25"/>
      <c r="N122" s="25"/>
      <c r="O122" s="25"/>
      <c r="P122" s="25"/>
      <c r="Q122" s="22">
        <f t="shared" si="1"/>
        <v>1140</v>
      </c>
    </row>
    <row r="123" spans="1:17" ht="15.75" customHeight="1">
      <c r="A123" s="19">
        <v>121</v>
      </c>
      <c r="B123" s="20" t="s">
        <v>862</v>
      </c>
      <c r="C123" s="20" t="s">
        <v>863</v>
      </c>
      <c r="D123" s="20" t="s">
        <v>864</v>
      </c>
      <c r="E123" s="21">
        <v>25</v>
      </c>
      <c r="F123" s="21">
        <v>300</v>
      </c>
      <c r="G123" s="21"/>
      <c r="H123" s="21">
        <v>5</v>
      </c>
      <c r="I123" s="21"/>
      <c r="J123" s="21"/>
      <c r="K123" s="21"/>
      <c r="L123" s="21"/>
      <c r="M123" s="21"/>
      <c r="N123" s="21"/>
      <c r="O123" s="21"/>
      <c r="P123" s="21"/>
      <c r="Q123" s="22">
        <f t="shared" si="1"/>
        <v>330</v>
      </c>
    </row>
    <row r="124" spans="1:17" ht="15.75" customHeight="1">
      <c r="A124" s="23">
        <v>122</v>
      </c>
      <c r="B124" s="24" t="s">
        <v>865</v>
      </c>
      <c r="C124" s="24" t="s">
        <v>866</v>
      </c>
      <c r="D124" s="24" t="s">
        <v>867</v>
      </c>
      <c r="E124" s="25"/>
      <c r="F124" s="25">
        <v>320</v>
      </c>
      <c r="G124" s="25">
        <v>30</v>
      </c>
      <c r="H124" s="25"/>
      <c r="I124" s="25"/>
      <c r="J124" s="25"/>
      <c r="K124" s="25"/>
      <c r="L124" s="25"/>
      <c r="M124" s="25"/>
      <c r="N124" s="25"/>
      <c r="O124" s="25"/>
      <c r="P124" s="25"/>
      <c r="Q124" s="22">
        <f t="shared" si="1"/>
        <v>350</v>
      </c>
    </row>
    <row r="125" spans="1:17" ht="15.75" customHeight="1">
      <c r="A125" s="19">
        <v>123</v>
      </c>
      <c r="B125" s="20" t="s">
        <v>868</v>
      </c>
      <c r="C125" s="20" t="s">
        <v>869</v>
      </c>
      <c r="D125" s="20" t="s">
        <v>870</v>
      </c>
      <c r="E125" s="21">
        <v>2542</v>
      </c>
      <c r="F125" s="21">
        <v>27563</v>
      </c>
      <c r="G125" s="21">
        <v>1381</v>
      </c>
      <c r="H125" s="21">
        <v>550</v>
      </c>
      <c r="I125" s="21"/>
      <c r="J125" s="21"/>
      <c r="K125" s="21"/>
      <c r="L125" s="21"/>
      <c r="M125" s="21"/>
      <c r="N125" s="21"/>
      <c r="O125" s="21"/>
      <c r="P125" s="21"/>
      <c r="Q125" s="22">
        <f t="shared" si="1"/>
        <v>32036</v>
      </c>
    </row>
    <row r="126" spans="1:17" ht="15.75" customHeight="1">
      <c r="A126" s="23">
        <v>124</v>
      </c>
      <c r="B126" s="24" t="s">
        <v>871</v>
      </c>
      <c r="C126" s="24" t="s">
        <v>872</v>
      </c>
      <c r="D126" s="24" t="s">
        <v>873</v>
      </c>
      <c r="E126" s="25"/>
      <c r="F126" s="25">
        <v>50</v>
      </c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2">
        <f t="shared" si="1"/>
        <v>50</v>
      </c>
    </row>
    <row r="127" spans="1:17" ht="15.75" customHeight="1">
      <c r="A127" s="19">
        <v>125</v>
      </c>
      <c r="B127" s="20" t="s">
        <v>874</v>
      </c>
      <c r="C127" s="20" t="s">
        <v>875</v>
      </c>
      <c r="D127" s="20" t="s">
        <v>876</v>
      </c>
      <c r="E127" s="21">
        <v>3</v>
      </c>
      <c r="F127" s="21">
        <v>3</v>
      </c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2">
        <f t="shared" si="1"/>
        <v>6</v>
      </c>
    </row>
    <row r="128" spans="1:17" ht="15.75" customHeight="1">
      <c r="A128" s="23">
        <v>126</v>
      </c>
      <c r="B128" s="24" t="s">
        <v>877</v>
      </c>
      <c r="C128" s="24" t="s">
        <v>878</v>
      </c>
      <c r="D128" s="24" t="s">
        <v>879</v>
      </c>
      <c r="E128" s="25"/>
      <c r="F128" s="25">
        <v>10</v>
      </c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2">
        <f t="shared" si="1"/>
        <v>10</v>
      </c>
    </row>
    <row r="129" spans="1:17" ht="15.75" customHeight="1">
      <c r="A129" s="19">
        <v>127</v>
      </c>
      <c r="B129" s="20" t="s">
        <v>886</v>
      </c>
      <c r="C129" s="20" t="s">
        <v>887</v>
      </c>
      <c r="D129" s="20" t="s">
        <v>888</v>
      </c>
      <c r="E129" s="21">
        <v>3</v>
      </c>
      <c r="F129" s="21">
        <v>50</v>
      </c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2">
        <f t="shared" si="1"/>
        <v>53</v>
      </c>
    </row>
    <row r="130" spans="1:17" ht="15.75" customHeight="1">
      <c r="A130" s="23">
        <v>128</v>
      </c>
      <c r="B130" s="24" t="s">
        <v>2524</v>
      </c>
      <c r="C130" s="24" t="s">
        <v>2525</v>
      </c>
      <c r="D130" s="24"/>
      <c r="E130" s="25"/>
      <c r="F130" s="25">
        <v>40</v>
      </c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2">
        <f t="shared" si="1"/>
        <v>40</v>
      </c>
    </row>
    <row r="131" spans="1:17" ht="15.75" customHeight="1">
      <c r="A131" s="19">
        <v>129</v>
      </c>
      <c r="B131" s="20" t="s">
        <v>895</v>
      </c>
      <c r="C131" s="20" t="s">
        <v>896</v>
      </c>
      <c r="D131" s="20" t="s">
        <v>897</v>
      </c>
      <c r="E131" s="21"/>
      <c r="F131" s="21">
        <v>580</v>
      </c>
      <c r="G131" s="21">
        <v>150</v>
      </c>
      <c r="H131" s="21">
        <v>60</v>
      </c>
      <c r="I131" s="21"/>
      <c r="J131" s="21"/>
      <c r="K131" s="21"/>
      <c r="L131" s="21"/>
      <c r="M131" s="21"/>
      <c r="N131" s="21"/>
      <c r="O131" s="21"/>
      <c r="P131" s="21"/>
      <c r="Q131" s="22">
        <f t="shared" ref="Q131:Q194" si="2">SUM(E131:P131)</f>
        <v>790</v>
      </c>
    </row>
    <row r="132" spans="1:17" ht="15.75" customHeight="1">
      <c r="A132" s="23">
        <v>130</v>
      </c>
      <c r="B132" s="24" t="s">
        <v>898</v>
      </c>
      <c r="C132" s="24" t="s">
        <v>899</v>
      </c>
      <c r="D132" s="24" t="s">
        <v>900</v>
      </c>
      <c r="E132" s="25">
        <v>150</v>
      </c>
      <c r="F132" s="25"/>
      <c r="G132" s="25">
        <v>300</v>
      </c>
      <c r="H132" s="25">
        <v>68</v>
      </c>
      <c r="I132" s="25"/>
      <c r="J132" s="25"/>
      <c r="K132" s="25"/>
      <c r="L132" s="25"/>
      <c r="M132" s="25"/>
      <c r="N132" s="25"/>
      <c r="O132" s="25"/>
      <c r="P132" s="25"/>
      <c r="Q132" s="22">
        <f t="shared" si="2"/>
        <v>518</v>
      </c>
    </row>
    <row r="133" spans="1:17" ht="15.75" customHeight="1">
      <c r="A133" s="19">
        <v>131</v>
      </c>
      <c r="B133" s="20" t="s">
        <v>2531</v>
      </c>
      <c r="C133" s="20" t="s">
        <v>2532</v>
      </c>
      <c r="D133" s="20"/>
      <c r="E133" s="21"/>
      <c r="F133" s="21">
        <v>40</v>
      </c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2">
        <f t="shared" si="2"/>
        <v>40</v>
      </c>
    </row>
    <row r="134" spans="1:17" ht="15.75" customHeight="1">
      <c r="A134" s="23">
        <v>132</v>
      </c>
      <c r="B134" s="24" t="s">
        <v>906</v>
      </c>
      <c r="C134" s="24" t="s">
        <v>907</v>
      </c>
      <c r="D134" s="24" t="s">
        <v>908</v>
      </c>
      <c r="E134" s="25">
        <v>10</v>
      </c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2">
        <f t="shared" si="2"/>
        <v>10</v>
      </c>
    </row>
    <row r="135" spans="1:17" ht="15.75" customHeight="1">
      <c r="A135" s="19">
        <v>133</v>
      </c>
      <c r="B135" s="20" t="s">
        <v>915</v>
      </c>
      <c r="C135" s="20" t="s">
        <v>916</v>
      </c>
      <c r="D135" s="20"/>
      <c r="E135" s="21"/>
      <c r="F135" s="21">
        <v>10</v>
      </c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2">
        <f t="shared" si="2"/>
        <v>10</v>
      </c>
    </row>
    <row r="136" spans="1:17" ht="15.75" customHeight="1">
      <c r="A136" s="23">
        <v>134</v>
      </c>
      <c r="B136" s="24" t="s">
        <v>927</v>
      </c>
      <c r="C136" s="24" t="s">
        <v>928</v>
      </c>
      <c r="D136" s="24" t="s">
        <v>929</v>
      </c>
      <c r="E136" s="25"/>
      <c r="F136" s="25"/>
      <c r="G136" s="25"/>
      <c r="H136" s="25">
        <v>60</v>
      </c>
      <c r="I136" s="25"/>
      <c r="J136" s="25"/>
      <c r="K136" s="25"/>
      <c r="L136" s="25"/>
      <c r="M136" s="25"/>
      <c r="N136" s="25"/>
      <c r="O136" s="25"/>
      <c r="P136" s="25"/>
      <c r="Q136" s="22">
        <f t="shared" si="2"/>
        <v>60</v>
      </c>
    </row>
    <row r="137" spans="1:17" ht="15.75" customHeight="1">
      <c r="A137" s="19">
        <v>135</v>
      </c>
      <c r="B137" s="20" t="s">
        <v>933</v>
      </c>
      <c r="C137" s="20" t="s">
        <v>934</v>
      </c>
      <c r="D137" s="20" t="s">
        <v>935</v>
      </c>
      <c r="E137" s="21">
        <v>10</v>
      </c>
      <c r="F137" s="21">
        <v>20</v>
      </c>
      <c r="G137" s="21"/>
      <c r="H137" s="21">
        <v>60</v>
      </c>
      <c r="I137" s="21"/>
      <c r="J137" s="21"/>
      <c r="K137" s="21"/>
      <c r="L137" s="21"/>
      <c r="M137" s="21"/>
      <c r="N137" s="21"/>
      <c r="O137" s="21"/>
      <c r="P137" s="21"/>
      <c r="Q137" s="22">
        <f t="shared" si="2"/>
        <v>90</v>
      </c>
    </row>
    <row r="138" spans="1:17" ht="15.75" customHeight="1">
      <c r="A138" s="23">
        <v>136</v>
      </c>
      <c r="B138" s="24" t="s">
        <v>936</v>
      </c>
      <c r="C138" s="24" t="s">
        <v>937</v>
      </c>
      <c r="D138" s="24" t="s">
        <v>929</v>
      </c>
      <c r="E138" s="25"/>
      <c r="F138" s="25"/>
      <c r="G138" s="25"/>
      <c r="H138" s="25">
        <v>130</v>
      </c>
      <c r="I138" s="25"/>
      <c r="J138" s="25"/>
      <c r="K138" s="25"/>
      <c r="L138" s="25"/>
      <c r="M138" s="25"/>
      <c r="N138" s="25"/>
      <c r="O138" s="25"/>
      <c r="P138" s="25"/>
      <c r="Q138" s="22">
        <f t="shared" si="2"/>
        <v>130</v>
      </c>
    </row>
    <row r="139" spans="1:17" ht="15.75" customHeight="1">
      <c r="A139" s="19">
        <v>137</v>
      </c>
      <c r="B139" s="20" t="s">
        <v>3091</v>
      </c>
      <c r="C139" s="20" t="s">
        <v>3092</v>
      </c>
      <c r="D139" s="20" t="s">
        <v>1142</v>
      </c>
      <c r="E139" s="21"/>
      <c r="F139" s="21">
        <v>20</v>
      </c>
      <c r="G139" s="21"/>
      <c r="H139" s="21">
        <v>130</v>
      </c>
      <c r="I139" s="21"/>
      <c r="J139" s="21"/>
      <c r="K139" s="21"/>
      <c r="L139" s="21"/>
      <c r="M139" s="21"/>
      <c r="N139" s="21"/>
      <c r="O139" s="21"/>
      <c r="P139" s="21"/>
      <c r="Q139" s="22">
        <f t="shared" si="2"/>
        <v>150</v>
      </c>
    </row>
    <row r="140" spans="1:17" ht="15.75" customHeight="1">
      <c r="A140" s="23">
        <v>138</v>
      </c>
      <c r="B140" s="24" t="s">
        <v>938</v>
      </c>
      <c r="C140" s="24" t="s">
        <v>939</v>
      </c>
      <c r="D140" s="24" t="s">
        <v>935</v>
      </c>
      <c r="E140" s="25">
        <v>10</v>
      </c>
      <c r="F140" s="25">
        <v>20</v>
      </c>
      <c r="G140" s="25"/>
      <c r="H140" s="25">
        <v>130</v>
      </c>
      <c r="I140" s="25"/>
      <c r="J140" s="25"/>
      <c r="K140" s="25"/>
      <c r="L140" s="25"/>
      <c r="M140" s="25"/>
      <c r="N140" s="25"/>
      <c r="O140" s="25"/>
      <c r="P140" s="25"/>
      <c r="Q140" s="22">
        <f t="shared" si="2"/>
        <v>160</v>
      </c>
    </row>
    <row r="141" spans="1:17" ht="15.75" customHeight="1">
      <c r="A141" s="19">
        <v>139</v>
      </c>
      <c r="B141" s="20" t="s">
        <v>2549</v>
      </c>
      <c r="C141" s="20" t="s">
        <v>1332</v>
      </c>
      <c r="D141" s="20" t="s">
        <v>929</v>
      </c>
      <c r="E141" s="21"/>
      <c r="F141" s="21"/>
      <c r="G141" s="21"/>
      <c r="H141" s="21">
        <v>130</v>
      </c>
      <c r="I141" s="21"/>
      <c r="J141" s="21"/>
      <c r="K141" s="21"/>
      <c r="L141" s="21"/>
      <c r="M141" s="21"/>
      <c r="N141" s="21"/>
      <c r="O141" s="21"/>
      <c r="P141" s="21"/>
      <c r="Q141" s="22">
        <f t="shared" si="2"/>
        <v>130</v>
      </c>
    </row>
    <row r="142" spans="1:17" ht="15.75" customHeight="1">
      <c r="A142" s="23">
        <v>140</v>
      </c>
      <c r="B142" s="24" t="s">
        <v>2550</v>
      </c>
      <c r="C142" s="24" t="s">
        <v>2551</v>
      </c>
      <c r="D142" s="24" t="s">
        <v>1142</v>
      </c>
      <c r="E142" s="25"/>
      <c r="F142" s="25">
        <v>20</v>
      </c>
      <c r="G142" s="25"/>
      <c r="H142" s="25">
        <v>130</v>
      </c>
      <c r="I142" s="25"/>
      <c r="J142" s="25"/>
      <c r="K142" s="25"/>
      <c r="L142" s="25"/>
      <c r="M142" s="25"/>
      <c r="N142" s="25"/>
      <c r="O142" s="25"/>
      <c r="P142" s="25"/>
      <c r="Q142" s="22">
        <f t="shared" si="2"/>
        <v>150</v>
      </c>
    </row>
    <row r="143" spans="1:17" ht="15.75" customHeight="1">
      <c r="A143" s="19">
        <v>141</v>
      </c>
      <c r="B143" s="20" t="s">
        <v>3093</v>
      </c>
      <c r="C143" s="20" t="s">
        <v>3094</v>
      </c>
      <c r="D143" s="20" t="s">
        <v>935</v>
      </c>
      <c r="E143" s="21">
        <v>10</v>
      </c>
      <c r="F143" s="21">
        <v>20</v>
      </c>
      <c r="G143" s="21"/>
      <c r="H143" s="21">
        <v>130</v>
      </c>
      <c r="I143" s="21"/>
      <c r="J143" s="21"/>
      <c r="K143" s="21"/>
      <c r="L143" s="21"/>
      <c r="M143" s="21"/>
      <c r="N143" s="21"/>
      <c r="O143" s="21"/>
      <c r="P143" s="21"/>
      <c r="Q143" s="22">
        <f t="shared" si="2"/>
        <v>160</v>
      </c>
    </row>
    <row r="144" spans="1:17" ht="15.75" customHeight="1">
      <c r="A144" s="23">
        <v>142</v>
      </c>
      <c r="B144" s="24" t="s">
        <v>2552</v>
      </c>
      <c r="C144" s="24" t="s">
        <v>2553</v>
      </c>
      <c r="D144" s="24" t="s">
        <v>929</v>
      </c>
      <c r="E144" s="25"/>
      <c r="F144" s="25"/>
      <c r="G144" s="25"/>
      <c r="H144" s="25">
        <v>130</v>
      </c>
      <c r="I144" s="25"/>
      <c r="J144" s="25"/>
      <c r="K144" s="25"/>
      <c r="L144" s="25"/>
      <c r="M144" s="25"/>
      <c r="N144" s="25"/>
      <c r="O144" s="25"/>
      <c r="P144" s="25"/>
      <c r="Q144" s="22">
        <f t="shared" si="2"/>
        <v>130</v>
      </c>
    </row>
    <row r="145" spans="1:17" ht="15.75" customHeight="1">
      <c r="A145" s="19">
        <v>143</v>
      </c>
      <c r="B145" s="20" t="s">
        <v>3096</v>
      </c>
      <c r="C145" s="20" t="s">
        <v>1329</v>
      </c>
      <c r="D145" s="20" t="s">
        <v>935</v>
      </c>
      <c r="E145" s="21">
        <v>10</v>
      </c>
      <c r="F145" s="21">
        <v>20</v>
      </c>
      <c r="G145" s="21"/>
      <c r="H145" s="21">
        <v>130</v>
      </c>
      <c r="I145" s="21"/>
      <c r="J145" s="21"/>
      <c r="K145" s="21"/>
      <c r="L145" s="21"/>
      <c r="M145" s="21"/>
      <c r="N145" s="21"/>
      <c r="O145" s="21"/>
      <c r="P145" s="21"/>
      <c r="Q145" s="22">
        <f t="shared" si="2"/>
        <v>160</v>
      </c>
    </row>
    <row r="146" spans="1:17" ht="15.75" customHeight="1">
      <c r="A146" s="23">
        <v>144</v>
      </c>
      <c r="B146" s="24" t="s">
        <v>3098</v>
      </c>
      <c r="C146" s="24" t="s">
        <v>3099</v>
      </c>
      <c r="D146" s="24" t="s">
        <v>929</v>
      </c>
      <c r="E146" s="25"/>
      <c r="F146" s="25"/>
      <c r="G146" s="25"/>
      <c r="H146" s="25">
        <v>30</v>
      </c>
      <c r="I146" s="25"/>
      <c r="J146" s="25"/>
      <c r="K146" s="25"/>
      <c r="L146" s="25"/>
      <c r="M146" s="25"/>
      <c r="N146" s="25"/>
      <c r="O146" s="25"/>
      <c r="P146" s="25"/>
      <c r="Q146" s="22">
        <f t="shared" si="2"/>
        <v>30</v>
      </c>
    </row>
    <row r="147" spans="1:17" ht="15.75" customHeight="1">
      <c r="A147" s="19">
        <v>145</v>
      </c>
      <c r="B147" s="20" t="s">
        <v>3100</v>
      </c>
      <c r="C147" s="20" t="s">
        <v>3101</v>
      </c>
      <c r="D147" s="20" t="s">
        <v>1142</v>
      </c>
      <c r="E147" s="21"/>
      <c r="F147" s="21">
        <v>20</v>
      </c>
      <c r="G147" s="21"/>
      <c r="H147" s="21">
        <v>30</v>
      </c>
      <c r="I147" s="21"/>
      <c r="J147" s="21"/>
      <c r="K147" s="21"/>
      <c r="L147" s="21"/>
      <c r="M147" s="21"/>
      <c r="N147" s="21"/>
      <c r="O147" s="21"/>
      <c r="P147" s="21"/>
      <c r="Q147" s="22">
        <f t="shared" si="2"/>
        <v>50</v>
      </c>
    </row>
    <row r="148" spans="1:17" ht="15.75" customHeight="1">
      <c r="A148" s="23">
        <v>146</v>
      </c>
      <c r="B148" s="24" t="s">
        <v>3102</v>
      </c>
      <c r="C148" s="24" t="s">
        <v>3103</v>
      </c>
      <c r="D148" s="24" t="s">
        <v>935</v>
      </c>
      <c r="E148" s="25"/>
      <c r="F148" s="25">
        <v>20</v>
      </c>
      <c r="G148" s="25"/>
      <c r="H148" s="25">
        <v>30</v>
      </c>
      <c r="I148" s="25"/>
      <c r="J148" s="25"/>
      <c r="K148" s="25"/>
      <c r="L148" s="25"/>
      <c r="M148" s="25"/>
      <c r="N148" s="25"/>
      <c r="O148" s="25"/>
      <c r="P148" s="25"/>
      <c r="Q148" s="22">
        <f t="shared" si="2"/>
        <v>50</v>
      </c>
    </row>
    <row r="149" spans="1:17" ht="15.75" customHeight="1">
      <c r="A149" s="19">
        <v>147</v>
      </c>
      <c r="B149" s="20" t="s">
        <v>2569</v>
      </c>
      <c r="C149" s="20" t="s">
        <v>2570</v>
      </c>
      <c r="D149" s="20"/>
      <c r="E149" s="21"/>
      <c r="F149" s="21">
        <v>10</v>
      </c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2">
        <f t="shared" si="2"/>
        <v>10</v>
      </c>
    </row>
    <row r="150" spans="1:17" ht="15.75" customHeight="1">
      <c r="A150" s="23">
        <v>148</v>
      </c>
      <c r="B150" s="24" t="s">
        <v>3122</v>
      </c>
      <c r="C150" s="24" t="s">
        <v>3123</v>
      </c>
      <c r="D150" s="24" t="s">
        <v>1142</v>
      </c>
      <c r="E150" s="25"/>
      <c r="F150" s="25">
        <v>20</v>
      </c>
      <c r="G150" s="25"/>
      <c r="H150" s="25">
        <v>130</v>
      </c>
      <c r="I150" s="25"/>
      <c r="J150" s="25"/>
      <c r="K150" s="25"/>
      <c r="L150" s="25"/>
      <c r="M150" s="25"/>
      <c r="N150" s="25"/>
      <c r="O150" s="25"/>
      <c r="P150" s="25"/>
      <c r="Q150" s="22">
        <f t="shared" si="2"/>
        <v>150</v>
      </c>
    </row>
    <row r="151" spans="1:17" ht="15.75" customHeight="1">
      <c r="A151" s="19">
        <v>149</v>
      </c>
      <c r="B151" s="20" t="s">
        <v>1002</v>
      </c>
      <c r="C151" s="20" t="s">
        <v>799</v>
      </c>
      <c r="D151" s="20" t="s">
        <v>1003</v>
      </c>
      <c r="E151" s="21"/>
      <c r="F151" s="21"/>
      <c r="G151" s="21"/>
      <c r="H151" s="21">
        <v>30</v>
      </c>
      <c r="I151" s="21"/>
      <c r="J151" s="21"/>
      <c r="K151" s="21"/>
      <c r="L151" s="21"/>
      <c r="M151" s="21"/>
      <c r="N151" s="21"/>
      <c r="O151" s="21"/>
      <c r="P151" s="21"/>
      <c r="Q151" s="22">
        <f t="shared" si="2"/>
        <v>30</v>
      </c>
    </row>
    <row r="152" spans="1:17" ht="15.75" customHeight="1">
      <c r="A152" s="23">
        <v>150</v>
      </c>
      <c r="B152" s="24" t="s">
        <v>1004</v>
      </c>
      <c r="C152" s="24" t="s">
        <v>776</v>
      </c>
      <c r="D152" s="24" t="s">
        <v>1005</v>
      </c>
      <c r="E152" s="25"/>
      <c r="F152" s="25"/>
      <c r="G152" s="25"/>
      <c r="H152" s="25">
        <v>50</v>
      </c>
      <c r="I152" s="25"/>
      <c r="J152" s="25"/>
      <c r="K152" s="25"/>
      <c r="L152" s="25"/>
      <c r="M152" s="25"/>
      <c r="N152" s="25"/>
      <c r="O152" s="25"/>
      <c r="P152" s="25"/>
      <c r="Q152" s="22">
        <f t="shared" si="2"/>
        <v>50</v>
      </c>
    </row>
    <row r="153" spans="1:17" ht="15.75" customHeight="1">
      <c r="A153" s="19">
        <v>151</v>
      </c>
      <c r="B153" s="20" t="s">
        <v>3137</v>
      </c>
      <c r="C153" s="20" t="s">
        <v>678</v>
      </c>
      <c r="D153" s="20" t="s">
        <v>3138</v>
      </c>
      <c r="E153" s="21"/>
      <c r="F153" s="21"/>
      <c r="G153" s="21"/>
      <c r="H153" s="21">
        <v>150</v>
      </c>
      <c r="I153" s="21"/>
      <c r="J153" s="21"/>
      <c r="K153" s="21"/>
      <c r="L153" s="21"/>
      <c r="M153" s="21"/>
      <c r="N153" s="21"/>
      <c r="O153" s="21"/>
      <c r="P153" s="21"/>
      <c r="Q153" s="22">
        <f t="shared" si="2"/>
        <v>150</v>
      </c>
    </row>
    <row r="154" spans="1:17" ht="15.75" customHeight="1">
      <c r="A154" s="23">
        <v>152</v>
      </c>
      <c r="B154" s="24" t="s">
        <v>3455</v>
      </c>
      <c r="C154" s="24" t="s">
        <v>692</v>
      </c>
      <c r="D154" s="24" t="s">
        <v>3456</v>
      </c>
      <c r="E154" s="25"/>
      <c r="F154" s="25"/>
      <c r="G154" s="25"/>
      <c r="H154" s="25">
        <v>100</v>
      </c>
      <c r="I154" s="25"/>
      <c r="J154" s="25"/>
      <c r="K154" s="25"/>
      <c r="L154" s="25"/>
      <c r="M154" s="25"/>
      <c r="N154" s="25"/>
      <c r="O154" s="25"/>
      <c r="P154" s="25"/>
      <c r="Q154" s="22">
        <f t="shared" si="2"/>
        <v>100</v>
      </c>
    </row>
    <row r="155" spans="1:17" ht="15.75" customHeight="1">
      <c r="A155" s="19">
        <v>153</v>
      </c>
      <c r="B155" s="20" t="s">
        <v>3457</v>
      </c>
      <c r="C155" s="20" t="s">
        <v>697</v>
      </c>
      <c r="D155" s="20" t="s">
        <v>3458</v>
      </c>
      <c r="E155" s="21"/>
      <c r="F155" s="21"/>
      <c r="G155" s="21"/>
      <c r="H155" s="21">
        <v>100</v>
      </c>
      <c r="I155" s="21"/>
      <c r="J155" s="21"/>
      <c r="K155" s="21"/>
      <c r="L155" s="21"/>
      <c r="M155" s="21"/>
      <c r="N155" s="21"/>
      <c r="O155" s="21"/>
      <c r="P155" s="21"/>
      <c r="Q155" s="22">
        <f t="shared" si="2"/>
        <v>100</v>
      </c>
    </row>
    <row r="156" spans="1:17" ht="15.75" customHeight="1">
      <c r="A156" s="23">
        <v>154</v>
      </c>
      <c r="B156" s="24" t="s">
        <v>3459</v>
      </c>
      <c r="C156" s="24" t="s">
        <v>708</v>
      </c>
      <c r="D156" s="24" t="s">
        <v>3460</v>
      </c>
      <c r="E156" s="25"/>
      <c r="F156" s="25"/>
      <c r="G156" s="25"/>
      <c r="H156" s="25">
        <v>50</v>
      </c>
      <c r="I156" s="25"/>
      <c r="J156" s="25"/>
      <c r="K156" s="25"/>
      <c r="L156" s="25"/>
      <c r="M156" s="25"/>
      <c r="N156" s="25"/>
      <c r="O156" s="25"/>
      <c r="P156" s="25"/>
      <c r="Q156" s="22">
        <f t="shared" si="2"/>
        <v>50</v>
      </c>
    </row>
    <row r="157" spans="1:17" ht="15.75" customHeight="1">
      <c r="A157" s="19">
        <v>155</v>
      </c>
      <c r="B157" s="20" t="s">
        <v>3150</v>
      </c>
      <c r="C157" s="20" t="s">
        <v>3151</v>
      </c>
      <c r="D157" s="20" t="s">
        <v>1142</v>
      </c>
      <c r="E157" s="21"/>
      <c r="F157" s="21">
        <v>16</v>
      </c>
      <c r="G157" s="21"/>
      <c r="H157" s="21">
        <v>60</v>
      </c>
      <c r="I157" s="21"/>
      <c r="J157" s="21"/>
      <c r="K157" s="21"/>
      <c r="L157" s="21"/>
      <c r="M157" s="21"/>
      <c r="N157" s="21"/>
      <c r="O157" s="21"/>
      <c r="P157" s="21"/>
      <c r="Q157" s="22">
        <f t="shared" si="2"/>
        <v>76</v>
      </c>
    </row>
    <row r="158" spans="1:17" ht="15.75" customHeight="1">
      <c r="A158" s="23">
        <v>156</v>
      </c>
      <c r="B158" s="24" t="s">
        <v>1042</v>
      </c>
      <c r="C158" s="24" t="s">
        <v>351</v>
      </c>
      <c r="D158" s="24" t="s">
        <v>1043</v>
      </c>
      <c r="E158" s="25"/>
      <c r="F158" s="25"/>
      <c r="G158" s="25"/>
      <c r="H158" s="25">
        <v>30</v>
      </c>
      <c r="I158" s="25"/>
      <c r="J158" s="25"/>
      <c r="K158" s="25"/>
      <c r="L158" s="25"/>
      <c r="M158" s="25"/>
      <c r="N158" s="25"/>
      <c r="O158" s="25"/>
      <c r="P158" s="25"/>
      <c r="Q158" s="22">
        <f t="shared" si="2"/>
        <v>30</v>
      </c>
    </row>
    <row r="159" spans="1:17" ht="15.75" customHeight="1">
      <c r="A159" s="19">
        <v>157</v>
      </c>
      <c r="B159" s="20" t="s">
        <v>1052</v>
      </c>
      <c r="C159" s="20" t="s">
        <v>480</v>
      </c>
      <c r="D159" s="20" t="s">
        <v>1053</v>
      </c>
      <c r="E159" s="21"/>
      <c r="F159" s="21"/>
      <c r="G159" s="21"/>
      <c r="H159" s="21">
        <v>60</v>
      </c>
      <c r="I159" s="21"/>
      <c r="J159" s="21"/>
      <c r="K159" s="21"/>
      <c r="L159" s="21"/>
      <c r="M159" s="21"/>
      <c r="N159" s="21"/>
      <c r="O159" s="21"/>
      <c r="P159" s="21"/>
      <c r="Q159" s="22">
        <f t="shared" si="2"/>
        <v>60</v>
      </c>
    </row>
    <row r="160" spans="1:17" ht="15.75" customHeight="1">
      <c r="A160" s="23">
        <v>158</v>
      </c>
      <c r="B160" s="24" t="s">
        <v>1087</v>
      </c>
      <c r="C160" s="24" t="s">
        <v>814</v>
      </c>
      <c r="D160" s="24" t="s">
        <v>1088</v>
      </c>
      <c r="E160" s="25"/>
      <c r="F160" s="25">
        <v>28</v>
      </c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2">
        <f t="shared" si="2"/>
        <v>28</v>
      </c>
    </row>
    <row r="161" spans="1:17" ht="15.75" customHeight="1">
      <c r="A161" s="19">
        <v>159</v>
      </c>
      <c r="B161" s="20" t="s">
        <v>1091</v>
      </c>
      <c r="C161" s="20" t="s">
        <v>869</v>
      </c>
      <c r="D161" s="20" t="s">
        <v>1092</v>
      </c>
      <c r="E161" s="21">
        <v>1300</v>
      </c>
      <c r="F161" s="21">
        <v>4500</v>
      </c>
      <c r="G161" s="21"/>
      <c r="H161" s="21">
        <v>1000</v>
      </c>
      <c r="I161" s="21"/>
      <c r="J161" s="21"/>
      <c r="K161" s="21"/>
      <c r="L161" s="21"/>
      <c r="M161" s="21"/>
      <c r="N161" s="21"/>
      <c r="O161" s="21"/>
      <c r="P161" s="21"/>
      <c r="Q161" s="22">
        <f t="shared" si="2"/>
        <v>6800</v>
      </c>
    </row>
    <row r="162" spans="1:17" ht="15.75" customHeight="1">
      <c r="A162" s="23">
        <v>160</v>
      </c>
      <c r="B162" s="24" t="s">
        <v>1093</v>
      </c>
      <c r="C162" s="24" t="s">
        <v>841</v>
      </c>
      <c r="D162" s="24" t="s">
        <v>1094</v>
      </c>
      <c r="E162" s="25"/>
      <c r="F162" s="25"/>
      <c r="G162" s="25"/>
      <c r="H162" s="25">
        <v>1000</v>
      </c>
      <c r="I162" s="25"/>
      <c r="J162" s="25"/>
      <c r="K162" s="25"/>
      <c r="L162" s="25"/>
      <c r="M162" s="25"/>
      <c r="N162" s="25"/>
      <c r="O162" s="25"/>
      <c r="P162" s="25"/>
      <c r="Q162" s="22">
        <f t="shared" si="2"/>
        <v>1000</v>
      </c>
    </row>
    <row r="163" spans="1:17" ht="15.75" customHeight="1">
      <c r="A163" s="19">
        <v>161</v>
      </c>
      <c r="B163" s="20" t="s">
        <v>1095</v>
      </c>
      <c r="C163" s="20" t="s">
        <v>814</v>
      </c>
      <c r="D163" s="20" t="s">
        <v>1096</v>
      </c>
      <c r="E163" s="21"/>
      <c r="F163" s="21">
        <v>3000</v>
      </c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2">
        <f t="shared" si="2"/>
        <v>3000</v>
      </c>
    </row>
    <row r="164" spans="1:17" ht="15.75" customHeight="1">
      <c r="A164" s="23">
        <v>162</v>
      </c>
      <c r="B164" s="24" t="s">
        <v>1118</v>
      </c>
      <c r="C164" s="24" t="s">
        <v>370</v>
      </c>
      <c r="D164" s="24" t="s">
        <v>1115</v>
      </c>
      <c r="E164" s="25"/>
      <c r="F164" s="25"/>
      <c r="G164" s="25">
        <v>7</v>
      </c>
      <c r="H164" s="25"/>
      <c r="I164" s="25"/>
      <c r="J164" s="25"/>
      <c r="K164" s="25"/>
      <c r="L164" s="25"/>
      <c r="M164" s="25"/>
      <c r="N164" s="25"/>
      <c r="O164" s="25"/>
      <c r="P164" s="25"/>
      <c r="Q164" s="22">
        <f t="shared" si="2"/>
        <v>7</v>
      </c>
    </row>
    <row r="165" spans="1:17" ht="15.75" customHeight="1">
      <c r="A165" s="19">
        <v>163</v>
      </c>
      <c r="B165" s="20" t="s">
        <v>1119</v>
      </c>
      <c r="C165" s="20" t="s">
        <v>351</v>
      </c>
      <c r="D165" s="20" t="s">
        <v>1115</v>
      </c>
      <c r="E165" s="21">
        <v>4</v>
      </c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2">
        <f t="shared" si="2"/>
        <v>4</v>
      </c>
    </row>
    <row r="166" spans="1:17" ht="15.75" customHeight="1">
      <c r="A166" s="23">
        <v>164</v>
      </c>
      <c r="B166" s="24" t="s">
        <v>1120</v>
      </c>
      <c r="C166" s="24" t="s">
        <v>568</v>
      </c>
      <c r="D166" s="24" t="s">
        <v>1115</v>
      </c>
      <c r="E166" s="25"/>
      <c r="F166" s="25"/>
      <c r="G166" s="25">
        <v>1</v>
      </c>
      <c r="H166" s="25"/>
      <c r="I166" s="25"/>
      <c r="J166" s="25"/>
      <c r="K166" s="25"/>
      <c r="L166" s="25"/>
      <c r="M166" s="25"/>
      <c r="N166" s="25"/>
      <c r="O166" s="25"/>
      <c r="P166" s="25"/>
      <c r="Q166" s="22">
        <f t="shared" si="2"/>
        <v>1</v>
      </c>
    </row>
    <row r="167" spans="1:17" ht="15.75" customHeight="1">
      <c r="A167" s="19">
        <v>165</v>
      </c>
      <c r="B167" s="20" t="s">
        <v>3461</v>
      </c>
      <c r="C167" s="20" t="s">
        <v>3462</v>
      </c>
      <c r="D167" s="20"/>
      <c r="E167" s="21"/>
      <c r="F167" s="21">
        <v>10</v>
      </c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2">
        <f t="shared" si="2"/>
        <v>10</v>
      </c>
    </row>
    <row r="168" spans="1:17" ht="15.75" customHeight="1">
      <c r="A168" s="23">
        <v>166</v>
      </c>
      <c r="B168" s="24" t="s">
        <v>3463</v>
      </c>
      <c r="C168" s="24" t="s">
        <v>3464</v>
      </c>
      <c r="D168" s="24" t="s">
        <v>935</v>
      </c>
      <c r="E168" s="25"/>
      <c r="F168" s="25">
        <v>20</v>
      </c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2">
        <f t="shared" si="2"/>
        <v>20</v>
      </c>
    </row>
    <row r="169" spans="1:17" ht="15.75" customHeight="1">
      <c r="A169" s="19">
        <v>167</v>
      </c>
      <c r="B169" s="20" t="s">
        <v>3191</v>
      </c>
      <c r="C169" s="20" t="s">
        <v>3192</v>
      </c>
      <c r="D169" s="20" t="s">
        <v>935</v>
      </c>
      <c r="E169" s="21"/>
      <c r="F169" s="21">
        <v>20</v>
      </c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2">
        <f t="shared" si="2"/>
        <v>20</v>
      </c>
    </row>
    <row r="170" spans="1:17" ht="15.75" customHeight="1">
      <c r="A170" s="23">
        <v>168</v>
      </c>
      <c r="B170" s="24" t="s">
        <v>1163</v>
      </c>
      <c r="C170" s="24" t="s">
        <v>1164</v>
      </c>
      <c r="D170" s="24"/>
      <c r="E170" s="25">
        <v>10</v>
      </c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2">
        <f t="shared" si="2"/>
        <v>10</v>
      </c>
    </row>
    <row r="171" spans="1:17" ht="15.75" customHeight="1">
      <c r="A171" s="19">
        <v>169</v>
      </c>
      <c r="B171" s="20" t="s">
        <v>2679</v>
      </c>
      <c r="C171" s="20" t="s">
        <v>1260</v>
      </c>
      <c r="D171" s="20" t="s">
        <v>613</v>
      </c>
      <c r="E171" s="21"/>
      <c r="F171" s="21">
        <v>5</v>
      </c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2">
        <f t="shared" si="2"/>
        <v>5</v>
      </c>
    </row>
    <row r="172" spans="1:17" ht="15.75" customHeight="1">
      <c r="A172" s="23">
        <v>170</v>
      </c>
      <c r="B172" s="24" t="s">
        <v>2710</v>
      </c>
      <c r="C172" s="24" t="s">
        <v>2711</v>
      </c>
      <c r="D172" s="24"/>
      <c r="E172" s="25"/>
      <c r="F172" s="25">
        <v>10</v>
      </c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2">
        <f t="shared" si="2"/>
        <v>10</v>
      </c>
    </row>
    <row r="173" spans="1:17" ht="15.75" customHeight="1">
      <c r="A173" s="19">
        <v>171</v>
      </c>
      <c r="B173" s="20" t="s">
        <v>2731</v>
      </c>
      <c r="C173" s="20" t="s">
        <v>2732</v>
      </c>
      <c r="D173" s="20"/>
      <c r="E173" s="21"/>
      <c r="F173" s="21">
        <v>10</v>
      </c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2">
        <f t="shared" si="2"/>
        <v>10</v>
      </c>
    </row>
    <row r="174" spans="1:17" ht="15.75" customHeight="1">
      <c r="A174" s="23">
        <v>172</v>
      </c>
      <c r="B174" s="24" t="s">
        <v>3465</v>
      </c>
      <c r="C174" s="24" t="s">
        <v>367</v>
      </c>
      <c r="D174" s="24" t="s">
        <v>3466</v>
      </c>
      <c r="E174" s="25">
        <v>20</v>
      </c>
      <c r="F174" s="25"/>
      <c r="G174" s="25"/>
      <c r="H174" s="25">
        <v>1000</v>
      </c>
      <c r="I174" s="25"/>
      <c r="J174" s="25"/>
      <c r="K174" s="25"/>
      <c r="L174" s="25"/>
      <c r="M174" s="25"/>
      <c r="N174" s="25"/>
      <c r="O174" s="25"/>
      <c r="P174" s="25"/>
      <c r="Q174" s="22">
        <f t="shared" si="2"/>
        <v>1020</v>
      </c>
    </row>
    <row r="175" spans="1:17" ht="15.75" customHeight="1">
      <c r="A175" s="19">
        <v>173</v>
      </c>
      <c r="B175" s="20" t="s">
        <v>3467</v>
      </c>
      <c r="C175" s="20" t="s">
        <v>351</v>
      </c>
      <c r="D175" s="20" t="s">
        <v>3468</v>
      </c>
      <c r="E175" s="21">
        <v>10</v>
      </c>
      <c r="F175" s="21"/>
      <c r="G175" s="21"/>
      <c r="H175" s="21">
        <v>1000</v>
      </c>
      <c r="I175" s="21"/>
      <c r="J175" s="21"/>
      <c r="K175" s="21"/>
      <c r="L175" s="21"/>
      <c r="M175" s="21"/>
      <c r="N175" s="21"/>
      <c r="O175" s="21"/>
      <c r="P175" s="21"/>
      <c r="Q175" s="22">
        <f t="shared" si="2"/>
        <v>1010</v>
      </c>
    </row>
    <row r="176" spans="1:17" ht="15.75" customHeight="1">
      <c r="A176" s="23">
        <v>174</v>
      </c>
      <c r="B176" s="24" t="s">
        <v>3469</v>
      </c>
      <c r="C176" s="24" t="s">
        <v>779</v>
      </c>
      <c r="D176" s="24" t="s">
        <v>3470</v>
      </c>
      <c r="E176" s="25">
        <v>550</v>
      </c>
      <c r="F176" s="25"/>
      <c r="G176" s="25"/>
      <c r="H176" s="25">
        <v>1000</v>
      </c>
      <c r="I176" s="25"/>
      <c r="J176" s="25"/>
      <c r="K176" s="25"/>
      <c r="L176" s="25"/>
      <c r="M176" s="25"/>
      <c r="N176" s="25"/>
      <c r="O176" s="25"/>
      <c r="P176" s="25"/>
      <c r="Q176" s="22">
        <f t="shared" si="2"/>
        <v>1550</v>
      </c>
    </row>
    <row r="177" spans="1:17" ht="15.75" customHeight="1">
      <c r="A177" s="19">
        <v>175</v>
      </c>
      <c r="B177" s="20" t="s">
        <v>3471</v>
      </c>
      <c r="C177" s="20" t="s">
        <v>802</v>
      </c>
      <c r="D177" s="20" t="s">
        <v>3472</v>
      </c>
      <c r="E177" s="21">
        <v>118</v>
      </c>
      <c r="F177" s="21"/>
      <c r="G177" s="21"/>
      <c r="H177" s="21">
        <v>1000</v>
      </c>
      <c r="I177" s="21"/>
      <c r="J177" s="21"/>
      <c r="K177" s="21"/>
      <c r="L177" s="21"/>
      <c r="M177" s="21"/>
      <c r="N177" s="21"/>
      <c r="O177" s="21"/>
      <c r="P177" s="21"/>
      <c r="Q177" s="22">
        <f t="shared" si="2"/>
        <v>1118</v>
      </c>
    </row>
    <row r="178" spans="1:17" ht="15.75" customHeight="1">
      <c r="A178" s="23">
        <v>176</v>
      </c>
      <c r="B178" s="24" t="s">
        <v>3473</v>
      </c>
      <c r="C178" s="24" t="s">
        <v>823</v>
      </c>
      <c r="D178" s="24" t="s">
        <v>3474</v>
      </c>
      <c r="E178" s="25">
        <v>230</v>
      </c>
      <c r="F178" s="25"/>
      <c r="G178" s="25"/>
      <c r="H178" s="25">
        <v>1000</v>
      </c>
      <c r="I178" s="25"/>
      <c r="J178" s="25"/>
      <c r="K178" s="25"/>
      <c r="L178" s="25"/>
      <c r="M178" s="25"/>
      <c r="N178" s="25"/>
      <c r="O178" s="25"/>
      <c r="P178" s="25"/>
      <c r="Q178" s="22">
        <f t="shared" si="2"/>
        <v>1230</v>
      </c>
    </row>
    <row r="179" spans="1:17" ht="15.75" customHeight="1">
      <c r="A179" s="19">
        <v>177</v>
      </c>
      <c r="B179" s="20" t="s">
        <v>3475</v>
      </c>
      <c r="C179" s="20" t="s">
        <v>835</v>
      </c>
      <c r="D179" s="20" t="s">
        <v>3476</v>
      </c>
      <c r="E179" s="21"/>
      <c r="F179" s="21"/>
      <c r="G179" s="21"/>
      <c r="H179" s="21">
        <v>1000</v>
      </c>
      <c r="I179" s="21"/>
      <c r="J179" s="21"/>
      <c r="K179" s="21"/>
      <c r="L179" s="21"/>
      <c r="M179" s="21"/>
      <c r="N179" s="21"/>
      <c r="O179" s="21"/>
      <c r="P179" s="21"/>
      <c r="Q179" s="22">
        <f t="shared" si="2"/>
        <v>1000</v>
      </c>
    </row>
    <row r="180" spans="1:17" ht="15.75" customHeight="1">
      <c r="A180" s="23">
        <v>178</v>
      </c>
      <c r="B180" s="24" t="s">
        <v>3477</v>
      </c>
      <c r="C180" s="24" t="s">
        <v>849</v>
      </c>
      <c r="D180" s="24" t="s">
        <v>3478</v>
      </c>
      <c r="E180" s="25">
        <v>150</v>
      </c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2">
        <f t="shared" si="2"/>
        <v>150</v>
      </c>
    </row>
    <row r="181" spans="1:17" ht="15.75" customHeight="1">
      <c r="A181" s="19">
        <v>179</v>
      </c>
      <c r="B181" s="20" t="s">
        <v>3479</v>
      </c>
      <c r="C181" s="20" t="s">
        <v>855</v>
      </c>
      <c r="D181" s="20" t="s">
        <v>3480</v>
      </c>
      <c r="E181" s="21">
        <v>150</v>
      </c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2">
        <f t="shared" si="2"/>
        <v>150</v>
      </c>
    </row>
    <row r="182" spans="1:17" ht="15.75" customHeight="1">
      <c r="A182" s="23">
        <v>180</v>
      </c>
      <c r="B182" s="24" t="s">
        <v>3481</v>
      </c>
      <c r="C182" s="24" t="s">
        <v>875</v>
      </c>
      <c r="D182" s="24" t="s">
        <v>3482</v>
      </c>
      <c r="E182" s="25">
        <v>150</v>
      </c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2">
        <f t="shared" si="2"/>
        <v>150</v>
      </c>
    </row>
    <row r="183" spans="1:17" ht="15.75" customHeight="1">
      <c r="A183" s="19">
        <v>181</v>
      </c>
      <c r="B183" s="20" t="s">
        <v>3483</v>
      </c>
      <c r="C183" s="20" t="s">
        <v>776</v>
      </c>
      <c r="D183" s="20" t="s">
        <v>3484</v>
      </c>
      <c r="E183" s="21">
        <v>100</v>
      </c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2">
        <f t="shared" si="2"/>
        <v>100</v>
      </c>
    </row>
    <row r="184" spans="1:17" ht="15.75" customHeight="1">
      <c r="A184" s="23">
        <v>182</v>
      </c>
      <c r="B184" s="24" t="s">
        <v>3485</v>
      </c>
      <c r="C184" s="24" t="s">
        <v>820</v>
      </c>
      <c r="D184" s="24" t="s">
        <v>3486</v>
      </c>
      <c r="E184" s="25">
        <v>100</v>
      </c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2">
        <f t="shared" si="2"/>
        <v>100</v>
      </c>
    </row>
    <row r="185" spans="1:17" ht="15.75" customHeight="1">
      <c r="A185" s="19">
        <v>183</v>
      </c>
      <c r="B185" s="20" t="s">
        <v>3487</v>
      </c>
      <c r="C185" s="20" t="s">
        <v>846</v>
      </c>
      <c r="D185" s="20" t="s">
        <v>3488</v>
      </c>
      <c r="E185" s="21">
        <v>100</v>
      </c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2">
        <f t="shared" si="2"/>
        <v>100</v>
      </c>
    </row>
    <row r="186" spans="1:17" ht="15.75" customHeight="1">
      <c r="A186" s="23">
        <v>184</v>
      </c>
      <c r="B186" s="24" t="s">
        <v>3489</v>
      </c>
      <c r="C186" s="24" t="s">
        <v>872</v>
      </c>
      <c r="D186" s="24" t="s">
        <v>3490</v>
      </c>
      <c r="E186" s="25">
        <v>100</v>
      </c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2">
        <f t="shared" si="2"/>
        <v>100</v>
      </c>
    </row>
    <row r="187" spans="1:17" ht="15.75" customHeight="1">
      <c r="A187" s="19">
        <v>185</v>
      </c>
      <c r="B187" s="20" t="s">
        <v>3491</v>
      </c>
      <c r="C187" s="20" t="s">
        <v>681</v>
      </c>
      <c r="D187" s="20" t="s">
        <v>3492</v>
      </c>
      <c r="E187" s="21">
        <v>30</v>
      </c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2">
        <f t="shared" si="2"/>
        <v>30</v>
      </c>
    </row>
    <row r="188" spans="1:17" ht="15.75" customHeight="1">
      <c r="A188" s="23">
        <v>186</v>
      </c>
      <c r="B188" s="24" t="s">
        <v>3493</v>
      </c>
      <c r="C188" s="24" t="s">
        <v>700</v>
      </c>
      <c r="D188" s="24" t="s">
        <v>3494</v>
      </c>
      <c r="E188" s="25">
        <v>10</v>
      </c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2">
        <f t="shared" si="2"/>
        <v>10</v>
      </c>
    </row>
    <row r="189" spans="1:17" ht="15.75" customHeight="1">
      <c r="A189" s="19">
        <v>187</v>
      </c>
      <c r="B189" s="20" t="s">
        <v>3495</v>
      </c>
      <c r="C189" s="20" t="s">
        <v>744</v>
      </c>
      <c r="D189" s="20" t="s">
        <v>3496</v>
      </c>
      <c r="E189" s="21">
        <v>452</v>
      </c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2">
        <f t="shared" si="2"/>
        <v>452</v>
      </c>
    </row>
    <row r="190" spans="1:17" ht="15.75" customHeight="1">
      <c r="A190" s="23">
        <v>188</v>
      </c>
      <c r="B190" s="24" t="s">
        <v>3497</v>
      </c>
      <c r="C190" s="24" t="s">
        <v>357</v>
      </c>
      <c r="D190" s="24" t="s">
        <v>3498</v>
      </c>
      <c r="E190" s="25">
        <v>1162</v>
      </c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2">
        <f t="shared" si="2"/>
        <v>1162</v>
      </c>
    </row>
    <row r="191" spans="1:17" ht="15.75" customHeight="1">
      <c r="A191" s="19">
        <v>189</v>
      </c>
      <c r="B191" s="20" t="s">
        <v>3499</v>
      </c>
      <c r="C191" s="20" t="s">
        <v>524</v>
      </c>
      <c r="D191" s="20" t="s">
        <v>3500</v>
      </c>
      <c r="E191" s="21">
        <v>10</v>
      </c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2">
        <f t="shared" si="2"/>
        <v>10</v>
      </c>
    </row>
    <row r="192" spans="1:17" ht="15.75" customHeight="1">
      <c r="A192" s="23">
        <v>190</v>
      </c>
      <c r="B192" s="24" t="s">
        <v>3501</v>
      </c>
      <c r="C192" s="24" t="s">
        <v>516</v>
      </c>
      <c r="D192" s="24" t="s">
        <v>3502</v>
      </c>
      <c r="E192" s="25">
        <v>1020</v>
      </c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2">
        <f t="shared" si="2"/>
        <v>1020</v>
      </c>
    </row>
    <row r="193" spans="1:17" ht="15.75" customHeight="1">
      <c r="A193" s="19">
        <v>191</v>
      </c>
      <c r="B193" s="20" t="s">
        <v>3503</v>
      </c>
      <c r="C193" s="20" t="s">
        <v>3504</v>
      </c>
      <c r="D193" s="20" t="s">
        <v>59</v>
      </c>
      <c r="E193" s="21">
        <v>1</v>
      </c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2">
        <f t="shared" si="2"/>
        <v>1</v>
      </c>
    </row>
    <row r="194" spans="1:17" ht="15.75" customHeight="1">
      <c r="A194" s="23">
        <v>192</v>
      </c>
      <c r="B194" s="24" t="s">
        <v>3324</v>
      </c>
      <c r="C194" s="24" t="s">
        <v>1350</v>
      </c>
      <c r="D194" s="24" t="s">
        <v>24</v>
      </c>
      <c r="E194" s="25"/>
      <c r="F194" s="25"/>
      <c r="G194" s="25">
        <v>6</v>
      </c>
      <c r="H194" s="25"/>
      <c r="I194" s="25"/>
      <c r="J194" s="25"/>
      <c r="K194" s="25"/>
      <c r="L194" s="25"/>
      <c r="M194" s="25"/>
      <c r="N194" s="25"/>
      <c r="O194" s="25"/>
      <c r="P194" s="25"/>
      <c r="Q194" s="22">
        <f t="shared" si="2"/>
        <v>6</v>
      </c>
    </row>
    <row r="195" spans="1:17" ht="15.75" customHeight="1">
      <c r="A195" s="19">
        <v>193</v>
      </c>
      <c r="B195" s="20" t="s">
        <v>1397</v>
      </c>
      <c r="C195" s="20" t="s">
        <v>1398</v>
      </c>
      <c r="D195" s="20" t="s">
        <v>1396</v>
      </c>
      <c r="E195" s="21"/>
      <c r="F195" s="21">
        <v>48</v>
      </c>
      <c r="G195" s="21">
        <v>20</v>
      </c>
      <c r="H195" s="21"/>
      <c r="I195" s="21"/>
      <c r="J195" s="21"/>
      <c r="K195" s="21"/>
      <c r="L195" s="21"/>
      <c r="M195" s="21"/>
      <c r="N195" s="21"/>
      <c r="O195" s="21"/>
      <c r="P195" s="21"/>
      <c r="Q195" s="22">
        <f t="shared" ref="Q195:Q258" si="3">SUM(E195:P195)</f>
        <v>68</v>
      </c>
    </row>
    <row r="196" spans="1:17" ht="15.75" customHeight="1">
      <c r="A196" s="23">
        <v>194</v>
      </c>
      <c r="B196" s="24" t="s">
        <v>1401</v>
      </c>
      <c r="C196" s="24" t="s">
        <v>1402</v>
      </c>
      <c r="D196" s="24" t="s">
        <v>1396</v>
      </c>
      <c r="E196" s="25">
        <v>60</v>
      </c>
      <c r="F196" s="25"/>
      <c r="G196" s="25">
        <v>40</v>
      </c>
      <c r="H196" s="25"/>
      <c r="I196" s="25"/>
      <c r="J196" s="25"/>
      <c r="K196" s="25"/>
      <c r="L196" s="25"/>
      <c r="M196" s="25"/>
      <c r="N196" s="25"/>
      <c r="O196" s="25"/>
      <c r="P196" s="25"/>
      <c r="Q196" s="22">
        <f t="shared" si="3"/>
        <v>100</v>
      </c>
    </row>
    <row r="197" spans="1:17" ht="15.75" customHeight="1">
      <c r="A197" s="19">
        <v>195</v>
      </c>
      <c r="B197" s="20" t="s">
        <v>1405</v>
      </c>
      <c r="C197" s="20" t="s">
        <v>1406</v>
      </c>
      <c r="D197" s="20" t="s">
        <v>1396</v>
      </c>
      <c r="E197" s="21">
        <v>10</v>
      </c>
      <c r="F197" s="21"/>
      <c r="G197" s="21">
        <v>10</v>
      </c>
      <c r="H197" s="21"/>
      <c r="I197" s="21"/>
      <c r="J197" s="21"/>
      <c r="K197" s="21"/>
      <c r="L197" s="21"/>
      <c r="M197" s="21"/>
      <c r="N197" s="21"/>
      <c r="O197" s="21"/>
      <c r="P197" s="21"/>
      <c r="Q197" s="22">
        <f t="shared" si="3"/>
        <v>20</v>
      </c>
    </row>
    <row r="198" spans="1:17" ht="15.75" customHeight="1">
      <c r="A198" s="23">
        <v>196</v>
      </c>
      <c r="B198" s="24" t="s">
        <v>1407</v>
      </c>
      <c r="C198" s="24" t="s">
        <v>1408</v>
      </c>
      <c r="D198" s="24" t="s">
        <v>284</v>
      </c>
      <c r="E198" s="25">
        <v>350</v>
      </c>
      <c r="F198" s="25">
        <v>300</v>
      </c>
      <c r="G198" s="25"/>
      <c r="H198" s="25">
        <v>100</v>
      </c>
      <c r="I198" s="25"/>
      <c r="J198" s="25"/>
      <c r="K198" s="25"/>
      <c r="L198" s="25"/>
      <c r="M198" s="25"/>
      <c r="N198" s="25"/>
      <c r="O198" s="25"/>
      <c r="P198" s="25"/>
      <c r="Q198" s="22">
        <f t="shared" si="3"/>
        <v>750</v>
      </c>
    </row>
    <row r="199" spans="1:17" ht="15.75" customHeight="1">
      <c r="A199" s="19">
        <v>197</v>
      </c>
      <c r="B199" s="20" t="s">
        <v>3328</v>
      </c>
      <c r="C199" s="20" t="s">
        <v>3329</v>
      </c>
      <c r="D199" s="20" t="s">
        <v>284</v>
      </c>
      <c r="E199" s="21"/>
      <c r="F199" s="21">
        <v>60</v>
      </c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2">
        <f t="shared" si="3"/>
        <v>60</v>
      </c>
    </row>
    <row r="200" spans="1:17" ht="15.75" customHeight="1">
      <c r="A200" s="23">
        <v>198</v>
      </c>
      <c r="B200" s="24" t="s">
        <v>1414</v>
      </c>
      <c r="C200" s="24" t="s">
        <v>1415</v>
      </c>
      <c r="D200" s="24" t="s">
        <v>1396</v>
      </c>
      <c r="E200" s="25">
        <v>79</v>
      </c>
      <c r="F200" s="25"/>
      <c r="G200" s="25">
        <v>32</v>
      </c>
      <c r="H200" s="25"/>
      <c r="I200" s="25"/>
      <c r="J200" s="25"/>
      <c r="K200" s="25"/>
      <c r="L200" s="25"/>
      <c r="M200" s="25"/>
      <c r="N200" s="25"/>
      <c r="O200" s="25"/>
      <c r="P200" s="25"/>
      <c r="Q200" s="22">
        <f t="shared" si="3"/>
        <v>111</v>
      </c>
    </row>
    <row r="201" spans="1:17" ht="15.75" customHeight="1">
      <c r="A201" s="19">
        <v>199</v>
      </c>
      <c r="B201" s="20" t="s">
        <v>1416</v>
      </c>
      <c r="C201" s="20" t="s">
        <v>1417</v>
      </c>
      <c r="D201" s="20" t="s">
        <v>284</v>
      </c>
      <c r="E201" s="21">
        <v>11550</v>
      </c>
      <c r="F201" s="21">
        <v>230</v>
      </c>
      <c r="G201" s="21"/>
      <c r="H201" s="21">
        <v>8</v>
      </c>
      <c r="I201" s="21"/>
      <c r="J201" s="21"/>
      <c r="K201" s="21"/>
      <c r="L201" s="21"/>
      <c r="M201" s="21"/>
      <c r="N201" s="21"/>
      <c r="O201" s="21"/>
      <c r="P201" s="21"/>
      <c r="Q201" s="22">
        <f t="shared" si="3"/>
        <v>11788</v>
      </c>
    </row>
    <row r="202" spans="1:17" ht="15.75" customHeight="1">
      <c r="A202" s="23">
        <v>200</v>
      </c>
      <c r="B202" s="24" t="s">
        <v>1420</v>
      </c>
      <c r="C202" s="24" t="s">
        <v>1421</v>
      </c>
      <c r="D202" s="24" t="s">
        <v>284</v>
      </c>
      <c r="E202" s="25">
        <v>210</v>
      </c>
      <c r="F202" s="25">
        <v>90</v>
      </c>
      <c r="G202" s="25">
        <v>148</v>
      </c>
      <c r="H202" s="25">
        <v>24</v>
      </c>
      <c r="I202" s="25"/>
      <c r="J202" s="25"/>
      <c r="K202" s="25"/>
      <c r="L202" s="25"/>
      <c r="M202" s="25"/>
      <c r="N202" s="25"/>
      <c r="O202" s="25"/>
      <c r="P202" s="25"/>
      <c r="Q202" s="22">
        <f t="shared" si="3"/>
        <v>472</v>
      </c>
    </row>
    <row r="203" spans="1:17" ht="15.75" customHeight="1">
      <c r="A203" s="19">
        <v>201</v>
      </c>
      <c r="B203" s="20" t="s">
        <v>1422</v>
      </c>
      <c r="C203" s="20" t="s">
        <v>1423</v>
      </c>
      <c r="D203" s="20" t="s">
        <v>284</v>
      </c>
      <c r="E203" s="21">
        <v>20</v>
      </c>
      <c r="F203" s="21"/>
      <c r="G203" s="21">
        <v>50</v>
      </c>
      <c r="H203" s="21"/>
      <c r="I203" s="21"/>
      <c r="J203" s="21"/>
      <c r="K203" s="21"/>
      <c r="L203" s="21"/>
      <c r="M203" s="21"/>
      <c r="N203" s="21"/>
      <c r="O203" s="21"/>
      <c r="P203" s="21"/>
      <c r="Q203" s="22">
        <f t="shared" si="3"/>
        <v>70</v>
      </c>
    </row>
    <row r="204" spans="1:17" ht="15.75" customHeight="1">
      <c r="A204" s="23">
        <v>202</v>
      </c>
      <c r="B204" s="24" t="s">
        <v>1424</v>
      </c>
      <c r="C204" s="24" t="s">
        <v>1415</v>
      </c>
      <c r="D204" s="24" t="s">
        <v>1425</v>
      </c>
      <c r="E204" s="25">
        <v>75</v>
      </c>
      <c r="F204" s="25"/>
      <c r="G204" s="25">
        <v>78</v>
      </c>
      <c r="H204" s="25"/>
      <c r="I204" s="25"/>
      <c r="J204" s="25"/>
      <c r="K204" s="25"/>
      <c r="L204" s="25"/>
      <c r="M204" s="25"/>
      <c r="N204" s="25"/>
      <c r="O204" s="25"/>
      <c r="P204" s="25"/>
      <c r="Q204" s="22">
        <f t="shared" si="3"/>
        <v>153</v>
      </c>
    </row>
    <row r="205" spans="1:17" ht="15.75" customHeight="1">
      <c r="A205" s="19">
        <v>203</v>
      </c>
      <c r="B205" s="20" t="s">
        <v>2778</v>
      </c>
      <c r="C205" s="20" t="s">
        <v>2779</v>
      </c>
      <c r="D205" s="20" t="s">
        <v>1396</v>
      </c>
      <c r="E205" s="21">
        <v>30</v>
      </c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2">
        <f t="shared" si="3"/>
        <v>30</v>
      </c>
    </row>
    <row r="206" spans="1:17" ht="15.75" customHeight="1">
      <c r="A206" s="23">
        <v>204</v>
      </c>
      <c r="B206" s="24" t="s">
        <v>2785</v>
      </c>
      <c r="C206" s="24" t="s">
        <v>1466</v>
      </c>
      <c r="D206" s="24" t="s">
        <v>42</v>
      </c>
      <c r="E206" s="25">
        <v>10</v>
      </c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2">
        <f t="shared" si="3"/>
        <v>10</v>
      </c>
    </row>
    <row r="207" spans="1:17" ht="15.75" customHeight="1">
      <c r="A207" s="19">
        <v>205</v>
      </c>
      <c r="B207" s="20" t="s">
        <v>3505</v>
      </c>
      <c r="C207" s="20" t="s">
        <v>1475</v>
      </c>
      <c r="D207" s="20" t="s">
        <v>42</v>
      </c>
      <c r="E207" s="21">
        <v>10</v>
      </c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2">
        <f t="shared" si="3"/>
        <v>10</v>
      </c>
    </row>
    <row r="208" spans="1:17" ht="15.75" customHeight="1">
      <c r="A208" s="23">
        <v>206</v>
      </c>
      <c r="B208" s="24" t="s">
        <v>3506</v>
      </c>
      <c r="C208" s="24" t="s">
        <v>1475</v>
      </c>
      <c r="D208" s="24" t="s">
        <v>24</v>
      </c>
      <c r="E208" s="25">
        <v>31</v>
      </c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2">
        <f t="shared" si="3"/>
        <v>31</v>
      </c>
    </row>
    <row r="209" spans="1:17" ht="15.75" customHeight="1">
      <c r="A209" s="19">
        <v>207</v>
      </c>
      <c r="B209" s="20" t="s">
        <v>1482</v>
      </c>
      <c r="C209" s="20" t="s">
        <v>1481</v>
      </c>
      <c r="D209" s="20" t="s">
        <v>32</v>
      </c>
      <c r="E209" s="21"/>
      <c r="F209" s="21"/>
      <c r="G209" s="21">
        <v>1</v>
      </c>
      <c r="H209" s="21"/>
      <c r="I209" s="21"/>
      <c r="J209" s="21"/>
      <c r="K209" s="21"/>
      <c r="L209" s="21"/>
      <c r="M209" s="21"/>
      <c r="N209" s="21"/>
      <c r="O209" s="21"/>
      <c r="P209" s="21"/>
      <c r="Q209" s="22">
        <f t="shared" si="3"/>
        <v>1</v>
      </c>
    </row>
    <row r="210" spans="1:17" ht="15.75" customHeight="1">
      <c r="A210" s="23">
        <v>208</v>
      </c>
      <c r="B210" s="24" t="s">
        <v>1483</v>
      </c>
      <c r="C210" s="24" t="s">
        <v>1481</v>
      </c>
      <c r="D210" s="24" t="s">
        <v>42</v>
      </c>
      <c r="E210" s="25"/>
      <c r="F210" s="25">
        <v>3</v>
      </c>
      <c r="G210" s="25">
        <v>114</v>
      </c>
      <c r="H210" s="25"/>
      <c r="I210" s="25"/>
      <c r="J210" s="25"/>
      <c r="K210" s="25"/>
      <c r="L210" s="25"/>
      <c r="M210" s="25"/>
      <c r="N210" s="25"/>
      <c r="O210" s="25"/>
      <c r="P210" s="25"/>
      <c r="Q210" s="22">
        <f t="shared" si="3"/>
        <v>117</v>
      </c>
    </row>
    <row r="211" spans="1:17" ht="15.75" customHeight="1">
      <c r="A211" s="19">
        <v>209</v>
      </c>
      <c r="B211" s="20" t="s">
        <v>1485</v>
      </c>
      <c r="C211" s="20" t="s">
        <v>1481</v>
      </c>
      <c r="D211" s="20" t="s">
        <v>45</v>
      </c>
      <c r="E211" s="21"/>
      <c r="F211" s="21"/>
      <c r="G211" s="21">
        <v>4</v>
      </c>
      <c r="H211" s="21"/>
      <c r="I211" s="21"/>
      <c r="J211" s="21"/>
      <c r="K211" s="21"/>
      <c r="L211" s="21"/>
      <c r="M211" s="21"/>
      <c r="N211" s="21"/>
      <c r="O211" s="21"/>
      <c r="P211" s="21"/>
      <c r="Q211" s="22">
        <f t="shared" si="3"/>
        <v>4</v>
      </c>
    </row>
    <row r="212" spans="1:17" ht="15.75" customHeight="1">
      <c r="A212" s="23">
        <v>210</v>
      </c>
      <c r="B212" s="24" t="s">
        <v>1486</v>
      </c>
      <c r="C212" s="24" t="s">
        <v>1481</v>
      </c>
      <c r="D212" s="24" t="s">
        <v>24</v>
      </c>
      <c r="E212" s="25">
        <v>10</v>
      </c>
      <c r="F212" s="25"/>
      <c r="G212" s="25">
        <v>7</v>
      </c>
      <c r="H212" s="25"/>
      <c r="I212" s="25"/>
      <c r="J212" s="25"/>
      <c r="K212" s="25"/>
      <c r="L212" s="25"/>
      <c r="M212" s="25"/>
      <c r="N212" s="25"/>
      <c r="O212" s="25"/>
      <c r="P212" s="25"/>
      <c r="Q212" s="22">
        <f t="shared" si="3"/>
        <v>17</v>
      </c>
    </row>
    <row r="213" spans="1:17" ht="15.75" customHeight="1">
      <c r="A213" s="19">
        <v>211</v>
      </c>
      <c r="B213" s="20" t="s">
        <v>1496</v>
      </c>
      <c r="C213" s="20" t="s">
        <v>1493</v>
      </c>
      <c r="D213" s="20" t="s">
        <v>42</v>
      </c>
      <c r="E213" s="21">
        <v>1</v>
      </c>
      <c r="F213" s="21">
        <v>10</v>
      </c>
      <c r="G213" s="21"/>
      <c r="H213" s="21">
        <v>7</v>
      </c>
      <c r="I213" s="21"/>
      <c r="J213" s="21"/>
      <c r="K213" s="21"/>
      <c r="L213" s="21"/>
      <c r="M213" s="21"/>
      <c r="N213" s="21"/>
      <c r="O213" s="21"/>
      <c r="P213" s="21"/>
      <c r="Q213" s="22">
        <f t="shared" si="3"/>
        <v>18</v>
      </c>
    </row>
    <row r="214" spans="1:17" ht="15.75" customHeight="1">
      <c r="A214" s="23">
        <v>212</v>
      </c>
      <c r="B214" s="24" t="s">
        <v>1498</v>
      </c>
      <c r="C214" s="24" t="s">
        <v>1493</v>
      </c>
      <c r="D214" s="24" t="s">
        <v>45</v>
      </c>
      <c r="E214" s="25"/>
      <c r="F214" s="25">
        <v>1</v>
      </c>
      <c r="G214" s="25">
        <v>30</v>
      </c>
      <c r="H214" s="25"/>
      <c r="I214" s="25"/>
      <c r="J214" s="25"/>
      <c r="K214" s="25"/>
      <c r="L214" s="25"/>
      <c r="M214" s="25"/>
      <c r="N214" s="25"/>
      <c r="O214" s="25"/>
      <c r="P214" s="25"/>
      <c r="Q214" s="22">
        <f t="shared" si="3"/>
        <v>31</v>
      </c>
    </row>
    <row r="215" spans="1:17" ht="15.75" customHeight="1">
      <c r="A215" s="19">
        <v>213</v>
      </c>
      <c r="B215" s="20" t="s">
        <v>3341</v>
      </c>
      <c r="C215" s="20" t="s">
        <v>1504</v>
      </c>
      <c r="D215" s="20" t="s">
        <v>42</v>
      </c>
      <c r="E215" s="21"/>
      <c r="F215" s="21">
        <v>5</v>
      </c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2">
        <f t="shared" si="3"/>
        <v>5</v>
      </c>
    </row>
    <row r="216" spans="1:17" ht="15.75" customHeight="1">
      <c r="A216" s="23">
        <v>214</v>
      </c>
      <c r="B216" s="24" t="s">
        <v>3507</v>
      </c>
      <c r="C216" s="24" t="s">
        <v>1523</v>
      </c>
      <c r="D216" s="24" t="s">
        <v>20</v>
      </c>
      <c r="E216" s="25">
        <v>10</v>
      </c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2">
        <f t="shared" si="3"/>
        <v>10</v>
      </c>
    </row>
    <row r="217" spans="1:17" ht="15.75" customHeight="1">
      <c r="A217" s="19">
        <v>215</v>
      </c>
      <c r="B217" s="20" t="s">
        <v>3508</v>
      </c>
      <c r="C217" s="20" t="s">
        <v>1504</v>
      </c>
      <c r="D217" s="20" t="s">
        <v>50</v>
      </c>
      <c r="E217" s="21">
        <v>10</v>
      </c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2">
        <f t="shared" si="3"/>
        <v>10</v>
      </c>
    </row>
    <row r="218" spans="1:17" ht="15.75" customHeight="1">
      <c r="A218" s="23">
        <v>216</v>
      </c>
      <c r="B218" s="24" t="s">
        <v>1514</v>
      </c>
      <c r="C218" s="24" t="s">
        <v>1471</v>
      </c>
      <c r="D218" s="24" t="s">
        <v>1515</v>
      </c>
      <c r="E218" s="25"/>
      <c r="F218" s="25">
        <v>50</v>
      </c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2">
        <f t="shared" si="3"/>
        <v>50</v>
      </c>
    </row>
    <row r="219" spans="1:17" ht="15.75" customHeight="1">
      <c r="A219" s="19">
        <v>217</v>
      </c>
      <c r="B219" s="20" t="s">
        <v>3352</v>
      </c>
      <c r="C219" s="20" t="s">
        <v>1460</v>
      </c>
      <c r="D219" s="20" t="s">
        <v>3353</v>
      </c>
      <c r="E219" s="21"/>
      <c r="F219" s="21"/>
      <c r="G219" s="21"/>
      <c r="H219" s="21">
        <v>30</v>
      </c>
      <c r="I219" s="21"/>
      <c r="J219" s="21"/>
      <c r="K219" s="21"/>
      <c r="L219" s="21"/>
      <c r="M219" s="21"/>
      <c r="N219" s="21"/>
      <c r="O219" s="21"/>
      <c r="P219" s="21"/>
      <c r="Q219" s="22">
        <f t="shared" si="3"/>
        <v>30</v>
      </c>
    </row>
    <row r="220" spans="1:17" ht="15.75" customHeight="1">
      <c r="A220" s="23">
        <v>218</v>
      </c>
      <c r="B220" s="24" t="s">
        <v>3509</v>
      </c>
      <c r="C220" s="24" t="s">
        <v>3510</v>
      </c>
      <c r="D220" s="24" t="s">
        <v>1142</v>
      </c>
      <c r="E220" s="25"/>
      <c r="F220" s="25">
        <v>20</v>
      </c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2">
        <f t="shared" si="3"/>
        <v>20</v>
      </c>
    </row>
    <row r="221" spans="1:17" ht="15.75" customHeight="1">
      <c r="A221" s="19">
        <v>219</v>
      </c>
      <c r="B221" s="20" t="s">
        <v>1548</v>
      </c>
      <c r="C221" s="20" t="s">
        <v>448</v>
      </c>
      <c r="D221" s="20" t="s">
        <v>1549</v>
      </c>
      <c r="E221" s="21">
        <v>15</v>
      </c>
      <c r="F221" s="21"/>
      <c r="G221" s="21"/>
      <c r="H221" s="21">
        <v>10</v>
      </c>
      <c r="I221" s="21"/>
      <c r="J221" s="21"/>
      <c r="K221" s="21"/>
      <c r="L221" s="21"/>
      <c r="M221" s="21"/>
      <c r="N221" s="21"/>
      <c r="O221" s="21"/>
      <c r="P221" s="21"/>
      <c r="Q221" s="22">
        <f t="shared" si="3"/>
        <v>25</v>
      </c>
    </row>
    <row r="222" spans="1:17" ht="15.75" customHeight="1">
      <c r="A222" s="23">
        <v>220</v>
      </c>
      <c r="B222" s="24" t="s">
        <v>1552</v>
      </c>
      <c r="C222" s="24" t="s">
        <v>448</v>
      </c>
      <c r="D222" s="24" t="s">
        <v>1553</v>
      </c>
      <c r="E222" s="25"/>
      <c r="F222" s="25"/>
      <c r="G222" s="25"/>
      <c r="H222" s="25">
        <v>10</v>
      </c>
      <c r="I222" s="25"/>
      <c r="J222" s="25"/>
      <c r="K222" s="25"/>
      <c r="L222" s="25"/>
      <c r="M222" s="25"/>
      <c r="N222" s="25"/>
      <c r="O222" s="25"/>
      <c r="P222" s="25"/>
      <c r="Q222" s="22">
        <f t="shared" si="3"/>
        <v>10</v>
      </c>
    </row>
    <row r="223" spans="1:17" ht="15.75" customHeight="1">
      <c r="A223" s="19">
        <v>221</v>
      </c>
      <c r="B223" s="20" t="s">
        <v>3511</v>
      </c>
      <c r="C223" s="20" t="s">
        <v>180</v>
      </c>
      <c r="D223" s="20" t="s">
        <v>238</v>
      </c>
      <c r="E223" s="21"/>
      <c r="F223" s="21">
        <v>11</v>
      </c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2">
        <f t="shared" si="3"/>
        <v>11</v>
      </c>
    </row>
    <row r="224" spans="1:17" ht="15.75" customHeight="1">
      <c r="A224" s="23">
        <v>222</v>
      </c>
      <c r="B224" s="24" t="s">
        <v>2831</v>
      </c>
      <c r="C224" s="24" t="s">
        <v>203</v>
      </c>
      <c r="D224" s="24" t="s">
        <v>2832</v>
      </c>
      <c r="E224" s="25">
        <v>20</v>
      </c>
      <c r="F224" s="25">
        <v>5</v>
      </c>
      <c r="G224" s="25">
        <v>10</v>
      </c>
      <c r="H224" s="25">
        <v>10</v>
      </c>
      <c r="I224" s="25"/>
      <c r="J224" s="25"/>
      <c r="K224" s="25"/>
      <c r="L224" s="25"/>
      <c r="M224" s="25"/>
      <c r="N224" s="25"/>
      <c r="O224" s="25"/>
      <c r="P224" s="25"/>
      <c r="Q224" s="22">
        <f t="shared" si="3"/>
        <v>45</v>
      </c>
    </row>
    <row r="225" spans="1:17" ht="15.75" customHeight="1">
      <c r="A225" s="19">
        <v>223</v>
      </c>
      <c r="B225" s="20" t="s">
        <v>2833</v>
      </c>
      <c r="C225" s="20" t="s">
        <v>203</v>
      </c>
      <c r="D225" s="20" t="s">
        <v>2834</v>
      </c>
      <c r="E225" s="21">
        <v>30</v>
      </c>
      <c r="F225" s="21"/>
      <c r="G225" s="21">
        <v>15</v>
      </c>
      <c r="H225" s="21"/>
      <c r="I225" s="21"/>
      <c r="J225" s="21"/>
      <c r="K225" s="21"/>
      <c r="L225" s="21"/>
      <c r="M225" s="21"/>
      <c r="N225" s="21"/>
      <c r="O225" s="21"/>
      <c r="P225" s="21"/>
      <c r="Q225" s="22">
        <f t="shared" si="3"/>
        <v>45</v>
      </c>
    </row>
    <row r="226" spans="1:17" ht="15.75" customHeight="1">
      <c r="A226" s="23">
        <v>224</v>
      </c>
      <c r="B226" s="24" t="s">
        <v>2835</v>
      </c>
      <c r="C226" s="24" t="s">
        <v>203</v>
      </c>
      <c r="D226" s="24" t="s">
        <v>1578</v>
      </c>
      <c r="E226" s="25"/>
      <c r="F226" s="25">
        <v>1</v>
      </c>
      <c r="G226" s="25">
        <v>11</v>
      </c>
      <c r="H226" s="25"/>
      <c r="I226" s="25"/>
      <c r="J226" s="25"/>
      <c r="K226" s="25"/>
      <c r="L226" s="25"/>
      <c r="M226" s="25"/>
      <c r="N226" s="25"/>
      <c r="O226" s="25"/>
      <c r="P226" s="25"/>
      <c r="Q226" s="22">
        <f t="shared" si="3"/>
        <v>12</v>
      </c>
    </row>
    <row r="227" spans="1:17" ht="15.75" customHeight="1">
      <c r="A227" s="19">
        <v>225</v>
      </c>
      <c r="B227" s="20" t="s">
        <v>1573</v>
      </c>
      <c r="C227" s="20" t="s">
        <v>253</v>
      </c>
      <c r="D227" s="20" t="s">
        <v>1574</v>
      </c>
      <c r="E227" s="21">
        <v>30</v>
      </c>
      <c r="F227" s="21"/>
      <c r="G227" s="21"/>
      <c r="H227" s="21">
        <v>20</v>
      </c>
      <c r="I227" s="21"/>
      <c r="J227" s="21"/>
      <c r="K227" s="21"/>
      <c r="L227" s="21"/>
      <c r="M227" s="21"/>
      <c r="N227" s="21"/>
      <c r="O227" s="21"/>
      <c r="P227" s="21"/>
      <c r="Q227" s="22">
        <f t="shared" si="3"/>
        <v>50</v>
      </c>
    </row>
    <row r="228" spans="1:17" ht="15.75" customHeight="1">
      <c r="A228" s="23">
        <v>226</v>
      </c>
      <c r="B228" s="24" t="s">
        <v>2838</v>
      </c>
      <c r="C228" s="24" t="s">
        <v>253</v>
      </c>
      <c r="D228" s="24" t="s">
        <v>2839</v>
      </c>
      <c r="E228" s="25">
        <v>5</v>
      </c>
      <c r="F228" s="25">
        <v>10</v>
      </c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2">
        <f t="shared" si="3"/>
        <v>15</v>
      </c>
    </row>
    <row r="229" spans="1:17" ht="15.75" customHeight="1">
      <c r="A229" s="19">
        <v>227</v>
      </c>
      <c r="B229" s="20" t="s">
        <v>1577</v>
      </c>
      <c r="C229" s="20" t="s">
        <v>253</v>
      </c>
      <c r="D229" s="20" t="s">
        <v>1578</v>
      </c>
      <c r="E229" s="21"/>
      <c r="F229" s="21">
        <v>4</v>
      </c>
      <c r="G229" s="21">
        <v>3</v>
      </c>
      <c r="H229" s="21"/>
      <c r="I229" s="21"/>
      <c r="J229" s="21"/>
      <c r="K229" s="21"/>
      <c r="L229" s="21"/>
      <c r="M229" s="21"/>
      <c r="N229" s="21"/>
      <c r="O229" s="21"/>
      <c r="P229" s="21"/>
      <c r="Q229" s="22">
        <f t="shared" si="3"/>
        <v>7</v>
      </c>
    </row>
    <row r="230" spans="1:17" ht="15.75" customHeight="1">
      <c r="A230" s="23">
        <v>228</v>
      </c>
      <c r="B230" s="24" t="s">
        <v>3512</v>
      </c>
      <c r="C230" s="24" t="s">
        <v>253</v>
      </c>
      <c r="D230" s="24" t="s">
        <v>1744</v>
      </c>
      <c r="E230" s="25"/>
      <c r="F230" s="25">
        <v>7</v>
      </c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2">
        <f t="shared" si="3"/>
        <v>7</v>
      </c>
    </row>
    <row r="231" spans="1:17" ht="15.75" customHeight="1">
      <c r="A231" s="19">
        <v>229</v>
      </c>
      <c r="B231" s="20" t="s">
        <v>1584</v>
      </c>
      <c r="C231" s="20" t="s">
        <v>1580</v>
      </c>
      <c r="D231" s="20" t="s">
        <v>1585</v>
      </c>
      <c r="E231" s="21"/>
      <c r="F231" s="21"/>
      <c r="G231" s="21">
        <v>2</v>
      </c>
      <c r="H231" s="21"/>
      <c r="I231" s="21"/>
      <c r="J231" s="21"/>
      <c r="K231" s="21"/>
      <c r="L231" s="21"/>
      <c r="M231" s="21"/>
      <c r="N231" s="21"/>
      <c r="O231" s="21"/>
      <c r="P231" s="21"/>
      <c r="Q231" s="22">
        <f t="shared" si="3"/>
        <v>2</v>
      </c>
    </row>
    <row r="232" spans="1:17" ht="15.75" customHeight="1">
      <c r="A232" s="23">
        <v>230</v>
      </c>
      <c r="B232" s="24" t="s">
        <v>1594</v>
      </c>
      <c r="C232" s="24" t="s">
        <v>278</v>
      </c>
      <c r="D232" s="24" t="s">
        <v>1595</v>
      </c>
      <c r="E232" s="25">
        <v>10</v>
      </c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2">
        <f t="shared" si="3"/>
        <v>10</v>
      </c>
    </row>
    <row r="233" spans="1:17" ht="15.75" customHeight="1">
      <c r="A233" s="19">
        <v>231</v>
      </c>
      <c r="B233" s="20" t="s">
        <v>1596</v>
      </c>
      <c r="C233" s="20" t="s">
        <v>283</v>
      </c>
      <c r="D233" s="20" t="s">
        <v>1597</v>
      </c>
      <c r="E233" s="21">
        <v>10</v>
      </c>
      <c r="F233" s="21">
        <v>1</v>
      </c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2">
        <f t="shared" si="3"/>
        <v>11</v>
      </c>
    </row>
    <row r="234" spans="1:17" ht="15.75" customHeight="1">
      <c r="A234" s="23">
        <v>232</v>
      </c>
      <c r="B234" s="24" t="s">
        <v>1598</v>
      </c>
      <c r="C234" s="24" t="s">
        <v>283</v>
      </c>
      <c r="D234" s="24" t="s">
        <v>1599</v>
      </c>
      <c r="E234" s="25">
        <v>20</v>
      </c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2">
        <f t="shared" si="3"/>
        <v>20</v>
      </c>
    </row>
    <row r="235" spans="1:17" ht="15.75" customHeight="1">
      <c r="A235" s="19">
        <v>233</v>
      </c>
      <c r="B235" s="20" t="s">
        <v>1604</v>
      </c>
      <c r="C235" s="20" t="s">
        <v>294</v>
      </c>
      <c r="D235" s="20" t="s">
        <v>1605</v>
      </c>
      <c r="E235" s="21"/>
      <c r="F235" s="21">
        <v>100</v>
      </c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2">
        <f t="shared" si="3"/>
        <v>100</v>
      </c>
    </row>
    <row r="236" spans="1:17" ht="15.75" customHeight="1">
      <c r="A236" s="23">
        <v>234</v>
      </c>
      <c r="B236" s="24" t="s">
        <v>1608</v>
      </c>
      <c r="C236" s="24" t="s">
        <v>180</v>
      </c>
      <c r="D236" s="24" t="s">
        <v>1609</v>
      </c>
      <c r="E236" s="25"/>
      <c r="F236" s="25"/>
      <c r="G236" s="25">
        <v>5</v>
      </c>
      <c r="H236" s="25"/>
      <c r="I236" s="25"/>
      <c r="J236" s="25"/>
      <c r="K236" s="25"/>
      <c r="L236" s="25"/>
      <c r="M236" s="25"/>
      <c r="N236" s="25"/>
      <c r="O236" s="25"/>
      <c r="P236" s="25"/>
      <c r="Q236" s="22">
        <f t="shared" si="3"/>
        <v>5</v>
      </c>
    </row>
    <row r="237" spans="1:17" ht="15.75" customHeight="1">
      <c r="A237" s="19">
        <v>235</v>
      </c>
      <c r="B237" s="20" t="s">
        <v>1610</v>
      </c>
      <c r="C237" s="20" t="s">
        <v>180</v>
      </c>
      <c r="D237" s="20" t="s">
        <v>1611</v>
      </c>
      <c r="E237" s="21"/>
      <c r="F237" s="21">
        <v>10</v>
      </c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2">
        <f t="shared" si="3"/>
        <v>10</v>
      </c>
    </row>
    <row r="238" spans="1:17" ht="15.75" customHeight="1">
      <c r="A238" s="23">
        <v>236</v>
      </c>
      <c r="B238" s="24" t="s">
        <v>1612</v>
      </c>
      <c r="C238" s="24" t="s">
        <v>180</v>
      </c>
      <c r="D238" s="24" t="s">
        <v>1613</v>
      </c>
      <c r="E238" s="25">
        <v>36</v>
      </c>
      <c r="F238" s="25">
        <v>2</v>
      </c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2">
        <f t="shared" si="3"/>
        <v>38</v>
      </c>
    </row>
    <row r="239" spans="1:17" ht="15.75" customHeight="1">
      <c r="A239" s="19">
        <v>237</v>
      </c>
      <c r="B239" s="20" t="s">
        <v>1626</v>
      </c>
      <c r="C239" s="20" t="s">
        <v>180</v>
      </c>
      <c r="D239" s="20" t="s">
        <v>1627</v>
      </c>
      <c r="E239" s="21"/>
      <c r="F239" s="21"/>
      <c r="G239" s="21">
        <v>5</v>
      </c>
      <c r="H239" s="21"/>
      <c r="I239" s="21"/>
      <c r="J239" s="21"/>
      <c r="K239" s="21"/>
      <c r="L239" s="21"/>
      <c r="M239" s="21"/>
      <c r="N239" s="21"/>
      <c r="O239" s="21"/>
      <c r="P239" s="21"/>
      <c r="Q239" s="22">
        <f t="shared" si="3"/>
        <v>5</v>
      </c>
    </row>
    <row r="240" spans="1:17" ht="15.75" customHeight="1">
      <c r="A240" s="23">
        <v>238</v>
      </c>
      <c r="B240" s="24" t="s">
        <v>1628</v>
      </c>
      <c r="C240" s="24" t="s">
        <v>180</v>
      </c>
      <c r="D240" s="24" t="s">
        <v>1629</v>
      </c>
      <c r="E240" s="25">
        <v>70</v>
      </c>
      <c r="F240" s="25">
        <v>22</v>
      </c>
      <c r="G240" s="25">
        <v>71</v>
      </c>
      <c r="H240" s="25">
        <v>20</v>
      </c>
      <c r="I240" s="25"/>
      <c r="J240" s="25"/>
      <c r="K240" s="25"/>
      <c r="L240" s="25"/>
      <c r="M240" s="25"/>
      <c r="N240" s="25"/>
      <c r="O240" s="25"/>
      <c r="P240" s="25"/>
      <c r="Q240" s="22">
        <f t="shared" si="3"/>
        <v>183</v>
      </c>
    </row>
    <row r="241" spans="1:17" ht="15.75" customHeight="1">
      <c r="A241" s="19">
        <v>239</v>
      </c>
      <c r="B241" s="20" t="s">
        <v>1631</v>
      </c>
      <c r="C241" s="20" t="s">
        <v>180</v>
      </c>
      <c r="D241" s="20" t="s">
        <v>1632</v>
      </c>
      <c r="E241" s="21">
        <v>50</v>
      </c>
      <c r="F241" s="21">
        <v>10</v>
      </c>
      <c r="G241" s="21">
        <v>148</v>
      </c>
      <c r="H241" s="21">
        <v>20</v>
      </c>
      <c r="I241" s="21"/>
      <c r="J241" s="21"/>
      <c r="K241" s="21"/>
      <c r="L241" s="21"/>
      <c r="M241" s="21"/>
      <c r="N241" s="21"/>
      <c r="O241" s="21"/>
      <c r="P241" s="21"/>
      <c r="Q241" s="22">
        <f t="shared" si="3"/>
        <v>228</v>
      </c>
    </row>
    <row r="242" spans="1:17" ht="15.75" customHeight="1">
      <c r="A242" s="23">
        <v>240</v>
      </c>
      <c r="B242" s="24" t="s">
        <v>1633</v>
      </c>
      <c r="C242" s="24" t="s">
        <v>180</v>
      </c>
      <c r="D242" s="24" t="s">
        <v>1634</v>
      </c>
      <c r="E242" s="25">
        <v>13</v>
      </c>
      <c r="F242" s="25">
        <v>59</v>
      </c>
      <c r="G242" s="25">
        <v>7</v>
      </c>
      <c r="H242" s="25"/>
      <c r="I242" s="25"/>
      <c r="J242" s="25"/>
      <c r="K242" s="25"/>
      <c r="L242" s="25"/>
      <c r="M242" s="25"/>
      <c r="N242" s="25"/>
      <c r="O242" s="25"/>
      <c r="P242" s="25"/>
      <c r="Q242" s="22">
        <f t="shared" si="3"/>
        <v>79</v>
      </c>
    </row>
    <row r="243" spans="1:17" ht="15.75" customHeight="1">
      <c r="A243" s="19">
        <v>241</v>
      </c>
      <c r="B243" s="20" t="s">
        <v>1635</v>
      </c>
      <c r="C243" s="20" t="s">
        <v>180</v>
      </c>
      <c r="D243" s="20" t="s">
        <v>1636</v>
      </c>
      <c r="E243" s="21"/>
      <c r="F243" s="21"/>
      <c r="G243" s="21">
        <v>12</v>
      </c>
      <c r="H243" s="21"/>
      <c r="I243" s="21"/>
      <c r="J243" s="21"/>
      <c r="K243" s="21"/>
      <c r="L243" s="21"/>
      <c r="M243" s="21"/>
      <c r="N243" s="21"/>
      <c r="O243" s="21"/>
      <c r="P243" s="21"/>
      <c r="Q243" s="22">
        <f t="shared" si="3"/>
        <v>12</v>
      </c>
    </row>
    <row r="244" spans="1:17" ht="15.75" customHeight="1">
      <c r="A244" s="23">
        <v>242</v>
      </c>
      <c r="B244" s="24" t="s">
        <v>1637</v>
      </c>
      <c r="C244" s="24" t="s">
        <v>180</v>
      </c>
      <c r="D244" s="24" t="s">
        <v>1638</v>
      </c>
      <c r="E244" s="25">
        <v>20</v>
      </c>
      <c r="F244" s="25"/>
      <c r="G244" s="25">
        <v>5</v>
      </c>
      <c r="H244" s="25"/>
      <c r="I244" s="25"/>
      <c r="J244" s="25"/>
      <c r="K244" s="25"/>
      <c r="L244" s="25"/>
      <c r="M244" s="25"/>
      <c r="N244" s="25"/>
      <c r="O244" s="25"/>
      <c r="P244" s="25"/>
      <c r="Q244" s="22">
        <f t="shared" si="3"/>
        <v>25</v>
      </c>
    </row>
    <row r="245" spans="1:17" ht="15.75" customHeight="1">
      <c r="A245" s="19">
        <v>243</v>
      </c>
      <c r="B245" s="20" t="s">
        <v>1639</v>
      </c>
      <c r="C245" s="20" t="s">
        <v>180</v>
      </c>
      <c r="D245" s="20" t="s">
        <v>1640</v>
      </c>
      <c r="E245" s="21">
        <v>10</v>
      </c>
      <c r="F245" s="21"/>
      <c r="G245" s="21">
        <v>1</v>
      </c>
      <c r="H245" s="21"/>
      <c r="I245" s="21"/>
      <c r="J245" s="21"/>
      <c r="K245" s="21"/>
      <c r="L245" s="21"/>
      <c r="M245" s="21"/>
      <c r="N245" s="21"/>
      <c r="O245" s="21"/>
      <c r="P245" s="21"/>
      <c r="Q245" s="22">
        <f t="shared" si="3"/>
        <v>11</v>
      </c>
    </row>
    <row r="246" spans="1:17" ht="15.75" customHeight="1">
      <c r="A246" s="23">
        <v>244</v>
      </c>
      <c r="B246" s="24" t="s">
        <v>1641</v>
      </c>
      <c r="C246" s="24" t="s">
        <v>169</v>
      </c>
      <c r="D246" s="24" t="s">
        <v>20</v>
      </c>
      <c r="E246" s="25">
        <v>10</v>
      </c>
      <c r="F246" s="25">
        <v>39</v>
      </c>
      <c r="G246" s="25"/>
      <c r="H246" s="25">
        <v>50</v>
      </c>
      <c r="I246" s="25"/>
      <c r="J246" s="25"/>
      <c r="K246" s="25"/>
      <c r="L246" s="25"/>
      <c r="M246" s="25"/>
      <c r="N246" s="25"/>
      <c r="O246" s="25"/>
      <c r="P246" s="25"/>
      <c r="Q246" s="22">
        <f t="shared" si="3"/>
        <v>99</v>
      </c>
    </row>
    <row r="247" spans="1:17" ht="15.75" customHeight="1">
      <c r="A247" s="19">
        <v>245</v>
      </c>
      <c r="B247" s="20" t="s">
        <v>1642</v>
      </c>
      <c r="C247" s="20" t="s">
        <v>169</v>
      </c>
      <c r="D247" s="20" t="s">
        <v>32</v>
      </c>
      <c r="E247" s="21">
        <v>10</v>
      </c>
      <c r="F247" s="21">
        <v>10</v>
      </c>
      <c r="G247" s="21"/>
      <c r="H247" s="21">
        <v>50</v>
      </c>
      <c r="I247" s="21"/>
      <c r="J247" s="21"/>
      <c r="K247" s="21"/>
      <c r="L247" s="21"/>
      <c r="M247" s="21"/>
      <c r="N247" s="21"/>
      <c r="O247" s="21"/>
      <c r="P247" s="21"/>
      <c r="Q247" s="22">
        <f t="shared" si="3"/>
        <v>70</v>
      </c>
    </row>
    <row r="248" spans="1:17" ht="15.75" customHeight="1">
      <c r="A248" s="23">
        <v>246</v>
      </c>
      <c r="B248" s="24" t="s">
        <v>1643</v>
      </c>
      <c r="C248" s="24" t="s">
        <v>169</v>
      </c>
      <c r="D248" s="24" t="s">
        <v>22</v>
      </c>
      <c r="E248" s="25"/>
      <c r="F248" s="25">
        <v>5</v>
      </c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2">
        <f t="shared" si="3"/>
        <v>5</v>
      </c>
    </row>
    <row r="249" spans="1:17" ht="15.75" customHeight="1">
      <c r="A249" s="19">
        <v>247</v>
      </c>
      <c r="B249" s="20" t="s">
        <v>1644</v>
      </c>
      <c r="C249" s="20" t="s">
        <v>169</v>
      </c>
      <c r="D249" s="20" t="s">
        <v>121</v>
      </c>
      <c r="E249" s="21"/>
      <c r="F249" s="21">
        <v>5</v>
      </c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2">
        <f t="shared" si="3"/>
        <v>5</v>
      </c>
    </row>
    <row r="250" spans="1:17" ht="15.75" customHeight="1">
      <c r="A250" s="23">
        <v>248</v>
      </c>
      <c r="B250" s="24" t="s">
        <v>1645</v>
      </c>
      <c r="C250" s="24" t="s">
        <v>169</v>
      </c>
      <c r="D250" s="24" t="s">
        <v>26</v>
      </c>
      <c r="E250" s="25"/>
      <c r="F250" s="25"/>
      <c r="G250" s="25"/>
      <c r="H250" s="25">
        <v>30</v>
      </c>
      <c r="I250" s="25"/>
      <c r="J250" s="25"/>
      <c r="K250" s="25"/>
      <c r="L250" s="25"/>
      <c r="M250" s="25"/>
      <c r="N250" s="25"/>
      <c r="O250" s="25"/>
      <c r="P250" s="25"/>
      <c r="Q250" s="22">
        <f t="shared" si="3"/>
        <v>30</v>
      </c>
    </row>
    <row r="251" spans="1:17" ht="15.75" customHeight="1">
      <c r="A251" s="19">
        <v>249</v>
      </c>
      <c r="B251" s="20" t="s">
        <v>1648</v>
      </c>
      <c r="C251" s="20" t="s">
        <v>1649</v>
      </c>
      <c r="D251" s="20" t="s">
        <v>1650</v>
      </c>
      <c r="E251" s="21"/>
      <c r="F251" s="21"/>
      <c r="G251" s="21">
        <v>30</v>
      </c>
      <c r="H251" s="21"/>
      <c r="I251" s="21"/>
      <c r="J251" s="21"/>
      <c r="K251" s="21"/>
      <c r="L251" s="21"/>
      <c r="M251" s="21"/>
      <c r="N251" s="21"/>
      <c r="O251" s="21"/>
      <c r="P251" s="21"/>
      <c r="Q251" s="22">
        <f t="shared" si="3"/>
        <v>30</v>
      </c>
    </row>
    <row r="252" spans="1:17" ht="15.75" customHeight="1">
      <c r="A252" s="23">
        <v>250</v>
      </c>
      <c r="B252" s="24" t="s">
        <v>1651</v>
      </c>
      <c r="C252" s="24" t="s">
        <v>1649</v>
      </c>
      <c r="D252" s="24" t="s">
        <v>1652</v>
      </c>
      <c r="E252" s="25"/>
      <c r="F252" s="25"/>
      <c r="G252" s="25">
        <v>4</v>
      </c>
      <c r="H252" s="25"/>
      <c r="I252" s="25"/>
      <c r="J252" s="25"/>
      <c r="K252" s="25"/>
      <c r="L252" s="25"/>
      <c r="M252" s="25"/>
      <c r="N252" s="25"/>
      <c r="O252" s="25"/>
      <c r="P252" s="25"/>
      <c r="Q252" s="22">
        <f t="shared" si="3"/>
        <v>4</v>
      </c>
    </row>
    <row r="253" spans="1:17" ht="15.75" customHeight="1">
      <c r="A253" s="19">
        <v>251</v>
      </c>
      <c r="B253" s="20" t="s">
        <v>1657</v>
      </c>
      <c r="C253" s="20" t="s">
        <v>1649</v>
      </c>
      <c r="D253" s="20" t="s">
        <v>1658</v>
      </c>
      <c r="E253" s="21">
        <v>5</v>
      </c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2">
        <f t="shared" si="3"/>
        <v>5</v>
      </c>
    </row>
    <row r="254" spans="1:17" ht="15.75" customHeight="1">
      <c r="A254" s="23">
        <v>252</v>
      </c>
      <c r="B254" s="24" t="s">
        <v>3513</v>
      </c>
      <c r="C254" s="24" t="s">
        <v>1649</v>
      </c>
      <c r="D254" s="24" t="s">
        <v>1578</v>
      </c>
      <c r="E254" s="25">
        <v>5</v>
      </c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2">
        <f t="shared" si="3"/>
        <v>5</v>
      </c>
    </row>
    <row r="255" spans="1:17" ht="15.75" customHeight="1">
      <c r="A255" s="19">
        <v>253</v>
      </c>
      <c r="B255" s="20" t="s">
        <v>1665</v>
      </c>
      <c r="C255" s="20" t="s">
        <v>206</v>
      </c>
      <c r="D255" s="20" t="s">
        <v>1666</v>
      </c>
      <c r="E255" s="21">
        <v>100</v>
      </c>
      <c r="F255" s="21">
        <v>40</v>
      </c>
      <c r="G255" s="21">
        <v>155</v>
      </c>
      <c r="H255" s="21">
        <v>30</v>
      </c>
      <c r="I255" s="21"/>
      <c r="J255" s="21"/>
      <c r="K255" s="21"/>
      <c r="L255" s="21"/>
      <c r="M255" s="21"/>
      <c r="N255" s="21"/>
      <c r="O255" s="21"/>
      <c r="P255" s="21"/>
      <c r="Q255" s="22">
        <f t="shared" si="3"/>
        <v>325</v>
      </c>
    </row>
    <row r="256" spans="1:17" ht="15.75" customHeight="1">
      <c r="A256" s="23">
        <v>254</v>
      </c>
      <c r="B256" s="24" t="s">
        <v>1669</v>
      </c>
      <c r="C256" s="24" t="s">
        <v>206</v>
      </c>
      <c r="D256" s="24" t="s">
        <v>1670</v>
      </c>
      <c r="E256" s="25">
        <v>70</v>
      </c>
      <c r="F256" s="25">
        <v>54</v>
      </c>
      <c r="G256" s="25">
        <v>252</v>
      </c>
      <c r="H256" s="25">
        <v>140</v>
      </c>
      <c r="I256" s="25"/>
      <c r="J256" s="25"/>
      <c r="K256" s="25"/>
      <c r="L256" s="25"/>
      <c r="M256" s="25"/>
      <c r="N256" s="25"/>
      <c r="O256" s="25"/>
      <c r="P256" s="25"/>
      <c r="Q256" s="22">
        <f t="shared" si="3"/>
        <v>516</v>
      </c>
    </row>
    <row r="257" spans="1:17" ht="15.75" customHeight="1">
      <c r="A257" s="19">
        <v>255</v>
      </c>
      <c r="B257" s="20" t="s">
        <v>1671</v>
      </c>
      <c r="C257" s="20" t="s">
        <v>206</v>
      </c>
      <c r="D257" s="20" t="s">
        <v>1672</v>
      </c>
      <c r="E257" s="21">
        <v>47</v>
      </c>
      <c r="F257" s="21">
        <v>4</v>
      </c>
      <c r="G257" s="21">
        <v>212</v>
      </c>
      <c r="H257" s="21">
        <v>88</v>
      </c>
      <c r="I257" s="21"/>
      <c r="J257" s="21"/>
      <c r="K257" s="21"/>
      <c r="L257" s="21"/>
      <c r="M257" s="21"/>
      <c r="N257" s="21"/>
      <c r="O257" s="21"/>
      <c r="P257" s="21"/>
      <c r="Q257" s="22">
        <f t="shared" si="3"/>
        <v>351</v>
      </c>
    </row>
    <row r="258" spans="1:17" ht="15.75" customHeight="1">
      <c r="A258" s="23">
        <v>256</v>
      </c>
      <c r="B258" s="24" t="s">
        <v>1673</v>
      </c>
      <c r="C258" s="24" t="s">
        <v>206</v>
      </c>
      <c r="D258" s="24" t="s">
        <v>1674</v>
      </c>
      <c r="E258" s="25">
        <v>49</v>
      </c>
      <c r="F258" s="25">
        <v>8</v>
      </c>
      <c r="G258" s="25">
        <v>86</v>
      </c>
      <c r="H258" s="25"/>
      <c r="I258" s="25"/>
      <c r="J258" s="25"/>
      <c r="K258" s="25"/>
      <c r="L258" s="25"/>
      <c r="M258" s="25"/>
      <c r="N258" s="25"/>
      <c r="O258" s="25"/>
      <c r="P258" s="25"/>
      <c r="Q258" s="22">
        <f t="shared" si="3"/>
        <v>143</v>
      </c>
    </row>
    <row r="259" spans="1:17" ht="15.75" customHeight="1">
      <c r="A259" s="19">
        <v>257</v>
      </c>
      <c r="B259" s="20" t="s">
        <v>1675</v>
      </c>
      <c r="C259" s="20" t="s">
        <v>206</v>
      </c>
      <c r="D259" s="20" t="s">
        <v>1676</v>
      </c>
      <c r="E259" s="21">
        <v>21</v>
      </c>
      <c r="F259" s="21"/>
      <c r="G259" s="21">
        <v>44</v>
      </c>
      <c r="H259" s="21">
        <v>32</v>
      </c>
      <c r="I259" s="21"/>
      <c r="J259" s="21"/>
      <c r="K259" s="21"/>
      <c r="L259" s="21"/>
      <c r="M259" s="21"/>
      <c r="N259" s="21"/>
      <c r="O259" s="21"/>
      <c r="P259" s="21"/>
      <c r="Q259" s="22">
        <f t="shared" ref="Q259:Q322" si="4">SUM(E259:P259)</f>
        <v>97</v>
      </c>
    </row>
    <row r="260" spans="1:17" ht="15.75" customHeight="1">
      <c r="A260" s="23">
        <v>258</v>
      </c>
      <c r="B260" s="24" t="s">
        <v>1677</v>
      </c>
      <c r="C260" s="24" t="s">
        <v>206</v>
      </c>
      <c r="D260" s="24" t="s">
        <v>1678</v>
      </c>
      <c r="E260" s="25"/>
      <c r="F260" s="25">
        <v>10</v>
      </c>
      <c r="G260" s="25">
        <v>17</v>
      </c>
      <c r="H260" s="25"/>
      <c r="I260" s="25"/>
      <c r="J260" s="25"/>
      <c r="K260" s="25"/>
      <c r="L260" s="25"/>
      <c r="M260" s="25"/>
      <c r="N260" s="25"/>
      <c r="O260" s="25"/>
      <c r="P260" s="25"/>
      <c r="Q260" s="22">
        <f t="shared" si="4"/>
        <v>27</v>
      </c>
    </row>
    <row r="261" spans="1:17" ht="15.75" customHeight="1">
      <c r="A261" s="19">
        <v>259</v>
      </c>
      <c r="B261" s="20" t="s">
        <v>1679</v>
      </c>
      <c r="C261" s="20" t="s">
        <v>206</v>
      </c>
      <c r="D261" s="20" t="s">
        <v>1680</v>
      </c>
      <c r="E261" s="21"/>
      <c r="F261" s="21"/>
      <c r="G261" s="21"/>
      <c r="H261" s="21">
        <v>5</v>
      </c>
      <c r="I261" s="21"/>
      <c r="J261" s="21"/>
      <c r="K261" s="21"/>
      <c r="L261" s="21"/>
      <c r="M261" s="21"/>
      <c r="N261" s="21"/>
      <c r="O261" s="21"/>
      <c r="P261" s="21"/>
      <c r="Q261" s="22">
        <f t="shared" si="4"/>
        <v>5</v>
      </c>
    </row>
    <row r="262" spans="1:17" ht="15.75" customHeight="1">
      <c r="A262" s="23">
        <v>260</v>
      </c>
      <c r="B262" s="24" t="s">
        <v>1681</v>
      </c>
      <c r="C262" s="24" t="s">
        <v>206</v>
      </c>
      <c r="D262" s="24" t="s">
        <v>1682</v>
      </c>
      <c r="E262" s="25"/>
      <c r="F262" s="25">
        <v>20</v>
      </c>
      <c r="G262" s="25">
        <v>9</v>
      </c>
      <c r="H262" s="25"/>
      <c r="I262" s="25"/>
      <c r="J262" s="25"/>
      <c r="K262" s="25"/>
      <c r="L262" s="25"/>
      <c r="M262" s="25"/>
      <c r="N262" s="25"/>
      <c r="O262" s="25"/>
      <c r="P262" s="25"/>
      <c r="Q262" s="22">
        <f t="shared" si="4"/>
        <v>29</v>
      </c>
    </row>
    <row r="263" spans="1:17" ht="15.75" customHeight="1">
      <c r="A263" s="19">
        <v>261</v>
      </c>
      <c r="B263" s="20" t="s">
        <v>2861</v>
      </c>
      <c r="C263" s="20" t="s">
        <v>206</v>
      </c>
      <c r="D263" s="20" t="s">
        <v>1744</v>
      </c>
      <c r="E263" s="21"/>
      <c r="F263" s="21"/>
      <c r="G263" s="21">
        <v>4</v>
      </c>
      <c r="H263" s="21"/>
      <c r="I263" s="21"/>
      <c r="J263" s="21"/>
      <c r="K263" s="21"/>
      <c r="L263" s="21"/>
      <c r="M263" s="21"/>
      <c r="N263" s="21"/>
      <c r="O263" s="21"/>
      <c r="P263" s="21"/>
      <c r="Q263" s="22">
        <f t="shared" si="4"/>
        <v>4</v>
      </c>
    </row>
    <row r="264" spans="1:17" ht="15.75" customHeight="1">
      <c r="A264" s="23">
        <v>262</v>
      </c>
      <c r="B264" s="24" t="s">
        <v>1686</v>
      </c>
      <c r="C264" s="24" t="s">
        <v>206</v>
      </c>
      <c r="D264" s="24" t="s">
        <v>1687</v>
      </c>
      <c r="E264" s="25">
        <v>20</v>
      </c>
      <c r="F264" s="25"/>
      <c r="G264" s="25">
        <v>5</v>
      </c>
      <c r="H264" s="25"/>
      <c r="I264" s="25"/>
      <c r="J264" s="25"/>
      <c r="K264" s="25"/>
      <c r="L264" s="25"/>
      <c r="M264" s="25"/>
      <c r="N264" s="25"/>
      <c r="O264" s="25"/>
      <c r="P264" s="25"/>
      <c r="Q264" s="22">
        <f t="shared" si="4"/>
        <v>25</v>
      </c>
    </row>
    <row r="265" spans="1:17" ht="15.75" customHeight="1">
      <c r="A265" s="19">
        <v>263</v>
      </c>
      <c r="B265" s="20" t="s">
        <v>1688</v>
      </c>
      <c r="C265" s="20" t="s">
        <v>206</v>
      </c>
      <c r="D265" s="20" t="s">
        <v>1689</v>
      </c>
      <c r="E265" s="21"/>
      <c r="F265" s="21"/>
      <c r="G265" s="21">
        <v>2</v>
      </c>
      <c r="H265" s="21"/>
      <c r="I265" s="21"/>
      <c r="J265" s="21"/>
      <c r="K265" s="21"/>
      <c r="L265" s="21"/>
      <c r="M265" s="21"/>
      <c r="N265" s="21"/>
      <c r="O265" s="21"/>
      <c r="P265" s="21"/>
      <c r="Q265" s="22">
        <f t="shared" si="4"/>
        <v>2</v>
      </c>
    </row>
    <row r="266" spans="1:17" ht="15.75" customHeight="1">
      <c r="A266" s="23">
        <v>264</v>
      </c>
      <c r="B266" s="24" t="s">
        <v>3514</v>
      </c>
      <c r="C266" s="24" t="s">
        <v>206</v>
      </c>
      <c r="D266" s="24" t="s">
        <v>3515</v>
      </c>
      <c r="E266" s="25"/>
      <c r="F266" s="25">
        <v>2</v>
      </c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2">
        <f t="shared" si="4"/>
        <v>2</v>
      </c>
    </row>
    <row r="267" spans="1:17" ht="15.75" customHeight="1">
      <c r="A267" s="19">
        <v>265</v>
      </c>
      <c r="B267" s="20" t="s">
        <v>1692</v>
      </c>
      <c r="C267" s="20" t="s">
        <v>206</v>
      </c>
      <c r="D267" s="20" t="s">
        <v>1693</v>
      </c>
      <c r="E267" s="21">
        <v>8</v>
      </c>
      <c r="F267" s="21"/>
      <c r="G267" s="21">
        <v>10</v>
      </c>
      <c r="H267" s="21"/>
      <c r="I267" s="21"/>
      <c r="J267" s="21"/>
      <c r="K267" s="21"/>
      <c r="L267" s="21"/>
      <c r="M267" s="21"/>
      <c r="N267" s="21"/>
      <c r="O267" s="21"/>
      <c r="P267" s="21"/>
      <c r="Q267" s="22">
        <f t="shared" si="4"/>
        <v>18</v>
      </c>
    </row>
    <row r="268" spans="1:17" ht="15.75" customHeight="1">
      <c r="A268" s="23">
        <v>266</v>
      </c>
      <c r="B268" s="24" t="s">
        <v>1694</v>
      </c>
      <c r="C268" s="24" t="s">
        <v>206</v>
      </c>
      <c r="D268" s="24" t="s">
        <v>1695</v>
      </c>
      <c r="E268" s="25"/>
      <c r="F268" s="25"/>
      <c r="G268" s="25"/>
      <c r="H268" s="25">
        <v>20</v>
      </c>
      <c r="I268" s="25"/>
      <c r="J268" s="25"/>
      <c r="K268" s="25"/>
      <c r="L268" s="25"/>
      <c r="M268" s="25"/>
      <c r="N268" s="25"/>
      <c r="O268" s="25"/>
      <c r="P268" s="25"/>
      <c r="Q268" s="22">
        <f t="shared" si="4"/>
        <v>20</v>
      </c>
    </row>
    <row r="269" spans="1:17" ht="15.75" customHeight="1">
      <c r="A269" s="19">
        <v>267</v>
      </c>
      <c r="B269" s="20" t="s">
        <v>3372</v>
      </c>
      <c r="C269" s="20" t="s">
        <v>206</v>
      </c>
      <c r="D269" s="20" t="s">
        <v>1700</v>
      </c>
      <c r="E269" s="21"/>
      <c r="F269" s="21"/>
      <c r="G269" s="21">
        <v>4</v>
      </c>
      <c r="H269" s="21"/>
      <c r="I269" s="21"/>
      <c r="J269" s="21"/>
      <c r="K269" s="21"/>
      <c r="L269" s="21"/>
      <c r="M269" s="21"/>
      <c r="N269" s="21"/>
      <c r="O269" s="21"/>
      <c r="P269" s="21"/>
      <c r="Q269" s="22">
        <f t="shared" si="4"/>
        <v>4</v>
      </c>
    </row>
    <row r="270" spans="1:17" ht="15.75" customHeight="1">
      <c r="A270" s="23">
        <v>268</v>
      </c>
      <c r="B270" s="24" t="s">
        <v>1696</v>
      </c>
      <c r="C270" s="24" t="s">
        <v>211</v>
      </c>
      <c r="D270" s="24" t="s">
        <v>1697</v>
      </c>
      <c r="E270" s="25"/>
      <c r="F270" s="25"/>
      <c r="G270" s="25">
        <v>10</v>
      </c>
      <c r="H270" s="25"/>
      <c r="I270" s="25"/>
      <c r="J270" s="25"/>
      <c r="K270" s="25"/>
      <c r="L270" s="25"/>
      <c r="M270" s="25"/>
      <c r="N270" s="25"/>
      <c r="O270" s="25"/>
      <c r="P270" s="25"/>
      <c r="Q270" s="22">
        <f t="shared" si="4"/>
        <v>10</v>
      </c>
    </row>
    <row r="271" spans="1:17" ht="15.75" customHeight="1">
      <c r="A271" s="19">
        <v>269</v>
      </c>
      <c r="B271" s="20" t="s">
        <v>1701</v>
      </c>
      <c r="C271" s="20" t="s">
        <v>211</v>
      </c>
      <c r="D271" s="20" t="s">
        <v>1702</v>
      </c>
      <c r="E271" s="21"/>
      <c r="F271" s="21">
        <v>120</v>
      </c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2">
        <f t="shared" si="4"/>
        <v>120</v>
      </c>
    </row>
    <row r="272" spans="1:17" ht="15.75" customHeight="1">
      <c r="A272" s="23">
        <v>270</v>
      </c>
      <c r="B272" s="24" t="s">
        <v>1703</v>
      </c>
      <c r="C272" s="24" t="s">
        <v>211</v>
      </c>
      <c r="D272" s="24" t="s">
        <v>1704</v>
      </c>
      <c r="E272" s="25"/>
      <c r="F272" s="25">
        <v>120</v>
      </c>
      <c r="G272" s="25">
        <v>10</v>
      </c>
      <c r="H272" s="25"/>
      <c r="I272" s="25"/>
      <c r="J272" s="25"/>
      <c r="K272" s="25"/>
      <c r="L272" s="25"/>
      <c r="M272" s="25"/>
      <c r="N272" s="25"/>
      <c r="O272" s="25"/>
      <c r="P272" s="25"/>
      <c r="Q272" s="22">
        <f t="shared" si="4"/>
        <v>130</v>
      </c>
    </row>
    <row r="273" spans="1:17" ht="15.75" customHeight="1">
      <c r="A273" s="19">
        <v>271</v>
      </c>
      <c r="B273" s="20" t="s">
        <v>1705</v>
      </c>
      <c r="C273" s="20" t="s">
        <v>211</v>
      </c>
      <c r="D273" s="20" t="s">
        <v>1706</v>
      </c>
      <c r="E273" s="21">
        <v>10</v>
      </c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2">
        <f t="shared" si="4"/>
        <v>10</v>
      </c>
    </row>
    <row r="274" spans="1:17" ht="15.75" customHeight="1">
      <c r="A274" s="23">
        <v>272</v>
      </c>
      <c r="B274" s="24" t="s">
        <v>1707</v>
      </c>
      <c r="C274" s="24" t="s">
        <v>211</v>
      </c>
      <c r="D274" s="24" t="s">
        <v>1708</v>
      </c>
      <c r="E274" s="25"/>
      <c r="F274" s="25">
        <v>20</v>
      </c>
      <c r="G274" s="25">
        <v>10</v>
      </c>
      <c r="H274" s="25"/>
      <c r="I274" s="25"/>
      <c r="J274" s="25"/>
      <c r="K274" s="25"/>
      <c r="L274" s="25"/>
      <c r="M274" s="25"/>
      <c r="N274" s="25"/>
      <c r="O274" s="25"/>
      <c r="P274" s="25"/>
      <c r="Q274" s="22">
        <f t="shared" si="4"/>
        <v>30</v>
      </c>
    </row>
    <row r="275" spans="1:17" ht="15.75" customHeight="1">
      <c r="A275" s="19">
        <v>273</v>
      </c>
      <c r="B275" s="20" t="s">
        <v>1711</v>
      </c>
      <c r="C275" s="20" t="s">
        <v>211</v>
      </c>
      <c r="D275" s="20" t="s">
        <v>1712</v>
      </c>
      <c r="E275" s="21"/>
      <c r="F275" s="21">
        <v>20</v>
      </c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2">
        <f t="shared" si="4"/>
        <v>20</v>
      </c>
    </row>
    <row r="276" spans="1:17" ht="15.75" customHeight="1">
      <c r="A276" s="23">
        <v>274</v>
      </c>
      <c r="B276" s="24" t="s">
        <v>3516</v>
      </c>
      <c r="C276" s="24" t="s">
        <v>211</v>
      </c>
      <c r="D276" s="24" t="s">
        <v>1689</v>
      </c>
      <c r="E276" s="25"/>
      <c r="F276" s="25">
        <v>5</v>
      </c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2">
        <f t="shared" si="4"/>
        <v>5</v>
      </c>
    </row>
    <row r="277" spans="1:17" ht="15.75" customHeight="1">
      <c r="A277" s="19">
        <v>275</v>
      </c>
      <c r="B277" s="20" t="s">
        <v>1713</v>
      </c>
      <c r="C277" s="20" t="s">
        <v>203</v>
      </c>
      <c r="D277" s="20" t="s">
        <v>1714</v>
      </c>
      <c r="E277" s="21">
        <v>700</v>
      </c>
      <c r="F277" s="21">
        <v>1273</v>
      </c>
      <c r="G277" s="21">
        <v>591</v>
      </c>
      <c r="H277" s="21">
        <v>260</v>
      </c>
      <c r="I277" s="21"/>
      <c r="J277" s="21"/>
      <c r="K277" s="21"/>
      <c r="L277" s="21"/>
      <c r="M277" s="21"/>
      <c r="N277" s="21"/>
      <c r="O277" s="21"/>
      <c r="P277" s="21"/>
      <c r="Q277" s="22">
        <f t="shared" si="4"/>
        <v>2824</v>
      </c>
    </row>
    <row r="278" spans="1:17" ht="15.75" customHeight="1">
      <c r="A278" s="23">
        <v>276</v>
      </c>
      <c r="B278" s="24" t="s">
        <v>1715</v>
      </c>
      <c r="C278" s="24" t="s">
        <v>203</v>
      </c>
      <c r="D278" s="24" t="s">
        <v>1716</v>
      </c>
      <c r="E278" s="25">
        <v>20</v>
      </c>
      <c r="F278" s="25">
        <v>20</v>
      </c>
      <c r="G278" s="25">
        <v>10</v>
      </c>
      <c r="H278" s="25"/>
      <c r="I278" s="25"/>
      <c r="J278" s="25"/>
      <c r="K278" s="25"/>
      <c r="L278" s="25"/>
      <c r="M278" s="25"/>
      <c r="N278" s="25"/>
      <c r="O278" s="25"/>
      <c r="P278" s="25"/>
      <c r="Q278" s="22">
        <f t="shared" si="4"/>
        <v>50</v>
      </c>
    </row>
    <row r="279" spans="1:17" ht="15.75" customHeight="1">
      <c r="A279" s="19">
        <v>277</v>
      </c>
      <c r="B279" s="20" t="s">
        <v>1717</v>
      </c>
      <c r="C279" s="20" t="s">
        <v>203</v>
      </c>
      <c r="D279" s="20" t="s">
        <v>1718</v>
      </c>
      <c r="E279" s="21"/>
      <c r="F279" s="21"/>
      <c r="G279" s="21">
        <v>10</v>
      </c>
      <c r="H279" s="21">
        <v>25</v>
      </c>
      <c r="I279" s="21"/>
      <c r="J279" s="21"/>
      <c r="K279" s="21"/>
      <c r="L279" s="21"/>
      <c r="M279" s="21"/>
      <c r="N279" s="21"/>
      <c r="O279" s="21"/>
      <c r="P279" s="21"/>
      <c r="Q279" s="22">
        <f t="shared" si="4"/>
        <v>35</v>
      </c>
    </row>
    <row r="280" spans="1:17" ht="15.75" customHeight="1">
      <c r="A280" s="23">
        <v>278</v>
      </c>
      <c r="B280" s="24" t="s">
        <v>1719</v>
      </c>
      <c r="C280" s="24" t="s">
        <v>203</v>
      </c>
      <c r="D280" s="24" t="s">
        <v>1720</v>
      </c>
      <c r="E280" s="25">
        <v>909</v>
      </c>
      <c r="F280" s="25">
        <v>990</v>
      </c>
      <c r="G280" s="25">
        <v>968</v>
      </c>
      <c r="H280" s="25">
        <v>110</v>
      </c>
      <c r="I280" s="25"/>
      <c r="J280" s="25"/>
      <c r="K280" s="25"/>
      <c r="L280" s="25"/>
      <c r="M280" s="25"/>
      <c r="N280" s="25"/>
      <c r="O280" s="25"/>
      <c r="P280" s="25"/>
      <c r="Q280" s="22">
        <f t="shared" si="4"/>
        <v>2977</v>
      </c>
    </row>
    <row r="281" spans="1:17" ht="15.75" customHeight="1">
      <c r="A281" s="19">
        <v>279</v>
      </c>
      <c r="B281" s="20" t="s">
        <v>1723</v>
      </c>
      <c r="C281" s="20" t="s">
        <v>203</v>
      </c>
      <c r="D281" s="20" t="s">
        <v>1724</v>
      </c>
      <c r="E281" s="21">
        <v>30</v>
      </c>
      <c r="F281" s="21"/>
      <c r="G281" s="21"/>
      <c r="H281" s="21">
        <v>90</v>
      </c>
      <c r="I281" s="21"/>
      <c r="J281" s="21"/>
      <c r="K281" s="21"/>
      <c r="L281" s="21"/>
      <c r="M281" s="21"/>
      <c r="N281" s="21"/>
      <c r="O281" s="21"/>
      <c r="P281" s="21"/>
      <c r="Q281" s="22">
        <f t="shared" si="4"/>
        <v>120</v>
      </c>
    </row>
    <row r="282" spans="1:17" ht="15.75" customHeight="1">
      <c r="A282" s="23">
        <v>280</v>
      </c>
      <c r="B282" s="24" t="s">
        <v>1725</v>
      </c>
      <c r="C282" s="24" t="s">
        <v>203</v>
      </c>
      <c r="D282" s="24" t="s">
        <v>1726</v>
      </c>
      <c r="E282" s="25">
        <v>216</v>
      </c>
      <c r="F282" s="25">
        <v>450</v>
      </c>
      <c r="G282" s="25">
        <v>428</v>
      </c>
      <c r="H282" s="25">
        <v>56</v>
      </c>
      <c r="I282" s="25"/>
      <c r="J282" s="25"/>
      <c r="K282" s="25"/>
      <c r="L282" s="25"/>
      <c r="M282" s="25"/>
      <c r="N282" s="25"/>
      <c r="O282" s="25"/>
      <c r="P282" s="25"/>
      <c r="Q282" s="22">
        <f t="shared" si="4"/>
        <v>1150</v>
      </c>
    </row>
    <row r="283" spans="1:17" ht="15.75" customHeight="1">
      <c r="A283" s="19">
        <v>281</v>
      </c>
      <c r="B283" s="20" t="s">
        <v>1727</v>
      </c>
      <c r="C283" s="20" t="s">
        <v>203</v>
      </c>
      <c r="D283" s="20" t="s">
        <v>1728</v>
      </c>
      <c r="E283" s="21">
        <v>65</v>
      </c>
      <c r="F283" s="21">
        <v>231</v>
      </c>
      <c r="G283" s="21">
        <v>173</v>
      </c>
      <c r="H283" s="21">
        <v>64</v>
      </c>
      <c r="I283" s="21"/>
      <c r="J283" s="21"/>
      <c r="K283" s="21"/>
      <c r="L283" s="21"/>
      <c r="M283" s="21"/>
      <c r="N283" s="21"/>
      <c r="O283" s="21"/>
      <c r="P283" s="21"/>
      <c r="Q283" s="22">
        <f t="shared" si="4"/>
        <v>533</v>
      </c>
    </row>
    <row r="284" spans="1:17" ht="15.75" customHeight="1">
      <c r="A284" s="23">
        <v>282</v>
      </c>
      <c r="B284" s="24" t="s">
        <v>1729</v>
      </c>
      <c r="C284" s="24" t="s">
        <v>203</v>
      </c>
      <c r="D284" s="24" t="s">
        <v>1730</v>
      </c>
      <c r="E284" s="25">
        <v>80</v>
      </c>
      <c r="F284" s="25">
        <v>340</v>
      </c>
      <c r="G284" s="25">
        <v>60</v>
      </c>
      <c r="H284" s="25"/>
      <c r="I284" s="25"/>
      <c r="J284" s="25"/>
      <c r="K284" s="25"/>
      <c r="L284" s="25"/>
      <c r="M284" s="25"/>
      <c r="N284" s="25"/>
      <c r="O284" s="25"/>
      <c r="P284" s="25"/>
      <c r="Q284" s="22">
        <f t="shared" si="4"/>
        <v>480</v>
      </c>
    </row>
    <row r="285" spans="1:17" ht="15.75" customHeight="1">
      <c r="A285" s="19">
        <v>283</v>
      </c>
      <c r="B285" s="20" t="s">
        <v>1731</v>
      </c>
      <c r="C285" s="20" t="s">
        <v>203</v>
      </c>
      <c r="D285" s="20" t="s">
        <v>1732</v>
      </c>
      <c r="E285" s="21">
        <v>40</v>
      </c>
      <c r="F285" s="21">
        <v>60</v>
      </c>
      <c r="G285" s="21">
        <v>140</v>
      </c>
      <c r="H285" s="21">
        <v>30</v>
      </c>
      <c r="I285" s="21"/>
      <c r="J285" s="21"/>
      <c r="K285" s="21"/>
      <c r="L285" s="21"/>
      <c r="M285" s="21"/>
      <c r="N285" s="21"/>
      <c r="O285" s="21"/>
      <c r="P285" s="21"/>
      <c r="Q285" s="22">
        <f t="shared" si="4"/>
        <v>270</v>
      </c>
    </row>
    <row r="286" spans="1:17" ht="15.75" customHeight="1">
      <c r="A286" s="23">
        <v>284</v>
      </c>
      <c r="B286" s="24" t="s">
        <v>1733</v>
      </c>
      <c r="C286" s="24" t="s">
        <v>203</v>
      </c>
      <c r="D286" s="24" t="s">
        <v>1734</v>
      </c>
      <c r="E286" s="25">
        <v>10</v>
      </c>
      <c r="F286" s="25">
        <v>9</v>
      </c>
      <c r="G286" s="25">
        <v>59</v>
      </c>
      <c r="H286" s="25"/>
      <c r="I286" s="25"/>
      <c r="J286" s="25"/>
      <c r="K286" s="25"/>
      <c r="L286" s="25"/>
      <c r="M286" s="25"/>
      <c r="N286" s="25"/>
      <c r="O286" s="25"/>
      <c r="P286" s="25"/>
      <c r="Q286" s="22">
        <f t="shared" si="4"/>
        <v>78</v>
      </c>
    </row>
    <row r="287" spans="1:17" ht="15.75" customHeight="1">
      <c r="A287" s="19">
        <v>285</v>
      </c>
      <c r="B287" s="20" t="s">
        <v>1735</v>
      </c>
      <c r="C287" s="20" t="s">
        <v>203</v>
      </c>
      <c r="D287" s="20" t="s">
        <v>1736</v>
      </c>
      <c r="E287" s="21">
        <v>176</v>
      </c>
      <c r="F287" s="21">
        <v>523</v>
      </c>
      <c r="G287" s="21">
        <v>375</v>
      </c>
      <c r="H287" s="21">
        <v>28</v>
      </c>
      <c r="I287" s="21"/>
      <c r="J287" s="21"/>
      <c r="K287" s="21"/>
      <c r="L287" s="21"/>
      <c r="M287" s="21"/>
      <c r="N287" s="21"/>
      <c r="O287" s="21"/>
      <c r="P287" s="21"/>
      <c r="Q287" s="22">
        <f t="shared" si="4"/>
        <v>1102</v>
      </c>
    </row>
    <row r="288" spans="1:17" ht="15.75" customHeight="1">
      <c r="A288" s="23">
        <v>286</v>
      </c>
      <c r="B288" s="24" t="s">
        <v>1737</v>
      </c>
      <c r="C288" s="24" t="s">
        <v>203</v>
      </c>
      <c r="D288" s="24" t="s">
        <v>1738</v>
      </c>
      <c r="E288" s="25"/>
      <c r="F288" s="25"/>
      <c r="G288" s="25">
        <v>116</v>
      </c>
      <c r="H288" s="25">
        <v>10</v>
      </c>
      <c r="I288" s="25"/>
      <c r="J288" s="25"/>
      <c r="K288" s="25"/>
      <c r="L288" s="25"/>
      <c r="M288" s="25"/>
      <c r="N288" s="25"/>
      <c r="O288" s="25"/>
      <c r="P288" s="25"/>
      <c r="Q288" s="22">
        <f t="shared" si="4"/>
        <v>126</v>
      </c>
    </row>
    <row r="289" spans="1:17" ht="15.75" customHeight="1">
      <c r="A289" s="19">
        <v>287</v>
      </c>
      <c r="B289" s="20" t="s">
        <v>1739</v>
      </c>
      <c r="C289" s="20" t="s">
        <v>203</v>
      </c>
      <c r="D289" s="20" t="s">
        <v>1578</v>
      </c>
      <c r="E289" s="21">
        <v>5</v>
      </c>
      <c r="F289" s="21">
        <v>4</v>
      </c>
      <c r="G289" s="21">
        <v>10</v>
      </c>
      <c r="H289" s="21"/>
      <c r="I289" s="21"/>
      <c r="J289" s="21"/>
      <c r="K289" s="21"/>
      <c r="L289" s="21"/>
      <c r="M289" s="21"/>
      <c r="N289" s="21"/>
      <c r="O289" s="21"/>
      <c r="P289" s="21"/>
      <c r="Q289" s="22">
        <f t="shared" si="4"/>
        <v>19</v>
      </c>
    </row>
    <row r="290" spans="1:17" ht="15.75" customHeight="1">
      <c r="A290" s="23">
        <v>288</v>
      </c>
      <c r="B290" s="24" t="s">
        <v>1740</v>
      </c>
      <c r="C290" s="24" t="s">
        <v>203</v>
      </c>
      <c r="D290" s="24" t="s">
        <v>1741</v>
      </c>
      <c r="E290" s="25"/>
      <c r="F290" s="25">
        <v>100</v>
      </c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2">
        <f t="shared" si="4"/>
        <v>100</v>
      </c>
    </row>
    <row r="291" spans="1:17" ht="15.75" customHeight="1">
      <c r="A291" s="19">
        <v>289</v>
      </c>
      <c r="B291" s="20" t="s">
        <v>1742</v>
      </c>
      <c r="C291" s="20" t="s">
        <v>203</v>
      </c>
      <c r="D291" s="20" t="s">
        <v>1685</v>
      </c>
      <c r="E291" s="21">
        <v>5</v>
      </c>
      <c r="F291" s="21"/>
      <c r="G291" s="21">
        <v>2</v>
      </c>
      <c r="H291" s="21"/>
      <c r="I291" s="21"/>
      <c r="J291" s="21"/>
      <c r="K291" s="21"/>
      <c r="L291" s="21"/>
      <c r="M291" s="21"/>
      <c r="N291" s="21"/>
      <c r="O291" s="21"/>
      <c r="P291" s="21"/>
      <c r="Q291" s="22">
        <f t="shared" si="4"/>
        <v>7</v>
      </c>
    </row>
    <row r="292" spans="1:17" ht="15.75" customHeight="1">
      <c r="A292" s="23">
        <v>290</v>
      </c>
      <c r="B292" s="24" t="s">
        <v>1743</v>
      </c>
      <c r="C292" s="24" t="s">
        <v>203</v>
      </c>
      <c r="D292" s="24" t="s">
        <v>1744</v>
      </c>
      <c r="E292" s="25"/>
      <c r="F292" s="25">
        <v>2</v>
      </c>
      <c r="G292" s="25">
        <v>9</v>
      </c>
      <c r="H292" s="25"/>
      <c r="I292" s="25"/>
      <c r="J292" s="25"/>
      <c r="K292" s="25"/>
      <c r="L292" s="25"/>
      <c r="M292" s="25"/>
      <c r="N292" s="25"/>
      <c r="O292" s="25"/>
      <c r="P292" s="25"/>
      <c r="Q292" s="22">
        <f t="shared" si="4"/>
        <v>11</v>
      </c>
    </row>
    <row r="293" spans="1:17" ht="15.75" customHeight="1">
      <c r="A293" s="19">
        <v>291</v>
      </c>
      <c r="B293" s="20" t="s">
        <v>1745</v>
      </c>
      <c r="C293" s="20" t="s">
        <v>203</v>
      </c>
      <c r="D293" s="20" t="s">
        <v>1746</v>
      </c>
      <c r="E293" s="21">
        <v>50</v>
      </c>
      <c r="F293" s="21">
        <v>325</v>
      </c>
      <c r="G293" s="21">
        <v>100</v>
      </c>
      <c r="H293" s="21"/>
      <c r="I293" s="21"/>
      <c r="J293" s="21"/>
      <c r="K293" s="21"/>
      <c r="L293" s="21"/>
      <c r="M293" s="21"/>
      <c r="N293" s="21"/>
      <c r="O293" s="21"/>
      <c r="P293" s="21"/>
      <c r="Q293" s="22">
        <f t="shared" si="4"/>
        <v>475</v>
      </c>
    </row>
    <row r="294" spans="1:17" ht="15.75" customHeight="1">
      <c r="A294" s="23">
        <v>292</v>
      </c>
      <c r="B294" s="24" t="s">
        <v>1747</v>
      </c>
      <c r="C294" s="24" t="s">
        <v>203</v>
      </c>
      <c r="D294" s="24" t="s">
        <v>1689</v>
      </c>
      <c r="E294" s="25"/>
      <c r="F294" s="25">
        <v>2</v>
      </c>
      <c r="G294" s="25">
        <v>5</v>
      </c>
      <c r="H294" s="25"/>
      <c r="I294" s="25"/>
      <c r="J294" s="25"/>
      <c r="K294" s="25"/>
      <c r="L294" s="25"/>
      <c r="M294" s="25"/>
      <c r="N294" s="25"/>
      <c r="O294" s="25"/>
      <c r="P294" s="25"/>
      <c r="Q294" s="22">
        <f t="shared" si="4"/>
        <v>7</v>
      </c>
    </row>
    <row r="295" spans="1:17" ht="15.75" customHeight="1">
      <c r="A295" s="19">
        <v>293</v>
      </c>
      <c r="B295" s="20" t="s">
        <v>1748</v>
      </c>
      <c r="C295" s="20" t="s">
        <v>203</v>
      </c>
      <c r="D295" s="20" t="s">
        <v>1749</v>
      </c>
      <c r="E295" s="21">
        <v>10</v>
      </c>
      <c r="F295" s="21"/>
      <c r="G295" s="21">
        <v>1520</v>
      </c>
      <c r="H295" s="21">
        <v>30</v>
      </c>
      <c r="I295" s="21"/>
      <c r="J295" s="21"/>
      <c r="K295" s="21"/>
      <c r="L295" s="21"/>
      <c r="M295" s="21"/>
      <c r="N295" s="21"/>
      <c r="O295" s="21"/>
      <c r="P295" s="21"/>
      <c r="Q295" s="22">
        <f t="shared" si="4"/>
        <v>1560</v>
      </c>
    </row>
    <row r="296" spans="1:17" ht="15.75" customHeight="1">
      <c r="A296" s="23">
        <v>294</v>
      </c>
      <c r="B296" s="24" t="s">
        <v>1750</v>
      </c>
      <c r="C296" s="24" t="s">
        <v>203</v>
      </c>
      <c r="D296" s="24" t="s">
        <v>1751</v>
      </c>
      <c r="E296" s="25">
        <v>85</v>
      </c>
      <c r="F296" s="25">
        <v>51</v>
      </c>
      <c r="G296" s="25">
        <v>40</v>
      </c>
      <c r="H296" s="25"/>
      <c r="I296" s="25"/>
      <c r="J296" s="25"/>
      <c r="K296" s="25"/>
      <c r="L296" s="25"/>
      <c r="M296" s="25"/>
      <c r="N296" s="25"/>
      <c r="O296" s="25"/>
      <c r="P296" s="25"/>
      <c r="Q296" s="22">
        <f t="shared" si="4"/>
        <v>176</v>
      </c>
    </row>
    <row r="297" spans="1:17" ht="15.75" customHeight="1">
      <c r="A297" s="19">
        <v>295</v>
      </c>
      <c r="B297" s="20" t="s">
        <v>1752</v>
      </c>
      <c r="C297" s="20" t="s">
        <v>203</v>
      </c>
      <c r="D297" s="20" t="s">
        <v>1753</v>
      </c>
      <c r="E297" s="21">
        <v>10</v>
      </c>
      <c r="F297" s="21">
        <v>10</v>
      </c>
      <c r="G297" s="21">
        <v>55</v>
      </c>
      <c r="H297" s="21"/>
      <c r="I297" s="21"/>
      <c r="J297" s="21"/>
      <c r="K297" s="21"/>
      <c r="L297" s="21"/>
      <c r="M297" s="21"/>
      <c r="N297" s="21"/>
      <c r="O297" s="21"/>
      <c r="P297" s="21"/>
      <c r="Q297" s="22">
        <f t="shared" si="4"/>
        <v>75</v>
      </c>
    </row>
    <row r="298" spans="1:17" ht="15.75" customHeight="1">
      <c r="A298" s="23">
        <v>296</v>
      </c>
      <c r="B298" s="24" t="s">
        <v>1754</v>
      </c>
      <c r="C298" s="24" t="s">
        <v>244</v>
      </c>
      <c r="D298" s="24" t="s">
        <v>1755</v>
      </c>
      <c r="E298" s="25">
        <v>29</v>
      </c>
      <c r="F298" s="25">
        <v>14</v>
      </c>
      <c r="G298" s="25">
        <v>25</v>
      </c>
      <c r="H298" s="25"/>
      <c r="I298" s="25"/>
      <c r="J298" s="25"/>
      <c r="K298" s="25"/>
      <c r="L298" s="25"/>
      <c r="M298" s="25"/>
      <c r="N298" s="25"/>
      <c r="O298" s="25"/>
      <c r="P298" s="25"/>
      <c r="Q298" s="22">
        <f t="shared" si="4"/>
        <v>68</v>
      </c>
    </row>
    <row r="299" spans="1:17" ht="15.75" customHeight="1">
      <c r="A299" s="19">
        <v>297</v>
      </c>
      <c r="B299" s="20" t="s">
        <v>1756</v>
      </c>
      <c r="C299" s="20" t="s">
        <v>244</v>
      </c>
      <c r="D299" s="20" t="s">
        <v>1757</v>
      </c>
      <c r="E299" s="21">
        <v>22</v>
      </c>
      <c r="F299" s="21">
        <v>30</v>
      </c>
      <c r="G299" s="21">
        <v>15</v>
      </c>
      <c r="H299" s="21"/>
      <c r="I299" s="21"/>
      <c r="J299" s="21"/>
      <c r="K299" s="21"/>
      <c r="L299" s="21"/>
      <c r="M299" s="21"/>
      <c r="N299" s="21"/>
      <c r="O299" s="21"/>
      <c r="P299" s="21"/>
      <c r="Q299" s="22">
        <f t="shared" si="4"/>
        <v>67</v>
      </c>
    </row>
    <row r="300" spans="1:17" ht="15.75" customHeight="1">
      <c r="A300" s="23">
        <v>298</v>
      </c>
      <c r="B300" s="24" t="s">
        <v>1758</v>
      </c>
      <c r="C300" s="24" t="s">
        <v>244</v>
      </c>
      <c r="D300" s="24" t="s">
        <v>1759</v>
      </c>
      <c r="E300" s="25"/>
      <c r="F300" s="25">
        <v>100</v>
      </c>
      <c r="G300" s="25">
        <v>50</v>
      </c>
      <c r="H300" s="25"/>
      <c r="I300" s="25"/>
      <c r="J300" s="25"/>
      <c r="K300" s="25"/>
      <c r="L300" s="25"/>
      <c r="M300" s="25"/>
      <c r="N300" s="25"/>
      <c r="O300" s="25"/>
      <c r="P300" s="25"/>
      <c r="Q300" s="22">
        <f t="shared" si="4"/>
        <v>150</v>
      </c>
    </row>
    <row r="301" spans="1:17" ht="15.75" customHeight="1">
      <c r="A301" s="19">
        <v>299</v>
      </c>
      <c r="B301" s="20" t="s">
        <v>1760</v>
      </c>
      <c r="C301" s="20" t="s">
        <v>244</v>
      </c>
      <c r="D301" s="20" t="s">
        <v>1761</v>
      </c>
      <c r="E301" s="21"/>
      <c r="F301" s="21">
        <v>20</v>
      </c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2">
        <f t="shared" si="4"/>
        <v>20</v>
      </c>
    </row>
    <row r="302" spans="1:17" ht="15.75" customHeight="1">
      <c r="A302" s="23">
        <v>300</v>
      </c>
      <c r="B302" s="24" t="s">
        <v>1764</v>
      </c>
      <c r="C302" s="24" t="s">
        <v>244</v>
      </c>
      <c r="D302" s="24" t="s">
        <v>1765</v>
      </c>
      <c r="E302" s="25">
        <v>20</v>
      </c>
      <c r="F302" s="25">
        <v>180</v>
      </c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2">
        <f t="shared" si="4"/>
        <v>200</v>
      </c>
    </row>
    <row r="303" spans="1:17" ht="15.75" customHeight="1">
      <c r="A303" s="19">
        <v>301</v>
      </c>
      <c r="B303" s="20" t="s">
        <v>1766</v>
      </c>
      <c r="C303" s="20" t="s">
        <v>244</v>
      </c>
      <c r="D303" s="20" t="s">
        <v>1767</v>
      </c>
      <c r="E303" s="21">
        <v>1</v>
      </c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2">
        <f t="shared" si="4"/>
        <v>1</v>
      </c>
    </row>
    <row r="304" spans="1:17" ht="15.75" customHeight="1">
      <c r="A304" s="23">
        <v>302</v>
      </c>
      <c r="B304" s="24" t="s">
        <v>1769</v>
      </c>
      <c r="C304" s="24" t="s">
        <v>244</v>
      </c>
      <c r="D304" s="24" t="s">
        <v>1770</v>
      </c>
      <c r="E304" s="25">
        <v>100</v>
      </c>
      <c r="F304" s="25">
        <v>185</v>
      </c>
      <c r="G304" s="25">
        <v>480</v>
      </c>
      <c r="H304" s="25">
        <v>70</v>
      </c>
      <c r="I304" s="25"/>
      <c r="J304" s="25"/>
      <c r="K304" s="25"/>
      <c r="L304" s="25"/>
      <c r="M304" s="25"/>
      <c r="N304" s="25"/>
      <c r="O304" s="25"/>
      <c r="P304" s="25"/>
      <c r="Q304" s="22">
        <f t="shared" si="4"/>
        <v>835</v>
      </c>
    </row>
    <row r="305" spans="1:17" ht="15.75" customHeight="1">
      <c r="A305" s="19">
        <v>303</v>
      </c>
      <c r="B305" s="20" t="s">
        <v>1771</v>
      </c>
      <c r="C305" s="20" t="s">
        <v>244</v>
      </c>
      <c r="D305" s="20" t="s">
        <v>1772</v>
      </c>
      <c r="E305" s="21">
        <v>20</v>
      </c>
      <c r="F305" s="21"/>
      <c r="G305" s="21">
        <v>8</v>
      </c>
      <c r="H305" s="21"/>
      <c r="I305" s="21"/>
      <c r="J305" s="21"/>
      <c r="K305" s="21"/>
      <c r="L305" s="21"/>
      <c r="M305" s="21"/>
      <c r="N305" s="21"/>
      <c r="O305" s="21"/>
      <c r="P305" s="21"/>
      <c r="Q305" s="22">
        <f t="shared" si="4"/>
        <v>28</v>
      </c>
    </row>
    <row r="306" spans="1:17" ht="15.75" customHeight="1">
      <c r="A306" s="23">
        <v>304</v>
      </c>
      <c r="B306" s="24" t="s">
        <v>1775</v>
      </c>
      <c r="C306" s="24" t="s">
        <v>253</v>
      </c>
      <c r="D306" s="24" t="s">
        <v>1776</v>
      </c>
      <c r="E306" s="25">
        <v>156</v>
      </c>
      <c r="F306" s="25">
        <v>190</v>
      </c>
      <c r="G306" s="25">
        <v>209</v>
      </c>
      <c r="H306" s="25">
        <v>20</v>
      </c>
      <c r="I306" s="25"/>
      <c r="J306" s="25"/>
      <c r="K306" s="25"/>
      <c r="L306" s="25"/>
      <c r="M306" s="25"/>
      <c r="N306" s="25"/>
      <c r="O306" s="25"/>
      <c r="P306" s="25"/>
      <c r="Q306" s="22">
        <f t="shared" si="4"/>
        <v>575</v>
      </c>
    </row>
    <row r="307" spans="1:17" ht="15.75" customHeight="1">
      <c r="A307" s="19">
        <v>305</v>
      </c>
      <c r="B307" s="20" t="s">
        <v>1777</v>
      </c>
      <c r="C307" s="20" t="s">
        <v>253</v>
      </c>
      <c r="D307" s="20" t="s">
        <v>1778</v>
      </c>
      <c r="E307" s="21"/>
      <c r="F307" s="21">
        <v>10</v>
      </c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2">
        <f t="shared" si="4"/>
        <v>10</v>
      </c>
    </row>
    <row r="308" spans="1:17" ht="15.75" customHeight="1">
      <c r="A308" s="23">
        <v>306</v>
      </c>
      <c r="B308" s="24" t="s">
        <v>1780</v>
      </c>
      <c r="C308" s="24" t="s">
        <v>253</v>
      </c>
      <c r="D308" s="24" t="s">
        <v>1781</v>
      </c>
      <c r="E308" s="25">
        <v>186</v>
      </c>
      <c r="F308" s="25">
        <v>85</v>
      </c>
      <c r="G308" s="25">
        <v>364</v>
      </c>
      <c r="H308" s="25">
        <v>95</v>
      </c>
      <c r="I308" s="25"/>
      <c r="J308" s="25"/>
      <c r="K308" s="25"/>
      <c r="L308" s="25"/>
      <c r="M308" s="25"/>
      <c r="N308" s="25"/>
      <c r="O308" s="25"/>
      <c r="P308" s="25"/>
      <c r="Q308" s="22">
        <f t="shared" si="4"/>
        <v>730</v>
      </c>
    </row>
    <row r="309" spans="1:17" ht="15.75" customHeight="1">
      <c r="A309" s="19">
        <v>307</v>
      </c>
      <c r="B309" s="20" t="s">
        <v>1785</v>
      </c>
      <c r="C309" s="20" t="s">
        <v>253</v>
      </c>
      <c r="D309" s="20" t="s">
        <v>1786</v>
      </c>
      <c r="E309" s="21">
        <v>75</v>
      </c>
      <c r="F309" s="21">
        <v>121</v>
      </c>
      <c r="G309" s="21">
        <v>414</v>
      </c>
      <c r="H309" s="21">
        <v>60</v>
      </c>
      <c r="I309" s="21"/>
      <c r="J309" s="21"/>
      <c r="K309" s="21"/>
      <c r="L309" s="21"/>
      <c r="M309" s="21"/>
      <c r="N309" s="21"/>
      <c r="O309" s="21"/>
      <c r="P309" s="21"/>
      <c r="Q309" s="22">
        <f t="shared" si="4"/>
        <v>670</v>
      </c>
    </row>
    <row r="310" spans="1:17" ht="15.75" customHeight="1">
      <c r="A310" s="23">
        <v>308</v>
      </c>
      <c r="B310" s="24" t="s">
        <v>1787</v>
      </c>
      <c r="C310" s="24" t="s">
        <v>253</v>
      </c>
      <c r="D310" s="24" t="s">
        <v>1788</v>
      </c>
      <c r="E310" s="25">
        <v>30</v>
      </c>
      <c r="F310" s="25">
        <v>35</v>
      </c>
      <c r="G310" s="25">
        <v>80</v>
      </c>
      <c r="H310" s="25"/>
      <c r="I310" s="25"/>
      <c r="J310" s="25"/>
      <c r="K310" s="25"/>
      <c r="L310" s="25"/>
      <c r="M310" s="25"/>
      <c r="N310" s="25"/>
      <c r="O310" s="25"/>
      <c r="P310" s="25"/>
      <c r="Q310" s="22">
        <f t="shared" si="4"/>
        <v>145</v>
      </c>
    </row>
    <row r="311" spans="1:17" ht="15.75" customHeight="1">
      <c r="A311" s="19">
        <v>309</v>
      </c>
      <c r="B311" s="20" t="s">
        <v>1789</v>
      </c>
      <c r="C311" s="20" t="s">
        <v>253</v>
      </c>
      <c r="D311" s="20" t="s">
        <v>1790</v>
      </c>
      <c r="E311" s="21">
        <v>50</v>
      </c>
      <c r="F311" s="21">
        <v>10</v>
      </c>
      <c r="G311" s="21">
        <v>20</v>
      </c>
      <c r="H311" s="21"/>
      <c r="I311" s="21"/>
      <c r="J311" s="21"/>
      <c r="K311" s="21"/>
      <c r="L311" s="21"/>
      <c r="M311" s="21"/>
      <c r="N311" s="21"/>
      <c r="O311" s="21"/>
      <c r="P311" s="21"/>
      <c r="Q311" s="22">
        <f t="shared" si="4"/>
        <v>80</v>
      </c>
    </row>
    <row r="312" spans="1:17" ht="15.75" customHeight="1">
      <c r="A312" s="23">
        <v>310</v>
      </c>
      <c r="B312" s="24" t="s">
        <v>1791</v>
      </c>
      <c r="C312" s="24" t="s">
        <v>253</v>
      </c>
      <c r="D312" s="24" t="s">
        <v>1792</v>
      </c>
      <c r="E312" s="25">
        <v>35</v>
      </c>
      <c r="F312" s="25">
        <v>40</v>
      </c>
      <c r="G312" s="25">
        <v>50</v>
      </c>
      <c r="H312" s="25"/>
      <c r="I312" s="25"/>
      <c r="J312" s="25"/>
      <c r="K312" s="25"/>
      <c r="L312" s="25"/>
      <c r="M312" s="25"/>
      <c r="N312" s="25"/>
      <c r="O312" s="25"/>
      <c r="P312" s="25"/>
      <c r="Q312" s="22">
        <f t="shared" si="4"/>
        <v>125</v>
      </c>
    </row>
    <row r="313" spans="1:17" ht="15.75" customHeight="1">
      <c r="A313" s="19">
        <v>311</v>
      </c>
      <c r="B313" s="20" t="s">
        <v>1793</v>
      </c>
      <c r="C313" s="20" t="s">
        <v>253</v>
      </c>
      <c r="D313" s="20" t="s">
        <v>1794</v>
      </c>
      <c r="E313" s="21">
        <v>35</v>
      </c>
      <c r="F313" s="21">
        <v>95</v>
      </c>
      <c r="G313" s="21">
        <v>165</v>
      </c>
      <c r="H313" s="21"/>
      <c r="I313" s="21"/>
      <c r="J313" s="21"/>
      <c r="K313" s="21"/>
      <c r="L313" s="21"/>
      <c r="M313" s="21"/>
      <c r="N313" s="21"/>
      <c r="O313" s="21"/>
      <c r="P313" s="21"/>
      <c r="Q313" s="22">
        <f t="shared" si="4"/>
        <v>295</v>
      </c>
    </row>
    <row r="314" spans="1:17" ht="15.75" customHeight="1">
      <c r="A314" s="23">
        <v>312</v>
      </c>
      <c r="B314" s="24" t="s">
        <v>1795</v>
      </c>
      <c r="C314" s="24" t="s">
        <v>253</v>
      </c>
      <c r="D314" s="24" t="s">
        <v>1796</v>
      </c>
      <c r="E314" s="25"/>
      <c r="F314" s="25"/>
      <c r="G314" s="25">
        <v>2</v>
      </c>
      <c r="H314" s="25"/>
      <c r="I314" s="25"/>
      <c r="J314" s="25"/>
      <c r="K314" s="25"/>
      <c r="L314" s="25"/>
      <c r="M314" s="25"/>
      <c r="N314" s="25"/>
      <c r="O314" s="25"/>
      <c r="P314" s="25"/>
      <c r="Q314" s="22">
        <f t="shared" si="4"/>
        <v>2</v>
      </c>
    </row>
    <row r="315" spans="1:17" ht="15.75" customHeight="1">
      <c r="A315" s="19">
        <v>313</v>
      </c>
      <c r="B315" s="20" t="s">
        <v>1797</v>
      </c>
      <c r="C315" s="20" t="s">
        <v>253</v>
      </c>
      <c r="D315" s="20" t="s">
        <v>1798</v>
      </c>
      <c r="E315" s="21"/>
      <c r="F315" s="21">
        <v>50</v>
      </c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2">
        <f t="shared" si="4"/>
        <v>50</v>
      </c>
    </row>
    <row r="316" spans="1:17" ht="15.75" customHeight="1">
      <c r="A316" s="23">
        <v>314</v>
      </c>
      <c r="B316" s="24" t="s">
        <v>3517</v>
      </c>
      <c r="C316" s="24" t="s">
        <v>253</v>
      </c>
      <c r="D316" s="24" t="s">
        <v>1685</v>
      </c>
      <c r="E316" s="25"/>
      <c r="F316" s="25">
        <v>3</v>
      </c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2">
        <f t="shared" si="4"/>
        <v>3</v>
      </c>
    </row>
    <row r="317" spans="1:17" ht="15.75" customHeight="1">
      <c r="A317" s="19">
        <v>315</v>
      </c>
      <c r="B317" s="20" t="s">
        <v>3518</v>
      </c>
      <c r="C317" s="20" t="s">
        <v>253</v>
      </c>
      <c r="D317" s="20" t="s">
        <v>1744</v>
      </c>
      <c r="E317" s="21">
        <v>2</v>
      </c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2">
        <f t="shared" si="4"/>
        <v>2</v>
      </c>
    </row>
    <row r="318" spans="1:17" ht="15.75" customHeight="1">
      <c r="A318" s="23">
        <v>316</v>
      </c>
      <c r="B318" s="24" t="s">
        <v>1799</v>
      </c>
      <c r="C318" s="24" t="s">
        <v>253</v>
      </c>
      <c r="D318" s="24" t="s">
        <v>1800</v>
      </c>
      <c r="E318" s="25"/>
      <c r="F318" s="25">
        <v>40</v>
      </c>
      <c r="G318" s="25">
        <v>40</v>
      </c>
      <c r="H318" s="25">
        <v>15</v>
      </c>
      <c r="I318" s="25"/>
      <c r="J318" s="25"/>
      <c r="K318" s="25"/>
      <c r="L318" s="25"/>
      <c r="M318" s="25"/>
      <c r="N318" s="25"/>
      <c r="O318" s="25"/>
      <c r="P318" s="25"/>
      <c r="Q318" s="22">
        <f t="shared" si="4"/>
        <v>95</v>
      </c>
    </row>
    <row r="319" spans="1:17" ht="15.75" customHeight="1">
      <c r="A319" s="19">
        <v>317</v>
      </c>
      <c r="B319" s="20" t="s">
        <v>1804</v>
      </c>
      <c r="C319" s="20" t="s">
        <v>253</v>
      </c>
      <c r="D319" s="20" t="s">
        <v>1805</v>
      </c>
      <c r="E319" s="21"/>
      <c r="F319" s="21"/>
      <c r="G319" s="21"/>
      <c r="H319" s="21">
        <v>100</v>
      </c>
      <c r="I319" s="21"/>
      <c r="J319" s="21"/>
      <c r="K319" s="21"/>
      <c r="L319" s="21"/>
      <c r="M319" s="21"/>
      <c r="N319" s="21"/>
      <c r="O319" s="21"/>
      <c r="P319" s="21"/>
      <c r="Q319" s="22">
        <f t="shared" si="4"/>
        <v>100</v>
      </c>
    </row>
    <row r="320" spans="1:17" ht="15.75" customHeight="1">
      <c r="A320" s="23">
        <v>318</v>
      </c>
      <c r="B320" s="24" t="s">
        <v>1806</v>
      </c>
      <c r="C320" s="24" t="s">
        <v>253</v>
      </c>
      <c r="D320" s="24" t="s">
        <v>1807</v>
      </c>
      <c r="E320" s="25">
        <v>10</v>
      </c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2">
        <f t="shared" si="4"/>
        <v>10</v>
      </c>
    </row>
    <row r="321" spans="1:17" ht="15.75" customHeight="1">
      <c r="A321" s="19">
        <v>319</v>
      </c>
      <c r="B321" s="20" t="s">
        <v>3519</v>
      </c>
      <c r="C321" s="20" t="s">
        <v>253</v>
      </c>
      <c r="D321" s="20" t="s">
        <v>1578</v>
      </c>
      <c r="E321" s="21"/>
      <c r="F321" s="21">
        <v>5</v>
      </c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2">
        <f t="shared" si="4"/>
        <v>5</v>
      </c>
    </row>
    <row r="322" spans="1:17" ht="15.75" customHeight="1">
      <c r="A322" s="23">
        <v>320</v>
      </c>
      <c r="B322" s="24" t="s">
        <v>1811</v>
      </c>
      <c r="C322" s="24" t="s">
        <v>263</v>
      </c>
      <c r="D322" s="24" t="s">
        <v>1812</v>
      </c>
      <c r="E322" s="25"/>
      <c r="F322" s="25"/>
      <c r="G322" s="25"/>
      <c r="H322" s="25">
        <v>30</v>
      </c>
      <c r="I322" s="25"/>
      <c r="J322" s="25"/>
      <c r="K322" s="25"/>
      <c r="L322" s="25"/>
      <c r="M322" s="25"/>
      <c r="N322" s="25"/>
      <c r="O322" s="25"/>
      <c r="P322" s="25"/>
      <c r="Q322" s="22">
        <f t="shared" si="4"/>
        <v>30</v>
      </c>
    </row>
    <row r="323" spans="1:17" ht="15.75" customHeight="1">
      <c r="A323" s="19">
        <v>321</v>
      </c>
      <c r="B323" s="20" t="s">
        <v>1817</v>
      </c>
      <c r="C323" s="20" t="s">
        <v>263</v>
      </c>
      <c r="D323" s="20" t="s">
        <v>1818</v>
      </c>
      <c r="E323" s="21">
        <v>50</v>
      </c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2">
        <f t="shared" ref="Q323:Q386" si="5">SUM(E323:P323)</f>
        <v>50</v>
      </c>
    </row>
    <row r="324" spans="1:17" ht="15.75" customHeight="1">
      <c r="A324" s="23">
        <v>322</v>
      </c>
      <c r="B324" s="24" t="s">
        <v>1821</v>
      </c>
      <c r="C324" s="24" t="s">
        <v>263</v>
      </c>
      <c r="D324" s="24" t="s">
        <v>1822</v>
      </c>
      <c r="E324" s="25"/>
      <c r="F324" s="25"/>
      <c r="G324" s="25"/>
      <c r="H324" s="25">
        <v>30</v>
      </c>
      <c r="I324" s="25"/>
      <c r="J324" s="25"/>
      <c r="K324" s="25"/>
      <c r="L324" s="25"/>
      <c r="M324" s="25"/>
      <c r="N324" s="25"/>
      <c r="O324" s="25"/>
      <c r="P324" s="25"/>
      <c r="Q324" s="22">
        <f t="shared" si="5"/>
        <v>30</v>
      </c>
    </row>
    <row r="325" spans="1:17" ht="15.75" customHeight="1">
      <c r="A325" s="19">
        <v>323</v>
      </c>
      <c r="B325" s="20" t="s">
        <v>1823</v>
      </c>
      <c r="C325" s="20" t="s">
        <v>271</v>
      </c>
      <c r="D325" s="20" t="s">
        <v>1824</v>
      </c>
      <c r="E325" s="21">
        <v>60</v>
      </c>
      <c r="F325" s="21">
        <v>50</v>
      </c>
      <c r="G325" s="21">
        <v>20</v>
      </c>
      <c r="H325" s="21">
        <v>100</v>
      </c>
      <c r="I325" s="21"/>
      <c r="J325" s="21"/>
      <c r="K325" s="21"/>
      <c r="L325" s="21"/>
      <c r="M325" s="21"/>
      <c r="N325" s="21"/>
      <c r="O325" s="21"/>
      <c r="P325" s="21"/>
      <c r="Q325" s="22">
        <f t="shared" si="5"/>
        <v>230</v>
      </c>
    </row>
    <row r="326" spans="1:17" ht="15.75" customHeight="1">
      <c r="A326" s="23">
        <v>324</v>
      </c>
      <c r="B326" s="24" t="s">
        <v>1825</v>
      </c>
      <c r="C326" s="24" t="s">
        <v>271</v>
      </c>
      <c r="D326" s="24" t="s">
        <v>1668</v>
      </c>
      <c r="E326" s="25"/>
      <c r="F326" s="25">
        <v>30</v>
      </c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2">
        <f t="shared" si="5"/>
        <v>30</v>
      </c>
    </row>
    <row r="327" spans="1:17" ht="15.75" customHeight="1">
      <c r="A327" s="19">
        <v>325</v>
      </c>
      <c r="B327" s="20" t="s">
        <v>1826</v>
      </c>
      <c r="C327" s="20" t="s">
        <v>271</v>
      </c>
      <c r="D327" s="20" t="s">
        <v>1827</v>
      </c>
      <c r="E327" s="21">
        <v>220</v>
      </c>
      <c r="F327" s="21">
        <v>95</v>
      </c>
      <c r="G327" s="21">
        <v>125</v>
      </c>
      <c r="H327" s="21">
        <v>10</v>
      </c>
      <c r="I327" s="21"/>
      <c r="J327" s="21"/>
      <c r="K327" s="21"/>
      <c r="L327" s="21"/>
      <c r="M327" s="21"/>
      <c r="N327" s="21"/>
      <c r="O327" s="21"/>
      <c r="P327" s="21"/>
      <c r="Q327" s="22">
        <f t="shared" si="5"/>
        <v>450</v>
      </c>
    </row>
    <row r="328" spans="1:17" ht="15.75" customHeight="1">
      <c r="A328" s="23">
        <v>326</v>
      </c>
      <c r="B328" s="24" t="s">
        <v>1829</v>
      </c>
      <c r="C328" s="24" t="s">
        <v>271</v>
      </c>
      <c r="D328" s="24" t="s">
        <v>1830</v>
      </c>
      <c r="E328" s="25">
        <v>186</v>
      </c>
      <c r="F328" s="25">
        <v>61</v>
      </c>
      <c r="G328" s="25">
        <v>125</v>
      </c>
      <c r="H328" s="25">
        <v>110</v>
      </c>
      <c r="I328" s="25"/>
      <c r="J328" s="25"/>
      <c r="K328" s="25"/>
      <c r="L328" s="25"/>
      <c r="M328" s="25"/>
      <c r="N328" s="25"/>
      <c r="O328" s="25"/>
      <c r="P328" s="25"/>
      <c r="Q328" s="22">
        <f t="shared" si="5"/>
        <v>482</v>
      </c>
    </row>
    <row r="329" spans="1:17" ht="15.75" customHeight="1">
      <c r="A329" s="19">
        <v>327</v>
      </c>
      <c r="B329" s="20" t="s">
        <v>1831</v>
      </c>
      <c r="C329" s="20" t="s">
        <v>271</v>
      </c>
      <c r="D329" s="20" t="s">
        <v>1832</v>
      </c>
      <c r="E329" s="21"/>
      <c r="F329" s="21">
        <v>5</v>
      </c>
      <c r="G329" s="21">
        <v>20</v>
      </c>
      <c r="H329" s="21">
        <v>30</v>
      </c>
      <c r="I329" s="21"/>
      <c r="J329" s="21"/>
      <c r="K329" s="21"/>
      <c r="L329" s="21"/>
      <c r="M329" s="21"/>
      <c r="N329" s="21"/>
      <c r="O329" s="21"/>
      <c r="P329" s="21"/>
      <c r="Q329" s="22">
        <f t="shared" si="5"/>
        <v>55</v>
      </c>
    </row>
    <row r="330" spans="1:17" ht="15.75" customHeight="1">
      <c r="A330" s="23">
        <v>328</v>
      </c>
      <c r="B330" s="24" t="s">
        <v>1833</v>
      </c>
      <c r="C330" s="24" t="s">
        <v>271</v>
      </c>
      <c r="D330" s="24" t="s">
        <v>1834</v>
      </c>
      <c r="E330" s="25">
        <v>20</v>
      </c>
      <c r="F330" s="25">
        <v>40</v>
      </c>
      <c r="G330" s="25">
        <v>10</v>
      </c>
      <c r="H330" s="25">
        <v>10</v>
      </c>
      <c r="I330" s="25"/>
      <c r="J330" s="25"/>
      <c r="K330" s="25"/>
      <c r="L330" s="25"/>
      <c r="M330" s="25"/>
      <c r="N330" s="25"/>
      <c r="O330" s="25"/>
      <c r="P330" s="25"/>
      <c r="Q330" s="22">
        <f t="shared" si="5"/>
        <v>80</v>
      </c>
    </row>
    <row r="331" spans="1:17" ht="15.75" customHeight="1">
      <c r="A331" s="19">
        <v>329</v>
      </c>
      <c r="B331" s="20" t="s">
        <v>1835</v>
      </c>
      <c r="C331" s="20" t="s">
        <v>271</v>
      </c>
      <c r="D331" s="20" t="s">
        <v>1678</v>
      </c>
      <c r="E331" s="21"/>
      <c r="F331" s="21"/>
      <c r="G331" s="21">
        <v>10</v>
      </c>
      <c r="H331" s="21"/>
      <c r="I331" s="21"/>
      <c r="J331" s="21"/>
      <c r="K331" s="21"/>
      <c r="L331" s="21"/>
      <c r="M331" s="21"/>
      <c r="N331" s="21"/>
      <c r="O331" s="21"/>
      <c r="P331" s="21"/>
      <c r="Q331" s="22">
        <f t="shared" si="5"/>
        <v>10</v>
      </c>
    </row>
    <row r="332" spans="1:17" ht="15.75" customHeight="1">
      <c r="A332" s="23">
        <v>330</v>
      </c>
      <c r="B332" s="24" t="s">
        <v>1838</v>
      </c>
      <c r="C332" s="24" t="s">
        <v>271</v>
      </c>
      <c r="D332" s="24" t="s">
        <v>1682</v>
      </c>
      <c r="E332" s="25">
        <v>5</v>
      </c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2">
        <f t="shared" si="5"/>
        <v>5</v>
      </c>
    </row>
    <row r="333" spans="1:17" ht="15.75" customHeight="1">
      <c r="A333" s="19">
        <v>331</v>
      </c>
      <c r="B333" s="20" t="s">
        <v>3520</v>
      </c>
      <c r="C333" s="20" t="s">
        <v>271</v>
      </c>
      <c r="D333" s="20" t="s">
        <v>1578</v>
      </c>
      <c r="E333" s="21"/>
      <c r="F333" s="21">
        <v>5</v>
      </c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2">
        <f t="shared" si="5"/>
        <v>5</v>
      </c>
    </row>
    <row r="334" spans="1:17" ht="15.75" customHeight="1">
      <c r="A334" s="23">
        <v>332</v>
      </c>
      <c r="B334" s="24" t="s">
        <v>3521</v>
      </c>
      <c r="C334" s="24" t="s">
        <v>271</v>
      </c>
      <c r="D334" s="24" t="s">
        <v>1744</v>
      </c>
      <c r="E334" s="25">
        <v>4</v>
      </c>
      <c r="F334" s="25">
        <v>5</v>
      </c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2">
        <f t="shared" si="5"/>
        <v>9</v>
      </c>
    </row>
    <row r="335" spans="1:17" ht="15.75" customHeight="1">
      <c r="A335" s="19">
        <v>333</v>
      </c>
      <c r="B335" s="20" t="s">
        <v>1840</v>
      </c>
      <c r="C335" s="20" t="s">
        <v>271</v>
      </c>
      <c r="D335" s="20" t="s">
        <v>1841</v>
      </c>
      <c r="E335" s="21"/>
      <c r="F335" s="21"/>
      <c r="G335" s="21">
        <v>5</v>
      </c>
      <c r="H335" s="21"/>
      <c r="I335" s="21"/>
      <c r="J335" s="21"/>
      <c r="K335" s="21"/>
      <c r="L335" s="21"/>
      <c r="M335" s="21"/>
      <c r="N335" s="21"/>
      <c r="O335" s="21"/>
      <c r="P335" s="21"/>
      <c r="Q335" s="22">
        <f t="shared" si="5"/>
        <v>5</v>
      </c>
    </row>
    <row r="336" spans="1:17" ht="15.75" customHeight="1">
      <c r="A336" s="23">
        <v>334</v>
      </c>
      <c r="B336" s="24" t="s">
        <v>1843</v>
      </c>
      <c r="C336" s="24" t="s">
        <v>271</v>
      </c>
      <c r="D336" s="24" t="s">
        <v>1844</v>
      </c>
      <c r="E336" s="25">
        <v>15</v>
      </c>
      <c r="F336" s="25">
        <v>30</v>
      </c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2">
        <f t="shared" si="5"/>
        <v>45</v>
      </c>
    </row>
    <row r="337" spans="1:17" ht="15.75" customHeight="1">
      <c r="A337" s="19">
        <v>335</v>
      </c>
      <c r="B337" s="20" t="s">
        <v>1845</v>
      </c>
      <c r="C337" s="20" t="s">
        <v>278</v>
      </c>
      <c r="D337" s="20" t="s">
        <v>1846</v>
      </c>
      <c r="E337" s="21"/>
      <c r="F337" s="21">
        <v>30</v>
      </c>
      <c r="G337" s="21">
        <v>20</v>
      </c>
      <c r="H337" s="21"/>
      <c r="I337" s="21"/>
      <c r="J337" s="21"/>
      <c r="K337" s="21"/>
      <c r="L337" s="21"/>
      <c r="M337" s="21"/>
      <c r="N337" s="21"/>
      <c r="O337" s="21"/>
      <c r="P337" s="21"/>
      <c r="Q337" s="22">
        <f t="shared" si="5"/>
        <v>50</v>
      </c>
    </row>
    <row r="338" spans="1:17" ht="15.75" customHeight="1">
      <c r="A338" s="23">
        <v>336</v>
      </c>
      <c r="B338" s="24" t="s">
        <v>1848</v>
      </c>
      <c r="C338" s="24" t="s">
        <v>278</v>
      </c>
      <c r="D338" s="24" t="s">
        <v>1849</v>
      </c>
      <c r="E338" s="25">
        <v>10</v>
      </c>
      <c r="F338" s="25">
        <v>50</v>
      </c>
      <c r="G338" s="25">
        <v>62</v>
      </c>
      <c r="H338" s="25">
        <v>70</v>
      </c>
      <c r="I338" s="25"/>
      <c r="J338" s="25"/>
      <c r="K338" s="25"/>
      <c r="L338" s="25"/>
      <c r="M338" s="25"/>
      <c r="N338" s="25"/>
      <c r="O338" s="25"/>
      <c r="P338" s="25"/>
      <c r="Q338" s="22">
        <f t="shared" si="5"/>
        <v>192</v>
      </c>
    </row>
    <row r="339" spans="1:17" ht="15.75" customHeight="1">
      <c r="A339" s="19">
        <v>337</v>
      </c>
      <c r="B339" s="20" t="s">
        <v>1850</v>
      </c>
      <c r="C339" s="20" t="s">
        <v>278</v>
      </c>
      <c r="D339" s="20" t="s">
        <v>1851</v>
      </c>
      <c r="E339" s="21">
        <v>30</v>
      </c>
      <c r="F339" s="21"/>
      <c r="G339" s="21">
        <v>30</v>
      </c>
      <c r="H339" s="21">
        <v>115</v>
      </c>
      <c r="I339" s="21"/>
      <c r="J339" s="21"/>
      <c r="K339" s="21"/>
      <c r="L339" s="21"/>
      <c r="M339" s="21"/>
      <c r="N339" s="21"/>
      <c r="O339" s="21"/>
      <c r="P339" s="21"/>
      <c r="Q339" s="22">
        <f t="shared" si="5"/>
        <v>175</v>
      </c>
    </row>
    <row r="340" spans="1:17" ht="15.75" customHeight="1">
      <c r="A340" s="23">
        <v>338</v>
      </c>
      <c r="B340" s="24" t="s">
        <v>1852</v>
      </c>
      <c r="C340" s="24" t="s">
        <v>278</v>
      </c>
      <c r="D340" s="24" t="s">
        <v>1853</v>
      </c>
      <c r="E340" s="25"/>
      <c r="F340" s="25"/>
      <c r="G340" s="25">
        <v>40</v>
      </c>
      <c r="H340" s="25">
        <v>60</v>
      </c>
      <c r="I340" s="25"/>
      <c r="J340" s="25"/>
      <c r="K340" s="25"/>
      <c r="L340" s="25"/>
      <c r="M340" s="25"/>
      <c r="N340" s="25"/>
      <c r="O340" s="25"/>
      <c r="P340" s="25"/>
      <c r="Q340" s="22">
        <f t="shared" si="5"/>
        <v>100</v>
      </c>
    </row>
    <row r="341" spans="1:17" ht="15.75" customHeight="1">
      <c r="A341" s="19">
        <v>339</v>
      </c>
      <c r="B341" s="20" t="s">
        <v>1854</v>
      </c>
      <c r="C341" s="20" t="s">
        <v>283</v>
      </c>
      <c r="D341" s="20" t="s">
        <v>1855</v>
      </c>
      <c r="E341" s="21">
        <v>30</v>
      </c>
      <c r="F341" s="21">
        <v>20</v>
      </c>
      <c r="G341" s="21">
        <v>25</v>
      </c>
      <c r="H341" s="21"/>
      <c r="I341" s="21"/>
      <c r="J341" s="21"/>
      <c r="K341" s="21"/>
      <c r="L341" s="21"/>
      <c r="M341" s="21"/>
      <c r="N341" s="21"/>
      <c r="O341" s="21"/>
      <c r="P341" s="21"/>
      <c r="Q341" s="22">
        <f t="shared" si="5"/>
        <v>75</v>
      </c>
    </row>
    <row r="342" spans="1:17" ht="15.75" customHeight="1">
      <c r="A342" s="23">
        <v>340</v>
      </c>
      <c r="B342" s="24" t="s">
        <v>1857</v>
      </c>
      <c r="C342" s="24" t="s">
        <v>283</v>
      </c>
      <c r="D342" s="24" t="s">
        <v>1858</v>
      </c>
      <c r="E342" s="25">
        <v>40</v>
      </c>
      <c r="F342" s="25">
        <v>10</v>
      </c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2">
        <f t="shared" si="5"/>
        <v>50</v>
      </c>
    </row>
    <row r="343" spans="1:17" ht="15.75" customHeight="1">
      <c r="A343" s="19">
        <v>341</v>
      </c>
      <c r="B343" s="20" t="s">
        <v>1863</v>
      </c>
      <c r="C343" s="20" t="s">
        <v>283</v>
      </c>
      <c r="D343" s="20" t="s">
        <v>1864</v>
      </c>
      <c r="E343" s="21">
        <v>200</v>
      </c>
      <c r="F343" s="21">
        <v>280</v>
      </c>
      <c r="G343" s="21"/>
      <c r="H343" s="21">
        <v>200</v>
      </c>
      <c r="I343" s="21"/>
      <c r="J343" s="21"/>
      <c r="K343" s="21"/>
      <c r="L343" s="21"/>
      <c r="M343" s="21"/>
      <c r="N343" s="21"/>
      <c r="O343" s="21"/>
      <c r="P343" s="21"/>
      <c r="Q343" s="22">
        <f t="shared" si="5"/>
        <v>680</v>
      </c>
    </row>
    <row r="344" spans="1:17" ht="15.75" customHeight="1">
      <c r="A344" s="23">
        <v>342</v>
      </c>
      <c r="B344" s="24" t="s">
        <v>1865</v>
      </c>
      <c r="C344" s="24" t="s">
        <v>283</v>
      </c>
      <c r="D344" s="24" t="s">
        <v>1866</v>
      </c>
      <c r="E344" s="25">
        <v>550</v>
      </c>
      <c r="F344" s="25">
        <v>440</v>
      </c>
      <c r="G344" s="25">
        <v>360</v>
      </c>
      <c r="H344" s="25">
        <v>80</v>
      </c>
      <c r="I344" s="25"/>
      <c r="J344" s="25"/>
      <c r="K344" s="25"/>
      <c r="L344" s="25"/>
      <c r="M344" s="25"/>
      <c r="N344" s="25"/>
      <c r="O344" s="25"/>
      <c r="P344" s="25"/>
      <c r="Q344" s="22">
        <f t="shared" si="5"/>
        <v>1430</v>
      </c>
    </row>
    <row r="345" spans="1:17" ht="15.75" customHeight="1">
      <c r="A345" s="19">
        <v>343</v>
      </c>
      <c r="B345" s="20" t="s">
        <v>1869</v>
      </c>
      <c r="C345" s="20" t="s">
        <v>283</v>
      </c>
      <c r="D345" s="20" t="s">
        <v>1870</v>
      </c>
      <c r="E345" s="21">
        <v>10</v>
      </c>
      <c r="F345" s="21">
        <v>10</v>
      </c>
      <c r="G345" s="21">
        <v>30</v>
      </c>
      <c r="H345" s="21">
        <v>20</v>
      </c>
      <c r="I345" s="21"/>
      <c r="J345" s="21"/>
      <c r="K345" s="21"/>
      <c r="L345" s="21"/>
      <c r="M345" s="21"/>
      <c r="N345" s="21"/>
      <c r="O345" s="21"/>
      <c r="P345" s="21"/>
      <c r="Q345" s="22">
        <f t="shared" si="5"/>
        <v>70</v>
      </c>
    </row>
    <row r="346" spans="1:17" ht="15.75" customHeight="1">
      <c r="A346" s="23">
        <v>344</v>
      </c>
      <c r="B346" s="24" t="s">
        <v>1873</v>
      </c>
      <c r="C346" s="24" t="s">
        <v>294</v>
      </c>
      <c r="D346" s="24" t="s">
        <v>1874</v>
      </c>
      <c r="E346" s="25">
        <v>17</v>
      </c>
      <c r="F346" s="25">
        <v>34</v>
      </c>
      <c r="G346" s="25">
        <v>100</v>
      </c>
      <c r="H346" s="25"/>
      <c r="I346" s="25"/>
      <c r="J346" s="25"/>
      <c r="K346" s="25"/>
      <c r="L346" s="25"/>
      <c r="M346" s="25"/>
      <c r="N346" s="25"/>
      <c r="O346" s="25"/>
      <c r="P346" s="25"/>
      <c r="Q346" s="22">
        <f t="shared" si="5"/>
        <v>151</v>
      </c>
    </row>
    <row r="347" spans="1:17" ht="15.75" customHeight="1">
      <c r="A347" s="19">
        <v>345</v>
      </c>
      <c r="B347" s="20" t="s">
        <v>1875</v>
      </c>
      <c r="C347" s="20" t="s">
        <v>294</v>
      </c>
      <c r="D347" s="20" t="s">
        <v>1876</v>
      </c>
      <c r="E347" s="21">
        <v>56</v>
      </c>
      <c r="F347" s="21">
        <v>30</v>
      </c>
      <c r="G347" s="21">
        <v>35</v>
      </c>
      <c r="H347" s="21"/>
      <c r="I347" s="21"/>
      <c r="J347" s="21"/>
      <c r="K347" s="21"/>
      <c r="L347" s="21"/>
      <c r="M347" s="21"/>
      <c r="N347" s="21"/>
      <c r="O347" s="21"/>
      <c r="P347" s="21"/>
      <c r="Q347" s="22">
        <f t="shared" si="5"/>
        <v>121</v>
      </c>
    </row>
    <row r="348" spans="1:17" ht="15.75" customHeight="1">
      <c r="A348" s="23">
        <v>346</v>
      </c>
      <c r="B348" s="24" t="s">
        <v>1877</v>
      </c>
      <c r="C348" s="24" t="s">
        <v>294</v>
      </c>
      <c r="D348" s="24" t="s">
        <v>1878</v>
      </c>
      <c r="E348" s="25">
        <v>50</v>
      </c>
      <c r="F348" s="25"/>
      <c r="G348" s="25">
        <v>130</v>
      </c>
      <c r="H348" s="25"/>
      <c r="I348" s="25"/>
      <c r="J348" s="25"/>
      <c r="K348" s="25"/>
      <c r="L348" s="25"/>
      <c r="M348" s="25"/>
      <c r="N348" s="25"/>
      <c r="O348" s="25"/>
      <c r="P348" s="25"/>
      <c r="Q348" s="22">
        <f t="shared" si="5"/>
        <v>180</v>
      </c>
    </row>
    <row r="349" spans="1:17" ht="15.75" customHeight="1">
      <c r="A349" s="19">
        <v>347</v>
      </c>
      <c r="B349" s="20" t="s">
        <v>1879</v>
      </c>
      <c r="C349" s="20" t="s">
        <v>294</v>
      </c>
      <c r="D349" s="20" t="s">
        <v>1880</v>
      </c>
      <c r="E349" s="21">
        <v>52</v>
      </c>
      <c r="F349" s="21">
        <v>20</v>
      </c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2">
        <f t="shared" si="5"/>
        <v>72</v>
      </c>
    </row>
    <row r="350" spans="1:17" ht="15.75" customHeight="1">
      <c r="A350" s="23">
        <v>348</v>
      </c>
      <c r="B350" s="24" t="s">
        <v>1883</v>
      </c>
      <c r="C350" s="24" t="s">
        <v>294</v>
      </c>
      <c r="D350" s="24" t="s">
        <v>1884</v>
      </c>
      <c r="E350" s="25"/>
      <c r="F350" s="25">
        <v>30</v>
      </c>
      <c r="G350" s="25">
        <v>50</v>
      </c>
      <c r="H350" s="25"/>
      <c r="I350" s="25"/>
      <c r="J350" s="25"/>
      <c r="K350" s="25"/>
      <c r="L350" s="25"/>
      <c r="M350" s="25"/>
      <c r="N350" s="25"/>
      <c r="O350" s="25"/>
      <c r="P350" s="25"/>
      <c r="Q350" s="22">
        <f t="shared" si="5"/>
        <v>80</v>
      </c>
    </row>
    <row r="351" spans="1:17" ht="15.75" customHeight="1">
      <c r="A351" s="19">
        <v>349</v>
      </c>
      <c r="B351" s="20" t="s">
        <v>1885</v>
      </c>
      <c r="C351" s="20" t="s">
        <v>294</v>
      </c>
      <c r="D351" s="20" t="s">
        <v>1886</v>
      </c>
      <c r="E351" s="21">
        <v>15</v>
      </c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2">
        <f t="shared" si="5"/>
        <v>15</v>
      </c>
    </row>
    <row r="352" spans="1:17" ht="15.75" customHeight="1">
      <c r="A352" s="23">
        <v>350</v>
      </c>
      <c r="B352" s="24" t="s">
        <v>1887</v>
      </c>
      <c r="C352" s="24" t="s">
        <v>294</v>
      </c>
      <c r="D352" s="24" t="s">
        <v>1888</v>
      </c>
      <c r="E352" s="25">
        <v>193</v>
      </c>
      <c r="F352" s="25">
        <v>150</v>
      </c>
      <c r="G352" s="25">
        <v>270</v>
      </c>
      <c r="H352" s="25"/>
      <c r="I352" s="25"/>
      <c r="J352" s="25"/>
      <c r="K352" s="25"/>
      <c r="L352" s="25"/>
      <c r="M352" s="25"/>
      <c r="N352" s="25"/>
      <c r="O352" s="25"/>
      <c r="P352" s="25"/>
      <c r="Q352" s="22">
        <f t="shared" si="5"/>
        <v>613</v>
      </c>
    </row>
    <row r="353" spans="1:17" ht="15.75" customHeight="1">
      <c r="A353" s="19">
        <v>351</v>
      </c>
      <c r="B353" s="20" t="s">
        <v>1891</v>
      </c>
      <c r="C353" s="20" t="s">
        <v>294</v>
      </c>
      <c r="D353" s="20" t="s">
        <v>1892</v>
      </c>
      <c r="E353" s="21"/>
      <c r="F353" s="21">
        <v>100</v>
      </c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2">
        <f t="shared" si="5"/>
        <v>100</v>
      </c>
    </row>
    <row r="354" spans="1:17" ht="15.75" customHeight="1">
      <c r="A354" s="23">
        <v>352</v>
      </c>
      <c r="B354" s="24" t="s">
        <v>1893</v>
      </c>
      <c r="C354" s="24" t="s">
        <v>294</v>
      </c>
      <c r="D354" s="24" t="s">
        <v>1894</v>
      </c>
      <c r="E354" s="25">
        <v>55</v>
      </c>
      <c r="F354" s="25"/>
      <c r="G354" s="25">
        <v>70</v>
      </c>
      <c r="H354" s="25"/>
      <c r="I354" s="25"/>
      <c r="J354" s="25"/>
      <c r="K354" s="25"/>
      <c r="L354" s="25"/>
      <c r="M354" s="25"/>
      <c r="N354" s="25"/>
      <c r="O354" s="25"/>
      <c r="P354" s="25"/>
      <c r="Q354" s="22">
        <f t="shared" si="5"/>
        <v>125</v>
      </c>
    </row>
    <row r="355" spans="1:17" ht="15.75" customHeight="1">
      <c r="A355" s="19">
        <v>353</v>
      </c>
      <c r="B355" s="20" t="s">
        <v>3522</v>
      </c>
      <c r="C355" s="20" t="s">
        <v>294</v>
      </c>
      <c r="D355" s="20" t="s">
        <v>3523</v>
      </c>
      <c r="E355" s="21">
        <v>50</v>
      </c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2">
        <f t="shared" si="5"/>
        <v>50</v>
      </c>
    </row>
    <row r="356" spans="1:17" ht="15.75" customHeight="1">
      <c r="A356" s="23">
        <v>354</v>
      </c>
      <c r="B356" s="24" t="s">
        <v>1897</v>
      </c>
      <c r="C356" s="24" t="s">
        <v>294</v>
      </c>
      <c r="D356" s="24" t="s">
        <v>1898</v>
      </c>
      <c r="E356" s="25">
        <v>10</v>
      </c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2">
        <f t="shared" si="5"/>
        <v>10</v>
      </c>
    </row>
    <row r="357" spans="1:17" ht="15.75" customHeight="1">
      <c r="A357" s="19">
        <v>355</v>
      </c>
      <c r="B357" s="20" t="s">
        <v>3524</v>
      </c>
      <c r="C357" s="20" t="s">
        <v>278</v>
      </c>
      <c r="D357" s="20" t="s">
        <v>1685</v>
      </c>
      <c r="E357" s="21"/>
      <c r="F357" s="21">
        <v>3</v>
      </c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2">
        <f t="shared" si="5"/>
        <v>3</v>
      </c>
    </row>
    <row r="358" spans="1:17" ht="15.75" customHeight="1">
      <c r="A358" s="23">
        <v>356</v>
      </c>
      <c r="B358" s="24" t="s">
        <v>1899</v>
      </c>
      <c r="C358" s="24" t="s">
        <v>362</v>
      </c>
      <c r="D358" s="24" t="s">
        <v>1900</v>
      </c>
      <c r="E358" s="25">
        <v>15</v>
      </c>
      <c r="F358" s="25">
        <v>10</v>
      </c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2">
        <f t="shared" si="5"/>
        <v>25</v>
      </c>
    </row>
    <row r="359" spans="1:17" ht="15.75" customHeight="1">
      <c r="A359" s="19">
        <v>357</v>
      </c>
      <c r="B359" s="20" t="s">
        <v>2866</v>
      </c>
      <c r="C359" s="20" t="s">
        <v>211</v>
      </c>
      <c r="D359" s="20" t="s">
        <v>1578</v>
      </c>
      <c r="E359" s="21">
        <v>5</v>
      </c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2">
        <f t="shared" si="5"/>
        <v>5</v>
      </c>
    </row>
    <row r="360" spans="1:17" ht="15.75" customHeight="1">
      <c r="A360" s="23">
        <v>358</v>
      </c>
      <c r="B360" s="24" t="s">
        <v>1919</v>
      </c>
      <c r="C360" s="24" t="s">
        <v>362</v>
      </c>
      <c r="D360" s="24" t="s">
        <v>1920</v>
      </c>
      <c r="E360" s="25">
        <v>25</v>
      </c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2">
        <f t="shared" si="5"/>
        <v>25</v>
      </c>
    </row>
    <row r="361" spans="1:17" ht="15.75" customHeight="1">
      <c r="A361" s="19">
        <v>359</v>
      </c>
      <c r="B361" s="20" t="s">
        <v>1921</v>
      </c>
      <c r="C361" s="20" t="s">
        <v>1908</v>
      </c>
      <c r="D361" s="20" t="s">
        <v>1922</v>
      </c>
      <c r="E361" s="21"/>
      <c r="F361" s="21"/>
      <c r="G361" s="21"/>
      <c r="H361" s="21">
        <v>30</v>
      </c>
      <c r="I361" s="21"/>
      <c r="J361" s="21"/>
      <c r="K361" s="21"/>
      <c r="L361" s="21"/>
      <c r="M361" s="21"/>
      <c r="N361" s="21"/>
      <c r="O361" s="21"/>
      <c r="P361" s="21"/>
      <c r="Q361" s="22">
        <f t="shared" si="5"/>
        <v>30</v>
      </c>
    </row>
    <row r="362" spans="1:17" ht="15.75" customHeight="1">
      <c r="A362" s="23">
        <v>360</v>
      </c>
      <c r="B362" s="24" t="s">
        <v>1934</v>
      </c>
      <c r="C362" s="24" t="s">
        <v>362</v>
      </c>
      <c r="D362" s="24" t="s">
        <v>1935</v>
      </c>
      <c r="E362" s="25"/>
      <c r="F362" s="25"/>
      <c r="G362" s="25">
        <v>20</v>
      </c>
      <c r="H362" s="25">
        <v>30</v>
      </c>
      <c r="I362" s="25"/>
      <c r="J362" s="25"/>
      <c r="K362" s="25"/>
      <c r="L362" s="25"/>
      <c r="M362" s="25"/>
      <c r="N362" s="25"/>
      <c r="O362" s="25"/>
      <c r="P362" s="25"/>
      <c r="Q362" s="22">
        <f t="shared" si="5"/>
        <v>50</v>
      </c>
    </row>
    <row r="363" spans="1:17" ht="15.75" customHeight="1">
      <c r="A363" s="19">
        <v>361</v>
      </c>
      <c r="B363" s="20" t="s">
        <v>3525</v>
      </c>
      <c r="C363" s="20" t="s">
        <v>1355</v>
      </c>
      <c r="D363" s="20" t="s">
        <v>3526</v>
      </c>
      <c r="E363" s="21">
        <v>7</v>
      </c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2">
        <f t="shared" si="5"/>
        <v>7</v>
      </c>
    </row>
    <row r="364" spans="1:17" ht="15.75" customHeight="1">
      <c r="A364" s="23">
        <v>362</v>
      </c>
      <c r="B364" s="24" t="s">
        <v>1977</v>
      </c>
      <c r="C364" s="24" t="s">
        <v>1357</v>
      </c>
      <c r="D364" s="24" t="s">
        <v>1978</v>
      </c>
      <c r="E364" s="25"/>
      <c r="F364" s="25"/>
      <c r="G364" s="25">
        <v>24</v>
      </c>
      <c r="H364" s="25"/>
      <c r="I364" s="25"/>
      <c r="J364" s="25"/>
      <c r="K364" s="25"/>
      <c r="L364" s="25"/>
      <c r="M364" s="25"/>
      <c r="N364" s="25"/>
      <c r="O364" s="25"/>
      <c r="P364" s="25"/>
      <c r="Q364" s="22">
        <f t="shared" si="5"/>
        <v>24</v>
      </c>
    </row>
    <row r="365" spans="1:17" ht="15.75" customHeight="1">
      <c r="A365" s="19">
        <v>363</v>
      </c>
      <c r="B365" s="20" t="s">
        <v>1979</v>
      </c>
      <c r="C365" s="20" t="s">
        <v>1357</v>
      </c>
      <c r="D365" s="20" t="s">
        <v>1980</v>
      </c>
      <c r="E365" s="21">
        <v>15</v>
      </c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2">
        <f t="shared" si="5"/>
        <v>15</v>
      </c>
    </row>
    <row r="366" spans="1:17" ht="15.75" customHeight="1">
      <c r="A366" s="23">
        <v>364</v>
      </c>
      <c r="B366" s="24" t="s">
        <v>1981</v>
      </c>
      <c r="C366" s="24" t="s">
        <v>1357</v>
      </c>
      <c r="D366" s="24" t="s">
        <v>1982</v>
      </c>
      <c r="E366" s="25">
        <v>15</v>
      </c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2">
        <f t="shared" si="5"/>
        <v>15</v>
      </c>
    </row>
    <row r="367" spans="1:17" ht="15.75" customHeight="1">
      <c r="A367" s="19">
        <v>365</v>
      </c>
      <c r="B367" s="20" t="s">
        <v>1983</v>
      </c>
      <c r="C367" s="20" t="s">
        <v>1357</v>
      </c>
      <c r="D367" s="20" t="s">
        <v>1984</v>
      </c>
      <c r="E367" s="21">
        <v>15</v>
      </c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2">
        <f t="shared" si="5"/>
        <v>15</v>
      </c>
    </row>
    <row r="368" spans="1:17" ht="15.75" customHeight="1">
      <c r="A368" s="23">
        <v>366</v>
      </c>
      <c r="B368" s="24" t="s">
        <v>2900</v>
      </c>
      <c r="C368" s="24" t="s">
        <v>1363</v>
      </c>
      <c r="D368" s="24" t="s">
        <v>2901</v>
      </c>
      <c r="E368" s="25"/>
      <c r="F368" s="25"/>
      <c r="G368" s="25">
        <v>8</v>
      </c>
      <c r="H368" s="25"/>
      <c r="I368" s="25"/>
      <c r="J368" s="25"/>
      <c r="K368" s="25"/>
      <c r="L368" s="25"/>
      <c r="M368" s="25"/>
      <c r="N368" s="25"/>
      <c r="O368" s="25"/>
      <c r="P368" s="25"/>
      <c r="Q368" s="22">
        <f t="shared" si="5"/>
        <v>8</v>
      </c>
    </row>
    <row r="369" spans="1:17" ht="15.75" customHeight="1">
      <c r="A369" s="19">
        <v>367</v>
      </c>
      <c r="B369" s="20" t="s">
        <v>1993</v>
      </c>
      <c r="C369" s="20" t="s">
        <v>1363</v>
      </c>
      <c r="D369" s="20" t="s">
        <v>1994</v>
      </c>
      <c r="E369" s="21"/>
      <c r="F369" s="21"/>
      <c r="G369" s="21">
        <v>1</v>
      </c>
      <c r="H369" s="21"/>
      <c r="I369" s="21"/>
      <c r="J369" s="21"/>
      <c r="K369" s="21"/>
      <c r="L369" s="21"/>
      <c r="M369" s="21"/>
      <c r="N369" s="21"/>
      <c r="O369" s="21"/>
      <c r="P369" s="21"/>
      <c r="Q369" s="22">
        <f t="shared" si="5"/>
        <v>1</v>
      </c>
    </row>
    <row r="370" spans="1:17" ht="15.75" customHeight="1">
      <c r="A370" s="23">
        <v>368</v>
      </c>
      <c r="B370" s="24" t="s">
        <v>2003</v>
      </c>
      <c r="C370" s="24" t="s">
        <v>1357</v>
      </c>
      <c r="D370" s="24" t="s">
        <v>2004</v>
      </c>
      <c r="E370" s="25">
        <v>90</v>
      </c>
      <c r="F370" s="25"/>
      <c r="G370" s="25">
        <v>2</v>
      </c>
      <c r="H370" s="25"/>
      <c r="I370" s="25"/>
      <c r="J370" s="25"/>
      <c r="K370" s="25"/>
      <c r="L370" s="25"/>
      <c r="M370" s="25"/>
      <c r="N370" s="25"/>
      <c r="O370" s="25"/>
      <c r="P370" s="25"/>
      <c r="Q370" s="22">
        <f t="shared" si="5"/>
        <v>92</v>
      </c>
    </row>
    <row r="371" spans="1:17" ht="15.75" customHeight="1">
      <c r="A371" s="19">
        <v>369</v>
      </c>
      <c r="B371" s="20" t="s">
        <v>3527</v>
      </c>
      <c r="C371" s="20" t="s">
        <v>1466</v>
      </c>
      <c r="D371" s="20" t="s">
        <v>3528</v>
      </c>
      <c r="E371" s="21"/>
      <c r="F371" s="21">
        <v>20</v>
      </c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2">
        <f t="shared" si="5"/>
        <v>20</v>
      </c>
    </row>
    <row r="372" spans="1:17" ht="15.75" customHeight="1">
      <c r="A372" s="23">
        <v>370</v>
      </c>
      <c r="B372" s="24" t="s">
        <v>3529</v>
      </c>
      <c r="C372" s="24" t="s">
        <v>2041</v>
      </c>
      <c r="D372" s="24" t="s">
        <v>3530</v>
      </c>
      <c r="E372" s="25"/>
      <c r="F372" s="25"/>
      <c r="G372" s="25">
        <v>10</v>
      </c>
      <c r="H372" s="25"/>
      <c r="I372" s="25"/>
      <c r="J372" s="25"/>
      <c r="K372" s="25"/>
      <c r="L372" s="25"/>
      <c r="M372" s="25"/>
      <c r="N372" s="25"/>
      <c r="O372" s="25"/>
      <c r="P372" s="25"/>
      <c r="Q372" s="22">
        <f t="shared" si="5"/>
        <v>10</v>
      </c>
    </row>
    <row r="373" spans="1:17" ht="15.75" customHeight="1">
      <c r="A373" s="19">
        <v>371</v>
      </c>
      <c r="B373" s="20" t="s">
        <v>3531</v>
      </c>
      <c r="C373" s="20" t="s">
        <v>3532</v>
      </c>
      <c r="D373" s="20" t="s">
        <v>3533</v>
      </c>
      <c r="E373" s="21">
        <v>50</v>
      </c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2">
        <f t="shared" si="5"/>
        <v>50</v>
      </c>
    </row>
    <row r="374" spans="1:17" ht="15.75" customHeight="1">
      <c r="A374" s="23">
        <v>372</v>
      </c>
      <c r="B374" s="24" t="s">
        <v>2914</v>
      </c>
      <c r="C374" s="24" t="s">
        <v>1489</v>
      </c>
      <c r="D374" s="24" t="s">
        <v>2915</v>
      </c>
      <c r="E374" s="25">
        <v>10</v>
      </c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2">
        <f t="shared" si="5"/>
        <v>10</v>
      </c>
    </row>
    <row r="375" spans="1:17" ht="15.75" customHeight="1">
      <c r="A375" s="19">
        <v>373</v>
      </c>
      <c r="B375" s="20" t="s">
        <v>2057</v>
      </c>
      <c r="C375" s="20" t="s">
        <v>1489</v>
      </c>
      <c r="D375" s="20" t="s">
        <v>2058</v>
      </c>
      <c r="E375" s="21"/>
      <c r="F375" s="21">
        <v>2</v>
      </c>
      <c r="G375" s="21">
        <v>10</v>
      </c>
      <c r="H375" s="21"/>
      <c r="I375" s="21"/>
      <c r="J375" s="21"/>
      <c r="K375" s="21"/>
      <c r="L375" s="21"/>
      <c r="M375" s="21"/>
      <c r="N375" s="21"/>
      <c r="O375" s="21"/>
      <c r="P375" s="21"/>
      <c r="Q375" s="22">
        <f t="shared" si="5"/>
        <v>12</v>
      </c>
    </row>
    <row r="376" spans="1:17" ht="15.75" customHeight="1">
      <c r="A376" s="23">
        <v>374</v>
      </c>
      <c r="B376" s="24" t="s">
        <v>3534</v>
      </c>
      <c r="C376" s="24" t="s">
        <v>1489</v>
      </c>
      <c r="D376" s="24" t="s">
        <v>3535</v>
      </c>
      <c r="E376" s="25"/>
      <c r="F376" s="25"/>
      <c r="G376" s="25"/>
      <c r="H376" s="25">
        <v>10</v>
      </c>
      <c r="I376" s="25"/>
      <c r="J376" s="25"/>
      <c r="K376" s="25"/>
      <c r="L376" s="25"/>
      <c r="M376" s="25"/>
      <c r="N376" s="25"/>
      <c r="O376" s="25"/>
      <c r="P376" s="25"/>
      <c r="Q376" s="22">
        <f t="shared" si="5"/>
        <v>10</v>
      </c>
    </row>
    <row r="377" spans="1:17" ht="15.75" customHeight="1">
      <c r="A377" s="19">
        <v>375</v>
      </c>
      <c r="B377" s="20" t="s">
        <v>2059</v>
      </c>
      <c r="C377" s="20" t="s">
        <v>1491</v>
      </c>
      <c r="D377" s="20" t="s">
        <v>2060</v>
      </c>
      <c r="E377" s="21"/>
      <c r="F377" s="21"/>
      <c r="G377" s="21">
        <v>8</v>
      </c>
      <c r="H377" s="21"/>
      <c r="I377" s="21"/>
      <c r="J377" s="21"/>
      <c r="K377" s="21"/>
      <c r="L377" s="21"/>
      <c r="M377" s="21"/>
      <c r="N377" s="21"/>
      <c r="O377" s="21"/>
      <c r="P377" s="21"/>
      <c r="Q377" s="22">
        <f t="shared" si="5"/>
        <v>8</v>
      </c>
    </row>
    <row r="378" spans="1:17" ht="15.75" customHeight="1">
      <c r="A378" s="23">
        <v>376</v>
      </c>
      <c r="B378" s="24" t="s">
        <v>2063</v>
      </c>
      <c r="C378" s="24" t="s">
        <v>1493</v>
      </c>
      <c r="D378" s="24" t="s">
        <v>2064</v>
      </c>
      <c r="E378" s="25"/>
      <c r="F378" s="25">
        <v>10</v>
      </c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2">
        <f t="shared" si="5"/>
        <v>10</v>
      </c>
    </row>
    <row r="379" spans="1:17" ht="15.75" customHeight="1">
      <c r="A379" s="19">
        <v>377</v>
      </c>
      <c r="B379" s="20" t="s">
        <v>3416</v>
      </c>
      <c r="C379" s="20" t="s">
        <v>1493</v>
      </c>
      <c r="D379" s="20" t="s">
        <v>3417</v>
      </c>
      <c r="E379" s="21"/>
      <c r="F379" s="21"/>
      <c r="G379" s="21">
        <v>50</v>
      </c>
      <c r="H379" s="21"/>
      <c r="I379" s="21"/>
      <c r="J379" s="21"/>
      <c r="K379" s="21"/>
      <c r="L379" s="21"/>
      <c r="M379" s="21"/>
      <c r="N379" s="21"/>
      <c r="O379" s="21"/>
      <c r="P379" s="21"/>
      <c r="Q379" s="22">
        <f t="shared" si="5"/>
        <v>50</v>
      </c>
    </row>
    <row r="380" spans="1:17" ht="15.75" customHeight="1">
      <c r="A380" s="23">
        <v>378</v>
      </c>
      <c r="B380" s="24" t="s">
        <v>2082</v>
      </c>
      <c r="C380" s="24" t="s">
        <v>1460</v>
      </c>
      <c r="D380" s="24" t="s">
        <v>2083</v>
      </c>
      <c r="E380" s="25">
        <v>60</v>
      </c>
      <c r="F380" s="25"/>
      <c r="G380" s="25">
        <v>33</v>
      </c>
      <c r="H380" s="25"/>
      <c r="I380" s="25"/>
      <c r="J380" s="25"/>
      <c r="K380" s="25"/>
      <c r="L380" s="25"/>
      <c r="M380" s="25"/>
      <c r="N380" s="25"/>
      <c r="O380" s="25"/>
      <c r="P380" s="25"/>
      <c r="Q380" s="22">
        <f t="shared" si="5"/>
        <v>93</v>
      </c>
    </row>
    <row r="381" spans="1:17" ht="15.75" customHeight="1">
      <c r="A381" s="19">
        <v>379</v>
      </c>
      <c r="B381" s="20" t="s">
        <v>2086</v>
      </c>
      <c r="C381" s="20" t="s">
        <v>1460</v>
      </c>
      <c r="D381" s="20" t="s">
        <v>2087</v>
      </c>
      <c r="E381" s="21">
        <v>40</v>
      </c>
      <c r="F381" s="21"/>
      <c r="G381" s="21">
        <v>60</v>
      </c>
      <c r="H381" s="21"/>
      <c r="I381" s="21"/>
      <c r="J381" s="21"/>
      <c r="K381" s="21"/>
      <c r="L381" s="21"/>
      <c r="M381" s="21"/>
      <c r="N381" s="21"/>
      <c r="O381" s="21"/>
      <c r="P381" s="21"/>
      <c r="Q381" s="22">
        <f t="shared" si="5"/>
        <v>100</v>
      </c>
    </row>
    <row r="382" spans="1:17" ht="15.75" customHeight="1">
      <c r="A382" s="23">
        <v>380</v>
      </c>
      <c r="B382" s="24" t="s">
        <v>2088</v>
      </c>
      <c r="C382" s="24" t="s">
        <v>1460</v>
      </c>
      <c r="D382" s="24" t="s">
        <v>2089</v>
      </c>
      <c r="E382" s="25"/>
      <c r="F382" s="25"/>
      <c r="G382" s="25">
        <v>10</v>
      </c>
      <c r="H382" s="25"/>
      <c r="I382" s="25"/>
      <c r="J382" s="25"/>
      <c r="K382" s="25"/>
      <c r="L382" s="25"/>
      <c r="M382" s="25"/>
      <c r="N382" s="25"/>
      <c r="O382" s="25"/>
      <c r="P382" s="25"/>
      <c r="Q382" s="22">
        <f t="shared" si="5"/>
        <v>10</v>
      </c>
    </row>
    <row r="383" spans="1:17" ht="15.75" customHeight="1">
      <c r="A383" s="19">
        <v>381</v>
      </c>
      <c r="B383" s="20" t="s">
        <v>2100</v>
      </c>
      <c r="C383" s="20" t="s">
        <v>1463</v>
      </c>
      <c r="D383" s="20" t="s">
        <v>2101</v>
      </c>
      <c r="E383" s="21"/>
      <c r="F383" s="21"/>
      <c r="G383" s="21">
        <v>20</v>
      </c>
      <c r="H383" s="21"/>
      <c r="I383" s="21"/>
      <c r="J383" s="21"/>
      <c r="K383" s="21"/>
      <c r="L383" s="21"/>
      <c r="M383" s="21"/>
      <c r="N383" s="21"/>
      <c r="O383" s="21"/>
      <c r="P383" s="21"/>
      <c r="Q383" s="22">
        <f t="shared" si="5"/>
        <v>20</v>
      </c>
    </row>
    <row r="384" spans="1:17" ht="15.75" customHeight="1">
      <c r="A384" s="23">
        <v>382</v>
      </c>
      <c r="B384" s="24" t="s">
        <v>2102</v>
      </c>
      <c r="C384" s="24" t="s">
        <v>1463</v>
      </c>
      <c r="D384" s="24" t="s">
        <v>2103</v>
      </c>
      <c r="E384" s="25">
        <v>30</v>
      </c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2">
        <f t="shared" si="5"/>
        <v>30</v>
      </c>
    </row>
    <row r="385" spans="1:17" ht="15.75" customHeight="1">
      <c r="A385" s="19">
        <v>383</v>
      </c>
      <c r="B385" s="20" t="s">
        <v>2928</v>
      </c>
      <c r="C385" s="20" t="s">
        <v>2929</v>
      </c>
      <c r="D385" s="20" t="s">
        <v>1911</v>
      </c>
      <c r="E385" s="21">
        <v>10</v>
      </c>
      <c r="F385" s="21"/>
      <c r="G385" s="21">
        <v>9</v>
      </c>
      <c r="H385" s="21"/>
      <c r="I385" s="21"/>
      <c r="J385" s="21"/>
      <c r="K385" s="21"/>
      <c r="L385" s="21"/>
      <c r="M385" s="21"/>
      <c r="N385" s="21"/>
      <c r="O385" s="21"/>
      <c r="P385" s="21"/>
      <c r="Q385" s="22">
        <f t="shared" si="5"/>
        <v>19</v>
      </c>
    </row>
    <row r="386" spans="1:17" ht="15.75" customHeight="1">
      <c r="A386" s="23">
        <v>384</v>
      </c>
      <c r="B386" s="24" t="s">
        <v>2930</v>
      </c>
      <c r="C386" s="24" t="s">
        <v>2929</v>
      </c>
      <c r="D386" s="24" t="s">
        <v>1913</v>
      </c>
      <c r="E386" s="25">
        <v>5</v>
      </c>
      <c r="F386" s="25"/>
      <c r="G386" s="25">
        <v>6</v>
      </c>
      <c r="H386" s="25"/>
      <c r="I386" s="25"/>
      <c r="J386" s="25"/>
      <c r="K386" s="25"/>
      <c r="L386" s="25"/>
      <c r="M386" s="25"/>
      <c r="N386" s="25"/>
      <c r="O386" s="25"/>
      <c r="P386" s="25"/>
      <c r="Q386" s="22">
        <f t="shared" si="5"/>
        <v>11</v>
      </c>
    </row>
    <row r="387" spans="1:17" ht="15.75" customHeight="1">
      <c r="A387" s="19">
        <v>385</v>
      </c>
      <c r="B387" s="20" t="s">
        <v>2931</v>
      </c>
      <c r="C387" s="20" t="s">
        <v>2929</v>
      </c>
      <c r="D387" s="20" t="s">
        <v>1904</v>
      </c>
      <c r="E387" s="21"/>
      <c r="F387" s="21"/>
      <c r="G387" s="21">
        <v>10</v>
      </c>
      <c r="H387" s="21"/>
      <c r="I387" s="21"/>
      <c r="J387" s="21"/>
      <c r="K387" s="21"/>
      <c r="L387" s="21"/>
      <c r="M387" s="21"/>
      <c r="N387" s="21"/>
      <c r="O387" s="21"/>
      <c r="P387" s="21"/>
      <c r="Q387" s="22">
        <f t="shared" ref="Q387:Q450" si="6">SUM(E387:P387)</f>
        <v>10</v>
      </c>
    </row>
    <row r="388" spans="1:17" ht="15.75" customHeight="1">
      <c r="A388" s="23">
        <v>386</v>
      </c>
      <c r="B388" s="24" t="s">
        <v>2104</v>
      </c>
      <c r="C388" s="24" t="s">
        <v>1466</v>
      </c>
      <c r="D388" s="24" t="s">
        <v>2105</v>
      </c>
      <c r="E388" s="25">
        <v>130</v>
      </c>
      <c r="F388" s="25">
        <v>310</v>
      </c>
      <c r="G388" s="25">
        <v>215</v>
      </c>
      <c r="H388" s="25">
        <v>20</v>
      </c>
      <c r="I388" s="25"/>
      <c r="J388" s="25"/>
      <c r="K388" s="25"/>
      <c r="L388" s="25"/>
      <c r="M388" s="25"/>
      <c r="N388" s="25"/>
      <c r="O388" s="25"/>
      <c r="P388" s="25"/>
      <c r="Q388" s="22">
        <f t="shared" si="6"/>
        <v>675</v>
      </c>
    </row>
    <row r="389" spans="1:17" ht="15.75" customHeight="1">
      <c r="A389" s="19">
        <v>387</v>
      </c>
      <c r="B389" s="20" t="s">
        <v>2932</v>
      </c>
      <c r="C389" s="20" t="s">
        <v>1466</v>
      </c>
      <c r="D389" s="20" t="s">
        <v>1700</v>
      </c>
      <c r="E389" s="21"/>
      <c r="F389" s="21">
        <v>10</v>
      </c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2">
        <f t="shared" si="6"/>
        <v>10</v>
      </c>
    </row>
    <row r="390" spans="1:17" ht="15.75" customHeight="1">
      <c r="A390" s="23">
        <v>388</v>
      </c>
      <c r="B390" s="24" t="s">
        <v>2107</v>
      </c>
      <c r="C390" s="24" t="s">
        <v>1466</v>
      </c>
      <c r="D390" s="24" t="s">
        <v>2108</v>
      </c>
      <c r="E390" s="25">
        <v>130</v>
      </c>
      <c r="F390" s="25">
        <v>20</v>
      </c>
      <c r="G390" s="25">
        <v>135</v>
      </c>
      <c r="H390" s="25">
        <v>10</v>
      </c>
      <c r="I390" s="25"/>
      <c r="J390" s="25"/>
      <c r="K390" s="25"/>
      <c r="L390" s="25"/>
      <c r="M390" s="25"/>
      <c r="N390" s="25"/>
      <c r="O390" s="25"/>
      <c r="P390" s="25"/>
      <c r="Q390" s="22">
        <f t="shared" si="6"/>
        <v>295</v>
      </c>
    </row>
    <row r="391" spans="1:17" ht="15.75" customHeight="1">
      <c r="A391" s="19">
        <v>389</v>
      </c>
      <c r="B391" s="20" t="s">
        <v>2109</v>
      </c>
      <c r="C391" s="20" t="s">
        <v>1466</v>
      </c>
      <c r="D391" s="20" t="s">
        <v>2110</v>
      </c>
      <c r="E391" s="21"/>
      <c r="F391" s="21">
        <v>10</v>
      </c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2">
        <f t="shared" si="6"/>
        <v>10</v>
      </c>
    </row>
    <row r="392" spans="1:17" ht="15.75" customHeight="1">
      <c r="A392" s="23">
        <v>390</v>
      </c>
      <c r="B392" s="24" t="s">
        <v>2111</v>
      </c>
      <c r="C392" s="24" t="s">
        <v>1466</v>
      </c>
      <c r="D392" s="24" t="s">
        <v>1783</v>
      </c>
      <c r="E392" s="25"/>
      <c r="F392" s="25">
        <v>10</v>
      </c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2">
        <f t="shared" si="6"/>
        <v>10</v>
      </c>
    </row>
    <row r="393" spans="1:17" ht="15.75" customHeight="1">
      <c r="A393" s="19">
        <v>391</v>
      </c>
      <c r="B393" s="20" t="s">
        <v>2112</v>
      </c>
      <c r="C393" s="20" t="s">
        <v>1466</v>
      </c>
      <c r="D393" s="20" t="s">
        <v>1722</v>
      </c>
      <c r="E393" s="21"/>
      <c r="F393" s="21">
        <v>10</v>
      </c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2">
        <f t="shared" si="6"/>
        <v>10</v>
      </c>
    </row>
    <row r="394" spans="1:17" ht="15.75" customHeight="1">
      <c r="A394" s="23">
        <v>392</v>
      </c>
      <c r="B394" s="24" t="s">
        <v>2113</v>
      </c>
      <c r="C394" s="24" t="s">
        <v>1466</v>
      </c>
      <c r="D394" s="24" t="s">
        <v>2114</v>
      </c>
      <c r="E394" s="25">
        <v>50</v>
      </c>
      <c r="F394" s="25"/>
      <c r="G394" s="25"/>
      <c r="H394" s="25">
        <v>200</v>
      </c>
      <c r="I394" s="25"/>
      <c r="J394" s="25"/>
      <c r="K394" s="25"/>
      <c r="L394" s="25"/>
      <c r="M394" s="25"/>
      <c r="N394" s="25"/>
      <c r="O394" s="25"/>
      <c r="P394" s="25"/>
      <c r="Q394" s="22">
        <f t="shared" si="6"/>
        <v>250</v>
      </c>
    </row>
    <row r="395" spans="1:17" ht="15.75" customHeight="1">
      <c r="A395" s="19">
        <v>393</v>
      </c>
      <c r="B395" s="20" t="s">
        <v>2115</v>
      </c>
      <c r="C395" s="20" t="s">
        <v>1466</v>
      </c>
      <c r="D395" s="20" t="s">
        <v>2116</v>
      </c>
      <c r="E395" s="21">
        <v>50</v>
      </c>
      <c r="F395" s="21"/>
      <c r="G395" s="21">
        <v>85</v>
      </c>
      <c r="H395" s="21"/>
      <c r="I395" s="21"/>
      <c r="J395" s="21"/>
      <c r="K395" s="21"/>
      <c r="L395" s="21"/>
      <c r="M395" s="21"/>
      <c r="N395" s="21"/>
      <c r="O395" s="21"/>
      <c r="P395" s="21"/>
      <c r="Q395" s="22">
        <f t="shared" si="6"/>
        <v>135</v>
      </c>
    </row>
    <row r="396" spans="1:17" ht="15.75" customHeight="1">
      <c r="A396" s="23">
        <v>394</v>
      </c>
      <c r="B396" s="24" t="s">
        <v>2119</v>
      </c>
      <c r="C396" s="24" t="s">
        <v>1466</v>
      </c>
      <c r="D396" s="24" t="s">
        <v>2120</v>
      </c>
      <c r="E396" s="25"/>
      <c r="F396" s="25"/>
      <c r="G396" s="25">
        <v>23</v>
      </c>
      <c r="H396" s="25"/>
      <c r="I396" s="25"/>
      <c r="J396" s="25"/>
      <c r="K396" s="25"/>
      <c r="L396" s="25"/>
      <c r="M396" s="25"/>
      <c r="N396" s="25"/>
      <c r="O396" s="25"/>
      <c r="P396" s="25"/>
      <c r="Q396" s="22">
        <f t="shared" si="6"/>
        <v>23</v>
      </c>
    </row>
    <row r="397" spans="1:17" ht="15.75" customHeight="1">
      <c r="A397" s="19">
        <v>395</v>
      </c>
      <c r="B397" s="20" t="s">
        <v>2125</v>
      </c>
      <c r="C397" s="20" t="s">
        <v>1466</v>
      </c>
      <c r="D397" s="20" t="s">
        <v>2126</v>
      </c>
      <c r="E397" s="21"/>
      <c r="F397" s="21">
        <v>40</v>
      </c>
      <c r="G397" s="21">
        <v>30</v>
      </c>
      <c r="H397" s="21"/>
      <c r="I397" s="21"/>
      <c r="J397" s="21"/>
      <c r="K397" s="21"/>
      <c r="L397" s="21"/>
      <c r="M397" s="21"/>
      <c r="N397" s="21"/>
      <c r="O397" s="21"/>
      <c r="P397" s="21"/>
      <c r="Q397" s="22">
        <f t="shared" si="6"/>
        <v>70</v>
      </c>
    </row>
    <row r="398" spans="1:17" ht="15.75" customHeight="1">
      <c r="A398" s="23">
        <v>396</v>
      </c>
      <c r="B398" s="24" t="s">
        <v>3536</v>
      </c>
      <c r="C398" s="24" t="s">
        <v>1466</v>
      </c>
      <c r="D398" s="24" t="s">
        <v>3537</v>
      </c>
      <c r="E398" s="25"/>
      <c r="F398" s="25">
        <v>1</v>
      </c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2">
        <f t="shared" si="6"/>
        <v>1</v>
      </c>
    </row>
    <row r="399" spans="1:17" ht="15.75" customHeight="1">
      <c r="A399" s="19">
        <v>397</v>
      </c>
      <c r="B399" s="20" t="s">
        <v>2127</v>
      </c>
      <c r="C399" s="20" t="s">
        <v>1466</v>
      </c>
      <c r="D399" s="20" t="s">
        <v>2128</v>
      </c>
      <c r="E399" s="21">
        <v>30</v>
      </c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2">
        <f t="shared" si="6"/>
        <v>30</v>
      </c>
    </row>
    <row r="400" spans="1:17" ht="15.75" customHeight="1">
      <c r="A400" s="23">
        <v>398</v>
      </c>
      <c r="B400" s="24" t="s">
        <v>2129</v>
      </c>
      <c r="C400" s="24" t="s">
        <v>1466</v>
      </c>
      <c r="D400" s="24" t="s">
        <v>2130</v>
      </c>
      <c r="E400" s="25"/>
      <c r="F400" s="25">
        <v>20</v>
      </c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2">
        <f t="shared" si="6"/>
        <v>20</v>
      </c>
    </row>
    <row r="401" spans="1:17" ht="15.75" customHeight="1">
      <c r="A401" s="19">
        <v>399</v>
      </c>
      <c r="B401" s="20" t="s">
        <v>2131</v>
      </c>
      <c r="C401" s="20" t="s">
        <v>1466</v>
      </c>
      <c r="D401" s="20" t="s">
        <v>2132</v>
      </c>
      <c r="E401" s="21"/>
      <c r="F401" s="21">
        <v>20</v>
      </c>
      <c r="G401" s="21"/>
      <c r="H401" s="21">
        <v>2</v>
      </c>
      <c r="I401" s="21"/>
      <c r="J401" s="21"/>
      <c r="K401" s="21"/>
      <c r="L401" s="21"/>
      <c r="M401" s="21"/>
      <c r="N401" s="21"/>
      <c r="O401" s="21"/>
      <c r="P401" s="21"/>
      <c r="Q401" s="22">
        <f t="shared" si="6"/>
        <v>22</v>
      </c>
    </row>
    <row r="402" spans="1:17" ht="15.75" customHeight="1">
      <c r="A402" s="23">
        <v>400</v>
      </c>
      <c r="B402" s="24" t="s">
        <v>2133</v>
      </c>
      <c r="C402" s="24" t="s">
        <v>1466</v>
      </c>
      <c r="D402" s="24" t="s">
        <v>2134</v>
      </c>
      <c r="E402" s="25"/>
      <c r="F402" s="25">
        <v>20</v>
      </c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2">
        <f t="shared" si="6"/>
        <v>20</v>
      </c>
    </row>
    <row r="403" spans="1:17" ht="15.75" customHeight="1">
      <c r="A403" s="19">
        <v>401</v>
      </c>
      <c r="B403" s="20" t="s">
        <v>2135</v>
      </c>
      <c r="C403" s="20" t="s">
        <v>1471</v>
      </c>
      <c r="D403" s="20" t="s">
        <v>2136</v>
      </c>
      <c r="E403" s="21"/>
      <c r="F403" s="21"/>
      <c r="G403" s="21">
        <v>20</v>
      </c>
      <c r="H403" s="21"/>
      <c r="I403" s="21"/>
      <c r="J403" s="21"/>
      <c r="K403" s="21"/>
      <c r="L403" s="21"/>
      <c r="M403" s="21"/>
      <c r="N403" s="21"/>
      <c r="O403" s="21"/>
      <c r="P403" s="21"/>
      <c r="Q403" s="22">
        <f t="shared" si="6"/>
        <v>20</v>
      </c>
    </row>
    <row r="404" spans="1:17" ht="15.75" customHeight="1">
      <c r="A404" s="23">
        <v>402</v>
      </c>
      <c r="B404" s="24" t="s">
        <v>2137</v>
      </c>
      <c r="C404" s="24" t="s">
        <v>1471</v>
      </c>
      <c r="D404" s="24" t="s">
        <v>2138</v>
      </c>
      <c r="E404" s="25"/>
      <c r="F404" s="25"/>
      <c r="G404" s="25">
        <v>30</v>
      </c>
      <c r="H404" s="25"/>
      <c r="I404" s="25"/>
      <c r="J404" s="25"/>
      <c r="K404" s="25"/>
      <c r="L404" s="25"/>
      <c r="M404" s="25"/>
      <c r="N404" s="25"/>
      <c r="O404" s="25"/>
      <c r="P404" s="25"/>
      <c r="Q404" s="22">
        <f t="shared" si="6"/>
        <v>30</v>
      </c>
    </row>
    <row r="405" spans="1:17" ht="15.75" customHeight="1">
      <c r="A405" s="19">
        <v>403</v>
      </c>
      <c r="B405" s="20" t="s">
        <v>2139</v>
      </c>
      <c r="C405" s="20" t="s">
        <v>1471</v>
      </c>
      <c r="D405" s="20" t="s">
        <v>2140</v>
      </c>
      <c r="E405" s="21"/>
      <c r="F405" s="21"/>
      <c r="G405" s="21">
        <v>20</v>
      </c>
      <c r="H405" s="21"/>
      <c r="I405" s="21"/>
      <c r="J405" s="21"/>
      <c r="K405" s="21"/>
      <c r="L405" s="21"/>
      <c r="M405" s="21"/>
      <c r="N405" s="21"/>
      <c r="O405" s="21"/>
      <c r="P405" s="21"/>
      <c r="Q405" s="22">
        <f t="shared" si="6"/>
        <v>20</v>
      </c>
    </row>
    <row r="406" spans="1:17" ht="15.75" customHeight="1">
      <c r="A406" s="23">
        <v>404</v>
      </c>
      <c r="B406" s="24" t="s">
        <v>2149</v>
      </c>
      <c r="C406" s="24" t="s">
        <v>1471</v>
      </c>
      <c r="D406" s="24" t="s">
        <v>2150</v>
      </c>
      <c r="E406" s="25"/>
      <c r="F406" s="25"/>
      <c r="G406" s="25"/>
      <c r="H406" s="25">
        <v>10</v>
      </c>
      <c r="I406" s="25"/>
      <c r="J406" s="25"/>
      <c r="K406" s="25"/>
      <c r="L406" s="25"/>
      <c r="M406" s="25"/>
      <c r="N406" s="25"/>
      <c r="O406" s="25"/>
      <c r="P406" s="25"/>
      <c r="Q406" s="22">
        <f t="shared" si="6"/>
        <v>10</v>
      </c>
    </row>
    <row r="407" spans="1:17" ht="15.75" customHeight="1">
      <c r="A407" s="19">
        <v>405</v>
      </c>
      <c r="B407" s="20" t="s">
        <v>2153</v>
      </c>
      <c r="C407" s="20" t="s">
        <v>1475</v>
      </c>
      <c r="D407" s="20" t="s">
        <v>2154</v>
      </c>
      <c r="E407" s="21">
        <v>155</v>
      </c>
      <c r="F407" s="21">
        <v>469</v>
      </c>
      <c r="G407" s="21">
        <v>160</v>
      </c>
      <c r="H407" s="21">
        <v>40</v>
      </c>
      <c r="I407" s="21"/>
      <c r="J407" s="21"/>
      <c r="K407" s="21"/>
      <c r="L407" s="21"/>
      <c r="M407" s="21"/>
      <c r="N407" s="21"/>
      <c r="O407" s="21"/>
      <c r="P407" s="21"/>
      <c r="Q407" s="22">
        <f t="shared" si="6"/>
        <v>824</v>
      </c>
    </row>
    <row r="408" spans="1:17" ht="15.75" customHeight="1">
      <c r="A408" s="23">
        <v>406</v>
      </c>
      <c r="B408" s="24" t="s">
        <v>2155</v>
      </c>
      <c r="C408" s="24" t="s">
        <v>1475</v>
      </c>
      <c r="D408" s="24" t="s">
        <v>1668</v>
      </c>
      <c r="E408" s="25"/>
      <c r="F408" s="25">
        <v>20</v>
      </c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2">
        <f t="shared" si="6"/>
        <v>20</v>
      </c>
    </row>
    <row r="409" spans="1:17" ht="15.75" customHeight="1">
      <c r="A409" s="19">
        <v>407</v>
      </c>
      <c r="B409" s="20" t="s">
        <v>2156</v>
      </c>
      <c r="C409" s="20" t="s">
        <v>1475</v>
      </c>
      <c r="D409" s="20" t="s">
        <v>1911</v>
      </c>
      <c r="E409" s="21">
        <v>146</v>
      </c>
      <c r="F409" s="21">
        <v>229</v>
      </c>
      <c r="G409" s="21">
        <v>204</v>
      </c>
      <c r="H409" s="21">
        <v>40</v>
      </c>
      <c r="I409" s="21"/>
      <c r="J409" s="21"/>
      <c r="K409" s="21"/>
      <c r="L409" s="21"/>
      <c r="M409" s="21"/>
      <c r="N409" s="21"/>
      <c r="O409" s="21"/>
      <c r="P409" s="21"/>
      <c r="Q409" s="22">
        <f t="shared" si="6"/>
        <v>619</v>
      </c>
    </row>
    <row r="410" spans="1:17" ht="15.75" customHeight="1">
      <c r="A410" s="23">
        <v>408</v>
      </c>
      <c r="B410" s="24" t="s">
        <v>2160</v>
      </c>
      <c r="C410" s="24" t="s">
        <v>1475</v>
      </c>
      <c r="D410" s="24" t="s">
        <v>2161</v>
      </c>
      <c r="E410" s="25">
        <v>70</v>
      </c>
      <c r="F410" s="25">
        <v>135</v>
      </c>
      <c r="G410" s="25">
        <v>199</v>
      </c>
      <c r="H410" s="25"/>
      <c r="I410" s="25"/>
      <c r="J410" s="25"/>
      <c r="K410" s="25"/>
      <c r="L410" s="25"/>
      <c r="M410" s="25"/>
      <c r="N410" s="25"/>
      <c r="O410" s="25"/>
      <c r="P410" s="25"/>
      <c r="Q410" s="22">
        <f t="shared" si="6"/>
        <v>404</v>
      </c>
    </row>
    <row r="411" spans="1:17" ht="15.75" customHeight="1">
      <c r="A411" s="19">
        <v>409</v>
      </c>
      <c r="B411" s="20" t="s">
        <v>2162</v>
      </c>
      <c r="C411" s="20" t="s">
        <v>1475</v>
      </c>
      <c r="D411" s="20" t="s">
        <v>2163</v>
      </c>
      <c r="E411" s="21">
        <v>12</v>
      </c>
      <c r="F411" s="21">
        <v>96</v>
      </c>
      <c r="G411" s="21">
        <v>20</v>
      </c>
      <c r="H411" s="21">
        <v>5</v>
      </c>
      <c r="I411" s="21"/>
      <c r="J411" s="21"/>
      <c r="K411" s="21"/>
      <c r="L411" s="21"/>
      <c r="M411" s="21"/>
      <c r="N411" s="21"/>
      <c r="O411" s="21"/>
      <c r="P411" s="21"/>
      <c r="Q411" s="22">
        <f t="shared" si="6"/>
        <v>133</v>
      </c>
    </row>
    <row r="412" spans="1:17" ht="15.75" customHeight="1">
      <c r="A412" s="23">
        <v>410</v>
      </c>
      <c r="B412" s="24" t="s">
        <v>2164</v>
      </c>
      <c r="C412" s="24" t="s">
        <v>1475</v>
      </c>
      <c r="D412" s="24" t="s">
        <v>2165</v>
      </c>
      <c r="E412" s="25">
        <v>10</v>
      </c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2">
        <f t="shared" si="6"/>
        <v>10</v>
      </c>
    </row>
    <row r="413" spans="1:17" ht="15.75" customHeight="1">
      <c r="A413" s="19">
        <v>411</v>
      </c>
      <c r="B413" s="20" t="s">
        <v>2166</v>
      </c>
      <c r="C413" s="20" t="s">
        <v>1475</v>
      </c>
      <c r="D413" s="20" t="s">
        <v>2167</v>
      </c>
      <c r="E413" s="21"/>
      <c r="F413" s="21"/>
      <c r="G413" s="21">
        <v>32</v>
      </c>
      <c r="H413" s="21"/>
      <c r="I413" s="21"/>
      <c r="J413" s="21"/>
      <c r="K413" s="21"/>
      <c r="L413" s="21"/>
      <c r="M413" s="21"/>
      <c r="N413" s="21"/>
      <c r="O413" s="21"/>
      <c r="P413" s="21"/>
      <c r="Q413" s="22">
        <f t="shared" si="6"/>
        <v>32</v>
      </c>
    </row>
    <row r="414" spans="1:17" ht="15.75" customHeight="1">
      <c r="A414" s="23">
        <v>412</v>
      </c>
      <c r="B414" s="24" t="s">
        <v>2168</v>
      </c>
      <c r="C414" s="24" t="s">
        <v>1475</v>
      </c>
      <c r="D414" s="24" t="s">
        <v>2169</v>
      </c>
      <c r="E414" s="25">
        <v>40</v>
      </c>
      <c r="F414" s="25">
        <v>120</v>
      </c>
      <c r="G414" s="25">
        <v>100</v>
      </c>
      <c r="H414" s="25">
        <v>10</v>
      </c>
      <c r="I414" s="25"/>
      <c r="J414" s="25"/>
      <c r="K414" s="25"/>
      <c r="L414" s="25"/>
      <c r="M414" s="25"/>
      <c r="N414" s="25"/>
      <c r="O414" s="25"/>
      <c r="P414" s="25"/>
      <c r="Q414" s="22">
        <f t="shared" si="6"/>
        <v>270</v>
      </c>
    </row>
    <row r="415" spans="1:17" ht="15.75" customHeight="1">
      <c r="A415" s="19">
        <v>413</v>
      </c>
      <c r="B415" s="20" t="s">
        <v>2170</v>
      </c>
      <c r="C415" s="20" t="s">
        <v>1475</v>
      </c>
      <c r="D415" s="20" t="s">
        <v>2171</v>
      </c>
      <c r="E415" s="21">
        <v>50</v>
      </c>
      <c r="F415" s="21">
        <v>80</v>
      </c>
      <c r="G415" s="21">
        <v>20</v>
      </c>
      <c r="H415" s="21"/>
      <c r="I415" s="21"/>
      <c r="J415" s="21"/>
      <c r="K415" s="21"/>
      <c r="L415" s="21"/>
      <c r="M415" s="21"/>
      <c r="N415" s="21"/>
      <c r="O415" s="21"/>
      <c r="P415" s="21"/>
      <c r="Q415" s="22">
        <f t="shared" si="6"/>
        <v>150</v>
      </c>
    </row>
    <row r="416" spans="1:17" ht="15.75" customHeight="1">
      <c r="A416" s="23">
        <v>414</v>
      </c>
      <c r="B416" s="24" t="s">
        <v>2172</v>
      </c>
      <c r="C416" s="24" t="s">
        <v>1475</v>
      </c>
      <c r="D416" s="24" t="s">
        <v>2173</v>
      </c>
      <c r="E416" s="25">
        <v>10</v>
      </c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2">
        <f t="shared" si="6"/>
        <v>10</v>
      </c>
    </row>
    <row r="417" spans="1:17" ht="15.75" customHeight="1">
      <c r="A417" s="19">
        <v>415</v>
      </c>
      <c r="B417" s="20" t="s">
        <v>2174</v>
      </c>
      <c r="C417" s="20" t="s">
        <v>1475</v>
      </c>
      <c r="D417" s="20" t="s">
        <v>2175</v>
      </c>
      <c r="E417" s="21">
        <v>50</v>
      </c>
      <c r="F417" s="21"/>
      <c r="G417" s="21">
        <v>50</v>
      </c>
      <c r="H417" s="21">
        <v>30</v>
      </c>
      <c r="I417" s="21"/>
      <c r="J417" s="21"/>
      <c r="K417" s="21"/>
      <c r="L417" s="21"/>
      <c r="M417" s="21"/>
      <c r="N417" s="21"/>
      <c r="O417" s="21"/>
      <c r="P417" s="21"/>
      <c r="Q417" s="22">
        <f t="shared" si="6"/>
        <v>130</v>
      </c>
    </row>
    <row r="418" spans="1:17" ht="15.75" customHeight="1">
      <c r="A418" s="23">
        <v>416</v>
      </c>
      <c r="B418" s="24" t="s">
        <v>2176</v>
      </c>
      <c r="C418" s="24" t="s">
        <v>1475</v>
      </c>
      <c r="D418" s="24" t="s">
        <v>2177</v>
      </c>
      <c r="E418" s="25"/>
      <c r="F418" s="25"/>
      <c r="G418" s="25">
        <v>40</v>
      </c>
      <c r="H418" s="25"/>
      <c r="I418" s="25"/>
      <c r="J418" s="25"/>
      <c r="K418" s="25"/>
      <c r="L418" s="25"/>
      <c r="M418" s="25"/>
      <c r="N418" s="25"/>
      <c r="O418" s="25"/>
      <c r="P418" s="25"/>
      <c r="Q418" s="22">
        <f t="shared" si="6"/>
        <v>40</v>
      </c>
    </row>
    <row r="419" spans="1:17" ht="15.75" customHeight="1">
      <c r="A419" s="19">
        <v>417</v>
      </c>
      <c r="B419" s="20" t="s">
        <v>2178</v>
      </c>
      <c r="C419" s="20" t="s">
        <v>1475</v>
      </c>
      <c r="D419" s="20" t="s">
        <v>2179</v>
      </c>
      <c r="E419" s="21">
        <v>20</v>
      </c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2">
        <f t="shared" si="6"/>
        <v>20</v>
      </c>
    </row>
    <row r="420" spans="1:17" ht="15.75" customHeight="1">
      <c r="A420" s="23">
        <v>418</v>
      </c>
      <c r="B420" s="24" t="s">
        <v>2181</v>
      </c>
      <c r="C420" s="24" t="s">
        <v>1481</v>
      </c>
      <c r="D420" s="24" t="s">
        <v>2182</v>
      </c>
      <c r="E420" s="25"/>
      <c r="F420" s="25"/>
      <c r="G420" s="25">
        <v>30</v>
      </c>
      <c r="H420" s="25"/>
      <c r="I420" s="25"/>
      <c r="J420" s="25"/>
      <c r="K420" s="25"/>
      <c r="L420" s="25"/>
      <c r="M420" s="25"/>
      <c r="N420" s="25"/>
      <c r="O420" s="25"/>
      <c r="P420" s="25"/>
      <c r="Q420" s="22">
        <f t="shared" si="6"/>
        <v>30</v>
      </c>
    </row>
    <row r="421" spans="1:17" ht="15.75" customHeight="1">
      <c r="A421" s="19">
        <v>419</v>
      </c>
      <c r="B421" s="20" t="s">
        <v>2186</v>
      </c>
      <c r="C421" s="20" t="s">
        <v>1481</v>
      </c>
      <c r="D421" s="20" t="s">
        <v>2187</v>
      </c>
      <c r="E421" s="21"/>
      <c r="F421" s="21"/>
      <c r="G421" s="21">
        <v>20</v>
      </c>
      <c r="H421" s="21"/>
      <c r="I421" s="21"/>
      <c r="J421" s="21"/>
      <c r="K421" s="21"/>
      <c r="L421" s="21"/>
      <c r="M421" s="21"/>
      <c r="N421" s="21"/>
      <c r="O421" s="21"/>
      <c r="P421" s="21"/>
      <c r="Q421" s="22">
        <f t="shared" si="6"/>
        <v>20</v>
      </c>
    </row>
    <row r="422" spans="1:17" ht="15.75" customHeight="1">
      <c r="A422" s="23">
        <v>420</v>
      </c>
      <c r="B422" s="24" t="s">
        <v>2192</v>
      </c>
      <c r="C422" s="24" t="s">
        <v>1481</v>
      </c>
      <c r="D422" s="24" t="s">
        <v>2193</v>
      </c>
      <c r="E422" s="25">
        <v>320</v>
      </c>
      <c r="F422" s="25">
        <v>60</v>
      </c>
      <c r="G422" s="25">
        <v>100</v>
      </c>
      <c r="H422" s="25"/>
      <c r="I422" s="25"/>
      <c r="J422" s="25"/>
      <c r="K422" s="25"/>
      <c r="L422" s="25"/>
      <c r="M422" s="25"/>
      <c r="N422" s="25"/>
      <c r="O422" s="25"/>
      <c r="P422" s="25"/>
      <c r="Q422" s="22">
        <f t="shared" si="6"/>
        <v>480</v>
      </c>
    </row>
    <row r="423" spans="1:17" ht="15.75" customHeight="1">
      <c r="A423" s="19">
        <v>421</v>
      </c>
      <c r="B423" s="20" t="s">
        <v>2196</v>
      </c>
      <c r="C423" s="20" t="s">
        <v>1489</v>
      </c>
      <c r="D423" s="20" t="s">
        <v>2197</v>
      </c>
      <c r="E423" s="21">
        <v>140</v>
      </c>
      <c r="F423" s="21">
        <v>30</v>
      </c>
      <c r="G423" s="21">
        <v>70</v>
      </c>
      <c r="H423" s="21">
        <v>105</v>
      </c>
      <c r="I423" s="21"/>
      <c r="J423" s="21"/>
      <c r="K423" s="21"/>
      <c r="L423" s="21"/>
      <c r="M423" s="21"/>
      <c r="N423" s="21"/>
      <c r="O423" s="21"/>
      <c r="P423" s="21"/>
      <c r="Q423" s="22">
        <f t="shared" si="6"/>
        <v>345</v>
      </c>
    </row>
    <row r="424" spans="1:17" ht="15.75" customHeight="1">
      <c r="A424" s="23">
        <v>422</v>
      </c>
      <c r="B424" s="24" t="s">
        <v>2198</v>
      </c>
      <c r="C424" s="24" t="s">
        <v>1489</v>
      </c>
      <c r="D424" s="24" t="s">
        <v>2199</v>
      </c>
      <c r="E424" s="25">
        <v>200</v>
      </c>
      <c r="F424" s="25">
        <v>103</v>
      </c>
      <c r="G424" s="25">
        <v>40</v>
      </c>
      <c r="H424" s="25">
        <v>110</v>
      </c>
      <c r="I424" s="25"/>
      <c r="J424" s="25"/>
      <c r="K424" s="25"/>
      <c r="L424" s="25"/>
      <c r="M424" s="25"/>
      <c r="N424" s="25"/>
      <c r="O424" s="25"/>
      <c r="P424" s="25"/>
      <c r="Q424" s="22">
        <f t="shared" si="6"/>
        <v>453</v>
      </c>
    </row>
    <row r="425" spans="1:17" ht="15.75" customHeight="1">
      <c r="A425" s="19">
        <v>423</v>
      </c>
      <c r="B425" s="20" t="s">
        <v>2200</v>
      </c>
      <c r="C425" s="20" t="s">
        <v>1489</v>
      </c>
      <c r="D425" s="20" t="s">
        <v>2201</v>
      </c>
      <c r="E425" s="21">
        <v>114</v>
      </c>
      <c r="F425" s="21">
        <v>35</v>
      </c>
      <c r="G425" s="21">
        <v>10</v>
      </c>
      <c r="H425" s="21"/>
      <c r="I425" s="21"/>
      <c r="J425" s="21"/>
      <c r="K425" s="21"/>
      <c r="L425" s="21"/>
      <c r="M425" s="21"/>
      <c r="N425" s="21"/>
      <c r="O425" s="21"/>
      <c r="P425" s="21"/>
      <c r="Q425" s="22">
        <f t="shared" si="6"/>
        <v>159</v>
      </c>
    </row>
    <row r="426" spans="1:17" ht="15.75" customHeight="1">
      <c r="A426" s="23">
        <v>424</v>
      </c>
      <c r="B426" s="24" t="s">
        <v>2202</v>
      </c>
      <c r="C426" s="24" t="s">
        <v>1489</v>
      </c>
      <c r="D426" s="24" t="s">
        <v>2203</v>
      </c>
      <c r="E426" s="25">
        <v>72</v>
      </c>
      <c r="F426" s="25">
        <v>47</v>
      </c>
      <c r="G426" s="25">
        <v>10</v>
      </c>
      <c r="H426" s="25"/>
      <c r="I426" s="25"/>
      <c r="J426" s="25"/>
      <c r="K426" s="25"/>
      <c r="L426" s="25"/>
      <c r="M426" s="25"/>
      <c r="N426" s="25"/>
      <c r="O426" s="25"/>
      <c r="P426" s="25"/>
      <c r="Q426" s="22">
        <f t="shared" si="6"/>
        <v>129</v>
      </c>
    </row>
    <row r="427" spans="1:17" ht="15.75" customHeight="1">
      <c r="A427" s="19">
        <v>425</v>
      </c>
      <c r="B427" s="20" t="s">
        <v>3538</v>
      </c>
      <c r="C427" s="20" t="s">
        <v>1489</v>
      </c>
      <c r="D427" s="20" t="s">
        <v>1678</v>
      </c>
      <c r="E427" s="21"/>
      <c r="F427" s="21">
        <v>10</v>
      </c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2">
        <f t="shared" si="6"/>
        <v>10</v>
      </c>
    </row>
    <row r="428" spans="1:17" ht="15.75" customHeight="1">
      <c r="A428" s="23">
        <v>426</v>
      </c>
      <c r="B428" s="24" t="s">
        <v>2204</v>
      </c>
      <c r="C428" s="24" t="s">
        <v>1489</v>
      </c>
      <c r="D428" s="24" t="s">
        <v>2205</v>
      </c>
      <c r="E428" s="25"/>
      <c r="F428" s="25">
        <v>87</v>
      </c>
      <c r="G428" s="25">
        <v>63</v>
      </c>
      <c r="H428" s="25"/>
      <c r="I428" s="25"/>
      <c r="J428" s="25"/>
      <c r="K428" s="25"/>
      <c r="L428" s="25"/>
      <c r="M428" s="25"/>
      <c r="N428" s="25"/>
      <c r="O428" s="25"/>
      <c r="P428" s="25"/>
      <c r="Q428" s="22">
        <f t="shared" si="6"/>
        <v>150</v>
      </c>
    </row>
    <row r="429" spans="1:17" ht="15.75" customHeight="1">
      <c r="A429" s="19">
        <v>427</v>
      </c>
      <c r="B429" s="20" t="s">
        <v>2206</v>
      </c>
      <c r="C429" s="20" t="s">
        <v>1489</v>
      </c>
      <c r="D429" s="20" t="s">
        <v>2207</v>
      </c>
      <c r="E429" s="21">
        <v>20</v>
      </c>
      <c r="F429" s="21">
        <v>30</v>
      </c>
      <c r="G429" s="21"/>
      <c r="H429" s="21">
        <v>10</v>
      </c>
      <c r="I429" s="21"/>
      <c r="J429" s="21"/>
      <c r="K429" s="21"/>
      <c r="L429" s="21"/>
      <c r="M429" s="21"/>
      <c r="N429" s="21"/>
      <c r="O429" s="21"/>
      <c r="P429" s="21"/>
      <c r="Q429" s="22">
        <f t="shared" si="6"/>
        <v>60</v>
      </c>
    </row>
    <row r="430" spans="1:17" ht="15.75" customHeight="1">
      <c r="A430" s="23">
        <v>428</v>
      </c>
      <c r="B430" s="24" t="s">
        <v>2210</v>
      </c>
      <c r="C430" s="24" t="s">
        <v>1491</v>
      </c>
      <c r="D430" s="24" t="s">
        <v>2211</v>
      </c>
      <c r="E430" s="25"/>
      <c r="F430" s="25"/>
      <c r="G430" s="25">
        <v>70</v>
      </c>
      <c r="H430" s="25"/>
      <c r="I430" s="25"/>
      <c r="J430" s="25"/>
      <c r="K430" s="25"/>
      <c r="L430" s="25"/>
      <c r="M430" s="25"/>
      <c r="N430" s="25"/>
      <c r="O430" s="25"/>
      <c r="P430" s="25"/>
      <c r="Q430" s="22">
        <f t="shared" si="6"/>
        <v>70</v>
      </c>
    </row>
    <row r="431" spans="1:17" ht="15.75" customHeight="1">
      <c r="A431" s="19">
        <v>429</v>
      </c>
      <c r="B431" s="20" t="s">
        <v>2213</v>
      </c>
      <c r="C431" s="20" t="s">
        <v>1491</v>
      </c>
      <c r="D431" s="20" t="s">
        <v>2214</v>
      </c>
      <c r="E431" s="21"/>
      <c r="F431" s="21"/>
      <c r="G431" s="21">
        <v>40</v>
      </c>
      <c r="H431" s="21"/>
      <c r="I431" s="21"/>
      <c r="J431" s="21"/>
      <c r="K431" s="21"/>
      <c r="L431" s="21"/>
      <c r="M431" s="21"/>
      <c r="N431" s="21"/>
      <c r="O431" s="21"/>
      <c r="P431" s="21"/>
      <c r="Q431" s="22">
        <f t="shared" si="6"/>
        <v>40</v>
      </c>
    </row>
    <row r="432" spans="1:17" ht="15.75" customHeight="1">
      <c r="A432" s="23">
        <v>430</v>
      </c>
      <c r="B432" s="24" t="s">
        <v>2215</v>
      </c>
      <c r="C432" s="24" t="s">
        <v>1491</v>
      </c>
      <c r="D432" s="24" t="s">
        <v>2216</v>
      </c>
      <c r="E432" s="25"/>
      <c r="F432" s="25"/>
      <c r="G432" s="25">
        <v>65</v>
      </c>
      <c r="H432" s="25"/>
      <c r="I432" s="25"/>
      <c r="J432" s="25"/>
      <c r="K432" s="25"/>
      <c r="L432" s="25"/>
      <c r="M432" s="25"/>
      <c r="N432" s="25"/>
      <c r="O432" s="25"/>
      <c r="P432" s="25"/>
      <c r="Q432" s="22">
        <f t="shared" si="6"/>
        <v>65</v>
      </c>
    </row>
    <row r="433" spans="1:17" ht="15.75" customHeight="1">
      <c r="A433" s="19">
        <v>431</v>
      </c>
      <c r="B433" s="20" t="s">
        <v>2217</v>
      </c>
      <c r="C433" s="20" t="s">
        <v>1491</v>
      </c>
      <c r="D433" s="20" t="s">
        <v>2218</v>
      </c>
      <c r="E433" s="21"/>
      <c r="F433" s="21"/>
      <c r="G433" s="21">
        <v>75</v>
      </c>
      <c r="H433" s="21"/>
      <c r="I433" s="21"/>
      <c r="J433" s="21"/>
      <c r="K433" s="21"/>
      <c r="L433" s="21"/>
      <c r="M433" s="21"/>
      <c r="N433" s="21"/>
      <c r="O433" s="21"/>
      <c r="P433" s="21"/>
      <c r="Q433" s="22">
        <f t="shared" si="6"/>
        <v>75</v>
      </c>
    </row>
    <row r="434" spans="1:17" ht="15.75" customHeight="1">
      <c r="A434" s="23">
        <v>432</v>
      </c>
      <c r="B434" s="24" t="s">
        <v>2223</v>
      </c>
      <c r="C434" s="24" t="s">
        <v>1493</v>
      </c>
      <c r="D434" s="24" t="s">
        <v>2224</v>
      </c>
      <c r="E434" s="25">
        <v>30</v>
      </c>
      <c r="F434" s="25">
        <v>100</v>
      </c>
      <c r="G434" s="25">
        <v>50</v>
      </c>
      <c r="H434" s="25"/>
      <c r="I434" s="25"/>
      <c r="J434" s="25"/>
      <c r="K434" s="25"/>
      <c r="L434" s="25"/>
      <c r="M434" s="25"/>
      <c r="N434" s="25"/>
      <c r="O434" s="25"/>
      <c r="P434" s="25"/>
      <c r="Q434" s="22">
        <f t="shared" si="6"/>
        <v>180</v>
      </c>
    </row>
    <row r="435" spans="1:17" ht="15.75" customHeight="1">
      <c r="A435" s="19">
        <v>433</v>
      </c>
      <c r="B435" s="20" t="s">
        <v>2225</v>
      </c>
      <c r="C435" s="20" t="s">
        <v>1493</v>
      </c>
      <c r="D435" s="20" t="s">
        <v>2226</v>
      </c>
      <c r="E435" s="21"/>
      <c r="F435" s="21">
        <v>50</v>
      </c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2">
        <f t="shared" si="6"/>
        <v>50</v>
      </c>
    </row>
    <row r="436" spans="1:17" ht="15.75" customHeight="1">
      <c r="A436" s="23">
        <v>434</v>
      </c>
      <c r="B436" s="24" t="s">
        <v>2227</v>
      </c>
      <c r="C436" s="24" t="s">
        <v>1493</v>
      </c>
      <c r="D436" s="24" t="s">
        <v>2228</v>
      </c>
      <c r="E436" s="25"/>
      <c r="F436" s="25">
        <v>70</v>
      </c>
      <c r="G436" s="25">
        <v>110</v>
      </c>
      <c r="H436" s="25"/>
      <c r="I436" s="25"/>
      <c r="J436" s="25"/>
      <c r="K436" s="25"/>
      <c r="L436" s="25"/>
      <c r="M436" s="25"/>
      <c r="N436" s="25"/>
      <c r="O436" s="25"/>
      <c r="P436" s="25"/>
      <c r="Q436" s="22">
        <f t="shared" si="6"/>
        <v>180</v>
      </c>
    </row>
    <row r="437" spans="1:17" ht="15.75" customHeight="1">
      <c r="A437" s="19">
        <v>435</v>
      </c>
      <c r="B437" s="20" t="s">
        <v>2231</v>
      </c>
      <c r="C437" s="20" t="s">
        <v>1493</v>
      </c>
      <c r="D437" s="20" t="s">
        <v>2232</v>
      </c>
      <c r="E437" s="21">
        <v>260</v>
      </c>
      <c r="F437" s="21">
        <v>490</v>
      </c>
      <c r="G437" s="21">
        <v>400</v>
      </c>
      <c r="H437" s="21"/>
      <c r="I437" s="21"/>
      <c r="J437" s="21"/>
      <c r="K437" s="21"/>
      <c r="L437" s="21"/>
      <c r="M437" s="21"/>
      <c r="N437" s="21"/>
      <c r="O437" s="21"/>
      <c r="P437" s="21"/>
      <c r="Q437" s="22">
        <f t="shared" si="6"/>
        <v>1150</v>
      </c>
    </row>
    <row r="438" spans="1:17" ht="15.75" customHeight="1">
      <c r="A438" s="23">
        <v>436</v>
      </c>
      <c r="B438" s="24" t="s">
        <v>2233</v>
      </c>
      <c r="C438" s="24" t="s">
        <v>1493</v>
      </c>
      <c r="D438" s="24" t="s">
        <v>2234</v>
      </c>
      <c r="E438" s="25">
        <v>2230</v>
      </c>
      <c r="F438" s="25">
        <v>1680</v>
      </c>
      <c r="G438" s="25">
        <v>2230</v>
      </c>
      <c r="H438" s="25">
        <v>570</v>
      </c>
      <c r="I438" s="25"/>
      <c r="J438" s="25"/>
      <c r="K438" s="25"/>
      <c r="L438" s="25"/>
      <c r="M438" s="25"/>
      <c r="N438" s="25"/>
      <c r="O438" s="25"/>
      <c r="P438" s="25"/>
      <c r="Q438" s="22">
        <f t="shared" si="6"/>
        <v>6710</v>
      </c>
    </row>
    <row r="439" spans="1:17" ht="15.75" customHeight="1">
      <c r="A439" s="19">
        <v>437</v>
      </c>
      <c r="B439" s="20" t="s">
        <v>2235</v>
      </c>
      <c r="C439" s="20" t="s">
        <v>1493</v>
      </c>
      <c r="D439" s="20" t="s">
        <v>2236</v>
      </c>
      <c r="E439" s="21"/>
      <c r="F439" s="21">
        <v>40</v>
      </c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2">
        <f t="shared" si="6"/>
        <v>40</v>
      </c>
    </row>
    <row r="440" spans="1:17" ht="15.75" customHeight="1">
      <c r="A440" s="23">
        <v>438</v>
      </c>
      <c r="B440" s="24" t="s">
        <v>2239</v>
      </c>
      <c r="C440" s="24" t="s">
        <v>1504</v>
      </c>
      <c r="D440" s="24" t="s">
        <v>2240</v>
      </c>
      <c r="E440" s="25">
        <v>200</v>
      </c>
      <c r="F440" s="25">
        <v>670</v>
      </c>
      <c r="G440" s="25">
        <v>270</v>
      </c>
      <c r="H440" s="25"/>
      <c r="I440" s="25"/>
      <c r="J440" s="25"/>
      <c r="K440" s="25"/>
      <c r="L440" s="25"/>
      <c r="M440" s="25"/>
      <c r="N440" s="25"/>
      <c r="O440" s="25"/>
      <c r="P440" s="25"/>
      <c r="Q440" s="22">
        <f t="shared" si="6"/>
        <v>1140</v>
      </c>
    </row>
    <row r="441" spans="1:17" ht="15.75" customHeight="1">
      <c r="A441" s="19">
        <v>439</v>
      </c>
      <c r="B441" s="20" t="s">
        <v>2241</v>
      </c>
      <c r="C441" s="20" t="s">
        <v>1504</v>
      </c>
      <c r="D441" s="20" t="s">
        <v>1668</v>
      </c>
      <c r="E441" s="21">
        <v>100</v>
      </c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2">
        <f t="shared" si="6"/>
        <v>100</v>
      </c>
    </row>
    <row r="442" spans="1:17" ht="15.75" customHeight="1">
      <c r="A442" s="23">
        <v>440</v>
      </c>
      <c r="B442" s="24" t="s">
        <v>2242</v>
      </c>
      <c r="C442" s="24" t="s">
        <v>1504</v>
      </c>
      <c r="D442" s="24" t="s">
        <v>2243</v>
      </c>
      <c r="E442" s="25">
        <v>30</v>
      </c>
      <c r="F442" s="25">
        <v>131</v>
      </c>
      <c r="G442" s="25">
        <v>3</v>
      </c>
      <c r="H442" s="25"/>
      <c r="I442" s="25"/>
      <c r="J442" s="25"/>
      <c r="K442" s="25"/>
      <c r="L442" s="25"/>
      <c r="M442" s="25"/>
      <c r="N442" s="25"/>
      <c r="O442" s="25"/>
      <c r="P442" s="25"/>
      <c r="Q442" s="22">
        <f t="shared" si="6"/>
        <v>164</v>
      </c>
    </row>
    <row r="443" spans="1:17" ht="15.75" customHeight="1">
      <c r="A443" s="19">
        <v>441</v>
      </c>
      <c r="B443" s="20" t="s">
        <v>2244</v>
      </c>
      <c r="C443" s="20" t="s">
        <v>1504</v>
      </c>
      <c r="D443" s="20" t="s">
        <v>2245</v>
      </c>
      <c r="E443" s="21">
        <v>1600</v>
      </c>
      <c r="F443" s="21">
        <v>8570</v>
      </c>
      <c r="G443" s="21">
        <v>7070</v>
      </c>
      <c r="H443" s="21">
        <v>1000</v>
      </c>
      <c r="I443" s="21"/>
      <c r="J443" s="21"/>
      <c r="K443" s="21"/>
      <c r="L443" s="21"/>
      <c r="M443" s="21"/>
      <c r="N443" s="21"/>
      <c r="O443" s="21"/>
      <c r="P443" s="21"/>
      <c r="Q443" s="22">
        <f t="shared" si="6"/>
        <v>18240</v>
      </c>
    </row>
    <row r="444" spans="1:17" ht="15.75" customHeight="1">
      <c r="A444" s="23">
        <v>442</v>
      </c>
      <c r="B444" s="24" t="s">
        <v>2246</v>
      </c>
      <c r="C444" s="24" t="s">
        <v>1504</v>
      </c>
      <c r="D444" s="24" t="s">
        <v>2247</v>
      </c>
      <c r="E444" s="25">
        <v>13</v>
      </c>
      <c r="F444" s="25">
        <v>43</v>
      </c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2">
        <f t="shared" si="6"/>
        <v>56</v>
      </c>
    </row>
    <row r="445" spans="1:17" ht="15.75" customHeight="1">
      <c r="A445" s="19">
        <v>443</v>
      </c>
      <c r="B445" s="20" t="s">
        <v>2248</v>
      </c>
      <c r="C445" s="20" t="s">
        <v>1504</v>
      </c>
      <c r="D445" s="20" t="s">
        <v>2249</v>
      </c>
      <c r="E445" s="21">
        <v>21</v>
      </c>
      <c r="F445" s="21">
        <v>6</v>
      </c>
      <c r="G445" s="21">
        <v>3</v>
      </c>
      <c r="H445" s="21"/>
      <c r="I445" s="21"/>
      <c r="J445" s="21"/>
      <c r="K445" s="21"/>
      <c r="L445" s="21"/>
      <c r="M445" s="21"/>
      <c r="N445" s="21"/>
      <c r="O445" s="21"/>
      <c r="P445" s="21"/>
      <c r="Q445" s="22">
        <f t="shared" si="6"/>
        <v>30</v>
      </c>
    </row>
    <row r="446" spans="1:17" ht="15.75" customHeight="1">
      <c r="A446" s="23">
        <v>444</v>
      </c>
      <c r="B446" s="24" t="s">
        <v>2250</v>
      </c>
      <c r="C446" s="24" t="s">
        <v>1504</v>
      </c>
      <c r="D446" s="24" t="s">
        <v>2251</v>
      </c>
      <c r="E446" s="25">
        <v>1060</v>
      </c>
      <c r="F446" s="25">
        <v>2580</v>
      </c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2">
        <f t="shared" si="6"/>
        <v>3640</v>
      </c>
    </row>
    <row r="447" spans="1:17" ht="15.75" customHeight="1">
      <c r="A447" s="19">
        <v>445</v>
      </c>
      <c r="B447" s="20" t="s">
        <v>2252</v>
      </c>
      <c r="C447" s="20" t="s">
        <v>1504</v>
      </c>
      <c r="D447" s="20" t="s">
        <v>2253</v>
      </c>
      <c r="E447" s="21">
        <v>2650</v>
      </c>
      <c r="F447" s="21">
        <v>6600</v>
      </c>
      <c r="G447" s="21">
        <v>4380</v>
      </c>
      <c r="H447" s="21">
        <v>400</v>
      </c>
      <c r="I447" s="21"/>
      <c r="J447" s="21"/>
      <c r="K447" s="21"/>
      <c r="L447" s="21"/>
      <c r="M447" s="21"/>
      <c r="N447" s="21"/>
      <c r="O447" s="21"/>
      <c r="P447" s="21"/>
      <c r="Q447" s="22">
        <f t="shared" si="6"/>
        <v>14030</v>
      </c>
    </row>
    <row r="448" spans="1:17" ht="15.75" customHeight="1">
      <c r="A448" s="23">
        <v>446</v>
      </c>
      <c r="B448" s="24" t="s">
        <v>2256</v>
      </c>
      <c r="C448" s="24" t="s">
        <v>1504</v>
      </c>
      <c r="D448" s="24" t="s">
        <v>2257</v>
      </c>
      <c r="E448" s="25">
        <v>41</v>
      </c>
      <c r="F448" s="25">
        <v>380</v>
      </c>
      <c r="G448" s="25">
        <v>1990</v>
      </c>
      <c r="H448" s="25"/>
      <c r="I448" s="25"/>
      <c r="J448" s="25"/>
      <c r="K448" s="25"/>
      <c r="L448" s="25"/>
      <c r="M448" s="25"/>
      <c r="N448" s="25"/>
      <c r="O448" s="25"/>
      <c r="P448" s="25"/>
      <c r="Q448" s="22">
        <f t="shared" si="6"/>
        <v>2411</v>
      </c>
    </row>
    <row r="449" spans="1:17" ht="15.75" customHeight="1">
      <c r="A449" s="19">
        <v>447</v>
      </c>
      <c r="B449" s="20" t="s">
        <v>2258</v>
      </c>
      <c r="C449" s="20" t="s">
        <v>1504</v>
      </c>
      <c r="D449" s="20" t="s">
        <v>2259</v>
      </c>
      <c r="E449" s="21"/>
      <c r="F449" s="21"/>
      <c r="G449" s="21">
        <v>94</v>
      </c>
      <c r="H449" s="21"/>
      <c r="I449" s="21"/>
      <c r="J449" s="21"/>
      <c r="K449" s="21"/>
      <c r="L449" s="21"/>
      <c r="M449" s="21"/>
      <c r="N449" s="21"/>
      <c r="O449" s="21"/>
      <c r="P449" s="21"/>
      <c r="Q449" s="22">
        <f t="shared" si="6"/>
        <v>94</v>
      </c>
    </row>
    <row r="450" spans="1:17" ht="15.75" customHeight="1">
      <c r="A450" s="23">
        <v>448</v>
      </c>
      <c r="B450" s="24" t="s">
        <v>2272</v>
      </c>
      <c r="C450" s="24" t="s">
        <v>2273</v>
      </c>
      <c r="D450" s="24" t="s">
        <v>1909</v>
      </c>
      <c r="E450" s="25"/>
      <c r="F450" s="25"/>
      <c r="G450" s="25">
        <v>1</v>
      </c>
      <c r="H450" s="25"/>
      <c r="I450" s="25"/>
      <c r="J450" s="25"/>
      <c r="K450" s="25"/>
      <c r="L450" s="25"/>
      <c r="M450" s="25"/>
      <c r="N450" s="25"/>
      <c r="O450" s="25"/>
      <c r="P450" s="25"/>
      <c r="Q450" s="22">
        <f t="shared" si="6"/>
        <v>1</v>
      </c>
    </row>
    <row r="451" spans="1:17" ht="15.75" customHeight="1">
      <c r="A451" s="19">
        <v>449</v>
      </c>
      <c r="B451" s="20" t="s">
        <v>2277</v>
      </c>
      <c r="C451" s="20" t="s">
        <v>1523</v>
      </c>
      <c r="D451" s="20" t="s">
        <v>2278</v>
      </c>
      <c r="E451" s="21">
        <v>50</v>
      </c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2">
        <f t="shared" ref="Q451:Q514" si="7">SUM(E451:P451)</f>
        <v>50</v>
      </c>
    </row>
    <row r="452" spans="1:17" ht="15.75" customHeight="1">
      <c r="A452" s="23">
        <v>450</v>
      </c>
      <c r="B452" s="24" t="s">
        <v>2281</v>
      </c>
      <c r="C452" s="24" t="s">
        <v>1466</v>
      </c>
      <c r="D452" s="24" t="s">
        <v>2282</v>
      </c>
      <c r="E452" s="25"/>
      <c r="F452" s="25">
        <v>10</v>
      </c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2">
        <f t="shared" si="7"/>
        <v>10</v>
      </c>
    </row>
    <row r="453" spans="1:17" ht="15.75" customHeight="1">
      <c r="A453" s="19">
        <v>451</v>
      </c>
      <c r="B453" s="20" t="s">
        <v>2945</v>
      </c>
      <c r="C453" s="20" t="s">
        <v>2929</v>
      </c>
      <c r="D453" s="20" t="s">
        <v>2946</v>
      </c>
      <c r="E453" s="21"/>
      <c r="F453" s="21"/>
      <c r="G453" s="21">
        <v>7</v>
      </c>
      <c r="H453" s="21"/>
      <c r="I453" s="21"/>
      <c r="J453" s="21"/>
      <c r="K453" s="21"/>
      <c r="L453" s="21"/>
      <c r="M453" s="21"/>
      <c r="N453" s="21"/>
      <c r="O453" s="21"/>
      <c r="P453" s="21"/>
      <c r="Q453" s="22">
        <f t="shared" si="7"/>
        <v>7</v>
      </c>
    </row>
    <row r="454" spans="1:17" ht="15.75" customHeight="1">
      <c r="A454" s="23">
        <v>452</v>
      </c>
      <c r="B454" s="24" t="s">
        <v>2292</v>
      </c>
      <c r="C454" s="24" t="s">
        <v>2273</v>
      </c>
      <c r="D454" s="24" t="s">
        <v>1911</v>
      </c>
      <c r="E454" s="25"/>
      <c r="F454" s="25"/>
      <c r="G454" s="25">
        <v>6</v>
      </c>
      <c r="H454" s="25"/>
      <c r="I454" s="25"/>
      <c r="J454" s="25"/>
      <c r="K454" s="25"/>
      <c r="L454" s="25"/>
      <c r="M454" s="25"/>
      <c r="N454" s="25"/>
      <c r="O454" s="25"/>
      <c r="P454" s="25"/>
      <c r="Q454" s="22">
        <f t="shared" si="7"/>
        <v>6</v>
      </c>
    </row>
    <row r="455" spans="1:17" ht="15.75" customHeight="1">
      <c r="A455" s="19">
        <v>453</v>
      </c>
      <c r="B455" s="20" t="s">
        <v>2949</v>
      </c>
      <c r="C455" s="20" t="s">
        <v>2929</v>
      </c>
      <c r="D455" s="20" t="s">
        <v>1909</v>
      </c>
      <c r="E455" s="21">
        <v>5</v>
      </c>
      <c r="F455" s="21"/>
      <c r="G455" s="21">
        <v>12</v>
      </c>
      <c r="H455" s="21"/>
      <c r="I455" s="21"/>
      <c r="J455" s="21"/>
      <c r="K455" s="21"/>
      <c r="L455" s="21"/>
      <c r="M455" s="21"/>
      <c r="N455" s="21"/>
      <c r="O455" s="21"/>
      <c r="P455" s="21"/>
      <c r="Q455" s="22">
        <f t="shared" si="7"/>
        <v>17</v>
      </c>
    </row>
    <row r="456" spans="1:17" ht="15.75" customHeight="1">
      <c r="A456" s="23">
        <v>454</v>
      </c>
      <c r="B456" s="24" t="s">
        <v>2954</v>
      </c>
      <c r="C456" s="24" t="s">
        <v>2929</v>
      </c>
      <c r="D456" s="24" t="s">
        <v>2955</v>
      </c>
      <c r="E456" s="25"/>
      <c r="F456" s="25"/>
      <c r="G456" s="25">
        <v>5</v>
      </c>
      <c r="H456" s="25"/>
      <c r="I456" s="25"/>
      <c r="J456" s="25"/>
      <c r="K456" s="25"/>
      <c r="L456" s="25"/>
      <c r="M456" s="25"/>
      <c r="N456" s="25"/>
      <c r="O456" s="25"/>
      <c r="P456" s="25"/>
      <c r="Q456" s="22">
        <f t="shared" si="7"/>
        <v>5</v>
      </c>
    </row>
    <row r="457" spans="1:17" ht="15.75" customHeight="1">
      <c r="A457" s="19">
        <v>455</v>
      </c>
      <c r="B457" s="20" t="s">
        <v>3539</v>
      </c>
      <c r="C457" s="20" t="s">
        <v>2929</v>
      </c>
      <c r="D457" s="20" t="s">
        <v>1949</v>
      </c>
      <c r="E457" s="21"/>
      <c r="F457" s="21"/>
      <c r="G457" s="21">
        <v>8</v>
      </c>
      <c r="H457" s="21"/>
      <c r="I457" s="21"/>
      <c r="J457" s="21"/>
      <c r="K457" s="21"/>
      <c r="L457" s="21"/>
      <c r="M457" s="21"/>
      <c r="N457" s="21"/>
      <c r="O457" s="21"/>
      <c r="P457" s="21"/>
      <c r="Q457" s="22">
        <f t="shared" si="7"/>
        <v>8</v>
      </c>
    </row>
    <row r="458" spans="1:17" ht="15.75" customHeight="1">
      <c r="A458" s="23">
        <v>456</v>
      </c>
      <c r="B458" s="24" t="s">
        <v>3540</v>
      </c>
      <c r="C458" s="24" t="s">
        <v>1504</v>
      </c>
      <c r="D458" s="24" t="s">
        <v>3432</v>
      </c>
      <c r="E458" s="25">
        <v>100</v>
      </c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2">
        <f t="shared" si="7"/>
        <v>100</v>
      </c>
    </row>
    <row r="459" spans="1:17" ht="15.75" customHeight="1">
      <c r="A459" s="19">
        <v>457</v>
      </c>
      <c r="B459" s="20" t="s">
        <v>3541</v>
      </c>
      <c r="C459" s="20" t="s">
        <v>2273</v>
      </c>
      <c r="D459" s="20" t="s">
        <v>2870</v>
      </c>
      <c r="E459" s="21"/>
      <c r="F459" s="21"/>
      <c r="G459" s="21">
        <v>5</v>
      </c>
      <c r="H459" s="21"/>
      <c r="I459" s="21"/>
      <c r="J459" s="21"/>
      <c r="K459" s="21"/>
      <c r="L459" s="21"/>
      <c r="M459" s="21"/>
      <c r="N459" s="21"/>
      <c r="O459" s="21"/>
      <c r="P459" s="21"/>
      <c r="Q459" s="22">
        <f t="shared" si="7"/>
        <v>5</v>
      </c>
    </row>
    <row r="460" spans="1:17" ht="15.75" customHeight="1">
      <c r="A460" s="23">
        <v>458</v>
      </c>
      <c r="B460" s="24" t="s">
        <v>3542</v>
      </c>
      <c r="C460" s="24" t="s">
        <v>1489</v>
      </c>
      <c r="D460" s="24" t="s">
        <v>1685</v>
      </c>
      <c r="E460" s="25"/>
      <c r="F460" s="25">
        <v>1</v>
      </c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2">
        <f t="shared" si="7"/>
        <v>1</v>
      </c>
    </row>
    <row r="461" spans="1:17" ht="15.75" customHeight="1">
      <c r="A461" s="19">
        <v>459</v>
      </c>
      <c r="B461" s="20" t="s">
        <v>2303</v>
      </c>
      <c r="C461" s="20" t="s">
        <v>1504</v>
      </c>
      <c r="D461" s="20" t="s">
        <v>2304</v>
      </c>
      <c r="E461" s="21"/>
      <c r="F461" s="21"/>
      <c r="G461" s="21"/>
      <c r="H461" s="21">
        <v>10</v>
      </c>
      <c r="I461" s="21"/>
      <c r="J461" s="21"/>
      <c r="K461" s="21"/>
      <c r="L461" s="21"/>
      <c r="M461" s="21"/>
      <c r="N461" s="21"/>
      <c r="O461" s="21"/>
      <c r="P461" s="21"/>
      <c r="Q461" s="22">
        <f t="shared" si="7"/>
        <v>10</v>
      </c>
    </row>
    <row r="462" spans="1:17" ht="15.75" customHeight="1">
      <c r="A462" s="23">
        <v>460</v>
      </c>
      <c r="B462" s="24" t="s">
        <v>2305</v>
      </c>
      <c r="C462" s="24" t="s">
        <v>1481</v>
      </c>
      <c r="D462" s="24" t="s">
        <v>20</v>
      </c>
      <c r="E462" s="25"/>
      <c r="F462" s="25"/>
      <c r="G462" s="25"/>
      <c r="H462" s="25">
        <v>10</v>
      </c>
      <c r="I462" s="25"/>
      <c r="J462" s="25"/>
      <c r="K462" s="25"/>
      <c r="L462" s="25"/>
      <c r="M462" s="25"/>
      <c r="N462" s="25"/>
      <c r="O462" s="25"/>
      <c r="P462" s="25"/>
      <c r="Q462" s="22">
        <f t="shared" si="7"/>
        <v>10</v>
      </c>
    </row>
    <row r="463" spans="1:17" ht="15.75" customHeight="1">
      <c r="A463" s="19">
        <v>461</v>
      </c>
      <c r="B463" s="20" t="s">
        <v>3543</v>
      </c>
      <c r="C463" s="20" t="s">
        <v>77</v>
      </c>
      <c r="D463" s="20" t="s">
        <v>3544</v>
      </c>
      <c r="E463" s="21"/>
      <c r="F463" s="21">
        <v>100</v>
      </c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2">
        <f t="shared" si="7"/>
        <v>100</v>
      </c>
    </row>
    <row r="464" spans="1:17" ht="15.75" customHeight="1">
      <c r="A464" s="23">
        <v>462</v>
      </c>
      <c r="B464" s="24" t="s">
        <v>3545</v>
      </c>
      <c r="C464" s="24" t="s">
        <v>93</v>
      </c>
      <c r="D464" s="24" t="s">
        <v>3544</v>
      </c>
      <c r="E464" s="25"/>
      <c r="F464" s="25">
        <v>70</v>
      </c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2">
        <f t="shared" si="7"/>
        <v>70</v>
      </c>
    </row>
    <row r="466" spans="3:17" ht="18" customHeight="1">
      <c r="C466" s="28" t="s">
        <v>2307</v>
      </c>
      <c r="E466" s="29">
        <f t="shared" ref="E466:Q466" si="8">SUM(E3:E464)</f>
        <v>43791</v>
      </c>
      <c r="F466" s="29">
        <f t="shared" si="8"/>
        <v>78654</v>
      </c>
      <c r="G466" s="29">
        <f t="shared" si="8"/>
        <v>33621</v>
      </c>
      <c r="H466" s="29">
        <f t="shared" si="8"/>
        <v>19044</v>
      </c>
      <c r="I466" s="29">
        <f t="shared" si="8"/>
        <v>0</v>
      </c>
      <c r="J466" s="29">
        <f t="shared" si="8"/>
        <v>0</v>
      </c>
      <c r="K466" s="29">
        <f t="shared" si="8"/>
        <v>0</v>
      </c>
      <c r="L466" s="29">
        <f t="shared" si="8"/>
        <v>0</v>
      </c>
      <c r="M466" s="29">
        <f t="shared" si="8"/>
        <v>0</v>
      </c>
      <c r="N466" s="29">
        <f t="shared" si="8"/>
        <v>0</v>
      </c>
      <c r="O466" s="29">
        <f t="shared" si="8"/>
        <v>0</v>
      </c>
      <c r="P466" s="29">
        <f t="shared" si="8"/>
        <v>0</v>
      </c>
      <c r="Q466" s="29">
        <f t="shared" si="8"/>
        <v>175110</v>
      </c>
    </row>
  </sheetData>
  <mergeCells count="1">
    <mergeCell ref="A1:R1"/>
  </mergeCells>
  <phoneticPr fontId="3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 filterMode="1"/>
  <dimension ref="A1:J1926"/>
  <sheetViews>
    <sheetView showGridLines="0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463" sqref="A1:J1926"/>
    </sheetView>
  </sheetViews>
  <sheetFormatPr defaultColWidth="8.6640625" defaultRowHeight="14.4"/>
  <cols>
    <col min="1" max="1" width="5" customWidth="1"/>
    <col min="2" max="2" width="16" customWidth="1"/>
    <col min="3" max="3" width="38" customWidth="1"/>
    <col min="4" max="4" width="22" customWidth="1"/>
    <col min="5" max="9" width="12" customWidth="1"/>
  </cols>
  <sheetData>
    <row r="1" spans="1:10" ht="24" customHeight="1">
      <c r="A1" s="13" t="s">
        <v>3546</v>
      </c>
      <c r="B1" s="13"/>
      <c r="C1" s="13"/>
      <c r="D1" s="13"/>
      <c r="E1" s="13"/>
      <c r="F1" s="13"/>
      <c r="G1" s="13"/>
      <c r="H1" s="13"/>
      <c r="I1" s="13"/>
    </row>
    <row r="2" spans="1:10" ht="18" customHeight="1">
      <c r="A2" s="33"/>
      <c r="B2" s="33"/>
      <c r="C2" s="33"/>
      <c r="D2" s="33"/>
      <c r="E2" s="34" t="s">
        <v>3547</v>
      </c>
      <c r="F2" s="35" t="s">
        <v>3548</v>
      </c>
      <c r="G2" s="36" t="s">
        <v>3549</v>
      </c>
      <c r="H2" s="37" t="s">
        <v>3550</v>
      </c>
      <c r="I2" s="28" t="s">
        <v>17</v>
      </c>
    </row>
    <row r="3" spans="1:10" ht="36" customHeight="1">
      <c r="A3" s="38" t="s">
        <v>1</v>
      </c>
      <c r="B3" s="18" t="s">
        <v>2</v>
      </c>
      <c r="C3" s="18" t="s">
        <v>3</v>
      </c>
      <c r="D3" s="18" t="s">
        <v>4</v>
      </c>
      <c r="E3" s="38" t="s">
        <v>3547</v>
      </c>
      <c r="F3" s="38" t="s">
        <v>3548</v>
      </c>
      <c r="G3" s="38" t="s">
        <v>3549</v>
      </c>
      <c r="H3" s="38" t="s">
        <v>3550</v>
      </c>
      <c r="I3" s="18" t="s">
        <v>17</v>
      </c>
      <c r="J3" s="154" t="s">
        <v>3952</v>
      </c>
    </row>
    <row r="4" spans="1:10" ht="15.75" hidden="1" customHeight="1">
      <c r="A4" s="23">
        <v>1</v>
      </c>
      <c r="B4" s="24" t="s">
        <v>18</v>
      </c>
      <c r="C4" s="24" t="s">
        <v>19</v>
      </c>
      <c r="D4" s="24" t="s">
        <v>20</v>
      </c>
      <c r="E4" s="25">
        <v>525</v>
      </c>
      <c r="F4" s="25">
        <v>360</v>
      </c>
      <c r="G4" s="25">
        <v>30</v>
      </c>
      <c r="H4" s="25"/>
      <c r="I4" s="22">
        <f t="shared" ref="I4:I67" si="0">SUM(E4:H4)</f>
        <v>915</v>
      </c>
      <c r="J4" t="e">
        <f>VLOOKUP(B4,'[1]KT 광점퍼코드(수익률)'!$A$4:$P$243,16,0)</f>
        <v>#N/A</v>
      </c>
    </row>
    <row r="5" spans="1:10" ht="15.75" hidden="1" customHeight="1">
      <c r="A5" s="19">
        <v>2</v>
      </c>
      <c r="B5" s="20" t="s">
        <v>21</v>
      </c>
      <c r="C5" s="20" t="s">
        <v>19</v>
      </c>
      <c r="D5" s="20" t="s">
        <v>22</v>
      </c>
      <c r="E5" s="21">
        <v>175</v>
      </c>
      <c r="F5" s="21">
        <v>230</v>
      </c>
      <c r="G5" s="21"/>
      <c r="H5" s="21"/>
      <c r="I5" s="22">
        <f t="shared" si="0"/>
        <v>405</v>
      </c>
      <c r="J5" t="e">
        <f>VLOOKUP(B5,'[1]KT 광점퍼코드(수익률)'!$A$4:$P$243,16,0)</f>
        <v>#N/A</v>
      </c>
    </row>
    <row r="6" spans="1:10" ht="15.75" hidden="1" customHeight="1">
      <c r="A6" s="23">
        <v>3</v>
      </c>
      <c r="B6" s="24" t="s">
        <v>23</v>
      </c>
      <c r="C6" s="24" t="s">
        <v>19</v>
      </c>
      <c r="D6" s="24" t="s">
        <v>24</v>
      </c>
      <c r="E6" s="25">
        <v>1550</v>
      </c>
      <c r="F6" s="25">
        <v>880</v>
      </c>
      <c r="G6" s="25">
        <v>650</v>
      </c>
      <c r="H6" s="25">
        <v>50</v>
      </c>
      <c r="I6" s="22">
        <f t="shared" si="0"/>
        <v>3130</v>
      </c>
      <c r="J6" t="e">
        <f>VLOOKUP(B6,'[1]KT 광점퍼코드(수익률)'!$A$4:$P$243,16,0)</f>
        <v>#N/A</v>
      </c>
    </row>
    <row r="7" spans="1:10" ht="15.75" hidden="1" customHeight="1">
      <c r="A7" s="19">
        <v>4</v>
      </c>
      <c r="B7" s="20" t="s">
        <v>25</v>
      </c>
      <c r="C7" s="20" t="s">
        <v>19</v>
      </c>
      <c r="D7" s="20" t="s">
        <v>26</v>
      </c>
      <c r="E7" s="21">
        <v>587</v>
      </c>
      <c r="F7" s="21">
        <v>480</v>
      </c>
      <c r="G7" s="21">
        <v>275</v>
      </c>
      <c r="H7" s="21">
        <v>10</v>
      </c>
      <c r="I7" s="22">
        <f t="shared" si="0"/>
        <v>1352</v>
      </c>
      <c r="J7" t="e">
        <f>VLOOKUP(B7,'[1]KT 광점퍼코드(수익률)'!$A$4:$P$243,16,0)</f>
        <v>#N/A</v>
      </c>
    </row>
    <row r="8" spans="1:10" ht="15.75" hidden="1" customHeight="1">
      <c r="A8" s="23">
        <v>5</v>
      </c>
      <c r="B8" s="24" t="s">
        <v>27</v>
      </c>
      <c r="C8" s="24" t="s">
        <v>28</v>
      </c>
      <c r="D8" s="24" t="s">
        <v>20</v>
      </c>
      <c r="E8" s="25">
        <v>5</v>
      </c>
      <c r="F8" s="25">
        <v>130</v>
      </c>
      <c r="G8" s="25">
        <v>10</v>
      </c>
      <c r="H8" s="25">
        <v>120</v>
      </c>
      <c r="I8" s="22">
        <f t="shared" si="0"/>
        <v>265</v>
      </c>
      <c r="J8" t="e">
        <f>VLOOKUP(B8,'[1]KT 광점퍼코드(수익률)'!$A$4:$P$243,16,0)</f>
        <v>#N/A</v>
      </c>
    </row>
    <row r="9" spans="1:10" ht="15.75" hidden="1" customHeight="1">
      <c r="A9" s="19">
        <v>6</v>
      </c>
      <c r="B9" s="20" t="s">
        <v>2309</v>
      </c>
      <c r="C9" s="20" t="s">
        <v>28</v>
      </c>
      <c r="D9" s="20" t="s">
        <v>22</v>
      </c>
      <c r="E9" s="21"/>
      <c r="F9" s="21">
        <v>30</v>
      </c>
      <c r="G9" s="21">
        <v>50</v>
      </c>
      <c r="H9" s="21">
        <v>10</v>
      </c>
      <c r="I9" s="22">
        <f t="shared" si="0"/>
        <v>90</v>
      </c>
      <c r="J9" t="e">
        <f>VLOOKUP(B9,'[1]KT 광점퍼코드(수익률)'!$A$4:$P$243,16,0)</f>
        <v>#N/A</v>
      </c>
    </row>
    <row r="10" spans="1:10" ht="15.75" hidden="1" customHeight="1">
      <c r="A10" s="23">
        <v>7</v>
      </c>
      <c r="B10" s="24" t="s">
        <v>29</v>
      </c>
      <c r="C10" s="24" t="s">
        <v>30</v>
      </c>
      <c r="D10" s="24" t="s">
        <v>20</v>
      </c>
      <c r="E10" s="25">
        <v>216</v>
      </c>
      <c r="F10" s="25">
        <v>65</v>
      </c>
      <c r="G10" s="25">
        <v>70</v>
      </c>
      <c r="H10" s="25">
        <v>5</v>
      </c>
      <c r="I10" s="22">
        <f t="shared" si="0"/>
        <v>356</v>
      </c>
      <c r="J10" t="e">
        <f>VLOOKUP(B10,'[1]KT 광점퍼코드(수익률)'!$A$4:$P$243,16,0)</f>
        <v>#N/A</v>
      </c>
    </row>
    <row r="11" spans="1:10" ht="15.75" hidden="1" customHeight="1">
      <c r="A11" s="19">
        <v>8</v>
      </c>
      <c r="B11" s="20" t="s">
        <v>31</v>
      </c>
      <c r="C11" s="20" t="s">
        <v>30</v>
      </c>
      <c r="D11" s="20" t="s">
        <v>32</v>
      </c>
      <c r="E11" s="21">
        <v>133</v>
      </c>
      <c r="F11" s="21"/>
      <c r="G11" s="21">
        <v>64</v>
      </c>
      <c r="H11" s="21"/>
      <c r="I11" s="22">
        <f t="shared" si="0"/>
        <v>197</v>
      </c>
      <c r="J11" t="e">
        <f>VLOOKUP(B11,'[1]KT 광점퍼코드(수익률)'!$A$4:$P$243,16,0)</f>
        <v>#N/A</v>
      </c>
    </row>
    <row r="12" spans="1:10" ht="15.75" hidden="1" customHeight="1">
      <c r="A12" s="23">
        <v>9</v>
      </c>
      <c r="B12" s="24" t="s">
        <v>33</v>
      </c>
      <c r="C12" s="24" t="s">
        <v>30</v>
      </c>
      <c r="D12" s="24" t="s">
        <v>22</v>
      </c>
      <c r="E12" s="25">
        <v>7</v>
      </c>
      <c r="F12" s="25"/>
      <c r="G12" s="25">
        <v>30</v>
      </c>
      <c r="H12" s="25"/>
      <c r="I12" s="22">
        <f t="shared" si="0"/>
        <v>37</v>
      </c>
      <c r="J12" t="e">
        <f>VLOOKUP(B12,'[1]KT 광점퍼코드(수익률)'!$A$4:$P$243,16,0)</f>
        <v>#N/A</v>
      </c>
    </row>
    <row r="13" spans="1:10" ht="15.75" hidden="1" customHeight="1">
      <c r="A13" s="19">
        <v>10</v>
      </c>
      <c r="B13" s="20" t="s">
        <v>2310</v>
      </c>
      <c r="C13" s="20" t="s">
        <v>30</v>
      </c>
      <c r="D13" s="20" t="s">
        <v>121</v>
      </c>
      <c r="E13" s="21"/>
      <c r="F13" s="21">
        <v>5</v>
      </c>
      <c r="G13" s="21"/>
      <c r="H13" s="21"/>
      <c r="I13" s="22">
        <f t="shared" si="0"/>
        <v>5</v>
      </c>
      <c r="J13" t="e">
        <f>VLOOKUP(B13,'[1]KT 광점퍼코드(수익률)'!$A$4:$P$243,16,0)</f>
        <v>#N/A</v>
      </c>
    </row>
    <row r="14" spans="1:10" ht="15.75" hidden="1" customHeight="1">
      <c r="A14" s="23">
        <v>11</v>
      </c>
      <c r="B14" s="24" t="s">
        <v>34</v>
      </c>
      <c r="C14" s="24" t="s">
        <v>30</v>
      </c>
      <c r="D14" s="24" t="s">
        <v>35</v>
      </c>
      <c r="E14" s="25">
        <v>10</v>
      </c>
      <c r="F14" s="25"/>
      <c r="G14" s="25"/>
      <c r="H14" s="25"/>
      <c r="I14" s="22">
        <f t="shared" si="0"/>
        <v>10</v>
      </c>
      <c r="J14" t="e">
        <f>VLOOKUP(B14,'[1]KT 광점퍼코드(수익률)'!$A$4:$P$243,16,0)</f>
        <v>#N/A</v>
      </c>
    </row>
    <row r="15" spans="1:10" ht="15.75" hidden="1" customHeight="1">
      <c r="A15" s="19">
        <v>12</v>
      </c>
      <c r="B15" s="20" t="s">
        <v>2971</v>
      </c>
      <c r="C15" s="20" t="s">
        <v>30</v>
      </c>
      <c r="D15" s="20" t="s">
        <v>50</v>
      </c>
      <c r="E15" s="21"/>
      <c r="F15" s="21"/>
      <c r="G15" s="21">
        <v>10</v>
      </c>
      <c r="H15" s="21">
        <v>1</v>
      </c>
      <c r="I15" s="22">
        <f t="shared" si="0"/>
        <v>11</v>
      </c>
      <c r="J15" t="e">
        <f>VLOOKUP(B15,'[1]KT 광점퍼코드(수익률)'!$A$4:$P$243,16,0)</f>
        <v>#N/A</v>
      </c>
    </row>
    <row r="16" spans="1:10" ht="15.75" hidden="1" customHeight="1">
      <c r="A16" s="23">
        <v>13</v>
      </c>
      <c r="B16" s="24" t="s">
        <v>36</v>
      </c>
      <c r="C16" s="24" t="s">
        <v>30</v>
      </c>
      <c r="D16" s="24" t="s">
        <v>26</v>
      </c>
      <c r="E16" s="25">
        <v>290</v>
      </c>
      <c r="F16" s="25">
        <v>391</v>
      </c>
      <c r="G16" s="25">
        <v>150</v>
      </c>
      <c r="H16" s="25">
        <v>50</v>
      </c>
      <c r="I16" s="22">
        <f t="shared" si="0"/>
        <v>881</v>
      </c>
      <c r="J16" t="e">
        <f>VLOOKUP(B16,'[1]KT 광점퍼코드(수익률)'!$A$4:$P$243,16,0)</f>
        <v>#N/A</v>
      </c>
    </row>
    <row r="17" spans="1:10" ht="15.75" hidden="1" customHeight="1">
      <c r="A17" s="19">
        <v>14</v>
      </c>
      <c r="B17" s="20" t="s">
        <v>2311</v>
      </c>
      <c r="C17" s="20" t="s">
        <v>30</v>
      </c>
      <c r="D17" s="20" t="s">
        <v>55</v>
      </c>
      <c r="E17" s="21"/>
      <c r="F17" s="21">
        <v>7</v>
      </c>
      <c r="G17" s="21"/>
      <c r="H17" s="21"/>
      <c r="I17" s="22">
        <f t="shared" si="0"/>
        <v>7</v>
      </c>
      <c r="J17" t="e">
        <f>VLOOKUP(B17,'[1]KT 광점퍼코드(수익률)'!$A$4:$P$243,16,0)</f>
        <v>#N/A</v>
      </c>
    </row>
    <row r="18" spans="1:10" ht="15.75" hidden="1" customHeight="1">
      <c r="A18" s="23">
        <v>15</v>
      </c>
      <c r="B18" s="24" t="s">
        <v>37</v>
      </c>
      <c r="C18" s="24" t="s">
        <v>38</v>
      </c>
      <c r="D18" s="24" t="s">
        <v>39</v>
      </c>
      <c r="E18" s="25">
        <v>19</v>
      </c>
      <c r="F18" s="25">
        <v>10</v>
      </c>
      <c r="G18" s="25"/>
      <c r="H18" s="25"/>
      <c r="I18" s="22">
        <f t="shared" si="0"/>
        <v>29</v>
      </c>
      <c r="J18" t="e">
        <f>VLOOKUP(B18,'[1]KT 광점퍼코드(수익률)'!$A$4:$P$243,16,0)</f>
        <v>#N/A</v>
      </c>
    </row>
    <row r="19" spans="1:10" ht="15.75" hidden="1" customHeight="1">
      <c r="A19" s="19">
        <v>16</v>
      </c>
      <c r="B19" s="20" t="s">
        <v>40</v>
      </c>
      <c r="C19" s="20" t="s">
        <v>38</v>
      </c>
      <c r="D19" s="20" t="s">
        <v>32</v>
      </c>
      <c r="E19" s="21">
        <v>103</v>
      </c>
      <c r="F19" s="21"/>
      <c r="G19" s="21"/>
      <c r="H19" s="21"/>
      <c r="I19" s="22">
        <f t="shared" si="0"/>
        <v>103</v>
      </c>
      <c r="J19" t="e">
        <f>VLOOKUP(B19,'[1]KT 광점퍼코드(수익률)'!$A$4:$P$243,16,0)</f>
        <v>#N/A</v>
      </c>
    </row>
    <row r="20" spans="1:10" ht="15.75" hidden="1" customHeight="1">
      <c r="A20" s="23">
        <v>17</v>
      </c>
      <c r="B20" s="24" t="s">
        <v>41</v>
      </c>
      <c r="C20" s="24" t="s">
        <v>38</v>
      </c>
      <c r="D20" s="24" t="s">
        <v>42</v>
      </c>
      <c r="E20" s="25">
        <v>120</v>
      </c>
      <c r="F20" s="25">
        <v>510</v>
      </c>
      <c r="G20" s="25">
        <v>110</v>
      </c>
      <c r="H20" s="25"/>
      <c r="I20" s="22">
        <f t="shared" si="0"/>
        <v>740</v>
      </c>
      <c r="J20" t="e">
        <f>VLOOKUP(B20,'[1]KT 광점퍼코드(수익률)'!$A$4:$P$243,16,0)</f>
        <v>#N/A</v>
      </c>
    </row>
    <row r="21" spans="1:10" ht="15.75" hidden="1" customHeight="1">
      <c r="A21" s="19">
        <v>18</v>
      </c>
      <c r="B21" s="20" t="s">
        <v>43</v>
      </c>
      <c r="C21" s="20" t="s">
        <v>38</v>
      </c>
      <c r="D21" s="20" t="s">
        <v>22</v>
      </c>
      <c r="E21" s="21">
        <v>200</v>
      </c>
      <c r="F21" s="21"/>
      <c r="G21" s="21"/>
      <c r="H21" s="21"/>
      <c r="I21" s="22">
        <f t="shared" si="0"/>
        <v>200</v>
      </c>
      <c r="J21" t="e">
        <f>VLOOKUP(B21,'[1]KT 광점퍼코드(수익률)'!$A$4:$P$243,16,0)</f>
        <v>#N/A</v>
      </c>
    </row>
    <row r="22" spans="1:10" ht="15.75" hidden="1" customHeight="1">
      <c r="A22" s="23">
        <v>19</v>
      </c>
      <c r="B22" s="24" t="s">
        <v>44</v>
      </c>
      <c r="C22" s="24" t="s">
        <v>38</v>
      </c>
      <c r="D22" s="24" t="s">
        <v>45</v>
      </c>
      <c r="E22" s="25">
        <v>5</v>
      </c>
      <c r="F22" s="25"/>
      <c r="G22" s="25">
        <v>80</v>
      </c>
      <c r="H22" s="25"/>
      <c r="I22" s="22">
        <f t="shared" si="0"/>
        <v>85</v>
      </c>
      <c r="J22" t="e">
        <f>VLOOKUP(B22,'[1]KT 광점퍼코드(수익률)'!$A$4:$P$243,16,0)</f>
        <v>#N/A</v>
      </c>
    </row>
    <row r="23" spans="1:10" ht="15.75" hidden="1" customHeight="1">
      <c r="A23" s="19">
        <v>20</v>
      </c>
      <c r="B23" s="20" t="s">
        <v>46</v>
      </c>
      <c r="C23" s="20" t="s">
        <v>38</v>
      </c>
      <c r="D23" s="20" t="s">
        <v>47</v>
      </c>
      <c r="E23" s="21">
        <v>90</v>
      </c>
      <c r="F23" s="21">
        <v>2</v>
      </c>
      <c r="G23" s="21"/>
      <c r="H23" s="21"/>
      <c r="I23" s="22">
        <f t="shared" si="0"/>
        <v>92</v>
      </c>
      <c r="J23" t="e">
        <f>VLOOKUP(B23,'[1]KT 광점퍼코드(수익률)'!$A$4:$P$243,16,0)</f>
        <v>#N/A</v>
      </c>
    </row>
    <row r="24" spans="1:10" ht="15.75" hidden="1" customHeight="1">
      <c r="A24" s="23">
        <v>21</v>
      </c>
      <c r="B24" s="24" t="s">
        <v>48</v>
      </c>
      <c r="C24" s="24" t="s">
        <v>38</v>
      </c>
      <c r="D24" s="24" t="s">
        <v>24</v>
      </c>
      <c r="E24" s="25">
        <v>30</v>
      </c>
      <c r="F24" s="25">
        <v>30</v>
      </c>
      <c r="G24" s="25">
        <v>10</v>
      </c>
      <c r="H24" s="25">
        <v>20</v>
      </c>
      <c r="I24" s="22">
        <f t="shared" si="0"/>
        <v>90</v>
      </c>
      <c r="J24" t="e">
        <f>VLOOKUP(B24,'[1]KT 광점퍼코드(수익률)'!$A$4:$P$243,16,0)</f>
        <v>#N/A</v>
      </c>
    </row>
    <row r="25" spans="1:10" ht="15.75" hidden="1" customHeight="1">
      <c r="A25" s="19">
        <v>22</v>
      </c>
      <c r="B25" s="20" t="s">
        <v>49</v>
      </c>
      <c r="C25" s="20" t="s">
        <v>38</v>
      </c>
      <c r="D25" s="20" t="s">
        <v>50</v>
      </c>
      <c r="E25" s="21">
        <v>115</v>
      </c>
      <c r="F25" s="21">
        <v>21</v>
      </c>
      <c r="G25" s="21"/>
      <c r="H25" s="21"/>
      <c r="I25" s="22">
        <f t="shared" si="0"/>
        <v>136</v>
      </c>
      <c r="J25" t="e">
        <f>VLOOKUP(B25,'[1]KT 광점퍼코드(수익률)'!$A$4:$P$243,16,0)</f>
        <v>#N/A</v>
      </c>
    </row>
    <row r="26" spans="1:10" ht="15.75" hidden="1" customHeight="1">
      <c r="A26" s="23">
        <v>23</v>
      </c>
      <c r="B26" s="24" t="s">
        <v>51</v>
      </c>
      <c r="C26" s="24" t="s">
        <v>38</v>
      </c>
      <c r="D26" s="24" t="s">
        <v>26</v>
      </c>
      <c r="E26" s="25">
        <v>204</v>
      </c>
      <c r="F26" s="25"/>
      <c r="G26" s="25">
        <v>5</v>
      </c>
      <c r="H26" s="25"/>
      <c r="I26" s="22">
        <f t="shared" si="0"/>
        <v>209</v>
      </c>
      <c r="J26" t="e">
        <f>VLOOKUP(B26,'[1]KT 광점퍼코드(수익률)'!$A$4:$P$243,16,0)</f>
        <v>#N/A</v>
      </c>
    </row>
    <row r="27" spans="1:10" ht="15.75" hidden="1" customHeight="1">
      <c r="A27" s="19">
        <v>24</v>
      </c>
      <c r="B27" s="20" t="s">
        <v>52</v>
      </c>
      <c r="C27" s="20" t="s">
        <v>38</v>
      </c>
      <c r="D27" s="20" t="s">
        <v>53</v>
      </c>
      <c r="E27" s="21">
        <v>60</v>
      </c>
      <c r="F27" s="21">
        <v>20</v>
      </c>
      <c r="G27" s="21"/>
      <c r="H27" s="21"/>
      <c r="I27" s="22">
        <f t="shared" si="0"/>
        <v>80</v>
      </c>
      <c r="J27" t="e">
        <f>VLOOKUP(B27,'[1]KT 광점퍼코드(수익률)'!$A$4:$P$243,16,0)</f>
        <v>#N/A</v>
      </c>
    </row>
    <row r="28" spans="1:10" ht="15.75" hidden="1" customHeight="1">
      <c r="A28" s="23">
        <v>25</v>
      </c>
      <c r="B28" s="24" t="s">
        <v>54</v>
      </c>
      <c r="C28" s="24" t="s">
        <v>38</v>
      </c>
      <c r="D28" s="24" t="s">
        <v>55</v>
      </c>
      <c r="E28" s="25">
        <v>60</v>
      </c>
      <c r="F28" s="25">
        <v>30</v>
      </c>
      <c r="G28" s="25"/>
      <c r="H28" s="25"/>
      <c r="I28" s="22">
        <f t="shared" si="0"/>
        <v>90</v>
      </c>
      <c r="J28" t="e">
        <f>VLOOKUP(B28,'[1]KT 광점퍼코드(수익률)'!$A$4:$P$243,16,0)</f>
        <v>#N/A</v>
      </c>
    </row>
    <row r="29" spans="1:10" ht="15.75" hidden="1" customHeight="1">
      <c r="A29" s="19">
        <v>26</v>
      </c>
      <c r="B29" s="20" t="s">
        <v>56</v>
      </c>
      <c r="C29" s="20" t="s">
        <v>38</v>
      </c>
      <c r="D29" s="20" t="s">
        <v>57</v>
      </c>
      <c r="E29" s="21">
        <v>500</v>
      </c>
      <c r="F29" s="21">
        <v>500</v>
      </c>
      <c r="G29" s="21">
        <v>240</v>
      </c>
      <c r="H29" s="21"/>
      <c r="I29" s="22">
        <f t="shared" si="0"/>
        <v>1240</v>
      </c>
      <c r="J29" t="e">
        <f>VLOOKUP(B29,'[1]KT 광점퍼코드(수익률)'!$A$4:$P$243,16,0)</f>
        <v>#N/A</v>
      </c>
    </row>
    <row r="30" spans="1:10" ht="15.75" hidden="1" customHeight="1">
      <c r="A30" s="23">
        <v>27</v>
      </c>
      <c r="B30" s="24" t="s">
        <v>58</v>
      </c>
      <c r="C30" s="24" t="s">
        <v>38</v>
      </c>
      <c r="D30" s="24" t="s">
        <v>59</v>
      </c>
      <c r="E30" s="25">
        <v>90</v>
      </c>
      <c r="F30" s="25">
        <v>20</v>
      </c>
      <c r="G30" s="25"/>
      <c r="H30" s="25"/>
      <c r="I30" s="22">
        <f t="shared" si="0"/>
        <v>110</v>
      </c>
      <c r="J30" t="e">
        <f>VLOOKUP(B30,'[1]KT 광점퍼코드(수익률)'!$A$4:$P$243,16,0)</f>
        <v>#N/A</v>
      </c>
    </row>
    <row r="31" spans="1:10" ht="15.75" hidden="1" customHeight="1">
      <c r="A31" s="19">
        <v>28</v>
      </c>
      <c r="B31" s="20" t="s">
        <v>60</v>
      </c>
      <c r="C31" s="20" t="s">
        <v>38</v>
      </c>
      <c r="D31" s="20" t="s">
        <v>61</v>
      </c>
      <c r="E31" s="21">
        <v>19</v>
      </c>
      <c r="F31" s="21">
        <v>20</v>
      </c>
      <c r="G31" s="21"/>
      <c r="H31" s="21"/>
      <c r="I31" s="22">
        <f t="shared" si="0"/>
        <v>39</v>
      </c>
      <c r="J31" t="e">
        <f>VLOOKUP(B31,'[1]KT 광점퍼코드(수익률)'!$A$4:$P$243,16,0)</f>
        <v>#N/A</v>
      </c>
    </row>
    <row r="32" spans="1:10" ht="15.75" hidden="1" customHeight="1">
      <c r="A32" s="23">
        <v>29</v>
      </c>
      <c r="B32" s="24" t="s">
        <v>2972</v>
      </c>
      <c r="C32" s="24" t="s">
        <v>63</v>
      </c>
      <c r="D32" s="24" t="s">
        <v>121</v>
      </c>
      <c r="E32" s="25"/>
      <c r="F32" s="25"/>
      <c r="G32" s="25">
        <v>30</v>
      </c>
      <c r="H32" s="25"/>
      <c r="I32" s="22">
        <f t="shared" si="0"/>
        <v>30</v>
      </c>
      <c r="J32" t="e">
        <f>VLOOKUP(B32,'[1]KT 광점퍼코드(수익률)'!$A$4:$P$243,16,0)</f>
        <v>#N/A</v>
      </c>
    </row>
    <row r="33" spans="1:10" ht="15.75" hidden="1" customHeight="1">
      <c r="A33" s="19">
        <v>30</v>
      </c>
      <c r="B33" s="20" t="s">
        <v>2973</v>
      </c>
      <c r="C33" s="20" t="s">
        <v>63</v>
      </c>
      <c r="D33" s="20" t="s">
        <v>47</v>
      </c>
      <c r="E33" s="21"/>
      <c r="F33" s="21"/>
      <c r="G33" s="21">
        <v>20</v>
      </c>
      <c r="H33" s="21"/>
      <c r="I33" s="22">
        <f t="shared" si="0"/>
        <v>20</v>
      </c>
      <c r="J33" t="e">
        <f>VLOOKUP(B33,'[1]KT 광점퍼코드(수익률)'!$A$4:$P$243,16,0)</f>
        <v>#N/A</v>
      </c>
    </row>
    <row r="34" spans="1:10" ht="15.75" hidden="1" customHeight="1">
      <c r="A34" s="23">
        <v>31</v>
      </c>
      <c r="B34" s="24" t="s">
        <v>2312</v>
      </c>
      <c r="C34" s="24" t="s">
        <v>63</v>
      </c>
      <c r="D34" s="24" t="s">
        <v>87</v>
      </c>
      <c r="E34" s="25"/>
      <c r="F34" s="25">
        <v>4</v>
      </c>
      <c r="G34" s="25"/>
      <c r="H34" s="25"/>
      <c r="I34" s="22">
        <f t="shared" si="0"/>
        <v>4</v>
      </c>
      <c r="J34" t="e">
        <f>VLOOKUP(B34,'[1]KT 광점퍼코드(수익률)'!$A$4:$P$243,16,0)</f>
        <v>#N/A</v>
      </c>
    </row>
    <row r="35" spans="1:10" ht="15.75" hidden="1" customHeight="1">
      <c r="A35" s="19">
        <v>32</v>
      </c>
      <c r="B35" s="20" t="s">
        <v>62</v>
      </c>
      <c r="C35" s="20" t="s">
        <v>63</v>
      </c>
      <c r="D35" s="20" t="s">
        <v>50</v>
      </c>
      <c r="E35" s="21">
        <v>25</v>
      </c>
      <c r="F35" s="21"/>
      <c r="G35" s="21"/>
      <c r="H35" s="21"/>
      <c r="I35" s="22">
        <f t="shared" si="0"/>
        <v>25</v>
      </c>
      <c r="J35" t="e">
        <f>VLOOKUP(B35,'[1]KT 광점퍼코드(수익률)'!$A$4:$P$243,16,0)</f>
        <v>#N/A</v>
      </c>
    </row>
    <row r="36" spans="1:10" ht="15.75" hidden="1" customHeight="1">
      <c r="A36" s="23">
        <v>33</v>
      </c>
      <c r="B36" s="24" t="s">
        <v>64</v>
      </c>
      <c r="C36" s="24" t="s">
        <v>63</v>
      </c>
      <c r="D36" s="24" t="s">
        <v>53</v>
      </c>
      <c r="E36" s="25">
        <v>10</v>
      </c>
      <c r="F36" s="25"/>
      <c r="G36" s="25"/>
      <c r="H36" s="25"/>
      <c r="I36" s="22">
        <f t="shared" si="0"/>
        <v>10</v>
      </c>
      <c r="J36" t="e">
        <f>VLOOKUP(B36,'[1]KT 광점퍼코드(수익률)'!$A$4:$P$243,16,0)</f>
        <v>#N/A</v>
      </c>
    </row>
    <row r="37" spans="1:10" ht="15.75" hidden="1" customHeight="1">
      <c r="A37" s="19">
        <v>34</v>
      </c>
      <c r="B37" s="20" t="s">
        <v>65</v>
      </c>
      <c r="C37" s="20" t="s">
        <v>63</v>
      </c>
      <c r="D37" s="20" t="s">
        <v>55</v>
      </c>
      <c r="E37" s="21">
        <v>20</v>
      </c>
      <c r="F37" s="21"/>
      <c r="G37" s="21"/>
      <c r="H37" s="21"/>
      <c r="I37" s="22">
        <f t="shared" si="0"/>
        <v>20</v>
      </c>
      <c r="J37" t="e">
        <f>VLOOKUP(B37,'[1]KT 광점퍼코드(수익률)'!$A$4:$P$243,16,0)</f>
        <v>#N/A</v>
      </c>
    </row>
    <row r="38" spans="1:10" ht="15.75" hidden="1" customHeight="1">
      <c r="A38" s="23">
        <v>35</v>
      </c>
      <c r="B38" s="24" t="s">
        <v>66</v>
      </c>
      <c r="C38" s="24" t="s">
        <v>30</v>
      </c>
      <c r="D38" s="24" t="s">
        <v>24</v>
      </c>
      <c r="E38" s="25">
        <v>200</v>
      </c>
      <c r="F38" s="25">
        <v>240</v>
      </c>
      <c r="G38" s="25"/>
      <c r="H38" s="25"/>
      <c r="I38" s="22">
        <f t="shared" si="0"/>
        <v>440</v>
      </c>
      <c r="J38" t="e">
        <f>VLOOKUP(B38,'[1]KT 광점퍼코드(수익률)'!$A$4:$P$243,16,0)</f>
        <v>#N/A</v>
      </c>
    </row>
    <row r="39" spans="1:10" ht="15.75" hidden="1" customHeight="1">
      <c r="A39" s="19">
        <v>36</v>
      </c>
      <c r="B39" s="20" t="s">
        <v>2313</v>
      </c>
      <c r="C39" s="20" t="s">
        <v>30</v>
      </c>
      <c r="D39" s="20" t="s">
        <v>24</v>
      </c>
      <c r="E39" s="21"/>
      <c r="F39" s="21">
        <v>200</v>
      </c>
      <c r="G39" s="21"/>
      <c r="H39" s="21"/>
      <c r="I39" s="22">
        <f t="shared" si="0"/>
        <v>200</v>
      </c>
      <c r="J39" t="e">
        <f>VLOOKUP(B39,'[1]KT 광점퍼코드(수익률)'!$A$4:$P$243,16,0)</f>
        <v>#N/A</v>
      </c>
    </row>
    <row r="40" spans="1:10" ht="15.75" hidden="1" customHeight="1">
      <c r="A40" s="23">
        <v>37</v>
      </c>
      <c r="B40" s="24" t="s">
        <v>67</v>
      </c>
      <c r="C40" s="24" t="s">
        <v>30</v>
      </c>
      <c r="D40" s="24" t="s">
        <v>57</v>
      </c>
      <c r="E40" s="25">
        <v>200</v>
      </c>
      <c r="F40" s="25">
        <v>80</v>
      </c>
      <c r="G40" s="25">
        <v>120</v>
      </c>
      <c r="H40" s="25">
        <v>20</v>
      </c>
      <c r="I40" s="22">
        <f t="shared" si="0"/>
        <v>420</v>
      </c>
      <c r="J40" t="e">
        <f>VLOOKUP(B40,'[1]KT 광점퍼코드(수익률)'!$A$4:$P$243,16,0)</f>
        <v>#N/A</v>
      </c>
    </row>
    <row r="41" spans="1:10" ht="15.75" hidden="1" customHeight="1">
      <c r="A41" s="19">
        <v>38</v>
      </c>
      <c r="B41" s="20" t="s">
        <v>2314</v>
      </c>
      <c r="C41" s="20" t="s">
        <v>30</v>
      </c>
      <c r="D41" s="20" t="s">
        <v>170</v>
      </c>
      <c r="E41" s="21"/>
      <c r="F41" s="21">
        <v>13</v>
      </c>
      <c r="G41" s="21"/>
      <c r="H41" s="21"/>
      <c r="I41" s="22">
        <f t="shared" si="0"/>
        <v>13</v>
      </c>
      <c r="J41" t="e">
        <f>VLOOKUP(B41,'[1]KT 광점퍼코드(수익률)'!$A$4:$P$243,16,0)</f>
        <v>#N/A</v>
      </c>
    </row>
    <row r="42" spans="1:10" ht="15.75" hidden="1" customHeight="1">
      <c r="A42" s="23">
        <v>39</v>
      </c>
      <c r="B42" s="24" t="s">
        <v>3435</v>
      </c>
      <c r="C42" s="24" t="s">
        <v>63</v>
      </c>
      <c r="D42" s="24" t="s">
        <v>26</v>
      </c>
      <c r="E42" s="25"/>
      <c r="F42" s="25"/>
      <c r="G42" s="25"/>
      <c r="H42" s="25">
        <v>10</v>
      </c>
      <c r="I42" s="22">
        <f t="shared" si="0"/>
        <v>10</v>
      </c>
      <c r="J42" t="e">
        <f>VLOOKUP(B42,'[1]KT 광점퍼코드(수익률)'!$A$4:$P$243,16,0)</f>
        <v>#N/A</v>
      </c>
    </row>
    <row r="43" spans="1:10" ht="15.75" hidden="1" customHeight="1">
      <c r="A43" s="19">
        <v>40</v>
      </c>
      <c r="B43" s="20" t="s">
        <v>2974</v>
      </c>
      <c r="C43" s="20" t="s">
        <v>63</v>
      </c>
      <c r="D43" s="20" t="s">
        <v>20</v>
      </c>
      <c r="E43" s="21"/>
      <c r="F43" s="21"/>
      <c r="G43" s="21">
        <v>20</v>
      </c>
      <c r="H43" s="21"/>
      <c r="I43" s="22">
        <f t="shared" si="0"/>
        <v>20</v>
      </c>
      <c r="J43" t="e">
        <f>VLOOKUP(B43,'[1]KT 광점퍼코드(수익률)'!$A$4:$P$243,16,0)</f>
        <v>#N/A</v>
      </c>
    </row>
    <row r="44" spans="1:10" ht="15.75" hidden="1" customHeight="1">
      <c r="A44" s="23">
        <v>41</v>
      </c>
      <c r="B44" s="24" t="s">
        <v>2975</v>
      </c>
      <c r="C44" s="24" t="s">
        <v>63</v>
      </c>
      <c r="D44" s="24" t="s">
        <v>32</v>
      </c>
      <c r="E44" s="25"/>
      <c r="F44" s="25"/>
      <c r="G44" s="25">
        <v>20</v>
      </c>
      <c r="H44" s="25"/>
      <c r="I44" s="22">
        <f t="shared" si="0"/>
        <v>20</v>
      </c>
      <c r="J44" t="e">
        <f>VLOOKUP(B44,'[1]KT 광점퍼코드(수익률)'!$A$4:$P$243,16,0)</f>
        <v>#N/A</v>
      </c>
    </row>
    <row r="45" spans="1:10" ht="15.75" hidden="1" customHeight="1">
      <c r="A45" s="19">
        <v>42</v>
      </c>
      <c r="B45" s="20" t="s">
        <v>68</v>
      </c>
      <c r="C45" s="20" t="s">
        <v>69</v>
      </c>
      <c r="D45" s="20" t="s">
        <v>20</v>
      </c>
      <c r="E45" s="21">
        <v>11</v>
      </c>
      <c r="F45" s="21"/>
      <c r="G45" s="21"/>
      <c r="H45" s="21"/>
      <c r="I45" s="22">
        <f t="shared" si="0"/>
        <v>11</v>
      </c>
      <c r="J45" t="e">
        <f>VLOOKUP(B45,'[1]KT 광점퍼코드(수익률)'!$A$4:$P$243,16,0)</f>
        <v>#N/A</v>
      </c>
    </row>
    <row r="46" spans="1:10" ht="15.75" hidden="1" customHeight="1">
      <c r="A46" s="23">
        <v>43</v>
      </c>
      <c r="B46" s="24" t="s">
        <v>2315</v>
      </c>
      <c r="C46" s="24" t="s">
        <v>75</v>
      </c>
      <c r="D46" s="24" t="s">
        <v>24</v>
      </c>
      <c r="E46" s="25"/>
      <c r="F46" s="25">
        <v>30</v>
      </c>
      <c r="G46" s="25"/>
      <c r="H46" s="25"/>
      <c r="I46" s="22">
        <f t="shared" si="0"/>
        <v>30</v>
      </c>
      <c r="J46" t="e">
        <f>VLOOKUP(B46,'[1]KT 광점퍼코드(수익률)'!$A$4:$P$243,16,0)</f>
        <v>#N/A</v>
      </c>
    </row>
    <row r="47" spans="1:10" ht="15.75" hidden="1" customHeight="1">
      <c r="A47" s="19">
        <v>44</v>
      </c>
      <c r="B47" s="20" t="s">
        <v>2976</v>
      </c>
      <c r="C47" s="20" t="s">
        <v>75</v>
      </c>
      <c r="D47" s="20" t="s">
        <v>42</v>
      </c>
      <c r="E47" s="21"/>
      <c r="F47" s="21"/>
      <c r="G47" s="21">
        <v>10</v>
      </c>
      <c r="H47" s="21"/>
      <c r="I47" s="22">
        <f t="shared" si="0"/>
        <v>10</v>
      </c>
      <c r="J47" t="e">
        <f>VLOOKUP(B47,'[1]KT 광점퍼코드(수익률)'!$A$4:$P$243,16,0)</f>
        <v>#N/A</v>
      </c>
    </row>
    <row r="48" spans="1:10" ht="15.75" hidden="1" customHeight="1">
      <c r="A48" s="23">
        <v>45</v>
      </c>
      <c r="B48" s="24" t="s">
        <v>2977</v>
      </c>
      <c r="C48" s="24" t="s">
        <v>75</v>
      </c>
      <c r="D48" s="24" t="s">
        <v>45</v>
      </c>
      <c r="E48" s="25"/>
      <c r="F48" s="25"/>
      <c r="G48" s="25">
        <v>10</v>
      </c>
      <c r="H48" s="25"/>
      <c r="I48" s="22">
        <f t="shared" si="0"/>
        <v>10</v>
      </c>
      <c r="J48" t="e">
        <f>VLOOKUP(B48,'[1]KT 광점퍼코드(수익률)'!$A$4:$P$243,16,0)</f>
        <v>#N/A</v>
      </c>
    </row>
    <row r="49" spans="1:10" ht="15.75" hidden="1" customHeight="1">
      <c r="A49" s="19">
        <v>46</v>
      </c>
      <c r="B49" s="20" t="s">
        <v>2316</v>
      </c>
      <c r="C49" s="20" t="s">
        <v>75</v>
      </c>
      <c r="D49" s="20" t="s">
        <v>240</v>
      </c>
      <c r="E49" s="21"/>
      <c r="F49" s="21">
        <v>60</v>
      </c>
      <c r="G49" s="21"/>
      <c r="H49" s="21"/>
      <c r="I49" s="22">
        <f t="shared" si="0"/>
        <v>60</v>
      </c>
      <c r="J49" t="e">
        <f>VLOOKUP(B49,'[1]KT 광점퍼코드(수익률)'!$A$4:$P$243,16,0)</f>
        <v>#N/A</v>
      </c>
    </row>
    <row r="50" spans="1:10" ht="15.75" hidden="1" customHeight="1">
      <c r="A50" s="23">
        <v>47</v>
      </c>
      <c r="B50" s="24" t="s">
        <v>2317</v>
      </c>
      <c r="C50" s="24" t="s">
        <v>19</v>
      </c>
      <c r="D50" s="24" t="s">
        <v>42</v>
      </c>
      <c r="E50" s="25"/>
      <c r="F50" s="25">
        <v>450</v>
      </c>
      <c r="G50" s="25"/>
      <c r="H50" s="25"/>
      <c r="I50" s="22">
        <f t="shared" si="0"/>
        <v>450</v>
      </c>
      <c r="J50" t="e">
        <f>VLOOKUP(B50,'[1]KT 광점퍼코드(수익률)'!$A$4:$P$243,16,0)</f>
        <v>#N/A</v>
      </c>
    </row>
    <row r="51" spans="1:10" ht="15.75" hidden="1" customHeight="1">
      <c r="A51" s="19">
        <v>48</v>
      </c>
      <c r="B51" s="20" t="s">
        <v>2318</v>
      </c>
      <c r="C51" s="20" t="s">
        <v>30</v>
      </c>
      <c r="D51" s="20" t="s">
        <v>259</v>
      </c>
      <c r="E51" s="21"/>
      <c r="F51" s="21">
        <v>2</v>
      </c>
      <c r="G51" s="21"/>
      <c r="H51" s="21"/>
      <c r="I51" s="22">
        <f t="shared" si="0"/>
        <v>2</v>
      </c>
      <c r="J51" t="e">
        <f>VLOOKUP(B51,'[1]KT 광점퍼코드(수익률)'!$A$4:$P$243,16,0)</f>
        <v>#N/A</v>
      </c>
    </row>
    <row r="52" spans="1:10" ht="15.75" hidden="1" customHeight="1">
      <c r="A52" s="23">
        <v>49</v>
      </c>
      <c r="B52" s="24" t="s">
        <v>70</v>
      </c>
      <c r="C52" s="24" t="s">
        <v>28</v>
      </c>
      <c r="D52" s="24" t="s">
        <v>32</v>
      </c>
      <c r="E52" s="25">
        <v>96</v>
      </c>
      <c r="F52" s="25">
        <v>10</v>
      </c>
      <c r="G52" s="25">
        <v>5</v>
      </c>
      <c r="H52" s="25">
        <v>120</v>
      </c>
      <c r="I52" s="22">
        <f t="shared" si="0"/>
        <v>231</v>
      </c>
      <c r="J52" t="e">
        <f>VLOOKUP(B52,'[1]KT 광점퍼코드(수익률)'!$A$4:$P$243,16,0)</f>
        <v>#N/A</v>
      </c>
    </row>
    <row r="53" spans="1:10" ht="15.75" hidden="1" customHeight="1">
      <c r="A53" s="19">
        <v>50</v>
      </c>
      <c r="B53" s="20" t="s">
        <v>71</v>
      </c>
      <c r="C53" s="20" t="s">
        <v>19</v>
      </c>
      <c r="D53" s="20" t="s">
        <v>32</v>
      </c>
      <c r="E53" s="21">
        <v>273</v>
      </c>
      <c r="F53" s="21">
        <v>260</v>
      </c>
      <c r="G53" s="21">
        <v>100</v>
      </c>
      <c r="H53" s="21"/>
      <c r="I53" s="22">
        <f t="shared" si="0"/>
        <v>633</v>
      </c>
      <c r="J53" t="e">
        <f>VLOOKUP(B53,'[1]KT 광점퍼코드(수익률)'!$A$4:$P$243,16,0)</f>
        <v>#N/A</v>
      </c>
    </row>
    <row r="54" spans="1:10" ht="15.75" hidden="1" customHeight="1">
      <c r="A54" s="23">
        <v>51</v>
      </c>
      <c r="B54" s="24" t="s">
        <v>2319</v>
      </c>
      <c r="C54" s="24" t="s">
        <v>69</v>
      </c>
      <c r="D54" s="24" t="s">
        <v>26</v>
      </c>
      <c r="E54" s="25"/>
      <c r="F54" s="25">
        <v>10</v>
      </c>
      <c r="G54" s="25">
        <v>5</v>
      </c>
      <c r="H54" s="25"/>
      <c r="I54" s="22">
        <f t="shared" si="0"/>
        <v>15</v>
      </c>
      <c r="J54" t="e">
        <f>VLOOKUP(B54,'[1]KT 광점퍼코드(수익률)'!$A$4:$P$243,16,0)</f>
        <v>#N/A</v>
      </c>
    </row>
    <row r="55" spans="1:10" ht="15.75" hidden="1" customHeight="1">
      <c r="A55" s="19">
        <v>52</v>
      </c>
      <c r="B55" s="20" t="s">
        <v>2320</v>
      </c>
      <c r="C55" s="20" t="s">
        <v>69</v>
      </c>
      <c r="D55" s="20" t="s">
        <v>47</v>
      </c>
      <c r="E55" s="21"/>
      <c r="F55" s="21">
        <v>8</v>
      </c>
      <c r="G55" s="21"/>
      <c r="H55" s="21"/>
      <c r="I55" s="22">
        <f t="shared" si="0"/>
        <v>8</v>
      </c>
      <c r="J55" t="e">
        <f>VLOOKUP(B55,'[1]KT 광점퍼코드(수익률)'!$A$4:$P$243,16,0)</f>
        <v>#N/A</v>
      </c>
    </row>
    <row r="56" spans="1:10" ht="15.75" hidden="1" customHeight="1">
      <c r="A56" s="23">
        <v>53</v>
      </c>
      <c r="B56" s="24" t="s">
        <v>3436</v>
      </c>
      <c r="C56" s="24" t="s">
        <v>28</v>
      </c>
      <c r="D56" s="24" t="s">
        <v>24</v>
      </c>
      <c r="E56" s="25"/>
      <c r="F56" s="25"/>
      <c r="G56" s="25"/>
      <c r="H56" s="25">
        <v>10</v>
      </c>
      <c r="I56" s="22">
        <f t="shared" si="0"/>
        <v>10</v>
      </c>
      <c r="J56" t="e">
        <f>VLOOKUP(B56,'[1]KT 광점퍼코드(수익률)'!$A$4:$P$243,16,0)</f>
        <v>#N/A</v>
      </c>
    </row>
    <row r="57" spans="1:10" ht="15.75" hidden="1" customHeight="1">
      <c r="A57" s="19">
        <v>54</v>
      </c>
      <c r="B57" s="20" t="s">
        <v>2321</v>
      </c>
      <c r="C57" s="20" t="s">
        <v>28</v>
      </c>
      <c r="D57" s="20" t="s">
        <v>26</v>
      </c>
      <c r="E57" s="21"/>
      <c r="F57" s="21">
        <v>75</v>
      </c>
      <c r="G57" s="21">
        <v>10</v>
      </c>
      <c r="H57" s="21">
        <v>30</v>
      </c>
      <c r="I57" s="22">
        <f t="shared" si="0"/>
        <v>115</v>
      </c>
      <c r="J57" t="e">
        <f>VLOOKUP(B57,'[1]KT 광점퍼코드(수익률)'!$A$4:$P$243,16,0)</f>
        <v>#N/A</v>
      </c>
    </row>
    <row r="58" spans="1:10" ht="15.75" hidden="1" customHeight="1">
      <c r="A58" s="23">
        <v>55</v>
      </c>
      <c r="B58" s="24" t="s">
        <v>72</v>
      </c>
      <c r="C58" s="24" t="s">
        <v>19</v>
      </c>
      <c r="D58" s="24" t="s">
        <v>47</v>
      </c>
      <c r="E58" s="25">
        <v>50</v>
      </c>
      <c r="F58" s="25">
        <v>20</v>
      </c>
      <c r="G58" s="25"/>
      <c r="H58" s="25"/>
      <c r="I58" s="22">
        <f t="shared" si="0"/>
        <v>70</v>
      </c>
      <c r="J58" t="e">
        <f>VLOOKUP(B58,'[1]KT 광점퍼코드(수익률)'!$A$4:$P$243,16,0)</f>
        <v>#N/A</v>
      </c>
    </row>
    <row r="59" spans="1:10" ht="15.75" hidden="1" customHeight="1">
      <c r="A59" s="19">
        <v>56</v>
      </c>
      <c r="B59" s="20" t="s">
        <v>2978</v>
      </c>
      <c r="C59" s="20" t="s">
        <v>2979</v>
      </c>
      <c r="D59" s="20" t="s">
        <v>22</v>
      </c>
      <c r="E59" s="21"/>
      <c r="F59" s="21"/>
      <c r="G59" s="21">
        <v>6</v>
      </c>
      <c r="H59" s="21"/>
      <c r="I59" s="22">
        <f t="shared" si="0"/>
        <v>6</v>
      </c>
      <c r="J59" t="e">
        <f>VLOOKUP(B59,'[1]KT 광점퍼코드(수익률)'!$A$4:$P$243,16,0)</f>
        <v>#N/A</v>
      </c>
    </row>
    <row r="60" spans="1:10" ht="15.75" hidden="1" customHeight="1">
      <c r="A60" s="23">
        <v>57</v>
      </c>
      <c r="B60" s="24" t="s">
        <v>73</v>
      </c>
      <c r="C60" s="24" t="s">
        <v>69</v>
      </c>
      <c r="D60" s="24" t="s">
        <v>22</v>
      </c>
      <c r="E60" s="25">
        <v>10</v>
      </c>
      <c r="F60" s="25">
        <v>2</v>
      </c>
      <c r="G60" s="25"/>
      <c r="H60" s="25"/>
      <c r="I60" s="22">
        <f t="shared" si="0"/>
        <v>12</v>
      </c>
      <c r="J60" t="e">
        <f>VLOOKUP(B60,'[1]KT 광점퍼코드(수익률)'!$A$4:$P$243,16,0)</f>
        <v>#N/A</v>
      </c>
    </row>
    <row r="61" spans="1:10" ht="15.75" hidden="1" customHeight="1">
      <c r="A61" s="19">
        <v>58</v>
      </c>
      <c r="B61" s="20" t="s">
        <v>74</v>
      </c>
      <c r="C61" s="20" t="s">
        <v>75</v>
      </c>
      <c r="D61" s="20" t="s">
        <v>47</v>
      </c>
      <c r="E61" s="21">
        <v>1</v>
      </c>
      <c r="F61" s="21">
        <v>68</v>
      </c>
      <c r="G61" s="21">
        <v>50</v>
      </c>
      <c r="H61" s="21"/>
      <c r="I61" s="22">
        <f t="shared" si="0"/>
        <v>119</v>
      </c>
      <c r="J61" t="e">
        <f>VLOOKUP(B61,'[1]KT 광점퍼코드(수익률)'!$A$4:$P$243,16,0)</f>
        <v>#N/A</v>
      </c>
    </row>
    <row r="62" spans="1:10" ht="15.75" hidden="1" customHeight="1">
      <c r="A62" s="23">
        <v>59</v>
      </c>
      <c r="B62" s="24" t="s">
        <v>2322</v>
      </c>
      <c r="C62" s="24" t="s">
        <v>75</v>
      </c>
      <c r="D62" s="24" t="s">
        <v>87</v>
      </c>
      <c r="E62" s="25"/>
      <c r="F62" s="25">
        <v>30</v>
      </c>
      <c r="G62" s="25">
        <v>20</v>
      </c>
      <c r="H62" s="25"/>
      <c r="I62" s="22">
        <f t="shared" si="0"/>
        <v>50</v>
      </c>
      <c r="J62" t="e">
        <f>VLOOKUP(B62,'[1]KT 광점퍼코드(수익률)'!$A$4:$P$243,16,0)</f>
        <v>#N/A</v>
      </c>
    </row>
    <row r="63" spans="1:10" ht="15.75" hidden="1" customHeight="1">
      <c r="A63" s="19">
        <v>60</v>
      </c>
      <c r="B63" s="20" t="s">
        <v>76</v>
      </c>
      <c r="C63" s="20" t="s">
        <v>77</v>
      </c>
      <c r="D63" s="20" t="s">
        <v>78</v>
      </c>
      <c r="E63" s="21">
        <v>100</v>
      </c>
      <c r="F63" s="21">
        <v>200</v>
      </c>
      <c r="G63" s="21"/>
      <c r="H63" s="21"/>
      <c r="I63" s="22">
        <f t="shared" si="0"/>
        <v>300</v>
      </c>
      <c r="J63" t="e">
        <f>VLOOKUP(B63,'[1]KT 광점퍼코드(수익률)'!$A$4:$P$243,16,0)</f>
        <v>#N/A</v>
      </c>
    </row>
    <row r="64" spans="1:10" ht="15.75" hidden="1" customHeight="1">
      <c r="A64" s="23">
        <v>61</v>
      </c>
      <c r="B64" s="24" t="s">
        <v>3437</v>
      </c>
      <c r="C64" s="24" t="s">
        <v>110</v>
      </c>
      <c r="D64" s="24" t="s">
        <v>78</v>
      </c>
      <c r="E64" s="25"/>
      <c r="F64" s="25"/>
      <c r="G64" s="25"/>
      <c r="H64" s="25">
        <v>40</v>
      </c>
      <c r="I64" s="22">
        <f t="shared" si="0"/>
        <v>40</v>
      </c>
      <c r="J64" t="e">
        <f>VLOOKUP(B64,'[1]KT 광점퍼코드(수익률)'!$A$4:$P$243,16,0)</f>
        <v>#N/A</v>
      </c>
    </row>
    <row r="65" spans="1:10" ht="15.75" hidden="1" customHeight="1">
      <c r="A65" s="19">
        <v>62</v>
      </c>
      <c r="B65" s="20" t="s">
        <v>79</v>
      </c>
      <c r="C65" s="20" t="s">
        <v>80</v>
      </c>
      <c r="D65" s="20" t="s">
        <v>78</v>
      </c>
      <c r="E65" s="21">
        <v>5</v>
      </c>
      <c r="F65" s="21"/>
      <c r="G65" s="21">
        <v>1</v>
      </c>
      <c r="H65" s="21">
        <v>10</v>
      </c>
      <c r="I65" s="22">
        <f t="shared" si="0"/>
        <v>16</v>
      </c>
      <c r="J65" t="e">
        <f>VLOOKUP(B65,'[1]KT 광점퍼코드(수익률)'!$A$4:$P$243,16,0)</f>
        <v>#N/A</v>
      </c>
    </row>
    <row r="66" spans="1:10" ht="15.75" hidden="1" customHeight="1">
      <c r="A66" s="23">
        <v>63</v>
      </c>
      <c r="B66" s="24" t="s">
        <v>3438</v>
      </c>
      <c r="C66" s="24" t="s">
        <v>113</v>
      </c>
      <c r="D66" s="24" t="s">
        <v>78</v>
      </c>
      <c r="E66" s="25"/>
      <c r="F66" s="25"/>
      <c r="G66" s="25"/>
      <c r="H66" s="25">
        <v>10</v>
      </c>
      <c r="I66" s="22">
        <f t="shared" si="0"/>
        <v>10</v>
      </c>
      <c r="J66" t="e">
        <f>VLOOKUP(B66,'[1]KT 광점퍼코드(수익률)'!$A$4:$P$243,16,0)</f>
        <v>#N/A</v>
      </c>
    </row>
    <row r="67" spans="1:10" ht="15.75" hidden="1" customHeight="1">
      <c r="A67" s="19">
        <v>64</v>
      </c>
      <c r="B67" s="20" t="s">
        <v>2980</v>
      </c>
      <c r="C67" s="20" t="s">
        <v>99</v>
      </c>
      <c r="D67" s="20" t="s">
        <v>128</v>
      </c>
      <c r="E67" s="21"/>
      <c r="F67" s="21"/>
      <c r="G67" s="21">
        <v>1</v>
      </c>
      <c r="H67" s="21"/>
      <c r="I67" s="22">
        <f t="shared" si="0"/>
        <v>1</v>
      </c>
      <c r="J67" t="e">
        <f>VLOOKUP(B67,'[1]KT 광점퍼코드(수익률)'!$A$4:$P$243,16,0)</f>
        <v>#N/A</v>
      </c>
    </row>
    <row r="68" spans="1:10" ht="15.75" hidden="1" customHeight="1">
      <c r="A68" s="23">
        <v>65</v>
      </c>
      <c r="B68" s="24" t="s">
        <v>81</v>
      </c>
      <c r="C68" s="24" t="s">
        <v>82</v>
      </c>
      <c r="D68" s="24" t="s">
        <v>78</v>
      </c>
      <c r="E68" s="25">
        <v>100</v>
      </c>
      <c r="F68" s="25"/>
      <c r="G68" s="25"/>
      <c r="H68" s="25"/>
      <c r="I68" s="22">
        <f t="shared" ref="I68:I131" si="1">SUM(E68:H68)</f>
        <v>100</v>
      </c>
      <c r="J68" t="e">
        <f>VLOOKUP(B68,'[1]KT 광점퍼코드(수익률)'!$A$4:$P$243,16,0)</f>
        <v>#N/A</v>
      </c>
    </row>
    <row r="69" spans="1:10" ht="15.75" hidden="1" customHeight="1">
      <c r="A69" s="19">
        <v>66</v>
      </c>
      <c r="B69" s="20" t="s">
        <v>83</v>
      </c>
      <c r="C69" s="20" t="s">
        <v>84</v>
      </c>
      <c r="D69" s="20" t="s">
        <v>78</v>
      </c>
      <c r="E69" s="21">
        <v>100</v>
      </c>
      <c r="F69" s="21"/>
      <c r="G69" s="21"/>
      <c r="H69" s="21"/>
      <c r="I69" s="22">
        <f t="shared" si="1"/>
        <v>100</v>
      </c>
      <c r="J69" t="e">
        <f>VLOOKUP(B69,'[1]KT 광점퍼코드(수익률)'!$A$4:$P$243,16,0)</f>
        <v>#N/A</v>
      </c>
    </row>
    <row r="70" spans="1:10" ht="15.75" hidden="1" customHeight="1">
      <c r="A70" s="23">
        <v>67</v>
      </c>
      <c r="B70" s="24" t="s">
        <v>85</v>
      </c>
      <c r="C70" s="24" t="s">
        <v>28</v>
      </c>
      <c r="D70" s="24" t="s">
        <v>57</v>
      </c>
      <c r="E70" s="25">
        <v>5</v>
      </c>
      <c r="F70" s="25">
        <v>70</v>
      </c>
      <c r="G70" s="25"/>
      <c r="H70" s="25">
        <v>10</v>
      </c>
      <c r="I70" s="22">
        <f t="shared" si="1"/>
        <v>85</v>
      </c>
      <c r="J70" t="e">
        <f>VLOOKUP(B70,'[1]KT 광점퍼코드(수익률)'!$A$4:$P$243,16,0)</f>
        <v>#N/A</v>
      </c>
    </row>
    <row r="71" spans="1:10" ht="15.75" hidden="1" customHeight="1">
      <c r="A71" s="19">
        <v>68</v>
      </c>
      <c r="B71" s="20" t="s">
        <v>86</v>
      </c>
      <c r="C71" s="20" t="s">
        <v>69</v>
      </c>
      <c r="D71" s="20" t="s">
        <v>87</v>
      </c>
      <c r="E71" s="21">
        <v>11</v>
      </c>
      <c r="F71" s="21">
        <v>1</v>
      </c>
      <c r="G71" s="21"/>
      <c r="H71" s="21"/>
      <c r="I71" s="22">
        <f t="shared" si="1"/>
        <v>12</v>
      </c>
      <c r="J71" t="e">
        <f>VLOOKUP(B71,'[1]KT 광점퍼코드(수익률)'!$A$4:$P$243,16,0)</f>
        <v>#N/A</v>
      </c>
    </row>
    <row r="72" spans="1:10" ht="15.75" hidden="1" customHeight="1">
      <c r="A72" s="23">
        <v>69</v>
      </c>
      <c r="B72" s="24" t="s">
        <v>2323</v>
      </c>
      <c r="C72" s="24" t="s">
        <v>75</v>
      </c>
      <c r="D72" s="24" t="s">
        <v>53</v>
      </c>
      <c r="E72" s="25"/>
      <c r="F72" s="25">
        <v>10</v>
      </c>
      <c r="G72" s="25">
        <v>15</v>
      </c>
      <c r="H72" s="25"/>
      <c r="I72" s="22">
        <f t="shared" si="1"/>
        <v>25</v>
      </c>
      <c r="J72" t="e">
        <f>VLOOKUP(B72,'[1]KT 광점퍼코드(수익률)'!$A$4:$P$243,16,0)</f>
        <v>#N/A</v>
      </c>
    </row>
    <row r="73" spans="1:10" ht="15.75" hidden="1" customHeight="1">
      <c r="A73" s="19">
        <v>70</v>
      </c>
      <c r="B73" s="20" t="s">
        <v>88</v>
      </c>
      <c r="C73" s="20" t="s">
        <v>89</v>
      </c>
      <c r="D73" s="20" t="s">
        <v>90</v>
      </c>
      <c r="E73" s="21">
        <v>30</v>
      </c>
      <c r="F73" s="21">
        <v>100</v>
      </c>
      <c r="G73" s="21"/>
      <c r="H73" s="21"/>
      <c r="I73" s="22">
        <f t="shared" si="1"/>
        <v>130</v>
      </c>
      <c r="J73" t="e">
        <f>VLOOKUP(B73,'[1]KT 광점퍼코드(수익률)'!$A$4:$P$243,16,0)</f>
        <v>#N/A</v>
      </c>
    </row>
    <row r="74" spans="1:10" ht="15.75" hidden="1" customHeight="1">
      <c r="A74" s="23">
        <v>71</v>
      </c>
      <c r="B74" s="24" t="s">
        <v>91</v>
      </c>
      <c r="C74" s="24" t="s">
        <v>77</v>
      </c>
      <c r="D74" s="24" t="s">
        <v>90</v>
      </c>
      <c r="E74" s="25">
        <v>246</v>
      </c>
      <c r="F74" s="25">
        <v>81</v>
      </c>
      <c r="G74" s="25">
        <v>22</v>
      </c>
      <c r="H74" s="25"/>
      <c r="I74" s="22">
        <f t="shared" si="1"/>
        <v>349</v>
      </c>
      <c r="J74" t="e">
        <f>VLOOKUP(B74,'[1]KT 광점퍼코드(수익률)'!$A$4:$P$243,16,0)</f>
        <v>#N/A</v>
      </c>
    </row>
    <row r="75" spans="1:10" ht="15.75" hidden="1" customHeight="1">
      <c r="A75" s="19">
        <v>72</v>
      </c>
      <c r="B75" s="20" t="s">
        <v>92</v>
      </c>
      <c r="C75" s="20" t="s">
        <v>93</v>
      </c>
      <c r="D75" s="20" t="s">
        <v>90</v>
      </c>
      <c r="E75" s="21">
        <v>251</v>
      </c>
      <c r="F75" s="21">
        <v>69</v>
      </c>
      <c r="G75" s="21"/>
      <c r="H75" s="21"/>
      <c r="I75" s="22">
        <f t="shared" si="1"/>
        <v>320</v>
      </c>
      <c r="J75" t="e">
        <f>VLOOKUP(B75,'[1]KT 광점퍼코드(수익률)'!$A$4:$P$243,16,0)</f>
        <v>#N/A</v>
      </c>
    </row>
    <row r="76" spans="1:10" ht="15.75" hidden="1" customHeight="1">
      <c r="A76" s="23">
        <v>73</v>
      </c>
      <c r="B76" s="24" t="s">
        <v>94</v>
      </c>
      <c r="C76" s="24" t="s">
        <v>95</v>
      </c>
      <c r="D76" s="24" t="s">
        <v>90</v>
      </c>
      <c r="E76" s="25">
        <v>407</v>
      </c>
      <c r="F76" s="25">
        <v>47</v>
      </c>
      <c r="G76" s="25">
        <v>10</v>
      </c>
      <c r="H76" s="25"/>
      <c r="I76" s="22">
        <f t="shared" si="1"/>
        <v>464</v>
      </c>
      <c r="J76" t="e">
        <f>VLOOKUP(B76,'[1]KT 광점퍼코드(수익률)'!$A$4:$P$243,16,0)</f>
        <v>#N/A</v>
      </c>
    </row>
    <row r="77" spans="1:10" ht="15.75" hidden="1" customHeight="1">
      <c r="A77" s="19">
        <v>74</v>
      </c>
      <c r="B77" s="20" t="s">
        <v>96</v>
      </c>
      <c r="C77" s="20" t="s">
        <v>97</v>
      </c>
      <c r="D77" s="20" t="s">
        <v>90</v>
      </c>
      <c r="E77" s="21">
        <v>5</v>
      </c>
      <c r="F77" s="21">
        <v>1</v>
      </c>
      <c r="G77" s="21"/>
      <c r="H77" s="21"/>
      <c r="I77" s="22">
        <f t="shared" si="1"/>
        <v>6</v>
      </c>
      <c r="J77" t="e">
        <f>VLOOKUP(B77,'[1]KT 광점퍼코드(수익률)'!$A$4:$P$243,16,0)</f>
        <v>#N/A</v>
      </c>
    </row>
    <row r="78" spans="1:10" ht="15.75" hidden="1" customHeight="1">
      <c r="A78" s="23">
        <v>75</v>
      </c>
      <c r="B78" s="24" t="s">
        <v>98</v>
      </c>
      <c r="C78" s="24" t="s">
        <v>99</v>
      </c>
      <c r="D78" s="24" t="s">
        <v>100</v>
      </c>
      <c r="E78" s="25">
        <v>17</v>
      </c>
      <c r="F78" s="25"/>
      <c r="G78" s="25">
        <v>3</v>
      </c>
      <c r="H78" s="25"/>
      <c r="I78" s="22">
        <f t="shared" si="1"/>
        <v>20</v>
      </c>
      <c r="J78" t="e">
        <f>VLOOKUP(B78,'[1]KT 광점퍼코드(수익률)'!$A$4:$P$243,16,0)</f>
        <v>#N/A</v>
      </c>
    </row>
    <row r="79" spans="1:10" ht="15.75" hidden="1" customHeight="1">
      <c r="A79" s="19">
        <v>76</v>
      </c>
      <c r="B79" s="20" t="s">
        <v>2324</v>
      </c>
      <c r="C79" s="20" t="s">
        <v>82</v>
      </c>
      <c r="D79" s="20" t="s">
        <v>2325</v>
      </c>
      <c r="E79" s="21"/>
      <c r="F79" s="21">
        <v>20</v>
      </c>
      <c r="G79" s="21"/>
      <c r="H79" s="21"/>
      <c r="I79" s="22">
        <f t="shared" si="1"/>
        <v>20</v>
      </c>
      <c r="J79" t="e">
        <f>VLOOKUP(B79,'[1]KT 광점퍼코드(수익률)'!$A$4:$P$243,16,0)</f>
        <v>#N/A</v>
      </c>
    </row>
    <row r="80" spans="1:10" ht="15.75" hidden="1" customHeight="1">
      <c r="A80" s="23">
        <v>77</v>
      </c>
      <c r="B80" s="24" t="s">
        <v>101</v>
      </c>
      <c r="C80" s="24" t="s">
        <v>84</v>
      </c>
      <c r="D80" s="24" t="s">
        <v>90</v>
      </c>
      <c r="E80" s="25">
        <v>170</v>
      </c>
      <c r="F80" s="25">
        <v>80</v>
      </c>
      <c r="G80" s="25"/>
      <c r="H80" s="25"/>
      <c r="I80" s="22">
        <f t="shared" si="1"/>
        <v>250</v>
      </c>
      <c r="J80" t="e">
        <f>VLOOKUP(B80,'[1]KT 광점퍼코드(수익률)'!$A$4:$P$243,16,0)</f>
        <v>#N/A</v>
      </c>
    </row>
    <row r="81" spans="1:10" ht="15.75" hidden="1" customHeight="1">
      <c r="A81" s="19">
        <v>78</v>
      </c>
      <c r="B81" s="20" t="s">
        <v>3439</v>
      </c>
      <c r="C81" s="20" t="s">
        <v>3440</v>
      </c>
      <c r="D81" s="20" t="s">
        <v>20</v>
      </c>
      <c r="E81" s="21"/>
      <c r="F81" s="21"/>
      <c r="G81" s="21"/>
      <c r="H81" s="21">
        <v>5</v>
      </c>
      <c r="I81" s="22">
        <f t="shared" si="1"/>
        <v>5</v>
      </c>
      <c r="J81" t="e">
        <f>VLOOKUP(B81,'[1]KT 광점퍼코드(수익률)'!$A$4:$P$243,16,0)</f>
        <v>#N/A</v>
      </c>
    </row>
    <row r="82" spans="1:10" ht="15.75" hidden="1" customHeight="1">
      <c r="A82" s="23">
        <v>79</v>
      </c>
      <c r="B82" s="24" t="s">
        <v>102</v>
      </c>
      <c r="C82" s="24" t="s">
        <v>103</v>
      </c>
      <c r="D82" s="24" t="s">
        <v>104</v>
      </c>
      <c r="E82" s="25">
        <v>20</v>
      </c>
      <c r="F82" s="25">
        <v>75</v>
      </c>
      <c r="G82" s="25"/>
      <c r="H82" s="25"/>
      <c r="I82" s="22">
        <f t="shared" si="1"/>
        <v>95</v>
      </c>
      <c r="J82" t="e">
        <f>VLOOKUP(B82,'[1]KT 광점퍼코드(수익률)'!$A$4:$P$243,16,0)</f>
        <v>#N/A</v>
      </c>
    </row>
    <row r="83" spans="1:10" ht="15.75" hidden="1" customHeight="1">
      <c r="A83" s="19">
        <v>80</v>
      </c>
      <c r="B83" s="20" t="s">
        <v>2326</v>
      </c>
      <c r="C83" s="20" t="s">
        <v>103</v>
      </c>
      <c r="D83" s="20" t="s">
        <v>2327</v>
      </c>
      <c r="E83" s="21"/>
      <c r="F83" s="21">
        <v>60</v>
      </c>
      <c r="G83" s="21"/>
      <c r="H83" s="21"/>
      <c r="I83" s="22">
        <f t="shared" si="1"/>
        <v>60</v>
      </c>
      <c r="J83" t="e">
        <f>VLOOKUP(B83,'[1]KT 광점퍼코드(수익률)'!$A$4:$P$243,16,0)</f>
        <v>#N/A</v>
      </c>
    </row>
    <row r="84" spans="1:10" ht="15.75" hidden="1" customHeight="1">
      <c r="A84" s="23">
        <v>81</v>
      </c>
      <c r="B84" s="24" t="s">
        <v>105</v>
      </c>
      <c r="C84" s="24" t="s">
        <v>103</v>
      </c>
      <c r="D84" s="24" t="s">
        <v>106</v>
      </c>
      <c r="E84" s="25">
        <v>3</v>
      </c>
      <c r="F84" s="25"/>
      <c r="G84" s="25"/>
      <c r="H84" s="25"/>
      <c r="I84" s="22">
        <f t="shared" si="1"/>
        <v>3</v>
      </c>
      <c r="J84" t="e">
        <f>VLOOKUP(B84,'[1]KT 광점퍼코드(수익률)'!$A$4:$P$243,16,0)</f>
        <v>#N/A</v>
      </c>
    </row>
    <row r="85" spans="1:10" ht="15.75" hidden="1" customHeight="1">
      <c r="A85" s="19">
        <v>82</v>
      </c>
      <c r="B85" s="20" t="s">
        <v>107</v>
      </c>
      <c r="C85" s="20" t="s">
        <v>108</v>
      </c>
      <c r="D85" s="20" t="s">
        <v>100</v>
      </c>
      <c r="E85" s="21">
        <v>260</v>
      </c>
      <c r="F85" s="21">
        <v>80</v>
      </c>
      <c r="G85" s="21">
        <v>12</v>
      </c>
      <c r="H85" s="21"/>
      <c r="I85" s="22">
        <f t="shared" si="1"/>
        <v>352</v>
      </c>
      <c r="J85" t="e">
        <f>VLOOKUP(B85,'[1]KT 광점퍼코드(수익률)'!$A$4:$P$243,16,0)</f>
        <v>#N/A</v>
      </c>
    </row>
    <row r="86" spans="1:10" ht="15.75" hidden="1" customHeight="1">
      <c r="A86" s="23">
        <v>83</v>
      </c>
      <c r="B86" s="24" t="s">
        <v>109</v>
      </c>
      <c r="C86" s="24" t="s">
        <v>110</v>
      </c>
      <c r="D86" s="24" t="s">
        <v>100</v>
      </c>
      <c r="E86" s="25">
        <v>200</v>
      </c>
      <c r="F86" s="25">
        <v>70</v>
      </c>
      <c r="G86" s="25"/>
      <c r="H86" s="25"/>
      <c r="I86" s="22">
        <f t="shared" si="1"/>
        <v>270</v>
      </c>
      <c r="J86" t="e">
        <f>VLOOKUP(B86,'[1]KT 광점퍼코드(수익률)'!$A$4:$P$243,16,0)</f>
        <v>#N/A</v>
      </c>
    </row>
    <row r="87" spans="1:10" ht="15.75" hidden="1" customHeight="1">
      <c r="A87" s="19">
        <v>84</v>
      </c>
      <c r="B87" s="20" t="s">
        <v>111</v>
      </c>
      <c r="C87" s="20" t="s">
        <v>80</v>
      </c>
      <c r="D87" s="20" t="s">
        <v>100</v>
      </c>
      <c r="E87" s="21">
        <v>120</v>
      </c>
      <c r="F87" s="21">
        <v>10</v>
      </c>
      <c r="G87" s="21"/>
      <c r="H87" s="21"/>
      <c r="I87" s="22">
        <f t="shared" si="1"/>
        <v>130</v>
      </c>
      <c r="J87" t="e">
        <f>VLOOKUP(B87,'[1]KT 광점퍼코드(수익률)'!$A$4:$P$243,16,0)</f>
        <v>#N/A</v>
      </c>
    </row>
    <row r="88" spans="1:10" ht="15.75" hidden="1" customHeight="1">
      <c r="A88" s="23">
        <v>85</v>
      </c>
      <c r="B88" s="24" t="s">
        <v>112</v>
      </c>
      <c r="C88" s="24" t="s">
        <v>113</v>
      </c>
      <c r="D88" s="24" t="s">
        <v>100</v>
      </c>
      <c r="E88" s="25">
        <v>29</v>
      </c>
      <c r="F88" s="25">
        <v>4</v>
      </c>
      <c r="G88" s="25"/>
      <c r="H88" s="25"/>
      <c r="I88" s="22">
        <f t="shared" si="1"/>
        <v>33</v>
      </c>
      <c r="J88" t="e">
        <f>VLOOKUP(B88,'[1]KT 광점퍼코드(수익률)'!$A$4:$P$243,16,0)</f>
        <v>#N/A</v>
      </c>
    </row>
    <row r="89" spans="1:10" ht="15.75" hidden="1" customHeight="1">
      <c r="A89" s="19">
        <v>86</v>
      </c>
      <c r="B89" s="20" t="s">
        <v>2328</v>
      </c>
      <c r="C89" s="20" t="s">
        <v>99</v>
      </c>
      <c r="D89" s="20" t="s">
        <v>100</v>
      </c>
      <c r="E89" s="21"/>
      <c r="F89" s="21">
        <v>4</v>
      </c>
      <c r="G89" s="21"/>
      <c r="H89" s="21"/>
      <c r="I89" s="22">
        <f t="shared" si="1"/>
        <v>4</v>
      </c>
      <c r="J89" t="e">
        <f>VLOOKUP(B89,'[1]KT 광점퍼코드(수익률)'!$A$4:$P$243,16,0)</f>
        <v>#N/A</v>
      </c>
    </row>
    <row r="90" spans="1:10" ht="15.75" hidden="1" customHeight="1">
      <c r="A90" s="23">
        <v>87</v>
      </c>
      <c r="B90" s="24" t="s">
        <v>114</v>
      </c>
      <c r="C90" s="24" t="s">
        <v>115</v>
      </c>
      <c r="D90" s="24" t="s">
        <v>100</v>
      </c>
      <c r="E90" s="25">
        <v>5</v>
      </c>
      <c r="F90" s="25"/>
      <c r="G90" s="25"/>
      <c r="H90" s="25"/>
      <c r="I90" s="22">
        <f t="shared" si="1"/>
        <v>5</v>
      </c>
      <c r="J90" t="e">
        <f>VLOOKUP(B90,'[1]KT 광점퍼코드(수익률)'!$A$4:$P$243,16,0)</f>
        <v>#N/A</v>
      </c>
    </row>
    <row r="91" spans="1:10" ht="15.75" hidden="1" customHeight="1">
      <c r="A91" s="19">
        <v>88</v>
      </c>
      <c r="B91" s="20" t="s">
        <v>116</v>
      </c>
      <c r="C91" s="20" t="s">
        <v>75</v>
      </c>
      <c r="D91" s="20" t="s">
        <v>20</v>
      </c>
      <c r="E91" s="21">
        <v>118</v>
      </c>
      <c r="F91" s="21">
        <v>161</v>
      </c>
      <c r="G91" s="21">
        <v>160</v>
      </c>
      <c r="H91" s="21"/>
      <c r="I91" s="22">
        <f t="shared" si="1"/>
        <v>439</v>
      </c>
      <c r="J91" t="e">
        <f>VLOOKUP(B91,'[1]KT 광점퍼코드(수익률)'!$A$4:$P$243,16,0)</f>
        <v>#N/A</v>
      </c>
    </row>
    <row r="92" spans="1:10" ht="15.75" hidden="1" customHeight="1">
      <c r="A92" s="23">
        <v>89</v>
      </c>
      <c r="B92" s="24" t="s">
        <v>117</v>
      </c>
      <c r="C92" s="24" t="s">
        <v>75</v>
      </c>
      <c r="D92" s="24" t="s">
        <v>118</v>
      </c>
      <c r="E92" s="25">
        <v>100</v>
      </c>
      <c r="F92" s="25">
        <v>250</v>
      </c>
      <c r="G92" s="25">
        <v>100</v>
      </c>
      <c r="H92" s="25"/>
      <c r="I92" s="22">
        <f t="shared" si="1"/>
        <v>450</v>
      </c>
      <c r="J92" t="e">
        <f>VLOOKUP(B92,'[1]KT 광점퍼코드(수익률)'!$A$4:$P$243,16,0)</f>
        <v>#N/A</v>
      </c>
    </row>
    <row r="93" spans="1:10" ht="15.75" hidden="1" customHeight="1">
      <c r="A93" s="19">
        <v>90</v>
      </c>
      <c r="B93" s="20" t="s">
        <v>2329</v>
      </c>
      <c r="C93" s="20" t="s">
        <v>2330</v>
      </c>
      <c r="D93" s="20" t="s">
        <v>100</v>
      </c>
      <c r="E93" s="21"/>
      <c r="F93" s="21">
        <v>18</v>
      </c>
      <c r="G93" s="21"/>
      <c r="H93" s="21"/>
      <c r="I93" s="22">
        <f t="shared" si="1"/>
        <v>18</v>
      </c>
      <c r="J93" t="e">
        <f>VLOOKUP(B93,'[1]KT 광점퍼코드(수익률)'!$A$4:$P$243,16,0)</f>
        <v>#N/A</v>
      </c>
    </row>
    <row r="94" spans="1:10" ht="15.75" hidden="1" customHeight="1">
      <c r="A94" s="23">
        <v>91</v>
      </c>
      <c r="B94" s="24" t="s">
        <v>3441</v>
      </c>
      <c r="C94" s="24" t="s">
        <v>3442</v>
      </c>
      <c r="D94" s="24" t="s">
        <v>78</v>
      </c>
      <c r="E94" s="25"/>
      <c r="F94" s="25"/>
      <c r="G94" s="25"/>
      <c r="H94" s="25">
        <v>40</v>
      </c>
      <c r="I94" s="22">
        <f t="shared" si="1"/>
        <v>40</v>
      </c>
      <c r="J94" t="e">
        <f>VLOOKUP(B94,'[1]KT 광점퍼코드(수익률)'!$A$4:$P$243,16,0)</f>
        <v>#N/A</v>
      </c>
    </row>
    <row r="95" spans="1:10" ht="15.75" hidden="1" customHeight="1">
      <c r="A95" s="19">
        <v>92</v>
      </c>
      <c r="B95" s="20" t="s">
        <v>2981</v>
      </c>
      <c r="C95" s="20" t="s">
        <v>2982</v>
      </c>
      <c r="D95" s="20" t="s">
        <v>78</v>
      </c>
      <c r="E95" s="21"/>
      <c r="F95" s="21"/>
      <c r="G95" s="21">
        <v>1</v>
      </c>
      <c r="H95" s="21"/>
      <c r="I95" s="22">
        <f t="shared" si="1"/>
        <v>1</v>
      </c>
      <c r="J95" t="e">
        <f>VLOOKUP(B95,'[1]KT 광점퍼코드(수익률)'!$A$4:$P$243,16,0)</f>
        <v>#N/A</v>
      </c>
    </row>
    <row r="96" spans="1:10" ht="15.75" hidden="1" customHeight="1">
      <c r="A96" s="23">
        <v>93</v>
      </c>
      <c r="B96" s="24" t="s">
        <v>119</v>
      </c>
      <c r="C96" s="24" t="s">
        <v>19</v>
      </c>
      <c r="D96" s="24" t="s">
        <v>118</v>
      </c>
      <c r="E96" s="25">
        <v>100</v>
      </c>
      <c r="F96" s="25"/>
      <c r="G96" s="25"/>
      <c r="H96" s="25"/>
      <c r="I96" s="22">
        <f t="shared" si="1"/>
        <v>100</v>
      </c>
      <c r="J96" t="e">
        <f>VLOOKUP(B96,'[1]KT 광점퍼코드(수익률)'!$A$4:$P$243,16,0)</f>
        <v>#N/A</v>
      </c>
    </row>
    <row r="97" spans="1:10" ht="15.75" hidden="1" customHeight="1">
      <c r="A97" s="19">
        <v>94</v>
      </c>
      <c r="B97" s="20" t="s">
        <v>120</v>
      </c>
      <c r="C97" s="20" t="s">
        <v>28</v>
      </c>
      <c r="D97" s="20" t="s">
        <v>121</v>
      </c>
      <c r="E97" s="21">
        <v>80</v>
      </c>
      <c r="F97" s="21">
        <v>5</v>
      </c>
      <c r="G97" s="21"/>
      <c r="H97" s="21"/>
      <c r="I97" s="22">
        <f t="shared" si="1"/>
        <v>85</v>
      </c>
      <c r="J97" t="e">
        <f>VLOOKUP(B97,'[1]KT 광점퍼코드(수익률)'!$A$4:$P$243,16,0)</f>
        <v>#N/A</v>
      </c>
    </row>
    <row r="98" spans="1:10" ht="15.75" hidden="1" customHeight="1">
      <c r="A98" s="23">
        <v>95</v>
      </c>
      <c r="B98" s="24" t="s">
        <v>2331</v>
      </c>
      <c r="C98" s="24" t="s">
        <v>93</v>
      </c>
      <c r="D98" s="24" t="s">
        <v>2332</v>
      </c>
      <c r="E98" s="25"/>
      <c r="F98" s="25">
        <v>100</v>
      </c>
      <c r="G98" s="25">
        <v>150</v>
      </c>
      <c r="H98" s="25"/>
      <c r="I98" s="22">
        <f t="shared" si="1"/>
        <v>250</v>
      </c>
      <c r="J98" t="e">
        <f>VLOOKUP(B98,'[1]KT 광점퍼코드(수익률)'!$A$4:$P$243,16,0)</f>
        <v>#N/A</v>
      </c>
    </row>
    <row r="99" spans="1:10" ht="15.75" hidden="1" customHeight="1">
      <c r="A99" s="19">
        <v>96</v>
      </c>
      <c r="B99" s="20" t="s">
        <v>122</v>
      </c>
      <c r="C99" s="20" t="s">
        <v>123</v>
      </c>
      <c r="D99" s="20" t="s">
        <v>124</v>
      </c>
      <c r="E99" s="21">
        <v>520</v>
      </c>
      <c r="F99" s="21">
        <v>407</v>
      </c>
      <c r="G99" s="21">
        <v>158</v>
      </c>
      <c r="H99" s="21">
        <v>30</v>
      </c>
      <c r="I99" s="22">
        <f t="shared" si="1"/>
        <v>1115</v>
      </c>
      <c r="J99" t="e">
        <f>VLOOKUP(B99,'[1]KT 광점퍼코드(수익률)'!$A$4:$P$243,16,0)</f>
        <v>#N/A</v>
      </c>
    </row>
    <row r="100" spans="1:10" ht="15.75" hidden="1" customHeight="1">
      <c r="A100" s="23">
        <v>97</v>
      </c>
      <c r="B100" s="24" t="s">
        <v>125</v>
      </c>
      <c r="C100" s="24" t="s">
        <v>123</v>
      </c>
      <c r="D100" s="24" t="s">
        <v>126</v>
      </c>
      <c r="E100" s="25">
        <v>340</v>
      </c>
      <c r="F100" s="25">
        <v>147</v>
      </c>
      <c r="G100" s="25">
        <v>21</v>
      </c>
      <c r="H100" s="25"/>
      <c r="I100" s="22">
        <f t="shared" si="1"/>
        <v>508</v>
      </c>
      <c r="J100" t="e">
        <f>VLOOKUP(B100,'[1]KT 광점퍼코드(수익률)'!$A$4:$P$243,16,0)</f>
        <v>#N/A</v>
      </c>
    </row>
    <row r="101" spans="1:10" ht="15.75" hidden="1" customHeight="1">
      <c r="A101" s="19">
        <v>98</v>
      </c>
      <c r="B101" s="20" t="s">
        <v>127</v>
      </c>
      <c r="C101" s="20" t="s">
        <v>77</v>
      </c>
      <c r="D101" s="20" t="s">
        <v>128</v>
      </c>
      <c r="E101" s="21">
        <v>150</v>
      </c>
      <c r="F101" s="21">
        <v>50</v>
      </c>
      <c r="G101" s="21">
        <v>150</v>
      </c>
      <c r="H101" s="21"/>
      <c r="I101" s="22">
        <f t="shared" si="1"/>
        <v>350</v>
      </c>
      <c r="J101" t="e">
        <f>VLOOKUP(B101,'[1]KT 광점퍼코드(수익률)'!$A$4:$P$243,16,0)</f>
        <v>#N/A</v>
      </c>
    </row>
    <row r="102" spans="1:10" ht="15.75" hidden="1" customHeight="1">
      <c r="A102" s="23">
        <v>99</v>
      </c>
      <c r="B102" s="24" t="s">
        <v>129</v>
      </c>
      <c r="C102" s="24" t="s">
        <v>93</v>
      </c>
      <c r="D102" s="24" t="s">
        <v>128</v>
      </c>
      <c r="E102" s="25">
        <v>150</v>
      </c>
      <c r="F102" s="25">
        <v>50</v>
      </c>
      <c r="G102" s="25">
        <v>200</v>
      </c>
      <c r="H102" s="25"/>
      <c r="I102" s="22">
        <f t="shared" si="1"/>
        <v>400</v>
      </c>
      <c r="J102" t="e">
        <f>VLOOKUP(B102,'[1]KT 광점퍼코드(수익률)'!$A$4:$P$243,16,0)</f>
        <v>#N/A</v>
      </c>
    </row>
    <row r="103" spans="1:10" ht="15.75" hidden="1" customHeight="1">
      <c r="A103" s="19">
        <v>100</v>
      </c>
      <c r="B103" s="20" t="s">
        <v>130</v>
      </c>
      <c r="C103" s="20" t="s">
        <v>95</v>
      </c>
      <c r="D103" s="20" t="s">
        <v>128</v>
      </c>
      <c r="E103" s="21">
        <v>150</v>
      </c>
      <c r="F103" s="21">
        <v>50</v>
      </c>
      <c r="G103" s="21">
        <v>180</v>
      </c>
      <c r="H103" s="21"/>
      <c r="I103" s="22">
        <f t="shared" si="1"/>
        <v>380</v>
      </c>
      <c r="J103" t="e">
        <f>VLOOKUP(B103,'[1]KT 광점퍼코드(수익률)'!$A$4:$P$243,16,0)</f>
        <v>#N/A</v>
      </c>
    </row>
    <row r="104" spans="1:10" ht="15.75" hidden="1" customHeight="1">
      <c r="A104" s="23">
        <v>101</v>
      </c>
      <c r="B104" s="24" t="s">
        <v>131</v>
      </c>
      <c r="C104" s="24" t="s">
        <v>97</v>
      </c>
      <c r="D104" s="24" t="s">
        <v>128</v>
      </c>
      <c r="E104" s="25">
        <v>100</v>
      </c>
      <c r="F104" s="25"/>
      <c r="G104" s="25">
        <v>30</v>
      </c>
      <c r="H104" s="25"/>
      <c r="I104" s="22">
        <f t="shared" si="1"/>
        <v>130</v>
      </c>
      <c r="J104" t="e">
        <f>VLOOKUP(B104,'[1]KT 광점퍼코드(수익률)'!$A$4:$P$243,16,0)</f>
        <v>#N/A</v>
      </c>
    </row>
    <row r="105" spans="1:10" ht="15.75" hidden="1" customHeight="1">
      <c r="A105" s="19">
        <v>102</v>
      </c>
      <c r="B105" s="20" t="s">
        <v>132</v>
      </c>
      <c r="C105" s="20" t="s">
        <v>108</v>
      </c>
      <c r="D105" s="20" t="s">
        <v>128</v>
      </c>
      <c r="E105" s="21">
        <v>60</v>
      </c>
      <c r="F105" s="21"/>
      <c r="G105" s="21">
        <v>60</v>
      </c>
      <c r="H105" s="21"/>
      <c r="I105" s="22">
        <f t="shared" si="1"/>
        <v>120</v>
      </c>
      <c r="J105" t="e">
        <f>VLOOKUP(B105,'[1]KT 광점퍼코드(수익률)'!$A$4:$P$243,16,0)</f>
        <v>#N/A</v>
      </c>
    </row>
    <row r="106" spans="1:10" ht="15.75" hidden="1" customHeight="1">
      <c r="A106" s="23">
        <v>103</v>
      </c>
      <c r="B106" s="24" t="s">
        <v>133</v>
      </c>
      <c r="C106" s="24" t="s">
        <v>134</v>
      </c>
      <c r="D106" s="24" t="s">
        <v>128</v>
      </c>
      <c r="E106" s="25">
        <v>30</v>
      </c>
      <c r="F106" s="25"/>
      <c r="G106" s="25">
        <v>40</v>
      </c>
      <c r="H106" s="25"/>
      <c r="I106" s="22">
        <f t="shared" si="1"/>
        <v>70</v>
      </c>
      <c r="J106" t="e">
        <f>VLOOKUP(B106,'[1]KT 광점퍼코드(수익률)'!$A$4:$P$243,16,0)</f>
        <v>#N/A</v>
      </c>
    </row>
    <row r="107" spans="1:10" ht="15.75" hidden="1" customHeight="1">
      <c r="A107" s="19">
        <v>104</v>
      </c>
      <c r="B107" s="20" t="s">
        <v>135</v>
      </c>
      <c r="C107" s="20" t="s">
        <v>110</v>
      </c>
      <c r="D107" s="20" t="s">
        <v>128</v>
      </c>
      <c r="E107" s="21">
        <v>30</v>
      </c>
      <c r="F107" s="21"/>
      <c r="G107" s="21"/>
      <c r="H107" s="21"/>
      <c r="I107" s="22">
        <f t="shared" si="1"/>
        <v>30</v>
      </c>
      <c r="J107" t="e">
        <f>VLOOKUP(B107,'[1]KT 광점퍼코드(수익률)'!$A$4:$P$243,16,0)</f>
        <v>#N/A</v>
      </c>
    </row>
    <row r="108" spans="1:10" ht="15.75" hidden="1" customHeight="1">
      <c r="A108" s="23">
        <v>105</v>
      </c>
      <c r="B108" s="24" t="s">
        <v>2333</v>
      </c>
      <c r="C108" s="24" t="s">
        <v>75</v>
      </c>
      <c r="D108" s="24" t="s">
        <v>26</v>
      </c>
      <c r="E108" s="25"/>
      <c r="F108" s="25">
        <v>60</v>
      </c>
      <c r="G108" s="25"/>
      <c r="H108" s="25">
        <v>30</v>
      </c>
      <c r="I108" s="22">
        <f t="shared" si="1"/>
        <v>90</v>
      </c>
      <c r="J108" t="e">
        <f>VLOOKUP(B108,'[1]KT 광점퍼코드(수익률)'!$A$4:$P$243,16,0)</f>
        <v>#N/A</v>
      </c>
    </row>
    <row r="109" spans="1:10" ht="15.75" hidden="1" customHeight="1">
      <c r="A109" s="19">
        <v>106</v>
      </c>
      <c r="B109" s="20" t="s">
        <v>2334</v>
      </c>
      <c r="C109" s="20" t="s">
        <v>30</v>
      </c>
      <c r="D109" s="20" t="s">
        <v>45</v>
      </c>
      <c r="E109" s="21"/>
      <c r="F109" s="21">
        <v>30</v>
      </c>
      <c r="G109" s="21"/>
      <c r="H109" s="21"/>
      <c r="I109" s="22">
        <f t="shared" si="1"/>
        <v>30</v>
      </c>
      <c r="J109" t="e">
        <f>VLOOKUP(B109,'[1]KT 광점퍼코드(수익률)'!$A$4:$P$243,16,0)</f>
        <v>#N/A</v>
      </c>
    </row>
    <row r="110" spans="1:10" ht="15.75" hidden="1" customHeight="1">
      <c r="A110" s="23">
        <v>107</v>
      </c>
      <c r="B110" s="24" t="s">
        <v>2335</v>
      </c>
      <c r="C110" s="24" t="s">
        <v>146</v>
      </c>
      <c r="D110" s="24" t="s">
        <v>32</v>
      </c>
      <c r="E110" s="25"/>
      <c r="F110" s="25">
        <v>10</v>
      </c>
      <c r="G110" s="25"/>
      <c r="H110" s="25"/>
      <c r="I110" s="22">
        <f t="shared" si="1"/>
        <v>10</v>
      </c>
      <c r="J110" t="e">
        <f>VLOOKUP(B110,'[1]KT 광점퍼코드(수익률)'!$A$4:$P$243,16,0)</f>
        <v>#N/A</v>
      </c>
    </row>
    <row r="111" spans="1:10" ht="15.75" hidden="1" customHeight="1">
      <c r="A111" s="19">
        <v>108</v>
      </c>
      <c r="B111" s="20" t="s">
        <v>2336</v>
      </c>
      <c r="C111" s="20" t="s">
        <v>123</v>
      </c>
      <c r="D111" s="20" t="s">
        <v>2337</v>
      </c>
      <c r="E111" s="21"/>
      <c r="F111" s="21">
        <v>80</v>
      </c>
      <c r="G111" s="21"/>
      <c r="H111" s="21"/>
      <c r="I111" s="22">
        <f t="shared" si="1"/>
        <v>80</v>
      </c>
      <c r="J111" t="e">
        <f>VLOOKUP(B111,'[1]KT 광점퍼코드(수익률)'!$A$4:$P$243,16,0)</f>
        <v>#N/A</v>
      </c>
    </row>
    <row r="112" spans="1:10" ht="15.75" hidden="1" customHeight="1">
      <c r="A112" s="23">
        <v>109</v>
      </c>
      <c r="B112" s="24" t="s">
        <v>2338</v>
      </c>
      <c r="C112" s="24" t="s">
        <v>2339</v>
      </c>
      <c r="D112" s="24" t="s">
        <v>22</v>
      </c>
      <c r="E112" s="25"/>
      <c r="F112" s="25">
        <v>22</v>
      </c>
      <c r="G112" s="25">
        <v>20</v>
      </c>
      <c r="H112" s="25"/>
      <c r="I112" s="22">
        <f t="shared" si="1"/>
        <v>42</v>
      </c>
      <c r="J112" t="e">
        <f>VLOOKUP(B112,'[1]KT 광점퍼코드(수익률)'!$A$4:$P$243,16,0)</f>
        <v>#N/A</v>
      </c>
    </row>
    <row r="113" spans="1:10" ht="15.75" hidden="1" customHeight="1">
      <c r="A113" s="19">
        <v>110</v>
      </c>
      <c r="B113" s="20" t="s">
        <v>136</v>
      </c>
      <c r="C113" s="20" t="s">
        <v>19</v>
      </c>
      <c r="D113" s="20" t="s">
        <v>137</v>
      </c>
      <c r="E113" s="21">
        <v>20</v>
      </c>
      <c r="F113" s="21"/>
      <c r="G113" s="21"/>
      <c r="H113" s="21"/>
      <c r="I113" s="22">
        <f t="shared" si="1"/>
        <v>20</v>
      </c>
      <c r="J113" t="e">
        <f>VLOOKUP(B113,'[1]KT 광점퍼코드(수익률)'!$A$4:$P$243,16,0)</f>
        <v>#N/A</v>
      </c>
    </row>
    <row r="114" spans="1:10" ht="15.75" hidden="1" customHeight="1">
      <c r="A114" s="23">
        <v>111</v>
      </c>
      <c r="B114" s="24" t="s">
        <v>138</v>
      </c>
      <c r="C114" s="24" t="s">
        <v>19</v>
      </c>
      <c r="D114" s="24" t="s">
        <v>139</v>
      </c>
      <c r="E114" s="25">
        <v>70</v>
      </c>
      <c r="F114" s="25"/>
      <c r="G114" s="25"/>
      <c r="H114" s="25"/>
      <c r="I114" s="22">
        <f t="shared" si="1"/>
        <v>70</v>
      </c>
      <c r="J114" t="e">
        <f>VLOOKUP(B114,'[1]KT 광점퍼코드(수익률)'!$A$4:$P$243,16,0)</f>
        <v>#N/A</v>
      </c>
    </row>
    <row r="115" spans="1:10" ht="15.75" hidden="1" customHeight="1">
      <c r="A115" s="19">
        <v>112</v>
      </c>
      <c r="B115" s="20" t="s">
        <v>140</v>
      </c>
      <c r="C115" s="20" t="s">
        <v>75</v>
      </c>
      <c r="D115" s="20" t="s">
        <v>141</v>
      </c>
      <c r="E115" s="21">
        <v>50</v>
      </c>
      <c r="F115" s="21">
        <v>70</v>
      </c>
      <c r="G115" s="21">
        <v>60</v>
      </c>
      <c r="H115" s="21"/>
      <c r="I115" s="22">
        <f t="shared" si="1"/>
        <v>180</v>
      </c>
      <c r="J115" t="e">
        <f>VLOOKUP(B115,'[1]KT 광점퍼코드(수익률)'!$A$4:$P$243,16,0)</f>
        <v>#N/A</v>
      </c>
    </row>
    <row r="116" spans="1:10" ht="15.75" hidden="1" customHeight="1">
      <c r="A116" s="23">
        <v>113</v>
      </c>
      <c r="B116" s="24" t="s">
        <v>2983</v>
      </c>
      <c r="C116" s="24" t="s">
        <v>2984</v>
      </c>
      <c r="D116" s="24" t="s">
        <v>78</v>
      </c>
      <c r="E116" s="25"/>
      <c r="F116" s="25"/>
      <c r="G116" s="25">
        <v>50</v>
      </c>
      <c r="H116" s="25"/>
      <c r="I116" s="22">
        <f t="shared" si="1"/>
        <v>50</v>
      </c>
      <c r="J116" t="e">
        <f>VLOOKUP(B116,'[1]KT 광점퍼코드(수익률)'!$A$4:$P$243,16,0)</f>
        <v>#N/A</v>
      </c>
    </row>
    <row r="117" spans="1:10" ht="15.75" hidden="1" customHeight="1">
      <c r="A117" s="19">
        <v>114</v>
      </c>
      <c r="B117" s="20" t="s">
        <v>142</v>
      </c>
      <c r="C117" s="20" t="s">
        <v>143</v>
      </c>
      <c r="D117" s="20" t="s">
        <v>78</v>
      </c>
      <c r="E117" s="21">
        <v>55</v>
      </c>
      <c r="F117" s="21"/>
      <c r="G117" s="21"/>
      <c r="H117" s="21"/>
      <c r="I117" s="22">
        <f t="shared" si="1"/>
        <v>55</v>
      </c>
      <c r="J117" t="e">
        <f>VLOOKUP(B117,'[1]KT 광점퍼코드(수익률)'!$A$4:$P$243,16,0)</f>
        <v>#N/A</v>
      </c>
    </row>
    <row r="118" spans="1:10" ht="15.75" hidden="1" customHeight="1">
      <c r="A118" s="23">
        <v>115</v>
      </c>
      <c r="B118" s="24" t="s">
        <v>144</v>
      </c>
      <c r="C118" s="24" t="s">
        <v>82</v>
      </c>
      <c r="D118" s="24" t="s">
        <v>90</v>
      </c>
      <c r="E118" s="25">
        <v>100</v>
      </c>
      <c r="F118" s="25"/>
      <c r="G118" s="25"/>
      <c r="H118" s="25"/>
      <c r="I118" s="22">
        <f t="shared" si="1"/>
        <v>100</v>
      </c>
      <c r="J118" t="e">
        <f>VLOOKUP(B118,'[1]KT 광점퍼코드(수익률)'!$A$4:$P$243,16,0)</f>
        <v>#N/A</v>
      </c>
    </row>
    <row r="119" spans="1:10" ht="15.75" hidden="1" customHeight="1">
      <c r="A119" s="19">
        <v>116</v>
      </c>
      <c r="B119" s="20" t="s">
        <v>145</v>
      </c>
      <c r="C119" s="20" t="s">
        <v>146</v>
      </c>
      <c r="D119" s="20" t="s">
        <v>20</v>
      </c>
      <c r="E119" s="21">
        <v>30</v>
      </c>
      <c r="F119" s="21"/>
      <c r="G119" s="21"/>
      <c r="H119" s="21"/>
      <c r="I119" s="22">
        <f t="shared" si="1"/>
        <v>30</v>
      </c>
      <c r="J119" t="e">
        <f>VLOOKUP(B119,'[1]KT 광점퍼코드(수익률)'!$A$4:$P$243,16,0)</f>
        <v>#N/A</v>
      </c>
    </row>
    <row r="120" spans="1:10" ht="15.75" hidden="1" customHeight="1">
      <c r="A120" s="23">
        <v>117</v>
      </c>
      <c r="B120" s="24" t="s">
        <v>147</v>
      </c>
      <c r="C120" s="24" t="s">
        <v>77</v>
      </c>
      <c r="D120" s="24" t="s">
        <v>148</v>
      </c>
      <c r="E120" s="25">
        <v>200</v>
      </c>
      <c r="F120" s="25"/>
      <c r="G120" s="25"/>
      <c r="H120" s="25"/>
      <c r="I120" s="22">
        <f t="shared" si="1"/>
        <v>200</v>
      </c>
      <c r="J120" t="e">
        <f>VLOOKUP(B120,'[1]KT 광점퍼코드(수익률)'!$A$4:$P$243,16,0)</f>
        <v>#N/A</v>
      </c>
    </row>
    <row r="121" spans="1:10" ht="15.75" hidden="1" customHeight="1">
      <c r="A121" s="19">
        <v>118</v>
      </c>
      <c r="B121" s="20" t="s">
        <v>149</v>
      </c>
      <c r="C121" s="20" t="s">
        <v>93</v>
      </c>
      <c r="D121" s="20" t="s">
        <v>148</v>
      </c>
      <c r="E121" s="21">
        <v>100</v>
      </c>
      <c r="F121" s="21"/>
      <c r="G121" s="21"/>
      <c r="H121" s="21"/>
      <c r="I121" s="22">
        <f t="shared" si="1"/>
        <v>100</v>
      </c>
      <c r="J121" t="e">
        <f>VLOOKUP(B121,'[1]KT 광점퍼코드(수익률)'!$A$4:$P$243,16,0)</f>
        <v>#N/A</v>
      </c>
    </row>
    <row r="122" spans="1:10" ht="15.75" hidden="1" customHeight="1">
      <c r="A122" s="23">
        <v>119</v>
      </c>
      <c r="B122" s="24" t="s">
        <v>150</v>
      </c>
      <c r="C122" s="24" t="s">
        <v>75</v>
      </c>
      <c r="D122" s="24" t="s">
        <v>22</v>
      </c>
      <c r="E122" s="25">
        <v>50</v>
      </c>
      <c r="F122" s="25">
        <v>75</v>
      </c>
      <c r="G122" s="25">
        <v>107</v>
      </c>
      <c r="H122" s="25">
        <v>20</v>
      </c>
      <c r="I122" s="22">
        <f t="shared" si="1"/>
        <v>252</v>
      </c>
      <c r="J122" t="e">
        <f>VLOOKUP(B122,'[1]KT 광점퍼코드(수익률)'!$A$4:$P$243,16,0)</f>
        <v>#N/A</v>
      </c>
    </row>
    <row r="123" spans="1:10" ht="15.75" hidden="1" customHeight="1">
      <c r="A123" s="19">
        <v>120</v>
      </c>
      <c r="B123" s="20" t="s">
        <v>2985</v>
      </c>
      <c r="C123" s="20" t="s">
        <v>2986</v>
      </c>
      <c r="D123" s="20" t="s">
        <v>128</v>
      </c>
      <c r="E123" s="21"/>
      <c r="F123" s="21"/>
      <c r="G123" s="21">
        <v>50</v>
      </c>
      <c r="H123" s="21"/>
      <c r="I123" s="22">
        <f t="shared" si="1"/>
        <v>50</v>
      </c>
      <c r="J123" t="e">
        <f>VLOOKUP(B123,'[1]KT 광점퍼코드(수익률)'!$A$4:$P$243,16,0)</f>
        <v>#N/A</v>
      </c>
    </row>
    <row r="124" spans="1:10" ht="15.75" hidden="1" customHeight="1">
      <c r="A124" s="23">
        <v>121</v>
      </c>
      <c r="B124" s="24" t="s">
        <v>151</v>
      </c>
      <c r="C124" s="24" t="s">
        <v>80</v>
      </c>
      <c r="D124" s="24" t="s">
        <v>128</v>
      </c>
      <c r="E124" s="25">
        <v>30</v>
      </c>
      <c r="F124" s="25"/>
      <c r="G124" s="25"/>
      <c r="H124" s="25"/>
      <c r="I124" s="22">
        <f t="shared" si="1"/>
        <v>30</v>
      </c>
      <c r="J124" t="e">
        <f>VLOOKUP(B124,'[1]KT 광점퍼코드(수익률)'!$A$4:$P$243,16,0)</f>
        <v>#N/A</v>
      </c>
    </row>
    <row r="125" spans="1:10" ht="15.75" hidden="1" customHeight="1">
      <c r="A125" s="19">
        <v>122</v>
      </c>
      <c r="B125" s="20" t="s">
        <v>152</v>
      </c>
      <c r="C125" s="20" t="s">
        <v>75</v>
      </c>
      <c r="D125" s="20" t="s">
        <v>153</v>
      </c>
      <c r="E125" s="21">
        <v>2</v>
      </c>
      <c r="F125" s="21"/>
      <c r="G125" s="21">
        <v>2</v>
      </c>
      <c r="H125" s="21"/>
      <c r="I125" s="22">
        <f t="shared" si="1"/>
        <v>4</v>
      </c>
      <c r="J125" t="e">
        <f>VLOOKUP(B125,'[1]KT 광점퍼코드(수익률)'!$A$4:$P$243,16,0)</f>
        <v>#N/A</v>
      </c>
    </row>
    <row r="126" spans="1:10" ht="15.75" hidden="1" customHeight="1">
      <c r="A126" s="23">
        <v>123</v>
      </c>
      <c r="B126" s="24" t="s">
        <v>154</v>
      </c>
      <c r="C126" s="24" t="s">
        <v>75</v>
      </c>
      <c r="D126" s="24" t="s">
        <v>155</v>
      </c>
      <c r="E126" s="25">
        <v>2</v>
      </c>
      <c r="F126" s="25"/>
      <c r="G126" s="25"/>
      <c r="H126" s="25"/>
      <c r="I126" s="22">
        <f t="shared" si="1"/>
        <v>2</v>
      </c>
      <c r="J126" t="e">
        <f>VLOOKUP(B126,'[1]KT 광점퍼코드(수익률)'!$A$4:$P$243,16,0)</f>
        <v>#N/A</v>
      </c>
    </row>
    <row r="127" spans="1:10" ht="15.75" hidden="1" customHeight="1">
      <c r="A127" s="19">
        <v>124</v>
      </c>
      <c r="B127" s="20" t="s">
        <v>156</v>
      </c>
      <c r="C127" s="20" t="s">
        <v>157</v>
      </c>
      <c r="D127" s="20" t="s">
        <v>47</v>
      </c>
      <c r="E127" s="21">
        <v>1</v>
      </c>
      <c r="F127" s="21"/>
      <c r="G127" s="21"/>
      <c r="H127" s="21"/>
      <c r="I127" s="22">
        <f t="shared" si="1"/>
        <v>1</v>
      </c>
      <c r="J127" t="e">
        <f>VLOOKUP(B127,'[1]KT 광점퍼코드(수익률)'!$A$4:$P$243,16,0)</f>
        <v>#N/A</v>
      </c>
    </row>
    <row r="128" spans="1:10" ht="15.75" hidden="1" customHeight="1">
      <c r="A128" s="23">
        <v>125</v>
      </c>
      <c r="B128" s="24" t="s">
        <v>158</v>
      </c>
      <c r="C128" s="24" t="s">
        <v>159</v>
      </c>
      <c r="D128" s="24" t="s">
        <v>148</v>
      </c>
      <c r="E128" s="25">
        <v>4</v>
      </c>
      <c r="F128" s="25"/>
      <c r="G128" s="25"/>
      <c r="H128" s="25"/>
      <c r="I128" s="22">
        <f t="shared" si="1"/>
        <v>4</v>
      </c>
      <c r="J128" t="e">
        <f>VLOOKUP(B128,'[1]KT 광점퍼코드(수익률)'!$A$4:$P$243,16,0)</f>
        <v>#N/A</v>
      </c>
    </row>
    <row r="129" spans="1:10" ht="15.75" hidden="1" customHeight="1">
      <c r="A129" s="19">
        <v>126</v>
      </c>
      <c r="B129" s="20" t="s">
        <v>160</v>
      </c>
      <c r="C129" s="20" t="s">
        <v>84</v>
      </c>
      <c r="D129" s="20" t="s">
        <v>161</v>
      </c>
      <c r="E129" s="21">
        <v>100</v>
      </c>
      <c r="F129" s="21"/>
      <c r="G129" s="21"/>
      <c r="H129" s="21"/>
      <c r="I129" s="22">
        <f t="shared" si="1"/>
        <v>100</v>
      </c>
      <c r="J129" t="e">
        <f>VLOOKUP(B129,'[1]KT 광점퍼코드(수익률)'!$A$4:$P$243,16,0)</f>
        <v>#N/A</v>
      </c>
    </row>
    <row r="130" spans="1:10" ht="15.75" hidden="1" customHeight="1">
      <c r="A130" s="23">
        <v>127</v>
      </c>
      <c r="B130" s="24" t="s">
        <v>162</v>
      </c>
      <c r="C130" s="24" t="s">
        <v>77</v>
      </c>
      <c r="D130" s="24" t="s">
        <v>161</v>
      </c>
      <c r="E130" s="25">
        <v>50</v>
      </c>
      <c r="F130" s="25">
        <v>50</v>
      </c>
      <c r="G130" s="25"/>
      <c r="H130" s="25"/>
      <c r="I130" s="22">
        <f t="shared" si="1"/>
        <v>100</v>
      </c>
      <c r="J130" t="e">
        <f>VLOOKUP(B130,'[1]KT 광점퍼코드(수익률)'!$A$4:$P$243,16,0)</f>
        <v>#N/A</v>
      </c>
    </row>
    <row r="131" spans="1:10" ht="15.75" hidden="1" customHeight="1">
      <c r="A131" s="19">
        <v>128</v>
      </c>
      <c r="B131" s="20" t="s">
        <v>163</v>
      </c>
      <c r="C131" s="20" t="s">
        <v>93</v>
      </c>
      <c r="D131" s="20" t="s">
        <v>161</v>
      </c>
      <c r="E131" s="21">
        <v>50</v>
      </c>
      <c r="F131" s="21">
        <v>50</v>
      </c>
      <c r="G131" s="21"/>
      <c r="H131" s="21"/>
      <c r="I131" s="22">
        <f t="shared" si="1"/>
        <v>100</v>
      </c>
      <c r="J131" t="e">
        <f>VLOOKUP(B131,'[1]KT 광점퍼코드(수익률)'!$A$4:$P$243,16,0)</f>
        <v>#N/A</v>
      </c>
    </row>
    <row r="132" spans="1:10" ht="15.75" hidden="1" customHeight="1">
      <c r="A132" s="23">
        <v>129</v>
      </c>
      <c r="B132" s="24" t="s">
        <v>164</v>
      </c>
      <c r="C132" s="24" t="s">
        <v>63</v>
      </c>
      <c r="D132" s="24" t="s">
        <v>165</v>
      </c>
      <c r="E132" s="25">
        <v>20</v>
      </c>
      <c r="F132" s="25"/>
      <c r="G132" s="25"/>
      <c r="H132" s="25"/>
      <c r="I132" s="22">
        <f t="shared" ref="I132:I195" si="2">SUM(E132:H132)</f>
        <v>20</v>
      </c>
      <c r="J132" t="e">
        <f>VLOOKUP(B132,'[1]KT 광점퍼코드(수익률)'!$A$4:$P$243,16,0)</f>
        <v>#N/A</v>
      </c>
    </row>
    <row r="133" spans="1:10" ht="15.75" hidden="1" customHeight="1">
      <c r="A133" s="19">
        <v>130</v>
      </c>
      <c r="B133" s="20" t="s">
        <v>166</v>
      </c>
      <c r="C133" s="20" t="s">
        <v>75</v>
      </c>
      <c r="D133" s="20" t="s">
        <v>167</v>
      </c>
      <c r="E133" s="21">
        <v>15</v>
      </c>
      <c r="F133" s="21"/>
      <c r="G133" s="21"/>
      <c r="H133" s="21"/>
      <c r="I133" s="22">
        <f t="shared" si="2"/>
        <v>15</v>
      </c>
      <c r="J133" t="e">
        <f>VLOOKUP(B133,'[1]KT 광점퍼코드(수익률)'!$A$4:$P$243,16,0)</f>
        <v>#N/A</v>
      </c>
    </row>
    <row r="134" spans="1:10" ht="15.75" hidden="1" customHeight="1">
      <c r="A134" s="23">
        <v>131</v>
      </c>
      <c r="B134" s="24" t="s">
        <v>2340</v>
      </c>
      <c r="C134" s="24" t="s">
        <v>69</v>
      </c>
      <c r="D134" s="24" t="s">
        <v>55</v>
      </c>
      <c r="E134" s="25"/>
      <c r="F134" s="25">
        <v>1</v>
      </c>
      <c r="G134" s="25"/>
      <c r="H134" s="25"/>
      <c r="I134" s="22">
        <f t="shared" si="2"/>
        <v>1</v>
      </c>
      <c r="J134" t="e">
        <f>VLOOKUP(B134,'[1]KT 광점퍼코드(수익률)'!$A$4:$P$243,16,0)</f>
        <v>#N/A</v>
      </c>
    </row>
    <row r="135" spans="1:10" ht="15.75" hidden="1" customHeight="1">
      <c r="A135" s="19">
        <v>132</v>
      </c>
      <c r="B135" s="20" t="s">
        <v>2987</v>
      </c>
      <c r="C135" s="20" t="s">
        <v>157</v>
      </c>
      <c r="D135" s="20" t="s">
        <v>2348</v>
      </c>
      <c r="E135" s="21"/>
      <c r="F135" s="21"/>
      <c r="G135" s="21">
        <v>2</v>
      </c>
      <c r="H135" s="21"/>
      <c r="I135" s="22">
        <f t="shared" si="2"/>
        <v>2</v>
      </c>
      <c r="J135" t="e">
        <f>VLOOKUP(B135,'[1]KT 광점퍼코드(수익률)'!$A$4:$P$243,16,0)</f>
        <v>#N/A</v>
      </c>
    </row>
    <row r="136" spans="1:10" ht="15.75" hidden="1" customHeight="1">
      <c r="A136" s="23">
        <v>133</v>
      </c>
      <c r="B136" s="24" t="s">
        <v>2341</v>
      </c>
      <c r="C136" s="24" t="s">
        <v>157</v>
      </c>
      <c r="D136" s="24" t="s">
        <v>55</v>
      </c>
      <c r="E136" s="25"/>
      <c r="F136" s="25">
        <v>1</v>
      </c>
      <c r="G136" s="25"/>
      <c r="H136" s="25"/>
      <c r="I136" s="22">
        <f t="shared" si="2"/>
        <v>1</v>
      </c>
      <c r="J136" t="e">
        <f>VLOOKUP(B136,'[1]KT 광점퍼코드(수익률)'!$A$4:$P$243,16,0)</f>
        <v>#N/A</v>
      </c>
    </row>
    <row r="137" spans="1:10" ht="15.75" hidden="1" customHeight="1">
      <c r="A137" s="19">
        <v>134</v>
      </c>
      <c r="B137" s="20" t="s">
        <v>2342</v>
      </c>
      <c r="C137" s="20" t="s">
        <v>2343</v>
      </c>
      <c r="D137" s="20" t="s">
        <v>47</v>
      </c>
      <c r="E137" s="21"/>
      <c r="F137" s="21">
        <v>5</v>
      </c>
      <c r="G137" s="21"/>
      <c r="H137" s="21"/>
      <c r="I137" s="22">
        <f t="shared" si="2"/>
        <v>5</v>
      </c>
      <c r="J137" t="e">
        <f>VLOOKUP(B137,'[1]KT 광점퍼코드(수익률)'!$A$4:$P$243,16,0)</f>
        <v>#N/A</v>
      </c>
    </row>
    <row r="138" spans="1:10" ht="15.75" hidden="1" customHeight="1">
      <c r="A138" s="23">
        <v>135</v>
      </c>
      <c r="B138" s="24" t="s">
        <v>2344</v>
      </c>
      <c r="C138" s="24" t="s">
        <v>84</v>
      </c>
      <c r="D138" s="24" t="s">
        <v>2332</v>
      </c>
      <c r="E138" s="25"/>
      <c r="F138" s="25">
        <v>200</v>
      </c>
      <c r="G138" s="25">
        <v>250</v>
      </c>
      <c r="H138" s="25"/>
      <c r="I138" s="22">
        <f t="shared" si="2"/>
        <v>450</v>
      </c>
      <c r="J138" t="e">
        <f>VLOOKUP(B138,'[1]KT 광점퍼코드(수익률)'!$A$4:$P$243,16,0)</f>
        <v>#N/A</v>
      </c>
    </row>
    <row r="139" spans="1:10" ht="15.75" hidden="1" customHeight="1">
      <c r="A139" s="19">
        <v>136</v>
      </c>
      <c r="B139" s="20" t="s">
        <v>2345</v>
      </c>
      <c r="C139" s="20" t="s">
        <v>2339</v>
      </c>
      <c r="D139" s="20" t="s">
        <v>24</v>
      </c>
      <c r="E139" s="21"/>
      <c r="F139" s="21">
        <v>4</v>
      </c>
      <c r="G139" s="21"/>
      <c r="H139" s="21"/>
      <c r="I139" s="22">
        <f t="shared" si="2"/>
        <v>4</v>
      </c>
      <c r="J139" t="e">
        <f>VLOOKUP(B139,'[1]KT 광점퍼코드(수익률)'!$A$4:$P$243,16,0)</f>
        <v>#N/A</v>
      </c>
    </row>
    <row r="140" spans="1:10" ht="15.75" hidden="1" customHeight="1">
      <c r="A140" s="23">
        <v>137</v>
      </c>
      <c r="B140" s="24" t="s">
        <v>2346</v>
      </c>
      <c r="C140" s="24" t="s">
        <v>103</v>
      </c>
      <c r="D140" s="24" t="s">
        <v>240</v>
      </c>
      <c r="E140" s="25"/>
      <c r="F140" s="25">
        <v>30</v>
      </c>
      <c r="G140" s="25"/>
      <c r="H140" s="25"/>
      <c r="I140" s="22">
        <f t="shared" si="2"/>
        <v>30</v>
      </c>
      <c r="J140" t="e">
        <f>VLOOKUP(B140,'[1]KT 광점퍼코드(수익률)'!$A$4:$P$243,16,0)</f>
        <v>#N/A</v>
      </c>
    </row>
    <row r="141" spans="1:10" ht="15.75" hidden="1" customHeight="1">
      <c r="A141" s="19">
        <v>138</v>
      </c>
      <c r="B141" s="20" t="s">
        <v>2347</v>
      </c>
      <c r="C141" s="20" t="s">
        <v>2339</v>
      </c>
      <c r="D141" s="20" t="s">
        <v>2348</v>
      </c>
      <c r="E141" s="21"/>
      <c r="F141" s="21">
        <v>1</v>
      </c>
      <c r="G141" s="21"/>
      <c r="H141" s="21"/>
      <c r="I141" s="22">
        <f t="shared" si="2"/>
        <v>1</v>
      </c>
      <c r="J141" t="e">
        <f>VLOOKUP(B141,'[1]KT 광점퍼코드(수익률)'!$A$4:$P$243,16,0)</f>
        <v>#N/A</v>
      </c>
    </row>
    <row r="142" spans="1:10" ht="15.75" hidden="1" customHeight="1">
      <c r="A142" s="23">
        <v>139</v>
      </c>
      <c r="B142" s="24" t="s">
        <v>2349</v>
      </c>
      <c r="C142" s="24" t="s">
        <v>157</v>
      </c>
      <c r="D142" s="24" t="s">
        <v>26</v>
      </c>
      <c r="E142" s="25"/>
      <c r="F142" s="25">
        <v>20</v>
      </c>
      <c r="G142" s="25"/>
      <c r="H142" s="25"/>
      <c r="I142" s="22">
        <f t="shared" si="2"/>
        <v>20</v>
      </c>
      <c r="J142" t="e">
        <f>VLOOKUP(B142,'[1]KT 광점퍼코드(수익률)'!$A$4:$P$243,16,0)</f>
        <v>#N/A</v>
      </c>
    </row>
    <row r="143" spans="1:10" ht="15.75" hidden="1" customHeight="1">
      <c r="A143" s="19">
        <v>140</v>
      </c>
      <c r="B143" s="20" t="s">
        <v>2350</v>
      </c>
      <c r="C143" s="20" t="s">
        <v>157</v>
      </c>
      <c r="D143" s="20" t="s">
        <v>20</v>
      </c>
      <c r="E143" s="21"/>
      <c r="F143" s="21">
        <v>10</v>
      </c>
      <c r="G143" s="21"/>
      <c r="H143" s="21"/>
      <c r="I143" s="22">
        <f t="shared" si="2"/>
        <v>10</v>
      </c>
      <c r="J143" t="e">
        <f>VLOOKUP(B143,'[1]KT 광점퍼코드(수익률)'!$A$4:$P$243,16,0)</f>
        <v>#N/A</v>
      </c>
    </row>
    <row r="144" spans="1:10" ht="15.75" hidden="1" customHeight="1">
      <c r="A144" s="23">
        <v>141</v>
      </c>
      <c r="B144" s="24" t="s">
        <v>2351</v>
      </c>
      <c r="C144" s="24" t="s">
        <v>157</v>
      </c>
      <c r="D144" s="24" t="s">
        <v>32</v>
      </c>
      <c r="E144" s="25"/>
      <c r="F144" s="25">
        <v>11</v>
      </c>
      <c r="G144" s="25"/>
      <c r="H144" s="25"/>
      <c r="I144" s="22">
        <f t="shared" si="2"/>
        <v>11</v>
      </c>
      <c r="J144" t="e">
        <f>VLOOKUP(B144,'[1]KT 광점퍼코드(수익률)'!$A$4:$P$243,16,0)</f>
        <v>#N/A</v>
      </c>
    </row>
    <row r="145" spans="1:10" ht="15.75" hidden="1" customHeight="1">
      <c r="A145" s="19">
        <v>142</v>
      </c>
      <c r="B145" s="20" t="s">
        <v>2352</v>
      </c>
      <c r="C145" s="20" t="s">
        <v>84</v>
      </c>
      <c r="D145" s="20" t="s">
        <v>128</v>
      </c>
      <c r="E145" s="21"/>
      <c r="F145" s="21">
        <v>50</v>
      </c>
      <c r="G145" s="21">
        <v>100</v>
      </c>
      <c r="H145" s="21"/>
      <c r="I145" s="22">
        <f t="shared" si="2"/>
        <v>150</v>
      </c>
      <c r="J145" t="e">
        <f>VLOOKUP(B145,'[1]KT 광점퍼코드(수익률)'!$A$4:$P$243,16,0)</f>
        <v>#N/A</v>
      </c>
    </row>
    <row r="146" spans="1:10" ht="15.75" hidden="1" customHeight="1">
      <c r="A146" s="23">
        <v>143</v>
      </c>
      <c r="B146" s="24" t="s">
        <v>2353</v>
      </c>
      <c r="C146" s="24" t="s">
        <v>75</v>
      </c>
      <c r="D146" s="24" t="s">
        <v>121</v>
      </c>
      <c r="E146" s="25"/>
      <c r="F146" s="25">
        <v>20</v>
      </c>
      <c r="G146" s="25"/>
      <c r="H146" s="25"/>
      <c r="I146" s="22">
        <f t="shared" si="2"/>
        <v>20</v>
      </c>
      <c r="J146" t="e">
        <f>VLOOKUP(B146,'[1]KT 광점퍼코드(수익률)'!$A$4:$P$243,16,0)</f>
        <v>#N/A</v>
      </c>
    </row>
    <row r="147" spans="1:10" ht="15.75" hidden="1" customHeight="1">
      <c r="A147" s="19">
        <v>144</v>
      </c>
      <c r="B147" s="20" t="s">
        <v>2354</v>
      </c>
      <c r="C147" s="20" t="s">
        <v>75</v>
      </c>
      <c r="D147" s="20" t="s">
        <v>50</v>
      </c>
      <c r="E147" s="21"/>
      <c r="F147" s="21">
        <v>10</v>
      </c>
      <c r="G147" s="21">
        <v>20</v>
      </c>
      <c r="H147" s="21"/>
      <c r="I147" s="22">
        <f t="shared" si="2"/>
        <v>30</v>
      </c>
      <c r="J147" t="e">
        <f>VLOOKUP(B147,'[1]KT 광점퍼코드(수익률)'!$A$4:$P$243,16,0)</f>
        <v>#N/A</v>
      </c>
    </row>
    <row r="148" spans="1:10" ht="15.75" hidden="1" customHeight="1">
      <c r="A148" s="23">
        <v>145</v>
      </c>
      <c r="B148" s="24" t="s">
        <v>2355</v>
      </c>
      <c r="C148" s="24" t="s">
        <v>75</v>
      </c>
      <c r="D148" s="24" t="s">
        <v>20</v>
      </c>
      <c r="E148" s="25"/>
      <c r="F148" s="25">
        <v>50</v>
      </c>
      <c r="G148" s="25"/>
      <c r="H148" s="25"/>
      <c r="I148" s="22">
        <f t="shared" si="2"/>
        <v>50</v>
      </c>
      <c r="J148" t="e">
        <f>VLOOKUP(B148,'[1]KT 광점퍼코드(수익률)'!$A$4:$P$243,16,0)</f>
        <v>#N/A</v>
      </c>
    </row>
    <row r="149" spans="1:10" ht="15.75" hidden="1" customHeight="1">
      <c r="A149" s="19">
        <v>146</v>
      </c>
      <c r="B149" s="20" t="s">
        <v>2355</v>
      </c>
      <c r="C149" s="20" t="s">
        <v>2339</v>
      </c>
      <c r="D149" s="20" t="s">
        <v>20</v>
      </c>
      <c r="E149" s="21"/>
      <c r="F149" s="21">
        <v>100</v>
      </c>
      <c r="G149" s="21"/>
      <c r="H149" s="21"/>
      <c r="I149" s="22">
        <f t="shared" si="2"/>
        <v>100</v>
      </c>
      <c r="J149" t="e">
        <f>VLOOKUP(B149,'[1]KT 광점퍼코드(수익률)'!$A$4:$P$243,16,0)</f>
        <v>#N/A</v>
      </c>
    </row>
    <row r="150" spans="1:10" ht="15.75" hidden="1" customHeight="1">
      <c r="A150" s="23">
        <v>147</v>
      </c>
      <c r="B150" s="24" t="s">
        <v>2356</v>
      </c>
      <c r="C150" s="24" t="s">
        <v>103</v>
      </c>
      <c r="D150" s="24" t="s">
        <v>2357</v>
      </c>
      <c r="E150" s="25"/>
      <c r="F150" s="25">
        <v>1</v>
      </c>
      <c r="G150" s="25"/>
      <c r="H150" s="25"/>
      <c r="I150" s="22">
        <f t="shared" si="2"/>
        <v>1</v>
      </c>
      <c r="J150" t="e">
        <f>VLOOKUP(B150,'[1]KT 광점퍼코드(수익률)'!$A$4:$P$243,16,0)</f>
        <v>#N/A</v>
      </c>
    </row>
    <row r="151" spans="1:10" ht="15.75" hidden="1" customHeight="1">
      <c r="A151" s="19">
        <v>148</v>
      </c>
      <c r="B151" s="20" t="s">
        <v>2358</v>
      </c>
      <c r="C151" s="20" t="s">
        <v>2339</v>
      </c>
      <c r="D151" s="20" t="s">
        <v>32</v>
      </c>
      <c r="E151" s="21"/>
      <c r="F151" s="21">
        <v>70</v>
      </c>
      <c r="G151" s="21"/>
      <c r="H151" s="21"/>
      <c r="I151" s="22">
        <f t="shared" si="2"/>
        <v>70</v>
      </c>
      <c r="J151" t="e">
        <f>VLOOKUP(B151,'[1]KT 광점퍼코드(수익률)'!$A$4:$P$243,16,0)</f>
        <v>#N/A</v>
      </c>
    </row>
    <row r="152" spans="1:10" ht="15.75" hidden="1" customHeight="1">
      <c r="A152" s="23">
        <v>149</v>
      </c>
      <c r="B152" s="24" t="s">
        <v>2359</v>
      </c>
      <c r="C152" s="24" t="s">
        <v>103</v>
      </c>
      <c r="D152" s="24" t="s">
        <v>45</v>
      </c>
      <c r="E152" s="25"/>
      <c r="F152" s="25">
        <v>65</v>
      </c>
      <c r="G152" s="25"/>
      <c r="H152" s="25"/>
      <c r="I152" s="22">
        <f t="shared" si="2"/>
        <v>65</v>
      </c>
      <c r="J152" t="e">
        <f>VLOOKUP(B152,'[1]KT 광점퍼코드(수익률)'!$A$4:$P$243,16,0)</f>
        <v>#N/A</v>
      </c>
    </row>
    <row r="153" spans="1:10" ht="15.75" hidden="1" customHeight="1">
      <c r="A153" s="19">
        <v>150</v>
      </c>
      <c r="B153" s="20" t="s">
        <v>2360</v>
      </c>
      <c r="C153" s="20" t="s">
        <v>2339</v>
      </c>
      <c r="D153" s="20" t="s">
        <v>57</v>
      </c>
      <c r="E153" s="21"/>
      <c r="F153" s="21">
        <v>50</v>
      </c>
      <c r="G153" s="21"/>
      <c r="H153" s="21"/>
      <c r="I153" s="22">
        <f t="shared" si="2"/>
        <v>50</v>
      </c>
      <c r="J153" t="e">
        <f>VLOOKUP(B153,'[1]KT 광점퍼코드(수익률)'!$A$4:$P$243,16,0)</f>
        <v>#N/A</v>
      </c>
    </row>
    <row r="154" spans="1:10" ht="15.75" hidden="1" customHeight="1">
      <c r="A154" s="23">
        <v>151</v>
      </c>
      <c r="B154" s="24" t="s">
        <v>2361</v>
      </c>
      <c r="C154" s="24" t="s">
        <v>75</v>
      </c>
      <c r="D154" s="24" t="s">
        <v>2362</v>
      </c>
      <c r="E154" s="25"/>
      <c r="F154" s="25">
        <v>1</v>
      </c>
      <c r="G154" s="25"/>
      <c r="H154" s="25"/>
      <c r="I154" s="22">
        <f t="shared" si="2"/>
        <v>1</v>
      </c>
      <c r="J154" t="e">
        <f>VLOOKUP(B154,'[1]KT 광점퍼코드(수익률)'!$A$4:$P$243,16,0)</f>
        <v>#N/A</v>
      </c>
    </row>
    <row r="155" spans="1:10" ht="15.75" hidden="1" customHeight="1">
      <c r="A155" s="19">
        <v>152</v>
      </c>
      <c r="B155" s="20" t="s">
        <v>2988</v>
      </c>
      <c r="C155" s="20" t="s">
        <v>2339</v>
      </c>
      <c r="D155" s="20" t="s">
        <v>47</v>
      </c>
      <c r="E155" s="21"/>
      <c r="F155" s="21"/>
      <c r="G155" s="21">
        <v>30</v>
      </c>
      <c r="H155" s="21"/>
      <c r="I155" s="22">
        <f t="shared" si="2"/>
        <v>30</v>
      </c>
      <c r="J155" t="e">
        <f>VLOOKUP(B155,'[1]KT 광점퍼코드(수익률)'!$A$4:$P$243,16,0)</f>
        <v>#N/A</v>
      </c>
    </row>
    <row r="156" spans="1:10" ht="15.75" hidden="1" customHeight="1">
      <c r="A156" s="23">
        <v>153</v>
      </c>
      <c r="B156" s="24" t="s">
        <v>2363</v>
      </c>
      <c r="C156" s="24" t="s">
        <v>77</v>
      </c>
      <c r="D156" s="24" t="s">
        <v>2332</v>
      </c>
      <c r="E156" s="25"/>
      <c r="F156" s="25">
        <v>50</v>
      </c>
      <c r="G156" s="25">
        <v>250</v>
      </c>
      <c r="H156" s="25"/>
      <c r="I156" s="22">
        <f t="shared" si="2"/>
        <v>300</v>
      </c>
      <c r="J156" t="e">
        <f>VLOOKUP(B156,'[1]KT 광점퍼코드(수익률)'!$A$4:$P$243,16,0)</f>
        <v>#N/A</v>
      </c>
    </row>
    <row r="157" spans="1:10" ht="15.75" hidden="1" customHeight="1">
      <c r="A157" s="19">
        <v>154</v>
      </c>
      <c r="B157" s="20" t="s">
        <v>2364</v>
      </c>
      <c r="C157" s="20" t="s">
        <v>103</v>
      </c>
      <c r="D157" s="20" t="s">
        <v>24</v>
      </c>
      <c r="E157" s="21"/>
      <c r="F157" s="21">
        <v>10</v>
      </c>
      <c r="G157" s="21"/>
      <c r="H157" s="21"/>
      <c r="I157" s="22">
        <f t="shared" si="2"/>
        <v>10</v>
      </c>
      <c r="J157" t="e">
        <f>VLOOKUP(B157,'[1]KT 광점퍼코드(수익률)'!$A$4:$P$243,16,0)</f>
        <v>#N/A</v>
      </c>
    </row>
    <row r="158" spans="1:10" ht="15.75" hidden="1" customHeight="1">
      <c r="A158" s="23">
        <v>155</v>
      </c>
      <c r="B158" s="24" t="s">
        <v>2989</v>
      </c>
      <c r="C158" s="24" t="s">
        <v>2990</v>
      </c>
      <c r="D158" s="24" t="s">
        <v>2991</v>
      </c>
      <c r="E158" s="25"/>
      <c r="F158" s="25"/>
      <c r="G158" s="25">
        <v>10</v>
      </c>
      <c r="H158" s="25"/>
      <c r="I158" s="22">
        <f t="shared" si="2"/>
        <v>10</v>
      </c>
      <c r="J158" t="e">
        <f>VLOOKUP(B158,'[1]KT 광점퍼코드(수익률)'!$A$4:$P$243,16,0)</f>
        <v>#N/A</v>
      </c>
    </row>
    <row r="159" spans="1:10" ht="15.75" hidden="1" customHeight="1">
      <c r="A159" s="19">
        <v>156</v>
      </c>
      <c r="B159" s="20" t="s">
        <v>2992</v>
      </c>
      <c r="C159" s="20" t="s">
        <v>75</v>
      </c>
      <c r="D159" s="20" t="s">
        <v>59</v>
      </c>
      <c r="E159" s="21"/>
      <c r="F159" s="21"/>
      <c r="G159" s="21">
        <v>2</v>
      </c>
      <c r="H159" s="21"/>
      <c r="I159" s="22">
        <f t="shared" si="2"/>
        <v>2</v>
      </c>
      <c r="J159" t="e">
        <f>VLOOKUP(B159,'[1]KT 광점퍼코드(수익률)'!$A$4:$P$243,16,0)</f>
        <v>#N/A</v>
      </c>
    </row>
    <row r="160" spans="1:10" ht="15.75" hidden="1" customHeight="1">
      <c r="A160" s="23">
        <v>157</v>
      </c>
      <c r="B160" s="24" t="s">
        <v>2993</v>
      </c>
      <c r="C160" s="24" t="s">
        <v>75</v>
      </c>
      <c r="D160" s="24" t="s">
        <v>39</v>
      </c>
      <c r="E160" s="25"/>
      <c r="F160" s="25"/>
      <c r="G160" s="25">
        <v>2</v>
      </c>
      <c r="H160" s="25"/>
      <c r="I160" s="22">
        <f t="shared" si="2"/>
        <v>2</v>
      </c>
      <c r="J160" t="e">
        <f>VLOOKUP(B160,'[1]KT 광점퍼코드(수익률)'!$A$4:$P$243,16,0)</f>
        <v>#N/A</v>
      </c>
    </row>
    <row r="161" spans="1:10" ht="15.75" hidden="1" customHeight="1">
      <c r="A161" s="19">
        <v>158</v>
      </c>
      <c r="B161" s="20" t="s">
        <v>2994</v>
      </c>
      <c r="C161" s="20" t="s">
        <v>2995</v>
      </c>
      <c r="D161" s="20" t="s">
        <v>121</v>
      </c>
      <c r="E161" s="21"/>
      <c r="F161" s="21"/>
      <c r="G161" s="21">
        <v>30</v>
      </c>
      <c r="H161" s="21"/>
      <c r="I161" s="22">
        <f t="shared" si="2"/>
        <v>30</v>
      </c>
      <c r="J161" t="e">
        <f>VLOOKUP(B161,'[1]KT 광점퍼코드(수익률)'!$A$4:$P$243,16,0)</f>
        <v>#N/A</v>
      </c>
    </row>
    <row r="162" spans="1:10" ht="15.75" hidden="1" customHeight="1">
      <c r="A162" s="23">
        <v>159</v>
      </c>
      <c r="B162" s="24" t="s">
        <v>2996</v>
      </c>
      <c r="C162" s="24" t="s">
        <v>2995</v>
      </c>
      <c r="D162" s="24" t="s">
        <v>47</v>
      </c>
      <c r="E162" s="25"/>
      <c r="F162" s="25"/>
      <c r="G162" s="25">
        <v>20</v>
      </c>
      <c r="H162" s="25"/>
      <c r="I162" s="22">
        <f t="shared" si="2"/>
        <v>20</v>
      </c>
      <c r="J162" t="e">
        <f>VLOOKUP(B162,'[1]KT 광점퍼코드(수익률)'!$A$4:$P$243,16,0)</f>
        <v>#N/A</v>
      </c>
    </row>
    <row r="163" spans="1:10" ht="15.75" hidden="1" customHeight="1">
      <c r="A163" s="19">
        <v>160</v>
      </c>
      <c r="B163" s="20" t="s">
        <v>2997</v>
      </c>
      <c r="C163" s="20" t="s">
        <v>157</v>
      </c>
      <c r="D163" s="20" t="s">
        <v>22</v>
      </c>
      <c r="E163" s="21"/>
      <c r="F163" s="21"/>
      <c r="G163" s="21">
        <v>12</v>
      </c>
      <c r="H163" s="21"/>
      <c r="I163" s="22">
        <f t="shared" si="2"/>
        <v>12</v>
      </c>
      <c r="J163" t="e">
        <f>VLOOKUP(B163,'[1]KT 광점퍼코드(수익률)'!$A$4:$P$243,16,0)</f>
        <v>#N/A</v>
      </c>
    </row>
    <row r="164" spans="1:10" ht="15.75" hidden="1" customHeight="1">
      <c r="A164" s="23">
        <v>161</v>
      </c>
      <c r="B164" s="24" t="s">
        <v>2998</v>
      </c>
      <c r="C164" s="24" t="s">
        <v>2999</v>
      </c>
      <c r="D164" s="24" t="s">
        <v>3000</v>
      </c>
      <c r="E164" s="25"/>
      <c r="F164" s="25"/>
      <c r="G164" s="25">
        <v>50</v>
      </c>
      <c r="H164" s="25"/>
      <c r="I164" s="22">
        <f t="shared" si="2"/>
        <v>50</v>
      </c>
      <c r="J164" t="e">
        <f>VLOOKUP(B164,'[1]KT 광점퍼코드(수익률)'!$A$4:$P$243,16,0)</f>
        <v>#N/A</v>
      </c>
    </row>
    <row r="165" spans="1:10" ht="15.75" hidden="1" customHeight="1">
      <c r="A165" s="19">
        <v>162</v>
      </c>
      <c r="B165" s="20" t="s">
        <v>3001</v>
      </c>
      <c r="C165" s="20" t="s">
        <v>95</v>
      </c>
      <c r="D165" s="20" t="s">
        <v>3000</v>
      </c>
      <c r="E165" s="21"/>
      <c r="F165" s="21"/>
      <c r="G165" s="21">
        <v>30</v>
      </c>
      <c r="H165" s="21"/>
      <c r="I165" s="22">
        <f t="shared" si="2"/>
        <v>30</v>
      </c>
      <c r="J165" t="e">
        <f>VLOOKUP(B165,'[1]KT 광점퍼코드(수익률)'!$A$4:$P$243,16,0)</f>
        <v>#N/A</v>
      </c>
    </row>
    <row r="166" spans="1:10" ht="15.75" hidden="1" customHeight="1">
      <c r="A166" s="23">
        <v>163</v>
      </c>
      <c r="B166" s="24" t="s">
        <v>3443</v>
      </c>
      <c r="C166" s="24" t="s">
        <v>3444</v>
      </c>
      <c r="D166" s="24" t="s">
        <v>32</v>
      </c>
      <c r="E166" s="25"/>
      <c r="F166" s="25"/>
      <c r="G166" s="25"/>
      <c r="H166" s="25">
        <v>110</v>
      </c>
      <c r="I166" s="22">
        <f t="shared" si="2"/>
        <v>110</v>
      </c>
      <c r="J166" t="e">
        <f>VLOOKUP(B166,'[1]KT 광점퍼코드(수익률)'!$A$4:$P$243,16,0)</f>
        <v>#N/A</v>
      </c>
    </row>
    <row r="167" spans="1:10" ht="15.75" hidden="1" customHeight="1">
      <c r="A167" s="19">
        <v>164</v>
      </c>
      <c r="B167" s="20" t="s">
        <v>3445</v>
      </c>
      <c r="C167" s="20" t="s">
        <v>3444</v>
      </c>
      <c r="D167" s="20" t="s">
        <v>20</v>
      </c>
      <c r="E167" s="21"/>
      <c r="F167" s="21"/>
      <c r="G167" s="21"/>
      <c r="H167" s="21">
        <v>110</v>
      </c>
      <c r="I167" s="22">
        <f t="shared" si="2"/>
        <v>110</v>
      </c>
      <c r="J167" t="e">
        <f>VLOOKUP(B167,'[1]KT 광점퍼코드(수익률)'!$A$4:$P$243,16,0)</f>
        <v>#N/A</v>
      </c>
    </row>
    <row r="168" spans="1:10" ht="15.75" hidden="1" customHeight="1">
      <c r="A168" s="23">
        <v>165</v>
      </c>
      <c r="B168" s="24" t="s">
        <v>3446</v>
      </c>
      <c r="C168" s="24" t="s">
        <v>2995</v>
      </c>
      <c r="D168" s="24" t="s">
        <v>22</v>
      </c>
      <c r="E168" s="25"/>
      <c r="F168" s="25"/>
      <c r="G168" s="25"/>
      <c r="H168" s="25">
        <v>70</v>
      </c>
      <c r="I168" s="22">
        <f t="shared" si="2"/>
        <v>70</v>
      </c>
      <c r="J168" t="e">
        <f>VLOOKUP(B168,'[1]KT 광점퍼코드(수익률)'!$A$4:$P$243,16,0)</f>
        <v>#N/A</v>
      </c>
    </row>
    <row r="169" spans="1:10" ht="15.75" hidden="1" customHeight="1">
      <c r="A169" s="19">
        <v>166</v>
      </c>
      <c r="B169" s="20" t="s">
        <v>3447</v>
      </c>
      <c r="C169" s="20" t="s">
        <v>2995</v>
      </c>
      <c r="D169" s="20" t="s">
        <v>20</v>
      </c>
      <c r="E169" s="21"/>
      <c r="F169" s="21"/>
      <c r="G169" s="21"/>
      <c r="H169" s="21">
        <v>70</v>
      </c>
      <c r="I169" s="22">
        <f t="shared" si="2"/>
        <v>70</v>
      </c>
      <c r="J169" t="e">
        <f>VLOOKUP(B169,'[1]KT 광점퍼코드(수익률)'!$A$4:$P$243,16,0)</f>
        <v>#N/A</v>
      </c>
    </row>
    <row r="170" spans="1:10" ht="15.75" hidden="1" customHeight="1">
      <c r="A170" s="23">
        <v>167</v>
      </c>
      <c r="B170" s="24" t="s">
        <v>3448</v>
      </c>
      <c r="C170" s="24" t="s">
        <v>84</v>
      </c>
      <c r="D170" s="24" t="s">
        <v>3449</v>
      </c>
      <c r="E170" s="25"/>
      <c r="F170" s="25"/>
      <c r="G170" s="25"/>
      <c r="H170" s="25">
        <v>50</v>
      </c>
      <c r="I170" s="22">
        <f t="shared" si="2"/>
        <v>50</v>
      </c>
      <c r="J170" t="e">
        <f>VLOOKUP(B170,'[1]KT 광점퍼코드(수익률)'!$A$4:$P$243,16,0)</f>
        <v>#N/A</v>
      </c>
    </row>
    <row r="171" spans="1:10" ht="15.75" hidden="1" customHeight="1">
      <c r="A171" s="19">
        <v>168</v>
      </c>
      <c r="B171" s="20" t="s">
        <v>168</v>
      </c>
      <c r="C171" s="20" t="s">
        <v>169</v>
      </c>
      <c r="D171" s="20" t="s">
        <v>170</v>
      </c>
      <c r="E171" s="21">
        <v>15</v>
      </c>
      <c r="F171" s="21">
        <v>16</v>
      </c>
      <c r="G171" s="21"/>
      <c r="H171" s="21">
        <v>7</v>
      </c>
      <c r="I171" s="22">
        <f t="shared" si="2"/>
        <v>38</v>
      </c>
      <c r="J171" t="e">
        <f>VLOOKUP(B171,'[1]KT 광점퍼코드(수익률)'!$A$4:$P$243,16,0)</f>
        <v>#N/A</v>
      </c>
    </row>
    <row r="172" spans="1:10" ht="15.75" hidden="1" customHeight="1">
      <c r="A172" s="23">
        <v>169</v>
      </c>
      <c r="B172" s="24" t="s">
        <v>171</v>
      </c>
      <c r="C172" s="24" t="s">
        <v>169</v>
      </c>
      <c r="D172" s="24" t="s">
        <v>47</v>
      </c>
      <c r="E172" s="25">
        <v>3</v>
      </c>
      <c r="F172" s="25">
        <v>28</v>
      </c>
      <c r="G172" s="25">
        <v>10</v>
      </c>
      <c r="H172" s="25"/>
      <c r="I172" s="22">
        <f t="shared" si="2"/>
        <v>41</v>
      </c>
      <c r="J172" t="e">
        <f>VLOOKUP(B172,'[1]KT 광점퍼코드(수익률)'!$A$4:$P$243,16,0)</f>
        <v>#N/A</v>
      </c>
    </row>
    <row r="173" spans="1:10" ht="15.75" hidden="1" customHeight="1">
      <c r="A173" s="19">
        <v>170</v>
      </c>
      <c r="B173" s="20" t="s">
        <v>172</v>
      </c>
      <c r="C173" s="20" t="s">
        <v>169</v>
      </c>
      <c r="D173" s="20" t="s">
        <v>173</v>
      </c>
      <c r="E173" s="21">
        <v>20</v>
      </c>
      <c r="F173" s="21"/>
      <c r="G173" s="21">
        <v>23</v>
      </c>
      <c r="H173" s="21"/>
      <c r="I173" s="22">
        <f t="shared" si="2"/>
        <v>43</v>
      </c>
      <c r="J173" t="e">
        <f>VLOOKUP(B173,'[1]KT 광점퍼코드(수익률)'!$A$4:$P$243,16,0)</f>
        <v>#N/A</v>
      </c>
    </row>
    <row r="174" spans="1:10" ht="15.75" hidden="1" customHeight="1">
      <c r="A174" s="23">
        <v>171</v>
      </c>
      <c r="B174" s="24" t="s">
        <v>174</v>
      </c>
      <c r="C174" s="24" t="s">
        <v>169</v>
      </c>
      <c r="D174" s="24" t="s">
        <v>24</v>
      </c>
      <c r="E174" s="25">
        <v>125</v>
      </c>
      <c r="F174" s="25">
        <v>30</v>
      </c>
      <c r="G174" s="25">
        <v>51</v>
      </c>
      <c r="H174" s="25"/>
      <c r="I174" s="22">
        <f t="shared" si="2"/>
        <v>206</v>
      </c>
      <c r="J174" t="e">
        <f>VLOOKUP(B174,'[1]KT 광점퍼코드(수익률)'!$A$4:$P$243,16,0)</f>
        <v>#N/A</v>
      </c>
    </row>
    <row r="175" spans="1:10" ht="15.75" hidden="1" customHeight="1">
      <c r="A175" s="19">
        <v>172</v>
      </c>
      <c r="B175" s="20" t="s">
        <v>175</v>
      </c>
      <c r="C175" s="20" t="s">
        <v>169</v>
      </c>
      <c r="D175" s="20" t="s">
        <v>87</v>
      </c>
      <c r="E175" s="21">
        <v>33</v>
      </c>
      <c r="F175" s="21">
        <v>17</v>
      </c>
      <c r="G175" s="21">
        <v>8</v>
      </c>
      <c r="H175" s="21"/>
      <c r="I175" s="22">
        <f t="shared" si="2"/>
        <v>58</v>
      </c>
      <c r="J175" t="e">
        <f>VLOOKUP(B175,'[1]KT 광점퍼코드(수익률)'!$A$4:$P$243,16,0)</f>
        <v>#N/A</v>
      </c>
    </row>
    <row r="176" spans="1:10" ht="15.75" hidden="1" customHeight="1">
      <c r="A176" s="23">
        <v>173</v>
      </c>
      <c r="B176" s="24" t="s">
        <v>176</v>
      </c>
      <c r="C176" s="24" t="s">
        <v>169</v>
      </c>
      <c r="D176" s="24" t="s">
        <v>35</v>
      </c>
      <c r="E176" s="25">
        <v>4</v>
      </c>
      <c r="F176" s="25"/>
      <c r="G176" s="25"/>
      <c r="H176" s="25"/>
      <c r="I176" s="22">
        <f t="shared" si="2"/>
        <v>4</v>
      </c>
      <c r="J176" t="e">
        <f>VLOOKUP(B176,'[1]KT 광점퍼코드(수익률)'!$A$4:$P$243,16,0)</f>
        <v>#N/A</v>
      </c>
    </row>
    <row r="177" spans="1:10" ht="15.75" hidden="1" customHeight="1">
      <c r="A177" s="19">
        <v>174</v>
      </c>
      <c r="B177" s="20" t="s">
        <v>177</v>
      </c>
      <c r="C177" s="20" t="s">
        <v>169</v>
      </c>
      <c r="D177" s="20" t="s">
        <v>50</v>
      </c>
      <c r="E177" s="21">
        <v>39</v>
      </c>
      <c r="F177" s="21">
        <v>4</v>
      </c>
      <c r="G177" s="21"/>
      <c r="H177" s="21"/>
      <c r="I177" s="22">
        <f t="shared" si="2"/>
        <v>43</v>
      </c>
      <c r="J177" t="e">
        <f>VLOOKUP(B177,'[1]KT 광점퍼코드(수익률)'!$A$4:$P$243,16,0)</f>
        <v>#N/A</v>
      </c>
    </row>
    <row r="178" spans="1:10" ht="15.75" hidden="1" customHeight="1">
      <c r="A178" s="23">
        <v>175</v>
      </c>
      <c r="B178" s="24" t="s">
        <v>3002</v>
      </c>
      <c r="C178" s="24" t="s">
        <v>169</v>
      </c>
      <c r="D178" s="24" t="s">
        <v>55</v>
      </c>
      <c r="E178" s="25"/>
      <c r="F178" s="25"/>
      <c r="G178" s="25">
        <v>1</v>
      </c>
      <c r="H178" s="25"/>
      <c r="I178" s="22">
        <f t="shared" si="2"/>
        <v>1</v>
      </c>
      <c r="J178" t="e">
        <f>VLOOKUP(B178,'[1]KT 광점퍼코드(수익률)'!$A$4:$P$243,16,0)</f>
        <v>#N/A</v>
      </c>
    </row>
    <row r="179" spans="1:10" ht="15.75" hidden="1" customHeight="1">
      <c r="A179" s="19">
        <v>176</v>
      </c>
      <c r="B179" s="20" t="s">
        <v>178</v>
      </c>
      <c r="C179" s="20" t="s">
        <v>169</v>
      </c>
      <c r="D179" s="20" t="s">
        <v>57</v>
      </c>
      <c r="E179" s="21">
        <v>80</v>
      </c>
      <c r="F179" s="21">
        <v>40</v>
      </c>
      <c r="G179" s="21">
        <v>30</v>
      </c>
      <c r="H179" s="21">
        <v>50</v>
      </c>
      <c r="I179" s="22">
        <f t="shared" si="2"/>
        <v>200</v>
      </c>
      <c r="J179" t="e">
        <f>VLOOKUP(B179,'[1]KT 광점퍼코드(수익률)'!$A$4:$P$243,16,0)</f>
        <v>#N/A</v>
      </c>
    </row>
    <row r="180" spans="1:10" ht="15.75" hidden="1" customHeight="1">
      <c r="A180" s="23">
        <v>177</v>
      </c>
      <c r="B180" s="24" t="s">
        <v>3003</v>
      </c>
      <c r="C180" s="24" t="s">
        <v>169</v>
      </c>
      <c r="D180" s="24" t="s">
        <v>59</v>
      </c>
      <c r="E180" s="25"/>
      <c r="F180" s="25"/>
      <c r="G180" s="25">
        <v>4</v>
      </c>
      <c r="H180" s="25"/>
      <c r="I180" s="22">
        <f t="shared" si="2"/>
        <v>4</v>
      </c>
      <c r="J180" t="e">
        <f>VLOOKUP(B180,'[1]KT 광점퍼코드(수익률)'!$A$4:$P$243,16,0)</f>
        <v>#N/A</v>
      </c>
    </row>
    <row r="181" spans="1:10" ht="15.75" hidden="1" customHeight="1">
      <c r="A181" s="19">
        <v>178</v>
      </c>
      <c r="B181" s="20" t="s">
        <v>2365</v>
      </c>
      <c r="C181" s="20" t="s">
        <v>2366</v>
      </c>
      <c r="D181" s="20" t="s">
        <v>20</v>
      </c>
      <c r="E181" s="21"/>
      <c r="F181" s="21">
        <v>2</v>
      </c>
      <c r="G181" s="21"/>
      <c r="H181" s="21">
        <v>10</v>
      </c>
      <c r="I181" s="22">
        <f t="shared" si="2"/>
        <v>12</v>
      </c>
      <c r="J181" t="e">
        <f>VLOOKUP(B181,'[1]KT 광점퍼코드(수익률)'!$A$4:$P$243,16,0)</f>
        <v>#N/A</v>
      </c>
    </row>
    <row r="182" spans="1:10" ht="15.75" hidden="1" customHeight="1">
      <c r="A182" s="23">
        <v>179</v>
      </c>
      <c r="B182" s="24" t="s">
        <v>179</v>
      </c>
      <c r="C182" s="24" t="s">
        <v>180</v>
      </c>
      <c r="D182" s="24" t="s">
        <v>170</v>
      </c>
      <c r="E182" s="25">
        <v>3</v>
      </c>
      <c r="F182" s="25">
        <v>16</v>
      </c>
      <c r="G182" s="25">
        <v>3</v>
      </c>
      <c r="H182" s="25"/>
      <c r="I182" s="22">
        <f t="shared" si="2"/>
        <v>22</v>
      </c>
      <c r="J182" t="e">
        <f>VLOOKUP(B182,'[1]KT 광점퍼코드(수익률)'!$A$4:$P$243,16,0)</f>
        <v>#N/A</v>
      </c>
    </row>
    <row r="183" spans="1:10" ht="15.75" hidden="1" customHeight="1">
      <c r="A183" s="19">
        <v>180</v>
      </c>
      <c r="B183" s="20" t="s">
        <v>181</v>
      </c>
      <c r="C183" s="20" t="s">
        <v>180</v>
      </c>
      <c r="D183" s="20" t="s">
        <v>182</v>
      </c>
      <c r="E183" s="21">
        <v>160</v>
      </c>
      <c r="F183" s="21">
        <v>10</v>
      </c>
      <c r="G183" s="21"/>
      <c r="H183" s="21"/>
      <c r="I183" s="22">
        <f t="shared" si="2"/>
        <v>170</v>
      </c>
      <c r="J183" t="e">
        <f>VLOOKUP(B183,'[1]KT 광점퍼코드(수익률)'!$A$4:$P$243,16,0)</f>
        <v>#N/A</v>
      </c>
    </row>
    <row r="184" spans="1:10" ht="15.75" hidden="1" customHeight="1">
      <c r="A184" s="23">
        <v>181</v>
      </c>
      <c r="B184" s="24" t="s">
        <v>183</v>
      </c>
      <c r="C184" s="24" t="s">
        <v>180</v>
      </c>
      <c r="D184" s="24" t="s">
        <v>184</v>
      </c>
      <c r="E184" s="25">
        <v>7</v>
      </c>
      <c r="F184" s="25">
        <v>84</v>
      </c>
      <c r="G184" s="25"/>
      <c r="H184" s="25"/>
      <c r="I184" s="22">
        <f t="shared" si="2"/>
        <v>91</v>
      </c>
      <c r="J184" t="e">
        <f>VLOOKUP(B184,'[1]KT 광점퍼코드(수익률)'!$A$4:$P$243,16,0)</f>
        <v>#N/A</v>
      </c>
    </row>
    <row r="185" spans="1:10" ht="15.75" hidden="1" customHeight="1">
      <c r="A185" s="19">
        <v>182</v>
      </c>
      <c r="B185" s="20" t="s">
        <v>185</v>
      </c>
      <c r="C185" s="20" t="s">
        <v>180</v>
      </c>
      <c r="D185" s="20" t="s">
        <v>186</v>
      </c>
      <c r="E185" s="21">
        <v>4</v>
      </c>
      <c r="F185" s="21"/>
      <c r="G185" s="21"/>
      <c r="H185" s="21"/>
      <c r="I185" s="22">
        <f t="shared" si="2"/>
        <v>4</v>
      </c>
      <c r="J185" t="e">
        <f>VLOOKUP(B185,'[1]KT 광점퍼코드(수익률)'!$A$4:$P$243,16,0)</f>
        <v>#N/A</v>
      </c>
    </row>
    <row r="186" spans="1:10" ht="15.75" hidden="1" customHeight="1">
      <c r="A186" s="23">
        <v>183</v>
      </c>
      <c r="B186" s="24" t="s">
        <v>187</v>
      </c>
      <c r="C186" s="24" t="s">
        <v>180</v>
      </c>
      <c r="D186" s="24" t="s">
        <v>173</v>
      </c>
      <c r="E186" s="25">
        <v>76</v>
      </c>
      <c r="F186" s="25">
        <v>12</v>
      </c>
      <c r="G186" s="25">
        <v>51</v>
      </c>
      <c r="H186" s="25">
        <v>3</v>
      </c>
      <c r="I186" s="22">
        <f t="shared" si="2"/>
        <v>142</v>
      </c>
      <c r="J186" t="e">
        <f>VLOOKUP(B186,'[1]KT 광점퍼코드(수익률)'!$A$4:$P$243,16,0)</f>
        <v>#N/A</v>
      </c>
    </row>
    <row r="187" spans="1:10" ht="15.75" hidden="1" customHeight="1">
      <c r="A187" s="19">
        <v>184</v>
      </c>
      <c r="B187" s="20" t="s">
        <v>188</v>
      </c>
      <c r="C187" s="20" t="s">
        <v>180</v>
      </c>
      <c r="D187" s="20" t="s">
        <v>87</v>
      </c>
      <c r="E187" s="21">
        <v>12</v>
      </c>
      <c r="F187" s="21"/>
      <c r="G187" s="21">
        <v>14</v>
      </c>
      <c r="H187" s="21">
        <v>7</v>
      </c>
      <c r="I187" s="22">
        <f t="shared" si="2"/>
        <v>33</v>
      </c>
      <c r="J187" t="e">
        <f>VLOOKUP(B187,'[1]KT 광점퍼코드(수익률)'!$A$4:$P$243,16,0)</f>
        <v>#N/A</v>
      </c>
    </row>
    <row r="188" spans="1:10" ht="15.75" hidden="1" customHeight="1">
      <c r="A188" s="23">
        <v>185</v>
      </c>
      <c r="B188" s="24" t="s">
        <v>2367</v>
      </c>
      <c r="C188" s="24" t="s">
        <v>180</v>
      </c>
      <c r="D188" s="24" t="s">
        <v>35</v>
      </c>
      <c r="E188" s="25"/>
      <c r="F188" s="25">
        <v>1</v>
      </c>
      <c r="G188" s="25"/>
      <c r="H188" s="25">
        <v>3</v>
      </c>
      <c r="I188" s="22">
        <f t="shared" si="2"/>
        <v>4</v>
      </c>
      <c r="J188" t="e">
        <f>VLOOKUP(B188,'[1]KT 광점퍼코드(수익률)'!$A$4:$P$243,16,0)</f>
        <v>#N/A</v>
      </c>
    </row>
    <row r="189" spans="1:10" ht="15.75" hidden="1" customHeight="1">
      <c r="A189" s="19">
        <v>186</v>
      </c>
      <c r="B189" s="20" t="s">
        <v>2368</v>
      </c>
      <c r="C189" s="20" t="s">
        <v>180</v>
      </c>
      <c r="D189" s="20" t="s">
        <v>50</v>
      </c>
      <c r="E189" s="21"/>
      <c r="F189" s="21">
        <v>16</v>
      </c>
      <c r="G189" s="21">
        <v>5</v>
      </c>
      <c r="H189" s="21">
        <v>4</v>
      </c>
      <c r="I189" s="22">
        <f t="shared" si="2"/>
        <v>25</v>
      </c>
      <c r="J189" t="e">
        <f>VLOOKUP(B189,'[1]KT 광점퍼코드(수익률)'!$A$4:$P$243,16,0)</f>
        <v>#N/A</v>
      </c>
    </row>
    <row r="190" spans="1:10" ht="15.75" hidden="1" customHeight="1">
      <c r="A190" s="23">
        <v>187</v>
      </c>
      <c r="B190" s="24" t="s">
        <v>189</v>
      </c>
      <c r="C190" s="24" t="s">
        <v>180</v>
      </c>
      <c r="D190" s="24" t="s">
        <v>190</v>
      </c>
      <c r="E190" s="25">
        <v>2</v>
      </c>
      <c r="F190" s="25"/>
      <c r="G190" s="25">
        <v>8</v>
      </c>
      <c r="H190" s="25">
        <v>5</v>
      </c>
      <c r="I190" s="22">
        <f t="shared" si="2"/>
        <v>15</v>
      </c>
      <c r="J190" t="e">
        <f>VLOOKUP(B190,'[1]KT 광점퍼코드(수익률)'!$A$4:$P$243,16,0)</f>
        <v>#N/A</v>
      </c>
    </row>
    <row r="191" spans="1:10" ht="15.75" hidden="1" customHeight="1">
      <c r="A191" s="19">
        <v>188</v>
      </c>
      <c r="B191" s="20" t="s">
        <v>191</v>
      </c>
      <c r="C191" s="20" t="s">
        <v>180</v>
      </c>
      <c r="D191" s="20" t="s">
        <v>53</v>
      </c>
      <c r="E191" s="21">
        <v>2</v>
      </c>
      <c r="F191" s="21">
        <v>1</v>
      </c>
      <c r="G191" s="21"/>
      <c r="H191" s="21">
        <v>7</v>
      </c>
      <c r="I191" s="22">
        <f t="shared" si="2"/>
        <v>10</v>
      </c>
      <c r="J191" t="e">
        <f>VLOOKUP(B191,'[1]KT 광점퍼코드(수익률)'!$A$4:$P$243,16,0)</f>
        <v>#N/A</v>
      </c>
    </row>
    <row r="192" spans="1:10" ht="15.75" hidden="1" customHeight="1">
      <c r="A192" s="23">
        <v>189</v>
      </c>
      <c r="B192" s="24" t="s">
        <v>192</v>
      </c>
      <c r="C192" s="24" t="s">
        <v>180</v>
      </c>
      <c r="D192" s="24" t="s">
        <v>55</v>
      </c>
      <c r="E192" s="25">
        <v>5</v>
      </c>
      <c r="F192" s="25"/>
      <c r="G192" s="25">
        <v>4</v>
      </c>
      <c r="H192" s="25"/>
      <c r="I192" s="22">
        <f t="shared" si="2"/>
        <v>9</v>
      </c>
      <c r="J192" t="e">
        <f>VLOOKUP(B192,'[1]KT 광점퍼코드(수익률)'!$A$4:$P$243,16,0)</f>
        <v>#N/A</v>
      </c>
    </row>
    <row r="193" spans="1:10" ht="15.75" hidden="1" customHeight="1">
      <c r="A193" s="19">
        <v>190</v>
      </c>
      <c r="B193" s="20" t="s">
        <v>2369</v>
      </c>
      <c r="C193" s="20" t="s">
        <v>194</v>
      </c>
      <c r="D193" s="20" t="s">
        <v>170</v>
      </c>
      <c r="E193" s="21"/>
      <c r="F193" s="21">
        <v>3</v>
      </c>
      <c r="G193" s="21"/>
      <c r="H193" s="21"/>
      <c r="I193" s="22">
        <f t="shared" si="2"/>
        <v>3</v>
      </c>
      <c r="J193" t="e">
        <f>VLOOKUP(B193,'[1]KT 광점퍼코드(수익률)'!$A$4:$P$243,16,0)</f>
        <v>#N/A</v>
      </c>
    </row>
    <row r="194" spans="1:10" ht="15.75" hidden="1" customHeight="1">
      <c r="A194" s="23">
        <v>191</v>
      </c>
      <c r="B194" s="24" t="s">
        <v>2370</v>
      </c>
      <c r="C194" s="24" t="s">
        <v>194</v>
      </c>
      <c r="D194" s="24" t="s">
        <v>182</v>
      </c>
      <c r="E194" s="25"/>
      <c r="F194" s="25">
        <v>1</v>
      </c>
      <c r="G194" s="25"/>
      <c r="H194" s="25"/>
      <c r="I194" s="22">
        <f t="shared" si="2"/>
        <v>1</v>
      </c>
      <c r="J194" t="e">
        <f>VLOOKUP(B194,'[1]KT 광점퍼코드(수익률)'!$A$4:$P$243,16,0)</f>
        <v>#N/A</v>
      </c>
    </row>
    <row r="195" spans="1:10" ht="15.75" hidden="1" customHeight="1">
      <c r="A195" s="19">
        <v>192</v>
      </c>
      <c r="B195" s="20" t="s">
        <v>193</v>
      </c>
      <c r="C195" s="20" t="s">
        <v>194</v>
      </c>
      <c r="D195" s="20" t="s">
        <v>55</v>
      </c>
      <c r="E195" s="21">
        <v>2</v>
      </c>
      <c r="F195" s="21"/>
      <c r="G195" s="21"/>
      <c r="H195" s="21"/>
      <c r="I195" s="22">
        <f t="shared" si="2"/>
        <v>2</v>
      </c>
      <c r="J195" t="e">
        <f>VLOOKUP(B195,'[1]KT 광점퍼코드(수익률)'!$A$4:$P$243,16,0)</f>
        <v>#N/A</v>
      </c>
    </row>
    <row r="196" spans="1:10" ht="15.75" hidden="1" customHeight="1">
      <c r="A196" s="23">
        <v>193</v>
      </c>
      <c r="B196" s="24" t="s">
        <v>195</v>
      </c>
      <c r="C196" s="24" t="s">
        <v>196</v>
      </c>
      <c r="D196" s="24" t="s">
        <v>22</v>
      </c>
      <c r="E196" s="25">
        <v>10</v>
      </c>
      <c r="F196" s="25"/>
      <c r="G196" s="25"/>
      <c r="H196" s="25"/>
      <c r="I196" s="22">
        <f t="shared" ref="I196:I259" si="3">SUM(E196:H196)</f>
        <v>10</v>
      </c>
      <c r="J196" t="e">
        <f>VLOOKUP(B196,'[1]KT 광점퍼코드(수익률)'!$A$4:$P$243,16,0)</f>
        <v>#N/A</v>
      </c>
    </row>
    <row r="197" spans="1:10" ht="15.75" hidden="1" customHeight="1">
      <c r="A197" s="19">
        <v>194</v>
      </c>
      <c r="B197" s="20" t="s">
        <v>2371</v>
      </c>
      <c r="C197" s="20" t="s">
        <v>198</v>
      </c>
      <c r="D197" s="20" t="s">
        <v>20</v>
      </c>
      <c r="E197" s="21"/>
      <c r="F197" s="21">
        <v>2</v>
      </c>
      <c r="G197" s="21"/>
      <c r="H197" s="21"/>
      <c r="I197" s="22">
        <f t="shared" si="3"/>
        <v>2</v>
      </c>
      <c r="J197" t="e">
        <f>VLOOKUP(B197,'[1]KT 광점퍼코드(수익률)'!$A$4:$P$243,16,0)</f>
        <v>#N/A</v>
      </c>
    </row>
    <row r="198" spans="1:10" ht="15.75" hidden="1" customHeight="1">
      <c r="A198" s="23">
        <v>195</v>
      </c>
      <c r="B198" s="24" t="s">
        <v>197</v>
      </c>
      <c r="C198" s="24" t="s">
        <v>198</v>
      </c>
      <c r="D198" s="24" t="s">
        <v>42</v>
      </c>
      <c r="E198" s="25">
        <v>34</v>
      </c>
      <c r="F198" s="25"/>
      <c r="G198" s="25">
        <v>35</v>
      </c>
      <c r="H198" s="25"/>
      <c r="I198" s="22">
        <f t="shared" si="3"/>
        <v>69</v>
      </c>
      <c r="J198" t="e">
        <f>VLOOKUP(B198,'[1]KT 광점퍼코드(수익률)'!$A$4:$P$243,16,0)</f>
        <v>#N/A</v>
      </c>
    </row>
    <row r="199" spans="1:10" ht="15.75" hidden="1" customHeight="1">
      <c r="A199" s="19">
        <v>196</v>
      </c>
      <c r="B199" s="20" t="s">
        <v>199</v>
      </c>
      <c r="C199" s="20" t="s">
        <v>198</v>
      </c>
      <c r="D199" s="20" t="s">
        <v>22</v>
      </c>
      <c r="E199" s="21">
        <v>10</v>
      </c>
      <c r="F199" s="21"/>
      <c r="G199" s="21"/>
      <c r="H199" s="21"/>
      <c r="I199" s="22">
        <f t="shared" si="3"/>
        <v>10</v>
      </c>
      <c r="J199" t="e">
        <f>VLOOKUP(B199,'[1]KT 광점퍼코드(수익률)'!$A$4:$P$243,16,0)</f>
        <v>#N/A</v>
      </c>
    </row>
    <row r="200" spans="1:10" ht="15.75" hidden="1" customHeight="1">
      <c r="A200" s="23">
        <v>197</v>
      </c>
      <c r="B200" s="24" t="s">
        <v>200</v>
      </c>
      <c r="C200" s="24" t="s">
        <v>198</v>
      </c>
      <c r="D200" s="24" t="s">
        <v>45</v>
      </c>
      <c r="E200" s="25">
        <v>55</v>
      </c>
      <c r="F200" s="25">
        <v>4</v>
      </c>
      <c r="G200" s="25"/>
      <c r="H200" s="25"/>
      <c r="I200" s="22">
        <f t="shared" si="3"/>
        <v>59</v>
      </c>
      <c r="J200" t="e">
        <f>VLOOKUP(B200,'[1]KT 광점퍼코드(수익률)'!$A$4:$P$243,16,0)</f>
        <v>#N/A</v>
      </c>
    </row>
    <row r="201" spans="1:10" ht="15.75" hidden="1" customHeight="1">
      <c r="A201" s="19">
        <v>198</v>
      </c>
      <c r="B201" s="20" t="s">
        <v>201</v>
      </c>
      <c r="C201" s="20" t="s">
        <v>198</v>
      </c>
      <c r="D201" s="20" t="s">
        <v>26</v>
      </c>
      <c r="E201" s="21">
        <v>55</v>
      </c>
      <c r="F201" s="21"/>
      <c r="G201" s="21"/>
      <c r="H201" s="21"/>
      <c r="I201" s="22">
        <f t="shared" si="3"/>
        <v>55</v>
      </c>
      <c r="J201" t="e">
        <f>VLOOKUP(B201,'[1]KT 광점퍼코드(수익률)'!$A$4:$P$243,16,0)</f>
        <v>#N/A</v>
      </c>
    </row>
    <row r="202" spans="1:10" ht="15.75" hidden="1" customHeight="1">
      <c r="A202" s="23">
        <v>199</v>
      </c>
      <c r="B202" s="24" t="s">
        <v>202</v>
      </c>
      <c r="C202" s="24" t="s">
        <v>203</v>
      </c>
      <c r="D202" s="24" t="s">
        <v>204</v>
      </c>
      <c r="E202" s="25">
        <v>100</v>
      </c>
      <c r="F202" s="25">
        <v>100</v>
      </c>
      <c r="G202" s="25"/>
      <c r="H202" s="25"/>
      <c r="I202" s="22">
        <f t="shared" si="3"/>
        <v>200</v>
      </c>
      <c r="J202" t="e">
        <f>VLOOKUP(B202,'[1]KT 광점퍼코드(수익률)'!$A$4:$P$243,16,0)</f>
        <v>#N/A</v>
      </c>
    </row>
    <row r="203" spans="1:10" ht="15.75" hidden="1" customHeight="1">
      <c r="A203" s="19">
        <v>200</v>
      </c>
      <c r="B203" s="20" t="s">
        <v>2372</v>
      </c>
      <c r="C203" s="20" t="s">
        <v>206</v>
      </c>
      <c r="D203" s="20" t="s">
        <v>20</v>
      </c>
      <c r="E203" s="21"/>
      <c r="F203" s="21">
        <v>20</v>
      </c>
      <c r="G203" s="21"/>
      <c r="H203" s="21"/>
      <c r="I203" s="22">
        <f t="shared" si="3"/>
        <v>20</v>
      </c>
      <c r="J203" t="e">
        <f>VLOOKUP(B203,'[1]KT 광점퍼코드(수익률)'!$A$4:$P$243,16,0)</f>
        <v>#N/A</v>
      </c>
    </row>
    <row r="204" spans="1:10" ht="15.75" hidden="1" customHeight="1">
      <c r="A204" s="23">
        <v>201</v>
      </c>
      <c r="B204" s="24" t="s">
        <v>205</v>
      </c>
      <c r="C204" s="24" t="s">
        <v>206</v>
      </c>
      <c r="D204" s="24" t="s">
        <v>32</v>
      </c>
      <c r="E204" s="25">
        <v>30</v>
      </c>
      <c r="F204" s="25">
        <v>20</v>
      </c>
      <c r="G204" s="25"/>
      <c r="H204" s="25"/>
      <c r="I204" s="22">
        <f t="shared" si="3"/>
        <v>50</v>
      </c>
      <c r="J204" t="e">
        <f>VLOOKUP(B204,'[1]KT 광점퍼코드(수익률)'!$A$4:$P$243,16,0)</f>
        <v>#N/A</v>
      </c>
    </row>
    <row r="205" spans="1:10" ht="15.75" hidden="1" customHeight="1">
      <c r="A205" s="19">
        <v>202</v>
      </c>
      <c r="B205" s="20" t="s">
        <v>207</v>
      </c>
      <c r="C205" s="20" t="s">
        <v>206</v>
      </c>
      <c r="D205" s="20" t="s">
        <v>22</v>
      </c>
      <c r="E205" s="21">
        <v>49</v>
      </c>
      <c r="F205" s="21"/>
      <c r="G205" s="21"/>
      <c r="H205" s="21"/>
      <c r="I205" s="22">
        <f t="shared" si="3"/>
        <v>49</v>
      </c>
      <c r="J205" t="e">
        <f>VLOOKUP(B205,'[1]KT 광점퍼코드(수익률)'!$A$4:$P$243,16,0)</f>
        <v>#N/A</v>
      </c>
    </row>
    <row r="206" spans="1:10" ht="15.75" hidden="1" customHeight="1">
      <c r="A206" s="23">
        <v>203</v>
      </c>
      <c r="B206" s="24" t="s">
        <v>208</v>
      </c>
      <c r="C206" s="24" t="s">
        <v>206</v>
      </c>
      <c r="D206" s="24" t="s">
        <v>50</v>
      </c>
      <c r="E206" s="25">
        <v>2</v>
      </c>
      <c r="F206" s="25"/>
      <c r="G206" s="25"/>
      <c r="H206" s="25"/>
      <c r="I206" s="22">
        <f t="shared" si="3"/>
        <v>2</v>
      </c>
      <c r="J206" t="e">
        <f>VLOOKUP(B206,'[1]KT 광점퍼코드(수익률)'!$A$4:$P$243,16,0)</f>
        <v>#N/A</v>
      </c>
    </row>
    <row r="207" spans="1:10" ht="15.75" hidden="1" customHeight="1">
      <c r="A207" s="19">
        <v>204</v>
      </c>
      <c r="B207" s="20" t="s">
        <v>209</v>
      </c>
      <c r="C207" s="20" t="s">
        <v>206</v>
      </c>
      <c r="D207" s="20" t="s">
        <v>190</v>
      </c>
      <c r="E207" s="21">
        <v>2</v>
      </c>
      <c r="F207" s="21"/>
      <c r="G207" s="21"/>
      <c r="H207" s="21"/>
      <c r="I207" s="22">
        <f t="shared" si="3"/>
        <v>2</v>
      </c>
      <c r="J207" t="e">
        <f>VLOOKUP(B207,'[1]KT 광점퍼코드(수익률)'!$A$4:$P$243,16,0)</f>
        <v>#N/A</v>
      </c>
    </row>
    <row r="208" spans="1:10" ht="15.75" hidden="1" customHeight="1">
      <c r="A208" s="23">
        <v>205</v>
      </c>
      <c r="B208" s="24" t="s">
        <v>2373</v>
      </c>
      <c r="C208" s="24" t="s">
        <v>206</v>
      </c>
      <c r="D208" s="24" t="s">
        <v>53</v>
      </c>
      <c r="E208" s="25"/>
      <c r="F208" s="25">
        <v>1</v>
      </c>
      <c r="G208" s="25"/>
      <c r="H208" s="25"/>
      <c r="I208" s="22">
        <f t="shared" si="3"/>
        <v>1</v>
      </c>
      <c r="J208" t="e">
        <f>VLOOKUP(B208,'[1]KT 광점퍼코드(수익률)'!$A$4:$P$243,16,0)</f>
        <v>#N/A</v>
      </c>
    </row>
    <row r="209" spans="1:10" ht="15.75" hidden="1" customHeight="1">
      <c r="A209" s="19">
        <v>206</v>
      </c>
      <c r="B209" s="20" t="s">
        <v>210</v>
      </c>
      <c r="C209" s="20" t="s">
        <v>211</v>
      </c>
      <c r="D209" s="20" t="s">
        <v>20</v>
      </c>
      <c r="E209" s="21">
        <v>50</v>
      </c>
      <c r="F209" s="21"/>
      <c r="G209" s="21"/>
      <c r="H209" s="21"/>
      <c r="I209" s="22">
        <f t="shared" si="3"/>
        <v>50</v>
      </c>
      <c r="J209" t="e">
        <f>VLOOKUP(B209,'[1]KT 광점퍼코드(수익률)'!$A$4:$P$243,16,0)</f>
        <v>#N/A</v>
      </c>
    </row>
    <row r="210" spans="1:10" ht="15.75" hidden="1" customHeight="1">
      <c r="A210" s="23">
        <v>207</v>
      </c>
      <c r="B210" s="24" t="s">
        <v>212</v>
      </c>
      <c r="C210" s="24" t="s">
        <v>211</v>
      </c>
      <c r="D210" s="24" t="s">
        <v>32</v>
      </c>
      <c r="E210" s="25">
        <v>6</v>
      </c>
      <c r="F210" s="25"/>
      <c r="G210" s="25">
        <v>10</v>
      </c>
      <c r="H210" s="25"/>
      <c r="I210" s="22">
        <f t="shared" si="3"/>
        <v>16</v>
      </c>
      <c r="J210" t="e">
        <f>VLOOKUP(B210,'[1]KT 광점퍼코드(수익률)'!$A$4:$P$243,16,0)</f>
        <v>#N/A</v>
      </c>
    </row>
    <row r="211" spans="1:10" ht="15.75" hidden="1" customHeight="1">
      <c r="A211" s="19">
        <v>208</v>
      </c>
      <c r="B211" s="20" t="s">
        <v>213</v>
      </c>
      <c r="C211" s="20" t="s">
        <v>211</v>
      </c>
      <c r="D211" s="20" t="s">
        <v>121</v>
      </c>
      <c r="E211" s="21">
        <v>6</v>
      </c>
      <c r="F211" s="21"/>
      <c r="G211" s="21">
        <v>7</v>
      </c>
      <c r="H211" s="21"/>
      <c r="I211" s="22">
        <f t="shared" si="3"/>
        <v>13</v>
      </c>
      <c r="J211" t="e">
        <f>VLOOKUP(B211,'[1]KT 광점퍼코드(수익률)'!$A$4:$P$243,16,0)</f>
        <v>#N/A</v>
      </c>
    </row>
    <row r="212" spans="1:10" ht="15.75" hidden="1" customHeight="1">
      <c r="A212" s="23">
        <v>209</v>
      </c>
      <c r="B212" s="24" t="s">
        <v>214</v>
      </c>
      <c r="C212" s="24" t="s">
        <v>211</v>
      </c>
      <c r="D212" s="24" t="s">
        <v>45</v>
      </c>
      <c r="E212" s="25">
        <v>20</v>
      </c>
      <c r="F212" s="25"/>
      <c r="G212" s="25"/>
      <c r="H212" s="25"/>
      <c r="I212" s="22">
        <f t="shared" si="3"/>
        <v>20</v>
      </c>
      <c r="J212" t="e">
        <f>VLOOKUP(B212,'[1]KT 광점퍼코드(수익률)'!$A$4:$P$243,16,0)</f>
        <v>#N/A</v>
      </c>
    </row>
    <row r="213" spans="1:10" ht="15.75" hidden="1" customHeight="1">
      <c r="A213" s="19">
        <v>210</v>
      </c>
      <c r="B213" s="20" t="s">
        <v>215</v>
      </c>
      <c r="C213" s="20" t="s">
        <v>211</v>
      </c>
      <c r="D213" s="20" t="s">
        <v>173</v>
      </c>
      <c r="E213" s="21">
        <v>2</v>
      </c>
      <c r="F213" s="21"/>
      <c r="G213" s="21"/>
      <c r="H213" s="21"/>
      <c r="I213" s="22">
        <f t="shared" si="3"/>
        <v>2</v>
      </c>
      <c r="J213" t="e">
        <f>VLOOKUP(B213,'[1]KT 광점퍼코드(수익률)'!$A$4:$P$243,16,0)</f>
        <v>#N/A</v>
      </c>
    </row>
    <row r="214" spans="1:10" ht="15.75" hidden="1" customHeight="1">
      <c r="A214" s="23">
        <v>211</v>
      </c>
      <c r="B214" s="24" t="s">
        <v>2374</v>
      </c>
      <c r="C214" s="24" t="s">
        <v>211</v>
      </c>
      <c r="D214" s="24" t="s">
        <v>24</v>
      </c>
      <c r="E214" s="25"/>
      <c r="F214" s="25">
        <v>2</v>
      </c>
      <c r="G214" s="25"/>
      <c r="H214" s="25"/>
      <c r="I214" s="22">
        <f t="shared" si="3"/>
        <v>2</v>
      </c>
      <c r="J214" t="e">
        <f>VLOOKUP(B214,'[1]KT 광점퍼코드(수익률)'!$A$4:$P$243,16,0)</f>
        <v>#N/A</v>
      </c>
    </row>
    <row r="215" spans="1:10" ht="15.75" hidden="1" customHeight="1">
      <c r="A215" s="19">
        <v>212</v>
      </c>
      <c r="B215" s="20" t="s">
        <v>216</v>
      </c>
      <c r="C215" s="20" t="s">
        <v>211</v>
      </c>
      <c r="D215" s="20" t="s">
        <v>87</v>
      </c>
      <c r="E215" s="21">
        <v>6</v>
      </c>
      <c r="F215" s="21"/>
      <c r="G215" s="21"/>
      <c r="H215" s="21"/>
      <c r="I215" s="22">
        <f t="shared" si="3"/>
        <v>6</v>
      </c>
      <c r="J215" t="e">
        <f>VLOOKUP(B215,'[1]KT 광점퍼코드(수익률)'!$A$4:$P$243,16,0)</f>
        <v>#N/A</v>
      </c>
    </row>
    <row r="216" spans="1:10" ht="15.75" hidden="1" customHeight="1">
      <c r="A216" s="23">
        <v>213</v>
      </c>
      <c r="B216" s="24" t="s">
        <v>217</v>
      </c>
      <c r="C216" s="24" t="s">
        <v>211</v>
      </c>
      <c r="D216" s="24" t="s">
        <v>35</v>
      </c>
      <c r="E216" s="25">
        <v>3</v>
      </c>
      <c r="F216" s="25"/>
      <c r="G216" s="25"/>
      <c r="H216" s="25"/>
      <c r="I216" s="22">
        <f t="shared" si="3"/>
        <v>3</v>
      </c>
      <c r="J216" t="e">
        <f>VLOOKUP(B216,'[1]KT 광점퍼코드(수익률)'!$A$4:$P$243,16,0)</f>
        <v>#N/A</v>
      </c>
    </row>
    <row r="217" spans="1:10" ht="15.75" hidden="1" customHeight="1">
      <c r="A217" s="19">
        <v>214</v>
      </c>
      <c r="B217" s="20" t="s">
        <v>218</v>
      </c>
      <c r="C217" s="20" t="s">
        <v>211</v>
      </c>
      <c r="D217" s="20" t="s">
        <v>50</v>
      </c>
      <c r="E217" s="21">
        <v>6</v>
      </c>
      <c r="F217" s="21"/>
      <c r="G217" s="21"/>
      <c r="H217" s="21">
        <v>2</v>
      </c>
      <c r="I217" s="22">
        <f t="shared" si="3"/>
        <v>8</v>
      </c>
      <c r="J217" t="e">
        <f>VLOOKUP(B217,'[1]KT 광점퍼코드(수익률)'!$A$4:$P$243,16,0)</f>
        <v>#N/A</v>
      </c>
    </row>
    <row r="218" spans="1:10" ht="15.75" hidden="1" customHeight="1">
      <c r="A218" s="23">
        <v>215</v>
      </c>
      <c r="B218" s="24" t="s">
        <v>3450</v>
      </c>
      <c r="C218" s="24" t="s">
        <v>203</v>
      </c>
      <c r="D218" s="24" t="s">
        <v>1515</v>
      </c>
      <c r="E218" s="25"/>
      <c r="F218" s="25"/>
      <c r="G218" s="25"/>
      <c r="H218" s="25">
        <v>50</v>
      </c>
      <c r="I218" s="22">
        <f t="shared" si="3"/>
        <v>50</v>
      </c>
      <c r="J218" t="e">
        <f>VLOOKUP(B218,'[1]KT 광점퍼코드(수익률)'!$A$4:$P$243,16,0)</f>
        <v>#N/A</v>
      </c>
    </row>
    <row r="219" spans="1:10" ht="15.75" hidden="1" customHeight="1">
      <c r="A219" s="19">
        <v>216</v>
      </c>
      <c r="B219" s="20" t="s">
        <v>219</v>
      </c>
      <c r="C219" s="20" t="s">
        <v>203</v>
      </c>
      <c r="D219" s="20" t="s">
        <v>20</v>
      </c>
      <c r="E219" s="21">
        <v>505</v>
      </c>
      <c r="F219" s="21">
        <v>170</v>
      </c>
      <c r="G219" s="21">
        <v>200</v>
      </c>
      <c r="H219" s="21">
        <v>100</v>
      </c>
      <c r="I219" s="22">
        <f t="shared" si="3"/>
        <v>975</v>
      </c>
      <c r="J219" t="e">
        <f>VLOOKUP(B219,'[1]KT 광점퍼코드(수익률)'!$A$4:$P$243,16,0)</f>
        <v>#N/A</v>
      </c>
    </row>
    <row r="220" spans="1:10" ht="15.75" hidden="1" customHeight="1">
      <c r="A220" s="23">
        <v>217</v>
      </c>
      <c r="B220" s="24" t="s">
        <v>220</v>
      </c>
      <c r="C220" s="24" t="s">
        <v>203</v>
      </c>
      <c r="D220" s="24" t="s">
        <v>32</v>
      </c>
      <c r="E220" s="25">
        <v>220</v>
      </c>
      <c r="F220" s="25">
        <v>50</v>
      </c>
      <c r="G220" s="25">
        <v>200</v>
      </c>
      <c r="H220" s="25"/>
      <c r="I220" s="22">
        <f t="shared" si="3"/>
        <v>470</v>
      </c>
      <c r="J220" t="e">
        <f>VLOOKUP(B220,'[1]KT 광점퍼코드(수익률)'!$A$4:$P$243,16,0)</f>
        <v>#N/A</v>
      </c>
    </row>
    <row r="221" spans="1:10" ht="15.75" hidden="1" customHeight="1">
      <c r="A221" s="19">
        <v>218</v>
      </c>
      <c r="B221" s="20" t="s">
        <v>221</v>
      </c>
      <c r="C221" s="20" t="s">
        <v>203</v>
      </c>
      <c r="D221" s="20" t="s">
        <v>222</v>
      </c>
      <c r="E221" s="21">
        <v>1</v>
      </c>
      <c r="F221" s="21">
        <v>25</v>
      </c>
      <c r="G221" s="21">
        <v>20</v>
      </c>
      <c r="H221" s="21"/>
      <c r="I221" s="22">
        <f t="shared" si="3"/>
        <v>46</v>
      </c>
      <c r="J221" t="e">
        <f>VLOOKUP(B221,'[1]KT 광점퍼코드(수익률)'!$A$4:$P$243,16,0)</f>
        <v>#N/A</v>
      </c>
    </row>
    <row r="222" spans="1:10" ht="15.75" hidden="1" customHeight="1">
      <c r="A222" s="23">
        <v>219</v>
      </c>
      <c r="B222" s="24" t="s">
        <v>2375</v>
      </c>
      <c r="C222" s="24" t="s">
        <v>203</v>
      </c>
      <c r="D222" s="24" t="s">
        <v>42</v>
      </c>
      <c r="E222" s="25"/>
      <c r="F222" s="25">
        <v>95</v>
      </c>
      <c r="G222" s="25"/>
      <c r="H222" s="25"/>
      <c r="I222" s="22">
        <f t="shared" si="3"/>
        <v>95</v>
      </c>
      <c r="J222" t="e">
        <f>VLOOKUP(B222,'[1]KT 광점퍼코드(수익률)'!$A$4:$P$243,16,0)</f>
        <v>#N/A</v>
      </c>
    </row>
    <row r="223" spans="1:10" ht="15.75" hidden="1" customHeight="1">
      <c r="A223" s="19">
        <v>220</v>
      </c>
      <c r="B223" s="20" t="s">
        <v>223</v>
      </c>
      <c r="C223" s="20" t="s">
        <v>203</v>
      </c>
      <c r="D223" s="20" t="s">
        <v>22</v>
      </c>
      <c r="E223" s="21">
        <v>145</v>
      </c>
      <c r="F223" s="21">
        <v>200</v>
      </c>
      <c r="G223" s="21">
        <v>190</v>
      </c>
      <c r="H223" s="21"/>
      <c r="I223" s="22">
        <f t="shared" si="3"/>
        <v>535</v>
      </c>
      <c r="J223" t="e">
        <f>VLOOKUP(B223,'[1]KT 광점퍼코드(수익률)'!$A$4:$P$243,16,0)</f>
        <v>#N/A</v>
      </c>
    </row>
    <row r="224" spans="1:10" ht="15.75" hidden="1" customHeight="1">
      <c r="A224" s="23">
        <v>221</v>
      </c>
      <c r="B224" s="24" t="s">
        <v>224</v>
      </c>
      <c r="C224" s="24" t="s">
        <v>203</v>
      </c>
      <c r="D224" s="24" t="s">
        <v>225</v>
      </c>
      <c r="E224" s="25">
        <v>64</v>
      </c>
      <c r="F224" s="25">
        <v>5</v>
      </c>
      <c r="G224" s="25">
        <v>20</v>
      </c>
      <c r="H224" s="25"/>
      <c r="I224" s="22">
        <f t="shared" si="3"/>
        <v>89</v>
      </c>
      <c r="J224" t="e">
        <f>VLOOKUP(B224,'[1]KT 광점퍼코드(수익률)'!$A$4:$P$243,16,0)</f>
        <v>#N/A</v>
      </c>
    </row>
    <row r="225" spans="1:10" ht="15.75" hidden="1" customHeight="1">
      <c r="A225" s="19">
        <v>222</v>
      </c>
      <c r="B225" s="20" t="s">
        <v>226</v>
      </c>
      <c r="C225" s="20" t="s">
        <v>203</v>
      </c>
      <c r="D225" s="20" t="s">
        <v>121</v>
      </c>
      <c r="E225" s="21">
        <v>80</v>
      </c>
      <c r="F225" s="21">
        <v>100</v>
      </c>
      <c r="G225" s="21">
        <v>250</v>
      </c>
      <c r="H225" s="21"/>
      <c r="I225" s="22">
        <f t="shared" si="3"/>
        <v>430</v>
      </c>
      <c r="J225" t="e">
        <f>VLOOKUP(B225,'[1]KT 광점퍼코드(수익률)'!$A$4:$P$243,16,0)</f>
        <v>#N/A</v>
      </c>
    </row>
    <row r="226" spans="1:10" ht="15.75" hidden="1" customHeight="1">
      <c r="A226" s="23">
        <v>223</v>
      </c>
      <c r="B226" s="24" t="s">
        <v>227</v>
      </c>
      <c r="C226" s="24" t="s">
        <v>203</v>
      </c>
      <c r="D226" s="24" t="s">
        <v>45</v>
      </c>
      <c r="E226" s="25">
        <v>322</v>
      </c>
      <c r="F226" s="25">
        <v>10</v>
      </c>
      <c r="G226" s="25"/>
      <c r="H226" s="25"/>
      <c r="I226" s="22">
        <f t="shared" si="3"/>
        <v>332</v>
      </c>
      <c r="J226" t="e">
        <f>VLOOKUP(B226,'[1]KT 광점퍼코드(수익률)'!$A$4:$P$243,16,0)</f>
        <v>#N/A</v>
      </c>
    </row>
    <row r="227" spans="1:10" ht="15.75" hidden="1" customHeight="1">
      <c r="A227" s="19">
        <v>224</v>
      </c>
      <c r="B227" s="20" t="s">
        <v>228</v>
      </c>
      <c r="C227" s="20" t="s">
        <v>203</v>
      </c>
      <c r="D227" s="20" t="s">
        <v>47</v>
      </c>
      <c r="E227" s="21">
        <v>62</v>
      </c>
      <c r="F227" s="21">
        <v>90</v>
      </c>
      <c r="G227" s="21"/>
      <c r="H227" s="21"/>
      <c r="I227" s="22">
        <f t="shared" si="3"/>
        <v>152</v>
      </c>
      <c r="J227" t="e">
        <f>VLOOKUP(B227,'[1]KT 광점퍼코드(수익률)'!$A$4:$P$243,16,0)</f>
        <v>#N/A</v>
      </c>
    </row>
    <row r="228" spans="1:10" ht="15.75" hidden="1" customHeight="1">
      <c r="A228" s="23">
        <v>225</v>
      </c>
      <c r="B228" s="24" t="s">
        <v>229</v>
      </c>
      <c r="C228" s="24" t="s">
        <v>203</v>
      </c>
      <c r="D228" s="24" t="s">
        <v>173</v>
      </c>
      <c r="E228" s="25">
        <v>14</v>
      </c>
      <c r="F228" s="25">
        <v>50</v>
      </c>
      <c r="G228" s="25"/>
      <c r="H228" s="25"/>
      <c r="I228" s="22">
        <f t="shared" si="3"/>
        <v>64</v>
      </c>
      <c r="J228" t="e">
        <f>VLOOKUP(B228,'[1]KT 광점퍼코드(수익률)'!$A$4:$P$243,16,0)</f>
        <v>#N/A</v>
      </c>
    </row>
    <row r="229" spans="1:10" ht="15.75" hidden="1" customHeight="1">
      <c r="A229" s="19">
        <v>226</v>
      </c>
      <c r="B229" s="20" t="s">
        <v>230</v>
      </c>
      <c r="C229" s="20" t="s">
        <v>203</v>
      </c>
      <c r="D229" s="20" t="s">
        <v>24</v>
      </c>
      <c r="E229" s="21">
        <v>182</v>
      </c>
      <c r="F229" s="21">
        <v>200</v>
      </c>
      <c r="G229" s="21">
        <v>100</v>
      </c>
      <c r="H229" s="21"/>
      <c r="I229" s="22">
        <f t="shared" si="3"/>
        <v>482</v>
      </c>
      <c r="J229" t="e">
        <f>VLOOKUP(B229,'[1]KT 광점퍼코드(수익률)'!$A$4:$P$243,16,0)</f>
        <v>#N/A</v>
      </c>
    </row>
    <row r="230" spans="1:10" ht="15.75" hidden="1" customHeight="1">
      <c r="A230" s="23">
        <v>227</v>
      </c>
      <c r="B230" s="24" t="s">
        <v>231</v>
      </c>
      <c r="C230" s="24" t="s">
        <v>203</v>
      </c>
      <c r="D230" s="24" t="s">
        <v>87</v>
      </c>
      <c r="E230" s="25">
        <v>30</v>
      </c>
      <c r="F230" s="25">
        <v>20</v>
      </c>
      <c r="G230" s="25"/>
      <c r="H230" s="25"/>
      <c r="I230" s="22">
        <f t="shared" si="3"/>
        <v>50</v>
      </c>
      <c r="J230" t="e">
        <f>VLOOKUP(B230,'[1]KT 광점퍼코드(수익률)'!$A$4:$P$243,16,0)</f>
        <v>#N/A</v>
      </c>
    </row>
    <row r="231" spans="1:10" ht="15.75" hidden="1" customHeight="1">
      <c r="A231" s="19">
        <v>228</v>
      </c>
      <c r="B231" s="20" t="s">
        <v>232</v>
      </c>
      <c r="C231" s="20" t="s">
        <v>203</v>
      </c>
      <c r="D231" s="20" t="s">
        <v>35</v>
      </c>
      <c r="E231" s="21">
        <v>60</v>
      </c>
      <c r="F231" s="21">
        <v>20</v>
      </c>
      <c r="G231" s="21">
        <v>30</v>
      </c>
      <c r="H231" s="21"/>
      <c r="I231" s="22">
        <f t="shared" si="3"/>
        <v>110</v>
      </c>
      <c r="J231" t="e">
        <f>VLOOKUP(B231,'[1]KT 광점퍼코드(수익률)'!$A$4:$P$243,16,0)</f>
        <v>#N/A</v>
      </c>
    </row>
    <row r="232" spans="1:10" ht="15.75" hidden="1" customHeight="1">
      <c r="A232" s="23">
        <v>229</v>
      </c>
      <c r="B232" s="24" t="s">
        <v>233</v>
      </c>
      <c r="C232" s="24" t="s">
        <v>203</v>
      </c>
      <c r="D232" s="24" t="s">
        <v>50</v>
      </c>
      <c r="E232" s="25">
        <v>70</v>
      </c>
      <c r="F232" s="25">
        <v>16</v>
      </c>
      <c r="G232" s="25">
        <v>30</v>
      </c>
      <c r="H232" s="25"/>
      <c r="I232" s="22">
        <f t="shared" si="3"/>
        <v>116</v>
      </c>
      <c r="J232" t="e">
        <f>VLOOKUP(B232,'[1]KT 광점퍼코드(수익률)'!$A$4:$P$243,16,0)</f>
        <v>#N/A</v>
      </c>
    </row>
    <row r="233" spans="1:10" ht="15.75" hidden="1" customHeight="1">
      <c r="A233" s="19">
        <v>230</v>
      </c>
      <c r="B233" s="20" t="s">
        <v>234</v>
      </c>
      <c r="C233" s="20" t="s">
        <v>203</v>
      </c>
      <c r="D233" s="20" t="s">
        <v>190</v>
      </c>
      <c r="E233" s="21">
        <v>50</v>
      </c>
      <c r="F233" s="21">
        <v>30</v>
      </c>
      <c r="G233" s="21">
        <v>20</v>
      </c>
      <c r="H233" s="21"/>
      <c r="I233" s="22">
        <f t="shared" si="3"/>
        <v>100</v>
      </c>
      <c r="J233" t="e">
        <f>VLOOKUP(B233,'[1]KT 광점퍼코드(수익률)'!$A$4:$P$243,16,0)</f>
        <v>#N/A</v>
      </c>
    </row>
    <row r="234" spans="1:10" ht="15.75" hidden="1" customHeight="1">
      <c r="A234" s="23">
        <v>231</v>
      </c>
      <c r="B234" s="24" t="s">
        <v>235</v>
      </c>
      <c r="C234" s="24" t="s">
        <v>203</v>
      </c>
      <c r="D234" s="24" t="s">
        <v>26</v>
      </c>
      <c r="E234" s="25">
        <v>145</v>
      </c>
      <c r="F234" s="25">
        <v>90</v>
      </c>
      <c r="G234" s="25">
        <v>70</v>
      </c>
      <c r="H234" s="25"/>
      <c r="I234" s="22">
        <f t="shared" si="3"/>
        <v>305</v>
      </c>
      <c r="J234" t="e">
        <f>VLOOKUP(B234,'[1]KT 광점퍼코드(수익률)'!$A$4:$P$243,16,0)</f>
        <v>#N/A</v>
      </c>
    </row>
    <row r="235" spans="1:10" ht="15.75" hidden="1" customHeight="1">
      <c r="A235" s="19">
        <v>232</v>
      </c>
      <c r="B235" s="20" t="s">
        <v>236</v>
      </c>
      <c r="C235" s="20" t="s">
        <v>203</v>
      </c>
      <c r="D235" s="20" t="s">
        <v>53</v>
      </c>
      <c r="E235" s="21">
        <v>40</v>
      </c>
      <c r="F235" s="21">
        <v>27</v>
      </c>
      <c r="G235" s="21"/>
      <c r="H235" s="21"/>
      <c r="I235" s="22">
        <f t="shared" si="3"/>
        <v>67</v>
      </c>
      <c r="J235" t="e">
        <f>VLOOKUP(B235,'[1]KT 광점퍼코드(수익률)'!$A$4:$P$243,16,0)</f>
        <v>#N/A</v>
      </c>
    </row>
    <row r="236" spans="1:10" ht="15.75" hidden="1" customHeight="1">
      <c r="A236" s="23">
        <v>233</v>
      </c>
      <c r="B236" s="24" t="s">
        <v>237</v>
      </c>
      <c r="C236" s="24" t="s">
        <v>203</v>
      </c>
      <c r="D236" s="24" t="s">
        <v>238</v>
      </c>
      <c r="E236" s="25">
        <v>30</v>
      </c>
      <c r="F236" s="25"/>
      <c r="G236" s="25"/>
      <c r="H236" s="25">
        <v>2</v>
      </c>
      <c r="I236" s="22">
        <f t="shared" si="3"/>
        <v>32</v>
      </c>
      <c r="J236" t="e">
        <f>VLOOKUP(B236,'[1]KT 광점퍼코드(수익률)'!$A$4:$P$243,16,0)</f>
        <v>#N/A</v>
      </c>
    </row>
    <row r="237" spans="1:10" ht="15.75" hidden="1" customHeight="1">
      <c r="A237" s="19">
        <v>234</v>
      </c>
      <c r="B237" s="20" t="s">
        <v>239</v>
      </c>
      <c r="C237" s="20" t="s">
        <v>203</v>
      </c>
      <c r="D237" s="20" t="s">
        <v>240</v>
      </c>
      <c r="E237" s="21">
        <v>1950</v>
      </c>
      <c r="F237" s="21">
        <v>950</v>
      </c>
      <c r="G237" s="21">
        <v>550</v>
      </c>
      <c r="H237" s="21">
        <v>1000</v>
      </c>
      <c r="I237" s="22">
        <f t="shared" si="3"/>
        <v>4450</v>
      </c>
      <c r="J237" t="e">
        <f>VLOOKUP(B237,'[1]KT 광점퍼코드(수익률)'!$A$4:$P$243,16,0)</f>
        <v>#N/A</v>
      </c>
    </row>
    <row r="238" spans="1:10" ht="15.75" hidden="1" customHeight="1">
      <c r="A238" s="23">
        <v>235</v>
      </c>
      <c r="B238" s="24" t="s">
        <v>241</v>
      </c>
      <c r="C238" s="24" t="s">
        <v>203</v>
      </c>
      <c r="D238" s="24" t="s">
        <v>55</v>
      </c>
      <c r="E238" s="25">
        <v>20</v>
      </c>
      <c r="F238" s="25"/>
      <c r="G238" s="25"/>
      <c r="H238" s="25"/>
      <c r="I238" s="22">
        <f t="shared" si="3"/>
        <v>20</v>
      </c>
      <c r="J238" t="e">
        <f>VLOOKUP(B238,'[1]KT 광점퍼코드(수익률)'!$A$4:$P$243,16,0)</f>
        <v>#N/A</v>
      </c>
    </row>
    <row r="239" spans="1:10" ht="15.75" hidden="1" customHeight="1">
      <c r="A239" s="19">
        <v>236</v>
      </c>
      <c r="B239" s="20" t="s">
        <v>242</v>
      </c>
      <c r="C239" s="20" t="s">
        <v>203</v>
      </c>
      <c r="D239" s="20" t="s">
        <v>57</v>
      </c>
      <c r="E239" s="21">
        <v>10</v>
      </c>
      <c r="F239" s="21"/>
      <c r="G239" s="21"/>
      <c r="H239" s="21"/>
      <c r="I239" s="22">
        <f t="shared" si="3"/>
        <v>10</v>
      </c>
      <c r="J239" t="e">
        <f>VLOOKUP(B239,'[1]KT 광점퍼코드(수익률)'!$A$4:$P$243,16,0)</f>
        <v>#N/A</v>
      </c>
    </row>
    <row r="240" spans="1:10" ht="15.75" hidden="1" customHeight="1">
      <c r="A240" s="23">
        <v>237</v>
      </c>
      <c r="B240" s="24" t="s">
        <v>243</v>
      </c>
      <c r="C240" s="24" t="s">
        <v>244</v>
      </c>
      <c r="D240" s="24" t="s">
        <v>20</v>
      </c>
      <c r="E240" s="25">
        <v>21</v>
      </c>
      <c r="F240" s="25"/>
      <c r="G240" s="25">
        <v>4</v>
      </c>
      <c r="H240" s="25"/>
      <c r="I240" s="22">
        <f t="shared" si="3"/>
        <v>25</v>
      </c>
      <c r="J240" t="e">
        <f>VLOOKUP(B240,'[1]KT 광점퍼코드(수익률)'!$A$4:$P$243,16,0)</f>
        <v>#N/A</v>
      </c>
    </row>
    <row r="241" spans="1:10" ht="15.75" hidden="1" customHeight="1">
      <c r="A241" s="19">
        <v>238</v>
      </c>
      <c r="B241" s="20" t="s">
        <v>245</v>
      </c>
      <c r="C241" s="20" t="s">
        <v>244</v>
      </c>
      <c r="D241" s="20" t="s">
        <v>32</v>
      </c>
      <c r="E241" s="21">
        <v>2</v>
      </c>
      <c r="F241" s="21"/>
      <c r="G241" s="21">
        <v>2</v>
      </c>
      <c r="H241" s="21"/>
      <c r="I241" s="22">
        <f t="shared" si="3"/>
        <v>4</v>
      </c>
      <c r="J241" t="e">
        <f>VLOOKUP(B241,'[1]KT 광점퍼코드(수익률)'!$A$4:$P$243,16,0)</f>
        <v>#N/A</v>
      </c>
    </row>
    <row r="242" spans="1:10" ht="15.75" hidden="1" customHeight="1">
      <c r="A242" s="23">
        <v>239</v>
      </c>
      <c r="B242" s="24" t="s">
        <v>246</v>
      </c>
      <c r="C242" s="24" t="s">
        <v>244</v>
      </c>
      <c r="D242" s="24" t="s">
        <v>22</v>
      </c>
      <c r="E242" s="25">
        <v>10</v>
      </c>
      <c r="F242" s="25"/>
      <c r="G242" s="25"/>
      <c r="H242" s="25"/>
      <c r="I242" s="22">
        <f t="shared" si="3"/>
        <v>10</v>
      </c>
      <c r="J242" t="e">
        <f>VLOOKUP(B242,'[1]KT 광점퍼코드(수익률)'!$A$4:$P$243,16,0)</f>
        <v>#N/A</v>
      </c>
    </row>
    <row r="243" spans="1:10" ht="15.75" hidden="1" customHeight="1">
      <c r="A243" s="19">
        <v>240</v>
      </c>
      <c r="B243" s="20" t="s">
        <v>2376</v>
      </c>
      <c r="C243" s="20" t="s">
        <v>244</v>
      </c>
      <c r="D243" s="20" t="s">
        <v>121</v>
      </c>
      <c r="E243" s="21"/>
      <c r="F243" s="21">
        <v>4</v>
      </c>
      <c r="G243" s="21">
        <v>4</v>
      </c>
      <c r="H243" s="21"/>
      <c r="I243" s="22">
        <f t="shared" si="3"/>
        <v>8</v>
      </c>
      <c r="J243" t="e">
        <f>VLOOKUP(B243,'[1]KT 광점퍼코드(수익률)'!$A$4:$P$243,16,0)</f>
        <v>#N/A</v>
      </c>
    </row>
    <row r="244" spans="1:10" ht="15.75" hidden="1" customHeight="1">
      <c r="A244" s="23">
        <v>241</v>
      </c>
      <c r="B244" s="24" t="s">
        <v>247</v>
      </c>
      <c r="C244" s="24" t="s">
        <v>244</v>
      </c>
      <c r="D244" s="24" t="s">
        <v>45</v>
      </c>
      <c r="E244" s="25">
        <v>10</v>
      </c>
      <c r="F244" s="25"/>
      <c r="G244" s="25"/>
      <c r="H244" s="25"/>
      <c r="I244" s="22">
        <f t="shared" si="3"/>
        <v>10</v>
      </c>
      <c r="J244" t="e">
        <f>VLOOKUP(B244,'[1]KT 광점퍼코드(수익률)'!$A$4:$P$243,16,0)</f>
        <v>#N/A</v>
      </c>
    </row>
    <row r="245" spans="1:10" ht="15.75" hidden="1" customHeight="1">
      <c r="A245" s="19">
        <v>242</v>
      </c>
      <c r="B245" s="20" t="s">
        <v>2377</v>
      </c>
      <c r="C245" s="20" t="s">
        <v>244</v>
      </c>
      <c r="D245" s="20" t="s">
        <v>47</v>
      </c>
      <c r="E245" s="21"/>
      <c r="F245" s="21">
        <v>10</v>
      </c>
      <c r="G245" s="21"/>
      <c r="H245" s="21"/>
      <c r="I245" s="22">
        <f t="shared" si="3"/>
        <v>10</v>
      </c>
      <c r="J245" t="e">
        <f>VLOOKUP(B245,'[1]KT 광점퍼코드(수익률)'!$A$4:$P$243,16,0)</f>
        <v>#N/A</v>
      </c>
    </row>
    <row r="246" spans="1:10" ht="15.75" hidden="1" customHeight="1">
      <c r="A246" s="23">
        <v>243</v>
      </c>
      <c r="B246" s="24" t="s">
        <v>248</v>
      </c>
      <c r="C246" s="24" t="s">
        <v>244</v>
      </c>
      <c r="D246" s="24" t="s">
        <v>173</v>
      </c>
      <c r="E246" s="25">
        <v>2</v>
      </c>
      <c r="F246" s="25"/>
      <c r="G246" s="25"/>
      <c r="H246" s="25"/>
      <c r="I246" s="22">
        <f t="shared" si="3"/>
        <v>2</v>
      </c>
      <c r="J246" t="e">
        <f>VLOOKUP(B246,'[1]KT 광점퍼코드(수익률)'!$A$4:$P$243,16,0)</f>
        <v>#N/A</v>
      </c>
    </row>
    <row r="247" spans="1:10" ht="15.75" hidden="1" customHeight="1">
      <c r="A247" s="19">
        <v>244</v>
      </c>
      <c r="B247" s="20" t="s">
        <v>249</v>
      </c>
      <c r="C247" s="20" t="s">
        <v>244</v>
      </c>
      <c r="D247" s="20" t="s">
        <v>24</v>
      </c>
      <c r="E247" s="21">
        <v>40</v>
      </c>
      <c r="F247" s="21">
        <v>110</v>
      </c>
      <c r="G247" s="21">
        <v>90</v>
      </c>
      <c r="H247" s="21"/>
      <c r="I247" s="22">
        <f t="shared" si="3"/>
        <v>240</v>
      </c>
      <c r="J247" t="e">
        <f>VLOOKUP(B247,'[1]KT 광점퍼코드(수익률)'!$A$4:$P$243,16,0)</f>
        <v>#N/A</v>
      </c>
    </row>
    <row r="248" spans="1:10" ht="15.75" hidden="1" customHeight="1">
      <c r="A248" s="23">
        <v>245</v>
      </c>
      <c r="B248" s="24" t="s">
        <v>250</v>
      </c>
      <c r="C248" s="24" t="s">
        <v>244</v>
      </c>
      <c r="D248" s="24" t="s">
        <v>87</v>
      </c>
      <c r="E248" s="25">
        <v>2</v>
      </c>
      <c r="F248" s="25">
        <v>2</v>
      </c>
      <c r="G248" s="25"/>
      <c r="H248" s="25"/>
      <c r="I248" s="22">
        <f t="shared" si="3"/>
        <v>4</v>
      </c>
      <c r="J248" t="e">
        <f>VLOOKUP(B248,'[1]KT 광점퍼코드(수익률)'!$A$4:$P$243,16,0)</f>
        <v>#N/A</v>
      </c>
    </row>
    <row r="249" spans="1:10" ht="15.75" hidden="1" customHeight="1">
      <c r="A249" s="19">
        <v>246</v>
      </c>
      <c r="B249" s="20" t="s">
        <v>251</v>
      </c>
      <c r="C249" s="20" t="s">
        <v>244</v>
      </c>
      <c r="D249" s="20" t="s">
        <v>26</v>
      </c>
      <c r="E249" s="21">
        <v>100</v>
      </c>
      <c r="F249" s="21"/>
      <c r="G249" s="21"/>
      <c r="H249" s="21"/>
      <c r="I249" s="22">
        <f t="shared" si="3"/>
        <v>100</v>
      </c>
      <c r="J249" t="e">
        <f>VLOOKUP(B249,'[1]KT 광점퍼코드(수익률)'!$A$4:$P$243,16,0)</f>
        <v>#N/A</v>
      </c>
    </row>
    <row r="250" spans="1:10" ht="15.75" hidden="1" customHeight="1">
      <c r="A250" s="23">
        <v>247</v>
      </c>
      <c r="B250" s="24" t="s">
        <v>252</v>
      </c>
      <c r="C250" s="24" t="s">
        <v>253</v>
      </c>
      <c r="D250" s="24" t="s">
        <v>20</v>
      </c>
      <c r="E250" s="25">
        <v>70</v>
      </c>
      <c r="F250" s="25"/>
      <c r="G250" s="25"/>
      <c r="H250" s="25"/>
      <c r="I250" s="22">
        <f t="shared" si="3"/>
        <v>70</v>
      </c>
      <c r="J250" t="e">
        <f>VLOOKUP(B250,'[1]KT 광점퍼코드(수익률)'!$A$4:$P$243,16,0)</f>
        <v>#N/A</v>
      </c>
    </row>
    <row r="251" spans="1:10" ht="15.75" hidden="1" customHeight="1">
      <c r="A251" s="19">
        <v>248</v>
      </c>
      <c r="B251" s="20" t="s">
        <v>254</v>
      </c>
      <c r="C251" s="20" t="s">
        <v>253</v>
      </c>
      <c r="D251" s="20" t="s">
        <v>22</v>
      </c>
      <c r="E251" s="21">
        <v>31</v>
      </c>
      <c r="F251" s="21">
        <v>10</v>
      </c>
      <c r="G251" s="21"/>
      <c r="H251" s="21"/>
      <c r="I251" s="22">
        <f t="shared" si="3"/>
        <v>41</v>
      </c>
      <c r="J251" t="e">
        <f>VLOOKUP(B251,'[1]KT 광점퍼코드(수익률)'!$A$4:$P$243,16,0)</f>
        <v>#N/A</v>
      </c>
    </row>
    <row r="252" spans="1:10" ht="15.75" hidden="1" customHeight="1">
      <c r="A252" s="23">
        <v>249</v>
      </c>
      <c r="B252" s="24" t="s">
        <v>255</v>
      </c>
      <c r="C252" s="24" t="s">
        <v>253</v>
      </c>
      <c r="D252" s="24" t="s">
        <v>45</v>
      </c>
      <c r="E252" s="25">
        <v>10</v>
      </c>
      <c r="F252" s="25">
        <v>26</v>
      </c>
      <c r="G252" s="25">
        <v>6</v>
      </c>
      <c r="H252" s="25"/>
      <c r="I252" s="22">
        <f t="shared" si="3"/>
        <v>42</v>
      </c>
      <c r="J252" t="e">
        <f>VLOOKUP(B252,'[1]KT 광점퍼코드(수익률)'!$A$4:$P$243,16,0)</f>
        <v>#N/A</v>
      </c>
    </row>
    <row r="253" spans="1:10" ht="15.75" hidden="1" customHeight="1">
      <c r="A253" s="19">
        <v>250</v>
      </c>
      <c r="B253" s="20" t="s">
        <v>2378</v>
      </c>
      <c r="C253" s="20" t="s">
        <v>253</v>
      </c>
      <c r="D253" s="20" t="s">
        <v>47</v>
      </c>
      <c r="E253" s="21"/>
      <c r="F253" s="21">
        <v>10</v>
      </c>
      <c r="G253" s="21"/>
      <c r="H253" s="21"/>
      <c r="I253" s="22">
        <f t="shared" si="3"/>
        <v>10</v>
      </c>
      <c r="J253" t="e">
        <f>VLOOKUP(B253,'[1]KT 광점퍼코드(수익률)'!$A$4:$P$243,16,0)</f>
        <v>#N/A</v>
      </c>
    </row>
    <row r="254" spans="1:10" ht="15.75" hidden="1" customHeight="1">
      <c r="A254" s="23">
        <v>251</v>
      </c>
      <c r="B254" s="24" t="s">
        <v>256</v>
      </c>
      <c r="C254" s="24" t="s">
        <v>253</v>
      </c>
      <c r="D254" s="24" t="s">
        <v>24</v>
      </c>
      <c r="E254" s="25">
        <v>54</v>
      </c>
      <c r="F254" s="25">
        <v>110</v>
      </c>
      <c r="G254" s="25"/>
      <c r="H254" s="25"/>
      <c r="I254" s="22">
        <f t="shared" si="3"/>
        <v>164</v>
      </c>
      <c r="J254" t="e">
        <f>VLOOKUP(B254,'[1]KT 광점퍼코드(수익률)'!$A$4:$P$243,16,0)</f>
        <v>#N/A</v>
      </c>
    </row>
    <row r="255" spans="1:10" ht="15.75" hidden="1" customHeight="1">
      <c r="A255" s="19">
        <v>252</v>
      </c>
      <c r="B255" s="20" t="s">
        <v>257</v>
      </c>
      <c r="C255" s="20" t="s">
        <v>253</v>
      </c>
      <c r="D255" s="20" t="s">
        <v>50</v>
      </c>
      <c r="E255" s="21">
        <v>10</v>
      </c>
      <c r="F255" s="21"/>
      <c r="G255" s="21"/>
      <c r="H255" s="21"/>
      <c r="I255" s="22">
        <f t="shared" si="3"/>
        <v>10</v>
      </c>
      <c r="J255" t="e">
        <f>VLOOKUP(B255,'[1]KT 광점퍼코드(수익률)'!$A$4:$P$243,16,0)</f>
        <v>#N/A</v>
      </c>
    </row>
    <row r="256" spans="1:10" ht="15.75" hidden="1" customHeight="1">
      <c r="A256" s="23">
        <v>253</v>
      </c>
      <c r="B256" s="24" t="s">
        <v>2379</v>
      </c>
      <c r="C256" s="24" t="s">
        <v>253</v>
      </c>
      <c r="D256" s="24" t="s">
        <v>26</v>
      </c>
      <c r="E256" s="25"/>
      <c r="F256" s="25">
        <v>50</v>
      </c>
      <c r="G256" s="25"/>
      <c r="H256" s="25"/>
      <c r="I256" s="22">
        <f t="shared" si="3"/>
        <v>50</v>
      </c>
      <c r="J256" t="e">
        <f>VLOOKUP(B256,'[1]KT 광점퍼코드(수익률)'!$A$4:$P$243,16,0)</f>
        <v>#N/A</v>
      </c>
    </row>
    <row r="257" spans="1:10" ht="15.75" hidden="1" customHeight="1">
      <c r="A257" s="19">
        <v>254</v>
      </c>
      <c r="B257" s="20" t="s">
        <v>2380</v>
      </c>
      <c r="C257" s="20" t="s">
        <v>253</v>
      </c>
      <c r="D257" s="20" t="s">
        <v>53</v>
      </c>
      <c r="E257" s="21"/>
      <c r="F257" s="21">
        <v>71</v>
      </c>
      <c r="G257" s="21"/>
      <c r="H257" s="21"/>
      <c r="I257" s="22">
        <f t="shared" si="3"/>
        <v>71</v>
      </c>
      <c r="J257" t="e">
        <f>VLOOKUP(B257,'[1]KT 광점퍼코드(수익률)'!$A$4:$P$243,16,0)</f>
        <v>#N/A</v>
      </c>
    </row>
    <row r="258" spans="1:10" ht="15.75" hidden="1" customHeight="1">
      <c r="A258" s="23">
        <v>255</v>
      </c>
      <c r="B258" s="24" t="s">
        <v>258</v>
      </c>
      <c r="C258" s="24" t="s">
        <v>253</v>
      </c>
      <c r="D258" s="24" t="s">
        <v>259</v>
      </c>
      <c r="E258" s="25">
        <v>30</v>
      </c>
      <c r="F258" s="25">
        <v>4</v>
      </c>
      <c r="G258" s="25">
        <v>202</v>
      </c>
      <c r="H258" s="25"/>
      <c r="I258" s="22">
        <f t="shared" si="3"/>
        <v>236</v>
      </c>
      <c r="J258" t="e">
        <f>VLOOKUP(B258,'[1]KT 광점퍼코드(수익률)'!$A$4:$P$243,16,0)</f>
        <v>#N/A</v>
      </c>
    </row>
    <row r="259" spans="1:10" ht="15.75" hidden="1" customHeight="1">
      <c r="A259" s="19">
        <v>256</v>
      </c>
      <c r="B259" s="20" t="s">
        <v>260</v>
      </c>
      <c r="C259" s="20" t="s">
        <v>261</v>
      </c>
      <c r="D259" s="20" t="s">
        <v>35</v>
      </c>
      <c r="E259" s="21">
        <v>1</v>
      </c>
      <c r="F259" s="21"/>
      <c r="G259" s="21"/>
      <c r="H259" s="21"/>
      <c r="I259" s="22">
        <f t="shared" si="3"/>
        <v>1</v>
      </c>
      <c r="J259" t="e">
        <f>VLOOKUP(B259,'[1]KT 광점퍼코드(수익률)'!$A$4:$P$243,16,0)</f>
        <v>#N/A</v>
      </c>
    </row>
    <row r="260" spans="1:10" ht="15.75" hidden="1" customHeight="1">
      <c r="A260" s="23">
        <v>257</v>
      </c>
      <c r="B260" s="24" t="s">
        <v>262</v>
      </c>
      <c r="C260" s="24" t="s">
        <v>263</v>
      </c>
      <c r="D260" s="24" t="s">
        <v>20</v>
      </c>
      <c r="E260" s="25">
        <v>10</v>
      </c>
      <c r="F260" s="25"/>
      <c r="G260" s="25"/>
      <c r="H260" s="25"/>
      <c r="I260" s="22">
        <f t="shared" ref="I260:I323" si="4">SUM(E260:H260)</f>
        <v>10</v>
      </c>
      <c r="J260" t="e">
        <f>VLOOKUP(B260,'[1]KT 광점퍼코드(수익률)'!$A$4:$P$243,16,0)</f>
        <v>#N/A</v>
      </c>
    </row>
    <row r="261" spans="1:10" ht="15.75" hidden="1" customHeight="1">
      <c r="A261" s="19">
        <v>258</v>
      </c>
      <c r="B261" s="20" t="s">
        <v>264</v>
      </c>
      <c r="C261" s="20" t="s">
        <v>263</v>
      </c>
      <c r="D261" s="20" t="s">
        <v>42</v>
      </c>
      <c r="E261" s="21">
        <v>56</v>
      </c>
      <c r="F261" s="21"/>
      <c r="G261" s="21">
        <v>10</v>
      </c>
      <c r="H261" s="21"/>
      <c r="I261" s="22">
        <f t="shared" si="4"/>
        <v>66</v>
      </c>
      <c r="J261" t="e">
        <f>VLOOKUP(B261,'[1]KT 광점퍼코드(수익률)'!$A$4:$P$243,16,0)</f>
        <v>#N/A</v>
      </c>
    </row>
    <row r="262" spans="1:10" ht="15.75" hidden="1" customHeight="1">
      <c r="A262" s="23">
        <v>259</v>
      </c>
      <c r="B262" s="24" t="s">
        <v>265</v>
      </c>
      <c r="C262" s="24" t="s">
        <v>263</v>
      </c>
      <c r="D262" s="24" t="s">
        <v>22</v>
      </c>
      <c r="E262" s="25">
        <v>5</v>
      </c>
      <c r="F262" s="25"/>
      <c r="G262" s="25"/>
      <c r="H262" s="25"/>
      <c r="I262" s="22">
        <f t="shared" si="4"/>
        <v>5</v>
      </c>
      <c r="J262" t="e">
        <f>VLOOKUP(B262,'[1]KT 광점퍼코드(수익률)'!$A$4:$P$243,16,0)</f>
        <v>#N/A</v>
      </c>
    </row>
    <row r="263" spans="1:10" ht="15.75" hidden="1" customHeight="1">
      <c r="A263" s="19">
        <v>260</v>
      </c>
      <c r="B263" s="20" t="s">
        <v>266</v>
      </c>
      <c r="C263" s="20" t="s">
        <v>263</v>
      </c>
      <c r="D263" s="20" t="s">
        <v>45</v>
      </c>
      <c r="E263" s="21">
        <v>25</v>
      </c>
      <c r="F263" s="21">
        <v>3</v>
      </c>
      <c r="G263" s="21">
        <v>6</v>
      </c>
      <c r="H263" s="21"/>
      <c r="I263" s="22">
        <f t="shared" si="4"/>
        <v>34</v>
      </c>
      <c r="J263" t="e">
        <f>VLOOKUP(B263,'[1]KT 광점퍼코드(수익률)'!$A$4:$P$243,16,0)</f>
        <v>#N/A</v>
      </c>
    </row>
    <row r="264" spans="1:10" ht="15.75" hidden="1" customHeight="1">
      <c r="A264" s="23">
        <v>261</v>
      </c>
      <c r="B264" s="24" t="s">
        <v>267</v>
      </c>
      <c r="C264" s="24" t="s">
        <v>263</v>
      </c>
      <c r="D264" s="24" t="s">
        <v>47</v>
      </c>
      <c r="E264" s="25">
        <v>2</v>
      </c>
      <c r="F264" s="25"/>
      <c r="G264" s="25"/>
      <c r="H264" s="25"/>
      <c r="I264" s="22">
        <f t="shared" si="4"/>
        <v>2</v>
      </c>
      <c r="J264" t="e">
        <f>VLOOKUP(B264,'[1]KT 광점퍼코드(수익률)'!$A$4:$P$243,16,0)</f>
        <v>#N/A</v>
      </c>
    </row>
    <row r="265" spans="1:10" ht="15.75" hidden="1" customHeight="1">
      <c r="A265" s="19">
        <v>262</v>
      </c>
      <c r="B265" s="20" t="s">
        <v>268</v>
      </c>
      <c r="C265" s="20" t="s">
        <v>263</v>
      </c>
      <c r="D265" s="20" t="s">
        <v>24</v>
      </c>
      <c r="E265" s="21">
        <v>37</v>
      </c>
      <c r="F265" s="21">
        <v>4</v>
      </c>
      <c r="G265" s="21">
        <v>32</v>
      </c>
      <c r="H265" s="21"/>
      <c r="I265" s="22">
        <f t="shared" si="4"/>
        <v>73</v>
      </c>
      <c r="J265" t="e">
        <f>VLOOKUP(B265,'[1]KT 광점퍼코드(수익률)'!$A$4:$P$243,16,0)</f>
        <v>#N/A</v>
      </c>
    </row>
    <row r="266" spans="1:10" ht="15.75" hidden="1" customHeight="1">
      <c r="A266" s="23">
        <v>263</v>
      </c>
      <c r="B266" s="24" t="s">
        <v>269</v>
      </c>
      <c r="C266" s="24" t="s">
        <v>263</v>
      </c>
      <c r="D266" s="24" t="s">
        <v>57</v>
      </c>
      <c r="E266" s="25">
        <v>2</v>
      </c>
      <c r="F266" s="25"/>
      <c r="G266" s="25"/>
      <c r="H266" s="25"/>
      <c r="I266" s="22">
        <f t="shared" si="4"/>
        <v>2</v>
      </c>
      <c r="J266" t="e">
        <f>VLOOKUP(B266,'[1]KT 광점퍼코드(수익률)'!$A$4:$P$243,16,0)</f>
        <v>#N/A</v>
      </c>
    </row>
    <row r="267" spans="1:10" ht="15.75" hidden="1" customHeight="1">
      <c r="A267" s="19">
        <v>264</v>
      </c>
      <c r="B267" s="20" t="s">
        <v>270</v>
      </c>
      <c r="C267" s="20" t="s">
        <v>271</v>
      </c>
      <c r="D267" s="20" t="s">
        <v>20</v>
      </c>
      <c r="E267" s="21">
        <v>29</v>
      </c>
      <c r="F267" s="21"/>
      <c r="G267" s="21"/>
      <c r="H267" s="21"/>
      <c r="I267" s="22">
        <f t="shared" si="4"/>
        <v>29</v>
      </c>
      <c r="J267" t="e">
        <f>VLOOKUP(B267,'[1]KT 광점퍼코드(수익률)'!$A$4:$P$243,16,0)</f>
        <v>#N/A</v>
      </c>
    </row>
    <row r="268" spans="1:10" ht="15.75" hidden="1" customHeight="1">
      <c r="A268" s="23">
        <v>265</v>
      </c>
      <c r="B268" s="24" t="s">
        <v>272</v>
      </c>
      <c r="C268" s="24" t="s">
        <v>271</v>
      </c>
      <c r="D268" s="24" t="s">
        <v>32</v>
      </c>
      <c r="E268" s="25">
        <v>12</v>
      </c>
      <c r="F268" s="25"/>
      <c r="G268" s="25"/>
      <c r="H268" s="25"/>
      <c r="I268" s="22">
        <f t="shared" si="4"/>
        <v>12</v>
      </c>
      <c r="J268" t="e">
        <f>VLOOKUP(B268,'[1]KT 광점퍼코드(수익률)'!$A$4:$P$243,16,0)</f>
        <v>#N/A</v>
      </c>
    </row>
    <row r="269" spans="1:10" ht="15.75" hidden="1" customHeight="1">
      <c r="A269" s="19">
        <v>266</v>
      </c>
      <c r="B269" s="20" t="s">
        <v>273</v>
      </c>
      <c r="C269" s="20" t="s">
        <v>271</v>
      </c>
      <c r="D269" s="20" t="s">
        <v>22</v>
      </c>
      <c r="E269" s="21">
        <v>10</v>
      </c>
      <c r="F269" s="21"/>
      <c r="G269" s="21"/>
      <c r="H269" s="21"/>
      <c r="I269" s="22">
        <f t="shared" si="4"/>
        <v>10</v>
      </c>
      <c r="J269" t="e">
        <f>VLOOKUP(B269,'[1]KT 광점퍼코드(수익률)'!$A$4:$P$243,16,0)</f>
        <v>#N/A</v>
      </c>
    </row>
    <row r="270" spans="1:10" ht="15.75" hidden="1" customHeight="1">
      <c r="A270" s="23">
        <v>267</v>
      </c>
      <c r="B270" s="24" t="s">
        <v>274</v>
      </c>
      <c r="C270" s="24" t="s">
        <v>271</v>
      </c>
      <c r="D270" s="24" t="s">
        <v>121</v>
      </c>
      <c r="E270" s="25">
        <v>10</v>
      </c>
      <c r="F270" s="25"/>
      <c r="G270" s="25">
        <v>1</v>
      </c>
      <c r="H270" s="25"/>
      <c r="I270" s="22">
        <f t="shared" si="4"/>
        <v>11</v>
      </c>
      <c r="J270" t="e">
        <f>VLOOKUP(B270,'[1]KT 광점퍼코드(수익률)'!$A$4:$P$243,16,0)</f>
        <v>#N/A</v>
      </c>
    </row>
    <row r="271" spans="1:10" ht="15.75" hidden="1" customHeight="1">
      <c r="A271" s="19">
        <v>268</v>
      </c>
      <c r="B271" s="20" t="s">
        <v>275</v>
      </c>
      <c r="C271" s="20" t="s">
        <v>271</v>
      </c>
      <c r="D271" s="20" t="s">
        <v>173</v>
      </c>
      <c r="E271" s="21">
        <v>3</v>
      </c>
      <c r="F271" s="21"/>
      <c r="G271" s="21"/>
      <c r="H271" s="21"/>
      <c r="I271" s="22">
        <f t="shared" si="4"/>
        <v>3</v>
      </c>
      <c r="J271" t="e">
        <f>VLOOKUP(B271,'[1]KT 광점퍼코드(수익률)'!$A$4:$P$243,16,0)</f>
        <v>#N/A</v>
      </c>
    </row>
    <row r="272" spans="1:10" ht="15.75" hidden="1" customHeight="1">
      <c r="A272" s="23">
        <v>269</v>
      </c>
      <c r="B272" s="24" t="s">
        <v>276</v>
      </c>
      <c r="C272" s="24" t="s">
        <v>271</v>
      </c>
      <c r="D272" s="24" t="s">
        <v>24</v>
      </c>
      <c r="E272" s="25">
        <v>10</v>
      </c>
      <c r="F272" s="25">
        <v>6</v>
      </c>
      <c r="G272" s="25">
        <v>9</v>
      </c>
      <c r="H272" s="25">
        <v>1</v>
      </c>
      <c r="I272" s="22">
        <f t="shared" si="4"/>
        <v>26</v>
      </c>
      <c r="J272" t="e">
        <f>VLOOKUP(B272,'[1]KT 광점퍼코드(수익률)'!$A$4:$P$243,16,0)</f>
        <v>#N/A</v>
      </c>
    </row>
    <row r="273" spans="1:10" ht="15.75" hidden="1" customHeight="1">
      <c r="A273" s="19">
        <v>270</v>
      </c>
      <c r="B273" s="20" t="s">
        <v>277</v>
      </c>
      <c r="C273" s="20" t="s">
        <v>278</v>
      </c>
      <c r="D273" s="20" t="s">
        <v>170</v>
      </c>
      <c r="E273" s="21">
        <v>30</v>
      </c>
      <c r="F273" s="21"/>
      <c r="G273" s="21"/>
      <c r="H273" s="21"/>
      <c r="I273" s="22">
        <f t="shared" si="4"/>
        <v>30</v>
      </c>
      <c r="J273" t="e">
        <f>VLOOKUP(B273,'[1]KT 광점퍼코드(수익률)'!$A$4:$P$243,16,0)</f>
        <v>#N/A</v>
      </c>
    </row>
    <row r="274" spans="1:10" ht="15.75" hidden="1" customHeight="1">
      <c r="A274" s="23">
        <v>271</v>
      </c>
      <c r="B274" s="24" t="s">
        <v>279</v>
      </c>
      <c r="C274" s="24" t="s">
        <v>278</v>
      </c>
      <c r="D274" s="24" t="s">
        <v>182</v>
      </c>
      <c r="E274" s="25">
        <v>4</v>
      </c>
      <c r="F274" s="25"/>
      <c r="G274" s="25"/>
      <c r="H274" s="25"/>
      <c r="I274" s="22">
        <f t="shared" si="4"/>
        <v>4</v>
      </c>
      <c r="J274" t="e">
        <f>VLOOKUP(B274,'[1]KT 광점퍼코드(수익률)'!$A$4:$P$243,16,0)</f>
        <v>#N/A</v>
      </c>
    </row>
    <row r="275" spans="1:10" ht="15.75" hidden="1" customHeight="1">
      <c r="A275" s="19">
        <v>272</v>
      </c>
      <c r="B275" s="20" t="s">
        <v>280</v>
      </c>
      <c r="C275" s="20" t="s">
        <v>278</v>
      </c>
      <c r="D275" s="20" t="s">
        <v>32</v>
      </c>
      <c r="E275" s="21">
        <v>4</v>
      </c>
      <c r="F275" s="21"/>
      <c r="G275" s="21"/>
      <c r="H275" s="21"/>
      <c r="I275" s="22">
        <f t="shared" si="4"/>
        <v>4</v>
      </c>
      <c r="J275" t="e">
        <f>VLOOKUP(B275,'[1]KT 광점퍼코드(수익률)'!$A$4:$P$243,16,0)</f>
        <v>#N/A</v>
      </c>
    </row>
    <row r="276" spans="1:10" ht="15.75" hidden="1" customHeight="1">
      <c r="A276" s="23">
        <v>273</v>
      </c>
      <c r="B276" s="24" t="s">
        <v>281</v>
      </c>
      <c r="C276" s="24" t="s">
        <v>278</v>
      </c>
      <c r="D276" s="24" t="s">
        <v>24</v>
      </c>
      <c r="E276" s="25">
        <v>12</v>
      </c>
      <c r="F276" s="25">
        <v>6</v>
      </c>
      <c r="G276" s="25"/>
      <c r="H276" s="25"/>
      <c r="I276" s="22">
        <f t="shared" si="4"/>
        <v>18</v>
      </c>
      <c r="J276" t="e">
        <f>VLOOKUP(B276,'[1]KT 광점퍼코드(수익률)'!$A$4:$P$243,16,0)</f>
        <v>#N/A</v>
      </c>
    </row>
    <row r="277" spans="1:10" ht="15.75" hidden="1" customHeight="1">
      <c r="A277" s="19">
        <v>274</v>
      </c>
      <c r="B277" s="20" t="s">
        <v>3004</v>
      </c>
      <c r="C277" s="20" t="s">
        <v>278</v>
      </c>
      <c r="D277" s="20" t="s">
        <v>87</v>
      </c>
      <c r="E277" s="21"/>
      <c r="F277" s="21"/>
      <c r="G277" s="21">
        <v>5</v>
      </c>
      <c r="H277" s="21"/>
      <c r="I277" s="22">
        <f t="shared" si="4"/>
        <v>5</v>
      </c>
      <c r="J277" t="e">
        <f>VLOOKUP(B277,'[1]KT 광점퍼코드(수익률)'!$A$4:$P$243,16,0)</f>
        <v>#N/A</v>
      </c>
    </row>
    <row r="278" spans="1:10" ht="15.75" hidden="1" customHeight="1">
      <c r="A278" s="23">
        <v>275</v>
      </c>
      <c r="B278" s="24" t="s">
        <v>282</v>
      </c>
      <c r="C278" s="24" t="s">
        <v>283</v>
      </c>
      <c r="D278" s="24" t="s">
        <v>284</v>
      </c>
      <c r="E278" s="25">
        <v>27</v>
      </c>
      <c r="F278" s="25"/>
      <c r="G278" s="25">
        <v>3</v>
      </c>
      <c r="H278" s="25"/>
      <c r="I278" s="22">
        <f t="shared" si="4"/>
        <v>30</v>
      </c>
      <c r="J278" t="e">
        <f>VLOOKUP(B278,'[1]KT 광점퍼코드(수익률)'!$A$4:$P$243,16,0)</f>
        <v>#N/A</v>
      </c>
    </row>
    <row r="279" spans="1:10" ht="15.75" hidden="1" customHeight="1">
      <c r="A279" s="19">
        <v>276</v>
      </c>
      <c r="B279" s="20" t="s">
        <v>285</v>
      </c>
      <c r="C279" s="20" t="s">
        <v>283</v>
      </c>
      <c r="D279" s="20" t="s">
        <v>20</v>
      </c>
      <c r="E279" s="21">
        <v>43</v>
      </c>
      <c r="F279" s="21"/>
      <c r="G279" s="21"/>
      <c r="H279" s="21"/>
      <c r="I279" s="22">
        <f t="shared" si="4"/>
        <v>43</v>
      </c>
      <c r="J279" t="e">
        <f>VLOOKUP(B279,'[1]KT 광점퍼코드(수익률)'!$A$4:$P$243,16,0)</f>
        <v>#N/A</v>
      </c>
    </row>
    <row r="280" spans="1:10" ht="15.75" hidden="1" customHeight="1">
      <c r="A280" s="23">
        <v>277</v>
      </c>
      <c r="B280" s="24" t="s">
        <v>286</v>
      </c>
      <c r="C280" s="24" t="s">
        <v>283</v>
      </c>
      <c r="D280" s="24" t="s">
        <v>32</v>
      </c>
      <c r="E280" s="25">
        <v>31</v>
      </c>
      <c r="F280" s="25"/>
      <c r="G280" s="25">
        <v>23</v>
      </c>
      <c r="H280" s="25"/>
      <c r="I280" s="22">
        <f t="shared" si="4"/>
        <v>54</v>
      </c>
      <c r="J280" t="e">
        <f>VLOOKUP(B280,'[1]KT 광점퍼코드(수익률)'!$A$4:$P$243,16,0)</f>
        <v>#N/A</v>
      </c>
    </row>
    <row r="281" spans="1:10" ht="15.75" hidden="1" customHeight="1">
      <c r="A281" s="19">
        <v>278</v>
      </c>
      <c r="B281" s="20" t="s">
        <v>287</v>
      </c>
      <c r="C281" s="20" t="s">
        <v>283</v>
      </c>
      <c r="D281" s="20" t="s">
        <v>42</v>
      </c>
      <c r="E281" s="21">
        <v>798</v>
      </c>
      <c r="F281" s="21"/>
      <c r="G281" s="21"/>
      <c r="H281" s="21"/>
      <c r="I281" s="22">
        <f t="shared" si="4"/>
        <v>798</v>
      </c>
      <c r="J281" t="e">
        <f>VLOOKUP(B281,'[1]KT 광점퍼코드(수익률)'!$A$4:$P$243,16,0)</f>
        <v>#N/A</v>
      </c>
    </row>
    <row r="282" spans="1:10" ht="15.75" hidden="1" customHeight="1">
      <c r="A282" s="23">
        <v>279</v>
      </c>
      <c r="B282" s="24" t="s">
        <v>288</v>
      </c>
      <c r="C282" s="24" t="s">
        <v>283</v>
      </c>
      <c r="D282" s="24" t="s">
        <v>22</v>
      </c>
      <c r="E282" s="25">
        <v>54</v>
      </c>
      <c r="F282" s="25">
        <v>6</v>
      </c>
      <c r="G282" s="25"/>
      <c r="H282" s="25"/>
      <c r="I282" s="22">
        <f t="shared" si="4"/>
        <v>60</v>
      </c>
      <c r="J282" t="e">
        <f>VLOOKUP(B282,'[1]KT 광점퍼코드(수익률)'!$A$4:$P$243,16,0)</f>
        <v>#N/A</v>
      </c>
    </row>
    <row r="283" spans="1:10" ht="15.75" hidden="1" customHeight="1">
      <c r="A283" s="19">
        <v>280</v>
      </c>
      <c r="B283" s="20" t="s">
        <v>289</v>
      </c>
      <c r="C283" s="20" t="s">
        <v>283</v>
      </c>
      <c r="D283" s="20" t="s">
        <v>45</v>
      </c>
      <c r="E283" s="21">
        <v>500</v>
      </c>
      <c r="F283" s="21"/>
      <c r="G283" s="21"/>
      <c r="H283" s="21"/>
      <c r="I283" s="22">
        <f t="shared" si="4"/>
        <v>500</v>
      </c>
      <c r="J283" t="e">
        <f>VLOOKUP(B283,'[1]KT 광점퍼코드(수익률)'!$A$4:$P$243,16,0)</f>
        <v>#N/A</v>
      </c>
    </row>
    <row r="284" spans="1:10" ht="15.75" hidden="1" customHeight="1">
      <c r="A284" s="23">
        <v>281</v>
      </c>
      <c r="B284" s="24" t="s">
        <v>290</v>
      </c>
      <c r="C284" s="24" t="s">
        <v>283</v>
      </c>
      <c r="D284" s="24" t="s">
        <v>47</v>
      </c>
      <c r="E284" s="25">
        <v>1</v>
      </c>
      <c r="F284" s="25"/>
      <c r="G284" s="25"/>
      <c r="H284" s="25"/>
      <c r="I284" s="22">
        <f t="shared" si="4"/>
        <v>1</v>
      </c>
      <c r="J284" t="e">
        <f>VLOOKUP(B284,'[1]KT 광점퍼코드(수익률)'!$A$4:$P$243,16,0)</f>
        <v>#N/A</v>
      </c>
    </row>
    <row r="285" spans="1:10" ht="15.75" hidden="1" customHeight="1">
      <c r="A285" s="19">
        <v>282</v>
      </c>
      <c r="B285" s="20" t="s">
        <v>291</v>
      </c>
      <c r="C285" s="20" t="s">
        <v>283</v>
      </c>
      <c r="D285" s="20" t="s">
        <v>24</v>
      </c>
      <c r="E285" s="21">
        <v>500</v>
      </c>
      <c r="F285" s="21">
        <v>150</v>
      </c>
      <c r="G285" s="21">
        <v>15</v>
      </c>
      <c r="H285" s="21"/>
      <c r="I285" s="22">
        <f t="shared" si="4"/>
        <v>665</v>
      </c>
      <c r="J285" t="e">
        <f>VLOOKUP(B285,'[1]KT 광점퍼코드(수익률)'!$A$4:$P$243,16,0)</f>
        <v>#N/A</v>
      </c>
    </row>
    <row r="286" spans="1:10" ht="15.75" hidden="1" customHeight="1">
      <c r="A286" s="23">
        <v>283</v>
      </c>
      <c r="B286" s="24" t="s">
        <v>2381</v>
      </c>
      <c r="C286" s="24" t="s">
        <v>283</v>
      </c>
      <c r="D286" s="24" t="s">
        <v>118</v>
      </c>
      <c r="E286" s="25"/>
      <c r="F286" s="25">
        <v>200</v>
      </c>
      <c r="G286" s="25"/>
      <c r="H286" s="25"/>
      <c r="I286" s="22">
        <f t="shared" si="4"/>
        <v>200</v>
      </c>
      <c r="J286" t="e">
        <f>VLOOKUP(B286,'[1]KT 광점퍼코드(수익률)'!$A$4:$P$243,16,0)</f>
        <v>#N/A</v>
      </c>
    </row>
    <row r="287" spans="1:10" ht="15.75" hidden="1" customHeight="1">
      <c r="A287" s="19">
        <v>284</v>
      </c>
      <c r="B287" s="20" t="s">
        <v>292</v>
      </c>
      <c r="C287" s="20" t="s">
        <v>283</v>
      </c>
      <c r="D287" s="20" t="s">
        <v>26</v>
      </c>
      <c r="E287" s="21">
        <v>32</v>
      </c>
      <c r="F287" s="21"/>
      <c r="G287" s="21">
        <v>6</v>
      </c>
      <c r="H287" s="21"/>
      <c r="I287" s="22">
        <f t="shared" si="4"/>
        <v>38</v>
      </c>
      <c r="J287" t="e">
        <f>VLOOKUP(B287,'[1]KT 광점퍼코드(수익률)'!$A$4:$P$243,16,0)</f>
        <v>#N/A</v>
      </c>
    </row>
    <row r="288" spans="1:10" ht="15.75" hidden="1" customHeight="1">
      <c r="A288" s="23">
        <v>285</v>
      </c>
      <c r="B288" s="24" t="s">
        <v>293</v>
      </c>
      <c r="C288" s="24" t="s">
        <v>294</v>
      </c>
      <c r="D288" s="24" t="s">
        <v>20</v>
      </c>
      <c r="E288" s="25">
        <v>10</v>
      </c>
      <c r="F288" s="25"/>
      <c r="G288" s="25"/>
      <c r="H288" s="25"/>
      <c r="I288" s="22">
        <f t="shared" si="4"/>
        <v>10</v>
      </c>
      <c r="J288" t="e">
        <f>VLOOKUP(B288,'[1]KT 광점퍼코드(수익률)'!$A$4:$P$243,16,0)</f>
        <v>#N/A</v>
      </c>
    </row>
    <row r="289" spans="1:10" ht="15.75" hidden="1" customHeight="1">
      <c r="A289" s="19">
        <v>286</v>
      </c>
      <c r="B289" s="20" t="s">
        <v>2382</v>
      </c>
      <c r="C289" s="20" t="s">
        <v>294</v>
      </c>
      <c r="D289" s="20" t="s">
        <v>32</v>
      </c>
      <c r="E289" s="21"/>
      <c r="F289" s="21">
        <v>17</v>
      </c>
      <c r="G289" s="21"/>
      <c r="H289" s="21"/>
      <c r="I289" s="22">
        <f t="shared" si="4"/>
        <v>17</v>
      </c>
      <c r="J289" t="e">
        <f>VLOOKUP(B289,'[1]KT 광점퍼코드(수익률)'!$A$4:$P$243,16,0)</f>
        <v>#N/A</v>
      </c>
    </row>
    <row r="290" spans="1:10" ht="15.75" hidden="1" customHeight="1">
      <c r="A290" s="23">
        <v>287</v>
      </c>
      <c r="B290" s="24" t="s">
        <v>295</v>
      </c>
      <c r="C290" s="24" t="s">
        <v>294</v>
      </c>
      <c r="D290" s="24" t="s">
        <v>42</v>
      </c>
      <c r="E290" s="25">
        <v>10</v>
      </c>
      <c r="F290" s="25"/>
      <c r="G290" s="25"/>
      <c r="H290" s="25"/>
      <c r="I290" s="22">
        <f t="shared" si="4"/>
        <v>10</v>
      </c>
      <c r="J290" t="e">
        <f>VLOOKUP(B290,'[1]KT 광점퍼코드(수익률)'!$A$4:$P$243,16,0)</f>
        <v>#N/A</v>
      </c>
    </row>
    <row r="291" spans="1:10" ht="15.75" hidden="1" customHeight="1">
      <c r="A291" s="19">
        <v>288</v>
      </c>
      <c r="B291" s="20" t="s">
        <v>296</v>
      </c>
      <c r="C291" s="20" t="s">
        <v>294</v>
      </c>
      <c r="D291" s="20" t="s">
        <v>121</v>
      </c>
      <c r="E291" s="21">
        <v>14</v>
      </c>
      <c r="F291" s="21"/>
      <c r="G291" s="21">
        <v>6</v>
      </c>
      <c r="H291" s="21"/>
      <c r="I291" s="22">
        <f t="shared" si="4"/>
        <v>20</v>
      </c>
      <c r="J291" t="e">
        <f>VLOOKUP(B291,'[1]KT 광점퍼코드(수익률)'!$A$4:$P$243,16,0)</f>
        <v>#N/A</v>
      </c>
    </row>
    <row r="292" spans="1:10" ht="15.75" hidden="1" customHeight="1">
      <c r="A292" s="23">
        <v>289</v>
      </c>
      <c r="B292" s="24" t="s">
        <v>2383</v>
      </c>
      <c r="C292" s="24" t="s">
        <v>294</v>
      </c>
      <c r="D292" s="24" t="s">
        <v>45</v>
      </c>
      <c r="E292" s="25"/>
      <c r="F292" s="25">
        <v>50</v>
      </c>
      <c r="G292" s="25"/>
      <c r="H292" s="25"/>
      <c r="I292" s="22">
        <f t="shared" si="4"/>
        <v>50</v>
      </c>
      <c r="J292" t="e">
        <f>VLOOKUP(B292,'[1]KT 광점퍼코드(수익률)'!$A$4:$P$243,16,0)</f>
        <v>#N/A</v>
      </c>
    </row>
    <row r="293" spans="1:10" ht="15.75" hidden="1" customHeight="1">
      <c r="A293" s="19">
        <v>290</v>
      </c>
      <c r="B293" s="20" t="s">
        <v>297</v>
      </c>
      <c r="C293" s="20" t="s">
        <v>294</v>
      </c>
      <c r="D293" s="20" t="s">
        <v>47</v>
      </c>
      <c r="E293" s="21">
        <v>5</v>
      </c>
      <c r="F293" s="21"/>
      <c r="G293" s="21"/>
      <c r="H293" s="21"/>
      <c r="I293" s="22">
        <f t="shared" si="4"/>
        <v>5</v>
      </c>
      <c r="J293" t="e">
        <f>VLOOKUP(B293,'[1]KT 광점퍼코드(수익률)'!$A$4:$P$243,16,0)</f>
        <v>#N/A</v>
      </c>
    </row>
    <row r="294" spans="1:10" ht="15.75" hidden="1" customHeight="1">
      <c r="A294" s="23">
        <v>291</v>
      </c>
      <c r="B294" s="24" t="s">
        <v>298</v>
      </c>
      <c r="C294" s="24" t="s">
        <v>294</v>
      </c>
      <c r="D294" s="24" t="s">
        <v>24</v>
      </c>
      <c r="E294" s="25">
        <v>90</v>
      </c>
      <c r="F294" s="25"/>
      <c r="G294" s="25"/>
      <c r="H294" s="25"/>
      <c r="I294" s="22">
        <f t="shared" si="4"/>
        <v>90</v>
      </c>
      <c r="J294" t="e">
        <f>VLOOKUP(B294,'[1]KT 광점퍼코드(수익률)'!$A$4:$P$243,16,0)</f>
        <v>#N/A</v>
      </c>
    </row>
    <row r="295" spans="1:10" ht="15.75" hidden="1" customHeight="1">
      <c r="A295" s="19">
        <v>292</v>
      </c>
      <c r="B295" s="20" t="s">
        <v>299</v>
      </c>
      <c r="C295" s="20" t="s">
        <v>294</v>
      </c>
      <c r="D295" s="20" t="s">
        <v>118</v>
      </c>
      <c r="E295" s="21">
        <v>400</v>
      </c>
      <c r="F295" s="21"/>
      <c r="G295" s="21"/>
      <c r="H295" s="21"/>
      <c r="I295" s="22">
        <f t="shared" si="4"/>
        <v>400</v>
      </c>
      <c r="J295" t="e">
        <f>VLOOKUP(B295,'[1]KT 광점퍼코드(수익률)'!$A$4:$P$243,16,0)</f>
        <v>#N/A</v>
      </c>
    </row>
    <row r="296" spans="1:10" ht="15.75" hidden="1" customHeight="1">
      <c r="A296" s="23">
        <v>293</v>
      </c>
      <c r="B296" s="24" t="s">
        <v>300</v>
      </c>
      <c r="C296" s="24" t="s">
        <v>294</v>
      </c>
      <c r="D296" s="24" t="s">
        <v>26</v>
      </c>
      <c r="E296" s="25">
        <v>50</v>
      </c>
      <c r="F296" s="25"/>
      <c r="G296" s="25"/>
      <c r="H296" s="25"/>
      <c r="I296" s="22">
        <f t="shared" si="4"/>
        <v>50</v>
      </c>
      <c r="J296" t="e">
        <f>VLOOKUP(B296,'[1]KT 광점퍼코드(수익률)'!$A$4:$P$243,16,0)</f>
        <v>#N/A</v>
      </c>
    </row>
    <row r="297" spans="1:10" ht="15.75" hidden="1" customHeight="1">
      <c r="A297" s="19">
        <v>294</v>
      </c>
      <c r="B297" s="20" t="s">
        <v>2384</v>
      </c>
      <c r="C297" s="20" t="s">
        <v>294</v>
      </c>
      <c r="D297" s="20" t="s">
        <v>55</v>
      </c>
      <c r="E297" s="21"/>
      <c r="F297" s="21">
        <v>1</v>
      </c>
      <c r="G297" s="21"/>
      <c r="H297" s="21"/>
      <c r="I297" s="22">
        <f t="shared" si="4"/>
        <v>1</v>
      </c>
      <c r="J297" t="e">
        <f>VLOOKUP(B297,'[1]KT 광점퍼코드(수익률)'!$A$4:$P$243,16,0)</f>
        <v>#N/A</v>
      </c>
    </row>
    <row r="298" spans="1:10" ht="15.75" hidden="1" customHeight="1">
      <c r="A298" s="23">
        <v>295</v>
      </c>
      <c r="B298" s="24" t="s">
        <v>301</v>
      </c>
      <c r="C298" s="24" t="s">
        <v>302</v>
      </c>
      <c r="D298" s="24" t="s">
        <v>20</v>
      </c>
      <c r="E298" s="25">
        <v>2</v>
      </c>
      <c r="F298" s="25"/>
      <c r="G298" s="25"/>
      <c r="H298" s="25"/>
      <c r="I298" s="22">
        <f t="shared" si="4"/>
        <v>2</v>
      </c>
      <c r="J298" t="e">
        <f>VLOOKUP(B298,'[1]KT 광점퍼코드(수익률)'!$A$4:$P$243,16,0)</f>
        <v>#N/A</v>
      </c>
    </row>
    <row r="299" spans="1:10" ht="15.75" hidden="1" customHeight="1">
      <c r="A299" s="19">
        <v>296</v>
      </c>
      <c r="B299" s="20" t="s">
        <v>303</v>
      </c>
      <c r="C299" s="20" t="s">
        <v>304</v>
      </c>
      <c r="D299" s="20" t="s">
        <v>20</v>
      </c>
      <c r="E299" s="21">
        <v>12</v>
      </c>
      <c r="F299" s="21"/>
      <c r="G299" s="21"/>
      <c r="H299" s="21"/>
      <c r="I299" s="22">
        <f t="shared" si="4"/>
        <v>12</v>
      </c>
      <c r="J299" t="e">
        <f>VLOOKUP(B299,'[1]KT 광점퍼코드(수익률)'!$A$4:$P$243,16,0)</f>
        <v>#N/A</v>
      </c>
    </row>
    <row r="300" spans="1:10" ht="15.75" hidden="1" customHeight="1">
      <c r="A300" s="23">
        <v>297</v>
      </c>
      <c r="B300" s="24" t="s">
        <v>305</v>
      </c>
      <c r="C300" s="24" t="s">
        <v>304</v>
      </c>
      <c r="D300" s="24" t="s">
        <v>22</v>
      </c>
      <c r="E300" s="25">
        <v>12</v>
      </c>
      <c r="F300" s="25"/>
      <c r="G300" s="25"/>
      <c r="H300" s="25"/>
      <c r="I300" s="22">
        <f t="shared" si="4"/>
        <v>12</v>
      </c>
      <c r="J300" t="e">
        <f>VLOOKUP(B300,'[1]KT 광점퍼코드(수익률)'!$A$4:$P$243,16,0)</f>
        <v>#N/A</v>
      </c>
    </row>
    <row r="301" spans="1:10" ht="15.75" hidden="1" customHeight="1">
      <c r="A301" s="19">
        <v>298</v>
      </c>
      <c r="B301" s="20" t="s">
        <v>306</v>
      </c>
      <c r="C301" s="20" t="s">
        <v>304</v>
      </c>
      <c r="D301" s="20" t="s">
        <v>24</v>
      </c>
      <c r="E301" s="21">
        <v>10</v>
      </c>
      <c r="F301" s="21"/>
      <c r="G301" s="21"/>
      <c r="H301" s="21"/>
      <c r="I301" s="22">
        <f t="shared" si="4"/>
        <v>10</v>
      </c>
      <c r="J301" t="e">
        <f>VLOOKUP(B301,'[1]KT 광점퍼코드(수익률)'!$A$4:$P$243,16,0)</f>
        <v>#N/A</v>
      </c>
    </row>
    <row r="302" spans="1:10" ht="15.75" hidden="1" customHeight="1">
      <c r="A302" s="23">
        <v>299</v>
      </c>
      <c r="B302" s="24" t="s">
        <v>307</v>
      </c>
      <c r="C302" s="24" t="s">
        <v>169</v>
      </c>
      <c r="D302" s="24" t="s">
        <v>118</v>
      </c>
      <c r="E302" s="25">
        <v>40</v>
      </c>
      <c r="F302" s="25"/>
      <c r="G302" s="25">
        <v>50</v>
      </c>
      <c r="H302" s="25">
        <v>50</v>
      </c>
      <c r="I302" s="22">
        <f t="shared" si="4"/>
        <v>140</v>
      </c>
      <c r="J302" t="e">
        <f>VLOOKUP(B302,'[1]KT 광점퍼코드(수익률)'!$A$4:$P$243,16,0)</f>
        <v>#N/A</v>
      </c>
    </row>
    <row r="303" spans="1:10" ht="15.75" hidden="1" customHeight="1">
      <c r="A303" s="19">
        <v>300</v>
      </c>
      <c r="B303" s="20" t="s">
        <v>308</v>
      </c>
      <c r="C303" s="20" t="s">
        <v>263</v>
      </c>
      <c r="D303" s="20" t="s">
        <v>284</v>
      </c>
      <c r="E303" s="21">
        <v>4</v>
      </c>
      <c r="F303" s="21"/>
      <c r="G303" s="21"/>
      <c r="H303" s="21"/>
      <c r="I303" s="22">
        <f t="shared" si="4"/>
        <v>4</v>
      </c>
      <c r="J303" t="e">
        <f>VLOOKUP(B303,'[1]KT 광점퍼코드(수익률)'!$A$4:$P$243,16,0)</f>
        <v>#N/A</v>
      </c>
    </row>
    <row r="304" spans="1:10" ht="15.75" hidden="1" customHeight="1">
      <c r="A304" s="23">
        <v>301</v>
      </c>
      <c r="B304" s="24" t="s">
        <v>309</v>
      </c>
      <c r="C304" s="24" t="s">
        <v>180</v>
      </c>
      <c r="D304" s="24" t="s">
        <v>310</v>
      </c>
      <c r="E304" s="25">
        <v>2</v>
      </c>
      <c r="F304" s="25"/>
      <c r="G304" s="25"/>
      <c r="H304" s="25"/>
      <c r="I304" s="22">
        <f t="shared" si="4"/>
        <v>2</v>
      </c>
      <c r="J304" t="e">
        <f>VLOOKUP(B304,'[1]KT 광점퍼코드(수익률)'!$A$4:$P$243,16,0)</f>
        <v>#N/A</v>
      </c>
    </row>
    <row r="305" spans="1:10" ht="15.75" hidden="1" customHeight="1">
      <c r="A305" s="19">
        <v>302</v>
      </c>
      <c r="B305" s="20" t="s">
        <v>2385</v>
      </c>
      <c r="C305" s="20" t="s">
        <v>169</v>
      </c>
      <c r="D305" s="20" t="s">
        <v>45</v>
      </c>
      <c r="E305" s="21"/>
      <c r="F305" s="21">
        <v>2</v>
      </c>
      <c r="G305" s="21"/>
      <c r="H305" s="21"/>
      <c r="I305" s="22">
        <f t="shared" si="4"/>
        <v>2</v>
      </c>
      <c r="J305" t="e">
        <f>VLOOKUP(B305,'[1]KT 광점퍼코드(수익률)'!$A$4:$P$243,16,0)</f>
        <v>#N/A</v>
      </c>
    </row>
    <row r="306" spans="1:10" ht="15.75" hidden="1" customHeight="1">
      <c r="A306" s="23">
        <v>303</v>
      </c>
      <c r="B306" s="24" t="s">
        <v>2386</v>
      </c>
      <c r="C306" s="24" t="s">
        <v>2366</v>
      </c>
      <c r="D306" s="24" t="s">
        <v>121</v>
      </c>
      <c r="E306" s="25"/>
      <c r="F306" s="25">
        <v>4</v>
      </c>
      <c r="G306" s="25"/>
      <c r="H306" s="25"/>
      <c r="I306" s="22">
        <f t="shared" si="4"/>
        <v>4</v>
      </c>
      <c r="J306" t="e">
        <f>VLOOKUP(B306,'[1]KT 광점퍼코드(수익률)'!$A$4:$P$243,16,0)</f>
        <v>#N/A</v>
      </c>
    </row>
    <row r="307" spans="1:10" ht="15.75" hidden="1" customHeight="1">
      <c r="A307" s="19">
        <v>304</v>
      </c>
      <c r="B307" s="20" t="s">
        <v>311</v>
      </c>
      <c r="C307" s="20" t="s">
        <v>203</v>
      </c>
      <c r="D307" s="20" t="s">
        <v>312</v>
      </c>
      <c r="E307" s="21">
        <v>20</v>
      </c>
      <c r="F307" s="21"/>
      <c r="G307" s="21"/>
      <c r="H307" s="21"/>
      <c r="I307" s="22">
        <f t="shared" si="4"/>
        <v>20</v>
      </c>
      <c r="J307" t="e">
        <f>VLOOKUP(B307,'[1]KT 광점퍼코드(수익률)'!$A$4:$P$243,16,0)</f>
        <v>#N/A</v>
      </c>
    </row>
    <row r="308" spans="1:10" ht="15.75" hidden="1" customHeight="1">
      <c r="A308" s="23">
        <v>305</v>
      </c>
      <c r="B308" s="24" t="s">
        <v>3451</v>
      </c>
      <c r="C308" s="24" t="s">
        <v>2366</v>
      </c>
      <c r="D308" s="24" t="s">
        <v>32</v>
      </c>
      <c r="E308" s="25"/>
      <c r="F308" s="25"/>
      <c r="G308" s="25"/>
      <c r="H308" s="25">
        <v>10</v>
      </c>
      <c r="I308" s="22">
        <f t="shared" si="4"/>
        <v>10</v>
      </c>
      <c r="J308" t="e">
        <f>VLOOKUP(B308,'[1]KT 광점퍼코드(수익률)'!$A$4:$P$243,16,0)</f>
        <v>#N/A</v>
      </c>
    </row>
    <row r="309" spans="1:10" ht="15.75" hidden="1" customHeight="1">
      <c r="A309" s="19">
        <v>306</v>
      </c>
      <c r="B309" s="20" t="s">
        <v>2387</v>
      </c>
      <c r="C309" s="20" t="s">
        <v>253</v>
      </c>
      <c r="D309" s="20" t="s">
        <v>1515</v>
      </c>
      <c r="E309" s="21"/>
      <c r="F309" s="21">
        <v>5</v>
      </c>
      <c r="G309" s="21"/>
      <c r="H309" s="21"/>
      <c r="I309" s="22">
        <f t="shared" si="4"/>
        <v>5</v>
      </c>
      <c r="J309" t="e">
        <f>VLOOKUP(B309,'[1]KT 광점퍼코드(수익률)'!$A$4:$P$243,16,0)</f>
        <v>#N/A</v>
      </c>
    </row>
    <row r="310" spans="1:10" ht="15.75" hidden="1" customHeight="1">
      <c r="A310" s="23">
        <v>307</v>
      </c>
      <c r="B310" s="24" t="s">
        <v>313</v>
      </c>
      <c r="C310" s="24" t="s">
        <v>169</v>
      </c>
      <c r="D310" s="24" t="s">
        <v>259</v>
      </c>
      <c r="E310" s="25">
        <v>40</v>
      </c>
      <c r="F310" s="25">
        <v>4</v>
      </c>
      <c r="G310" s="25"/>
      <c r="H310" s="25">
        <v>20</v>
      </c>
      <c r="I310" s="22">
        <f t="shared" si="4"/>
        <v>64</v>
      </c>
      <c r="J310" t="e">
        <f>VLOOKUP(B310,'[1]KT 광점퍼코드(수익률)'!$A$4:$P$243,16,0)</f>
        <v>#N/A</v>
      </c>
    </row>
    <row r="311" spans="1:10" ht="15.75" hidden="1" customHeight="1">
      <c r="A311" s="19">
        <v>308</v>
      </c>
      <c r="B311" s="20" t="s">
        <v>2388</v>
      </c>
      <c r="C311" s="20" t="s">
        <v>180</v>
      </c>
      <c r="D311" s="20" t="s">
        <v>2389</v>
      </c>
      <c r="E311" s="21"/>
      <c r="F311" s="21">
        <v>18</v>
      </c>
      <c r="G311" s="21"/>
      <c r="H311" s="21"/>
      <c r="I311" s="22">
        <f t="shared" si="4"/>
        <v>18</v>
      </c>
      <c r="J311" t="e">
        <f>VLOOKUP(B311,'[1]KT 광점퍼코드(수익률)'!$A$4:$P$243,16,0)</f>
        <v>#N/A</v>
      </c>
    </row>
    <row r="312" spans="1:10" ht="15.75" hidden="1" customHeight="1">
      <c r="A312" s="23">
        <v>309</v>
      </c>
      <c r="B312" s="24" t="s">
        <v>2390</v>
      </c>
      <c r="C312" s="24" t="s">
        <v>304</v>
      </c>
      <c r="D312" s="24" t="s">
        <v>45</v>
      </c>
      <c r="E312" s="25"/>
      <c r="F312" s="25">
        <v>30</v>
      </c>
      <c r="G312" s="25"/>
      <c r="H312" s="25"/>
      <c r="I312" s="22">
        <f t="shared" si="4"/>
        <v>30</v>
      </c>
      <c r="J312" t="e">
        <f>VLOOKUP(B312,'[1]KT 광점퍼코드(수익률)'!$A$4:$P$243,16,0)</f>
        <v>#N/A</v>
      </c>
    </row>
    <row r="313" spans="1:10" ht="15.75" hidden="1" customHeight="1">
      <c r="A313" s="19">
        <v>310</v>
      </c>
      <c r="B313" s="20" t="s">
        <v>314</v>
      </c>
      <c r="C313" s="20" t="s">
        <v>253</v>
      </c>
      <c r="D313" s="20" t="s">
        <v>315</v>
      </c>
      <c r="E313" s="21">
        <v>6</v>
      </c>
      <c r="F313" s="21"/>
      <c r="G313" s="21"/>
      <c r="H313" s="21"/>
      <c r="I313" s="22">
        <f t="shared" si="4"/>
        <v>6</v>
      </c>
      <c r="J313" t="e">
        <f>VLOOKUP(B313,'[1]KT 광점퍼코드(수익률)'!$A$4:$P$243,16,0)</f>
        <v>#N/A</v>
      </c>
    </row>
    <row r="314" spans="1:10" ht="15.75" hidden="1" customHeight="1">
      <c r="A314" s="23">
        <v>311</v>
      </c>
      <c r="B314" s="24" t="s">
        <v>316</v>
      </c>
      <c r="C314" s="24" t="s">
        <v>203</v>
      </c>
      <c r="D314" s="24" t="s">
        <v>225</v>
      </c>
      <c r="E314" s="25">
        <v>50</v>
      </c>
      <c r="F314" s="25">
        <v>20</v>
      </c>
      <c r="G314" s="25"/>
      <c r="H314" s="25"/>
      <c r="I314" s="22">
        <f t="shared" si="4"/>
        <v>70</v>
      </c>
      <c r="J314" t="e">
        <f>VLOOKUP(B314,'[1]KT 광점퍼코드(수익률)'!$A$4:$P$243,16,0)</f>
        <v>#N/A</v>
      </c>
    </row>
    <row r="315" spans="1:10" ht="15.75" hidden="1" customHeight="1">
      <c r="A315" s="19">
        <v>312</v>
      </c>
      <c r="B315" s="20" t="s">
        <v>317</v>
      </c>
      <c r="C315" s="20" t="s">
        <v>203</v>
      </c>
      <c r="D315" s="20" t="s">
        <v>315</v>
      </c>
      <c r="E315" s="21">
        <v>62</v>
      </c>
      <c r="F315" s="21"/>
      <c r="G315" s="21"/>
      <c r="H315" s="21"/>
      <c r="I315" s="22">
        <f t="shared" si="4"/>
        <v>62</v>
      </c>
      <c r="J315" t="e">
        <f>VLOOKUP(B315,'[1]KT 광점퍼코드(수익률)'!$A$4:$P$243,16,0)</f>
        <v>#N/A</v>
      </c>
    </row>
    <row r="316" spans="1:10" ht="15.75" hidden="1" customHeight="1">
      <c r="A316" s="23">
        <v>313</v>
      </c>
      <c r="B316" s="24" t="s">
        <v>318</v>
      </c>
      <c r="C316" s="24" t="s">
        <v>203</v>
      </c>
      <c r="D316" s="24" t="s">
        <v>319</v>
      </c>
      <c r="E316" s="25">
        <v>20</v>
      </c>
      <c r="F316" s="25"/>
      <c r="G316" s="25"/>
      <c r="H316" s="25"/>
      <c r="I316" s="22">
        <f t="shared" si="4"/>
        <v>20</v>
      </c>
      <c r="J316" t="e">
        <f>VLOOKUP(B316,'[1]KT 광점퍼코드(수익률)'!$A$4:$P$243,16,0)</f>
        <v>#N/A</v>
      </c>
    </row>
    <row r="317" spans="1:10" ht="15.75" hidden="1" customHeight="1">
      <c r="A317" s="19">
        <v>314</v>
      </c>
      <c r="B317" s="20" t="s">
        <v>320</v>
      </c>
      <c r="C317" s="20" t="s">
        <v>203</v>
      </c>
      <c r="D317" s="20" t="s">
        <v>321</v>
      </c>
      <c r="E317" s="21">
        <v>24</v>
      </c>
      <c r="F317" s="21"/>
      <c r="G317" s="21"/>
      <c r="H317" s="21"/>
      <c r="I317" s="22">
        <f t="shared" si="4"/>
        <v>24</v>
      </c>
      <c r="J317" t="e">
        <f>VLOOKUP(B317,'[1]KT 광점퍼코드(수익률)'!$A$4:$P$243,16,0)</f>
        <v>#N/A</v>
      </c>
    </row>
    <row r="318" spans="1:10" ht="15.75" hidden="1" customHeight="1">
      <c r="A318" s="23">
        <v>315</v>
      </c>
      <c r="B318" s="24" t="s">
        <v>2391</v>
      </c>
      <c r="C318" s="24" t="s">
        <v>304</v>
      </c>
      <c r="D318" s="24" t="s">
        <v>47</v>
      </c>
      <c r="E318" s="25"/>
      <c r="F318" s="25">
        <v>2</v>
      </c>
      <c r="G318" s="25"/>
      <c r="H318" s="25"/>
      <c r="I318" s="22">
        <f t="shared" si="4"/>
        <v>2</v>
      </c>
      <c r="J318" t="e">
        <f>VLOOKUP(B318,'[1]KT 광점퍼코드(수익률)'!$A$4:$P$243,16,0)</f>
        <v>#N/A</v>
      </c>
    </row>
    <row r="319" spans="1:10" ht="15.75" hidden="1" customHeight="1">
      <c r="A319" s="19">
        <v>316</v>
      </c>
      <c r="B319" s="20" t="s">
        <v>322</v>
      </c>
      <c r="C319" s="20" t="s">
        <v>169</v>
      </c>
      <c r="D319" s="20" t="s">
        <v>42</v>
      </c>
      <c r="E319" s="21">
        <v>4</v>
      </c>
      <c r="F319" s="21">
        <v>10</v>
      </c>
      <c r="G319" s="21"/>
      <c r="H319" s="21">
        <v>90</v>
      </c>
      <c r="I319" s="22">
        <f t="shared" si="4"/>
        <v>104</v>
      </c>
      <c r="J319" t="e">
        <f>VLOOKUP(B319,'[1]KT 광점퍼코드(수익률)'!$A$4:$P$243,16,0)</f>
        <v>#N/A</v>
      </c>
    </row>
    <row r="320" spans="1:10" ht="15.75" hidden="1" customHeight="1">
      <c r="A320" s="23">
        <v>317</v>
      </c>
      <c r="B320" s="24" t="s">
        <v>2392</v>
      </c>
      <c r="C320" s="24" t="s">
        <v>2366</v>
      </c>
      <c r="D320" s="24" t="s">
        <v>24</v>
      </c>
      <c r="E320" s="25"/>
      <c r="F320" s="25">
        <v>324</v>
      </c>
      <c r="G320" s="25"/>
      <c r="H320" s="25"/>
      <c r="I320" s="22">
        <f t="shared" si="4"/>
        <v>324</v>
      </c>
      <c r="J320" t="e">
        <f>VLOOKUP(B320,'[1]KT 광점퍼코드(수익률)'!$A$4:$P$243,16,0)</f>
        <v>#N/A</v>
      </c>
    </row>
    <row r="321" spans="1:10" ht="15.75" hidden="1" customHeight="1">
      <c r="A321" s="19">
        <v>318</v>
      </c>
      <c r="B321" s="20" t="s">
        <v>2393</v>
      </c>
      <c r="C321" s="20" t="s">
        <v>206</v>
      </c>
      <c r="D321" s="20" t="s">
        <v>225</v>
      </c>
      <c r="E321" s="21"/>
      <c r="F321" s="21">
        <v>10</v>
      </c>
      <c r="G321" s="21"/>
      <c r="H321" s="21"/>
      <c r="I321" s="22">
        <f t="shared" si="4"/>
        <v>10</v>
      </c>
      <c r="J321" t="e">
        <f>VLOOKUP(B321,'[1]KT 광점퍼코드(수익률)'!$A$4:$P$243,16,0)</f>
        <v>#N/A</v>
      </c>
    </row>
    <row r="322" spans="1:10" ht="15.75" hidden="1" customHeight="1">
      <c r="A322" s="23">
        <v>319</v>
      </c>
      <c r="B322" s="24" t="s">
        <v>2394</v>
      </c>
      <c r="C322" s="24" t="s">
        <v>294</v>
      </c>
      <c r="D322" s="24" t="s">
        <v>2395</v>
      </c>
      <c r="E322" s="25"/>
      <c r="F322" s="25">
        <v>12</v>
      </c>
      <c r="G322" s="25"/>
      <c r="H322" s="25"/>
      <c r="I322" s="22">
        <f t="shared" si="4"/>
        <v>12</v>
      </c>
      <c r="J322" t="e">
        <f>VLOOKUP(B322,'[1]KT 광점퍼코드(수익률)'!$A$4:$P$243,16,0)</f>
        <v>#N/A</v>
      </c>
    </row>
    <row r="323" spans="1:10" ht="15.75" hidden="1" customHeight="1">
      <c r="A323" s="19">
        <v>320</v>
      </c>
      <c r="B323" s="20" t="s">
        <v>323</v>
      </c>
      <c r="C323" s="20" t="s">
        <v>294</v>
      </c>
      <c r="D323" s="20" t="s">
        <v>324</v>
      </c>
      <c r="E323" s="21">
        <v>108</v>
      </c>
      <c r="F323" s="21"/>
      <c r="G323" s="21"/>
      <c r="H323" s="21"/>
      <c r="I323" s="22">
        <f t="shared" si="4"/>
        <v>108</v>
      </c>
      <c r="J323" t="e">
        <f>VLOOKUP(B323,'[1]KT 광점퍼코드(수익률)'!$A$4:$P$243,16,0)</f>
        <v>#N/A</v>
      </c>
    </row>
    <row r="324" spans="1:10" ht="15.75" hidden="1" customHeight="1">
      <c r="A324" s="23">
        <v>321</v>
      </c>
      <c r="B324" s="24" t="s">
        <v>325</v>
      </c>
      <c r="C324" s="24" t="s">
        <v>283</v>
      </c>
      <c r="D324" s="24" t="s">
        <v>324</v>
      </c>
      <c r="E324" s="25">
        <v>992</v>
      </c>
      <c r="F324" s="25"/>
      <c r="G324" s="25"/>
      <c r="H324" s="25"/>
      <c r="I324" s="22">
        <f t="shared" ref="I324:I387" si="5">SUM(E324:H324)</f>
        <v>992</v>
      </c>
      <c r="J324" t="e">
        <f>VLOOKUP(B324,'[1]KT 광점퍼코드(수익률)'!$A$4:$P$243,16,0)</f>
        <v>#N/A</v>
      </c>
    </row>
    <row r="325" spans="1:10" ht="15.75" hidden="1" customHeight="1">
      <c r="A325" s="19">
        <v>322</v>
      </c>
      <c r="B325" s="20" t="s">
        <v>2396</v>
      </c>
      <c r="C325" s="20" t="s">
        <v>203</v>
      </c>
      <c r="D325" s="20" t="s">
        <v>2397</v>
      </c>
      <c r="E325" s="21"/>
      <c r="F325" s="21">
        <v>70</v>
      </c>
      <c r="G325" s="21">
        <v>30</v>
      </c>
      <c r="H325" s="21"/>
      <c r="I325" s="22">
        <f t="shared" si="5"/>
        <v>100</v>
      </c>
      <c r="J325" t="e">
        <f>VLOOKUP(B325,'[1]KT 광점퍼코드(수익률)'!$A$4:$P$243,16,0)</f>
        <v>#N/A</v>
      </c>
    </row>
    <row r="326" spans="1:10" ht="15.75" hidden="1" customHeight="1">
      <c r="A326" s="23">
        <v>323</v>
      </c>
      <c r="B326" s="24" t="s">
        <v>326</v>
      </c>
      <c r="C326" s="24" t="s">
        <v>203</v>
      </c>
      <c r="D326" s="24" t="s">
        <v>327</v>
      </c>
      <c r="E326" s="25">
        <v>70</v>
      </c>
      <c r="F326" s="25">
        <v>100</v>
      </c>
      <c r="G326" s="25">
        <v>67</v>
      </c>
      <c r="H326" s="25"/>
      <c r="I326" s="22">
        <f t="shared" si="5"/>
        <v>237</v>
      </c>
      <c r="J326" t="e">
        <f>VLOOKUP(B326,'[1]KT 광점퍼코드(수익률)'!$A$4:$P$243,16,0)</f>
        <v>#N/A</v>
      </c>
    </row>
    <row r="327" spans="1:10" ht="15.75" hidden="1" customHeight="1">
      <c r="A327" s="19">
        <v>324</v>
      </c>
      <c r="B327" s="20" t="s">
        <v>328</v>
      </c>
      <c r="C327" s="20" t="s">
        <v>203</v>
      </c>
      <c r="D327" s="20" t="s">
        <v>329</v>
      </c>
      <c r="E327" s="21">
        <v>40</v>
      </c>
      <c r="F327" s="21">
        <v>60</v>
      </c>
      <c r="G327" s="21"/>
      <c r="H327" s="21"/>
      <c r="I327" s="22">
        <f t="shared" si="5"/>
        <v>100</v>
      </c>
      <c r="J327" t="e">
        <f>VLOOKUP(B327,'[1]KT 광점퍼코드(수익률)'!$A$4:$P$243,16,0)</f>
        <v>#N/A</v>
      </c>
    </row>
    <row r="328" spans="1:10" ht="15.75" hidden="1" customHeight="1">
      <c r="A328" s="23">
        <v>325</v>
      </c>
      <c r="B328" s="24" t="s">
        <v>330</v>
      </c>
      <c r="C328" s="24" t="s">
        <v>203</v>
      </c>
      <c r="D328" s="24" t="s">
        <v>331</v>
      </c>
      <c r="E328" s="25">
        <v>30</v>
      </c>
      <c r="F328" s="25">
        <v>10</v>
      </c>
      <c r="G328" s="25"/>
      <c r="H328" s="25"/>
      <c r="I328" s="22">
        <f t="shared" si="5"/>
        <v>40</v>
      </c>
      <c r="J328" t="e">
        <f>VLOOKUP(B328,'[1]KT 광점퍼코드(수익률)'!$A$4:$P$243,16,0)</f>
        <v>#N/A</v>
      </c>
    </row>
    <row r="329" spans="1:10" ht="15.75" hidden="1" customHeight="1">
      <c r="A329" s="19">
        <v>326</v>
      </c>
      <c r="B329" s="20" t="s">
        <v>332</v>
      </c>
      <c r="C329" s="20" t="s">
        <v>203</v>
      </c>
      <c r="D329" s="20" t="s">
        <v>333</v>
      </c>
      <c r="E329" s="21">
        <v>20</v>
      </c>
      <c r="F329" s="21"/>
      <c r="G329" s="21"/>
      <c r="H329" s="21"/>
      <c r="I329" s="22">
        <f t="shared" si="5"/>
        <v>20</v>
      </c>
      <c r="J329" t="e">
        <f>VLOOKUP(B329,'[1]KT 광점퍼코드(수익률)'!$A$4:$P$243,16,0)</f>
        <v>#N/A</v>
      </c>
    </row>
    <row r="330" spans="1:10" ht="15.75" hidden="1" customHeight="1">
      <c r="A330" s="23">
        <v>327</v>
      </c>
      <c r="B330" s="24" t="s">
        <v>334</v>
      </c>
      <c r="C330" s="24" t="s">
        <v>203</v>
      </c>
      <c r="D330" s="24" t="s">
        <v>335</v>
      </c>
      <c r="E330" s="25">
        <v>30</v>
      </c>
      <c r="F330" s="25"/>
      <c r="G330" s="25">
        <v>10</v>
      </c>
      <c r="H330" s="25"/>
      <c r="I330" s="22">
        <f t="shared" si="5"/>
        <v>40</v>
      </c>
      <c r="J330" t="e">
        <f>VLOOKUP(B330,'[1]KT 광점퍼코드(수익률)'!$A$4:$P$243,16,0)</f>
        <v>#N/A</v>
      </c>
    </row>
    <row r="331" spans="1:10" ht="15.75" hidden="1" customHeight="1">
      <c r="A331" s="19">
        <v>328</v>
      </c>
      <c r="B331" s="20" t="s">
        <v>336</v>
      </c>
      <c r="C331" s="20" t="s">
        <v>203</v>
      </c>
      <c r="D331" s="20" t="s">
        <v>337</v>
      </c>
      <c r="E331" s="21">
        <v>40</v>
      </c>
      <c r="F331" s="21"/>
      <c r="G331" s="21"/>
      <c r="H331" s="21"/>
      <c r="I331" s="22">
        <f t="shared" si="5"/>
        <v>40</v>
      </c>
      <c r="J331" t="e">
        <f>VLOOKUP(B331,'[1]KT 광점퍼코드(수익률)'!$A$4:$P$243,16,0)</f>
        <v>#N/A</v>
      </c>
    </row>
    <row r="332" spans="1:10" ht="15.75" hidden="1" customHeight="1">
      <c r="A332" s="23">
        <v>329</v>
      </c>
      <c r="B332" s="24" t="s">
        <v>338</v>
      </c>
      <c r="C332" s="24" t="s">
        <v>169</v>
      </c>
      <c r="D332" s="24" t="s">
        <v>186</v>
      </c>
      <c r="E332" s="25">
        <v>7</v>
      </c>
      <c r="F332" s="25"/>
      <c r="G332" s="25"/>
      <c r="H332" s="25"/>
      <c r="I332" s="22">
        <f t="shared" si="5"/>
        <v>7</v>
      </c>
      <c r="J332" t="e">
        <f>VLOOKUP(B332,'[1]KT 광점퍼코드(수익률)'!$A$4:$P$243,16,0)</f>
        <v>#N/A</v>
      </c>
    </row>
    <row r="333" spans="1:10" ht="15.75" hidden="1" customHeight="1">
      <c r="A333" s="19">
        <v>330</v>
      </c>
      <c r="B333" s="20" t="s">
        <v>339</v>
      </c>
      <c r="C333" s="20" t="s">
        <v>203</v>
      </c>
      <c r="D333" s="20" t="s">
        <v>340</v>
      </c>
      <c r="E333" s="21">
        <v>20</v>
      </c>
      <c r="F333" s="21"/>
      <c r="G333" s="21"/>
      <c r="H333" s="21"/>
      <c r="I333" s="22">
        <f t="shared" si="5"/>
        <v>20</v>
      </c>
      <c r="J333" t="e">
        <f>VLOOKUP(B333,'[1]KT 광점퍼코드(수익률)'!$A$4:$P$243,16,0)</f>
        <v>#N/A</v>
      </c>
    </row>
    <row r="334" spans="1:10" ht="15.75" hidden="1" customHeight="1">
      <c r="A334" s="23">
        <v>331</v>
      </c>
      <c r="B334" s="24" t="s">
        <v>341</v>
      </c>
      <c r="C334" s="24" t="s">
        <v>180</v>
      </c>
      <c r="D334" s="24" t="s">
        <v>342</v>
      </c>
      <c r="E334" s="25">
        <v>2</v>
      </c>
      <c r="F334" s="25"/>
      <c r="G334" s="25"/>
      <c r="H334" s="25"/>
      <c r="I334" s="22">
        <f t="shared" si="5"/>
        <v>2</v>
      </c>
      <c r="J334" t="e">
        <f>VLOOKUP(B334,'[1]KT 광점퍼코드(수익률)'!$A$4:$P$243,16,0)</f>
        <v>#N/A</v>
      </c>
    </row>
    <row r="335" spans="1:10" ht="15.75" hidden="1" customHeight="1">
      <c r="A335" s="19">
        <v>332</v>
      </c>
      <c r="B335" s="20" t="s">
        <v>343</v>
      </c>
      <c r="C335" s="20" t="s">
        <v>263</v>
      </c>
      <c r="D335" s="20" t="s">
        <v>342</v>
      </c>
      <c r="E335" s="21">
        <v>2</v>
      </c>
      <c r="F335" s="21"/>
      <c r="G335" s="21"/>
      <c r="H335" s="21"/>
      <c r="I335" s="22">
        <f t="shared" si="5"/>
        <v>2</v>
      </c>
      <c r="J335" t="e">
        <f>VLOOKUP(B335,'[1]KT 광점퍼코드(수익률)'!$A$4:$P$243,16,0)</f>
        <v>#N/A</v>
      </c>
    </row>
    <row r="336" spans="1:10" ht="15.75" hidden="1" customHeight="1">
      <c r="A336" s="23">
        <v>333</v>
      </c>
      <c r="B336" s="24" t="s">
        <v>344</v>
      </c>
      <c r="C336" s="24" t="s">
        <v>263</v>
      </c>
      <c r="D336" s="24" t="s">
        <v>345</v>
      </c>
      <c r="E336" s="25">
        <v>4</v>
      </c>
      <c r="F336" s="25"/>
      <c r="G336" s="25"/>
      <c r="H336" s="25"/>
      <c r="I336" s="22">
        <f t="shared" si="5"/>
        <v>4</v>
      </c>
      <c r="J336" t="e">
        <f>VLOOKUP(B336,'[1]KT 광점퍼코드(수익률)'!$A$4:$P$243,16,0)</f>
        <v>#N/A</v>
      </c>
    </row>
    <row r="337" spans="1:10" ht="15.75" hidden="1" customHeight="1">
      <c r="A337" s="19">
        <v>334</v>
      </c>
      <c r="B337" s="20" t="s">
        <v>3005</v>
      </c>
      <c r="C337" s="20" t="s">
        <v>203</v>
      </c>
      <c r="D337" s="20" t="s">
        <v>3006</v>
      </c>
      <c r="E337" s="21"/>
      <c r="F337" s="21"/>
      <c r="G337" s="21">
        <v>120</v>
      </c>
      <c r="H337" s="21">
        <v>140</v>
      </c>
      <c r="I337" s="22">
        <f t="shared" si="5"/>
        <v>260</v>
      </c>
      <c r="J337" t="e">
        <f>VLOOKUP(B337,'[1]KT 광점퍼코드(수익률)'!$A$4:$P$243,16,0)</f>
        <v>#N/A</v>
      </c>
    </row>
    <row r="338" spans="1:10" ht="15.75" hidden="1" customHeight="1">
      <c r="A338" s="23">
        <v>335</v>
      </c>
      <c r="B338" s="24" t="s">
        <v>346</v>
      </c>
      <c r="C338" s="24" t="s">
        <v>203</v>
      </c>
      <c r="D338" s="24" t="s">
        <v>347</v>
      </c>
      <c r="E338" s="25">
        <v>4</v>
      </c>
      <c r="F338" s="25"/>
      <c r="G338" s="25"/>
      <c r="H338" s="25"/>
      <c r="I338" s="22">
        <f t="shared" si="5"/>
        <v>4</v>
      </c>
      <c r="J338" t="e">
        <f>VLOOKUP(B338,'[1]KT 광점퍼코드(수익률)'!$A$4:$P$243,16,0)</f>
        <v>#N/A</v>
      </c>
    </row>
    <row r="339" spans="1:10" ht="15.75" hidden="1" customHeight="1">
      <c r="A339" s="19">
        <v>336</v>
      </c>
      <c r="B339" s="20" t="s">
        <v>3007</v>
      </c>
      <c r="C339" s="20" t="s">
        <v>203</v>
      </c>
      <c r="D339" s="20" t="s">
        <v>3008</v>
      </c>
      <c r="E339" s="21"/>
      <c r="F339" s="21"/>
      <c r="G339" s="21">
        <v>50</v>
      </c>
      <c r="H339" s="21"/>
      <c r="I339" s="22">
        <f t="shared" si="5"/>
        <v>50</v>
      </c>
      <c r="J339" t="e">
        <f>VLOOKUP(B339,'[1]KT 광점퍼코드(수익률)'!$A$4:$P$243,16,0)</f>
        <v>#N/A</v>
      </c>
    </row>
    <row r="340" spans="1:10" ht="15.75" hidden="1" customHeight="1">
      <c r="A340" s="23">
        <v>337</v>
      </c>
      <c r="B340" s="24" t="s">
        <v>348</v>
      </c>
      <c r="C340" s="24" t="s">
        <v>203</v>
      </c>
      <c r="D340" s="24" t="s">
        <v>349</v>
      </c>
      <c r="E340" s="25">
        <v>190</v>
      </c>
      <c r="F340" s="25">
        <v>50</v>
      </c>
      <c r="G340" s="25">
        <v>970</v>
      </c>
      <c r="H340" s="25"/>
      <c r="I340" s="22">
        <f t="shared" si="5"/>
        <v>1210</v>
      </c>
      <c r="J340" t="e">
        <f>VLOOKUP(B340,'[1]KT 광점퍼코드(수익률)'!$A$4:$P$243,16,0)</f>
        <v>#N/A</v>
      </c>
    </row>
    <row r="341" spans="1:10" ht="15.75" hidden="1" customHeight="1">
      <c r="A341" s="19">
        <v>338</v>
      </c>
      <c r="B341" s="20" t="s">
        <v>350</v>
      </c>
      <c r="C341" s="20" t="s">
        <v>351</v>
      </c>
      <c r="D341" s="20" t="s">
        <v>352</v>
      </c>
      <c r="E341" s="21">
        <v>1108</v>
      </c>
      <c r="F341" s="21">
        <v>179</v>
      </c>
      <c r="G341" s="21">
        <v>2</v>
      </c>
      <c r="H341" s="21"/>
      <c r="I341" s="22">
        <f t="shared" si="5"/>
        <v>1289</v>
      </c>
      <c r="J341" t="e">
        <f>VLOOKUP(B341,'[1]KT 광점퍼코드(수익률)'!$A$4:$P$243,16,0)</f>
        <v>#N/A</v>
      </c>
    </row>
    <row r="342" spans="1:10" ht="15.75" hidden="1" customHeight="1">
      <c r="A342" s="23">
        <v>339</v>
      </c>
      <c r="B342" s="24" t="s">
        <v>353</v>
      </c>
      <c r="C342" s="24" t="s">
        <v>354</v>
      </c>
      <c r="D342" s="24" t="s">
        <v>355</v>
      </c>
      <c r="E342" s="25">
        <v>214</v>
      </c>
      <c r="F342" s="25">
        <v>78</v>
      </c>
      <c r="G342" s="25">
        <v>12</v>
      </c>
      <c r="H342" s="25"/>
      <c r="I342" s="22">
        <f t="shared" si="5"/>
        <v>304</v>
      </c>
      <c r="J342" t="e">
        <f>VLOOKUP(B342,'[1]KT 광점퍼코드(수익률)'!$A$4:$P$243,16,0)</f>
        <v>#N/A</v>
      </c>
    </row>
    <row r="343" spans="1:10" ht="15.75" hidden="1" customHeight="1">
      <c r="A343" s="19">
        <v>340</v>
      </c>
      <c r="B343" s="20" t="s">
        <v>356</v>
      </c>
      <c r="C343" s="20" t="s">
        <v>357</v>
      </c>
      <c r="D343" s="20" t="s">
        <v>358</v>
      </c>
      <c r="E343" s="21">
        <v>37</v>
      </c>
      <c r="F343" s="21">
        <v>28</v>
      </c>
      <c r="G343" s="21">
        <v>30</v>
      </c>
      <c r="H343" s="21"/>
      <c r="I343" s="22">
        <f t="shared" si="5"/>
        <v>95</v>
      </c>
      <c r="J343" t="e">
        <f>VLOOKUP(B343,'[1]KT 광점퍼코드(수익률)'!$A$4:$P$243,16,0)</f>
        <v>#N/A</v>
      </c>
    </row>
    <row r="344" spans="1:10" ht="15.75" hidden="1" customHeight="1">
      <c r="A344" s="23">
        <v>341</v>
      </c>
      <c r="B344" s="24" t="s">
        <v>2398</v>
      </c>
      <c r="C344" s="24" t="s">
        <v>203</v>
      </c>
      <c r="D344" s="24" t="s">
        <v>2399</v>
      </c>
      <c r="E344" s="25"/>
      <c r="F344" s="25">
        <v>10</v>
      </c>
      <c r="G344" s="25">
        <v>260</v>
      </c>
      <c r="H344" s="25"/>
      <c r="I344" s="22">
        <f t="shared" si="5"/>
        <v>270</v>
      </c>
      <c r="J344" t="e">
        <f>VLOOKUP(B344,'[1]KT 광점퍼코드(수익률)'!$A$4:$P$243,16,0)</f>
        <v>#N/A</v>
      </c>
    </row>
    <row r="345" spans="1:10" ht="15.75" hidden="1" customHeight="1">
      <c r="A345" s="19">
        <v>342</v>
      </c>
      <c r="B345" s="20" t="s">
        <v>3009</v>
      </c>
      <c r="C345" s="20" t="s">
        <v>428</v>
      </c>
      <c r="D345" s="20" t="s">
        <v>32</v>
      </c>
      <c r="E345" s="21"/>
      <c r="F345" s="21"/>
      <c r="G345" s="21">
        <v>5</v>
      </c>
      <c r="H345" s="21"/>
      <c r="I345" s="22">
        <f t="shared" si="5"/>
        <v>5</v>
      </c>
      <c r="J345" t="e">
        <f>VLOOKUP(B345,'[1]KT 광점퍼코드(수익률)'!$A$4:$P$243,16,0)</f>
        <v>#N/A</v>
      </c>
    </row>
    <row r="346" spans="1:10" ht="15.75" hidden="1" customHeight="1">
      <c r="A346" s="23">
        <v>343</v>
      </c>
      <c r="B346" s="24" t="s">
        <v>359</v>
      </c>
      <c r="C346" s="24" t="s">
        <v>203</v>
      </c>
      <c r="D346" s="24" t="s">
        <v>360</v>
      </c>
      <c r="E346" s="25">
        <v>1200</v>
      </c>
      <c r="F346" s="25"/>
      <c r="G346" s="25">
        <v>80</v>
      </c>
      <c r="H346" s="25"/>
      <c r="I346" s="22">
        <f t="shared" si="5"/>
        <v>1280</v>
      </c>
      <c r="J346" t="e">
        <f>VLOOKUP(B346,'[1]KT 광점퍼코드(수익률)'!$A$4:$P$243,16,0)</f>
        <v>#N/A</v>
      </c>
    </row>
    <row r="347" spans="1:10" ht="15.75" hidden="1" customHeight="1">
      <c r="A347" s="19">
        <v>344</v>
      </c>
      <c r="B347" s="20" t="s">
        <v>361</v>
      </c>
      <c r="C347" s="20" t="s">
        <v>362</v>
      </c>
      <c r="D347" s="20" t="s">
        <v>26</v>
      </c>
      <c r="E347" s="21">
        <v>10</v>
      </c>
      <c r="F347" s="21"/>
      <c r="G347" s="21"/>
      <c r="H347" s="21"/>
      <c r="I347" s="22">
        <f t="shared" si="5"/>
        <v>10</v>
      </c>
      <c r="J347" t="e">
        <f>VLOOKUP(B347,'[1]KT 광점퍼코드(수익률)'!$A$4:$P$243,16,0)</f>
        <v>#N/A</v>
      </c>
    </row>
    <row r="348" spans="1:10" ht="15.75" hidden="1" customHeight="1">
      <c r="A348" s="23">
        <v>345</v>
      </c>
      <c r="B348" s="24" t="s">
        <v>363</v>
      </c>
      <c r="C348" s="24" t="s">
        <v>169</v>
      </c>
      <c r="D348" s="24" t="s">
        <v>53</v>
      </c>
      <c r="E348" s="25">
        <v>26</v>
      </c>
      <c r="F348" s="25"/>
      <c r="G348" s="25">
        <v>3</v>
      </c>
      <c r="H348" s="25"/>
      <c r="I348" s="22">
        <f t="shared" si="5"/>
        <v>29</v>
      </c>
      <c r="J348" t="e">
        <f>VLOOKUP(B348,'[1]KT 광점퍼코드(수익률)'!$A$4:$P$243,16,0)</f>
        <v>#N/A</v>
      </c>
    </row>
    <row r="349" spans="1:10" ht="15.75" hidden="1" customHeight="1">
      <c r="A349" s="19">
        <v>346</v>
      </c>
      <c r="B349" s="20" t="s">
        <v>364</v>
      </c>
      <c r="C349" s="20" t="s">
        <v>203</v>
      </c>
      <c r="D349" s="20" t="s">
        <v>365</v>
      </c>
      <c r="E349" s="21">
        <v>20</v>
      </c>
      <c r="F349" s="21"/>
      <c r="G349" s="21"/>
      <c r="H349" s="21"/>
      <c r="I349" s="22">
        <f t="shared" si="5"/>
        <v>20</v>
      </c>
      <c r="J349" t="e">
        <f>VLOOKUP(B349,'[1]KT 광점퍼코드(수익률)'!$A$4:$P$243,16,0)</f>
        <v>#N/A</v>
      </c>
    </row>
    <row r="350" spans="1:10" ht="15.75" hidden="1" customHeight="1">
      <c r="A350" s="23">
        <v>347</v>
      </c>
      <c r="B350" s="24" t="s">
        <v>3010</v>
      </c>
      <c r="C350" s="24" t="s">
        <v>744</v>
      </c>
      <c r="D350" s="24" t="s">
        <v>3011</v>
      </c>
      <c r="E350" s="25"/>
      <c r="F350" s="25"/>
      <c r="G350" s="25">
        <v>2</v>
      </c>
      <c r="H350" s="25"/>
      <c r="I350" s="22">
        <f t="shared" si="5"/>
        <v>2</v>
      </c>
      <c r="J350" t="e">
        <f>VLOOKUP(B350,'[1]KT 광점퍼코드(수익률)'!$A$4:$P$243,16,0)</f>
        <v>#N/A</v>
      </c>
    </row>
    <row r="351" spans="1:10" ht="15.75" hidden="1" customHeight="1">
      <c r="A351" s="19">
        <v>348</v>
      </c>
      <c r="B351" s="20" t="s">
        <v>366</v>
      </c>
      <c r="C351" s="20" t="s">
        <v>367</v>
      </c>
      <c r="D351" s="20" t="s">
        <v>368</v>
      </c>
      <c r="E351" s="21">
        <v>102</v>
      </c>
      <c r="F351" s="21">
        <v>6</v>
      </c>
      <c r="G351" s="21"/>
      <c r="H351" s="21"/>
      <c r="I351" s="22">
        <f t="shared" si="5"/>
        <v>108</v>
      </c>
      <c r="J351" t="e">
        <f>VLOOKUP(B351,'[1]KT 광점퍼코드(수익률)'!$A$4:$P$243,16,0)</f>
        <v>#N/A</v>
      </c>
    </row>
    <row r="352" spans="1:10" ht="15.75" hidden="1" customHeight="1">
      <c r="A352" s="23">
        <v>349</v>
      </c>
      <c r="B352" s="24" t="s">
        <v>369</v>
      </c>
      <c r="C352" s="24" t="s">
        <v>370</v>
      </c>
      <c r="D352" s="24" t="s">
        <v>371</v>
      </c>
      <c r="E352" s="25">
        <v>43</v>
      </c>
      <c r="F352" s="25">
        <v>340</v>
      </c>
      <c r="G352" s="25"/>
      <c r="H352" s="25"/>
      <c r="I352" s="22">
        <f t="shared" si="5"/>
        <v>383</v>
      </c>
      <c r="J352" t="e">
        <f>VLOOKUP(B352,'[1]KT 광점퍼코드(수익률)'!$A$4:$P$243,16,0)</f>
        <v>#N/A</v>
      </c>
    </row>
    <row r="353" spans="1:10" ht="15.75" hidden="1" customHeight="1">
      <c r="A353" s="19">
        <v>350</v>
      </c>
      <c r="B353" s="20" t="s">
        <v>2400</v>
      </c>
      <c r="C353" s="20" t="s">
        <v>2401</v>
      </c>
      <c r="D353" s="20" t="s">
        <v>2402</v>
      </c>
      <c r="E353" s="21"/>
      <c r="F353" s="21">
        <v>1</v>
      </c>
      <c r="G353" s="21"/>
      <c r="H353" s="21"/>
      <c r="I353" s="22">
        <f t="shared" si="5"/>
        <v>1</v>
      </c>
      <c r="J353" t="e">
        <f>VLOOKUP(B353,'[1]KT 광점퍼코드(수익률)'!$A$4:$P$243,16,0)</f>
        <v>#N/A</v>
      </c>
    </row>
    <row r="354" spans="1:10" ht="15.75" hidden="1" customHeight="1">
      <c r="A354" s="23">
        <v>351</v>
      </c>
      <c r="B354" s="24" t="s">
        <v>2403</v>
      </c>
      <c r="C354" s="24" t="s">
        <v>2404</v>
      </c>
      <c r="D354" s="24" t="s">
        <v>2405</v>
      </c>
      <c r="E354" s="25"/>
      <c r="F354" s="25">
        <v>1</v>
      </c>
      <c r="G354" s="25"/>
      <c r="H354" s="25"/>
      <c r="I354" s="22">
        <f t="shared" si="5"/>
        <v>1</v>
      </c>
      <c r="J354" t="e">
        <f>VLOOKUP(B354,'[1]KT 광점퍼코드(수익률)'!$A$4:$P$243,16,0)</f>
        <v>#N/A</v>
      </c>
    </row>
    <row r="355" spans="1:10" ht="15.75" hidden="1" customHeight="1">
      <c r="A355" s="19">
        <v>352</v>
      </c>
      <c r="B355" s="20" t="s">
        <v>2406</v>
      </c>
      <c r="C355" s="20" t="s">
        <v>2407</v>
      </c>
      <c r="D355" s="20" t="s">
        <v>2408</v>
      </c>
      <c r="E355" s="21"/>
      <c r="F355" s="21">
        <v>1</v>
      </c>
      <c r="G355" s="21"/>
      <c r="H355" s="21"/>
      <c r="I355" s="22">
        <f t="shared" si="5"/>
        <v>1</v>
      </c>
      <c r="J355" t="e">
        <f>VLOOKUP(B355,'[1]KT 광점퍼코드(수익률)'!$A$4:$P$243,16,0)</f>
        <v>#N/A</v>
      </c>
    </row>
    <row r="356" spans="1:10" ht="15.75" hidden="1" customHeight="1">
      <c r="A356" s="23">
        <v>353</v>
      </c>
      <c r="B356" s="24" t="s">
        <v>372</v>
      </c>
      <c r="C356" s="24" t="s">
        <v>169</v>
      </c>
      <c r="D356" s="24" t="s">
        <v>182</v>
      </c>
      <c r="E356" s="25">
        <v>8</v>
      </c>
      <c r="F356" s="25">
        <v>10</v>
      </c>
      <c r="G356" s="25"/>
      <c r="H356" s="25"/>
      <c r="I356" s="22">
        <f t="shared" si="5"/>
        <v>18</v>
      </c>
      <c r="J356" t="e">
        <f>VLOOKUP(B356,'[1]KT 광점퍼코드(수익률)'!$A$4:$P$243,16,0)</f>
        <v>#N/A</v>
      </c>
    </row>
    <row r="357" spans="1:10" ht="15.75" hidden="1" customHeight="1">
      <c r="A357" s="19">
        <v>354</v>
      </c>
      <c r="B357" s="20" t="s">
        <v>2409</v>
      </c>
      <c r="C357" s="20" t="s">
        <v>294</v>
      </c>
      <c r="D357" s="20" t="s">
        <v>222</v>
      </c>
      <c r="E357" s="21"/>
      <c r="F357" s="21">
        <v>20</v>
      </c>
      <c r="G357" s="21"/>
      <c r="H357" s="21"/>
      <c r="I357" s="22">
        <f t="shared" si="5"/>
        <v>20</v>
      </c>
      <c r="J357" t="e">
        <f>VLOOKUP(B357,'[1]KT 광점퍼코드(수익률)'!$A$4:$P$243,16,0)</f>
        <v>#N/A</v>
      </c>
    </row>
    <row r="358" spans="1:10" ht="15.75" hidden="1" customHeight="1">
      <c r="A358" s="23">
        <v>355</v>
      </c>
      <c r="B358" s="24" t="s">
        <v>373</v>
      </c>
      <c r="C358" s="24" t="s">
        <v>294</v>
      </c>
      <c r="D358" s="24" t="s">
        <v>374</v>
      </c>
      <c r="E358" s="25">
        <v>30</v>
      </c>
      <c r="F358" s="25">
        <v>20</v>
      </c>
      <c r="G358" s="25"/>
      <c r="H358" s="25"/>
      <c r="I358" s="22">
        <f t="shared" si="5"/>
        <v>50</v>
      </c>
      <c r="J358" t="e">
        <f>VLOOKUP(B358,'[1]KT 광점퍼코드(수익률)'!$A$4:$P$243,16,0)</f>
        <v>#N/A</v>
      </c>
    </row>
    <row r="359" spans="1:10" ht="15.75" hidden="1" customHeight="1">
      <c r="A359" s="19">
        <v>356</v>
      </c>
      <c r="B359" s="20" t="s">
        <v>375</v>
      </c>
      <c r="C359" s="20" t="s">
        <v>294</v>
      </c>
      <c r="D359" s="20" t="s">
        <v>376</v>
      </c>
      <c r="E359" s="21">
        <v>20</v>
      </c>
      <c r="F359" s="21"/>
      <c r="G359" s="21"/>
      <c r="H359" s="21"/>
      <c r="I359" s="22">
        <f t="shared" si="5"/>
        <v>20</v>
      </c>
      <c r="J359" t="e">
        <f>VLOOKUP(B359,'[1]KT 광점퍼코드(수익률)'!$A$4:$P$243,16,0)</f>
        <v>#N/A</v>
      </c>
    </row>
    <row r="360" spans="1:10" ht="15.75" hidden="1" customHeight="1">
      <c r="A360" s="23">
        <v>357</v>
      </c>
      <c r="B360" s="24" t="s">
        <v>377</v>
      </c>
      <c r="C360" s="24" t="s">
        <v>203</v>
      </c>
      <c r="D360" s="24" t="s">
        <v>378</v>
      </c>
      <c r="E360" s="25">
        <v>160</v>
      </c>
      <c r="F360" s="25">
        <v>60</v>
      </c>
      <c r="G360" s="25">
        <v>30</v>
      </c>
      <c r="H360" s="25"/>
      <c r="I360" s="22">
        <f t="shared" si="5"/>
        <v>250</v>
      </c>
      <c r="J360" t="e">
        <f>VLOOKUP(B360,'[1]KT 광점퍼코드(수익률)'!$A$4:$P$243,16,0)</f>
        <v>#N/A</v>
      </c>
    </row>
    <row r="361" spans="1:10" ht="15.75" hidden="1" customHeight="1">
      <c r="A361" s="19">
        <v>358</v>
      </c>
      <c r="B361" s="20" t="s">
        <v>379</v>
      </c>
      <c r="C361" s="20" t="s">
        <v>203</v>
      </c>
      <c r="D361" s="20" t="s">
        <v>380</v>
      </c>
      <c r="E361" s="21">
        <v>120</v>
      </c>
      <c r="F361" s="21">
        <v>10</v>
      </c>
      <c r="G361" s="21">
        <v>200</v>
      </c>
      <c r="H361" s="21"/>
      <c r="I361" s="22">
        <f t="shared" si="5"/>
        <v>330</v>
      </c>
      <c r="J361" t="e">
        <f>VLOOKUP(B361,'[1]KT 광점퍼코드(수익률)'!$A$4:$P$243,16,0)</f>
        <v>#N/A</v>
      </c>
    </row>
    <row r="362" spans="1:10" ht="15.75" hidden="1" customHeight="1">
      <c r="A362" s="23">
        <v>359</v>
      </c>
      <c r="B362" s="24" t="s">
        <v>2410</v>
      </c>
      <c r="C362" s="24" t="s">
        <v>294</v>
      </c>
      <c r="D362" s="24" t="s">
        <v>2411</v>
      </c>
      <c r="E362" s="25"/>
      <c r="F362" s="25">
        <v>187</v>
      </c>
      <c r="G362" s="25"/>
      <c r="H362" s="25"/>
      <c r="I362" s="22">
        <f t="shared" si="5"/>
        <v>187</v>
      </c>
      <c r="J362" t="e">
        <f>VLOOKUP(B362,'[1]KT 광점퍼코드(수익률)'!$A$4:$P$243,16,0)</f>
        <v>#N/A</v>
      </c>
    </row>
    <row r="363" spans="1:10" ht="15.75" hidden="1" customHeight="1">
      <c r="A363" s="19">
        <v>360</v>
      </c>
      <c r="B363" s="20" t="s">
        <v>2412</v>
      </c>
      <c r="C363" s="20" t="s">
        <v>294</v>
      </c>
      <c r="D363" s="20" t="s">
        <v>2413</v>
      </c>
      <c r="E363" s="21"/>
      <c r="F363" s="21">
        <v>5</v>
      </c>
      <c r="G363" s="21"/>
      <c r="H363" s="21"/>
      <c r="I363" s="22">
        <f t="shared" si="5"/>
        <v>5</v>
      </c>
      <c r="J363" t="e">
        <f>VLOOKUP(B363,'[1]KT 광점퍼코드(수익률)'!$A$4:$P$243,16,0)</f>
        <v>#N/A</v>
      </c>
    </row>
    <row r="364" spans="1:10" ht="15.75" hidden="1" customHeight="1">
      <c r="A364" s="23">
        <v>361</v>
      </c>
      <c r="B364" s="24" t="s">
        <v>381</v>
      </c>
      <c r="C364" s="24" t="s">
        <v>203</v>
      </c>
      <c r="D364" s="24" t="s">
        <v>382</v>
      </c>
      <c r="E364" s="25">
        <v>10</v>
      </c>
      <c r="F364" s="25"/>
      <c r="G364" s="25"/>
      <c r="H364" s="25"/>
      <c r="I364" s="22">
        <f t="shared" si="5"/>
        <v>10</v>
      </c>
      <c r="J364" t="e">
        <f>VLOOKUP(B364,'[1]KT 광점퍼코드(수익률)'!$A$4:$P$243,16,0)</f>
        <v>#N/A</v>
      </c>
    </row>
    <row r="365" spans="1:10" ht="15.75" hidden="1" customHeight="1">
      <c r="A365" s="19">
        <v>362</v>
      </c>
      <c r="B365" s="20" t="s">
        <v>383</v>
      </c>
      <c r="C365" s="20" t="s">
        <v>203</v>
      </c>
      <c r="D365" s="20" t="s">
        <v>384</v>
      </c>
      <c r="E365" s="21">
        <v>40</v>
      </c>
      <c r="F365" s="21"/>
      <c r="G365" s="21"/>
      <c r="H365" s="21"/>
      <c r="I365" s="22">
        <f t="shared" si="5"/>
        <v>40</v>
      </c>
      <c r="J365" t="e">
        <f>VLOOKUP(B365,'[1]KT 광점퍼코드(수익률)'!$A$4:$P$243,16,0)</f>
        <v>#N/A</v>
      </c>
    </row>
    <row r="366" spans="1:10" ht="15.75" hidden="1" customHeight="1">
      <c r="A366" s="23">
        <v>363</v>
      </c>
      <c r="B366" s="24" t="s">
        <v>385</v>
      </c>
      <c r="C366" s="24" t="s">
        <v>203</v>
      </c>
      <c r="D366" s="24" t="s">
        <v>386</v>
      </c>
      <c r="E366" s="25">
        <v>30</v>
      </c>
      <c r="F366" s="25"/>
      <c r="G366" s="25"/>
      <c r="H366" s="25"/>
      <c r="I366" s="22">
        <f t="shared" si="5"/>
        <v>30</v>
      </c>
      <c r="J366" t="e">
        <f>VLOOKUP(B366,'[1]KT 광점퍼코드(수익률)'!$A$4:$P$243,16,0)</f>
        <v>#N/A</v>
      </c>
    </row>
    <row r="367" spans="1:10" ht="15.75" hidden="1" customHeight="1">
      <c r="A367" s="19">
        <v>364</v>
      </c>
      <c r="B367" s="20" t="s">
        <v>387</v>
      </c>
      <c r="C367" s="20" t="s">
        <v>169</v>
      </c>
      <c r="D367" s="20" t="s">
        <v>240</v>
      </c>
      <c r="E367" s="21">
        <v>130</v>
      </c>
      <c r="F367" s="21">
        <v>70</v>
      </c>
      <c r="G367" s="21">
        <v>10</v>
      </c>
      <c r="H367" s="21">
        <v>10</v>
      </c>
      <c r="I367" s="22">
        <f t="shared" si="5"/>
        <v>220</v>
      </c>
      <c r="J367" t="e">
        <f>VLOOKUP(B367,'[1]KT 광점퍼코드(수익률)'!$A$4:$P$243,16,0)</f>
        <v>#N/A</v>
      </c>
    </row>
    <row r="368" spans="1:10" ht="15.75" hidden="1" customHeight="1">
      <c r="A368" s="23">
        <v>365</v>
      </c>
      <c r="B368" s="24" t="s">
        <v>388</v>
      </c>
      <c r="C368" s="24" t="s">
        <v>389</v>
      </c>
      <c r="D368" s="24"/>
      <c r="E368" s="25">
        <v>30</v>
      </c>
      <c r="F368" s="25">
        <v>80</v>
      </c>
      <c r="G368" s="25"/>
      <c r="H368" s="25"/>
      <c r="I368" s="22">
        <f t="shared" si="5"/>
        <v>110</v>
      </c>
      <c r="J368" t="e">
        <f>VLOOKUP(B368,'[1]KT 광점퍼코드(수익률)'!$A$4:$P$243,16,0)</f>
        <v>#N/A</v>
      </c>
    </row>
    <row r="369" spans="1:10" ht="15.75" hidden="1" customHeight="1">
      <c r="A369" s="19">
        <v>366</v>
      </c>
      <c r="B369" s="20" t="s">
        <v>2414</v>
      </c>
      <c r="C369" s="20" t="s">
        <v>169</v>
      </c>
      <c r="D369" s="20" t="s">
        <v>2415</v>
      </c>
      <c r="E369" s="21"/>
      <c r="F369" s="21">
        <v>1</v>
      </c>
      <c r="G369" s="21"/>
      <c r="H369" s="21"/>
      <c r="I369" s="22">
        <f t="shared" si="5"/>
        <v>1</v>
      </c>
      <c r="J369" t="e">
        <f>VLOOKUP(B369,'[1]KT 광점퍼코드(수익률)'!$A$4:$P$243,16,0)</f>
        <v>#N/A</v>
      </c>
    </row>
    <row r="370" spans="1:10" ht="15.75" hidden="1" customHeight="1">
      <c r="A370" s="23">
        <v>367</v>
      </c>
      <c r="B370" s="24" t="s">
        <v>2416</v>
      </c>
      <c r="C370" s="24" t="s">
        <v>169</v>
      </c>
      <c r="D370" s="24" t="s">
        <v>2417</v>
      </c>
      <c r="E370" s="25"/>
      <c r="F370" s="25">
        <v>2</v>
      </c>
      <c r="G370" s="25"/>
      <c r="H370" s="25"/>
      <c r="I370" s="22">
        <f t="shared" si="5"/>
        <v>2</v>
      </c>
      <c r="J370" t="e">
        <f>VLOOKUP(B370,'[1]KT 광점퍼코드(수익률)'!$A$4:$P$243,16,0)</f>
        <v>#N/A</v>
      </c>
    </row>
    <row r="371" spans="1:10" ht="15.75" hidden="1" customHeight="1">
      <c r="A371" s="19">
        <v>368</v>
      </c>
      <c r="B371" s="20" t="s">
        <v>2418</v>
      </c>
      <c r="C371" s="20" t="s">
        <v>1937</v>
      </c>
      <c r="D371" s="20" t="s">
        <v>42</v>
      </c>
      <c r="E371" s="21"/>
      <c r="F371" s="21">
        <v>11</v>
      </c>
      <c r="G371" s="21">
        <v>5</v>
      </c>
      <c r="H371" s="21"/>
      <c r="I371" s="22">
        <f t="shared" si="5"/>
        <v>16</v>
      </c>
      <c r="J371" t="e">
        <f>VLOOKUP(B371,'[1]KT 광점퍼코드(수익률)'!$A$4:$P$243,16,0)</f>
        <v>#N/A</v>
      </c>
    </row>
    <row r="372" spans="1:10" ht="15.75" hidden="1" customHeight="1">
      <c r="A372" s="23">
        <v>369</v>
      </c>
      <c r="B372" s="24" t="s">
        <v>2419</v>
      </c>
      <c r="C372" s="24" t="s">
        <v>294</v>
      </c>
      <c r="D372" s="24" t="s">
        <v>2420</v>
      </c>
      <c r="E372" s="25"/>
      <c r="F372" s="25">
        <v>20</v>
      </c>
      <c r="G372" s="25"/>
      <c r="H372" s="25"/>
      <c r="I372" s="22">
        <f t="shared" si="5"/>
        <v>20</v>
      </c>
      <c r="J372" t="e">
        <f>VLOOKUP(B372,'[1]KT 광점퍼코드(수익률)'!$A$4:$P$243,16,0)</f>
        <v>#N/A</v>
      </c>
    </row>
    <row r="373" spans="1:10" ht="15.75" hidden="1" customHeight="1">
      <c r="A373" s="19">
        <v>370</v>
      </c>
      <c r="B373" s="20" t="s">
        <v>2421</v>
      </c>
      <c r="C373" s="20" t="s">
        <v>669</v>
      </c>
      <c r="D373" s="27" t="s">
        <v>431</v>
      </c>
      <c r="E373" s="21"/>
      <c r="F373" s="21">
        <v>4</v>
      </c>
      <c r="G373" s="21"/>
      <c r="H373" s="21"/>
      <c r="I373" s="22">
        <f t="shared" si="5"/>
        <v>4</v>
      </c>
      <c r="J373" t="e">
        <f>VLOOKUP(B373,'[1]KT 광점퍼코드(수익률)'!$A$4:$P$243,16,0)</f>
        <v>#N/A</v>
      </c>
    </row>
    <row r="374" spans="1:10" ht="15.75" hidden="1" customHeight="1">
      <c r="A374" s="23">
        <v>371</v>
      </c>
      <c r="B374" s="24" t="s">
        <v>2422</v>
      </c>
      <c r="C374" s="24" t="s">
        <v>1239</v>
      </c>
      <c r="D374" s="26" t="s">
        <v>431</v>
      </c>
      <c r="E374" s="25"/>
      <c r="F374" s="25">
        <v>1</v>
      </c>
      <c r="G374" s="25"/>
      <c r="H374" s="25"/>
      <c r="I374" s="22">
        <f t="shared" si="5"/>
        <v>1</v>
      </c>
      <c r="J374" t="e">
        <f>VLOOKUP(B374,'[1]KT 광점퍼코드(수익률)'!$A$4:$P$243,16,0)</f>
        <v>#N/A</v>
      </c>
    </row>
    <row r="375" spans="1:10" ht="15.75" hidden="1" customHeight="1">
      <c r="A375" s="19">
        <v>372</v>
      </c>
      <c r="B375" s="20" t="s">
        <v>390</v>
      </c>
      <c r="C375" s="20" t="s">
        <v>253</v>
      </c>
      <c r="D375" s="20" t="s">
        <v>391</v>
      </c>
      <c r="E375" s="21">
        <v>4</v>
      </c>
      <c r="F375" s="21"/>
      <c r="G375" s="21"/>
      <c r="H375" s="21"/>
      <c r="I375" s="22">
        <f t="shared" si="5"/>
        <v>4</v>
      </c>
      <c r="J375" t="e">
        <f>VLOOKUP(B375,'[1]KT 광점퍼코드(수익률)'!$A$4:$P$243,16,0)</f>
        <v>#N/A</v>
      </c>
    </row>
    <row r="376" spans="1:10" ht="15.75" hidden="1" customHeight="1">
      <c r="A376" s="23">
        <v>373</v>
      </c>
      <c r="B376" s="24" t="s">
        <v>392</v>
      </c>
      <c r="C376" s="24" t="s">
        <v>294</v>
      </c>
      <c r="D376" s="24" t="s">
        <v>393</v>
      </c>
      <c r="E376" s="25">
        <v>20</v>
      </c>
      <c r="F376" s="25">
        <v>20</v>
      </c>
      <c r="G376" s="25"/>
      <c r="H376" s="25"/>
      <c r="I376" s="22">
        <f t="shared" si="5"/>
        <v>40</v>
      </c>
      <c r="J376" t="e">
        <f>VLOOKUP(B376,'[1]KT 광점퍼코드(수익률)'!$A$4:$P$243,16,0)</f>
        <v>#N/A</v>
      </c>
    </row>
    <row r="377" spans="1:10" ht="15.75" hidden="1" customHeight="1">
      <c r="A377" s="19">
        <v>374</v>
      </c>
      <c r="B377" s="20" t="s">
        <v>2423</v>
      </c>
      <c r="C377" s="20" t="s">
        <v>203</v>
      </c>
      <c r="D377" s="20" t="s">
        <v>407</v>
      </c>
      <c r="E377" s="21"/>
      <c r="F377" s="21">
        <v>10</v>
      </c>
      <c r="G377" s="21"/>
      <c r="H377" s="21"/>
      <c r="I377" s="22">
        <f t="shared" si="5"/>
        <v>10</v>
      </c>
      <c r="J377" t="e">
        <f>VLOOKUP(B377,'[1]KT 광점퍼코드(수익률)'!$A$4:$P$243,16,0)</f>
        <v>#N/A</v>
      </c>
    </row>
    <row r="378" spans="1:10" ht="15.75" hidden="1" customHeight="1">
      <c r="A378" s="23">
        <v>375</v>
      </c>
      <c r="B378" s="24" t="s">
        <v>394</v>
      </c>
      <c r="C378" s="24" t="s">
        <v>203</v>
      </c>
      <c r="D378" s="24" t="s">
        <v>395</v>
      </c>
      <c r="E378" s="25">
        <v>40</v>
      </c>
      <c r="F378" s="25"/>
      <c r="G378" s="25"/>
      <c r="H378" s="25"/>
      <c r="I378" s="22">
        <f t="shared" si="5"/>
        <v>40</v>
      </c>
      <c r="J378" t="e">
        <f>VLOOKUP(B378,'[1]KT 광점퍼코드(수익률)'!$A$4:$P$243,16,0)</f>
        <v>#N/A</v>
      </c>
    </row>
    <row r="379" spans="1:10" ht="15.75" hidden="1" customHeight="1">
      <c r="A379" s="19">
        <v>376</v>
      </c>
      <c r="B379" s="20" t="s">
        <v>396</v>
      </c>
      <c r="C379" s="20" t="s">
        <v>203</v>
      </c>
      <c r="D379" s="20" t="s">
        <v>397</v>
      </c>
      <c r="E379" s="21">
        <v>34</v>
      </c>
      <c r="F379" s="21"/>
      <c r="G379" s="21"/>
      <c r="H379" s="21"/>
      <c r="I379" s="22">
        <f t="shared" si="5"/>
        <v>34</v>
      </c>
      <c r="J379" t="e">
        <f>VLOOKUP(B379,'[1]KT 광점퍼코드(수익률)'!$A$4:$P$243,16,0)</f>
        <v>#N/A</v>
      </c>
    </row>
    <row r="380" spans="1:10" ht="15.75" hidden="1" customHeight="1">
      <c r="A380" s="23">
        <v>377</v>
      </c>
      <c r="B380" s="24" t="s">
        <v>398</v>
      </c>
      <c r="C380" s="24" t="s">
        <v>169</v>
      </c>
      <c r="D380" s="24" t="s">
        <v>24</v>
      </c>
      <c r="E380" s="25">
        <v>23</v>
      </c>
      <c r="F380" s="25"/>
      <c r="G380" s="25">
        <v>28</v>
      </c>
      <c r="H380" s="25">
        <v>20</v>
      </c>
      <c r="I380" s="22">
        <f t="shared" si="5"/>
        <v>71</v>
      </c>
      <c r="J380" t="e">
        <f>VLOOKUP(B380,'[1]KT 광점퍼코드(수익률)'!$A$4:$P$243,16,0)</f>
        <v>#N/A</v>
      </c>
    </row>
    <row r="381" spans="1:10" ht="15.75" hidden="1" customHeight="1">
      <c r="A381" s="19">
        <v>378</v>
      </c>
      <c r="B381" s="20" t="s">
        <v>399</v>
      </c>
      <c r="C381" s="20" t="s">
        <v>169</v>
      </c>
      <c r="D381" s="20" t="s">
        <v>342</v>
      </c>
      <c r="E381" s="21">
        <v>4</v>
      </c>
      <c r="F381" s="21"/>
      <c r="G381" s="21"/>
      <c r="H381" s="21"/>
      <c r="I381" s="22">
        <f t="shared" si="5"/>
        <v>4</v>
      </c>
      <c r="J381" t="e">
        <f>VLOOKUP(B381,'[1]KT 광점퍼코드(수익률)'!$A$4:$P$243,16,0)</f>
        <v>#N/A</v>
      </c>
    </row>
    <row r="382" spans="1:10" ht="15.75" hidden="1" customHeight="1">
      <c r="A382" s="23">
        <v>379</v>
      </c>
      <c r="B382" s="24" t="s">
        <v>400</v>
      </c>
      <c r="C382" s="24" t="s">
        <v>211</v>
      </c>
      <c r="D382" s="24" t="s">
        <v>401</v>
      </c>
      <c r="E382" s="25">
        <v>1</v>
      </c>
      <c r="F382" s="25"/>
      <c r="G382" s="25"/>
      <c r="H382" s="25"/>
      <c r="I382" s="22">
        <f t="shared" si="5"/>
        <v>1</v>
      </c>
      <c r="J382" t="e">
        <f>VLOOKUP(B382,'[1]KT 광점퍼코드(수익률)'!$A$4:$P$243,16,0)</f>
        <v>#N/A</v>
      </c>
    </row>
    <row r="383" spans="1:10" ht="15.75" hidden="1" customHeight="1">
      <c r="A383" s="19">
        <v>380</v>
      </c>
      <c r="B383" s="20" t="s">
        <v>402</v>
      </c>
      <c r="C383" s="20" t="s">
        <v>206</v>
      </c>
      <c r="D383" s="20" t="s">
        <v>403</v>
      </c>
      <c r="E383" s="21">
        <v>1</v>
      </c>
      <c r="F383" s="21"/>
      <c r="G383" s="21"/>
      <c r="H383" s="21"/>
      <c r="I383" s="22">
        <f t="shared" si="5"/>
        <v>1</v>
      </c>
      <c r="J383" t="e">
        <f>VLOOKUP(B383,'[1]KT 광점퍼코드(수익률)'!$A$4:$P$243,16,0)</f>
        <v>#N/A</v>
      </c>
    </row>
    <row r="384" spans="1:10" ht="15.75" hidden="1" customHeight="1">
      <c r="A384" s="23">
        <v>381</v>
      </c>
      <c r="B384" s="24" t="s">
        <v>404</v>
      </c>
      <c r="C384" s="24" t="s">
        <v>263</v>
      </c>
      <c r="D384" s="24" t="s">
        <v>405</v>
      </c>
      <c r="E384" s="25">
        <v>80</v>
      </c>
      <c r="F384" s="25"/>
      <c r="G384" s="25"/>
      <c r="H384" s="25"/>
      <c r="I384" s="22">
        <f t="shared" si="5"/>
        <v>80</v>
      </c>
      <c r="J384" t="e">
        <f>VLOOKUP(B384,'[1]KT 광점퍼코드(수익률)'!$A$4:$P$243,16,0)</f>
        <v>#N/A</v>
      </c>
    </row>
    <row r="385" spans="1:10" ht="15.75" hidden="1" customHeight="1">
      <c r="A385" s="19">
        <v>382</v>
      </c>
      <c r="B385" s="20" t="s">
        <v>406</v>
      </c>
      <c r="C385" s="20" t="s">
        <v>263</v>
      </c>
      <c r="D385" s="20" t="s">
        <v>407</v>
      </c>
      <c r="E385" s="21">
        <v>80</v>
      </c>
      <c r="F385" s="21"/>
      <c r="G385" s="21"/>
      <c r="H385" s="21"/>
      <c r="I385" s="22">
        <f t="shared" si="5"/>
        <v>80</v>
      </c>
      <c r="J385" t="e">
        <f>VLOOKUP(B385,'[1]KT 광점퍼코드(수익률)'!$A$4:$P$243,16,0)</f>
        <v>#N/A</v>
      </c>
    </row>
    <row r="386" spans="1:10" ht="15.75" hidden="1" customHeight="1">
      <c r="A386" s="23">
        <v>383</v>
      </c>
      <c r="B386" s="24" t="s">
        <v>408</v>
      </c>
      <c r="C386" s="24" t="s">
        <v>263</v>
      </c>
      <c r="D386" s="24" t="s">
        <v>409</v>
      </c>
      <c r="E386" s="25">
        <v>40</v>
      </c>
      <c r="F386" s="25"/>
      <c r="G386" s="25"/>
      <c r="H386" s="25"/>
      <c r="I386" s="22">
        <f t="shared" si="5"/>
        <v>40</v>
      </c>
      <c r="J386" t="e">
        <f>VLOOKUP(B386,'[1]KT 광점퍼코드(수익률)'!$A$4:$P$243,16,0)</f>
        <v>#N/A</v>
      </c>
    </row>
    <row r="387" spans="1:10" ht="15.75" hidden="1" customHeight="1">
      <c r="A387" s="19">
        <v>384</v>
      </c>
      <c r="B387" s="20" t="s">
        <v>410</v>
      </c>
      <c r="C387" s="20" t="s">
        <v>263</v>
      </c>
      <c r="D387" s="20" t="s">
        <v>411</v>
      </c>
      <c r="E387" s="21">
        <v>40</v>
      </c>
      <c r="F387" s="21"/>
      <c r="G387" s="21"/>
      <c r="H387" s="21"/>
      <c r="I387" s="22">
        <f t="shared" si="5"/>
        <v>40</v>
      </c>
      <c r="J387" t="e">
        <f>VLOOKUP(B387,'[1]KT 광점퍼코드(수익률)'!$A$4:$P$243,16,0)</f>
        <v>#N/A</v>
      </c>
    </row>
    <row r="388" spans="1:10" ht="15.75" hidden="1" customHeight="1">
      <c r="A388" s="23">
        <v>385</v>
      </c>
      <c r="B388" s="24" t="s">
        <v>412</v>
      </c>
      <c r="C388" s="24" t="s">
        <v>244</v>
      </c>
      <c r="D388" s="24" t="s">
        <v>411</v>
      </c>
      <c r="E388" s="25">
        <v>60</v>
      </c>
      <c r="F388" s="25"/>
      <c r="G388" s="25"/>
      <c r="H388" s="25"/>
      <c r="I388" s="22">
        <f t="shared" ref="I388:I451" si="6">SUM(E388:H388)</f>
        <v>60</v>
      </c>
      <c r="J388" t="e">
        <f>VLOOKUP(B388,'[1]KT 광점퍼코드(수익률)'!$A$4:$P$243,16,0)</f>
        <v>#N/A</v>
      </c>
    </row>
    <row r="389" spans="1:10" ht="15.75" hidden="1" customHeight="1">
      <c r="A389" s="19">
        <v>386</v>
      </c>
      <c r="B389" s="20" t="s">
        <v>413</v>
      </c>
      <c r="C389" s="20" t="s">
        <v>203</v>
      </c>
      <c r="D389" s="20" t="s">
        <v>414</v>
      </c>
      <c r="E389" s="21">
        <v>30</v>
      </c>
      <c r="F389" s="21"/>
      <c r="G389" s="21"/>
      <c r="H389" s="21"/>
      <c r="I389" s="22">
        <f t="shared" si="6"/>
        <v>30</v>
      </c>
      <c r="J389" t="e">
        <f>VLOOKUP(B389,'[1]KT 광점퍼코드(수익률)'!$A$4:$P$243,16,0)</f>
        <v>#N/A</v>
      </c>
    </row>
    <row r="390" spans="1:10" ht="15.75" hidden="1" customHeight="1">
      <c r="A390" s="23">
        <v>387</v>
      </c>
      <c r="B390" s="24" t="s">
        <v>415</v>
      </c>
      <c r="C390" s="24" t="s">
        <v>203</v>
      </c>
      <c r="D390" s="24" t="s">
        <v>416</v>
      </c>
      <c r="E390" s="25">
        <v>30</v>
      </c>
      <c r="F390" s="25"/>
      <c r="G390" s="25"/>
      <c r="H390" s="25"/>
      <c r="I390" s="22">
        <f t="shared" si="6"/>
        <v>30</v>
      </c>
      <c r="J390" t="e">
        <f>VLOOKUP(B390,'[1]KT 광점퍼코드(수익률)'!$A$4:$P$243,16,0)</f>
        <v>#N/A</v>
      </c>
    </row>
    <row r="391" spans="1:10" ht="15.75" hidden="1" customHeight="1">
      <c r="A391" s="19">
        <v>388</v>
      </c>
      <c r="B391" s="20" t="s">
        <v>417</v>
      </c>
      <c r="C391" s="20" t="s">
        <v>203</v>
      </c>
      <c r="D391" s="20" t="s">
        <v>418</v>
      </c>
      <c r="E391" s="21">
        <v>20</v>
      </c>
      <c r="F391" s="21"/>
      <c r="G391" s="21"/>
      <c r="H391" s="21"/>
      <c r="I391" s="22">
        <f t="shared" si="6"/>
        <v>20</v>
      </c>
      <c r="J391" t="e">
        <f>VLOOKUP(B391,'[1]KT 광점퍼코드(수익률)'!$A$4:$P$243,16,0)</f>
        <v>#N/A</v>
      </c>
    </row>
    <row r="392" spans="1:10" ht="15.75" hidden="1" customHeight="1">
      <c r="A392" s="23">
        <v>389</v>
      </c>
      <c r="B392" s="24" t="s">
        <v>419</v>
      </c>
      <c r="C392" s="24" t="s">
        <v>203</v>
      </c>
      <c r="D392" s="24" t="s">
        <v>420</v>
      </c>
      <c r="E392" s="25">
        <v>20</v>
      </c>
      <c r="F392" s="25"/>
      <c r="G392" s="25"/>
      <c r="H392" s="25"/>
      <c r="I392" s="22">
        <f t="shared" si="6"/>
        <v>20</v>
      </c>
      <c r="J392" t="e">
        <f>VLOOKUP(B392,'[1]KT 광점퍼코드(수익률)'!$A$4:$P$243,16,0)</f>
        <v>#N/A</v>
      </c>
    </row>
    <row r="393" spans="1:10" ht="15.75" hidden="1" customHeight="1">
      <c r="A393" s="19">
        <v>390</v>
      </c>
      <c r="B393" s="20" t="s">
        <v>421</v>
      </c>
      <c r="C393" s="20" t="s">
        <v>203</v>
      </c>
      <c r="D393" s="20" t="s">
        <v>422</v>
      </c>
      <c r="E393" s="21">
        <v>20</v>
      </c>
      <c r="F393" s="21"/>
      <c r="G393" s="21"/>
      <c r="H393" s="21"/>
      <c r="I393" s="22">
        <f t="shared" si="6"/>
        <v>20</v>
      </c>
      <c r="J393" t="e">
        <f>VLOOKUP(B393,'[1]KT 광점퍼코드(수익률)'!$A$4:$P$243,16,0)</f>
        <v>#N/A</v>
      </c>
    </row>
    <row r="394" spans="1:10" ht="15.75" hidden="1" customHeight="1">
      <c r="A394" s="23">
        <v>391</v>
      </c>
      <c r="B394" s="24" t="s">
        <v>423</v>
      </c>
      <c r="C394" s="24" t="s">
        <v>203</v>
      </c>
      <c r="D394" s="24" t="s">
        <v>424</v>
      </c>
      <c r="E394" s="25">
        <v>20</v>
      </c>
      <c r="F394" s="25"/>
      <c r="G394" s="25"/>
      <c r="H394" s="25"/>
      <c r="I394" s="22">
        <f t="shared" si="6"/>
        <v>20</v>
      </c>
      <c r="J394" t="e">
        <f>VLOOKUP(B394,'[1]KT 광점퍼코드(수익률)'!$A$4:$P$243,16,0)</f>
        <v>#N/A</v>
      </c>
    </row>
    <row r="395" spans="1:10" ht="15.75" hidden="1" customHeight="1">
      <c r="A395" s="19">
        <v>392</v>
      </c>
      <c r="B395" s="20" t="s">
        <v>425</v>
      </c>
      <c r="C395" s="20" t="s">
        <v>203</v>
      </c>
      <c r="D395" s="20" t="s">
        <v>426</v>
      </c>
      <c r="E395" s="21">
        <v>80</v>
      </c>
      <c r="F395" s="21"/>
      <c r="G395" s="21"/>
      <c r="H395" s="21"/>
      <c r="I395" s="22">
        <f t="shared" si="6"/>
        <v>80</v>
      </c>
      <c r="J395" t="e">
        <f>VLOOKUP(B395,'[1]KT 광점퍼코드(수익률)'!$A$4:$P$243,16,0)</f>
        <v>#N/A</v>
      </c>
    </row>
    <row r="396" spans="1:10" ht="15.75" hidden="1" customHeight="1">
      <c r="A396" s="23">
        <v>393</v>
      </c>
      <c r="B396" s="24" t="s">
        <v>427</v>
      </c>
      <c r="C396" s="24" t="s">
        <v>428</v>
      </c>
      <c r="D396" s="24" t="s">
        <v>22</v>
      </c>
      <c r="E396" s="25">
        <v>10</v>
      </c>
      <c r="F396" s="25"/>
      <c r="G396" s="25"/>
      <c r="H396" s="25"/>
      <c r="I396" s="22">
        <f t="shared" si="6"/>
        <v>10</v>
      </c>
      <c r="J396" t="e">
        <f>VLOOKUP(B396,'[1]KT 광점퍼코드(수익률)'!$A$4:$P$243,16,0)</f>
        <v>#N/A</v>
      </c>
    </row>
    <row r="397" spans="1:10" ht="15.75" hidden="1" customHeight="1">
      <c r="A397" s="19">
        <v>394</v>
      </c>
      <c r="B397" s="20" t="s">
        <v>2424</v>
      </c>
      <c r="C397" s="20" t="s">
        <v>430</v>
      </c>
      <c r="D397" s="27" t="s">
        <v>1154</v>
      </c>
      <c r="E397" s="21"/>
      <c r="F397" s="21">
        <v>2</v>
      </c>
      <c r="G397" s="21"/>
      <c r="H397" s="21"/>
      <c r="I397" s="22">
        <f t="shared" si="6"/>
        <v>2</v>
      </c>
      <c r="J397" t="e">
        <f>VLOOKUP(B397,'[1]KT 광점퍼코드(수익률)'!$A$4:$P$243,16,0)</f>
        <v>#N/A</v>
      </c>
    </row>
    <row r="398" spans="1:10" ht="15.75" hidden="1" customHeight="1">
      <c r="A398" s="23">
        <v>395</v>
      </c>
      <c r="B398" s="24" t="s">
        <v>429</v>
      </c>
      <c r="C398" s="24" t="s">
        <v>430</v>
      </c>
      <c r="D398" s="26" t="s">
        <v>431</v>
      </c>
      <c r="E398" s="25">
        <v>2</v>
      </c>
      <c r="F398" s="25"/>
      <c r="G398" s="25"/>
      <c r="H398" s="25"/>
      <c r="I398" s="22">
        <f t="shared" si="6"/>
        <v>2</v>
      </c>
      <c r="J398" t="e">
        <f>VLOOKUP(B398,'[1]KT 광점퍼코드(수익률)'!$A$4:$P$243,16,0)</f>
        <v>#N/A</v>
      </c>
    </row>
    <row r="399" spans="1:10" ht="15.75" hidden="1" customHeight="1">
      <c r="A399" s="19">
        <v>396</v>
      </c>
      <c r="B399" s="20" t="s">
        <v>432</v>
      </c>
      <c r="C399" s="20" t="s">
        <v>169</v>
      </c>
      <c r="D399" s="20" t="s">
        <v>433</v>
      </c>
      <c r="E399" s="21">
        <v>15</v>
      </c>
      <c r="F399" s="21"/>
      <c r="G399" s="21"/>
      <c r="H399" s="21"/>
      <c r="I399" s="22">
        <f t="shared" si="6"/>
        <v>15</v>
      </c>
      <c r="J399" t="e">
        <f>VLOOKUP(B399,'[1]KT 광점퍼코드(수익률)'!$A$4:$P$243,16,0)</f>
        <v>#N/A</v>
      </c>
    </row>
    <row r="400" spans="1:10" ht="15.75" hidden="1" customHeight="1">
      <c r="A400" s="23">
        <v>397</v>
      </c>
      <c r="B400" s="24" t="s">
        <v>434</v>
      </c>
      <c r="C400" s="24" t="s">
        <v>206</v>
      </c>
      <c r="D400" s="24" t="s">
        <v>435</v>
      </c>
      <c r="E400" s="25">
        <v>1</v>
      </c>
      <c r="F400" s="25">
        <v>20</v>
      </c>
      <c r="G400" s="25"/>
      <c r="H400" s="25"/>
      <c r="I400" s="22">
        <f t="shared" si="6"/>
        <v>21</v>
      </c>
      <c r="J400" t="e">
        <f>VLOOKUP(B400,'[1]KT 광점퍼코드(수익률)'!$A$4:$P$243,16,0)</f>
        <v>#N/A</v>
      </c>
    </row>
    <row r="401" spans="1:10" ht="15.75" hidden="1" customHeight="1">
      <c r="A401" s="19">
        <v>398</v>
      </c>
      <c r="B401" s="20" t="s">
        <v>436</v>
      </c>
      <c r="C401" s="20" t="s">
        <v>206</v>
      </c>
      <c r="D401" s="20" t="s">
        <v>437</v>
      </c>
      <c r="E401" s="21">
        <v>1</v>
      </c>
      <c r="F401" s="21"/>
      <c r="G401" s="21"/>
      <c r="H401" s="21"/>
      <c r="I401" s="22">
        <f t="shared" si="6"/>
        <v>1</v>
      </c>
      <c r="J401" t="e">
        <f>VLOOKUP(B401,'[1]KT 광점퍼코드(수익률)'!$A$4:$P$243,16,0)</f>
        <v>#N/A</v>
      </c>
    </row>
    <row r="402" spans="1:10" ht="15.75" hidden="1" customHeight="1">
      <c r="A402" s="23">
        <v>399</v>
      </c>
      <c r="B402" s="24" t="s">
        <v>438</v>
      </c>
      <c r="C402" s="24" t="s">
        <v>203</v>
      </c>
      <c r="D402" s="24" t="s">
        <v>439</v>
      </c>
      <c r="E402" s="25">
        <v>60</v>
      </c>
      <c r="F402" s="25"/>
      <c r="G402" s="25"/>
      <c r="H402" s="25"/>
      <c r="I402" s="22">
        <f t="shared" si="6"/>
        <v>60</v>
      </c>
      <c r="J402" t="e">
        <f>VLOOKUP(B402,'[1]KT 광점퍼코드(수익률)'!$A$4:$P$243,16,0)</f>
        <v>#N/A</v>
      </c>
    </row>
    <row r="403" spans="1:10" ht="15.75" hidden="1" customHeight="1">
      <c r="A403" s="19">
        <v>400</v>
      </c>
      <c r="B403" s="20" t="s">
        <v>440</v>
      </c>
      <c r="C403" s="20" t="s">
        <v>203</v>
      </c>
      <c r="D403" s="20" t="s">
        <v>441</v>
      </c>
      <c r="E403" s="21">
        <v>120</v>
      </c>
      <c r="F403" s="21"/>
      <c r="G403" s="21"/>
      <c r="H403" s="21"/>
      <c r="I403" s="22">
        <f t="shared" si="6"/>
        <v>120</v>
      </c>
      <c r="J403" t="e">
        <f>VLOOKUP(B403,'[1]KT 광점퍼코드(수익률)'!$A$4:$P$243,16,0)</f>
        <v>#N/A</v>
      </c>
    </row>
    <row r="404" spans="1:10" ht="15.75" hidden="1" customHeight="1">
      <c r="A404" s="23">
        <v>401</v>
      </c>
      <c r="B404" s="24" t="s">
        <v>442</v>
      </c>
      <c r="C404" s="24" t="s">
        <v>203</v>
      </c>
      <c r="D404" s="24" t="s">
        <v>443</v>
      </c>
      <c r="E404" s="25">
        <v>60</v>
      </c>
      <c r="F404" s="25"/>
      <c r="G404" s="25"/>
      <c r="H404" s="25"/>
      <c r="I404" s="22">
        <f t="shared" si="6"/>
        <v>60</v>
      </c>
      <c r="J404" t="e">
        <f>VLOOKUP(B404,'[1]KT 광점퍼코드(수익률)'!$A$4:$P$243,16,0)</f>
        <v>#N/A</v>
      </c>
    </row>
    <row r="405" spans="1:10" ht="15.75" hidden="1" customHeight="1">
      <c r="A405" s="19">
        <v>402</v>
      </c>
      <c r="B405" s="20" t="s">
        <v>444</v>
      </c>
      <c r="C405" s="20" t="s">
        <v>445</v>
      </c>
      <c r="D405" s="20" t="s">
        <v>446</v>
      </c>
      <c r="E405" s="21">
        <v>10</v>
      </c>
      <c r="F405" s="21"/>
      <c r="G405" s="21"/>
      <c r="H405" s="21"/>
      <c r="I405" s="22">
        <f t="shared" si="6"/>
        <v>10</v>
      </c>
      <c r="J405" t="e">
        <f>VLOOKUP(B405,'[1]KT 광점퍼코드(수익률)'!$A$4:$P$243,16,0)</f>
        <v>#N/A</v>
      </c>
    </row>
    <row r="406" spans="1:10" ht="15.75" hidden="1" customHeight="1">
      <c r="A406" s="23">
        <v>403</v>
      </c>
      <c r="B406" s="24" t="s">
        <v>447</v>
      </c>
      <c r="C406" s="24" t="s">
        <v>448</v>
      </c>
      <c r="D406" s="24" t="s">
        <v>45</v>
      </c>
      <c r="E406" s="25">
        <v>20</v>
      </c>
      <c r="F406" s="25"/>
      <c r="G406" s="25"/>
      <c r="H406" s="25"/>
      <c r="I406" s="22">
        <f t="shared" si="6"/>
        <v>20</v>
      </c>
      <c r="J406" t="e">
        <f>VLOOKUP(B406,'[1]KT 광점퍼코드(수익률)'!$A$4:$P$243,16,0)</f>
        <v>#N/A</v>
      </c>
    </row>
    <row r="407" spans="1:10" ht="15.75" hidden="1" customHeight="1">
      <c r="A407" s="19">
        <v>404</v>
      </c>
      <c r="B407" s="20" t="s">
        <v>449</v>
      </c>
      <c r="C407" s="20" t="s">
        <v>203</v>
      </c>
      <c r="D407" s="20" t="s">
        <v>450</v>
      </c>
      <c r="E407" s="21">
        <v>6</v>
      </c>
      <c r="F407" s="21"/>
      <c r="G407" s="21"/>
      <c r="H407" s="21"/>
      <c r="I407" s="22">
        <f t="shared" si="6"/>
        <v>6</v>
      </c>
      <c r="J407" t="e">
        <f>VLOOKUP(B407,'[1]KT 광점퍼코드(수익률)'!$A$4:$P$243,16,0)</f>
        <v>#N/A</v>
      </c>
    </row>
    <row r="408" spans="1:10" ht="15.75" hidden="1" customHeight="1">
      <c r="A408" s="23">
        <v>405</v>
      </c>
      <c r="B408" s="24" t="s">
        <v>451</v>
      </c>
      <c r="C408" s="24" t="s">
        <v>203</v>
      </c>
      <c r="D408" s="24" t="s">
        <v>452</v>
      </c>
      <c r="E408" s="25">
        <v>12</v>
      </c>
      <c r="F408" s="25"/>
      <c r="G408" s="25"/>
      <c r="H408" s="25"/>
      <c r="I408" s="22">
        <f t="shared" si="6"/>
        <v>12</v>
      </c>
      <c r="J408" t="e">
        <f>VLOOKUP(B408,'[1]KT 광점퍼코드(수익률)'!$A$4:$P$243,16,0)</f>
        <v>#N/A</v>
      </c>
    </row>
    <row r="409" spans="1:10" ht="15.75" hidden="1" customHeight="1">
      <c r="A409" s="19">
        <v>406</v>
      </c>
      <c r="B409" s="20" t="s">
        <v>453</v>
      </c>
      <c r="C409" s="20" t="s">
        <v>203</v>
      </c>
      <c r="D409" s="20" t="s">
        <v>454</v>
      </c>
      <c r="E409" s="21">
        <v>4</v>
      </c>
      <c r="F409" s="21"/>
      <c r="G409" s="21"/>
      <c r="H409" s="21"/>
      <c r="I409" s="22">
        <f t="shared" si="6"/>
        <v>4</v>
      </c>
      <c r="J409" t="e">
        <f>VLOOKUP(B409,'[1]KT 광점퍼코드(수익률)'!$A$4:$P$243,16,0)</f>
        <v>#N/A</v>
      </c>
    </row>
    <row r="410" spans="1:10" ht="15.75" hidden="1" customHeight="1">
      <c r="A410" s="23">
        <v>407</v>
      </c>
      <c r="B410" s="24" t="s">
        <v>455</v>
      </c>
      <c r="C410" s="24" t="s">
        <v>203</v>
      </c>
      <c r="D410" s="24" t="s">
        <v>456</v>
      </c>
      <c r="E410" s="25">
        <v>2</v>
      </c>
      <c r="F410" s="25"/>
      <c r="G410" s="25"/>
      <c r="H410" s="25"/>
      <c r="I410" s="22">
        <f t="shared" si="6"/>
        <v>2</v>
      </c>
      <c r="J410" t="e">
        <f>VLOOKUP(B410,'[1]KT 광점퍼코드(수익률)'!$A$4:$P$243,16,0)</f>
        <v>#N/A</v>
      </c>
    </row>
    <row r="411" spans="1:10" ht="15.75" hidden="1" customHeight="1">
      <c r="A411" s="19">
        <v>408</v>
      </c>
      <c r="B411" s="20" t="s">
        <v>457</v>
      </c>
      <c r="C411" s="20" t="s">
        <v>203</v>
      </c>
      <c r="D411" s="20" t="s">
        <v>458</v>
      </c>
      <c r="E411" s="21">
        <v>8</v>
      </c>
      <c r="F411" s="21"/>
      <c r="G411" s="21"/>
      <c r="H411" s="21"/>
      <c r="I411" s="22">
        <f t="shared" si="6"/>
        <v>8</v>
      </c>
      <c r="J411" t="e">
        <f>VLOOKUP(B411,'[1]KT 광점퍼코드(수익률)'!$A$4:$P$243,16,0)</f>
        <v>#N/A</v>
      </c>
    </row>
    <row r="412" spans="1:10" ht="15.75" hidden="1" customHeight="1">
      <c r="A412" s="23">
        <v>409</v>
      </c>
      <c r="B412" s="24" t="s">
        <v>459</v>
      </c>
      <c r="C412" s="24" t="s">
        <v>203</v>
      </c>
      <c r="D412" s="26" t="s">
        <v>460</v>
      </c>
      <c r="E412" s="25">
        <v>108</v>
      </c>
      <c r="F412" s="25"/>
      <c r="G412" s="25"/>
      <c r="H412" s="25"/>
      <c r="I412" s="22">
        <f t="shared" si="6"/>
        <v>108</v>
      </c>
      <c r="J412" t="e">
        <f>VLOOKUP(B412,'[1]KT 광점퍼코드(수익률)'!$A$4:$P$243,16,0)</f>
        <v>#N/A</v>
      </c>
    </row>
    <row r="413" spans="1:10" ht="15.75" hidden="1" customHeight="1">
      <c r="A413" s="19">
        <v>410</v>
      </c>
      <c r="B413" s="20" t="s">
        <v>461</v>
      </c>
      <c r="C413" s="20" t="s">
        <v>206</v>
      </c>
      <c r="D413" s="20" t="s">
        <v>462</v>
      </c>
      <c r="E413" s="21">
        <v>30</v>
      </c>
      <c r="F413" s="21"/>
      <c r="G413" s="21"/>
      <c r="H413" s="21"/>
      <c r="I413" s="22">
        <f t="shared" si="6"/>
        <v>30</v>
      </c>
      <c r="J413" t="e">
        <f>VLOOKUP(B413,'[1]KT 광점퍼코드(수익률)'!$A$4:$P$243,16,0)</f>
        <v>#N/A</v>
      </c>
    </row>
    <row r="414" spans="1:10" ht="15.75" hidden="1" customHeight="1">
      <c r="A414" s="23">
        <v>411</v>
      </c>
      <c r="B414" s="24" t="s">
        <v>463</v>
      </c>
      <c r="C414" s="24" t="s">
        <v>206</v>
      </c>
      <c r="D414" s="24" t="s">
        <v>464</v>
      </c>
      <c r="E414" s="25">
        <v>4</v>
      </c>
      <c r="F414" s="25"/>
      <c r="G414" s="25"/>
      <c r="H414" s="25"/>
      <c r="I414" s="22">
        <f t="shared" si="6"/>
        <v>4</v>
      </c>
      <c r="J414" t="e">
        <f>VLOOKUP(B414,'[1]KT 광점퍼코드(수익률)'!$A$4:$P$243,16,0)</f>
        <v>#N/A</v>
      </c>
    </row>
    <row r="415" spans="1:10" ht="15.75" hidden="1" customHeight="1">
      <c r="A415" s="19">
        <v>412</v>
      </c>
      <c r="B415" s="20" t="s">
        <v>465</v>
      </c>
      <c r="C415" s="20" t="s">
        <v>206</v>
      </c>
      <c r="D415" s="20" t="s">
        <v>397</v>
      </c>
      <c r="E415" s="21">
        <v>4</v>
      </c>
      <c r="F415" s="21"/>
      <c r="G415" s="21"/>
      <c r="H415" s="21"/>
      <c r="I415" s="22">
        <f t="shared" si="6"/>
        <v>4</v>
      </c>
      <c r="J415" t="e">
        <f>VLOOKUP(B415,'[1]KT 광점퍼코드(수익률)'!$A$4:$P$243,16,0)</f>
        <v>#N/A</v>
      </c>
    </row>
    <row r="416" spans="1:10" ht="15.75" hidden="1" customHeight="1">
      <c r="A416" s="23">
        <v>413</v>
      </c>
      <c r="B416" s="24" t="s">
        <v>466</v>
      </c>
      <c r="C416" s="24" t="s">
        <v>211</v>
      </c>
      <c r="D416" s="24" t="s">
        <v>462</v>
      </c>
      <c r="E416" s="25">
        <v>30</v>
      </c>
      <c r="F416" s="25"/>
      <c r="G416" s="25"/>
      <c r="H416" s="25"/>
      <c r="I416" s="22">
        <f t="shared" si="6"/>
        <v>30</v>
      </c>
      <c r="J416" t="e">
        <f>VLOOKUP(B416,'[1]KT 광점퍼코드(수익률)'!$A$4:$P$243,16,0)</f>
        <v>#N/A</v>
      </c>
    </row>
    <row r="417" spans="1:10" ht="15.75" hidden="1" customHeight="1">
      <c r="A417" s="19">
        <v>414</v>
      </c>
      <c r="B417" s="20" t="s">
        <v>467</v>
      </c>
      <c r="C417" s="20" t="s">
        <v>211</v>
      </c>
      <c r="D417" s="20" t="s">
        <v>464</v>
      </c>
      <c r="E417" s="21">
        <v>4</v>
      </c>
      <c r="F417" s="21"/>
      <c r="G417" s="21"/>
      <c r="H417" s="21"/>
      <c r="I417" s="22">
        <f t="shared" si="6"/>
        <v>4</v>
      </c>
      <c r="J417" t="e">
        <f>VLOOKUP(B417,'[1]KT 광점퍼코드(수익률)'!$A$4:$P$243,16,0)</f>
        <v>#N/A</v>
      </c>
    </row>
    <row r="418" spans="1:10" ht="15.75" hidden="1" customHeight="1">
      <c r="A418" s="23">
        <v>415</v>
      </c>
      <c r="B418" s="24" t="s">
        <v>468</v>
      </c>
      <c r="C418" s="24" t="s">
        <v>211</v>
      </c>
      <c r="D418" s="24" t="s">
        <v>397</v>
      </c>
      <c r="E418" s="25">
        <v>4</v>
      </c>
      <c r="F418" s="25"/>
      <c r="G418" s="25"/>
      <c r="H418" s="25"/>
      <c r="I418" s="22">
        <f t="shared" si="6"/>
        <v>4</v>
      </c>
      <c r="J418" t="e">
        <f>VLOOKUP(B418,'[1]KT 광점퍼코드(수익률)'!$A$4:$P$243,16,0)</f>
        <v>#N/A</v>
      </c>
    </row>
    <row r="419" spans="1:10" ht="15.75" hidden="1" customHeight="1">
      <c r="A419" s="19">
        <v>416</v>
      </c>
      <c r="B419" s="20" t="s">
        <v>2425</v>
      </c>
      <c r="C419" s="20" t="s">
        <v>428</v>
      </c>
      <c r="D419" s="20" t="s">
        <v>20</v>
      </c>
      <c r="E419" s="21"/>
      <c r="F419" s="21">
        <v>1</v>
      </c>
      <c r="G419" s="21"/>
      <c r="H419" s="21"/>
      <c r="I419" s="22">
        <f t="shared" si="6"/>
        <v>1</v>
      </c>
      <c r="J419" t="e">
        <f>VLOOKUP(B419,'[1]KT 광점퍼코드(수익률)'!$A$4:$P$243,16,0)</f>
        <v>#N/A</v>
      </c>
    </row>
    <row r="420" spans="1:10" ht="15.75" hidden="1" customHeight="1">
      <c r="A420" s="23">
        <v>417</v>
      </c>
      <c r="B420" s="24" t="s">
        <v>2426</v>
      </c>
      <c r="C420" s="24" t="s">
        <v>180</v>
      </c>
      <c r="D420" s="24" t="s">
        <v>312</v>
      </c>
      <c r="E420" s="25"/>
      <c r="F420" s="25">
        <v>4</v>
      </c>
      <c r="G420" s="25"/>
      <c r="H420" s="25"/>
      <c r="I420" s="22">
        <f t="shared" si="6"/>
        <v>4</v>
      </c>
      <c r="J420" t="e">
        <f>VLOOKUP(B420,'[1]KT 광점퍼코드(수익률)'!$A$4:$P$243,16,0)</f>
        <v>#N/A</v>
      </c>
    </row>
    <row r="421" spans="1:10" ht="15.75" hidden="1" customHeight="1">
      <c r="A421" s="19">
        <v>418</v>
      </c>
      <c r="B421" s="20" t="s">
        <v>2427</v>
      </c>
      <c r="C421" s="20" t="s">
        <v>206</v>
      </c>
      <c r="D421" s="20" t="s">
        <v>321</v>
      </c>
      <c r="E421" s="21"/>
      <c r="F421" s="21">
        <v>10</v>
      </c>
      <c r="G421" s="21"/>
      <c r="H421" s="21"/>
      <c r="I421" s="22">
        <f t="shared" si="6"/>
        <v>10</v>
      </c>
      <c r="J421" t="e">
        <f>VLOOKUP(B421,'[1]KT 광점퍼코드(수익률)'!$A$4:$P$243,16,0)</f>
        <v>#N/A</v>
      </c>
    </row>
    <row r="422" spans="1:10" ht="15.75" hidden="1" customHeight="1">
      <c r="A422" s="23">
        <v>419</v>
      </c>
      <c r="B422" s="24" t="s">
        <v>2428</v>
      </c>
      <c r="C422" s="24" t="s">
        <v>283</v>
      </c>
      <c r="D422" s="24" t="s">
        <v>376</v>
      </c>
      <c r="E422" s="25"/>
      <c r="F422" s="25">
        <v>10</v>
      </c>
      <c r="G422" s="25"/>
      <c r="H422" s="25"/>
      <c r="I422" s="22">
        <f t="shared" si="6"/>
        <v>10</v>
      </c>
      <c r="J422" t="e">
        <f>VLOOKUP(B422,'[1]KT 광점퍼코드(수익률)'!$A$4:$P$243,16,0)</f>
        <v>#N/A</v>
      </c>
    </row>
    <row r="423" spans="1:10" ht="15.75" hidden="1" customHeight="1">
      <c r="A423" s="19">
        <v>420</v>
      </c>
      <c r="B423" s="20" t="s">
        <v>2429</v>
      </c>
      <c r="C423" s="20" t="s">
        <v>283</v>
      </c>
      <c r="D423" s="20" t="s">
        <v>374</v>
      </c>
      <c r="E423" s="21"/>
      <c r="F423" s="21">
        <v>10</v>
      </c>
      <c r="G423" s="21"/>
      <c r="H423" s="21"/>
      <c r="I423" s="22">
        <f t="shared" si="6"/>
        <v>10</v>
      </c>
      <c r="J423" t="e">
        <f>VLOOKUP(B423,'[1]KT 광점퍼코드(수익률)'!$A$4:$P$243,16,0)</f>
        <v>#N/A</v>
      </c>
    </row>
    <row r="424" spans="1:10" ht="15.75" hidden="1" customHeight="1">
      <c r="A424" s="23">
        <v>421</v>
      </c>
      <c r="B424" s="24" t="s">
        <v>2430</v>
      </c>
      <c r="C424" s="24" t="s">
        <v>2431</v>
      </c>
      <c r="D424" s="24"/>
      <c r="E424" s="25"/>
      <c r="F424" s="25">
        <v>1</v>
      </c>
      <c r="G424" s="25"/>
      <c r="H424" s="25"/>
      <c r="I424" s="22">
        <f t="shared" si="6"/>
        <v>1</v>
      </c>
      <c r="J424" t="e">
        <f>VLOOKUP(B424,'[1]KT 광점퍼코드(수익률)'!$A$4:$P$243,16,0)</f>
        <v>#N/A</v>
      </c>
    </row>
    <row r="425" spans="1:10" ht="15.75" hidden="1" customHeight="1">
      <c r="A425" s="19">
        <v>422</v>
      </c>
      <c r="B425" s="20" t="s">
        <v>2432</v>
      </c>
      <c r="C425" s="20" t="s">
        <v>2433</v>
      </c>
      <c r="D425" s="20"/>
      <c r="E425" s="21"/>
      <c r="F425" s="21">
        <v>1</v>
      </c>
      <c r="G425" s="21"/>
      <c r="H425" s="21"/>
      <c r="I425" s="22">
        <f t="shared" si="6"/>
        <v>1</v>
      </c>
      <c r="J425" t="e">
        <f>VLOOKUP(B425,'[1]KT 광점퍼코드(수익률)'!$A$4:$P$243,16,0)</f>
        <v>#N/A</v>
      </c>
    </row>
    <row r="426" spans="1:10" ht="15.75" hidden="1" customHeight="1">
      <c r="A426" s="23">
        <v>423</v>
      </c>
      <c r="B426" s="24" t="s">
        <v>2434</v>
      </c>
      <c r="C426" s="24" t="s">
        <v>2435</v>
      </c>
      <c r="D426" s="24"/>
      <c r="E426" s="25"/>
      <c r="F426" s="25">
        <v>1</v>
      </c>
      <c r="G426" s="25"/>
      <c r="H426" s="25"/>
      <c r="I426" s="22">
        <f t="shared" si="6"/>
        <v>1</v>
      </c>
      <c r="J426" t="e">
        <f>VLOOKUP(B426,'[1]KT 광점퍼코드(수익률)'!$A$4:$P$243,16,0)</f>
        <v>#N/A</v>
      </c>
    </row>
    <row r="427" spans="1:10" ht="15.75" hidden="1" customHeight="1">
      <c r="A427" s="19">
        <v>424</v>
      </c>
      <c r="B427" s="20" t="s">
        <v>2436</v>
      </c>
      <c r="C427" s="20" t="s">
        <v>198</v>
      </c>
      <c r="D427" s="20" t="s">
        <v>324</v>
      </c>
      <c r="E427" s="21"/>
      <c r="F427" s="21">
        <v>200</v>
      </c>
      <c r="G427" s="21"/>
      <c r="H427" s="21"/>
      <c r="I427" s="22">
        <f t="shared" si="6"/>
        <v>200</v>
      </c>
      <c r="J427" t="e">
        <f>VLOOKUP(B427,'[1]KT 광점퍼코드(수익률)'!$A$4:$P$243,16,0)</f>
        <v>#N/A</v>
      </c>
    </row>
    <row r="428" spans="1:10" ht="15.75" hidden="1" customHeight="1">
      <c r="A428" s="23">
        <v>425</v>
      </c>
      <c r="B428" s="24" t="s">
        <v>2437</v>
      </c>
      <c r="C428" s="24" t="s">
        <v>278</v>
      </c>
      <c r="D428" s="24" t="s">
        <v>87</v>
      </c>
      <c r="E428" s="25"/>
      <c r="F428" s="25">
        <v>2</v>
      </c>
      <c r="G428" s="25"/>
      <c r="H428" s="25"/>
      <c r="I428" s="22">
        <f t="shared" si="6"/>
        <v>2</v>
      </c>
      <c r="J428" t="e">
        <f>VLOOKUP(B428,'[1]KT 광점퍼코드(수익률)'!$A$4:$P$243,16,0)</f>
        <v>#N/A</v>
      </c>
    </row>
    <row r="429" spans="1:10" ht="15.75" hidden="1" customHeight="1">
      <c r="A429" s="19">
        <v>426</v>
      </c>
      <c r="B429" s="20" t="s">
        <v>2438</v>
      </c>
      <c r="C429" s="20" t="s">
        <v>169</v>
      </c>
      <c r="D429" s="20" t="s">
        <v>2439</v>
      </c>
      <c r="E429" s="21"/>
      <c r="F429" s="21">
        <v>1</v>
      </c>
      <c r="G429" s="21"/>
      <c r="H429" s="21"/>
      <c r="I429" s="22">
        <f t="shared" si="6"/>
        <v>1</v>
      </c>
      <c r="J429" t="e">
        <f>VLOOKUP(B429,'[1]KT 광점퍼코드(수익률)'!$A$4:$P$243,16,0)</f>
        <v>#N/A</v>
      </c>
    </row>
    <row r="430" spans="1:10" ht="15.75" hidden="1" customHeight="1">
      <c r="A430" s="23">
        <v>427</v>
      </c>
      <c r="B430" s="24" t="s">
        <v>2440</v>
      </c>
      <c r="C430" s="24" t="s">
        <v>169</v>
      </c>
      <c r="D430" s="24" t="s">
        <v>2441</v>
      </c>
      <c r="E430" s="25"/>
      <c r="F430" s="25">
        <v>1</v>
      </c>
      <c r="G430" s="25"/>
      <c r="H430" s="25"/>
      <c r="I430" s="22">
        <f t="shared" si="6"/>
        <v>1</v>
      </c>
      <c r="J430" t="e">
        <f>VLOOKUP(B430,'[1]KT 광점퍼코드(수익률)'!$A$4:$P$243,16,0)</f>
        <v>#N/A</v>
      </c>
    </row>
    <row r="431" spans="1:10" ht="15.75" hidden="1" customHeight="1">
      <c r="A431" s="19">
        <v>428</v>
      </c>
      <c r="B431" s="20" t="s">
        <v>2442</v>
      </c>
      <c r="C431" s="20" t="s">
        <v>169</v>
      </c>
      <c r="D431" s="20" t="s">
        <v>2443</v>
      </c>
      <c r="E431" s="21"/>
      <c r="F431" s="21">
        <v>1</v>
      </c>
      <c r="G431" s="21"/>
      <c r="H431" s="21"/>
      <c r="I431" s="22">
        <f t="shared" si="6"/>
        <v>1</v>
      </c>
      <c r="J431" t="e">
        <f>VLOOKUP(B431,'[1]KT 광점퍼코드(수익률)'!$A$4:$P$243,16,0)</f>
        <v>#N/A</v>
      </c>
    </row>
    <row r="432" spans="1:10" ht="15.75" hidden="1" customHeight="1">
      <c r="A432" s="23">
        <v>429</v>
      </c>
      <c r="B432" s="24" t="s">
        <v>3012</v>
      </c>
      <c r="C432" s="24" t="s">
        <v>428</v>
      </c>
      <c r="D432" s="24" t="s">
        <v>121</v>
      </c>
      <c r="E432" s="25"/>
      <c r="F432" s="25"/>
      <c r="G432" s="25">
        <v>5</v>
      </c>
      <c r="H432" s="25"/>
      <c r="I432" s="22">
        <f t="shared" si="6"/>
        <v>5</v>
      </c>
      <c r="J432" t="e">
        <f>VLOOKUP(B432,'[1]KT 광점퍼코드(수익률)'!$A$4:$P$243,16,0)</f>
        <v>#N/A</v>
      </c>
    </row>
    <row r="433" spans="1:10" ht="15.75" hidden="1" customHeight="1">
      <c r="A433" s="19">
        <v>430</v>
      </c>
      <c r="B433" s="20" t="s">
        <v>469</v>
      </c>
      <c r="C433" s="20" t="s">
        <v>169</v>
      </c>
      <c r="D433" s="20" t="s">
        <v>310</v>
      </c>
      <c r="E433" s="21">
        <v>15</v>
      </c>
      <c r="F433" s="21"/>
      <c r="G433" s="21"/>
      <c r="H433" s="21"/>
      <c r="I433" s="22">
        <f t="shared" si="6"/>
        <v>15</v>
      </c>
      <c r="J433" t="e">
        <f>VLOOKUP(B433,'[1]KT 광점퍼코드(수익률)'!$A$4:$P$243,16,0)</f>
        <v>#N/A</v>
      </c>
    </row>
    <row r="434" spans="1:10" ht="15.75" hidden="1" customHeight="1">
      <c r="A434" s="23">
        <v>431</v>
      </c>
      <c r="B434" s="24" t="s">
        <v>470</v>
      </c>
      <c r="C434" s="24" t="s">
        <v>169</v>
      </c>
      <c r="D434" s="24" t="s">
        <v>184</v>
      </c>
      <c r="E434" s="25">
        <v>6</v>
      </c>
      <c r="F434" s="25">
        <v>16</v>
      </c>
      <c r="G434" s="25"/>
      <c r="H434" s="25"/>
      <c r="I434" s="22">
        <f t="shared" si="6"/>
        <v>22</v>
      </c>
      <c r="J434" t="e">
        <f>VLOOKUP(B434,'[1]KT 광점퍼코드(수익률)'!$A$4:$P$243,16,0)</f>
        <v>#N/A</v>
      </c>
    </row>
    <row r="435" spans="1:10" ht="15.75" hidden="1" customHeight="1">
      <c r="A435" s="19">
        <v>432</v>
      </c>
      <c r="B435" s="20" t="s">
        <v>471</v>
      </c>
      <c r="C435" s="20" t="s">
        <v>203</v>
      </c>
      <c r="D435" s="20" t="s">
        <v>472</v>
      </c>
      <c r="E435" s="21">
        <v>111</v>
      </c>
      <c r="F435" s="21">
        <v>90</v>
      </c>
      <c r="G435" s="21">
        <v>160</v>
      </c>
      <c r="H435" s="21"/>
      <c r="I435" s="22">
        <f t="shared" si="6"/>
        <v>361</v>
      </c>
      <c r="J435" t="e">
        <f>VLOOKUP(B435,'[1]KT 광점퍼코드(수익률)'!$A$4:$P$243,16,0)</f>
        <v>#N/A</v>
      </c>
    </row>
    <row r="436" spans="1:10" ht="15.75" hidden="1" customHeight="1">
      <c r="A436" s="23">
        <v>433</v>
      </c>
      <c r="B436" s="24" t="s">
        <v>473</v>
      </c>
      <c r="C436" s="24" t="s">
        <v>445</v>
      </c>
      <c r="D436" s="24" t="s">
        <v>474</v>
      </c>
      <c r="E436" s="25">
        <v>10</v>
      </c>
      <c r="F436" s="25"/>
      <c r="G436" s="25"/>
      <c r="H436" s="25"/>
      <c r="I436" s="22">
        <f t="shared" si="6"/>
        <v>10</v>
      </c>
      <c r="J436" t="e">
        <f>VLOOKUP(B436,'[1]KT 광점퍼코드(수익률)'!$A$4:$P$243,16,0)</f>
        <v>#N/A</v>
      </c>
    </row>
    <row r="437" spans="1:10" ht="15.75" hidden="1" customHeight="1">
      <c r="A437" s="19">
        <v>434</v>
      </c>
      <c r="B437" s="20" t="s">
        <v>475</v>
      </c>
      <c r="C437" s="20" t="s">
        <v>445</v>
      </c>
      <c r="D437" s="20" t="s">
        <v>476</v>
      </c>
      <c r="E437" s="21">
        <v>10</v>
      </c>
      <c r="F437" s="21"/>
      <c r="G437" s="21"/>
      <c r="H437" s="21"/>
      <c r="I437" s="22">
        <f t="shared" si="6"/>
        <v>10</v>
      </c>
      <c r="J437" t="e">
        <f>VLOOKUP(B437,'[1]KT 광점퍼코드(수익률)'!$A$4:$P$243,16,0)</f>
        <v>#N/A</v>
      </c>
    </row>
    <row r="438" spans="1:10" ht="15.75" hidden="1" customHeight="1">
      <c r="A438" s="23">
        <v>435</v>
      </c>
      <c r="B438" s="24" t="s">
        <v>477</v>
      </c>
      <c r="C438" s="24" t="s">
        <v>445</v>
      </c>
      <c r="D438" s="24" t="s">
        <v>478</v>
      </c>
      <c r="E438" s="25">
        <v>10</v>
      </c>
      <c r="F438" s="25"/>
      <c r="G438" s="25"/>
      <c r="H438" s="25"/>
      <c r="I438" s="22">
        <f t="shared" si="6"/>
        <v>10</v>
      </c>
      <c r="J438" t="e">
        <f>VLOOKUP(B438,'[1]KT 광점퍼코드(수익률)'!$A$4:$P$243,16,0)</f>
        <v>#N/A</v>
      </c>
    </row>
    <row r="439" spans="1:10" ht="15.75" hidden="1" customHeight="1">
      <c r="A439" s="19">
        <v>436</v>
      </c>
      <c r="B439" s="20" t="s">
        <v>479</v>
      </c>
      <c r="C439" s="20" t="s">
        <v>480</v>
      </c>
      <c r="D439" s="20" t="s">
        <v>481</v>
      </c>
      <c r="E439" s="21">
        <v>4</v>
      </c>
      <c r="F439" s="21">
        <v>6</v>
      </c>
      <c r="G439" s="21"/>
      <c r="H439" s="21"/>
      <c r="I439" s="22">
        <f t="shared" si="6"/>
        <v>10</v>
      </c>
      <c r="J439" t="e">
        <f>VLOOKUP(B439,'[1]KT 광점퍼코드(수익률)'!$A$4:$P$243,16,0)</f>
        <v>#N/A</v>
      </c>
    </row>
    <row r="440" spans="1:10" ht="15.75" hidden="1" customHeight="1">
      <c r="A440" s="23">
        <v>437</v>
      </c>
      <c r="B440" s="24" t="s">
        <v>3013</v>
      </c>
      <c r="C440" s="24" t="s">
        <v>3014</v>
      </c>
      <c r="D440" s="24"/>
      <c r="E440" s="25"/>
      <c r="F440" s="25"/>
      <c r="G440" s="25">
        <v>28</v>
      </c>
      <c r="H440" s="25"/>
      <c r="I440" s="22">
        <f t="shared" si="6"/>
        <v>28</v>
      </c>
      <c r="J440" t="e">
        <f>VLOOKUP(B440,'[1]KT 광점퍼코드(수익률)'!$A$4:$P$243,16,0)</f>
        <v>#N/A</v>
      </c>
    </row>
    <row r="441" spans="1:10" ht="15.75" hidden="1" customHeight="1">
      <c r="A441" s="19">
        <v>438</v>
      </c>
      <c r="B441" s="20" t="s">
        <v>3015</v>
      </c>
      <c r="C441" s="20" t="s">
        <v>3016</v>
      </c>
      <c r="D441" s="20" t="s">
        <v>3017</v>
      </c>
      <c r="E441" s="21"/>
      <c r="F441" s="21"/>
      <c r="G441" s="21">
        <v>3</v>
      </c>
      <c r="H441" s="21"/>
      <c r="I441" s="22">
        <f t="shared" si="6"/>
        <v>3</v>
      </c>
      <c r="J441" t="e">
        <f>VLOOKUP(B441,'[1]KT 광점퍼코드(수익률)'!$A$4:$P$243,16,0)</f>
        <v>#N/A</v>
      </c>
    </row>
    <row r="442" spans="1:10" ht="15.75" hidden="1" customHeight="1">
      <c r="A442" s="23">
        <v>439</v>
      </c>
      <c r="B442" s="24" t="s">
        <v>3018</v>
      </c>
      <c r="C442" s="24" t="s">
        <v>3019</v>
      </c>
      <c r="D442" s="24"/>
      <c r="E442" s="25"/>
      <c r="F442" s="25"/>
      <c r="G442" s="25">
        <v>6</v>
      </c>
      <c r="H442" s="25"/>
      <c r="I442" s="22">
        <f t="shared" si="6"/>
        <v>6</v>
      </c>
      <c r="J442" t="e">
        <f>VLOOKUP(B442,'[1]KT 광점퍼코드(수익률)'!$A$4:$P$243,16,0)</f>
        <v>#N/A</v>
      </c>
    </row>
    <row r="443" spans="1:10" ht="15.75" hidden="1" customHeight="1">
      <c r="A443" s="19">
        <v>440</v>
      </c>
      <c r="B443" s="20" t="s">
        <v>3020</v>
      </c>
      <c r="C443" s="20" t="s">
        <v>3021</v>
      </c>
      <c r="D443" s="20" t="s">
        <v>3022</v>
      </c>
      <c r="E443" s="21"/>
      <c r="F443" s="21"/>
      <c r="G443" s="21">
        <v>15</v>
      </c>
      <c r="H443" s="21"/>
      <c r="I443" s="22">
        <f t="shared" si="6"/>
        <v>15</v>
      </c>
      <c r="J443" t="e">
        <f>VLOOKUP(B443,'[1]KT 광점퍼코드(수익률)'!$A$4:$P$243,16,0)</f>
        <v>#N/A</v>
      </c>
    </row>
    <row r="444" spans="1:10" ht="15.75" hidden="1" customHeight="1">
      <c r="A444" s="23">
        <v>441</v>
      </c>
      <c r="B444" s="24" t="s">
        <v>482</v>
      </c>
      <c r="C444" s="24" t="s">
        <v>483</v>
      </c>
      <c r="D444" s="24"/>
      <c r="E444" s="25">
        <v>121</v>
      </c>
      <c r="F444" s="25">
        <v>148</v>
      </c>
      <c r="G444" s="25">
        <v>212</v>
      </c>
      <c r="H444" s="25">
        <v>32</v>
      </c>
      <c r="I444" s="22">
        <f t="shared" si="6"/>
        <v>513</v>
      </c>
      <c r="J444" t="e">
        <f>VLOOKUP(B444,'[1]KT 광점퍼코드(수익률)'!$A$4:$P$243,16,0)</f>
        <v>#N/A</v>
      </c>
    </row>
    <row r="445" spans="1:10" ht="15.75" hidden="1" customHeight="1">
      <c r="A445" s="19">
        <v>442</v>
      </c>
      <c r="B445" s="20" t="s">
        <v>484</v>
      </c>
      <c r="C445" s="20" t="s">
        <v>485</v>
      </c>
      <c r="D445" s="20"/>
      <c r="E445" s="21">
        <v>190</v>
      </c>
      <c r="F445" s="21">
        <v>198</v>
      </c>
      <c r="G445" s="21">
        <v>120</v>
      </c>
      <c r="H445" s="21">
        <v>134</v>
      </c>
      <c r="I445" s="22">
        <f t="shared" si="6"/>
        <v>642</v>
      </c>
      <c r="J445" t="e">
        <f>VLOOKUP(B445,'[1]KT 광점퍼코드(수익률)'!$A$4:$P$243,16,0)</f>
        <v>#N/A</v>
      </c>
    </row>
    <row r="446" spans="1:10" ht="15.75" hidden="1" customHeight="1">
      <c r="A446" s="23">
        <v>443</v>
      </c>
      <c r="B446" s="24" t="s">
        <v>486</v>
      </c>
      <c r="C446" s="24" t="s">
        <v>487</v>
      </c>
      <c r="D446" s="24" t="s">
        <v>22</v>
      </c>
      <c r="E446" s="25">
        <v>58</v>
      </c>
      <c r="F446" s="25">
        <v>160</v>
      </c>
      <c r="G446" s="25">
        <v>89</v>
      </c>
      <c r="H446" s="25">
        <v>30</v>
      </c>
      <c r="I446" s="22">
        <f t="shared" si="6"/>
        <v>337</v>
      </c>
      <c r="J446" t="e">
        <f>VLOOKUP(B446,'[1]KT 광점퍼코드(수익률)'!$A$4:$P$243,16,0)</f>
        <v>#N/A</v>
      </c>
    </row>
    <row r="447" spans="1:10" ht="15.75" hidden="1" customHeight="1">
      <c r="A447" s="19">
        <v>444</v>
      </c>
      <c r="B447" s="20" t="s">
        <v>488</v>
      </c>
      <c r="C447" s="20" t="s">
        <v>489</v>
      </c>
      <c r="D447" s="20"/>
      <c r="E447" s="21">
        <v>173</v>
      </c>
      <c r="F447" s="21">
        <v>49</v>
      </c>
      <c r="G447" s="21">
        <v>44</v>
      </c>
      <c r="H447" s="21">
        <v>42</v>
      </c>
      <c r="I447" s="22">
        <f t="shared" si="6"/>
        <v>308</v>
      </c>
      <c r="J447" t="e">
        <f>VLOOKUP(B447,'[1]KT 광점퍼코드(수익률)'!$A$4:$P$243,16,0)</f>
        <v>#N/A</v>
      </c>
    </row>
    <row r="448" spans="1:10" ht="15.75" hidden="1" customHeight="1">
      <c r="A448" s="23">
        <v>445</v>
      </c>
      <c r="B448" s="24" t="s">
        <v>490</v>
      </c>
      <c r="C448" s="24" t="s">
        <v>491</v>
      </c>
      <c r="D448" s="24"/>
      <c r="E448" s="25">
        <v>68</v>
      </c>
      <c r="F448" s="25">
        <v>39</v>
      </c>
      <c r="G448" s="25">
        <v>44</v>
      </c>
      <c r="H448" s="25">
        <v>6</v>
      </c>
      <c r="I448" s="22">
        <f t="shared" si="6"/>
        <v>157</v>
      </c>
      <c r="J448" t="e">
        <f>VLOOKUP(B448,'[1]KT 광점퍼코드(수익률)'!$A$4:$P$243,16,0)</f>
        <v>#N/A</v>
      </c>
    </row>
    <row r="449" spans="1:10" ht="15.75" hidden="1" customHeight="1">
      <c r="A449" s="19">
        <v>446</v>
      </c>
      <c r="B449" s="20" t="s">
        <v>492</v>
      </c>
      <c r="C449" s="20" t="s">
        <v>493</v>
      </c>
      <c r="D449" s="20"/>
      <c r="E449" s="21">
        <v>20</v>
      </c>
      <c r="F449" s="21">
        <v>29</v>
      </c>
      <c r="G449" s="21">
        <v>18</v>
      </c>
      <c r="H449" s="21">
        <v>2</v>
      </c>
      <c r="I449" s="22">
        <f t="shared" si="6"/>
        <v>69</v>
      </c>
      <c r="J449" t="e">
        <f>VLOOKUP(B449,'[1]KT 광점퍼코드(수익률)'!$A$4:$P$243,16,0)</f>
        <v>#N/A</v>
      </c>
    </row>
    <row r="450" spans="1:10" ht="15.75" hidden="1" customHeight="1">
      <c r="A450" s="23">
        <v>447</v>
      </c>
      <c r="B450" s="24" t="s">
        <v>494</v>
      </c>
      <c r="C450" s="24" t="s">
        <v>495</v>
      </c>
      <c r="D450" s="24"/>
      <c r="E450" s="25">
        <v>169</v>
      </c>
      <c r="F450" s="25">
        <v>341</v>
      </c>
      <c r="G450" s="25">
        <v>92</v>
      </c>
      <c r="H450" s="25">
        <v>10</v>
      </c>
      <c r="I450" s="22">
        <f t="shared" si="6"/>
        <v>612</v>
      </c>
      <c r="J450" t="e">
        <f>VLOOKUP(B450,'[1]KT 광점퍼코드(수익률)'!$A$4:$P$243,16,0)</f>
        <v>#N/A</v>
      </c>
    </row>
    <row r="451" spans="1:10" ht="15.75" hidden="1" customHeight="1">
      <c r="A451" s="19">
        <v>448</v>
      </c>
      <c r="B451" s="20" t="s">
        <v>2444</v>
      </c>
      <c r="C451" s="20" t="s">
        <v>2445</v>
      </c>
      <c r="D451" s="20"/>
      <c r="E451" s="21"/>
      <c r="F451" s="21">
        <v>8</v>
      </c>
      <c r="G451" s="21"/>
      <c r="H451" s="21"/>
      <c r="I451" s="22">
        <f t="shared" si="6"/>
        <v>8</v>
      </c>
      <c r="J451" t="e">
        <f>VLOOKUP(B451,'[1]KT 광점퍼코드(수익률)'!$A$4:$P$243,16,0)</f>
        <v>#N/A</v>
      </c>
    </row>
    <row r="452" spans="1:10" ht="15.75" hidden="1" customHeight="1">
      <c r="A452" s="23">
        <v>449</v>
      </c>
      <c r="B452" s="24" t="s">
        <v>496</v>
      </c>
      <c r="C452" s="24" t="s">
        <v>497</v>
      </c>
      <c r="D452" s="24"/>
      <c r="E452" s="25">
        <v>320</v>
      </c>
      <c r="F452" s="25">
        <v>141</v>
      </c>
      <c r="G452" s="25">
        <v>337</v>
      </c>
      <c r="H452" s="25">
        <v>26</v>
      </c>
      <c r="I452" s="22">
        <f t="shared" ref="I452:I515" si="7">SUM(E452:H452)</f>
        <v>824</v>
      </c>
      <c r="J452" t="e">
        <f>VLOOKUP(B452,'[1]KT 광점퍼코드(수익률)'!$A$4:$P$243,16,0)</f>
        <v>#N/A</v>
      </c>
    </row>
    <row r="453" spans="1:10" ht="15.75" hidden="1" customHeight="1">
      <c r="A453" s="19">
        <v>450</v>
      </c>
      <c r="B453" s="20" t="s">
        <v>2446</v>
      </c>
      <c r="C453" s="20" t="s">
        <v>2447</v>
      </c>
      <c r="D453" s="20"/>
      <c r="E453" s="21"/>
      <c r="F453" s="21">
        <v>25</v>
      </c>
      <c r="G453" s="21">
        <v>10</v>
      </c>
      <c r="H453" s="21"/>
      <c r="I453" s="22">
        <f t="shared" si="7"/>
        <v>35</v>
      </c>
      <c r="J453" t="e">
        <f>VLOOKUP(B453,'[1]KT 광점퍼코드(수익률)'!$A$4:$P$243,16,0)</f>
        <v>#N/A</v>
      </c>
    </row>
    <row r="454" spans="1:10" ht="15.75" hidden="1" customHeight="1">
      <c r="A454" s="23">
        <v>451</v>
      </c>
      <c r="B454" s="24" t="s">
        <v>498</v>
      </c>
      <c r="C454" s="24" t="s">
        <v>499</v>
      </c>
      <c r="D454" s="24"/>
      <c r="E454" s="25">
        <v>9</v>
      </c>
      <c r="F454" s="25"/>
      <c r="G454" s="25"/>
      <c r="H454" s="25"/>
      <c r="I454" s="22">
        <f t="shared" si="7"/>
        <v>9</v>
      </c>
      <c r="J454" t="e">
        <f>VLOOKUP(B454,'[1]KT 광점퍼코드(수익률)'!$A$4:$P$243,16,0)</f>
        <v>#N/A</v>
      </c>
    </row>
    <row r="455" spans="1:10" ht="15.75" customHeight="1">
      <c r="A455" s="19">
        <v>452</v>
      </c>
      <c r="B455" s="20" t="s">
        <v>500</v>
      </c>
      <c r="C455" s="20" t="s">
        <v>501</v>
      </c>
      <c r="D455" s="20" t="s">
        <v>502</v>
      </c>
      <c r="E455" s="21">
        <v>577</v>
      </c>
      <c r="F455" s="21">
        <v>298</v>
      </c>
      <c r="G455" s="21">
        <v>321</v>
      </c>
      <c r="H455" s="21"/>
      <c r="I455" s="22">
        <f t="shared" si="7"/>
        <v>1196</v>
      </c>
      <c r="J455">
        <f>VLOOKUP(B455,'[1]KT 광점퍼코드(수익률)'!$A$4:$P$243,16,0)</f>
        <v>4337</v>
      </c>
    </row>
    <row r="456" spans="1:10" ht="15.75" hidden="1" customHeight="1">
      <c r="A456" s="23">
        <v>453</v>
      </c>
      <c r="B456" s="24" t="s">
        <v>503</v>
      </c>
      <c r="C456" s="24" t="s">
        <v>504</v>
      </c>
      <c r="D456" s="24" t="s">
        <v>505</v>
      </c>
      <c r="E456" s="25">
        <v>6</v>
      </c>
      <c r="F456" s="25"/>
      <c r="G456" s="25"/>
      <c r="H456" s="25"/>
      <c r="I456" s="22">
        <f t="shared" si="7"/>
        <v>6</v>
      </c>
      <c r="J456" t="e">
        <f>VLOOKUP(B456,'[1]KT 광점퍼코드(수익률)'!$A$4:$P$243,16,0)</f>
        <v>#N/A</v>
      </c>
    </row>
    <row r="457" spans="1:10" ht="15.75" customHeight="1">
      <c r="A457" s="19">
        <v>454</v>
      </c>
      <c r="B457" s="20" t="s">
        <v>506</v>
      </c>
      <c r="C457" s="20" t="s">
        <v>507</v>
      </c>
      <c r="D457" s="20" t="s">
        <v>508</v>
      </c>
      <c r="E457" s="21">
        <v>545</v>
      </c>
      <c r="F457" s="21">
        <v>61</v>
      </c>
      <c r="G457" s="21">
        <v>85</v>
      </c>
      <c r="H457" s="21">
        <v>70</v>
      </c>
      <c r="I457" s="22">
        <f t="shared" si="7"/>
        <v>761</v>
      </c>
      <c r="J457">
        <f>VLOOKUP(B457,'[1]KT 광점퍼코드(수익률)'!$A$4:$P$243,16,0)</f>
        <v>5011</v>
      </c>
    </row>
    <row r="458" spans="1:10" ht="15.75" hidden="1" customHeight="1">
      <c r="A458" s="23">
        <v>455</v>
      </c>
      <c r="B458" s="24" t="s">
        <v>509</v>
      </c>
      <c r="C458" s="24" t="s">
        <v>510</v>
      </c>
      <c r="D458" s="24" t="s">
        <v>511</v>
      </c>
      <c r="E458" s="25">
        <v>4</v>
      </c>
      <c r="F458" s="25"/>
      <c r="G458" s="25"/>
      <c r="H458" s="25"/>
      <c r="I458" s="22">
        <f t="shared" si="7"/>
        <v>4</v>
      </c>
      <c r="J458" t="e">
        <f>VLOOKUP(B458,'[1]KT 광점퍼코드(수익률)'!$A$4:$P$243,16,0)</f>
        <v>#N/A</v>
      </c>
    </row>
    <row r="459" spans="1:10" ht="15.75" hidden="1" customHeight="1">
      <c r="A459" s="19">
        <v>456</v>
      </c>
      <c r="B459" s="20" t="s">
        <v>2448</v>
      </c>
      <c r="C459" s="20" t="s">
        <v>2449</v>
      </c>
      <c r="D459" s="20"/>
      <c r="E459" s="21"/>
      <c r="F459" s="21">
        <v>1</v>
      </c>
      <c r="G459" s="21"/>
      <c r="H459" s="21"/>
      <c r="I459" s="22">
        <f t="shared" si="7"/>
        <v>1</v>
      </c>
      <c r="J459" t="e">
        <f>VLOOKUP(B459,'[1]KT 광점퍼코드(수익률)'!$A$4:$P$243,16,0)</f>
        <v>#N/A</v>
      </c>
    </row>
    <row r="460" spans="1:10" ht="15.75" customHeight="1">
      <c r="A460" s="23">
        <v>457</v>
      </c>
      <c r="B460" s="24" t="s">
        <v>512</v>
      </c>
      <c r="C460" s="24" t="s">
        <v>513</v>
      </c>
      <c r="D460" s="24" t="s">
        <v>514</v>
      </c>
      <c r="E460" s="25">
        <v>18</v>
      </c>
      <c r="F460" s="25"/>
      <c r="G460" s="25">
        <v>10</v>
      </c>
      <c r="H460" s="25"/>
      <c r="I460" s="22">
        <f t="shared" si="7"/>
        <v>28</v>
      </c>
      <c r="J460">
        <f>VLOOKUP(B460,'[1]KT 광점퍼코드(수익률)'!$A$4:$P$243,16,0)</f>
        <v>2831</v>
      </c>
    </row>
    <row r="461" spans="1:10" ht="15.75" customHeight="1">
      <c r="A461" s="19">
        <v>458</v>
      </c>
      <c r="B461" s="20" t="s">
        <v>515</v>
      </c>
      <c r="C461" s="20" t="s">
        <v>516</v>
      </c>
      <c r="D461" s="20" t="s">
        <v>517</v>
      </c>
      <c r="E461" s="21">
        <v>249</v>
      </c>
      <c r="F461" s="21">
        <v>1025</v>
      </c>
      <c r="G461" s="21">
        <v>108</v>
      </c>
      <c r="H461" s="21"/>
      <c r="I461" s="22">
        <f t="shared" si="7"/>
        <v>1382</v>
      </c>
      <c r="J461">
        <f>VLOOKUP(B461,'[1]KT 광점퍼코드(수익률)'!$A$4:$P$243,16,0)</f>
        <v>5686</v>
      </c>
    </row>
    <row r="462" spans="1:10" ht="15.75" customHeight="1">
      <c r="A462" s="23">
        <v>459</v>
      </c>
      <c r="B462" s="24" t="s">
        <v>2450</v>
      </c>
      <c r="C462" s="24" t="s">
        <v>2451</v>
      </c>
      <c r="D462" s="24" t="s">
        <v>2452</v>
      </c>
      <c r="E462" s="25"/>
      <c r="F462" s="25">
        <v>3</v>
      </c>
      <c r="G462" s="25"/>
      <c r="H462" s="25"/>
      <c r="I462" s="22">
        <f t="shared" si="7"/>
        <v>3</v>
      </c>
      <c r="J462">
        <f>VLOOKUP(B462,'[1]KT 광점퍼코드(수익률)'!$A$4:$P$243,16,0)</f>
        <v>2970</v>
      </c>
    </row>
    <row r="463" spans="1:10" ht="15.75" customHeight="1">
      <c r="A463" s="19">
        <v>460</v>
      </c>
      <c r="B463" s="20" t="s">
        <v>518</v>
      </c>
      <c r="C463" s="20" t="s">
        <v>519</v>
      </c>
      <c r="D463" s="20" t="s">
        <v>520</v>
      </c>
      <c r="E463" s="21">
        <v>225</v>
      </c>
      <c r="F463" s="21">
        <v>88</v>
      </c>
      <c r="G463" s="21">
        <v>84</v>
      </c>
      <c r="H463" s="21"/>
      <c r="I463" s="22">
        <f t="shared" si="7"/>
        <v>397</v>
      </c>
      <c r="J463">
        <f>VLOOKUP(B463,'[1]KT 광점퍼코드(수익률)'!$A$4:$P$243,16,0)</f>
        <v>6361</v>
      </c>
    </row>
    <row r="464" spans="1:10" ht="15.75" hidden="1" customHeight="1">
      <c r="A464" s="23">
        <v>461</v>
      </c>
      <c r="B464" s="24" t="s">
        <v>2453</v>
      </c>
      <c r="C464" s="24" t="s">
        <v>2454</v>
      </c>
      <c r="D464" s="24"/>
      <c r="E464" s="25"/>
      <c r="F464" s="25">
        <v>3</v>
      </c>
      <c r="G464" s="25"/>
      <c r="H464" s="25"/>
      <c r="I464" s="22">
        <f t="shared" si="7"/>
        <v>3</v>
      </c>
      <c r="J464" t="e">
        <f>VLOOKUP(B464,'[1]KT 광점퍼코드(수익률)'!$A$4:$P$243,16,0)</f>
        <v>#N/A</v>
      </c>
    </row>
    <row r="465" spans="1:10" ht="15.75" hidden="1" customHeight="1">
      <c r="A465" s="19">
        <v>462</v>
      </c>
      <c r="B465" s="20" t="s">
        <v>521</v>
      </c>
      <c r="C465" s="20" t="s">
        <v>522</v>
      </c>
      <c r="D465" s="20"/>
      <c r="E465" s="21">
        <v>2</v>
      </c>
      <c r="F465" s="21"/>
      <c r="G465" s="21"/>
      <c r="H465" s="21"/>
      <c r="I465" s="22">
        <f t="shared" si="7"/>
        <v>2</v>
      </c>
      <c r="J465" t="e">
        <f>VLOOKUP(B465,'[1]KT 광점퍼코드(수익률)'!$A$4:$P$243,16,0)</f>
        <v>#N/A</v>
      </c>
    </row>
    <row r="466" spans="1:10" ht="15.75" customHeight="1">
      <c r="A466" s="23">
        <v>463</v>
      </c>
      <c r="B466" s="24" t="s">
        <v>523</v>
      </c>
      <c r="C466" s="24" t="s">
        <v>524</v>
      </c>
      <c r="D466" s="24" t="s">
        <v>525</v>
      </c>
      <c r="E466" s="25">
        <v>415</v>
      </c>
      <c r="F466" s="25">
        <v>111</v>
      </c>
      <c r="G466" s="25">
        <v>38</v>
      </c>
      <c r="H466" s="25"/>
      <c r="I466" s="22">
        <f t="shared" si="7"/>
        <v>564</v>
      </c>
      <c r="J466">
        <f>VLOOKUP(B466,'[1]KT 광점퍼코드(수익률)'!$A$4:$P$243,16,0)</f>
        <v>2952</v>
      </c>
    </row>
    <row r="467" spans="1:10" ht="15.75" customHeight="1">
      <c r="A467" s="19">
        <v>464</v>
      </c>
      <c r="B467" s="20" t="s">
        <v>526</v>
      </c>
      <c r="C467" s="20" t="s">
        <v>527</v>
      </c>
      <c r="D467" s="20" t="s">
        <v>528</v>
      </c>
      <c r="E467" s="21">
        <v>55</v>
      </c>
      <c r="F467" s="21">
        <v>95</v>
      </c>
      <c r="G467" s="21">
        <v>35</v>
      </c>
      <c r="H467" s="21"/>
      <c r="I467" s="22">
        <f t="shared" si="7"/>
        <v>185</v>
      </c>
      <c r="J467">
        <f>VLOOKUP(B467,'[1]KT 광점퍼코드(수익률)'!$A$4:$P$243,16,0)</f>
        <v>7033</v>
      </c>
    </row>
    <row r="468" spans="1:10" ht="15.75" customHeight="1">
      <c r="A468" s="23">
        <v>465</v>
      </c>
      <c r="B468" s="24" t="s">
        <v>529</v>
      </c>
      <c r="C468" s="24" t="s">
        <v>530</v>
      </c>
      <c r="D468" s="24" t="s">
        <v>531</v>
      </c>
      <c r="E468" s="25">
        <v>28</v>
      </c>
      <c r="F468" s="25">
        <v>13</v>
      </c>
      <c r="G468" s="25">
        <v>4</v>
      </c>
      <c r="H468" s="25"/>
      <c r="I468" s="22">
        <f t="shared" si="7"/>
        <v>45</v>
      </c>
      <c r="J468">
        <f>VLOOKUP(B468,'[1]KT 광점퍼코드(수익률)'!$A$4:$P$243,16,0)</f>
        <v>7708</v>
      </c>
    </row>
    <row r="469" spans="1:10" ht="15.75" customHeight="1">
      <c r="A469" s="19">
        <v>466</v>
      </c>
      <c r="B469" s="20" t="s">
        <v>532</v>
      </c>
      <c r="C469" s="20" t="s">
        <v>533</v>
      </c>
      <c r="D469" s="20" t="s">
        <v>534</v>
      </c>
      <c r="E469" s="21">
        <v>361</v>
      </c>
      <c r="F469" s="21">
        <v>103</v>
      </c>
      <c r="G469" s="21">
        <v>137</v>
      </c>
      <c r="H469" s="21"/>
      <c r="I469" s="22">
        <f t="shared" si="7"/>
        <v>601</v>
      </c>
      <c r="J469">
        <f>VLOOKUP(B469,'[1]KT 광점퍼코드(수익률)'!$A$4:$P$243,16,0)</f>
        <v>3074</v>
      </c>
    </row>
    <row r="470" spans="1:10" ht="15.75" hidden="1" customHeight="1">
      <c r="A470" s="23">
        <v>467</v>
      </c>
      <c r="B470" s="24" t="s">
        <v>535</v>
      </c>
      <c r="C470" s="24" t="s">
        <v>536</v>
      </c>
      <c r="D470" s="24" t="s">
        <v>537</v>
      </c>
      <c r="E470" s="25">
        <v>10</v>
      </c>
      <c r="F470" s="25"/>
      <c r="G470" s="25"/>
      <c r="H470" s="25"/>
      <c r="I470" s="22">
        <f t="shared" si="7"/>
        <v>10</v>
      </c>
      <c r="J470" t="e">
        <f>VLOOKUP(B470,'[1]KT 광점퍼코드(수익률)'!$A$4:$P$243,16,0)</f>
        <v>#N/A</v>
      </c>
    </row>
    <row r="471" spans="1:10" ht="15.75" customHeight="1">
      <c r="A471" s="19">
        <v>468</v>
      </c>
      <c r="B471" s="20" t="s">
        <v>538</v>
      </c>
      <c r="C471" s="20" t="s">
        <v>539</v>
      </c>
      <c r="D471" s="20" t="s">
        <v>540</v>
      </c>
      <c r="E471" s="21">
        <v>64</v>
      </c>
      <c r="F471" s="21">
        <v>5</v>
      </c>
      <c r="G471" s="21">
        <v>140</v>
      </c>
      <c r="H471" s="21"/>
      <c r="I471" s="22">
        <f t="shared" si="7"/>
        <v>209</v>
      </c>
      <c r="J471">
        <f>VLOOKUP(B471,'[1]KT 광점퍼코드(수익률)'!$A$4:$P$243,16,0)</f>
        <v>8384</v>
      </c>
    </row>
    <row r="472" spans="1:10" ht="15.75" hidden="1" customHeight="1">
      <c r="A472" s="23">
        <v>469</v>
      </c>
      <c r="B472" s="24" t="s">
        <v>541</v>
      </c>
      <c r="C472" s="24" t="s">
        <v>542</v>
      </c>
      <c r="D472" s="24"/>
      <c r="E472" s="25">
        <v>3</v>
      </c>
      <c r="F472" s="25"/>
      <c r="G472" s="25"/>
      <c r="H472" s="25"/>
      <c r="I472" s="22">
        <f t="shared" si="7"/>
        <v>3</v>
      </c>
      <c r="J472" t="e">
        <f>VLOOKUP(B472,'[1]KT 광점퍼코드(수익률)'!$A$4:$P$243,16,0)</f>
        <v>#N/A</v>
      </c>
    </row>
    <row r="473" spans="1:10" ht="15.75" hidden="1" customHeight="1">
      <c r="A473" s="19">
        <v>470</v>
      </c>
      <c r="B473" s="20" t="s">
        <v>543</v>
      </c>
      <c r="C473" s="20" t="s">
        <v>544</v>
      </c>
      <c r="D473" s="20" t="s">
        <v>540</v>
      </c>
      <c r="E473" s="21">
        <v>14</v>
      </c>
      <c r="F473" s="21">
        <v>5</v>
      </c>
      <c r="G473" s="21">
        <v>30</v>
      </c>
      <c r="H473" s="21"/>
      <c r="I473" s="22">
        <f t="shared" si="7"/>
        <v>49</v>
      </c>
      <c r="J473" t="e">
        <f>VLOOKUP(B473,'[1]KT 광점퍼코드(수익률)'!$A$4:$P$243,16,0)</f>
        <v>#N/A</v>
      </c>
    </row>
    <row r="474" spans="1:10" ht="15.75" hidden="1" customHeight="1">
      <c r="A474" s="23">
        <v>471</v>
      </c>
      <c r="B474" s="24" t="s">
        <v>545</v>
      </c>
      <c r="C474" s="24" t="s">
        <v>546</v>
      </c>
      <c r="D474" s="24"/>
      <c r="E474" s="25">
        <v>6</v>
      </c>
      <c r="F474" s="25"/>
      <c r="G474" s="25">
        <v>2</v>
      </c>
      <c r="H474" s="25"/>
      <c r="I474" s="22">
        <f t="shared" si="7"/>
        <v>8</v>
      </c>
      <c r="J474" t="e">
        <f>VLOOKUP(B474,'[1]KT 광점퍼코드(수익률)'!$A$4:$P$243,16,0)</f>
        <v>#N/A</v>
      </c>
    </row>
    <row r="475" spans="1:10" ht="15.75" customHeight="1">
      <c r="A475" s="19">
        <v>472</v>
      </c>
      <c r="B475" s="20" t="s">
        <v>547</v>
      </c>
      <c r="C475" s="20" t="s">
        <v>548</v>
      </c>
      <c r="D475" s="20" t="s">
        <v>549</v>
      </c>
      <c r="E475" s="21">
        <v>212</v>
      </c>
      <c r="F475" s="21">
        <v>91</v>
      </c>
      <c r="G475" s="21">
        <v>287</v>
      </c>
      <c r="H475" s="21"/>
      <c r="I475" s="22">
        <f t="shared" si="7"/>
        <v>590</v>
      </c>
      <c r="J475">
        <f>VLOOKUP(B475,'[1]KT 광점퍼코드(수익률)'!$A$4:$P$243,16,0)</f>
        <v>3662</v>
      </c>
    </row>
    <row r="476" spans="1:10" ht="15.75" hidden="1" customHeight="1">
      <c r="A476" s="23">
        <v>473</v>
      </c>
      <c r="B476" s="24" t="s">
        <v>550</v>
      </c>
      <c r="C476" s="24" t="s">
        <v>551</v>
      </c>
      <c r="D476" s="24" t="s">
        <v>552</v>
      </c>
      <c r="E476" s="25">
        <v>6</v>
      </c>
      <c r="F476" s="25"/>
      <c r="G476" s="25"/>
      <c r="H476" s="25"/>
      <c r="I476" s="22">
        <f t="shared" si="7"/>
        <v>6</v>
      </c>
      <c r="J476" t="e">
        <f>VLOOKUP(B476,'[1]KT 광점퍼코드(수익률)'!$A$4:$P$243,16,0)</f>
        <v>#N/A</v>
      </c>
    </row>
    <row r="477" spans="1:10" ht="15.75" hidden="1" customHeight="1">
      <c r="A477" s="19">
        <v>474</v>
      </c>
      <c r="B477" s="20" t="s">
        <v>553</v>
      </c>
      <c r="C477" s="20" t="s">
        <v>554</v>
      </c>
      <c r="D477" s="20"/>
      <c r="E477" s="21">
        <v>10</v>
      </c>
      <c r="F477" s="21"/>
      <c r="G477" s="21">
        <v>22</v>
      </c>
      <c r="H477" s="21"/>
      <c r="I477" s="22">
        <f t="shared" si="7"/>
        <v>32</v>
      </c>
      <c r="J477" t="e">
        <f>VLOOKUP(B477,'[1]KT 광점퍼코드(수익률)'!$A$4:$P$243,16,0)</f>
        <v>#N/A</v>
      </c>
    </row>
    <row r="478" spans="1:10" ht="15.75" hidden="1" customHeight="1">
      <c r="A478" s="23">
        <v>475</v>
      </c>
      <c r="B478" s="24" t="s">
        <v>2455</v>
      </c>
      <c r="C478" s="24" t="s">
        <v>2456</v>
      </c>
      <c r="D478" s="24"/>
      <c r="E478" s="25"/>
      <c r="F478" s="25">
        <v>35</v>
      </c>
      <c r="G478" s="25">
        <v>4</v>
      </c>
      <c r="H478" s="25"/>
      <c r="I478" s="22">
        <f t="shared" si="7"/>
        <v>39</v>
      </c>
      <c r="J478" t="e">
        <f>VLOOKUP(B478,'[1]KT 광점퍼코드(수익률)'!$A$4:$P$243,16,0)</f>
        <v>#N/A</v>
      </c>
    </row>
    <row r="479" spans="1:10" ht="15.75" hidden="1" customHeight="1">
      <c r="A479" s="19">
        <v>476</v>
      </c>
      <c r="B479" s="20" t="s">
        <v>3023</v>
      </c>
      <c r="C479" s="20" t="s">
        <v>3024</v>
      </c>
      <c r="D479" s="20"/>
      <c r="E479" s="21"/>
      <c r="F479" s="21"/>
      <c r="G479" s="21">
        <v>2</v>
      </c>
      <c r="H479" s="21"/>
      <c r="I479" s="22">
        <f t="shared" si="7"/>
        <v>2</v>
      </c>
      <c r="J479" t="e">
        <f>VLOOKUP(B479,'[1]KT 광점퍼코드(수익률)'!$A$4:$P$243,16,0)</f>
        <v>#N/A</v>
      </c>
    </row>
    <row r="480" spans="1:10" ht="15.75" hidden="1" customHeight="1">
      <c r="A480" s="23">
        <v>477</v>
      </c>
      <c r="B480" s="24" t="s">
        <v>555</v>
      </c>
      <c r="C480" s="24" t="s">
        <v>556</v>
      </c>
      <c r="D480" s="24"/>
      <c r="E480" s="25">
        <v>1</v>
      </c>
      <c r="F480" s="25">
        <v>35</v>
      </c>
      <c r="G480" s="25"/>
      <c r="H480" s="25"/>
      <c r="I480" s="22">
        <f t="shared" si="7"/>
        <v>36</v>
      </c>
      <c r="J480" t="e">
        <f>VLOOKUP(B480,'[1]KT 광점퍼코드(수익률)'!$A$4:$P$243,16,0)</f>
        <v>#N/A</v>
      </c>
    </row>
    <row r="481" spans="1:10" ht="15.75" hidden="1" customHeight="1">
      <c r="A481" s="19">
        <v>478</v>
      </c>
      <c r="B481" s="20" t="s">
        <v>2457</v>
      </c>
      <c r="C481" s="20" t="s">
        <v>2458</v>
      </c>
      <c r="D481" s="20"/>
      <c r="E481" s="21"/>
      <c r="F481" s="21">
        <v>35</v>
      </c>
      <c r="G481" s="21"/>
      <c r="H481" s="21"/>
      <c r="I481" s="22">
        <f t="shared" si="7"/>
        <v>35</v>
      </c>
      <c r="J481" t="e">
        <f>VLOOKUP(B481,'[1]KT 광점퍼코드(수익률)'!$A$4:$P$243,16,0)</f>
        <v>#N/A</v>
      </c>
    </row>
    <row r="482" spans="1:10" ht="15.75" hidden="1" customHeight="1">
      <c r="A482" s="23">
        <v>479</v>
      </c>
      <c r="B482" s="24" t="s">
        <v>2459</v>
      </c>
      <c r="C482" s="24" t="s">
        <v>2460</v>
      </c>
      <c r="D482" s="24"/>
      <c r="E482" s="25"/>
      <c r="F482" s="25">
        <v>2</v>
      </c>
      <c r="G482" s="25"/>
      <c r="H482" s="25"/>
      <c r="I482" s="22">
        <f t="shared" si="7"/>
        <v>2</v>
      </c>
      <c r="J482" t="e">
        <f>VLOOKUP(B482,'[1]KT 광점퍼코드(수익률)'!$A$4:$P$243,16,0)</f>
        <v>#N/A</v>
      </c>
    </row>
    <row r="483" spans="1:10" ht="15.75" customHeight="1">
      <c r="A483" s="19">
        <v>480</v>
      </c>
      <c r="B483" s="20" t="s">
        <v>557</v>
      </c>
      <c r="C483" s="20" t="s">
        <v>558</v>
      </c>
      <c r="D483" s="20" t="s">
        <v>559</v>
      </c>
      <c r="E483" s="21">
        <v>3770</v>
      </c>
      <c r="F483" s="21">
        <v>1651</v>
      </c>
      <c r="G483" s="21">
        <v>2622</v>
      </c>
      <c r="H483" s="21">
        <v>249</v>
      </c>
      <c r="I483" s="22">
        <f t="shared" si="7"/>
        <v>8292</v>
      </c>
      <c r="J483">
        <f>VLOOKUP(B483,'[1]KT 광점퍼코드(수익률)'!$A$4:$P$243,16,0)</f>
        <v>4512</v>
      </c>
    </row>
    <row r="484" spans="1:10" ht="15.75" hidden="1" customHeight="1">
      <c r="A484" s="23">
        <v>481</v>
      </c>
      <c r="B484" s="24" t="s">
        <v>3452</v>
      </c>
      <c r="C484" s="24" t="s">
        <v>558</v>
      </c>
      <c r="D484" s="24" t="s">
        <v>3453</v>
      </c>
      <c r="E484" s="25"/>
      <c r="F484" s="25"/>
      <c r="G484" s="25"/>
      <c r="H484" s="25">
        <v>30</v>
      </c>
      <c r="I484" s="22">
        <f t="shared" si="7"/>
        <v>30</v>
      </c>
      <c r="J484" t="e">
        <f>VLOOKUP(B484,'[1]KT 광점퍼코드(수익률)'!$A$4:$P$243,16,0)</f>
        <v>#N/A</v>
      </c>
    </row>
    <row r="485" spans="1:10" ht="15.75" customHeight="1">
      <c r="A485" s="19">
        <v>482</v>
      </c>
      <c r="B485" s="20" t="s">
        <v>560</v>
      </c>
      <c r="C485" s="20" t="s">
        <v>561</v>
      </c>
      <c r="D485" s="20" t="s">
        <v>562</v>
      </c>
      <c r="E485" s="21">
        <v>590</v>
      </c>
      <c r="F485" s="21">
        <v>60</v>
      </c>
      <c r="G485" s="21">
        <v>99</v>
      </c>
      <c r="H485" s="21"/>
      <c r="I485" s="22">
        <f t="shared" si="7"/>
        <v>749</v>
      </c>
      <c r="J485">
        <f>VLOOKUP(B485,'[1]KT 광점퍼코드(수익률)'!$A$4:$P$243,16,0)</f>
        <v>2564</v>
      </c>
    </row>
    <row r="486" spans="1:10" ht="15.75" hidden="1" customHeight="1">
      <c r="A486" s="23">
        <v>483</v>
      </c>
      <c r="B486" s="24" t="s">
        <v>563</v>
      </c>
      <c r="C486" s="24" t="s">
        <v>564</v>
      </c>
      <c r="D486" s="24"/>
      <c r="E486" s="25">
        <v>20</v>
      </c>
      <c r="F486" s="25">
        <v>14</v>
      </c>
      <c r="G486" s="25">
        <v>66</v>
      </c>
      <c r="H486" s="25"/>
      <c r="I486" s="22">
        <f t="shared" si="7"/>
        <v>100</v>
      </c>
      <c r="J486" t="e">
        <f>VLOOKUP(B486,'[1]KT 광점퍼코드(수익률)'!$A$4:$P$243,16,0)</f>
        <v>#N/A</v>
      </c>
    </row>
    <row r="487" spans="1:10" ht="15.75" hidden="1" customHeight="1">
      <c r="A487" s="19">
        <v>484</v>
      </c>
      <c r="B487" s="20" t="s">
        <v>565</v>
      </c>
      <c r="C487" s="20" t="s">
        <v>566</v>
      </c>
      <c r="D487" s="20"/>
      <c r="E487" s="21">
        <v>50</v>
      </c>
      <c r="F487" s="21">
        <v>31</v>
      </c>
      <c r="G487" s="21">
        <v>50</v>
      </c>
      <c r="H487" s="21"/>
      <c r="I487" s="22">
        <f t="shared" si="7"/>
        <v>131</v>
      </c>
      <c r="J487" t="e">
        <f>VLOOKUP(B487,'[1]KT 광점퍼코드(수익률)'!$A$4:$P$243,16,0)</f>
        <v>#N/A</v>
      </c>
    </row>
    <row r="488" spans="1:10" ht="15.75" customHeight="1">
      <c r="A488" s="23">
        <v>485</v>
      </c>
      <c r="B488" s="24" t="s">
        <v>567</v>
      </c>
      <c r="C488" s="24" t="s">
        <v>568</v>
      </c>
      <c r="D488" s="24" t="s">
        <v>569</v>
      </c>
      <c r="E488" s="25">
        <v>3372</v>
      </c>
      <c r="F488" s="25">
        <v>1542</v>
      </c>
      <c r="G488" s="25">
        <v>2807</v>
      </c>
      <c r="H488" s="25">
        <v>249</v>
      </c>
      <c r="I488" s="22">
        <f t="shared" si="7"/>
        <v>7970</v>
      </c>
      <c r="J488">
        <f>VLOOKUP(B488,'[1]KT 광점퍼코드(수익률)'!$A$4:$P$243,16,0)</f>
        <v>5348</v>
      </c>
    </row>
    <row r="489" spans="1:10" ht="15.75" hidden="1" customHeight="1">
      <c r="A489" s="19">
        <v>486</v>
      </c>
      <c r="B489" s="20" t="s">
        <v>3025</v>
      </c>
      <c r="C489" s="20" t="s">
        <v>568</v>
      </c>
      <c r="D489" s="20" t="s">
        <v>569</v>
      </c>
      <c r="E489" s="21"/>
      <c r="F489" s="21"/>
      <c r="G489" s="21">
        <v>30</v>
      </c>
      <c r="H489" s="21">
        <v>30</v>
      </c>
      <c r="I489" s="22">
        <f t="shared" si="7"/>
        <v>60</v>
      </c>
      <c r="J489" t="e">
        <f>VLOOKUP(B489,'[1]KT 광점퍼코드(수익률)'!$A$4:$P$243,16,0)</f>
        <v>#N/A</v>
      </c>
    </row>
    <row r="490" spans="1:10" ht="15.75" customHeight="1">
      <c r="A490" s="23">
        <v>487</v>
      </c>
      <c r="B490" s="24" t="s">
        <v>570</v>
      </c>
      <c r="C490" s="24" t="s">
        <v>571</v>
      </c>
      <c r="D490" s="24" t="s">
        <v>572</v>
      </c>
      <c r="E490" s="25">
        <v>192</v>
      </c>
      <c r="F490" s="25">
        <v>15</v>
      </c>
      <c r="G490" s="25">
        <v>794</v>
      </c>
      <c r="H490" s="25"/>
      <c r="I490" s="22">
        <f t="shared" si="7"/>
        <v>1001</v>
      </c>
      <c r="J490">
        <f>VLOOKUP(B490,'[1]KT 광점퍼코드(수익률)'!$A$4:$P$243,16,0)</f>
        <v>2969</v>
      </c>
    </row>
    <row r="491" spans="1:10" ht="15.75" customHeight="1">
      <c r="A491" s="19">
        <v>488</v>
      </c>
      <c r="B491" s="20" t="s">
        <v>573</v>
      </c>
      <c r="C491" s="20" t="s">
        <v>574</v>
      </c>
      <c r="D491" s="20" t="s">
        <v>575</v>
      </c>
      <c r="E491" s="21">
        <v>596</v>
      </c>
      <c r="F491" s="21">
        <v>1006</v>
      </c>
      <c r="G491" s="21">
        <v>140</v>
      </c>
      <c r="H491" s="21">
        <v>340</v>
      </c>
      <c r="I491" s="22">
        <f t="shared" si="7"/>
        <v>2082</v>
      </c>
      <c r="J491">
        <f>VLOOKUP(B491,'[1]KT 광점퍼코드(수익률)'!$A$4:$P$243,16,0)</f>
        <v>3000</v>
      </c>
    </row>
    <row r="492" spans="1:10" ht="15.75" customHeight="1">
      <c r="A492" s="23">
        <v>489</v>
      </c>
      <c r="B492" s="24" t="s">
        <v>2461</v>
      </c>
      <c r="C492" s="24" t="s">
        <v>2462</v>
      </c>
      <c r="D492" s="24" t="s">
        <v>2463</v>
      </c>
      <c r="E492" s="25"/>
      <c r="F492" s="25">
        <v>15</v>
      </c>
      <c r="G492" s="25">
        <v>70</v>
      </c>
      <c r="H492" s="25"/>
      <c r="I492" s="22">
        <f t="shared" si="7"/>
        <v>85</v>
      </c>
      <c r="J492">
        <f>VLOOKUP(B492,'[1]KT 광점퍼코드(수익률)'!$A$4:$P$243,16,0)</f>
        <v>1818</v>
      </c>
    </row>
    <row r="493" spans="1:10" ht="15.75" customHeight="1">
      <c r="A493" s="19">
        <v>490</v>
      </c>
      <c r="B493" s="20" t="s">
        <v>576</v>
      </c>
      <c r="C493" s="20" t="s">
        <v>354</v>
      </c>
      <c r="D493" s="20" t="s">
        <v>577</v>
      </c>
      <c r="E493" s="21">
        <v>2090</v>
      </c>
      <c r="F493" s="21">
        <v>1687</v>
      </c>
      <c r="G493" s="21">
        <v>1562</v>
      </c>
      <c r="H493" s="21">
        <v>60</v>
      </c>
      <c r="I493" s="22">
        <f t="shared" si="7"/>
        <v>5399</v>
      </c>
      <c r="J493">
        <f>VLOOKUP(B493,'[1]KT 광점퍼코드(수익률)'!$A$4:$P$243,16,0)</f>
        <v>6191</v>
      </c>
    </row>
    <row r="494" spans="1:10" ht="15.75" customHeight="1">
      <c r="A494" s="23">
        <v>491</v>
      </c>
      <c r="B494" s="24" t="s">
        <v>578</v>
      </c>
      <c r="C494" s="24" t="s">
        <v>579</v>
      </c>
      <c r="D494" s="24" t="s">
        <v>580</v>
      </c>
      <c r="E494" s="25">
        <v>219</v>
      </c>
      <c r="F494" s="25">
        <v>10</v>
      </c>
      <c r="G494" s="25">
        <v>180</v>
      </c>
      <c r="H494" s="25"/>
      <c r="I494" s="22">
        <f t="shared" si="7"/>
        <v>409</v>
      </c>
      <c r="J494">
        <f>VLOOKUP(B494,'[1]KT 광점퍼코드(수익률)'!$A$4:$P$243,16,0)</f>
        <v>3374</v>
      </c>
    </row>
    <row r="495" spans="1:10" ht="15.75" hidden="1" customHeight="1">
      <c r="A495" s="19">
        <v>492</v>
      </c>
      <c r="B495" s="20" t="s">
        <v>2464</v>
      </c>
      <c r="C495" s="20" t="s">
        <v>2465</v>
      </c>
      <c r="D495" s="20"/>
      <c r="E495" s="21"/>
      <c r="F495" s="21">
        <v>81</v>
      </c>
      <c r="G495" s="21"/>
      <c r="H495" s="21"/>
      <c r="I495" s="22">
        <f t="shared" si="7"/>
        <v>81</v>
      </c>
      <c r="J495" t="e">
        <f>VLOOKUP(B495,'[1]KT 광점퍼코드(수익률)'!$A$4:$P$243,16,0)</f>
        <v>#N/A</v>
      </c>
    </row>
    <row r="496" spans="1:10" ht="15.75" hidden="1" customHeight="1">
      <c r="A496" s="23">
        <v>493</v>
      </c>
      <c r="B496" s="24" t="s">
        <v>2466</v>
      </c>
      <c r="C496" s="24" t="s">
        <v>1343</v>
      </c>
      <c r="D496" s="24"/>
      <c r="E496" s="25"/>
      <c r="F496" s="25">
        <v>17</v>
      </c>
      <c r="G496" s="25"/>
      <c r="H496" s="25"/>
      <c r="I496" s="22">
        <f t="shared" si="7"/>
        <v>17</v>
      </c>
      <c r="J496" t="e">
        <f>VLOOKUP(B496,'[1]KT 광점퍼코드(수익률)'!$A$4:$P$243,16,0)</f>
        <v>#N/A</v>
      </c>
    </row>
    <row r="497" spans="1:10" ht="15.75" customHeight="1">
      <c r="A497" s="19">
        <v>494</v>
      </c>
      <c r="B497" s="20" t="s">
        <v>581</v>
      </c>
      <c r="C497" s="20" t="s">
        <v>582</v>
      </c>
      <c r="D497" s="20" t="s">
        <v>583</v>
      </c>
      <c r="E497" s="21">
        <v>1023</v>
      </c>
      <c r="F497" s="21">
        <v>569</v>
      </c>
      <c r="G497" s="21">
        <v>890</v>
      </c>
      <c r="H497" s="21">
        <v>82</v>
      </c>
      <c r="I497" s="22">
        <f t="shared" si="7"/>
        <v>2564</v>
      </c>
      <c r="J497">
        <f>VLOOKUP(B497,'[1]KT 광점퍼코드(수익률)'!$A$4:$P$243,16,0)</f>
        <v>7028</v>
      </c>
    </row>
    <row r="498" spans="1:10" ht="15.75" customHeight="1">
      <c r="A498" s="23">
        <v>495</v>
      </c>
      <c r="B498" s="24" t="s">
        <v>584</v>
      </c>
      <c r="C498" s="24" t="s">
        <v>585</v>
      </c>
      <c r="D498" s="24" t="s">
        <v>586</v>
      </c>
      <c r="E498" s="25">
        <v>5</v>
      </c>
      <c r="F498" s="25"/>
      <c r="G498" s="25">
        <v>221</v>
      </c>
      <c r="H498" s="25"/>
      <c r="I498" s="22">
        <f t="shared" si="7"/>
        <v>226</v>
      </c>
      <c r="J498">
        <f>VLOOKUP(B498,'[1]KT 광점퍼코드(수익률)'!$A$4:$P$243,16,0)</f>
        <v>3748</v>
      </c>
    </row>
    <row r="499" spans="1:10" ht="15.75" customHeight="1">
      <c r="A499" s="19">
        <v>496</v>
      </c>
      <c r="B499" s="20" t="s">
        <v>587</v>
      </c>
      <c r="C499" s="20" t="s">
        <v>588</v>
      </c>
      <c r="D499" s="20" t="s">
        <v>589</v>
      </c>
      <c r="E499" s="21">
        <v>859</v>
      </c>
      <c r="F499" s="21">
        <v>1017</v>
      </c>
      <c r="G499" s="21">
        <v>712</v>
      </c>
      <c r="H499" s="21">
        <v>60</v>
      </c>
      <c r="I499" s="22">
        <f t="shared" si="7"/>
        <v>2648</v>
      </c>
      <c r="J499">
        <f>VLOOKUP(B499,'[1]KT 광점퍼코드(수익률)'!$A$4:$P$243,16,0)</f>
        <v>3168</v>
      </c>
    </row>
    <row r="500" spans="1:10" ht="15.75" customHeight="1">
      <c r="A500" s="23">
        <v>497</v>
      </c>
      <c r="B500" s="24" t="s">
        <v>590</v>
      </c>
      <c r="C500" s="24" t="s">
        <v>591</v>
      </c>
      <c r="D500" s="24" t="s">
        <v>592</v>
      </c>
      <c r="E500" s="25">
        <v>985</v>
      </c>
      <c r="F500" s="25">
        <v>379</v>
      </c>
      <c r="G500" s="25">
        <v>907</v>
      </c>
      <c r="H500" s="25">
        <v>9</v>
      </c>
      <c r="I500" s="22">
        <f t="shared" si="7"/>
        <v>2280</v>
      </c>
      <c r="J500">
        <f>VLOOKUP(B500,'[1]KT 광점퍼코드(수익률)'!$A$4:$P$243,16,0)</f>
        <v>7868</v>
      </c>
    </row>
    <row r="501" spans="1:10" ht="15.75" customHeight="1">
      <c r="A501" s="19">
        <v>498</v>
      </c>
      <c r="B501" s="20" t="s">
        <v>593</v>
      </c>
      <c r="C501" s="20" t="s">
        <v>594</v>
      </c>
      <c r="D501" s="20" t="s">
        <v>595</v>
      </c>
      <c r="E501" s="21">
        <v>8</v>
      </c>
      <c r="F501" s="21">
        <v>10</v>
      </c>
      <c r="G501" s="21">
        <v>161</v>
      </c>
      <c r="H501" s="21"/>
      <c r="I501" s="22">
        <f t="shared" si="7"/>
        <v>179</v>
      </c>
      <c r="J501">
        <f>VLOOKUP(B501,'[1]KT 광점퍼코드(수익률)'!$A$4:$P$243,16,0)</f>
        <v>3779</v>
      </c>
    </row>
    <row r="502" spans="1:10" ht="15.75" customHeight="1">
      <c r="A502" s="23">
        <v>499</v>
      </c>
      <c r="B502" s="24" t="s">
        <v>596</v>
      </c>
      <c r="C502" s="24" t="s">
        <v>597</v>
      </c>
      <c r="D502" s="24" t="s">
        <v>598</v>
      </c>
      <c r="E502" s="25">
        <v>164</v>
      </c>
      <c r="F502" s="25">
        <v>62</v>
      </c>
      <c r="G502" s="25">
        <v>222</v>
      </c>
      <c r="H502" s="25">
        <v>5</v>
      </c>
      <c r="I502" s="22">
        <f t="shared" si="7"/>
        <v>453</v>
      </c>
      <c r="J502">
        <f>VLOOKUP(B502,'[1]KT 광점퍼코드(수익률)'!$A$4:$P$243,16,0)</f>
        <v>7863</v>
      </c>
    </row>
    <row r="503" spans="1:10" ht="15.75" customHeight="1">
      <c r="A503" s="19">
        <v>500</v>
      </c>
      <c r="B503" s="20" t="s">
        <v>599</v>
      </c>
      <c r="C503" s="20" t="s">
        <v>600</v>
      </c>
      <c r="D503" s="20" t="s">
        <v>601</v>
      </c>
      <c r="E503" s="21">
        <v>742</v>
      </c>
      <c r="F503" s="21">
        <v>621</v>
      </c>
      <c r="G503" s="21">
        <v>1368</v>
      </c>
      <c r="H503" s="21">
        <v>324</v>
      </c>
      <c r="I503" s="22">
        <f t="shared" si="7"/>
        <v>3055</v>
      </c>
      <c r="J503">
        <f>VLOOKUP(B503,'[1]KT 광점퍼코드(수익률)'!$A$4:$P$243,16,0)</f>
        <v>3337</v>
      </c>
    </row>
    <row r="504" spans="1:10" ht="15.75" customHeight="1">
      <c r="A504" s="23">
        <v>501</v>
      </c>
      <c r="B504" s="24" t="s">
        <v>602</v>
      </c>
      <c r="C504" s="24" t="s">
        <v>603</v>
      </c>
      <c r="D504" s="24" t="s">
        <v>604</v>
      </c>
      <c r="E504" s="25">
        <v>100</v>
      </c>
      <c r="F504" s="25">
        <v>250</v>
      </c>
      <c r="G504" s="25">
        <v>240</v>
      </c>
      <c r="H504" s="25"/>
      <c r="I504" s="22">
        <f t="shared" si="7"/>
        <v>590</v>
      </c>
      <c r="J504">
        <f>VLOOKUP(B504,'[1]KT 광점퍼코드(수익률)'!$A$4:$P$243,16,0)</f>
        <v>1986</v>
      </c>
    </row>
    <row r="505" spans="1:10" ht="15.75" customHeight="1">
      <c r="A505" s="19">
        <v>502</v>
      </c>
      <c r="B505" s="20" t="s">
        <v>605</v>
      </c>
      <c r="C505" s="20" t="s">
        <v>606</v>
      </c>
      <c r="D505" s="20" t="s">
        <v>607</v>
      </c>
      <c r="E505" s="21">
        <v>77</v>
      </c>
      <c r="F505" s="21">
        <v>69</v>
      </c>
      <c r="G505" s="21">
        <v>374</v>
      </c>
      <c r="H505" s="21"/>
      <c r="I505" s="22">
        <f t="shared" si="7"/>
        <v>520</v>
      </c>
      <c r="J505">
        <f>VLOOKUP(B505,'[1]KT 광점퍼코드(수익률)'!$A$4:$P$243,16,0)</f>
        <v>8619</v>
      </c>
    </row>
    <row r="506" spans="1:10" ht="15.75" customHeight="1">
      <c r="A506" s="23">
        <v>503</v>
      </c>
      <c r="B506" s="24" t="s">
        <v>608</v>
      </c>
      <c r="C506" s="24" t="s">
        <v>609</v>
      </c>
      <c r="D506" s="24" t="s">
        <v>610</v>
      </c>
      <c r="E506" s="25">
        <v>32</v>
      </c>
      <c r="F506" s="25">
        <v>16</v>
      </c>
      <c r="G506" s="25">
        <v>78</v>
      </c>
      <c r="H506" s="25"/>
      <c r="I506" s="22">
        <f t="shared" si="7"/>
        <v>126</v>
      </c>
      <c r="J506">
        <f>VLOOKUP(B506,'[1]KT 광점퍼코드(수익률)'!$A$4:$P$243,16,0)</f>
        <v>10293</v>
      </c>
    </row>
    <row r="507" spans="1:10" ht="15.75" customHeight="1">
      <c r="A507" s="19">
        <v>504</v>
      </c>
      <c r="B507" s="20" t="s">
        <v>3026</v>
      </c>
      <c r="C507" s="20" t="s">
        <v>3027</v>
      </c>
      <c r="D507" s="20" t="s">
        <v>3028</v>
      </c>
      <c r="E507" s="21"/>
      <c r="F507" s="21"/>
      <c r="G507" s="21">
        <v>15</v>
      </c>
      <c r="H507" s="21"/>
      <c r="I507" s="22">
        <f t="shared" si="7"/>
        <v>15</v>
      </c>
      <c r="J507">
        <f>VLOOKUP(B507,'[1]KT 광점퍼코드(수익률)'!$A$4:$P$243,16,0)</f>
        <v>3176</v>
      </c>
    </row>
    <row r="508" spans="1:10" ht="15.75" customHeight="1">
      <c r="A508" s="23">
        <v>505</v>
      </c>
      <c r="B508" s="24" t="s">
        <v>611</v>
      </c>
      <c r="C508" s="24" t="s">
        <v>612</v>
      </c>
      <c r="D508" s="24" t="s">
        <v>613</v>
      </c>
      <c r="E508" s="25">
        <v>64</v>
      </c>
      <c r="F508" s="25">
        <v>86</v>
      </c>
      <c r="G508" s="25">
        <v>235</v>
      </c>
      <c r="H508" s="25"/>
      <c r="I508" s="22">
        <f t="shared" si="7"/>
        <v>385</v>
      </c>
      <c r="J508">
        <f>VLOOKUP(B508,'[1]KT 광점퍼코드(수익률)'!$A$4:$P$243,16,0)</f>
        <v>11124</v>
      </c>
    </row>
    <row r="509" spans="1:10" ht="15.75" customHeight="1">
      <c r="A509" s="19">
        <v>506</v>
      </c>
      <c r="B509" s="20" t="s">
        <v>614</v>
      </c>
      <c r="C509" s="20" t="s">
        <v>615</v>
      </c>
      <c r="D509" s="20" t="s">
        <v>616</v>
      </c>
      <c r="E509" s="21">
        <v>1</v>
      </c>
      <c r="F509" s="21"/>
      <c r="G509" s="21"/>
      <c r="H509" s="21"/>
      <c r="I509" s="22">
        <f t="shared" si="7"/>
        <v>1</v>
      </c>
      <c r="J509">
        <f>VLOOKUP(B509,'[1]KT 광점퍼코드(수익률)'!$A$4:$P$243,16,0)</f>
        <v>5239</v>
      </c>
    </row>
    <row r="510" spans="1:10" ht="15.75" hidden="1" customHeight="1">
      <c r="A510" s="23">
        <v>507</v>
      </c>
      <c r="B510" s="24" t="s">
        <v>617</v>
      </c>
      <c r="C510" s="24" t="s">
        <v>618</v>
      </c>
      <c r="D510" s="24"/>
      <c r="E510" s="25">
        <v>4</v>
      </c>
      <c r="F510" s="25"/>
      <c r="G510" s="25">
        <v>1</v>
      </c>
      <c r="H510" s="25"/>
      <c r="I510" s="22">
        <f t="shared" si="7"/>
        <v>5</v>
      </c>
      <c r="J510" t="e">
        <f>VLOOKUP(B510,'[1]KT 광점퍼코드(수익률)'!$A$4:$P$243,16,0)</f>
        <v>#N/A</v>
      </c>
    </row>
    <row r="511" spans="1:10" ht="15.75" customHeight="1">
      <c r="A511" s="19">
        <v>508</v>
      </c>
      <c r="B511" s="20" t="s">
        <v>619</v>
      </c>
      <c r="C511" s="20" t="s">
        <v>620</v>
      </c>
      <c r="D511" s="20" t="s">
        <v>621</v>
      </c>
      <c r="E511" s="21">
        <v>809</v>
      </c>
      <c r="F511" s="21">
        <v>1272</v>
      </c>
      <c r="G511" s="21">
        <v>852</v>
      </c>
      <c r="H511" s="21">
        <v>349</v>
      </c>
      <c r="I511" s="22">
        <f t="shared" si="7"/>
        <v>3282</v>
      </c>
      <c r="J511">
        <f>VLOOKUP(B511,'[1]KT 광점퍼코드(수익률)'!$A$4:$P$243,16,0)</f>
        <v>3672</v>
      </c>
    </row>
    <row r="512" spans="1:10" ht="15.75" customHeight="1">
      <c r="A512" s="23">
        <v>509</v>
      </c>
      <c r="B512" s="24" t="s">
        <v>622</v>
      </c>
      <c r="C512" s="24" t="s">
        <v>623</v>
      </c>
      <c r="D512" s="24" t="s">
        <v>624</v>
      </c>
      <c r="E512" s="25">
        <v>100</v>
      </c>
      <c r="F512" s="25">
        <v>10</v>
      </c>
      <c r="G512" s="25">
        <v>98</v>
      </c>
      <c r="H512" s="25"/>
      <c r="I512" s="22">
        <f t="shared" si="7"/>
        <v>208</v>
      </c>
      <c r="J512">
        <f>VLOOKUP(B512,'[1]KT 광점퍼코드(수익률)'!$A$4:$P$243,16,0)</f>
        <v>2154</v>
      </c>
    </row>
    <row r="513" spans="1:10" ht="15.75" hidden="1" customHeight="1">
      <c r="A513" s="19">
        <v>510</v>
      </c>
      <c r="B513" s="20" t="s">
        <v>625</v>
      </c>
      <c r="C513" s="20" t="s">
        <v>626</v>
      </c>
      <c r="D513" s="20"/>
      <c r="E513" s="21">
        <v>143</v>
      </c>
      <c r="F513" s="21">
        <v>162</v>
      </c>
      <c r="G513" s="21">
        <v>228</v>
      </c>
      <c r="H513" s="21"/>
      <c r="I513" s="22">
        <f t="shared" si="7"/>
        <v>533</v>
      </c>
      <c r="J513" t="e">
        <f>VLOOKUP(B513,'[1]KT 광점퍼코드(수익률)'!$A$4:$P$243,16,0)</f>
        <v>#N/A</v>
      </c>
    </row>
    <row r="514" spans="1:10" ht="15.75" hidden="1" customHeight="1">
      <c r="A514" s="23">
        <v>511</v>
      </c>
      <c r="B514" s="24" t="s">
        <v>627</v>
      </c>
      <c r="C514" s="24" t="s">
        <v>628</v>
      </c>
      <c r="D514" s="24"/>
      <c r="E514" s="25">
        <v>20</v>
      </c>
      <c r="F514" s="25">
        <v>54</v>
      </c>
      <c r="G514" s="25">
        <v>247</v>
      </c>
      <c r="H514" s="25"/>
      <c r="I514" s="22">
        <f t="shared" si="7"/>
        <v>321</v>
      </c>
      <c r="J514" t="e">
        <f>VLOOKUP(B514,'[1]KT 광점퍼코드(수익률)'!$A$4:$P$243,16,0)</f>
        <v>#N/A</v>
      </c>
    </row>
    <row r="515" spans="1:10" ht="15.75" hidden="1" customHeight="1">
      <c r="A515" s="19">
        <v>512</v>
      </c>
      <c r="B515" s="20" t="s">
        <v>629</v>
      </c>
      <c r="C515" s="20" t="s">
        <v>630</v>
      </c>
      <c r="D515" s="20"/>
      <c r="E515" s="21">
        <v>12</v>
      </c>
      <c r="F515" s="21"/>
      <c r="G515" s="21"/>
      <c r="H515" s="21"/>
      <c r="I515" s="22">
        <f t="shared" si="7"/>
        <v>12</v>
      </c>
      <c r="J515" t="e">
        <f>VLOOKUP(B515,'[1]KT 광점퍼코드(수익률)'!$A$4:$P$243,16,0)</f>
        <v>#N/A</v>
      </c>
    </row>
    <row r="516" spans="1:10" ht="15.75" hidden="1" customHeight="1">
      <c r="A516" s="23">
        <v>513</v>
      </c>
      <c r="B516" s="24" t="s">
        <v>2467</v>
      </c>
      <c r="C516" s="24" t="s">
        <v>2468</v>
      </c>
      <c r="D516" s="24"/>
      <c r="E516" s="25"/>
      <c r="F516" s="25">
        <v>1</v>
      </c>
      <c r="G516" s="25"/>
      <c r="H516" s="25"/>
      <c r="I516" s="22">
        <f t="shared" ref="I516:I579" si="8">SUM(E516:H516)</f>
        <v>1</v>
      </c>
      <c r="J516" t="e">
        <f>VLOOKUP(B516,'[1]KT 광점퍼코드(수익률)'!$A$4:$P$243,16,0)</f>
        <v>#N/A</v>
      </c>
    </row>
    <row r="517" spans="1:10" ht="15.75" hidden="1" customHeight="1">
      <c r="A517" s="19">
        <v>514</v>
      </c>
      <c r="B517" s="20" t="s">
        <v>2469</v>
      </c>
      <c r="C517" s="20" t="s">
        <v>2470</v>
      </c>
      <c r="D517" s="20"/>
      <c r="E517" s="21"/>
      <c r="F517" s="21">
        <v>50</v>
      </c>
      <c r="G517" s="21"/>
      <c r="H517" s="21"/>
      <c r="I517" s="22">
        <f t="shared" si="8"/>
        <v>50</v>
      </c>
      <c r="J517" t="e">
        <f>VLOOKUP(B517,'[1]KT 광점퍼코드(수익률)'!$A$4:$P$243,16,0)</f>
        <v>#N/A</v>
      </c>
    </row>
    <row r="518" spans="1:10" ht="15.75" customHeight="1">
      <c r="A518" s="23">
        <v>515</v>
      </c>
      <c r="B518" s="24" t="s">
        <v>631</v>
      </c>
      <c r="C518" s="24" t="s">
        <v>632</v>
      </c>
      <c r="D518" s="24" t="s">
        <v>633</v>
      </c>
      <c r="E518" s="25">
        <v>28</v>
      </c>
      <c r="F518" s="25">
        <v>50</v>
      </c>
      <c r="G518" s="25">
        <v>100</v>
      </c>
      <c r="H518" s="25"/>
      <c r="I518" s="22">
        <f t="shared" si="8"/>
        <v>178</v>
      </c>
      <c r="J518">
        <f>VLOOKUP(B518,'[1]KT 광점퍼코드(수익률)'!$A$4:$P$243,16,0)</f>
        <v>4105</v>
      </c>
    </row>
    <row r="519" spans="1:10" ht="15.75" customHeight="1">
      <c r="A519" s="19">
        <v>516</v>
      </c>
      <c r="B519" s="20" t="s">
        <v>634</v>
      </c>
      <c r="C519" s="20" t="s">
        <v>635</v>
      </c>
      <c r="D519" s="20" t="s">
        <v>636</v>
      </c>
      <c r="E519" s="21">
        <v>60</v>
      </c>
      <c r="F519" s="21"/>
      <c r="G519" s="21">
        <v>80</v>
      </c>
      <c r="H519" s="21"/>
      <c r="I519" s="22">
        <f t="shared" si="8"/>
        <v>140</v>
      </c>
      <c r="J519">
        <f>VLOOKUP(B519,'[1]KT 광점퍼코드(수익률)'!$A$4:$P$243,16,0)</f>
        <v>4478</v>
      </c>
    </row>
    <row r="520" spans="1:10" ht="15.75" customHeight="1">
      <c r="A520" s="23">
        <v>517</v>
      </c>
      <c r="B520" s="24" t="s">
        <v>637</v>
      </c>
      <c r="C520" s="24" t="s">
        <v>638</v>
      </c>
      <c r="D520" s="24" t="s">
        <v>639</v>
      </c>
      <c r="E520" s="25">
        <v>22</v>
      </c>
      <c r="F520" s="25">
        <v>50</v>
      </c>
      <c r="G520" s="25"/>
      <c r="H520" s="25"/>
      <c r="I520" s="22">
        <f t="shared" si="8"/>
        <v>72</v>
      </c>
      <c r="J520">
        <f>VLOOKUP(B520,'[1]KT 광점퍼코드(수익률)'!$A$4:$P$243,16,0)</f>
        <v>5153</v>
      </c>
    </row>
    <row r="521" spans="1:10" ht="15.75" customHeight="1">
      <c r="A521" s="19">
        <v>518</v>
      </c>
      <c r="B521" s="20" t="s">
        <v>640</v>
      </c>
      <c r="C521" s="20" t="s">
        <v>641</v>
      </c>
      <c r="D521" s="20" t="s">
        <v>642</v>
      </c>
      <c r="E521" s="21">
        <v>47</v>
      </c>
      <c r="F521" s="21">
        <v>50</v>
      </c>
      <c r="G521" s="21"/>
      <c r="H521" s="21"/>
      <c r="I521" s="22">
        <f t="shared" si="8"/>
        <v>97</v>
      </c>
      <c r="J521">
        <f>VLOOKUP(B521,'[1]KT 광점퍼코드(수익률)'!$A$4:$P$243,16,0)</f>
        <v>5827</v>
      </c>
    </row>
    <row r="522" spans="1:10" ht="15.75" customHeight="1">
      <c r="A522" s="23">
        <v>519</v>
      </c>
      <c r="B522" s="24" t="s">
        <v>643</v>
      </c>
      <c r="C522" s="24" t="s">
        <v>644</v>
      </c>
      <c r="D522" s="24" t="s">
        <v>645</v>
      </c>
      <c r="E522" s="25">
        <v>12</v>
      </c>
      <c r="F522" s="25">
        <v>128</v>
      </c>
      <c r="G522" s="25">
        <v>100</v>
      </c>
      <c r="H522" s="25"/>
      <c r="I522" s="22">
        <f t="shared" si="8"/>
        <v>240</v>
      </c>
      <c r="J522">
        <f>VLOOKUP(B522,'[1]KT 광점퍼코드(수익률)'!$A$4:$P$243,16,0)</f>
        <v>2938</v>
      </c>
    </row>
    <row r="523" spans="1:10" ht="15.75" customHeight="1">
      <c r="A523" s="19">
        <v>520</v>
      </c>
      <c r="B523" s="20" t="s">
        <v>646</v>
      </c>
      <c r="C523" s="20" t="s">
        <v>647</v>
      </c>
      <c r="D523" s="20" t="s">
        <v>648</v>
      </c>
      <c r="E523" s="21">
        <v>10</v>
      </c>
      <c r="F523" s="21"/>
      <c r="G523" s="21">
        <v>2</v>
      </c>
      <c r="H523" s="21"/>
      <c r="I523" s="22">
        <f t="shared" si="8"/>
        <v>12</v>
      </c>
      <c r="J523">
        <f>VLOOKUP(B523,'[1]KT 광점퍼코드(수익률)'!$A$4:$P$243,16,0)</f>
        <v>6502</v>
      </c>
    </row>
    <row r="524" spans="1:10" ht="15.75" customHeight="1">
      <c r="A524" s="23">
        <v>521</v>
      </c>
      <c r="B524" s="24" t="s">
        <v>649</v>
      </c>
      <c r="C524" s="24" t="s">
        <v>650</v>
      </c>
      <c r="D524" s="24" t="s">
        <v>651</v>
      </c>
      <c r="E524" s="25">
        <v>36</v>
      </c>
      <c r="F524" s="25"/>
      <c r="G524" s="25">
        <v>20</v>
      </c>
      <c r="H524" s="25"/>
      <c r="I524" s="22">
        <f t="shared" si="8"/>
        <v>56</v>
      </c>
      <c r="J524">
        <f>VLOOKUP(B524,'[1]KT 광점퍼코드(수익률)'!$A$4:$P$243,16,0)</f>
        <v>7177</v>
      </c>
    </row>
    <row r="525" spans="1:10" ht="15.75" customHeight="1">
      <c r="A525" s="19">
        <v>522</v>
      </c>
      <c r="B525" s="20" t="s">
        <v>652</v>
      </c>
      <c r="C525" s="20" t="s">
        <v>653</v>
      </c>
      <c r="D525" s="20" t="s">
        <v>654</v>
      </c>
      <c r="E525" s="21">
        <v>135</v>
      </c>
      <c r="F525" s="21">
        <v>184</v>
      </c>
      <c r="G525" s="21">
        <v>4</v>
      </c>
      <c r="H525" s="21"/>
      <c r="I525" s="22">
        <f t="shared" si="8"/>
        <v>323</v>
      </c>
      <c r="J525">
        <f>VLOOKUP(B525,'[1]KT 광점퍼코드(수익률)'!$A$4:$P$243,16,0)</f>
        <v>3083</v>
      </c>
    </row>
    <row r="526" spans="1:10" ht="15.75" customHeight="1">
      <c r="A526" s="23">
        <v>523</v>
      </c>
      <c r="B526" s="24" t="s">
        <v>655</v>
      </c>
      <c r="C526" s="24" t="s">
        <v>656</v>
      </c>
      <c r="D526" s="24" t="s">
        <v>657</v>
      </c>
      <c r="E526" s="25">
        <v>8</v>
      </c>
      <c r="F526" s="25"/>
      <c r="G526" s="25"/>
      <c r="H526" s="25"/>
      <c r="I526" s="22">
        <f t="shared" si="8"/>
        <v>8</v>
      </c>
      <c r="J526">
        <f>VLOOKUP(B526,'[1]KT 광점퍼코드(수익률)'!$A$4:$P$243,16,0)</f>
        <v>7851</v>
      </c>
    </row>
    <row r="527" spans="1:10" ht="15.75" customHeight="1">
      <c r="A527" s="19">
        <v>524</v>
      </c>
      <c r="B527" s="20" t="s">
        <v>2471</v>
      </c>
      <c r="C527" s="20" t="s">
        <v>2472</v>
      </c>
      <c r="D527" s="20" t="s">
        <v>2473</v>
      </c>
      <c r="E527" s="21"/>
      <c r="F527" s="21">
        <v>16</v>
      </c>
      <c r="G527" s="21">
        <v>2</v>
      </c>
      <c r="H527" s="21"/>
      <c r="I527" s="22">
        <f t="shared" si="8"/>
        <v>18</v>
      </c>
      <c r="J527">
        <f>VLOOKUP(B527,'[1]KT 광점퍼코드(수익률)'!$A$4:$P$243,16,0)</f>
        <v>3130</v>
      </c>
    </row>
    <row r="528" spans="1:10" ht="15.75" hidden="1" customHeight="1">
      <c r="A528" s="23">
        <v>525</v>
      </c>
      <c r="B528" s="24" t="s">
        <v>3029</v>
      </c>
      <c r="C528" s="24" t="s">
        <v>3030</v>
      </c>
      <c r="D528" s="24"/>
      <c r="E528" s="25"/>
      <c r="F528" s="25"/>
      <c r="G528" s="25">
        <v>4</v>
      </c>
      <c r="H528" s="25"/>
      <c r="I528" s="22">
        <f t="shared" si="8"/>
        <v>4</v>
      </c>
      <c r="J528" t="e">
        <f>VLOOKUP(B528,'[1]KT 광점퍼코드(수익률)'!$A$4:$P$243,16,0)</f>
        <v>#N/A</v>
      </c>
    </row>
    <row r="529" spans="1:10" ht="15.75" hidden="1" customHeight="1">
      <c r="A529" s="19">
        <v>526</v>
      </c>
      <c r="B529" s="20" t="s">
        <v>658</v>
      </c>
      <c r="C529" s="20" t="s">
        <v>659</v>
      </c>
      <c r="D529" s="20"/>
      <c r="E529" s="21">
        <v>3</v>
      </c>
      <c r="F529" s="21"/>
      <c r="G529" s="21"/>
      <c r="H529" s="21"/>
      <c r="I529" s="22">
        <f t="shared" si="8"/>
        <v>3</v>
      </c>
      <c r="J529" t="e">
        <f>VLOOKUP(B529,'[1]KT 광점퍼코드(수익률)'!$A$4:$P$243,16,0)</f>
        <v>#N/A</v>
      </c>
    </row>
    <row r="530" spans="1:10" ht="15.75" hidden="1" customHeight="1">
      <c r="A530" s="23">
        <v>527</v>
      </c>
      <c r="B530" s="24" t="s">
        <v>2474</v>
      </c>
      <c r="C530" s="24" t="s">
        <v>2475</v>
      </c>
      <c r="D530" s="24"/>
      <c r="E530" s="25"/>
      <c r="F530" s="25">
        <v>146</v>
      </c>
      <c r="G530" s="25">
        <v>6</v>
      </c>
      <c r="H530" s="25">
        <v>10</v>
      </c>
      <c r="I530" s="22">
        <f t="shared" si="8"/>
        <v>162</v>
      </c>
      <c r="J530" t="e">
        <f>VLOOKUP(B530,'[1]KT 광점퍼코드(수익률)'!$A$4:$P$243,16,0)</f>
        <v>#N/A</v>
      </c>
    </row>
    <row r="531" spans="1:10" ht="15.75" customHeight="1">
      <c r="A531" s="19">
        <v>528</v>
      </c>
      <c r="B531" s="20" t="s">
        <v>660</v>
      </c>
      <c r="C531" s="20" t="s">
        <v>661</v>
      </c>
      <c r="D531" s="20" t="s">
        <v>662</v>
      </c>
      <c r="E531" s="21">
        <v>11</v>
      </c>
      <c r="F531" s="21">
        <v>12</v>
      </c>
      <c r="G531" s="21">
        <v>8</v>
      </c>
      <c r="H531" s="21"/>
      <c r="I531" s="22">
        <f t="shared" si="8"/>
        <v>31</v>
      </c>
      <c r="J531">
        <f>VLOOKUP(B531,'[1]KT 광점퍼코드(수익률)'!$A$4:$P$243,16,0)</f>
        <v>1637</v>
      </c>
    </row>
    <row r="532" spans="1:10" ht="15.75" customHeight="1">
      <c r="A532" s="23">
        <v>529</v>
      </c>
      <c r="B532" s="24" t="s">
        <v>663</v>
      </c>
      <c r="C532" s="24" t="s">
        <v>367</v>
      </c>
      <c r="D532" s="24" t="s">
        <v>664</v>
      </c>
      <c r="E532" s="25">
        <v>3282</v>
      </c>
      <c r="F532" s="25">
        <v>6947</v>
      </c>
      <c r="G532" s="25">
        <v>3073</v>
      </c>
      <c r="H532" s="25">
        <v>751</v>
      </c>
      <c r="I532" s="22">
        <f t="shared" si="8"/>
        <v>14053</v>
      </c>
      <c r="J532">
        <f>VLOOKUP(B532,'[1]KT 광점퍼코드(수익률)'!$A$4:$P$243,16,0)</f>
        <v>4784</v>
      </c>
    </row>
    <row r="533" spans="1:10" ht="15.75" customHeight="1">
      <c r="A533" s="19">
        <v>530</v>
      </c>
      <c r="B533" s="20" t="s">
        <v>665</v>
      </c>
      <c r="C533" s="20" t="s">
        <v>666</v>
      </c>
      <c r="D533" s="20" t="s">
        <v>667</v>
      </c>
      <c r="E533" s="21">
        <v>951</v>
      </c>
      <c r="F533" s="21">
        <v>771</v>
      </c>
      <c r="G533" s="21">
        <v>1814</v>
      </c>
      <c r="H533" s="21">
        <v>795</v>
      </c>
      <c r="I533" s="22">
        <f t="shared" si="8"/>
        <v>4331</v>
      </c>
      <c r="J533">
        <f>VLOOKUP(B533,'[1]KT 광점퍼코드(수익률)'!$A$4:$P$243,16,0)</f>
        <v>2220</v>
      </c>
    </row>
    <row r="534" spans="1:10" ht="15.75" hidden="1" customHeight="1">
      <c r="A534" s="23">
        <v>531</v>
      </c>
      <c r="B534" s="24" t="s">
        <v>3454</v>
      </c>
      <c r="C534" s="24" t="s">
        <v>666</v>
      </c>
      <c r="D534" s="24" t="s">
        <v>3145</v>
      </c>
      <c r="E534" s="25"/>
      <c r="F534" s="25"/>
      <c r="G534" s="25"/>
      <c r="H534" s="25">
        <v>100</v>
      </c>
      <c r="I534" s="22">
        <f t="shared" si="8"/>
        <v>100</v>
      </c>
      <c r="J534" t="e">
        <f>VLOOKUP(B534,'[1]KT 광점퍼코드(수익률)'!$A$4:$P$243,16,0)</f>
        <v>#N/A</v>
      </c>
    </row>
    <row r="535" spans="1:10" ht="15.75" hidden="1" customHeight="1">
      <c r="A535" s="19">
        <v>532</v>
      </c>
      <c r="B535" s="20" t="s">
        <v>668</v>
      </c>
      <c r="C535" s="20" t="s">
        <v>669</v>
      </c>
      <c r="D535" s="20"/>
      <c r="E535" s="21">
        <v>50</v>
      </c>
      <c r="F535" s="21"/>
      <c r="G535" s="21">
        <v>6</v>
      </c>
      <c r="H535" s="21"/>
      <c r="I535" s="22">
        <f t="shared" si="8"/>
        <v>56</v>
      </c>
      <c r="J535" t="e">
        <f>VLOOKUP(B535,'[1]KT 광점퍼코드(수익률)'!$A$4:$P$243,16,0)</f>
        <v>#N/A</v>
      </c>
    </row>
    <row r="536" spans="1:10" ht="15.75" hidden="1" customHeight="1">
      <c r="A536" s="23">
        <v>533</v>
      </c>
      <c r="B536" s="24" t="s">
        <v>2476</v>
      </c>
      <c r="C536" s="24" t="s">
        <v>2477</v>
      </c>
      <c r="D536" s="24"/>
      <c r="E536" s="25"/>
      <c r="F536" s="25">
        <v>14</v>
      </c>
      <c r="G536" s="25">
        <v>25</v>
      </c>
      <c r="H536" s="25"/>
      <c r="I536" s="22">
        <f t="shared" si="8"/>
        <v>39</v>
      </c>
      <c r="J536" t="e">
        <f>VLOOKUP(B536,'[1]KT 광점퍼코드(수익률)'!$A$4:$P$243,16,0)</f>
        <v>#N/A</v>
      </c>
    </row>
    <row r="537" spans="1:10" ht="15.75" hidden="1" customHeight="1">
      <c r="A537" s="19">
        <v>534</v>
      </c>
      <c r="B537" s="20" t="s">
        <v>670</v>
      </c>
      <c r="C537" s="20" t="s">
        <v>671</v>
      </c>
      <c r="D537" s="20"/>
      <c r="E537" s="21">
        <v>50</v>
      </c>
      <c r="F537" s="21"/>
      <c r="G537" s="21"/>
      <c r="H537" s="21"/>
      <c r="I537" s="22">
        <f t="shared" si="8"/>
        <v>50</v>
      </c>
      <c r="J537" t="e">
        <f>VLOOKUP(B537,'[1]KT 광점퍼코드(수익률)'!$A$4:$P$243,16,0)</f>
        <v>#N/A</v>
      </c>
    </row>
    <row r="538" spans="1:10" ht="15.75" hidden="1" customHeight="1">
      <c r="A538" s="23">
        <v>535</v>
      </c>
      <c r="B538" s="24" t="s">
        <v>3031</v>
      </c>
      <c r="C538" s="24" t="s">
        <v>3032</v>
      </c>
      <c r="D538" s="24"/>
      <c r="E538" s="25"/>
      <c r="F538" s="25"/>
      <c r="G538" s="25">
        <v>100</v>
      </c>
      <c r="H538" s="25"/>
      <c r="I538" s="22">
        <f t="shared" si="8"/>
        <v>100</v>
      </c>
      <c r="J538" t="e">
        <f>VLOOKUP(B538,'[1]KT 광점퍼코드(수익률)'!$A$4:$P$243,16,0)</f>
        <v>#N/A</v>
      </c>
    </row>
    <row r="539" spans="1:10" ht="15.75" customHeight="1">
      <c r="A539" s="19">
        <v>536</v>
      </c>
      <c r="B539" s="20" t="s">
        <v>672</v>
      </c>
      <c r="C539" s="20" t="s">
        <v>673</v>
      </c>
      <c r="D539" s="20" t="s">
        <v>674</v>
      </c>
      <c r="E539" s="21">
        <v>60</v>
      </c>
      <c r="F539" s="21"/>
      <c r="G539" s="21"/>
      <c r="H539" s="21"/>
      <c r="I539" s="22">
        <f t="shared" si="8"/>
        <v>60</v>
      </c>
      <c r="J539">
        <f>VLOOKUP(B539,'[1]KT 광점퍼코드(수익률)'!$A$4:$P$243,16,0)</f>
        <v>1930</v>
      </c>
    </row>
    <row r="540" spans="1:10" ht="15.75" customHeight="1">
      <c r="A540" s="23">
        <v>537</v>
      </c>
      <c r="B540" s="24" t="s">
        <v>675</v>
      </c>
      <c r="C540" s="24" t="s">
        <v>370</v>
      </c>
      <c r="D540" s="24" t="s">
        <v>676</v>
      </c>
      <c r="E540" s="25">
        <v>2747</v>
      </c>
      <c r="F540" s="25">
        <v>5507</v>
      </c>
      <c r="G540" s="25">
        <v>897</v>
      </c>
      <c r="H540" s="25">
        <v>384</v>
      </c>
      <c r="I540" s="22">
        <f t="shared" si="8"/>
        <v>9535</v>
      </c>
      <c r="J540">
        <f>VLOOKUP(B540,'[1]KT 광점퍼코드(수익률)'!$A$4:$P$243,16,0)</f>
        <v>5689</v>
      </c>
    </row>
    <row r="541" spans="1:10" ht="15.75" customHeight="1">
      <c r="A541" s="19">
        <v>538</v>
      </c>
      <c r="B541" s="20" t="s">
        <v>677</v>
      </c>
      <c r="C541" s="20" t="s">
        <v>678</v>
      </c>
      <c r="D541" s="20" t="s">
        <v>679</v>
      </c>
      <c r="E541" s="21">
        <v>979</v>
      </c>
      <c r="F541" s="21">
        <v>900</v>
      </c>
      <c r="G541" s="21">
        <v>2582</v>
      </c>
      <c r="H541" s="21">
        <v>384</v>
      </c>
      <c r="I541" s="22">
        <f t="shared" si="8"/>
        <v>4845</v>
      </c>
      <c r="J541">
        <f>VLOOKUP(B541,'[1]KT 광점퍼코드(수익률)'!$A$4:$P$243,16,0)</f>
        <v>2623</v>
      </c>
    </row>
    <row r="542" spans="1:10" ht="15.75" hidden="1" customHeight="1">
      <c r="A542" s="23">
        <v>539</v>
      </c>
      <c r="B542" s="24" t="s">
        <v>2478</v>
      </c>
      <c r="C542" s="24" t="s">
        <v>2479</v>
      </c>
      <c r="D542" s="24"/>
      <c r="E542" s="25"/>
      <c r="F542" s="25">
        <v>4</v>
      </c>
      <c r="G542" s="25"/>
      <c r="H542" s="25"/>
      <c r="I542" s="22">
        <f t="shared" si="8"/>
        <v>4</v>
      </c>
      <c r="J542" t="e">
        <f>VLOOKUP(B542,'[1]KT 광점퍼코드(수익률)'!$A$4:$P$243,16,0)</f>
        <v>#N/A</v>
      </c>
    </row>
    <row r="543" spans="1:10" ht="15.75" hidden="1" customHeight="1">
      <c r="A543" s="19">
        <v>540</v>
      </c>
      <c r="B543" s="20" t="s">
        <v>2480</v>
      </c>
      <c r="C543" s="20" t="s">
        <v>2481</v>
      </c>
      <c r="D543" s="20"/>
      <c r="E543" s="21"/>
      <c r="F543" s="21">
        <v>3</v>
      </c>
      <c r="G543" s="21"/>
      <c r="H543" s="21"/>
      <c r="I543" s="22">
        <f t="shared" si="8"/>
        <v>3</v>
      </c>
      <c r="J543" t="e">
        <f>VLOOKUP(B543,'[1]KT 광점퍼코드(수익률)'!$A$4:$P$243,16,0)</f>
        <v>#N/A</v>
      </c>
    </row>
    <row r="544" spans="1:10" ht="15.75" hidden="1" customHeight="1">
      <c r="A544" s="23">
        <v>541</v>
      </c>
      <c r="B544" s="24" t="s">
        <v>2482</v>
      </c>
      <c r="C544" s="24" t="s">
        <v>2483</v>
      </c>
      <c r="D544" s="24"/>
      <c r="E544" s="25"/>
      <c r="F544" s="25">
        <v>100</v>
      </c>
      <c r="G544" s="25"/>
      <c r="H544" s="25"/>
      <c r="I544" s="22">
        <f t="shared" si="8"/>
        <v>100</v>
      </c>
      <c r="J544" t="e">
        <f>VLOOKUP(B544,'[1]KT 광점퍼코드(수익률)'!$A$4:$P$243,16,0)</f>
        <v>#N/A</v>
      </c>
    </row>
    <row r="545" spans="1:10" ht="15.75" customHeight="1">
      <c r="A545" s="19">
        <v>542</v>
      </c>
      <c r="B545" s="20" t="s">
        <v>680</v>
      </c>
      <c r="C545" s="20" t="s">
        <v>681</v>
      </c>
      <c r="D545" s="20" t="s">
        <v>682</v>
      </c>
      <c r="E545" s="21">
        <v>2101</v>
      </c>
      <c r="F545" s="21">
        <v>1300</v>
      </c>
      <c r="G545" s="21">
        <v>1235</v>
      </c>
      <c r="H545" s="21">
        <v>671</v>
      </c>
      <c r="I545" s="22">
        <f t="shared" si="8"/>
        <v>5307</v>
      </c>
      <c r="J545">
        <f>VLOOKUP(B545,'[1]KT 광점퍼코드(수익률)'!$A$4:$P$243,16,0)</f>
        <v>2920</v>
      </c>
    </row>
    <row r="546" spans="1:10" ht="15.75" customHeight="1">
      <c r="A546" s="23">
        <v>543</v>
      </c>
      <c r="B546" s="24" t="s">
        <v>683</v>
      </c>
      <c r="C546" s="24" t="s">
        <v>684</v>
      </c>
      <c r="D546" s="24" t="s">
        <v>685</v>
      </c>
      <c r="E546" s="25">
        <v>3093</v>
      </c>
      <c r="F546" s="25">
        <v>3422</v>
      </c>
      <c r="G546" s="25">
        <v>4546</v>
      </c>
      <c r="H546" s="25">
        <v>1178</v>
      </c>
      <c r="I546" s="22">
        <f t="shared" si="8"/>
        <v>12239</v>
      </c>
      <c r="J546">
        <f>VLOOKUP(B546,'[1]KT 광점퍼코드(수익률)'!$A$4:$P$243,16,0)</f>
        <v>1469</v>
      </c>
    </row>
    <row r="547" spans="1:10" ht="15.75" hidden="1" customHeight="1">
      <c r="A547" s="19">
        <v>544</v>
      </c>
      <c r="B547" s="20" t="s">
        <v>2484</v>
      </c>
      <c r="C547" s="20" t="s">
        <v>2485</v>
      </c>
      <c r="D547" s="20"/>
      <c r="E547" s="21"/>
      <c r="F547" s="21">
        <v>50</v>
      </c>
      <c r="G547" s="21"/>
      <c r="H547" s="21"/>
      <c r="I547" s="22">
        <f t="shared" si="8"/>
        <v>50</v>
      </c>
      <c r="J547" t="e">
        <f>VLOOKUP(B547,'[1]KT 광점퍼코드(수익률)'!$A$4:$P$243,16,0)</f>
        <v>#N/A</v>
      </c>
    </row>
    <row r="548" spans="1:10" ht="15.75" customHeight="1">
      <c r="A548" s="23">
        <v>545</v>
      </c>
      <c r="B548" s="24" t="s">
        <v>686</v>
      </c>
      <c r="C548" s="24" t="s">
        <v>687</v>
      </c>
      <c r="D548" s="24" t="s">
        <v>688</v>
      </c>
      <c r="E548" s="25">
        <v>50</v>
      </c>
      <c r="F548" s="25"/>
      <c r="G548" s="25"/>
      <c r="H548" s="25"/>
      <c r="I548" s="22">
        <f t="shared" si="8"/>
        <v>50</v>
      </c>
      <c r="J548">
        <f>VLOOKUP(B548,'[1]KT 광점퍼코드(수익률)'!$A$4:$P$243,16,0)</f>
        <v>2221</v>
      </c>
    </row>
    <row r="549" spans="1:10" ht="15.75" customHeight="1">
      <c r="A549" s="19">
        <v>546</v>
      </c>
      <c r="B549" s="20" t="s">
        <v>689</v>
      </c>
      <c r="C549" s="20" t="s">
        <v>351</v>
      </c>
      <c r="D549" s="20" t="s">
        <v>690</v>
      </c>
      <c r="E549" s="21">
        <v>2536</v>
      </c>
      <c r="F549" s="21">
        <v>2431</v>
      </c>
      <c r="G549" s="21">
        <v>2486</v>
      </c>
      <c r="H549" s="21">
        <v>655</v>
      </c>
      <c r="I549" s="22">
        <f t="shared" si="8"/>
        <v>8108</v>
      </c>
      <c r="J549">
        <f>VLOOKUP(B549,'[1]KT 광점퍼코드(수익률)'!$A$4:$P$243,16,0)</f>
        <v>6110</v>
      </c>
    </row>
    <row r="550" spans="1:10" ht="15.75" customHeight="1">
      <c r="A550" s="23">
        <v>547</v>
      </c>
      <c r="B550" s="24" t="s">
        <v>691</v>
      </c>
      <c r="C550" s="24" t="s">
        <v>692</v>
      </c>
      <c r="D550" s="24" t="s">
        <v>693</v>
      </c>
      <c r="E550" s="25">
        <v>909</v>
      </c>
      <c r="F550" s="25">
        <v>1309</v>
      </c>
      <c r="G550" s="25">
        <v>1462</v>
      </c>
      <c r="H550" s="25">
        <v>319</v>
      </c>
      <c r="I550" s="22">
        <f t="shared" si="8"/>
        <v>3999</v>
      </c>
      <c r="J550">
        <f>VLOOKUP(B550,'[1]KT 광점퍼코드(수익률)'!$A$4:$P$243,16,0)</f>
        <v>3030</v>
      </c>
    </row>
    <row r="551" spans="1:10" ht="15.75" hidden="1" customHeight="1">
      <c r="A551" s="19">
        <v>548</v>
      </c>
      <c r="B551" s="20" t="s">
        <v>2486</v>
      </c>
      <c r="C551" s="20" t="s">
        <v>2487</v>
      </c>
      <c r="D551" s="20"/>
      <c r="E551" s="21"/>
      <c r="F551" s="21">
        <v>22</v>
      </c>
      <c r="G551" s="21"/>
      <c r="H551" s="21"/>
      <c r="I551" s="22">
        <f t="shared" si="8"/>
        <v>22</v>
      </c>
      <c r="J551" t="e">
        <f>VLOOKUP(B551,'[1]KT 광점퍼코드(수익률)'!$A$4:$P$243,16,0)</f>
        <v>#N/A</v>
      </c>
    </row>
    <row r="552" spans="1:10" ht="15.75" customHeight="1">
      <c r="A552" s="23">
        <v>549</v>
      </c>
      <c r="B552" s="24" t="s">
        <v>694</v>
      </c>
      <c r="C552" s="24" t="s">
        <v>357</v>
      </c>
      <c r="D552" s="24" t="s">
        <v>695</v>
      </c>
      <c r="E552" s="25">
        <v>1545</v>
      </c>
      <c r="F552" s="25">
        <v>1499</v>
      </c>
      <c r="G552" s="25">
        <v>1425</v>
      </c>
      <c r="H552" s="25">
        <v>302</v>
      </c>
      <c r="I552" s="22">
        <f t="shared" si="8"/>
        <v>4771</v>
      </c>
      <c r="J552">
        <f>VLOOKUP(B552,'[1]KT 광점퍼코드(수익률)'!$A$4:$P$243,16,0)</f>
        <v>7494</v>
      </c>
    </row>
    <row r="553" spans="1:10" ht="15.75" customHeight="1">
      <c r="A553" s="19">
        <v>550</v>
      </c>
      <c r="B553" s="20" t="s">
        <v>696</v>
      </c>
      <c r="C553" s="20" t="s">
        <v>697</v>
      </c>
      <c r="D553" s="20" t="s">
        <v>698</v>
      </c>
      <c r="E553" s="21">
        <v>1851</v>
      </c>
      <c r="F553" s="21">
        <v>2333</v>
      </c>
      <c r="G553" s="21">
        <v>802</v>
      </c>
      <c r="H553" s="21">
        <v>128</v>
      </c>
      <c r="I553" s="22">
        <f t="shared" si="8"/>
        <v>5114</v>
      </c>
      <c r="J553">
        <f>VLOOKUP(B553,'[1]KT 광점퍼코드(수익률)'!$A$4:$P$243,16,0)</f>
        <v>3403</v>
      </c>
    </row>
    <row r="554" spans="1:10" ht="15.75" hidden="1" customHeight="1">
      <c r="A554" s="23">
        <v>551</v>
      </c>
      <c r="B554" s="24" t="s">
        <v>3033</v>
      </c>
      <c r="C554" s="24" t="s">
        <v>2681</v>
      </c>
      <c r="D554" s="24"/>
      <c r="E554" s="25"/>
      <c r="F554" s="25"/>
      <c r="G554" s="25">
        <v>12</v>
      </c>
      <c r="H554" s="25"/>
      <c r="I554" s="22">
        <f t="shared" si="8"/>
        <v>12</v>
      </c>
      <c r="J554" t="e">
        <f>VLOOKUP(B554,'[1]KT 광점퍼코드(수익률)'!$A$4:$P$243,16,0)</f>
        <v>#N/A</v>
      </c>
    </row>
    <row r="555" spans="1:10" ht="15.75" hidden="1" customHeight="1">
      <c r="A555" s="19">
        <v>552</v>
      </c>
      <c r="B555" s="20" t="s">
        <v>2488</v>
      </c>
      <c r="C555" s="20" t="s">
        <v>2489</v>
      </c>
      <c r="D555" s="20"/>
      <c r="E555" s="21"/>
      <c r="F555" s="21">
        <v>9</v>
      </c>
      <c r="G555" s="21"/>
      <c r="H555" s="21"/>
      <c r="I555" s="22">
        <f t="shared" si="8"/>
        <v>9</v>
      </c>
      <c r="J555" t="e">
        <f>VLOOKUP(B555,'[1]KT 광점퍼코드(수익률)'!$A$4:$P$243,16,0)</f>
        <v>#N/A</v>
      </c>
    </row>
    <row r="556" spans="1:10" ht="15.75" hidden="1" customHeight="1">
      <c r="A556" s="23">
        <v>553</v>
      </c>
      <c r="B556" s="24" t="s">
        <v>2490</v>
      </c>
      <c r="C556" s="24" t="s">
        <v>2491</v>
      </c>
      <c r="D556" s="24"/>
      <c r="E556" s="25"/>
      <c r="F556" s="25">
        <v>99</v>
      </c>
      <c r="G556" s="25">
        <v>10</v>
      </c>
      <c r="H556" s="25"/>
      <c r="I556" s="22">
        <f t="shared" si="8"/>
        <v>109</v>
      </c>
      <c r="J556" t="e">
        <f>VLOOKUP(B556,'[1]KT 광점퍼코드(수익률)'!$A$4:$P$243,16,0)</f>
        <v>#N/A</v>
      </c>
    </row>
    <row r="557" spans="1:10" ht="15.75" customHeight="1">
      <c r="A557" s="19">
        <v>554</v>
      </c>
      <c r="B557" s="20" t="s">
        <v>699</v>
      </c>
      <c r="C557" s="20" t="s">
        <v>700</v>
      </c>
      <c r="D557" s="20" t="s">
        <v>701</v>
      </c>
      <c r="E557" s="21">
        <v>2739</v>
      </c>
      <c r="F557" s="21">
        <v>6251</v>
      </c>
      <c r="G557" s="21">
        <v>2799</v>
      </c>
      <c r="H557" s="21">
        <v>775</v>
      </c>
      <c r="I557" s="22">
        <f t="shared" si="8"/>
        <v>12564</v>
      </c>
      <c r="J557">
        <f>VLOOKUP(B557,'[1]KT 광점퍼코드(수익률)'!$A$4:$P$243,16,0)</f>
        <v>3332</v>
      </c>
    </row>
    <row r="558" spans="1:10" ht="15.75" customHeight="1">
      <c r="A558" s="23">
        <v>555</v>
      </c>
      <c r="B558" s="24" t="s">
        <v>702</v>
      </c>
      <c r="C558" s="24" t="s">
        <v>703</v>
      </c>
      <c r="D558" s="24" t="s">
        <v>704</v>
      </c>
      <c r="E558" s="25">
        <v>1191</v>
      </c>
      <c r="F558" s="25">
        <v>510</v>
      </c>
      <c r="G558" s="25">
        <v>542</v>
      </c>
      <c r="H558" s="25">
        <v>20</v>
      </c>
      <c r="I558" s="22">
        <f t="shared" si="8"/>
        <v>2263</v>
      </c>
      <c r="J558">
        <f>VLOOKUP(B558,'[1]KT 광점퍼코드(수익률)'!$A$4:$P$243,16,0)</f>
        <v>1554</v>
      </c>
    </row>
    <row r="559" spans="1:10" ht="15.75" customHeight="1">
      <c r="A559" s="19">
        <v>556</v>
      </c>
      <c r="B559" s="20" t="s">
        <v>705</v>
      </c>
      <c r="C559" s="20" t="s">
        <v>480</v>
      </c>
      <c r="D559" s="20" t="s">
        <v>706</v>
      </c>
      <c r="E559" s="21">
        <v>137</v>
      </c>
      <c r="F559" s="21">
        <v>668</v>
      </c>
      <c r="G559" s="21">
        <v>692</v>
      </c>
      <c r="H559" s="21">
        <v>336</v>
      </c>
      <c r="I559" s="22">
        <f t="shared" si="8"/>
        <v>1833</v>
      </c>
      <c r="J559">
        <f>VLOOKUP(B559,'[1]KT 광점퍼코드(수익률)'!$A$4:$P$243,16,0)</f>
        <v>8386</v>
      </c>
    </row>
    <row r="560" spans="1:10" ht="15.75" customHeight="1">
      <c r="A560" s="23">
        <v>557</v>
      </c>
      <c r="B560" s="24" t="s">
        <v>707</v>
      </c>
      <c r="C560" s="24" t="s">
        <v>708</v>
      </c>
      <c r="D560" s="24" t="s">
        <v>709</v>
      </c>
      <c r="E560" s="25">
        <v>339</v>
      </c>
      <c r="F560" s="25">
        <v>170</v>
      </c>
      <c r="G560" s="25">
        <v>584</v>
      </c>
      <c r="H560" s="25">
        <v>110</v>
      </c>
      <c r="I560" s="22">
        <f t="shared" si="8"/>
        <v>1203</v>
      </c>
      <c r="J560">
        <f>VLOOKUP(B560,'[1]KT 광점퍼코드(수익률)'!$A$4:$P$243,16,0)</f>
        <v>3805</v>
      </c>
    </row>
    <row r="561" spans="1:10" ht="15.75" hidden="1" customHeight="1">
      <c r="A561" s="19">
        <v>558</v>
      </c>
      <c r="B561" s="20" t="s">
        <v>3034</v>
      </c>
      <c r="C561" s="20" t="s">
        <v>3035</v>
      </c>
      <c r="D561" s="20"/>
      <c r="E561" s="21"/>
      <c r="F561" s="21"/>
      <c r="G561" s="21">
        <v>5</v>
      </c>
      <c r="H561" s="21"/>
      <c r="I561" s="22">
        <f t="shared" si="8"/>
        <v>5</v>
      </c>
      <c r="J561" t="e">
        <f>VLOOKUP(B561,'[1]KT 광점퍼코드(수익률)'!$A$4:$P$243,16,0)</f>
        <v>#N/A</v>
      </c>
    </row>
    <row r="562" spans="1:10" ht="15.75" customHeight="1">
      <c r="A562" s="23">
        <v>559</v>
      </c>
      <c r="B562" s="24" t="s">
        <v>710</v>
      </c>
      <c r="C562" s="24" t="s">
        <v>711</v>
      </c>
      <c r="D562" s="24" t="s">
        <v>712</v>
      </c>
      <c r="E562" s="25">
        <v>269</v>
      </c>
      <c r="F562" s="25">
        <v>278</v>
      </c>
      <c r="G562" s="25">
        <v>356</v>
      </c>
      <c r="H562" s="25">
        <v>200</v>
      </c>
      <c r="I562" s="22">
        <f t="shared" si="8"/>
        <v>1103</v>
      </c>
      <c r="J562">
        <f>VLOOKUP(B562,'[1]KT 광점퍼코드(수익률)'!$A$4:$P$243,16,0)</f>
        <v>8545</v>
      </c>
    </row>
    <row r="563" spans="1:10" ht="15.75" customHeight="1">
      <c r="A563" s="19">
        <v>560</v>
      </c>
      <c r="B563" s="20" t="s">
        <v>713</v>
      </c>
      <c r="C563" s="20" t="s">
        <v>714</v>
      </c>
      <c r="D563" s="20" t="s">
        <v>715</v>
      </c>
      <c r="E563" s="21">
        <v>62</v>
      </c>
      <c r="F563" s="21">
        <v>64</v>
      </c>
      <c r="G563" s="21">
        <v>107</v>
      </c>
      <c r="H563" s="21"/>
      <c r="I563" s="22">
        <f t="shared" si="8"/>
        <v>233</v>
      </c>
      <c r="J563">
        <f>VLOOKUP(B563,'[1]KT 광점퍼코드(수익률)'!$A$4:$P$243,16,0)</f>
        <v>4208</v>
      </c>
    </row>
    <row r="564" spans="1:10" ht="15.75" hidden="1" customHeight="1">
      <c r="A564" s="23">
        <v>561</v>
      </c>
      <c r="B564" s="24" t="s">
        <v>2492</v>
      </c>
      <c r="C564" s="24" t="s">
        <v>2493</v>
      </c>
      <c r="D564" s="24"/>
      <c r="E564" s="25"/>
      <c r="F564" s="25">
        <v>210</v>
      </c>
      <c r="G564" s="25">
        <v>120</v>
      </c>
      <c r="H564" s="25"/>
      <c r="I564" s="22">
        <f t="shared" si="8"/>
        <v>330</v>
      </c>
      <c r="J564" t="e">
        <f>VLOOKUP(B564,'[1]KT 광점퍼코드(수익률)'!$A$4:$P$243,16,0)</f>
        <v>#N/A</v>
      </c>
    </row>
    <row r="565" spans="1:10" ht="15.75" customHeight="1">
      <c r="A565" s="19">
        <v>562</v>
      </c>
      <c r="B565" s="20" t="s">
        <v>716</v>
      </c>
      <c r="C565" s="20" t="s">
        <v>717</v>
      </c>
      <c r="D565" s="20" t="s">
        <v>718</v>
      </c>
      <c r="E565" s="21">
        <v>20</v>
      </c>
      <c r="F565" s="21"/>
      <c r="G565" s="21"/>
      <c r="H565" s="21"/>
      <c r="I565" s="22">
        <f t="shared" si="8"/>
        <v>20</v>
      </c>
      <c r="J565">
        <f>VLOOKUP(B565,'[1]KT 광점퍼코드(수익률)'!$A$4:$P$243,16,0)</f>
        <v>1218</v>
      </c>
    </row>
    <row r="566" spans="1:10" ht="15.75" hidden="1" customHeight="1">
      <c r="A566" s="23">
        <v>563</v>
      </c>
      <c r="B566" s="24" t="s">
        <v>719</v>
      </c>
      <c r="C566" s="24" t="s">
        <v>720</v>
      </c>
      <c r="D566" s="24" t="s">
        <v>721</v>
      </c>
      <c r="E566" s="25">
        <v>1468</v>
      </c>
      <c r="F566" s="25">
        <v>384</v>
      </c>
      <c r="G566" s="25">
        <v>425</v>
      </c>
      <c r="H566" s="25">
        <v>222</v>
      </c>
      <c r="I566" s="22">
        <f t="shared" si="8"/>
        <v>2499</v>
      </c>
      <c r="J566" t="e">
        <f>VLOOKUP(B566,'[1]KT 광점퍼코드(수익률)'!$A$4:$P$243,16,0)</f>
        <v>#N/A</v>
      </c>
    </row>
    <row r="567" spans="1:10" ht="15.75" customHeight="1">
      <c r="A567" s="19">
        <v>564</v>
      </c>
      <c r="B567" s="20" t="s">
        <v>722</v>
      </c>
      <c r="C567" s="20" t="s">
        <v>723</v>
      </c>
      <c r="D567" s="20" t="s">
        <v>724</v>
      </c>
      <c r="E567" s="21">
        <v>439</v>
      </c>
      <c r="F567" s="21">
        <v>1304</v>
      </c>
      <c r="G567" s="21">
        <v>908</v>
      </c>
      <c r="H567" s="21">
        <v>372</v>
      </c>
      <c r="I567" s="22">
        <f t="shared" si="8"/>
        <v>3023</v>
      </c>
      <c r="J567">
        <f>VLOOKUP(B567,'[1]KT 광점퍼코드(수익률)'!$A$4:$P$243,16,0)</f>
        <v>1765</v>
      </c>
    </row>
    <row r="568" spans="1:10" ht="15.75" customHeight="1">
      <c r="A568" s="23">
        <v>565</v>
      </c>
      <c r="B568" s="24" t="s">
        <v>725</v>
      </c>
      <c r="C568" s="24" t="s">
        <v>726</v>
      </c>
      <c r="D568" s="24" t="s">
        <v>727</v>
      </c>
      <c r="E568" s="25">
        <v>282</v>
      </c>
      <c r="F568" s="25">
        <v>185</v>
      </c>
      <c r="G568" s="25">
        <v>289</v>
      </c>
      <c r="H568" s="25">
        <v>70</v>
      </c>
      <c r="I568" s="22">
        <f t="shared" si="8"/>
        <v>826</v>
      </c>
      <c r="J568">
        <f>VLOOKUP(B568,'[1]KT 광점퍼코드(수익률)'!$A$4:$P$243,16,0)</f>
        <v>9310</v>
      </c>
    </row>
    <row r="569" spans="1:10" ht="15.75" customHeight="1">
      <c r="A569" s="19">
        <v>566</v>
      </c>
      <c r="B569" s="20" t="s">
        <v>728</v>
      </c>
      <c r="C569" s="20" t="s">
        <v>729</v>
      </c>
      <c r="D569" s="20" t="s">
        <v>730</v>
      </c>
      <c r="E569" s="21">
        <v>38</v>
      </c>
      <c r="F569" s="21">
        <v>84</v>
      </c>
      <c r="G569" s="21">
        <v>35</v>
      </c>
      <c r="H569" s="21"/>
      <c r="I569" s="22">
        <f t="shared" si="8"/>
        <v>157</v>
      </c>
      <c r="J569">
        <f>VLOOKUP(B569,'[1]KT 광점퍼코드(수익률)'!$A$4:$P$243,16,0)</f>
        <v>4608</v>
      </c>
    </row>
    <row r="570" spans="1:10" ht="15.75" customHeight="1">
      <c r="A570" s="23">
        <v>567</v>
      </c>
      <c r="B570" s="24" t="s">
        <v>731</v>
      </c>
      <c r="C570" s="24" t="s">
        <v>732</v>
      </c>
      <c r="D570" s="24" t="s">
        <v>733</v>
      </c>
      <c r="E570" s="25">
        <v>165</v>
      </c>
      <c r="F570" s="25">
        <v>15</v>
      </c>
      <c r="G570" s="25">
        <v>80</v>
      </c>
      <c r="H570" s="25">
        <v>20</v>
      </c>
      <c r="I570" s="22">
        <f t="shared" si="8"/>
        <v>280</v>
      </c>
      <c r="J570">
        <f>VLOOKUP(B570,'[1]KT 광점퍼코드(수익률)'!$A$4:$P$243,16,0)</f>
        <v>10070</v>
      </c>
    </row>
    <row r="571" spans="1:10" ht="15.75" customHeight="1">
      <c r="A571" s="19">
        <v>568</v>
      </c>
      <c r="B571" s="20" t="s">
        <v>734</v>
      </c>
      <c r="C571" s="20" t="s">
        <v>735</v>
      </c>
      <c r="D571" s="20" t="s">
        <v>736</v>
      </c>
      <c r="E571" s="21">
        <v>65</v>
      </c>
      <c r="F571" s="21"/>
      <c r="G571" s="21">
        <v>67</v>
      </c>
      <c r="H571" s="21"/>
      <c r="I571" s="22">
        <f t="shared" si="8"/>
        <v>132</v>
      </c>
      <c r="J571">
        <f>VLOOKUP(B571,'[1]KT 광점퍼코드(수익률)'!$A$4:$P$243,16,0)</f>
        <v>4559</v>
      </c>
    </row>
    <row r="572" spans="1:10" ht="15.75" customHeight="1">
      <c r="A572" s="23">
        <v>569</v>
      </c>
      <c r="B572" s="24" t="s">
        <v>737</v>
      </c>
      <c r="C572" s="24" t="s">
        <v>738</v>
      </c>
      <c r="D572" s="24" t="s">
        <v>739</v>
      </c>
      <c r="E572" s="25">
        <v>1020</v>
      </c>
      <c r="F572" s="25">
        <v>210</v>
      </c>
      <c r="G572" s="25">
        <v>220</v>
      </c>
      <c r="H572" s="25">
        <v>300</v>
      </c>
      <c r="I572" s="22">
        <f t="shared" si="8"/>
        <v>1750</v>
      </c>
      <c r="J572">
        <f>VLOOKUP(B572,'[1]KT 광점퍼코드(수익률)'!$A$4:$P$243,16,0)</f>
        <v>3425</v>
      </c>
    </row>
    <row r="573" spans="1:10" ht="15.75" customHeight="1">
      <c r="A573" s="19">
        <v>570</v>
      </c>
      <c r="B573" s="20" t="s">
        <v>740</v>
      </c>
      <c r="C573" s="20" t="s">
        <v>741</v>
      </c>
      <c r="D573" s="20" t="s">
        <v>742</v>
      </c>
      <c r="E573" s="21">
        <v>172</v>
      </c>
      <c r="F573" s="21">
        <v>198</v>
      </c>
      <c r="G573" s="21">
        <v>228</v>
      </c>
      <c r="H573" s="21">
        <v>58</v>
      </c>
      <c r="I573" s="22">
        <f t="shared" si="8"/>
        <v>656</v>
      </c>
      <c r="J573">
        <f>VLOOKUP(B573,'[1]KT 광점퍼코드(수익률)'!$A$4:$P$243,16,0)</f>
        <v>9770</v>
      </c>
    </row>
    <row r="574" spans="1:10" ht="15.75" customHeight="1">
      <c r="A574" s="23">
        <v>571</v>
      </c>
      <c r="B574" s="24" t="s">
        <v>2494</v>
      </c>
      <c r="C574" s="24" t="s">
        <v>2495</v>
      </c>
      <c r="D574" s="24" t="s">
        <v>2496</v>
      </c>
      <c r="E574" s="25"/>
      <c r="F574" s="25">
        <v>50</v>
      </c>
      <c r="G574" s="25">
        <v>10</v>
      </c>
      <c r="H574" s="25"/>
      <c r="I574" s="22">
        <f t="shared" si="8"/>
        <v>60</v>
      </c>
      <c r="J574">
        <f>VLOOKUP(B574,'[1]KT 광점퍼코드(수익률)'!$A$4:$P$243,16,0)</f>
        <v>4922</v>
      </c>
    </row>
    <row r="575" spans="1:10" ht="15.75" hidden="1" customHeight="1">
      <c r="A575" s="19">
        <v>572</v>
      </c>
      <c r="B575" s="20" t="s">
        <v>2497</v>
      </c>
      <c r="C575" s="20" t="s">
        <v>2498</v>
      </c>
      <c r="D575" s="20"/>
      <c r="E575" s="21"/>
      <c r="F575" s="21">
        <v>50</v>
      </c>
      <c r="G575" s="21">
        <v>10</v>
      </c>
      <c r="H575" s="21"/>
      <c r="I575" s="22">
        <f t="shared" si="8"/>
        <v>60</v>
      </c>
      <c r="J575" t="e">
        <f>VLOOKUP(B575,'[1]KT 광점퍼코드(수익률)'!$A$4:$P$243,16,0)</f>
        <v>#N/A</v>
      </c>
    </row>
    <row r="576" spans="1:10" ht="15.75" customHeight="1">
      <c r="A576" s="23">
        <v>573</v>
      </c>
      <c r="B576" s="24" t="s">
        <v>743</v>
      </c>
      <c r="C576" s="24" t="s">
        <v>744</v>
      </c>
      <c r="D576" s="24" t="s">
        <v>745</v>
      </c>
      <c r="E576" s="25">
        <v>1542</v>
      </c>
      <c r="F576" s="25">
        <v>1240</v>
      </c>
      <c r="G576" s="25">
        <v>2734</v>
      </c>
      <c r="H576" s="25">
        <v>864</v>
      </c>
      <c r="I576" s="22">
        <f t="shared" si="8"/>
        <v>6380</v>
      </c>
      <c r="J576">
        <f>VLOOKUP(B576,'[1]KT 광점퍼코드(수익률)'!$A$4:$P$243,16,0)</f>
        <v>3877</v>
      </c>
    </row>
    <row r="577" spans="1:10" ht="15.75" customHeight="1">
      <c r="A577" s="19">
        <v>574</v>
      </c>
      <c r="B577" s="20" t="s">
        <v>746</v>
      </c>
      <c r="C577" s="20" t="s">
        <v>747</v>
      </c>
      <c r="D577" s="20" t="s">
        <v>748</v>
      </c>
      <c r="E577" s="21">
        <v>202</v>
      </c>
      <c r="F577" s="21">
        <v>135</v>
      </c>
      <c r="G577" s="21">
        <v>518</v>
      </c>
      <c r="H577" s="21">
        <v>47</v>
      </c>
      <c r="I577" s="22">
        <f t="shared" si="8"/>
        <v>902</v>
      </c>
      <c r="J577">
        <f>VLOOKUP(B577,'[1]KT 광점퍼코드(수익률)'!$A$4:$P$243,16,0)</f>
        <v>1805</v>
      </c>
    </row>
    <row r="578" spans="1:10" ht="15.75" hidden="1" customHeight="1">
      <c r="A578" s="23">
        <v>575</v>
      </c>
      <c r="B578" s="24" t="s">
        <v>749</v>
      </c>
      <c r="C578" s="24" t="s">
        <v>430</v>
      </c>
      <c r="D578" s="24"/>
      <c r="E578" s="25">
        <v>30</v>
      </c>
      <c r="F578" s="25">
        <v>50</v>
      </c>
      <c r="G578" s="25">
        <v>40</v>
      </c>
      <c r="H578" s="25">
        <v>10</v>
      </c>
      <c r="I578" s="22">
        <f t="shared" si="8"/>
        <v>130</v>
      </c>
      <c r="J578" t="e">
        <f>VLOOKUP(B578,'[1]KT 광점퍼코드(수익률)'!$A$4:$P$243,16,0)</f>
        <v>#N/A</v>
      </c>
    </row>
    <row r="579" spans="1:10" ht="15.75" hidden="1" customHeight="1">
      <c r="A579" s="19">
        <v>576</v>
      </c>
      <c r="B579" s="20" t="s">
        <v>2499</v>
      </c>
      <c r="C579" s="20" t="s">
        <v>2500</v>
      </c>
      <c r="D579" s="20"/>
      <c r="E579" s="21"/>
      <c r="F579" s="21">
        <v>13</v>
      </c>
      <c r="G579" s="21"/>
      <c r="H579" s="21"/>
      <c r="I579" s="22">
        <f t="shared" si="8"/>
        <v>13</v>
      </c>
      <c r="J579" t="e">
        <f>VLOOKUP(B579,'[1]KT 광점퍼코드(수익률)'!$A$4:$P$243,16,0)</f>
        <v>#N/A</v>
      </c>
    </row>
    <row r="580" spans="1:10" ht="15.75" hidden="1" customHeight="1">
      <c r="A580" s="23">
        <v>577</v>
      </c>
      <c r="B580" s="24" t="s">
        <v>750</v>
      </c>
      <c r="C580" s="24" t="s">
        <v>751</v>
      </c>
      <c r="D580" s="24"/>
      <c r="E580" s="25">
        <v>30</v>
      </c>
      <c r="F580" s="25"/>
      <c r="G580" s="25"/>
      <c r="H580" s="25"/>
      <c r="I580" s="22">
        <f t="shared" ref="I580:I643" si="9">SUM(E580:H580)</f>
        <v>30</v>
      </c>
      <c r="J580" t="e">
        <f>VLOOKUP(B580,'[1]KT 광점퍼코드(수익률)'!$A$4:$P$243,16,0)</f>
        <v>#N/A</v>
      </c>
    </row>
    <row r="581" spans="1:10" ht="15.75" hidden="1" customHeight="1">
      <c r="A581" s="19">
        <v>578</v>
      </c>
      <c r="B581" s="20" t="s">
        <v>3036</v>
      </c>
      <c r="C581" s="20" t="s">
        <v>3037</v>
      </c>
      <c r="D581" s="20"/>
      <c r="E581" s="21"/>
      <c r="F581" s="21"/>
      <c r="G581" s="21">
        <v>10</v>
      </c>
      <c r="H581" s="21"/>
      <c r="I581" s="22">
        <f t="shared" si="9"/>
        <v>10</v>
      </c>
      <c r="J581" t="e">
        <f>VLOOKUP(B581,'[1]KT 광점퍼코드(수익률)'!$A$4:$P$243,16,0)</f>
        <v>#N/A</v>
      </c>
    </row>
    <row r="582" spans="1:10" ht="15.75" hidden="1" customHeight="1">
      <c r="A582" s="23">
        <v>579</v>
      </c>
      <c r="B582" s="24" t="s">
        <v>752</v>
      </c>
      <c r="C582" s="24" t="s">
        <v>753</v>
      </c>
      <c r="D582" s="24"/>
      <c r="E582" s="25">
        <v>20</v>
      </c>
      <c r="F582" s="25">
        <v>6</v>
      </c>
      <c r="G582" s="25">
        <v>28</v>
      </c>
      <c r="H582" s="25">
        <v>10</v>
      </c>
      <c r="I582" s="22">
        <f t="shared" si="9"/>
        <v>64</v>
      </c>
      <c r="J582" t="e">
        <f>VLOOKUP(B582,'[1]KT 광점퍼코드(수익률)'!$A$4:$P$243,16,0)</f>
        <v>#N/A</v>
      </c>
    </row>
    <row r="583" spans="1:10" ht="15.75" hidden="1" customHeight="1">
      <c r="A583" s="19">
        <v>580</v>
      </c>
      <c r="B583" s="20" t="s">
        <v>754</v>
      </c>
      <c r="C583" s="20" t="s">
        <v>755</v>
      </c>
      <c r="D583" s="20"/>
      <c r="E583" s="21">
        <v>230</v>
      </c>
      <c r="F583" s="21">
        <v>34</v>
      </c>
      <c r="G583" s="21">
        <v>78</v>
      </c>
      <c r="H583" s="21"/>
      <c r="I583" s="22">
        <f t="shared" si="9"/>
        <v>342</v>
      </c>
      <c r="J583" t="e">
        <f>VLOOKUP(B583,'[1]KT 광점퍼코드(수익률)'!$A$4:$P$243,16,0)</f>
        <v>#N/A</v>
      </c>
    </row>
    <row r="584" spans="1:10" ht="15.75" hidden="1" customHeight="1">
      <c r="A584" s="23">
        <v>581</v>
      </c>
      <c r="B584" s="24" t="s">
        <v>3038</v>
      </c>
      <c r="C584" s="24" t="s">
        <v>3039</v>
      </c>
      <c r="D584" s="24"/>
      <c r="E584" s="25"/>
      <c r="F584" s="25"/>
      <c r="G584" s="25">
        <v>10</v>
      </c>
      <c r="H584" s="25"/>
      <c r="I584" s="22">
        <f t="shared" si="9"/>
        <v>10</v>
      </c>
      <c r="J584" t="e">
        <f>VLOOKUP(B584,'[1]KT 광점퍼코드(수익률)'!$A$4:$P$243,16,0)</f>
        <v>#N/A</v>
      </c>
    </row>
    <row r="585" spans="1:10" ht="15.75" hidden="1" customHeight="1">
      <c r="A585" s="19">
        <v>582</v>
      </c>
      <c r="B585" s="20" t="s">
        <v>3040</v>
      </c>
      <c r="C585" s="20" t="s">
        <v>3041</v>
      </c>
      <c r="D585" s="20"/>
      <c r="E585" s="21"/>
      <c r="F585" s="21"/>
      <c r="G585" s="21">
        <v>10</v>
      </c>
      <c r="H585" s="21"/>
      <c r="I585" s="22">
        <f t="shared" si="9"/>
        <v>10</v>
      </c>
      <c r="J585" t="e">
        <f>VLOOKUP(B585,'[1]KT 광점퍼코드(수익률)'!$A$4:$P$243,16,0)</f>
        <v>#N/A</v>
      </c>
    </row>
    <row r="586" spans="1:10" ht="15.75" hidden="1" customHeight="1">
      <c r="A586" s="23">
        <v>583</v>
      </c>
      <c r="B586" s="24" t="s">
        <v>2501</v>
      </c>
      <c r="C586" s="24" t="s">
        <v>2502</v>
      </c>
      <c r="D586" s="24"/>
      <c r="E586" s="25"/>
      <c r="F586" s="25">
        <v>200</v>
      </c>
      <c r="G586" s="25"/>
      <c r="H586" s="25"/>
      <c r="I586" s="22">
        <f t="shared" si="9"/>
        <v>200</v>
      </c>
      <c r="J586" t="e">
        <f>VLOOKUP(B586,'[1]KT 광점퍼코드(수익률)'!$A$4:$P$243,16,0)</f>
        <v>#N/A</v>
      </c>
    </row>
    <row r="587" spans="1:10" ht="15.75" customHeight="1">
      <c r="A587" s="19">
        <v>584</v>
      </c>
      <c r="B587" s="20" t="s">
        <v>756</v>
      </c>
      <c r="C587" s="20" t="s">
        <v>757</v>
      </c>
      <c r="D587" s="20" t="s">
        <v>758</v>
      </c>
      <c r="E587" s="21">
        <v>40</v>
      </c>
      <c r="F587" s="21"/>
      <c r="G587" s="21"/>
      <c r="H587" s="21"/>
      <c r="I587" s="22">
        <f t="shared" si="9"/>
        <v>40</v>
      </c>
      <c r="J587">
        <f>VLOOKUP(B587,'[1]KT 광점퍼코드(수익률)'!$A$4:$P$243,16,0)</f>
        <v>3456</v>
      </c>
    </row>
    <row r="588" spans="1:10" ht="15.75" customHeight="1">
      <c r="A588" s="23">
        <v>585</v>
      </c>
      <c r="B588" s="24" t="s">
        <v>3042</v>
      </c>
      <c r="C588" s="24" t="s">
        <v>3043</v>
      </c>
      <c r="D588" s="24"/>
      <c r="E588" s="25"/>
      <c r="F588" s="25"/>
      <c r="G588" s="25">
        <v>4</v>
      </c>
      <c r="H588" s="25"/>
      <c r="I588" s="22">
        <f t="shared" si="9"/>
        <v>4</v>
      </c>
      <c r="J588">
        <f>VLOOKUP(B588,'[1]KT 광점퍼코드(수익률)'!$A$4:$P$243,16,0)</f>
        <v>5143</v>
      </c>
    </row>
    <row r="589" spans="1:10" ht="15.75" customHeight="1">
      <c r="A589" s="19">
        <v>586</v>
      </c>
      <c r="B589" s="20" t="s">
        <v>759</v>
      </c>
      <c r="C589" s="20" t="s">
        <v>760</v>
      </c>
      <c r="D589" s="20" t="s">
        <v>761</v>
      </c>
      <c r="E589" s="21">
        <v>40</v>
      </c>
      <c r="F589" s="21">
        <v>8</v>
      </c>
      <c r="G589" s="21"/>
      <c r="H589" s="21"/>
      <c r="I589" s="22">
        <f t="shared" si="9"/>
        <v>48</v>
      </c>
      <c r="J589">
        <f>VLOOKUP(B589,'[1]KT 광점퍼코드(수익률)'!$A$4:$P$243,16,0)</f>
        <v>2295</v>
      </c>
    </row>
    <row r="590" spans="1:10" ht="15.75" customHeight="1">
      <c r="A590" s="23">
        <v>587</v>
      </c>
      <c r="B590" s="24" t="s">
        <v>762</v>
      </c>
      <c r="C590" s="24" t="s">
        <v>763</v>
      </c>
      <c r="D590" s="24" t="s">
        <v>764</v>
      </c>
      <c r="E590" s="25">
        <v>10</v>
      </c>
      <c r="F590" s="25"/>
      <c r="G590" s="25"/>
      <c r="H590" s="25"/>
      <c r="I590" s="22">
        <f t="shared" si="9"/>
        <v>10</v>
      </c>
      <c r="J590">
        <f>VLOOKUP(B590,'[1]KT 광점퍼코드(수익률)'!$A$4:$P$243,16,0)</f>
        <v>2256</v>
      </c>
    </row>
    <row r="591" spans="1:10" ht="15.75" hidden="1" customHeight="1">
      <c r="A591" s="19">
        <v>588</v>
      </c>
      <c r="B591" s="20" t="s">
        <v>2503</v>
      </c>
      <c r="C591" s="20" t="s">
        <v>2504</v>
      </c>
      <c r="D591" s="20"/>
      <c r="E591" s="21"/>
      <c r="F591" s="21">
        <v>5</v>
      </c>
      <c r="G591" s="21"/>
      <c r="H591" s="21"/>
      <c r="I591" s="22">
        <f t="shared" si="9"/>
        <v>5</v>
      </c>
      <c r="J591" t="e">
        <f>VLOOKUP(B591,'[1]KT 광점퍼코드(수익률)'!$A$4:$P$243,16,0)</f>
        <v>#N/A</v>
      </c>
    </row>
    <row r="592" spans="1:10" ht="15.75" hidden="1" customHeight="1">
      <c r="A592" s="23">
        <v>589</v>
      </c>
      <c r="B592" s="24" t="s">
        <v>3044</v>
      </c>
      <c r="C592" s="24" t="s">
        <v>3045</v>
      </c>
      <c r="D592" s="24"/>
      <c r="E592" s="25"/>
      <c r="F592" s="25"/>
      <c r="G592" s="25">
        <v>1004</v>
      </c>
      <c r="H592" s="25"/>
      <c r="I592" s="22">
        <f t="shared" si="9"/>
        <v>1004</v>
      </c>
      <c r="J592" t="e">
        <f>VLOOKUP(B592,'[1]KT 광점퍼코드(수익률)'!$A$4:$P$243,16,0)</f>
        <v>#N/A</v>
      </c>
    </row>
    <row r="593" spans="1:10" ht="15.75" hidden="1" customHeight="1">
      <c r="A593" s="19">
        <v>590</v>
      </c>
      <c r="B593" s="20" t="s">
        <v>765</v>
      </c>
      <c r="C593" s="20" t="s">
        <v>766</v>
      </c>
      <c r="D593" s="20"/>
      <c r="E593" s="21">
        <v>3</v>
      </c>
      <c r="F593" s="21"/>
      <c r="G593" s="21">
        <v>200</v>
      </c>
      <c r="H593" s="21"/>
      <c r="I593" s="22">
        <f t="shared" si="9"/>
        <v>203</v>
      </c>
      <c r="J593" t="e">
        <f>VLOOKUP(B593,'[1]KT 광점퍼코드(수익률)'!$A$4:$P$243,16,0)</f>
        <v>#N/A</v>
      </c>
    </row>
    <row r="594" spans="1:10" ht="15.75" hidden="1" customHeight="1">
      <c r="A594" s="23">
        <v>591</v>
      </c>
      <c r="B594" s="24" t="s">
        <v>2505</v>
      </c>
      <c r="C594" s="24" t="s">
        <v>2506</v>
      </c>
      <c r="D594" s="24"/>
      <c r="E594" s="25"/>
      <c r="F594" s="25">
        <v>74</v>
      </c>
      <c r="G594" s="25">
        <v>200</v>
      </c>
      <c r="H594" s="25"/>
      <c r="I594" s="22">
        <f t="shared" si="9"/>
        <v>274</v>
      </c>
      <c r="J594" t="e">
        <f>VLOOKUP(B594,'[1]KT 광점퍼코드(수익률)'!$A$4:$P$243,16,0)</f>
        <v>#N/A</v>
      </c>
    </row>
    <row r="595" spans="1:10" ht="15.75" hidden="1" customHeight="1">
      <c r="A595" s="19">
        <v>592</v>
      </c>
      <c r="B595" s="20" t="s">
        <v>3046</v>
      </c>
      <c r="C595" s="20" t="s">
        <v>3047</v>
      </c>
      <c r="D595" s="20"/>
      <c r="E595" s="21"/>
      <c r="F595" s="21"/>
      <c r="G595" s="21">
        <v>200</v>
      </c>
      <c r="H595" s="21"/>
      <c r="I595" s="22">
        <f t="shared" si="9"/>
        <v>200</v>
      </c>
      <c r="J595" t="e">
        <f>VLOOKUP(B595,'[1]KT 광점퍼코드(수익률)'!$A$4:$P$243,16,0)</f>
        <v>#N/A</v>
      </c>
    </row>
    <row r="596" spans="1:10" ht="15.75" hidden="1" customHeight="1">
      <c r="A596" s="23">
        <v>593</v>
      </c>
      <c r="B596" s="24" t="s">
        <v>2507</v>
      </c>
      <c r="C596" s="24" t="s">
        <v>2508</v>
      </c>
      <c r="D596" s="24"/>
      <c r="E596" s="25"/>
      <c r="F596" s="25">
        <v>620</v>
      </c>
      <c r="G596" s="25"/>
      <c r="H596" s="25"/>
      <c r="I596" s="22">
        <f t="shared" si="9"/>
        <v>620</v>
      </c>
      <c r="J596" t="e">
        <f>VLOOKUP(B596,'[1]KT 광점퍼코드(수익률)'!$A$4:$P$243,16,0)</f>
        <v>#N/A</v>
      </c>
    </row>
    <row r="597" spans="1:10" ht="15.75" hidden="1" customHeight="1">
      <c r="A597" s="19">
        <v>594</v>
      </c>
      <c r="B597" s="20" t="s">
        <v>2509</v>
      </c>
      <c r="C597" s="20" t="s">
        <v>2510</v>
      </c>
      <c r="D597" s="20"/>
      <c r="E597" s="21"/>
      <c r="F597" s="21">
        <v>130</v>
      </c>
      <c r="G597" s="21">
        <v>5</v>
      </c>
      <c r="H597" s="21"/>
      <c r="I597" s="22">
        <f t="shared" si="9"/>
        <v>135</v>
      </c>
      <c r="J597" t="e">
        <f>VLOOKUP(B597,'[1]KT 광점퍼코드(수익률)'!$A$4:$P$243,16,0)</f>
        <v>#N/A</v>
      </c>
    </row>
    <row r="598" spans="1:10" ht="15.75" hidden="1" customHeight="1">
      <c r="A598" s="23">
        <v>595</v>
      </c>
      <c r="B598" s="24" t="s">
        <v>767</v>
      </c>
      <c r="C598" s="24" t="s">
        <v>768</v>
      </c>
      <c r="D598" s="24"/>
      <c r="E598" s="25">
        <v>40</v>
      </c>
      <c r="F598" s="25">
        <v>459</v>
      </c>
      <c r="G598" s="25">
        <v>46</v>
      </c>
      <c r="H598" s="25">
        <v>45</v>
      </c>
      <c r="I598" s="22">
        <f t="shared" si="9"/>
        <v>590</v>
      </c>
      <c r="J598" t="e">
        <f>VLOOKUP(B598,'[1]KT 광점퍼코드(수익률)'!$A$4:$P$243,16,0)</f>
        <v>#N/A</v>
      </c>
    </row>
    <row r="599" spans="1:10" ht="15.75" customHeight="1">
      <c r="A599" s="19">
        <v>596</v>
      </c>
      <c r="B599" s="20" t="s">
        <v>769</v>
      </c>
      <c r="C599" s="20" t="s">
        <v>770</v>
      </c>
      <c r="D599" s="20" t="s">
        <v>771</v>
      </c>
      <c r="E599" s="21">
        <v>2</v>
      </c>
      <c r="F599" s="21">
        <v>3</v>
      </c>
      <c r="G599" s="21">
        <v>40</v>
      </c>
      <c r="H599" s="21"/>
      <c r="I599" s="22">
        <f t="shared" si="9"/>
        <v>45</v>
      </c>
      <c r="J599">
        <f>VLOOKUP(B599,'[1]KT 광점퍼코드(수익률)'!$A$4:$P$243,16,0)</f>
        <v>3782</v>
      </c>
    </row>
    <row r="600" spans="1:10" ht="15.75" customHeight="1">
      <c r="A600" s="23">
        <v>597</v>
      </c>
      <c r="B600" s="24" t="s">
        <v>772</v>
      </c>
      <c r="C600" s="24" t="s">
        <v>773</v>
      </c>
      <c r="D600" s="24" t="s">
        <v>774</v>
      </c>
      <c r="E600" s="25">
        <v>432</v>
      </c>
      <c r="F600" s="25">
        <v>367</v>
      </c>
      <c r="G600" s="25">
        <v>10</v>
      </c>
      <c r="H600" s="25">
        <v>6</v>
      </c>
      <c r="I600" s="22">
        <f t="shared" si="9"/>
        <v>815</v>
      </c>
      <c r="J600">
        <f>VLOOKUP(B600,'[1]KT 광점퍼코드(수익률)'!$A$4:$P$243,16,0)</f>
        <v>1897</v>
      </c>
    </row>
    <row r="601" spans="1:10" ht="15.75" customHeight="1">
      <c r="A601" s="19">
        <v>598</v>
      </c>
      <c r="B601" s="20" t="s">
        <v>775</v>
      </c>
      <c r="C601" s="20" t="s">
        <v>776</v>
      </c>
      <c r="D601" s="20" t="s">
        <v>777</v>
      </c>
      <c r="E601" s="21">
        <v>4124</v>
      </c>
      <c r="F601" s="21">
        <v>1918</v>
      </c>
      <c r="G601" s="21">
        <v>1611</v>
      </c>
      <c r="H601" s="21">
        <v>1092</v>
      </c>
      <c r="I601" s="22">
        <f t="shared" si="9"/>
        <v>8745</v>
      </c>
      <c r="J601">
        <f>VLOOKUP(B601,'[1]KT 광점퍼코드(수익률)'!$A$4:$P$243,16,0)</f>
        <v>4036</v>
      </c>
    </row>
    <row r="602" spans="1:10" ht="15.75" customHeight="1">
      <c r="A602" s="23">
        <v>599</v>
      </c>
      <c r="B602" s="24" t="s">
        <v>778</v>
      </c>
      <c r="C602" s="24" t="s">
        <v>779</v>
      </c>
      <c r="D602" s="24" t="s">
        <v>780</v>
      </c>
      <c r="E602" s="25">
        <v>5287</v>
      </c>
      <c r="F602" s="25">
        <v>2124</v>
      </c>
      <c r="G602" s="25">
        <v>5527</v>
      </c>
      <c r="H602" s="25">
        <v>956</v>
      </c>
      <c r="I602" s="22">
        <f t="shared" si="9"/>
        <v>13894</v>
      </c>
      <c r="J602">
        <f>VLOOKUP(B602,'[1]KT 광점퍼코드(수익률)'!$A$4:$P$243,16,0)</f>
        <v>2028</v>
      </c>
    </row>
    <row r="603" spans="1:10" ht="15.75" customHeight="1">
      <c r="A603" s="19">
        <v>600</v>
      </c>
      <c r="B603" s="20" t="s">
        <v>3048</v>
      </c>
      <c r="C603" s="20" t="s">
        <v>3049</v>
      </c>
      <c r="D603" s="20" t="s">
        <v>3050</v>
      </c>
      <c r="E603" s="21"/>
      <c r="F603" s="21"/>
      <c r="G603" s="21">
        <v>30</v>
      </c>
      <c r="H603" s="21"/>
      <c r="I603" s="22">
        <f t="shared" si="9"/>
        <v>30</v>
      </c>
      <c r="J603">
        <f>VLOOKUP(B603,'[1]KT 광점퍼코드(수익률)'!$A$4:$P$243,16,0)</f>
        <v>4068</v>
      </c>
    </row>
    <row r="604" spans="1:10" ht="15.75" customHeight="1">
      <c r="A604" s="23">
        <v>601</v>
      </c>
      <c r="B604" s="24" t="s">
        <v>781</v>
      </c>
      <c r="C604" s="24" t="s">
        <v>782</v>
      </c>
      <c r="D604" s="24" t="s">
        <v>783</v>
      </c>
      <c r="E604" s="25">
        <v>15</v>
      </c>
      <c r="F604" s="25"/>
      <c r="G604" s="25">
        <v>120</v>
      </c>
      <c r="H604" s="25"/>
      <c r="I604" s="22">
        <f t="shared" si="9"/>
        <v>135</v>
      </c>
      <c r="J604">
        <f>VLOOKUP(B604,'[1]KT 광점퍼코드(수익률)'!$A$4:$P$243,16,0)</f>
        <v>2039</v>
      </c>
    </row>
    <row r="605" spans="1:10" ht="15.75" customHeight="1">
      <c r="A605" s="19">
        <v>602</v>
      </c>
      <c r="B605" s="20" t="s">
        <v>784</v>
      </c>
      <c r="C605" s="20" t="s">
        <v>785</v>
      </c>
      <c r="D605" s="20" t="s">
        <v>786</v>
      </c>
      <c r="E605" s="21">
        <v>200</v>
      </c>
      <c r="F605" s="21"/>
      <c r="G605" s="21"/>
      <c r="H605" s="21"/>
      <c r="I605" s="22">
        <f t="shared" si="9"/>
        <v>200</v>
      </c>
      <c r="J605">
        <f>VLOOKUP(B605,'[1]KT 광점퍼코드(수익률)'!$A$4:$P$243,16,0)</f>
        <v>4227</v>
      </c>
    </row>
    <row r="606" spans="1:10" ht="15.75" customHeight="1">
      <c r="A606" s="23">
        <v>603</v>
      </c>
      <c r="B606" s="24" t="s">
        <v>787</v>
      </c>
      <c r="C606" s="24" t="s">
        <v>788</v>
      </c>
      <c r="D606" s="24" t="s">
        <v>789</v>
      </c>
      <c r="E606" s="25">
        <v>100</v>
      </c>
      <c r="F606" s="25"/>
      <c r="G606" s="25">
        <v>101</v>
      </c>
      <c r="H606" s="25"/>
      <c r="I606" s="22">
        <f t="shared" si="9"/>
        <v>201</v>
      </c>
      <c r="J606">
        <f>VLOOKUP(B606,'[1]KT 광점퍼코드(수익률)'!$A$4:$P$243,16,0)</f>
        <v>2122</v>
      </c>
    </row>
    <row r="607" spans="1:10" ht="15.75" customHeight="1">
      <c r="A607" s="19">
        <v>604</v>
      </c>
      <c r="B607" s="20" t="s">
        <v>3051</v>
      </c>
      <c r="C607" s="20" t="s">
        <v>3052</v>
      </c>
      <c r="D607" s="20" t="s">
        <v>3053</v>
      </c>
      <c r="E607" s="21"/>
      <c r="F607" s="21"/>
      <c r="G607" s="21">
        <v>50</v>
      </c>
      <c r="H607" s="21"/>
      <c r="I607" s="22">
        <f t="shared" si="9"/>
        <v>50</v>
      </c>
      <c r="J607">
        <f>VLOOKUP(B607,'[1]KT 광점퍼코드(수익률)'!$A$4:$P$243,16,0)</f>
        <v>4324</v>
      </c>
    </row>
    <row r="608" spans="1:10" ht="15.75" hidden="1" customHeight="1">
      <c r="A608" s="23">
        <v>605</v>
      </c>
      <c r="B608" s="24" t="s">
        <v>790</v>
      </c>
      <c r="C608" s="24" t="s">
        <v>791</v>
      </c>
      <c r="D608" s="24"/>
      <c r="E608" s="25">
        <v>18</v>
      </c>
      <c r="F608" s="25">
        <v>170</v>
      </c>
      <c r="G608" s="25">
        <v>64</v>
      </c>
      <c r="H608" s="25">
        <v>40</v>
      </c>
      <c r="I608" s="22">
        <f t="shared" si="9"/>
        <v>292</v>
      </c>
      <c r="J608" t="e">
        <f>VLOOKUP(B608,'[1]KT 광점퍼코드(수익률)'!$A$4:$P$243,16,0)</f>
        <v>#N/A</v>
      </c>
    </row>
    <row r="609" spans="1:10" ht="15.75" customHeight="1">
      <c r="A609" s="19">
        <v>606</v>
      </c>
      <c r="B609" s="20" t="s">
        <v>792</v>
      </c>
      <c r="C609" s="20" t="s">
        <v>793</v>
      </c>
      <c r="D609" s="20" t="s">
        <v>794</v>
      </c>
      <c r="E609" s="21">
        <v>100</v>
      </c>
      <c r="F609" s="21"/>
      <c r="G609" s="21">
        <v>4</v>
      </c>
      <c r="H609" s="21"/>
      <c r="I609" s="22">
        <f t="shared" si="9"/>
        <v>104</v>
      </c>
      <c r="J609">
        <f>VLOOKUP(B609,'[1]KT 광점퍼코드(수익률)'!$A$4:$P$243,16,0)</f>
        <v>4620</v>
      </c>
    </row>
    <row r="610" spans="1:10" ht="15.75" customHeight="1">
      <c r="A610" s="23">
        <v>607</v>
      </c>
      <c r="B610" s="24" t="s">
        <v>795</v>
      </c>
      <c r="C610" s="24" t="s">
        <v>796</v>
      </c>
      <c r="D610" s="24" t="s">
        <v>797</v>
      </c>
      <c r="E610" s="25">
        <v>184</v>
      </c>
      <c r="F610" s="25">
        <v>36</v>
      </c>
      <c r="G610" s="25">
        <v>300</v>
      </c>
      <c r="H610" s="25">
        <v>2</v>
      </c>
      <c r="I610" s="22">
        <f t="shared" si="9"/>
        <v>522</v>
      </c>
      <c r="J610">
        <f>VLOOKUP(B610,'[1]KT 광점퍼코드(수익률)'!$A$4:$P$243,16,0)</f>
        <v>2306</v>
      </c>
    </row>
    <row r="611" spans="1:10" ht="15.75" customHeight="1">
      <c r="A611" s="19">
        <v>608</v>
      </c>
      <c r="B611" s="20" t="s">
        <v>798</v>
      </c>
      <c r="C611" s="20" t="s">
        <v>799</v>
      </c>
      <c r="D611" s="20" t="s">
        <v>800</v>
      </c>
      <c r="E611" s="21">
        <v>4368</v>
      </c>
      <c r="F611" s="21">
        <v>1080</v>
      </c>
      <c r="G611" s="21">
        <v>782</v>
      </c>
      <c r="H611" s="21">
        <v>710</v>
      </c>
      <c r="I611" s="22">
        <f t="shared" si="9"/>
        <v>6940</v>
      </c>
      <c r="J611">
        <f>VLOOKUP(B611,'[1]KT 광점퍼코드(수익률)'!$A$4:$P$243,16,0)</f>
        <v>4896</v>
      </c>
    </row>
    <row r="612" spans="1:10" ht="15.75" customHeight="1">
      <c r="A612" s="23">
        <v>609</v>
      </c>
      <c r="B612" s="24" t="s">
        <v>801</v>
      </c>
      <c r="C612" s="24" t="s">
        <v>802</v>
      </c>
      <c r="D612" s="24" t="s">
        <v>803</v>
      </c>
      <c r="E612" s="25">
        <v>5373</v>
      </c>
      <c r="F612" s="25">
        <v>2585</v>
      </c>
      <c r="G612" s="25">
        <v>3687</v>
      </c>
      <c r="H612" s="25">
        <v>558</v>
      </c>
      <c r="I612" s="22">
        <f t="shared" si="9"/>
        <v>12203</v>
      </c>
      <c r="J612">
        <f>VLOOKUP(B612,'[1]KT 광점퍼코드(수익률)'!$A$4:$P$243,16,0)</f>
        <v>2285</v>
      </c>
    </row>
    <row r="613" spans="1:10" ht="15.75" customHeight="1">
      <c r="A613" s="19">
        <v>610</v>
      </c>
      <c r="B613" s="20" t="s">
        <v>3054</v>
      </c>
      <c r="C613" s="20" t="s">
        <v>3055</v>
      </c>
      <c r="D613" s="20" t="s">
        <v>3056</v>
      </c>
      <c r="E613" s="21"/>
      <c r="F613" s="21"/>
      <c r="G613" s="21">
        <v>30</v>
      </c>
      <c r="H613" s="21"/>
      <c r="I613" s="22">
        <f t="shared" si="9"/>
        <v>30</v>
      </c>
      <c r="J613">
        <f>VLOOKUP(B613,'[1]KT 광점퍼코드(수익률)'!$A$4:$P$243,16,0)</f>
        <v>4683</v>
      </c>
    </row>
    <row r="614" spans="1:10" ht="15.75" customHeight="1">
      <c r="A614" s="23">
        <v>611</v>
      </c>
      <c r="B614" s="24" t="s">
        <v>3057</v>
      </c>
      <c r="C614" s="24" t="s">
        <v>3058</v>
      </c>
      <c r="D614" s="24" t="s">
        <v>3059</v>
      </c>
      <c r="E614" s="25"/>
      <c r="F614" s="25"/>
      <c r="G614" s="25">
        <v>20</v>
      </c>
      <c r="H614" s="25"/>
      <c r="I614" s="22">
        <f t="shared" si="9"/>
        <v>20</v>
      </c>
      <c r="J614">
        <f>VLOOKUP(B614,'[1]KT 광점퍼코드(수익률)'!$A$4:$P$243,16,0)</f>
        <v>2364</v>
      </c>
    </row>
    <row r="615" spans="1:10" ht="15.75" customHeight="1">
      <c r="A615" s="19">
        <v>612</v>
      </c>
      <c r="B615" s="20" t="s">
        <v>3060</v>
      </c>
      <c r="C615" s="20" t="s">
        <v>3061</v>
      </c>
      <c r="D615" s="20" t="s">
        <v>3062</v>
      </c>
      <c r="E615" s="21"/>
      <c r="F615" s="21"/>
      <c r="G615" s="21">
        <v>80</v>
      </c>
      <c r="H615" s="21"/>
      <c r="I615" s="22">
        <f t="shared" si="9"/>
        <v>80</v>
      </c>
      <c r="J615">
        <f>VLOOKUP(B615,'[1]KT 광점퍼코드(수익률)'!$A$4:$P$243,16,0)</f>
        <v>4999</v>
      </c>
    </row>
    <row r="616" spans="1:10" ht="15.75" customHeight="1">
      <c r="A616" s="23">
        <v>613</v>
      </c>
      <c r="B616" s="24" t="s">
        <v>3063</v>
      </c>
      <c r="C616" s="24" t="s">
        <v>3064</v>
      </c>
      <c r="D616" s="24" t="s">
        <v>3065</v>
      </c>
      <c r="E616" s="25"/>
      <c r="F616" s="25"/>
      <c r="G616" s="25">
        <v>20</v>
      </c>
      <c r="H616" s="25"/>
      <c r="I616" s="22">
        <f t="shared" si="9"/>
        <v>20</v>
      </c>
      <c r="J616">
        <f>VLOOKUP(B616,'[1]KT 광점퍼코드(수익률)'!$A$4:$P$243,16,0)</f>
        <v>2525</v>
      </c>
    </row>
    <row r="617" spans="1:10" ht="15.75" customHeight="1">
      <c r="A617" s="19">
        <v>614</v>
      </c>
      <c r="B617" s="20" t="s">
        <v>804</v>
      </c>
      <c r="C617" s="20" t="s">
        <v>805</v>
      </c>
      <c r="D617" s="20" t="s">
        <v>806</v>
      </c>
      <c r="E617" s="21">
        <v>301</v>
      </c>
      <c r="F617" s="21">
        <v>150</v>
      </c>
      <c r="G617" s="21">
        <v>50</v>
      </c>
      <c r="H617" s="21"/>
      <c r="I617" s="22">
        <f t="shared" si="9"/>
        <v>501</v>
      </c>
      <c r="J617">
        <f>VLOOKUP(B617,'[1]KT 광점퍼코드(수익률)'!$A$4:$P$243,16,0)</f>
        <v>1138</v>
      </c>
    </row>
    <row r="618" spans="1:10" ht="15.75" customHeight="1">
      <c r="A618" s="23">
        <v>615</v>
      </c>
      <c r="B618" s="24" t="s">
        <v>807</v>
      </c>
      <c r="C618" s="24" t="s">
        <v>808</v>
      </c>
      <c r="D618" s="24" t="s">
        <v>809</v>
      </c>
      <c r="E618" s="25">
        <v>56</v>
      </c>
      <c r="F618" s="25">
        <v>330</v>
      </c>
      <c r="G618" s="25">
        <v>50</v>
      </c>
      <c r="H618" s="25"/>
      <c r="I618" s="22">
        <f t="shared" si="9"/>
        <v>436</v>
      </c>
      <c r="J618">
        <f>VLOOKUP(B618,'[1]KT 광점퍼코드(수익률)'!$A$4:$P$243,16,0)</f>
        <v>1142</v>
      </c>
    </row>
    <row r="619" spans="1:10" ht="15.75" customHeight="1">
      <c r="A619" s="19">
        <v>616</v>
      </c>
      <c r="B619" s="20" t="s">
        <v>810</v>
      </c>
      <c r="C619" s="20" t="s">
        <v>811</v>
      </c>
      <c r="D619" s="20" t="s">
        <v>812</v>
      </c>
      <c r="E619" s="21">
        <v>550</v>
      </c>
      <c r="F619" s="21">
        <v>348</v>
      </c>
      <c r="G619" s="21">
        <v>413</v>
      </c>
      <c r="H619" s="21">
        <v>150</v>
      </c>
      <c r="I619" s="22">
        <f t="shared" si="9"/>
        <v>1461</v>
      </c>
      <c r="J619">
        <f>VLOOKUP(B619,'[1]KT 광점퍼코드(수익률)'!$A$4:$P$243,16,0)</f>
        <v>2223</v>
      </c>
    </row>
    <row r="620" spans="1:10" ht="15.75" customHeight="1">
      <c r="A620" s="23">
        <v>617</v>
      </c>
      <c r="B620" s="24" t="s">
        <v>813</v>
      </c>
      <c r="C620" s="24" t="s">
        <v>814</v>
      </c>
      <c r="D620" s="24" t="s">
        <v>815</v>
      </c>
      <c r="E620" s="25">
        <v>4815</v>
      </c>
      <c r="F620" s="25">
        <v>275</v>
      </c>
      <c r="G620" s="25">
        <v>1071</v>
      </c>
      <c r="H620" s="25">
        <v>764</v>
      </c>
      <c r="I620" s="22">
        <f t="shared" si="9"/>
        <v>6925</v>
      </c>
      <c r="J620">
        <f>VLOOKUP(B620,'[1]KT 광점퍼코드(수익률)'!$A$4:$P$243,16,0)</f>
        <v>1121</v>
      </c>
    </row>
    <row r="621" spans="1:10" ht="15.75" hidden="1" customHeight="1">
      <c r="A621" s="19">
        <v>618</v>
      </c>
      <c r="B621" s="20" t="s">
        <v>3066</v>
      </c>
      <c r="C621" s="20" t="s">
        <v>3067</v>
      </c>
      <c r="D621" s="20"/>
      <c r="E621" s="21"/>
      <c r="F621" s="21"/>
      <c r="G621" s="21">
        <v>1</v>
      </c>
      <c r="H621" s="21"/>
      <c r="I621" s="22">
        <f t="shared" si="9"/>
        <v>1</v>
      </c>
      <c r="J621" t="e">
        <f>VLOOKUP(B621,'[1]KT 광점퍼코드(수익률)'!$A$4:$P$243,16,0)</f>
        <v>#N/A</v>
      </c>
    </row>
    <row r="622" spans="1:10" ht="15.75" hidden="1" customHeight="1">
      <c r="A622" s="23">
        <v>619</v>
      </c>
      <c r="B622" s="24" t="s">
        <v>2511</v>
      </c>
      <c r="C622" s="24" t="s">
        <v>2512</v>
      </c>
      <c r="D622" s="24"/>
      <c r="E622" s="25"/>
      <c r="F622" s="25">
        <v>25</v>
      </c>
      <c r="G622" s="25"/>
      <c r="H622" s="25">
        <v>40</v>
      </c>
      <c r="I622" s="22">
        <f t="shared" si="9"/>
        <v>65</v>
      </c>
      <c r="J622" t="e">
        <f>VLOOKUP(B622,'[1]KT 광점퍼코드(수익률)'!$A$4:$P$243,16,0)</f>
        <v>#N/A</v>
      </c>
    </row>
    <row r="623" spans="1:10" ht="15.75" customHeight="1">
      <c r="A623" s="19">
        <v>620</v>
      </c>
      <c r="B623" s="20" t="s">
        <v>2513</v>
      </c>
      <c r="C623" s="20" t="s">
        <v>2514</v>
      </c>
      <c r="D623" s="20" t="s">
        <v>2515</v>
      </c>
      <c r="E623" s="21"/>
      <c r="F623" s="21">
        <v>2</v>
      </c>
      <c r="G623" s="21"/>
      <c r="H623" s="21"/>
      <c r="I623" s="22">
        <f t="shared" si="9"/>
        <v>2</v>
      </c>
      <c r="J623">
        <f>VLOOKUP(B623,'[1]KT 광점퍼코드(수익률)'!$A$4:$P$243,16,0)</f>
        <v>5457</v>
      </c>
    </row>
    <row r="624" spans="1:10" ht="15.75" customHeight="1">
      <c r="A624" s="23">
        <v>621</v>
      </c>
      <c r="B624" s="24" t="s">
        <v>816</v>
      </c>
      <c r="C624" s="24" t="s">
        <v>817</v>
      </c>
      <c r="D624" s="24" t="s">
        <v>818</v>
      </c>
      <c r="E624" s="25">
        <v>115</v>
      </c>
      <c r="F624" s="25">
        <v>9</v>
      </c>
      <c r="G624" s="25">
        <v>60</v>
      </c>
      <c r="H624" s="25"/>
      <c r="I624" s="22">
        <f t="shared" si="9"/>
        <v>184</v>
      </c>
      <c r="J624">
        <f>VLOOKUP(B624,'[1]KT 광점퍼코드(수익률)'!$A$4:$P$243,16,0)</f>
        <v>2711</v>
      </c>
    </row>
    <row r="625" spans="1:10" ht="15.75" customHeight="1">
      <c r="A625" s="19">
        <v>622</v>
      </c>
      <c r="B625" s="20" t="s">
        <v>819</v>
      </c>
      <c r="C625" s="20" t="s">
        <v>820</v>
      </c>
      <c r="D625" s="20" t="s">
        <v>821</v>
      </c>
      <c r="E625" s="21">
        <v>2234</v>
      </c>
      <c r="F625" s="21">
        <v>1406</v>
      </c>
      <c r="G625" s="21">
        <v>901</v>
      </c>
      <c r="H625" s="21">
        <v>755</v>
      </c>
      <c r="I625" s="22">
        <f t="shared" si="9"/>
        <v>5296</v>
      </c>
      <c r="J625">
        <f>VLOOKUP(B625,'[1]KT 광점퍼코드(수익률)'!$A$4:$P$243,16,0)</f>
        <v>5737</v>
      </c>
    </row>
    <row r="626" spans="1:10" ht="15.75" customHeight="1">
      <c r="A626" s="23">
        <v>623</v>
      </c>
      <c r="B626" s="24" t="s">
        <v>822</v>
      </c>
      <c r="C626" s="24" t="s">
        <v>823</v>
      </c>
      <c r="D626" s="24" t="s">
        <v>824</v>
      </c>
      <c r="E626" s="25">
        <v>4099</v>
      </c>
      <c r="F626" s="25">
        <v>2341</v>
      </c>
      <c r="G626" s="25">
        <v>3087</v>
      </c>
      <c r="H626" s="25">
        <v>521</v>
      </c>
      <c r="I626" s="22">
        <f t="shared" si="9"/>
        <v>10048</v>
      </c>
      <c r="J626">
        <f>VLOOKUP(B626,'[1]KT 광점퍼코드(수익률)'!$A$4:$P$243,16,0)</f>
        <v>2687</v>
      </c>
    </row>
    <row r="627" spans="1:10" ht="15.75" customHeight="1">
      <c r="A627" s="19">
        <v>624</v>
      </c>
      <c r="B627" s="20" t="s">
        <v>3068</v>
      </c>
      <c r="C627" s="20" t="s">
        <v>3069</v>
      </c>
      <c r="D627" s="20" t="s">
        <v>3070</v>
      </c>
      <c r="E627" s="21"/>
      <c r="F627" s="21"/>
      <c r="G627" s="21">
        <v>80</v>
      </c>
      <c r="H627" s="21"/>
      <c r="I627" s="22">
        <f t="shared" si="9"/>
        <v>80</v>
      </c>
      <c r="J627">
        <f>VLOOKUP(B627,'[1]KT 광점퍼코드(수익률)'!$A$4:$P$243,16,0)</f>
        <v>5607</v>
      </c>
    </row>
    <row r="628" spans="1:10" ht="15.75" customHeight="1">
      <c r="A628" s="23">
        <v>625</v>
      </c>
      <c r="B628" s="24" t="s">
        <v>825</v>
      </c>
      <c r="C628" s="24" t="s">
        <v>826</v>
      </c>
      <c r="D628" s="24" t="s">
        <v>827</v>
      </c>
      <c r="E628" s="25">
        <v>50</v>
      </c>
      <c r="F628" s="25"/>
      <c r="G628" s="25"/>
      <c r="H628" s="25"/>
      <c r="I628" s="22">
        <f t="shared" si="9"/>
        <v>50</v>
      </c>
      <c r="J628">
        <f>VLOOKUP(B628,'[1]KT 광점퍼코드(수익률)'!$A$4:$P$243,16,0)</f>
        <v>2898</v>
      </c>
    </row>
    <row r="629" spans="1:10" ht="15.75" customHeight="1">
      <c r="A629" s="19">
        <v>626</v>
      </c>
      <c r="B629" s="20" t="s">
        <v>3071</v>
      </c>
      <c r="C629" s="20" t="s">
        <v>3072</v>
      </c>
      <c r="D629" s="20" t="s">
        <v>3073</v>
      </c>
      <c r="E629" s="21"/>
      <c r="F629" s="21"/>
      <c r="G629" s="21">
        <v>30</v>
      </c>
      <c r="H629" s="21"/>
      <c r="I629" s="22">
        <f t="shared" si="9"/>
        <v>30</v>
      </c>
      <c r="J629">
        <f>VLOOKUP(B629,'[1]KT 광점퍼코드(수익률)'!$A$4:$P$243,16,0)</f>
        <v>5908</v>
      </c>
    </row>
    <row r="630" spans="1:10" ht="15.75" hidden="1" customHeight="1">
      <c r="A630" s="23">
        <v>627</v>
      </c>
      <c r="B630" s="24" t="s">
        <v>2516</v>
      </c>
      <c r="C630" s="24" t="s">
        <v>2517</v>
      </c>
      <c r="D630" s="24"/>
      <c r="E630" s="25"/>
      <c r="F630" s="25">
        <v>20</v>
      </c>
      <c r="G630" s="25"/>
      <c r="H630" s="25"/>
      <c r="I630" s="22">
        <f t="shared" si="9"/>
        <v>20</v>
      </c>
      <c r="J630" t="e">
        <f>VLOOKUP(B630,'[1]KT 광점퍼코드(수익률)'!$A$4:$P$243,16,0)</f>
        <v>#N/A</v>
      </c>
    </row>
    <row r="631" spans="1:10" ht="15.75" customHeight="1">
      <c r="A631" s="19">
        <v>628</v>
      </c>
      <c r="B631" s="20" t="s">
        <v>828</v>
      </c>
      <c r="C631" s="20" t="s">
        <v>829</v>
      </c>
      <c r="D631" s="20" t="s">
        <v>830</v>
      </c>
      <c r="E631" s="21">
        <v>5</v>
      </c>
      <c r="F631" s="21"/>
      <c r="G631" s="21">
        <v>10</v>
      </c>
      <c r="H631" s="21"/>
      <c r="I631" s="22">
        <f t="shared" si="9"/>
        <v>15</v>
      </c>
      <c r="J631">
        <f>VLOOKUP(B631,'[1]KT 광점퍼코드(수익률)'!$A$4:$P$243,16,0)</f>
        <v>3114</v>
      </c>
    </row>
    <row r="632" spans="1:10" ht="15.75" customHeight="1">
      <c r="A632" s="23">
        <v>629</v>
      </c>
      <c r="B632" s="24" t="s">
        <v>831</v>
      </c>
      <c r="C632" s="24" t="s">
        <v>832</v>
      </c>
      <c r="D632" s="24" t="s">
        <v>833</v>
      </c>
      <c r="E632" s="25">
        <v>1495</v>
      </c>
      <c r="F632" s="25">
        <v>401</v>
      </c>
      <c r="G632" s="25">
        <v>706</v>
      </c>
      <c r="H632" s="25">
        <v>455</v>
      </c>
      <c r="I632" s="22">
        <f t="shared" si="9"/>
        <v>3057</v>
      </c>
      <c r="J632">
        <f>VLOOKUP(B632,'[1]KT 광점퍼코드(수익률)'!$A$4:$P$243,16,0)</f>
        <v>6564</v>
      </c>
    </row>
    <row r="633" spans="1:10" ht="15.75" customHeight="1">
      <c r="A633" s="19">
        <v>630</v>
      </c>
      <c r="B633" s="20" t="s">
        <v>834</v>
      </c>
      <c r="C633" s="20" t="s">
        <v>835</v>
      </c>
      <c r="D633" s="20" t="s">
        <v>836</v>
      </c>
      <c r="E633" s="21">
        <v>2032</v>
      </c>
      <c r="F633" s="21">
        <v>478</v>
      </c>
      <c r="G633" s="21">
        <v>1302</v>
      </c>
      <c r="H633" s="21">
        <v>182</v>
      </c>
      <c r="I633" s="22">
        <f t="shared" si="9"/>
        <v>3994</v>
      </c>
      <c r="J633">
        <f>VLOOKUP(B633,'[1]KT 광점퍼코드(수익률)'!$A$4:$P$243,16,0)</f>
        <v>3086</v>
      </c>
    </row>
    <row r="634" spans="1:10" ht="15.75" customHeight="1">
      <c r="A634" s="23">
        <v>631</v>
      </c>
      <c r="B634" s="24" t="s">
        <v>3074</v>
      </c>
      <c r="C634" s="24" t="s">
        <v>3075</v>
      </c>
      <c r="D634" s="24" t="s">
        <v>3076</v>
      </c>
      <c r="E634" s="25"/>
      <c r="F634" s="25"/>
      <c r="G634" s="25">
        <v>10</v>
      </c>
      <c r="H634" s="25"/>
      <c r="I634" s="22">
        <f t="shared" si="9"/>
        <v>10</v>
      </c>
      <c r="J634">
        <f>VLOOKUP(B634,'[1]KT 광점퍼코드(수익률)'!$A$4:$P$243,16,0)</f>
        <v>3213</v>
      </c>
    </row>
    <row r="635" spans="1:10" ht="15.75" customHeight="1">
      <c r="A635" s="19">
        <v>632</v>
      </c>
      <c r="B635" s="20" t="s">
        <v>3077</v>
      </c>
      <c r="C635" s="20" t="s">
        <v>3078</v>
      </c>
      <c r="D635" s="20" t="s">
        <v>3079</v>
      </c>
      <c r="E635" s="21"/>
      <c r="F635" s="21"/>
      <c r="G635" s="21">
        <v>50</v>
      </c>
      <c r="H635" s="21"/>
      <c r="I635" s="22">
        <f t="shared" si="9"/>
        <v>50</v>
      </c>
      <c r="J635">
        <f>VLOOKUP(B635,'[1]KT 광점퍼코드(수익률)'!$A$4:$P$243,16,0)</f>
        <v>6470</v>
      </c>
    </row>
    <row r="636" spans="1:10" ht="15.75" customHeight="1">
      <c r="A636" s="23">
        <v>633</v>
      </c>
      <c r="B636" s="24" t="s">
        <v>3080</v>
      </c>
      <c r="C636" s="24" t="s">
        <v>3081</v>
      </c>
      <c r="D636" s="24" t="s">
        <v>3082</v>
      </c>
      <c r="E636" s="25"/>
      <c r="F636" s="25"/>
      <c r="G636" s="25">
        <v>10</v>
      </c>
      <c r="H636" s="25"/>
      <c r="I636" s="22">
        <f t="shared" si="9"/>
        <v>10</v>
      </c>
      <c r="J636">
        <f>VLOOKUP(B636,'[1]KT 광점퍼코드(수익률)'!$A$4:$P$243,16,0)</f>
        <v>3394</v>
      </c>
    </row>
    <row r="637" spans="1:10" ht="15.75" hidden="1" customHeight="1">
      <c r="A637" s="19">
        <v>634</v>
      </c>
      <c r="B637" s="20" t="s">
        <v>2518</v>
      </c>
      <c r="C637" s="20" t="s">
        <v>2519</v>
      </c>
      <c r="D637" s="20"/>
      <c r="E637" s="21"/>
      <c r="F637" s="21">
        <v>100</v>
      </c>
      <c r="G637" s="21">
        <v>3</v>
      </c>
      <c r="H637" s="21">
        <v>10</v>
      </c>
      <c r="I637" s="22">
        <f t="shared" si="9"/>
        <v>113</v>
      </c>
      <c r="J637" t="e">
        <f>VLOOKUP(B637,'[1]KT 광점퍼코드(수익률)'!$A$4:$P$243,16,0)</f>
        <v>#N/A</v>
      </c>
    </row>
    <row r="638" spans="1:10" ht="15.75" customHeight="1">
      <c r="A638" s="23">
        <v>635</v>
      </c>
      <c r="B638" s="24" t="s">
        <v>837</v>
      </c>
      <c r="C638" s="24" t="s">
        <v>838</v>
      </c>
      <c r="D638" s="24" t="s">
        <v>839</v>
      </c>
      <c r="E638" s="25">
        <v>1269</v>
      </c>
      <c r="F638" s="25">
        <v>153</v>
      </c>
      <c r="G638" s="25">
        <v>204</v>
      </c>
      <c r="H638" s="25"/>
      <c r="I638" s="22">
        <f t="shared" si="9"/>
        <v>1626</v>
      </c>
      <c r="J638">
        <f>VLOOKUP(B638,'[1]KT 광점퍼코드(수익률)'!$A$4:$P$243,16,0)</f>
        <v>2390</v>
      </c>
    </row>
    <row r="639" spans="1:10" ht="15.75" customHeight="1">
      <c r="A639" s="19">
        <v>636</v>
      </c>
      <c r="B639" s="20" t="s">
        <v>840</v>
      </c>
      <c r="C639" s="20" t="s">
        <v>841</v>
      </c>
      <c r="D639" s="20" t="s">
        <v>842</v>
      </c>
      <c r="E639" s="21">
        <v>1028</v>
      </c>
      <c r="F639" s="21">
        <v>1419</v>
      </c>
      <c r="G639" s="21">
        <v>328</v>
      </c>
      <c r="H639" s="21">
        <v>134</v>
      </c>
      <c r="I639" s="22">
        <f t="shared" si="9"/>
        <v>2909</v>
      </c>
      <c r="J639">
        <f>VLOOKUP(B639,'[1]KT 광점퍼코드(수익률)'!$A$4:$P$243,16,0)</f>
        <v>1304</v>
      </c>
    </row>
    <row r="640" spans="1:10" ht="15.75" hidden="1" customHeight="1">
      <c r="A640" s="23">
        <v>637</v>
      </c>
      <c r="B640" s="24" t="s">
        <v>2520</v>
      </c>
      <c r="C640" s="24" t="s">
        <v>2521</v>
      </c>
      <c r="D640" s="24"/>
      <c r="E640" s="25"/>
      <c r="F640" s="25">
        <v>10</v>
      </c>
      <c r="G640" s="25"/>
      <c r="H640" s="25"/>
      <c r="I640" s="22">
        <f t="shared" si="9"/>
        <v>10</v>
      </c>
      <c r="J640" t="e">
        <f>VLOOKUP(B640,'[1]KT 광점퍼코드(수익률)'!$A$4:$P$243,16,0)</f>
        <v>#N/A</v>
      </c>
    </row>
    <row r="641" spans="1:10" ht="15.75" customHeight="1">
      <c r="A641" s="19">
        <v>638</v>
      </c>
      <c r="B641" s="20" t="s">
        <v>843</v>
      </c>
      <c r="C641" s="20" t="s">
        <v>844</v>
      </c>
      <c r="D641" s="20"/>
      <c r="E641" s="21">
        <v>3</v>
      </c>
      <c r="F641" s="21">
        <v>2</v>
      </c>
      <c r="G641" s="21"/>
      <c r="H641" s="21">
        <v>1</v>
      </c>
      <c r="I641" s="22">
        <f t="shared" si="9"/>
        <v>6</v>
      </c>
      <c r="J641">
        <f>VLOOKUP(B641,'[1]KT 광점퍼코드(수익률)'!$A$4:$P$243,16,0)</f>
        <v>7057</v>
      </c>
    </row>
    <row r="642" spans="1:10" ht="15.75" customHeight="1">
      <c r="A642" s="23">
        <v>639</v>
      </c>
      <c r="B642" s="24" t="s">
        <v>2522</v>
      </c>
      <c r="C642" s="24" t="s">
        <v>1287</v>
      </c>
      <c r="D642" s="24" t="s">
        <v>2523</v>
      </c>
      <c r="E642" s="25"/>
      <c r="F642" s="25">
        <v>34</v>
      </c>
      <c r="G642" s="25">
        <v>55</v>
      </c>
      <c r="H642" s="25">
        <v>50</v>
      </c>
      <c r="I642" s="22">
        <f t="shared" si="9"/>
        <v>139</v>
      </c>
      <c r="J642">
        <f>VLOOKUP(B642,'[1]KT 광점퍼코드(수익률)'!$A$4:$P$243,16,0)</f>
        <v>3521</v>
      </c>
    </row>
    <row r="643" spans="1:10" ht="15.75" customHeight="1">
      <c r="A643" s="19">
        <v>640</v>
      </c>
      <c r="B643" s="20" t="s">
        <v>845</v>
      </c>
      <c r="C643" s="20" t="s">
        <v>846</v>
      </c>
      <c r="D643" s="20" t="s">
        <v>847</v>
      </c>
      <c r="E643" s="21">
        <v>771</v>
      </c>
      <c r="F643" s="21">
        <v>153</v>
      </c>
      <c r="G643" s="21">
        <v>951</v>
      </c>
      <c r="H643" s="21">
        <v>308</v>
      </c>
      <c r="I643" s="22">
        <f t="shared" si="9"/>
        <v>2183</v>
      </c>
      <c r="J643">
        <f>VLOOKUP(B643,'[1]KT 광점퍼코드(수익률)'!$A$4:$P$243,16,0)</f>
        <v>6838</v>
      </c>
    </row>
    <row r="644" spans="1:10" ht="15.75" customHeight="1">
      <c r="A644" s="23">
        <v>641</v>
      </c>
      <c r="B644" s="24" t="s">
        <v>848</v>
      </c>
      <c r="C644" s="24" t="s">
        <v>849</v>
      </c>
      <c r="D644" s="24" t="s">
        <v>850</v>
      </c>
      <c r="E644" s="25">
        <v>1499</v>
      </c>
      <c r="F644" s="25">
        <v>258</v>
      </c>
      <c r="G644" s="25">
        <v>816</v>
      </c>
      <c r="H644" s="25">
        <v>110</v>
      </c>
      <c r="I644" s="22">
        <f t="shared" ref="I644:I707" si="10">SUM(E644:H644)</f>
        <v>2683</v>
      </c>
      <c r="J644">
        <f>VLOOKUP(B644,'[1]KT 광점퍼코드(수익률)'!$A$4:$P$243,16,0)</f>
        <v>3476</v>
      </c>
    </row>
    <row r="645" spans="1:10" ht="15.75" customHeight="1">
      <c r="A645" s="19">
        <v>642</v>
      </c>
      <c r="B645" s="20" t="s">
        <v>851</v>
      </c>
      <c r="C645" s="20" t="s">
        <v>852</v>
      </c>
      <c r="D645" s="20" t="s">
        <v>853</v>
      </c>
      <c r="E645" s="21">
        <v>463</v>
      </c>
      <c r="F645" s="21">
        <v>104</v>
      </c>
      <c r="G645" s="21">
        <v>155</v>
      </c>
      <c r="H645" s="21">
        <v>100</v>
      </c>
      <c r="I645" s="22">
        <f t="shared" si="10"/>
        <v>822</v>
      </c>
      <c r="J645">
        <f>VLOOKUP(B645,'[1]KT 광점퍼코드(수익률)'!$A$4:$P$243,16,0)</f>
        <v>7600</v>
      </c>
    </row>
    <row r="646" spans="1:10" ht="15.75" customHeight="1">
      <c r="A646" s="23">
        <v>643</v>
      </c>
      <c r="B646" s="24" t="s">
        <v>854</v>
      </c>
      <c r="C646" s="24" t="s">
        <v>855</v>
      </c>
      <c r="D646" s="24" t="s">
        <v>856</v>
      </c>
      <c r="E646" s="25">
        <v>530</v>
      </c>
      <c r="F646" s="25">
        <v>80</v>
      </c>
      <c r="G646" s="25">
        <v>315</v>
      </c>
      <c r="H646" s="25"/>
      <c r="I646" s="22">
        <f t="shared" si="10"/>
        <v>925</v>
      </c>
      <c r="J646">
        <f>VLOOKUP(B646,'[1]KT 광점퍼코드(수익률)'!$A$4:$P$243,16,0)</f>
        <v>3829</v>
      </c>
    </row>
    <row r="647" spans="1:10" ht="15.75" hidden="1" customHeight="1">
      <c r="A647" s="19">
        <v>644</v>
      </c>
      <c r="B647" s="20" t="s">
        <v>857</v>
      </c>
      <c r="C647" s="20" t="s">
        <v>858</v>
      </c>
      <c r="D647" s="20"/>
      <c r="E647" s="21">
        <v>33</v>
      </c>
      <c r="F647" s="21">
        <v>130</v>
      </c>
      <c r="G647" s="21">
        <v>141</v>
      </c>
      <c r="H647" s="21"/>
      <c r="I647" s="22">
        <f t="shared" si="10"/>
        <v>304</v>
      </c>
      <c r="J647" t="e">
        <f>VLOOKUP(B647,'[1]KT 광점퍼코드(수익률)'!$A$4:$P$243,16,0)</f>
        <v>#N/A</v>
      </c>
    </row>
    <row r="648" spans="1:10" ht="15.75" customHeight="1">
      <c r="A648" s="23">
        <v>645</v>
      </c>
      <c r="B648" s="24" t="s">
        <v>859</v>
      </c>
      <c r="C648" s="24" t="s">
        <v>860</v>
      </c>
      <c r="D648" s="24" t="s">
        <v>861</v>
      </c>
      <c r="E648" s="25">
        <v>6324</v>
      </c>
      <c r="F648" s="25">
        <v>7548</v>
      </c>
      <c r="G648" s="25">
        <v>5558</v>
      </c>
      <c r="H648" s="25">
        <v>1140</v>
      </c>
      <c r="I648" s="22">
        <f t="shared" si="10"/>
        <v>20570</v>
      </c>
      <c r="J648">
        <f>VLOOKUP(B648,'[1]KT 광점퍼코드(수익률)'!$A$4:$P$243,16,0)</f>
        <v>1413</v>
      </c>
    </row>
    <row r="649" spans="1:10" ht="15.75" customHeight="1">
      <c r="A649" s="19">
        <v>646</v>
      </c>
      <c r="B649" s="20" t="s">
        <v>3083</v>
      </c>
      <c r="C649" s="20" t="s">
        <v>3084</v>
      </c>
      <c r="D649" s="20" t="s">
        <v>3085</v>
      </c>
      <c r="E649" s="21"/>
      <c r="F649" s="21"/>
      <c r="G649" s="21">
        <v>59</v>
      </c>
      <c r="H649" s="21"/>
      <c r="I649" s="22">
        <f t="shared" si="10"/>
        <v>59</v>
      </c>
      <c r="J649">
        <f>VLOOKUP(B649,'[1]KT 광점퍼코드(수익률)'!$A$4:$P$243,16,0)</f>
        <v>2605</v>
      </c>
    </row>
    <row r="650" spans="1:10" ht="15.75" customHeight="1">
      <c r="A650" s="23">
        <v>647</v>
      </c>
      <c r="B650" s="24" t="s">
        <v>862</v>
      </c>
      <c r="C650" s="24" t="s">
        <v>863</v>
      </c>
      <c r="D650" s="24" t="s">
        <v>864</v>
      </c>
      <c r="E650" s="25">
        <v>797</v>
      </c>
      <c r="F650" s="25">
        <v>642</v>
      </c>
      <c r="G650" s="25">
        <v>12</v>
      </c>
      <c r="H650" s="25">
        <v>330</v>
      </c>
      <c r="I650" s="22">
        <f t="shared" si="10"/>
        <v>1781</v>
      </c>
      <c r="J650">
        <f>VLOOKUP(B650,'[1]KT 광점퍼코드(수익률)'!$A$4:$P$243,16,0)</f>
        <v>1310</v>
      </c>
    </row>
    <row r="651" spans="1:10" ht="15.75" customHeight="1">
      <c r="A651" s="19">
        <v>648</v>
      </c>
      <c r="B651" s="20" t="s">
        <v>865</v>
      </c>
      <c r="C651" s="20" t="s">
        <v>866</v>
      </c>
      <c r="D651" s="20" t="s">
        <v>867</v>
      </c>
      <c r="E651" s="21">
        <v>1073</v>
      </c>
      <c r="F651" s="21">
        <v>834</v>
      </c>
      <c r="G651" s="21">
        <v>795</v>
      </c>
      <c r="H651" s="21">
        <v>350</v>
      </c>
      <c r="I651" s="22">
        <f t="shared" si="10"/>
        <v>3052</v>
      </c>
      <c r="J651">
        <f>VLOOKUP(B651,'[1]KT 광점퍼코드(수익률)'!$A$4:$P$243,16,0)</f>
        <v>2561</v>
      </c>
    </row>
    <row r="652" spans="1:10" ht="15.75" customHeight="1">
      <c r="A652" s="23">
        <v>649</v>
      </c>
      <c r="B652" s="24" t="s">
        <v>868</v>
      </c>
      <c r="C652" s="24" t="s">
        <v>869</v>
      </c>
      <c r="D652" s="24" t="s">
        <v>870</v>
      </c>
      <c r="E652" s="25">
        <v>18322</v>
      </c>
      <c r="F652" s="25">
        <v>40364</v>
      </c>
      <c r="G652" s="25">
        <v>21752</v>
      </c>
      <c r="H652" s="25">
        <v>32036</v>
      </c>
      <c r="I652" s="22">
        <f t="shared" si="10"/>
        <v>112474</v>
      </c>
      <c r="J652">
        <f>VLOOKUP(B652,'[1]KT 광점퍼코드(수익률)'!$A$4:$P$243,16,0)</f>
        <v>1394</v>
      </c>
    </row>
    <row r="653" spans="1:10" ht="15.75" customHeight="1">
      <c r="A653" s="19">
        <v>650</v>
      </c>
      <c r="B653" s="20" t="s">
        <v>871</v>
      </c>
      <c r="C653" s="20" t="s">
        <v>872</v>
      </c>
      <c r="D653" s="20" t="s">
        <v>873</v>
      </c>
      <c r="E653" s="21">
        <v>253</v>
      </c>
      <c r="F653" s="21">
        <v>48</v>
      </c>
      <c r="G653" s="21">
        <v>275</v>
      </c>
      <c r="H653" s="21">
        <v>50</v>
      </c>
      <c r="I653" s="22">
        <f t="shared" si="10"/>
        <v>626</v>
      </c>
      <c r="J653">
        <f>VLOOKUP(B653,'[1]KT 광점퍼코드(수익률)'!$A$4:$P$243,16,0)</f>
        <v>8366</v>
      </c>
    </row>
    <row r="654" spans="1:10" ht="15.75" customHeight="1">
      <c r="A654" s="23">
        <v>651</v>
      </c>
      <c r="B654" s="24" t="s">
        <v>874</v>
      </c>
      <c r="C654" s="24" t="s">
        <v>875</v>
      </c>
      <c r="D654" s="24" t="s">
        <v>876</v>
      </c>
      <c r="E654" s="25">
        <v>49</v>
      </c>
      <c r="F654" s="25">
        <v>191</v>
      </c>
      <c r="G654" s="25">
        <v>73</v>
      </c>
      <c r="H654" s="25">
        <v>6</v>
      </c>
      <c r="I654" s="22">
        <f t="shared" si="10"/>
        <v>319</v>
      </c>
      <c r="J654">
        <f>VLOOKUP(B654,'[1]KT 광점퍼코드(수익률)'!$A$4:$P$243,16,0)</f>
        <v>3829</v>
      </c>
    </row>
    <row r="655" spans="1:10" ht="15.75" customHeight="1">
      <c r="A655" s="19">
        <v>652</v>
      </c>
      <c r="B655" s="20" t="s">
        <v>877</v>
      </c>
      <c r="C655" s="20" t="s">
        <v>878</v>
      </c>
      <c r="D655" s="20" t="s">
        <v>879</v>
      </c>
      <c r="E655" s="21">
        <v>35</v>
      </c>
      <c r="F655" s="21">
        <v>5</v>
      </c>
      <c r="G655" s="21">
        <v>4</v>
      </c>
      <c r="H655" s="21">
        <v>10</v>
      </c>
      <c r="I655" s="22">
        <f t="shared" si="10"/>
        <v>54</v>
      </c>
      <c r="J655">
        <f>VLOOKUP(B655,'[1]KT 광점퍼코드(수익률)'!$A$4:$P$243,16,0)</f>
        <v>9134</v>
      </c>
    </row>
    <row r="656" spans="1:10" ht="15.75" customHeight="1">
      <c r="A656" s="23">
        <v>653</v>
      </c>
      <c r="B656" s="24" t="s">
        <v>880</v>
      </c>
      <c r="C656" s="24" t="s">
        <v>881</v>
      </c>
      <c r="D656" s="24" t="s">
        <v>882</v>
      </c>
      <c r="E656" s="25">
        <v>95</v>
      </c>
      <c r="F656" s="25">
        <v>30</v>
      </c>
      <c r="G656" s="25">
        <v>10</v>
      </c>
      <c r="H656" s="25"/>
      <c r="I656" s="22">
        <f t="shared" si="10"/>
        <v>135</v>
      </c>
      <c r="J656">
        <f>VLOOKUP(B656,'[1]KT 광점퍼코드(수익률)'!$A$4:$P$243,16,0)</f>
        <v>4172</v>
      </c>
    </row>
    <row r="657" spans="1:10" ht="15.75" customHeight="1">
      <c r="A657" s="19">
        <v>654</v>
      </c>
      <c r="B657" s="20" t="s">
        <v>3086</v>
      </c>
      <c r="C657" s="20" t="s">
        <v>3087</v>
      </c>
      <c r="D657" s="20" t="s">
        <v>3088</v>
      </c>
      <c r="E657" s="21"/>
      <c r="F657" s="21"/>
      <c r="G657" s="21">
        <v>50</v>
      </c>
      <c r="H657" s="21"/>
      <c r="I657" s="22">
        <f t="shared" si="10"/>
        <v>50</v>
      </c>
      <c r="J657">
        <f>VLOOKUP(B657,'[1]KT 광점퍼코드(수익률)'!$A$4:$P$243,16,0)</f>
        <v>2946</v>
      </c>
    </row>
    <row r="658" spans="1:10" ht="15.75" customHeight="1">
      <c r="A658" s="23">
        <v>655</v>
      </c>
      <c r="B658" s="24" t="s">
        <v>883</v>
      </c>
      <c r="C658" s="24" t="s">
        <v>884</v>
      </c>
      <c r="D658" s="24" t="s">
        <v>885</v>
      </c>
      <c r="E658" s="25">
        <v>490</v>
      </c>
      <c r="F658" s="25">
        <v>200</v>
      </c>
      <c r="G658" s="25"/>
      <c r="H658" s="25"/>
      <c r="I658" s="22">
        <f t="shared" si="10"/>
        <v>690</v>
      </c>
      <c r="J658">
        <f>VLOOKUP(B658,'[1]KT 광점퍼코드(수익률)'!$A$4:$P$243,16,0)</f>
        <v>1373</v>
      </c>
    </row>
    <row r="659" spans="1:10" ht="15.75" customHeight="1">
      <c r="A659" s="19">
        <v>656</v>
      </c>
      <c r="B659" s="20" t="s">
        <v>886</v>
      </c>
      <c r="C659" s="20" t="s">
        <v>887</v>
      </c>
      <c r="D659" s="20" t="s">
        <v>888</v>
      </c>
      <c r="E659" s="21">
        <v>32</v>
      </c>
      <c r="F659" s="21">
        <v>2</v>
      </c>
      <c r="G659" s="21">
        <v>54</v>
      </c>
      <c r="H659" s="21">
        <v>53</v>
      </c>
      <c r="I659" s="22">
        <f t="shared" si="10"/>
        <v>141</v>
      </c>
      <c r="J659">
        <f>VLOOKUP(B659,'[1]KT 광점퍼코드(수익률)'!$A$4:$P$243,16,0)</f>
        <v>8949</v>
      </c>
    </row>
    <row r="660" spans="1:10" ht="15.75" customHeight="1">
      <c r="A660" s="23">
        <v>657</v>
      </c>
      <c r="B660" s="24" t="s">
        <v>889</v>
      </c>
      <c r="C660" s="24" t="s">
        <v>890</v>
      </c>
      <c r="D660" s="24" t="s">
        <v>891</v>
      </c>
      <c r="E660" s="25">
        <v>145</v>
      </c>
      <c r="F660" s="25">
        <v>50</v>
      </c>
      <c r="G660" s="25"/>
      <c r="H660" s="25"/>
      <c r="I660" s="22">
        <f t="shared" si="10"/>
        <v>195</v>
      </c>
      <c r="J660">
        <f>VLOOKUP(B660,'[1]KT 광점퍼코드(수익률)'!$A$4:$P$243,16,0)</f>
        <v>4528</v>
      </c>
    </row>
    <row r="661" spans="1:10" ht="15.75" hidden="1" customHeight="1">
      <c r="A661" s="19">
        <v>658</v>
      </c>
      <c r="B661" s="20" t="s">
        <v>2524</v>
      </c>
      <c r="C661" s="20" t="s">
        <v>2525</v>
      </c>
      <c r="D661" s="20"/>
      <c r="E661" s="21"/>
      <c r="F661" s="21">
        <v>301</v>
      </c>
      <c r="G661" s="21">
        <v>8</v>
      </c>
      <c r="H661" s="21">
        <v>40</v>
      </c>
      <c r="I661" s="22">
        <f t="shared" si="10"/>
        <v>349</v>
      </c>
      <c r="J661" t="e">
        <f>VLOOKUP(B661,'[1]KT 광점퍼코드(수익률)'!$A$4:$P$243,16,0)</f>
        <v>#N/A</v>
      </c>
    </row>
    <row r="662" spans="1:10" ht="15.75" customHeight="1">
      <c r="A662" s="23">
        <v>659</v>
      </c>
      <c r="B662" s="24" t="s">
        <v>2526</v>
      </c>
      <c r="C662" s="24" t="s">
        <v>2527</v>
      </c>
      <c r="D662" s="24" t="s">
        <v>2528</v>
      </c>
      <c r="E662" s="25"/>
      <c r="F662" s="25">
        <v>2</v>
      </c>
      <c r="G662" s="25">
        <v>8</v>
      </c>
      <c r="H662" s="25"/>
      <c r="I662" s="22">
        <f t="shared" si="10"/>
        <v>10</v>
      </c>
      <c r="J662">
        <f>VLOOKUP(B662,'[1]KT 광점퍼코드(수익률)'!$A$4:$P$243,16,0)</f>
        <v>2940</v>
      </c>
    </row>
    <row r="663" spans="1:10" ht="15.75" customHeight="1">
      <c r="A663" s="19">
        <v>660</v>
      </c>
      <c r="B663" s="20" t="s">
        <v>892</v>
      </c>
      <c r="C663" s="20" t="s">
        <v>893</v>
      </c>
      <c r="D663" s="20" t="s">
        <v>894</v>
      </c>
      <c r="E663" s="21">
        <v>149</v>
      </c>
      <c r="F663" s="21">
        <v>54</v>
      </c>
      <c r="G663" s="21">
        <v>14</v>
      </c>
      <c r="H663" s="21"/>
      <c r="I663" s="22">
        <f t="shared" si="10"/>
        <v>217</v>
      </c>
      <c r="J663">
        <f>VLOOKUP(B663,'[1]KT 광점퍼코드(수익률)'!$A$4:$P$243,16,0)</f>
        <v>1480</v>
      </c>
    </row>
    <row r="664" spans="1:10" ht="15.75" customHeight="1">
      <c r="A664" s="23">
        <v>661</v>
      </c>
      <c r="B664" s="24" t="s">
        <v>895</v>
      </c>
      <c r="C664" s="24" t="s">
        <v>896</v>
      </c>
      <c r="D664" s="24" t="s">
        <v>897</v>
      </c>
      <c r="E664" s="25">
        <v>1653</v>
      </c>
      <c r="F664" s="25">
        <v>646</v>
      </c>
      <c r="G664" s="25">
        <v>463</v>
      </c>
      <c r="H664" s="25">
        <v>790</v>
      </c>
      <c r="I664" s="22">
        <f t="shared" si="10"/>
        <v>3552</v>
      </c>
      <c r="J664">
        <f>VLOOKUP(B664,'[1]KT 광점퍼코드(수익률)'!$A$4:$P$243,16,0)</f>
        <v>3128</v>
      </c>
    </row>
    <row r="665" spans="1:10" ht="15.75" customHeight="1">
      <c r="A665" s="19">
        <v>662</v>
      </c>
      <c r="B665" s="20" t="s">
        <v>898</v>
      </c>
      <c r="C665" s="20" t="s">
        <v>899</v>
      </c>
      <c r="D665" s="20" t="s">
        <v>900</v>
      </c>
      <c r="E665" s="21">
        <v>1125</v>
      </c>
      <c r="F665" s="21">
        <v>1586</v>
      </c>
      <c r="G665" s="21">
        <v>1815</v>
      </c>
      <c r="H665" s="21">
        <v>518</v>
      </c>
      <c r="I665" s="22">
        <f t="shared" si="10"/>
        <v>5044</v>
      </c>
      <c r="J665">
        <f>VLOOKUP(B665,'[1]KT 광점퍼코드(수익률)'!$A$4:$P$243,16,0)</f>
        <v>1574</v>
      </c>
    </row>
    <row r="666" spans="1:10" ht="15.75" hidden="1" customHeight="1">
      <c r="A666" s="23">
        <v>663</v>
      </c>
      <c r="B666" s="24" t="s">
        <v>901</v>
      </c>
      <c r="C666" s="24" t="s">
        <v>902</v>
      </c>
      <c r="D666" s="24" t="s">
        <v>812</v>
      </c>
      <c r="E666" s="25">
        <v>3</v>
      </c>
      <c r="F666" s="25">
        <v>3</v>
      </c>
      <c r="G666" s="25">
        <v>8</v>
      </c>
      <c r="H666" s="25"/>
      <c r="I666" s="22">
        <f t="shared" si="10"/>
        <v>14</v>
      </c>
      <c r="J666" t="e">
        <f>VLOOKUP(B666,'[1]KT 광점퍼코드(수익률)'!$A$4:$P$243,16,0)</f>
        <v>#N/A</v>
      </c>
    </row>
    <row r="667" spans="1:10" ht="15.75" hidden="1" customHeight="1">
      <c r="A667" s="19">
        <v>664</v>
      </c>
      <c r="B667" s="20" t="s">
        <v>2529</v>
      </c>
      <c r="C667" s="20" t="s">
        <v>2530</v>
      </c>
      <c r="D667" s="20"/>
      <c r="E667" s="21"/>
      <c r="F667" s="21">
        <v>28</v>
      </c>
      <c r="G667" s="21"/>
      <c r="H667" s="21"/>
      <c r="I667" s="22">
        <f t="shared" si="10"/>
        <v>28</v>
      </c>
      <c r="J667" t="e">
        <f>VLOOKUP(B667,'[1]KT 광점퍼코드(수익률)'!$A$4:$P$243,16,0)</f>
        <v>#N/A</v>
      </c>
    </row>
    <row r="668" spans="1:10" ht="15.75" customHeight="1">
      <c r="A668" s="23">
        <v>665</v>
      </c>
      <c r="B668" s="24" t="s">
        <v>903</v>
      </c>
      <c r="C668" s="24" t="s">
        <v>904</v>
      </c>
      <c r="D668" s="24" t="s">
        <v>905</v>
      </c>
      <c r="E668" s="25">
        <v>300</v>
      </c>
      <c r="F668" s="25">
        <v>32</v>
      </c>
      <c r="G668" s="25"/>
      <c r="H668" s="25"/>
      <c r="I668" s="22">
        <f t="shared" si="10"/>
        <v>332</v>
      </c>
      <c r="J668">
        <f>VLOOKUP(B668,'[1]KT 광점퍼코드(수익률)'!$A$4:$P$243,16,0)</f>
        <v>1540</v>
      </c>
    </row>
    <row r="669" spans="1:10" ht="15.75" hidden="1" customHeight="1">
      <c r="A669" s="19">
        <v>666</v>
      </c>
      <c r="B669" s="20" t="s">
        <v>2531</v>
      </c>
      <c r="C669" s="20" t="s">
        <v>2532</v>
      </c>
      <c r="D669" s="20"/>
      <c r="E669" s="21"/>
      <c r="F669" s="21">
        <v>20</v>
      </c>
      <c r="G669" s="21"/>
      <c r="H669" s="21">
        <v>40</v>
      </c>
      <c r="I669" s="22">
        <f t="shared" si="10"/>
        <v>60</v>
      </c>
      <c r="J669" t="e">
        <f>VLOOKUP(B669,'[1]KT 광점퍼코드(수익률)'!$A$4:$P$243,16,0)</f>
        <v>#N/A</v>
      </c>
    </row>
    <row r="670" spans="1:10" ht="15.75" customHeight="1">
      <c r="A670" s="23">
        <v>667</v>
      </c>
      <c r="B670" s="24" t="s">
        <v>906</v>
      </c>
      <c r="C670" s="24" t="s">
        <v>907</v>
      </c>
      <c r="D670" s="24" t="s">
        <v>908</v>
      </c>
      <c r="E670" s="25">
        <v>604</v>
      </c>
      <c r="F670" s="25">
        <v>56</v>
      </c>
      <c r="G670" s="25">
        <v>14</v>
      </c>
      <c r="H670" s="25">
        <v>10</v>
      </c>
      <c r="I670" s="22">
        <f t="shared" si="10"/>
        <v>684</v>
      </c>
      <c r="J670">
        <f>VLOOKUP(B670,'[1]KT 광점퍼코드(수익률)'!$A$4:$P$243,16,0)</f>
        <v>3229</v>
      </c>
    </row>
    <row r="671" spans="1:10" ht="15.75" customHeight="1">
      <c r="A671" s="19">
        <v>668</v>
      </c>
      <c r="B671" s="20" t="s">
        <v>909</v>
      </c>
      <c r="C671" s="20" t="s">
        <v>910</v>
      </c>
      <c r="D671" s="20" t="s">
        <v>911</v>
      </c>
      <c r="E671" s="21">
        <v>700</v>
      </c>
      <c r="F671" s="21">
        <v>60</v>
      </c>
      <c r="G671" s="21">
        <v>55</v>
      </c>
      <c r="H671" s="21"/>
      <c r="I671" s="22">
        <f t="shared" si="10"/>
        <v>815</v>
      </c>
      <c r="J671">
        <f>VLOOKUP(B671,'[1]KT 광점퍼코드(수익률)'!$A$4:$P$243,16,0)</f>
        <v>1625</v>
      </c>
    </row>
    <row r="672" spans="1:10" ht="15.75" hidden="1" customHeight="1">
      <c r="A672" s="23">
        <v>669</v>
      </c>
      <c r="B672" s="24" t="s">
        <v>2533</v>
      </c>
      <c r="C672" s="24" t="s">
        <v>2534</v>
      </c>
      <c r="D672" s="24"/>
      <c r="E672" s="25"/>
      <c r="F672" s="25">
        <v>30</v>
      </c>
      <c r="G672" s="25">
        <v>40</v>
      </c>
      <c r="H672" s="25"/>
      <c r="I672" s="22">
        <f t="shared" si="10"/>
        <v>70</v>
      </c>
      <c r="J672" t="e">
        <f>VLOOKUP(B672,'[1]KT 광점퍼코드(수익률)'!$A$4:$P$243,16,0)</f>
        <v>#N/A</v>
      </c>
    </row>
    <row r="673" spans="1:10" ht="15.75" customHeight="1">
      <c r="A673" s="19">
        <v>670</v>
      </c>
      <c r="B673" s="20" t="s">
        <v>912</v>
      </c>
      <c r="C673" s="20" t="s">
        <v>913</v>
      </c>
      <c r="D673" s="20" t="s">
        <v>914</v>
      </c>
      <c r="E673" s="21">
        <v>200</v>
      </c>
      <c r="F673" s="21"/>
      <c r="G673" s="21">
        <v>30</v>
      </c>
      <c r="H673" s="21"/>
      <c r="I673" s="22">
        <f t="shared" si="10"/>
        <v>230</v>
      </c>
      <c r="J673">
        <f>VLOOKUP(B673,'[1]KT 광점퍼코드(수익률)'!$A$4:$P$243,16,0)</f>
        <v>3398</v>
      </c>
    </row>
    <row r="674" spans="1:10" ht="15.75" customHeight="1">
      <c r="A674" s="23">
        <v>671</v>
      </c>
      <c r="B674" s="24" t="s">
        <v>2535</v>
      </c>
      <c r="C674" s="24" t="s">
        <v>2536</v>
      </c>
      <c r="D674" s="24" t="s">
        <v>2537</v>
      </c>
      <c r="E674" s="25"/>
      <c r="F674" s="25">
        <v>100</v>
      </c>
      <c r="G674" s="25">
        <v>320</v>
      </c>
      <c r="H674" s="25"/>
      <c r="I674" s="22">
        <f t="shared" si="10"/>
        <v>420</v>
      </c>
      <c r="J674">
        <f>VLOOKUP(B674,'[1]KT 광점퍼코드(수익률)'!$A$4:$P$243,16,0)</f>
        <v>1708</v>
      </c>
    </row>
    <row r="675" spans="1:10" ht="15.75" hidden="1" customHeight="1">
      <c r="A675" s="19">
        <v>672</v>
      </c>
      <c r="B675" s="20" t="s">
        <v>915</v>
      </c>
      <c r="C675" s="20" t="s">
        <v>916</v>
      </c>
      <c r="D675" s="20"/>
      <c r="E675" s="21">
        <v>1</v>
      </c>
      <c r="F675" s="21">
        <v>175</v>
      </c>
      <c r="G675" s="21"/>
      <c r="H675" s="21">
        <v>10</v>
      </c>
      <c r="I675" s="22">
        <f t="shared" si="10"/>
        <v>186</v>
      </c>
      <c r="J675" t="e">
        <f>VLOOKUP(B675,'[1]KT 광점퍼코드(수익률)'!$A$4:$P$243,16,0)</f>
        <v>#N/A</v>
      </c>
    </row>
    <row r="676" spans="1:10" ht="15.75" hidden="1" customHeight="1">
      <c r="A676" s="23">
        <v>673</v>
      </c>
      <c r="B676" s="24" t="s">
        <v>917</v>
      </c>
      <c r="C676" s="24" t="s">
        <v>918</v>
      </c>
      <c r="D676" s="24" t="s">
        <v>919</v>
      </c>
      <c r="E676" s="25">
        <v>2</v>
      </c>
      <c r="F676" s="25"/>
      <c r="G676" s="25">
        <v>6</v>
      </c>
      <c r="H676" s="25"/>
      <c r="I676" s="22">
        <f t="shared" si="10"/>
        <v>8</v>
      </c>
      <c r="J676" t="e">
        <f>VLOOKUP(B676,'[1]KT 광점퍼코드(수익률)'!$A$4:$P$243,16,0)</f>
        <v>#N/A</v>
      </c>
    </row>
    <row r="677" spans="1:10" ht="15.75" hidden="1" customHeight="1">
      <c r="A677" s="19">
        <v>674</v>
      </c>
      <c r="B677" s="20" t="s">
        <v>920</v>
      </c>
      <c r="C677" s="20" t="s">
        <v>921</v>
      </c>
      <c r="D677" s="20" t="s">
        <v>922</v>
      </c>
      <c r="E677" s="21">
        <v>2</v>
      </c>
      <c r="F677" s="21"/>
      <c r="G677" s="21">
        <v>1</v>
      </c>
      <c r="H677" s="21"/>
      <c r="I677" s="22">
        <f t="shared" si="10"/>
        <v>3</v>
      </c>
      <c r="J677" t="e">
        <f>VLOOKUP(B677,'[1]KT 광점퍼코드(수익률)'!$A$4:$P$243,16,0)</f>
        <v>#N/A</v>
      </c>
    </row>
    <row r="678" spans="1:10" ht="15.75" hidden="1" customHeight="1">
      <c r="A678" s="23">
        <v>675</v>
      </c>
      <c r="B678" s="24" t="s">
        <v>923</v>
      </c>
      <c r="C678" s="24" t="s">
        <v>924</v>
      </c>
      <c r="D678" s="24" t="s">
        <v>919</v>
      </c>
      <c r="E678" s="25">
        <v>2</v>
      </c>
      <c r="F678" s="25"/>
      <c r="G678" s="25"/>
      <c r="H678" s="25"/>
      <c r="I678" s="22">
        <f t="shared" si="10"/>
        <v>2</v>
      </c>
      <c r="J678" t="e">
        <f>VLOOKUP(B678,'[1]KT 광점퍼코드(수익률)'!$A$4:$P$243,16,0)</f>
        <v>#N/A</v>
      </c>
    </row>
    <row r="679" spans="1:10" ht="15.75" hidden="1" customHeight="1">
      <c r="A679" s="19">
        <v>676</v>
      </c>
      <c r="B679" s="20" t="s">
        <v>925</v>
      </c>
      <c r="C679" s="20" t="s">
        <v>926</v>
      </c>
      <c r="D679" s="20" t="s">
        <v>919</v>
      </c>
      <c r="E679" s="21">
        <v>2</v>
      </c>
      <c r="F679" s="21"/>
      <c r="G679" s="21"/>
      <c r="H679" s="21"/>
      <c r="I679" s="22">
        <f t="shared" si="10"/>
        <v>2</v>
      </c>
      <c r="J679" t="e">
        <f>VLOOKUP(B679,'[1]KT 광점퍼코드(수익률)'!$A$4:$P$243,16,0)</f>
        <v>#N/A</v>
      </c>
    </row>
    <row r="680" spans="1:10" ht="15.75" hidden="1" customHeight="1">
      <c r="A680" s="23">
        <v>677</v>
      </c>
      <c r="B680" s="24" t="s">
        <v>3089</v>
      </c>
      <c r="C680" s="24" t="s">
        <v>3090</v>
      </c>
      <c r="D680" s="24" t="s">
        <v>919</v>
      </c>
      <c r="E680" s="25"/>
      <c r="F680" s="25"/>
      <c r="G680" s="25">
        <v>8</v>
      </c>
      <c r="H680" s="25"/>
      <c r="I680" s="22">
        <f t="shared" si="10"/>
        <v>8</v>
      </c>
      <c r="J680" t="e">
        <f>VLOOKUP(B680,'[1]KT 광점퍼코드(수익률)'!$A$4:$P$243,16,0)</f>
        <v>#N/A</v>
      </c>
    </row>
    <row r="681" spans="1:10" ht="15.75" hidden="1" customHeight="1">
      <c r="A681" s="19">
        <v>678</v>
      </c>
      <c r="B681" s="20" t="s">
        <v>927</v>
      </c>
      <c r="C681" s="20" t="s">
        <v>928</v>
      </c>
      <c r="D681" s="20" t="s">
        <v>929</v>
      </c>
      <c r="E681" s="21">
        <v>45</v>
      </c>
      <c r="F681" s="21">
        <v>50</v>
      </c>
      <c r="G681" s="21">
        <v>10</v>
      </c>
      <c r="H681" s="21">
        <v>60</v>
      </c>
      <c r="I681" s="22">
        <f t="shared" si="10"/>
        <v>165</v>
      </c>
      <c r="J681" t="e">
        <f>VLOOKUP(B681,'[1]KT 광점퍼코드(수익률)'!$A$4:$P$243,16,0)</f>
        <v>#N/A</v>
      </c>
    </row>
    <row r="682" spans="1:10" ht="15.75" hidden="1" customHeight="1">
      <c r="A682" s="23">
        <v>679</v>
      </c>
      <c r="B682" s="24" t="s">
        <v>930</v>
      </c>
      <c r="C682" s="24" t="s">
        <v>931</v>
      </c>
      <c r="D682" s="24" t="s">
        <v>932</v>
      </c>
      <c r="E682" s="25">
        <v>50</v>
      </c>
      <c r="F682" s="25"/>
      <c r="G682" s="25">
        <v>40</v>
      </c>
      <c r="H682" s="25"/>
      <c r="I682" s="22">
        <f t="shared" si="10"/>
        <v>90</v>
      </c>
      <c r="J682" t="e">
        <f>VLOOKUP(B682,'[1]KT 광점퍼코드(수익률)'!$A$4:$P$243,16,0)</f>
        <v>#N/A</v>
      </c>
    </row>
    <row r="683" spans="1:10" ht="15.75" customHeight="1">
      <c r="A683" s="19">
        <v>680</v>
      </c>
      <c r="B683" s="20" t="s">
        <v>2538</v>
      </c>
      <c r="C683" s="20" t="s">
        <v>1245</v>
      </c>
      <c r="D683" s="20" t="s">
        <v>2539</v>
      </c>
      <c r="E683" s="21"/>
      <c r="F683" s="21">
        <v>20</v>
      </c>
      <c r="G683" s="21"/>
      <c r="H683" s="21"/>
      <c r="I683" s="22">
        <f t="shared" si="10"/>
        <v>20</v>
      </c>
      <c r="J683">
        <f>VLOOKUP(B683,'[1]KT 광점퍼코드(수익률)'!$A$4:$P$243,16,0)</f>
        <v>37395</v>
      </c>
    </row>
    <row r="684" spans="1:10" ht="15.75" hidden="1" customHeight="1">
      <c r="A684" s="23">
        <v>681</v>
      </c>
      <c r="B684" s="24" t="s">
        <v>933</v>
      </c>
      <c r="C684" s="24" t="s">
        <v>934</v>
      </c>
      <c r="D684" s="24" t="s">
        <v>935</v>
      </c>
      <c r="E684" s="25">
        <v>98</v>
      </c>
      <c r="F684" s="25">
        <v>131</v>
      </c>
      <c r="G684" s="25">
        <v>128</v>
      </c>
      <c r="H684" s="25">
        <v>90</v>
      </c>
      <c r="I684" s="22">
        <f t="shared" si="10"/>
        <v>447</v>
      </c>
      <c r="J684" t="e">
        <f>VLOOKUP(B684,'[1]KT 광점퍼코드(수익률)'!$A$4:$P$243,16,0)</f>
        <v>#N/A</v>
      </c>
    </row>
    <row r="685" spans="1:10" ht="15.75" hidden="1" customHeight="1">
      <c r="A685" s="19">
        <v>682</v>
      </c>
      <c r="B685" s="20" t="s">
        <v>2540</v>
      </c>
      <c r="C685" s="20" t="s">
        <v>928</v>
      </c>
      <c r="D685" s="20" t="s">
        <v>929</v>
      </c>
      <c r="E685" s="21"/>
      <c r="F685" s="21">
        <v>10</v>
      </c>
      <c r="G685" s="21"/>
      <c r="H685" s="21"/>
      <c r="I685" s="22">
        <f t="shared" si="10"/>
        <v>10</v>
      </c>
      <c r="J685" t="e">
        <f>VLOOKUP(B685,'[1]KT 광점퍼코드(수익률)'!$A$4:$P$243,16,0)</f>
        <v>#N/A</v>
      </c>
    </row>
    <row r="686" spans="1:10" ht="15.75" hidden="1" customHeight="1">
      <c r="A686" s="23">
        <v>683</v>
      </c>
      <c r="B686" s="24" t="s">
        <v>2541</v>
      </c>
      <c r="C686" s="24" t="s">
        <v>2542</v>
      </c>
      <c r="D686" s="24" t="s">
        <v>935</v>
      </c>
      <c r="E686" s="25"/>
      <c r="F686" s="25">
        <v>1</v>
      </c>
      <c r="G686" s="25"/>
      <c r="H686" s="25"/>
      <c r="I686" s="22">
        <f t="shared" si="10"/>
        <v>1</v>
      </c>
      <c r="J686" t="e">
        <f>VLOOKUP(B686,'[1]KT 광점퍼코드(수익률)'!$A$4:$P$243,16,0)</f>
        <v>#N/A</v>
      </c>
    </row>
    <row r="687" spans="1:10" ht="15.75" hidden="1" customHeight="1">
      <c r="A687" s="19">
        <v>684</v>
      </c>
      <c r="B687" s="20" t="s">
        <v>2543</v>
      </c>
      <c r="C687" s="20" t="s">
        <v>2544</v>
      </c>
      <c r="D687" s="20" t="s">
        <v>929</v>
      </c>
      <c r="E687" s="21"/>
      <c r="F687" s="21">
        <v>10</v>
      </c>
      <c r="G687" s="21"/>
      <c r="H687" s="21"/>
      <c r="I687" s="22">
        <f t="shared" si="10"/>
        <v>10</v>
      </c>
      <c r="J687" t="e">
        <f>VLOOKUP(B687,'[1]KT 광점퍼코드(수익률)'!$A$4:$P$243,16,0)</f>
        <v>#N/A</v>
      </c>
    </row>
    <row r="688" spans="1:10" ht="15.75" hidden="1" customHeight="1">
      <c r="A688" s="23">
        <v>685</v>
      </c>
      <c r="B688" s="24" t="s">
        <v>936</v>
      </c>
      <c r="C688" s="24" t="s">
        <v>937</v>
      </c>
      <c r="D688" s="24" t="s">
        <v>929</v>
      </c>
      <c r="E688" s="25">
        <v>105</v>
      </c>
      <c r="F688" s="25">
        <v>40</v>
      </c>
      <c r="G688" s="25">
        <v>10</v>
      </c>
      <c r="H688" s="25">
        <v>130</v>
      </c>
      <c r="I688" s="22">
        <f t="shared" si="10"/>
        <v>285</v>
      </c>
      <c r="J688" t="e">
        <f>VLOOKUP(B688,'[1]KT 광점퍼코드(수익률)'!$A$4:$P$243,16,0)</f>
        <v>#N/A</v>
      </c>
    </row>
    <row r="689" spans="1:10" ht="15.75" customHeight="1">
      <c r="A689" s="19">
        <v>686</v>
      </c>
      <c r="B689" s="20" t="s">
        <v>2545</v>
      </c>
      <c r="C689" s="20" t="s">
        <v>1304</v>
      </c>
      <c r="D689" s="20" t="s">
        <v>2546</v>
      </c>
      <c r="E689" s="21"/>
      <c r="F689" s="21">
        <v>10</v>
      </c>
      <c r="G689" s="21"/>
      <c r="H689" s="21"/>
      <c r="I689" s="22">
        <f t="shared" si="10"/>
        <v>10</v>
      </c>
      <c r="J689">
        <f>VLOOKUP(B689,'[1]KT 광점퍼코드(수익률)'!$A$4:$P$243,16,0)</f>
        <v>44575</v>
      </c>
    </row>
    <row r="690" spans="1:10" ht="15.75" hidden="1" customHeight="1">
      <c r="A690" s="23">
        <v>687</v>
      </c>
      <c r="B690" s="24" t="s">
        <v>3091</v>
      </c>
      <c r="C690" s="24" t="s">
        <v>3092</v>
      </c>
      <c r="D690" s="24" t="s">
        <v>1142</v>
      </c>
      <c r="E690" s="25"/>
      <c r="F690" s="25"/>
      <c r="G690" s="25">
        <v>55</v>
      </c>
      <c r="H690" s="25">
        <v>150</v>
      </c>
      <c r="I690" s="22">
        <f t="shared" si="10"/>
        <v>205</v>
      </c>
      <c r="J690" t="e">
        <f>VLOOKUP(B690,'[1]KT 광점퍼코드(수익률)'!$A$4:$P$243,16,0)</f>
        <v>#N/A</v>
      </c>
    </row>
    <row r="691" spans="1:10" ht="15.75" hidden="1" customHeight="1">
      <c r="A691" s="19">
        <v>688</v>
      </c>
      <c r="B691" s="20" t="s">
        <v>938</v>
      </c>
      <c r="C691" s="20" t="s">
        <v>939</v>
      </c>
      <c r="D691" s="20" t="s">
        <v>935</v>
      </c>
      <c r="E691" s="21">
        <v>10</v>
      </c>
      <c r="F691" s="21">
        <v>50</v>
      </c>
      <c r="G691" s="21">
        <v>84</v>
      </c>
      <c r="H691" s="21">
        <v>160</v>
      </c>
      <c r="I691" s="22">
        <f t="shared" si="10"/>
        <v>304</v>
      </c>
      <c r="J691" t="e">
        <f>VLOOKUP(B691,'[1]KT 광점퍼코드(수익률)'!$A$4:$P$243,16,0)</f>
        <v>#N/A</v>
      </c>
    </row>
    <row r="692" spans="1:10" ht="15.75" hidden="1" customHeight="1">
      <c r="A692" s="23">
        <v>689</v>
      </c>
      <c r="B692" s="24" t="s">
        <v>2547</v>
      </c>
      <c r="C692" s="24" t="s">
        <v>2548</v>
      </c>
      <c r="D692" s="24" t="s">
        <v>929</v>
      </c>
      <c r="E692" s="25"/>
      <c r="F692" s="25">
        <v>10</v>
      </c>
      <c r="G692" s="25"/>
      <c r="H692" s="25"/>
      <c r="I692" s="22">
        <f t="shared" si="10"/>
        <v>10</v>
      </c>
      <c r="J692" t="e">
        <f>VLOOKUP(B692,'[1]KT 광점퍼코드(수익률)'!$A$4:$P$243,16,0)</f>
        <v>#N/A</v>
      </c>
    </row>
    <row r="693" spans="1:10" ht="15.75" customHeight="1">
      <c r="A693" s="19">
        <v>690</v>
      </c>
      <c r="B693" s="20" t="s">
        <v>940</v>
      </c>
      <c r="C693" s="20" t="s">
        <v>941</v>
      </c>
      <c r="D693" s="20" t="s">
        <v>929</v>
      </c>
      <c r="E693" s="21">
        <v>10</v>
      </c>
      <c r="F693" s="21"/>
      <c r="G693" s="21"/>
      <c r="H693" s="21"/>
      <c r="I693" s="22">
        <f t="shared" si="10"/>
        <v>10</v>
      </c>
      <c r="J693">
        <f>VLOOKUP(B693,'[1]KT 광점퍼코드(수익률)'!$A$4:$P$243,16,0)</f>
        <v>15116</v>
      </c>
    </row>
    <row r="694" spans="1:10" ht="15.75" customHeight="1">
      <c r="A694" s="23">
        <v>691</v>
      </c>
      <c r="B694" s="24" t="s">
        <v>942</v>
      </c>
      <c r="C694" s="24" t="s">
        <v>943</v>
      </c>
      <c r="D694" s="24" t="s">
        <v>932</v>
      </c>
      <c r="E694" s="25">
        <v>1380</v>
      </c>
      <c r="F694" s="25">
        <v>100</v>
      </c>
      <c r="G694" s="25"/>
      <c r="H694" s="25"/>
      <c r="I694" s="22">
        <f t="shared" si="10"/>
        <v>1480</v>
      </c>
      <c r="J694">
        <f>VLOOKUP(B694,'[1]KT 광점퍼코드(수익률)'!$A$4:$P$243,16,0)</f>
        <v>20110</v>
      </c>
    </row>
    <row r="695" spans="1:10" ht="15.75" customHeight="1">
      <c r="A695" s="19">
        <v>692</v>
      </c>
      <c r="B695" s="20" t="s">
        <v>944</v>
      </c>
      <c r="C695" s="20" t="s">
        <v>945</v>
      </c>
      <c r="D695" s="20" t="s">
        <v>946</v>
      </c>
      <c r="E695" s="21">
        <v>154</v>
      </c>
      <c r="F695" s="21">
        <v>6</v>
      </c>
      <c r="G695" s="21"/>
      <c r="H695" s="21"/>
      <c r="I695" s="22">
        <f t="shared" si="10"/>
        <v>160</v>
      </c>
      <c r="J695">
        <f>VLOOKUP(B695,'[1]KT 광점퍼코드(수익률)'!$A$4:$P$243,16,0)</f>
        <v>24472</v>
      </c>
    </row>
    <row r="696" spans="1:10" ht="15.75" customHeight="1">
      <c r="A696" s="23">
        <v>693</v>
      </c>
      <c r="B696" s="24" t="s">
        <v>947</v>
      </c>
      <c r="C696" s="24" t="s">
        <v>948</v>
      </c>
      <c r="D696" s="24" t="s">
        <v>935</v>
      </c>
      <c r="E696" s="25">
        <v>619</v>
      </c>
      <c r="F696" s="25"/>
      <c r="G696" s="25">
        <v>70</v>
      </c>
      <c r="H696" s="25"/>
      <c r="I696" s="22">
        <f t="shared" si="10"/>
        <v>689</v>
      </c>
      <c r="J696">
        <f>VLOOKUP(B696,'[1]KT 광점퍼코드(수익률)'!$A$4:$P$243,16,0)</f>
        <v>10963</v>
      </c>
    </row>
    <row r="697" spans="1:10" ht="15.75" hidden="1" customHeight="1">
      <c r="A697" s="19">
        <v>694</v>
      </c>
      <c r="B697" s="20" t="s">
        <v>2549</v>
      </c>
      <c r="C697" s="20" t="s">
        <v>1332</v>
      </c>
      <c r="D697" s="20" t="s">
        <v>929</v>
      </c>
      <c r="E697" s="21"/>
      <c r="F697" s="21">
        <v>13</v>
      </c>
      <c r="G697" s="21"/>
      <c r="H697" s="21">
        <v>130</v>
      </c>
      <c r="I697" s="22">
        <f t="shared" si="10"/>
        <v>143</v>
      </c>
      <c r="J697" t="e">
        <f>VLOOKUP(B697,'[1]KT 광점퍼코드(수익률)'!$A$4:$P$243,16,0)</f>
        <v>#N/A</v>
      </c>
    </row>
    <row r="698" spans="1:10" ht="15.75" customHeight="1">
      <c r="A698" s="23">
        <v>695</v>
      </c>
      <c r="B698" s="24" t="s">
        <v>949</v>
      </c>
      <c r="C698" s="24" t="s">
        <v>950</v>
      </c>
      <c r="D698" s="24" t="s">
        <v>951</v>
      </c>
      <c r="E698" s="25">
        <v>1</v>
      </c>
      <c r="F698" s="25"/>
      <c r="G698" s="25"/>
      <c r="H698" s="25"/>
      <c r="I698" s="22">
        <f t="shared" si="10"/>
        <v>1</v>
      </c>
      <c r="J698">
        <f>VLOOKUP(B698,'[1]KT 광점퍼코드(수익률)'!$A$4:$P$243,16,0)</f>
        <v>51757</v>
      </c>
    </row>
    <row r="699" spans="1:10" ht="15.75" hidden="1" customHeight="1">
      <c r="A699" s="19">
        <v>696</v>
      </c>
      <c r="B699" s="20" t="s">
        <v>2550</v>
      </c>
      <c r="C699" s="20" t="s">
        <v>2551</v>
      </c>
      <c r="D699" s="20" t="s">
        <v>1142</v>
      </c>
      <c r="E699" s="21"/>
      <c r="F699" s="21">
        <v>3</v>
      </c>
      <c r="G699" s="21">
        <v>25</v>
      </c>
      <c r="H699" s="21">
        <v>150</v>
      </c>
      <c r="I699" s="22">
        <f t="shared" si="10"/>
        <v>178</v>
      </c>
      <c r="J699" t="e">
        <f>VLOOKUP(B699,'[1]KT 광점퍼코드(수익률)'!$A$4:$P$243,16,0)</f>
        <v>#N/A</v>
      </c>
    </row>
    <row r="700" spans="1:10" ht="15.75" hidden="1" customHeight="1">
      <c r="A700" s="23">
        <v>697</v>
      </c>
      <c r="B700" s="24" t="s">
        <v>3093</v>
      </c>
      <c r="C700" s="24" t="s">
        <v>3094</v>
      </c>
      <c r="D700" s="24" t="s">
        <v>935</v>
      </c>
      <c r="E700" s="25"/>
      <c r="F700" s="25"/>
      <c r="G700" s="25">
        <v>50</v>
      </c>
      <c r="H700" s="25">
        <v>160</v>
      </c>
      <c r="I700" s="22">
        <f t="shared" si="10"/>
        <v>210</v>
      </c>
      <c r="J700" t="e">
        <f>VLOOKUP(B700,'[1]KT 광점퍼코드(수익률)'!$A$4:$P$243,16,0)</f>
        <v>#N/A</v>
      </c>
    </row>
    <row r="701" spans="1:10" ht="15.75" hidden="1" customHeight="1">
      <c r="A701" s="19">
        <v>698</v>
      </c>
      <c r="B701" s="20" t="s">
        <v>2552</v>
      </c>
      <c r="C701" s="20" t="s">
        <v>2553</v>
      </c>
      <c r="D701" s="20" t="s">
        <v>929</v>
      </c>
      <c r="E701" s="21"/>
      <c r="F701" s="21">
        <v>11</v>
      </c>
      <c r="G701" s="21">
        <v>5</v>
      </c>
      <c r="H701" s="21">
        <v>130</v>
      </c>
      <c r="I701" s="22">
        <f t="shared" si="10"/>
        <v>146</v>
      </c>
      <c r="J701" t="e">
        <f>VLOOKUP(B701,'[1]KT 광점퍼코드(수익률)'!$A$4:$P$243,16,0)</f>
        <v>#N/A</v>
      </c>
    </row>
    <row r="702" spans="1:10" ht="15.75" hidden="1" customHeight="1">
      <c r="A702" s="23">
        <v>699</v>
      </c>
      <c r="B702" s="24" t="s">
        <v>3095</v>
      </c>
      <c r="C702" s="24" t="s">
        <v>1273</v>
      </c>
      <c r="D702" s="24" t="s">
        <v>932</v>
      </c>
      <c r="E702" s="25"/>
      <c r="F702" s="25"/>
      <c r="G702" s="25">
        <v>12</v>
      </c>
      <c r="H702" s="25"/>
      <c r="I702" s="22">
        <f t="shared" si="10"/>
        <v>12</v>
      </c>
      <c r="J702" t="e">
        <f>VLOOKUP(B702,'[1]KT 광점퍼코드(수익률)'!$A$4:$P$243,16,0)</f>
        <v>#N/A</v>
      </c>
    </row>
    <row r="703" spans="1:10" ht="15.75" hidden="1" customHeight="1">
      <c r="A703" s="19">
        <v>700</v>
      </c>
      <c r="B703" s="20" t="s">
        <v>2554</v>
      </c>
      <c r="C703" s="20" t="s">
        <v>2555</v>
      </c>
      <c r="D703" s="20" t="s">
        <v>946</v>
      </c>
      <c r="E703" s="21"/>
      <c r="F703" s="21">
        <v>1</v>
      </c>
      <c r="G703" s="21"/>
      <c r="H703" s="21"/>
      <c r="I703" s="22">
        <f t="shared" si="10"/>
        <v>1</v>
      </c>
      <c r="J703" t="e">
        <f>VLOOKUP(B703,'[1]KT 광점퍼코드(수익률)'!$A$4:$P$243,16,0)</f>
        <v>#N/A</v>
      </c>
    </row>
    <row r="704" spans="1:10" ht="15.75" hidden="1" customHeight="1">
      <c r="A704" s="23">
        <v>701</v>
      </c>
      <c r="B704" s="24" t="s">
        <v>3096</v>
      </c>
      <c r="C704" s="24" t="s">
        <v>1329</v>
      </c>
      <c r="D704" s="24" t="s">
        <v>935</v>
      </c>
      <c r="E704" s="25"/>
      <c r="F704" s="25"/>
      <c r="G704" s="25">
        <v>21</v>
      </c>
      <c r="H704" s="25">
        <v>160</v>
      </c>
      <c r="I704" s="22">
        <f t="shared" si="10"/>
        <v>181</v>
      </c>
      <c r="J704" t="e">
        <f>VLOOKUP(B704,'[1]KT 광점퍼코드(수익률)'!$A$4:$P$243,16,0)</f>
        <v>#N/A</v>
      </c>
    </row>
    <row r="705" spans="1:10" ht="15.75" hidden="1" customHeight="1">
      <c r="A705" s="19">
        <v>702</v>
      </c>
      <c r="B705" s="20" t="s">
        <v>3097</v>
      </c>
      <c r="C705" s="20" t="s">
        <v>1277</v>
      </c>
      <c r="D705" s="20" t="s">
        <v>946</v>
      </c>
      <c r="E705" s="21"/>
      <c r="F705" s="21"/>
      <c r="G705" s="21">
        <v>1</v>
      </c>
      <c r="H705" s="21"/>
      <c r="I705" s="22">
        <f t="shared" si="10"/>
        <v>1</v>
      </c>
      <c r="J705" t="e">
        <f>VLOOKUP(B705,'[1]KT 광점퍼코드(수익률)'!$A$4:$P$243,16,0)</f>
        <v>#N/A</v>
      </c>
    </row>
    <row r="706" spans="1:10" ht="15.75" hidden="1" customHeight="1">
      <c r="A706" s="23">
        <v>703</v>
      </c>
      <c r="B706" s="24" t="s">
        <v>3098</v>
      </c>
      <c r="C706" s="24" t="s">
        <v>3099</v>
      </c>
      <c r="D706" s="24" t="s">
        <v>929</v>
      </c>
      <c r="E706" s="25"/>
      <c r="F706" s="25"/>
      <c r="G706" s="25">
        <v>5</v>
      </c>
      <c r="H706" s="25">
        <v>30</v>
      </c>
      <c r="I706" s="22">
        <f t="shared" si="10"/>
        <v>35</v>
      </c>
      <c r="J706" t="e">
        <f>VLOOKUP(B706,'[1]KT 광점퍼코드(수익률)'!$A$4:$P$243,16,0)</f>
        <v>#N/A</v>
      </c>
    </row>
    <row r="707" spans="1:10" ht="15.75" hidden="1" customHeight="1">
      <c r="A707" s="19">
        <v>704</v>
      </c>
      <c r="B707" s="20" t="s">
        <v>952</v>
      </c>
      <c r="C707" s="20" t="s">
        <v>953</v>
      </c>
      <c r="D707" s="20" t="s">
        <v>946</v>
      </c>
      <c r="E707" s="21">
        <v>1</v>
      </c>
      <c r="F707" s="21"/>
      <c r="G707" s="21"/>
      <c r="H707" s="21"/>
      <c r="I707" s="22">
        <f t="shared" si="10"/>
        <v>1</v>
      </c>
      <c r="J707" t="e">
        <f>VLOOKUP(B707,'[1]KT 광점퍼코드(수익률)'!$A$4:$P$243,16,0)</f>
        <v>#N/A</v>
      </c>
    </row>
    <row r="708" spans="1:10" ht="15.75" hidden="1" customHeight="1">
      <c r="A708" s="23">
        <v>705</v>
      </c>
      <c r="B708" s="24" t="s">
        <v>3100</v>
      </c>
      <c r="C708" s="24" t="s">
        <v>3101</v>
      </c>
      <c r="D708" s="24" t="s">
        <v>1142</v>
      </c>
      <c r="E708" s="25"/>
      <c r="F708" s="25"/>
      <c r="G708" s="25">
        <v>5</v>
      </c>
      <c r="H708" s="25">
        <v>50</v>
      </c>
      <c r="I708" s="22">
        <f t="shared" ref="I708:I771" si="11">SUM(E708:H708)</f>
        <v>55</v>
      </c>
      <c r="J708" t="e">
        <f>VLOOKUP(B708,'[1]KT 광점퍼코드(수익률)'!$A$4:$P$243,16,0)</f>
        <v>#N/A</v>
      </c>
    </row>
    <row r="709" spans="1:10" ht="15.75" hidden="1" customHeight="1">
      <c r="A709" s="19">
        <v>706</v>
      </c>
      <c r="B709" s="20" t="s">
        <v>3102</v>
      </c>
      <c r="C709" s="20" t="s">
        <v>3103</v>
      </c>
      <c r="D709" s="20" t="s">
        <v>935</v>
      </c>
      <c r="E709" s="21"/>
      <c r="F709" s="21"/>
      <c r="G709" s="21">
        <v>20</v>
      </c>
      <c r="H709" s="21">
        <v>50</v>
      </c>
      <c r="I709" s="22">
        <f t="shared" si="11"/>
        <v>70</v>
      </c>
      <c r="J709" t="e">
        <f>VLOOKUP(B709,'[1]KT 광점퍼코드(수익률)'!$A$4:$P$243,16,0)</f>
        <v>#N/A</v>
      </c>
    </row>
    <row r="710" spans="1:10" ht="15.75" hidden="1" customHeight="1">
      <c r="A710" s="23">
        <v>707</v>
      </c>
      <c r="B710" s="24" t="s">
        <v>3104</v>
      </c>
      <c r="C710" s="24" t="s">
        <v>3105</v>
      </c>
      <c r="D710" s="24" t="s">
        <v>946</v>
      </c>
      <c r="E710" s="25"/>
      <c r="F710" s="25"/>
      <c r="G710" s="25">
        <v>2</v>
      </c>
      <c r="H710" s="25"/>
      <c r="I710" s="22">
        <f t="shared" si="11"/>
        <v>2</v>
      </c>
      <c r="J710" t="e">
        <f>VLOOKUP(B710,'[1]KT 광점퍼코드(수익률)'!$A$4:$P$243,16,0)</f>
        <v>#N/A</v>
      </c>
    </row>
    <row r="711" spans="1:10" ht="15.75" hidden="1" customHeight="1">
      <c r="A711" s="19">
        <v>708</v>
      </c>
      <c r="B711" s="20" t="s">
        <v>954</v>
      </c>
      <c r="C711" s="20" t="s">
        <v>955</v>
      </c>
      <c r="D711" s="20" t="s">
        <v>932</v>
      </c>
      <c r="E711" s="21">
        <v>200</v>
      </c>
      <c r="F711" s="21">
        <v>400</v>
      </c>
      <c r="G711" s="21"/>
      <c r="H711" s="21"/>
      <c r="I711" s="22">
        <f t="shared" si="11"/>
        <v>600</v>
      </c>
      <c r="J711" t="e">
        <f>VLOOKUP(B711,'[1]KT 광점퍼코드(수익률)'!$A$4:$P$243,16,0)</f>
        <v>#N/A</v>
      </c>
    </row>
    <row r="712" spans="1:10" ht="15.75" hidden="1" customHeight="1">
      <c r="A712" s="23">
        <v>709</v>
      </c>
      <c r="B712" s="24" t="s">
        <v>2556</v>
      </c>
      <c r="C712" s="24" t="s">
        <v>2557</v>
      </c>
      <c r="D712" s="24" t="s">
        <v>935</v>
      </c>
      <c r="E712" s="25"/>
      <c r="F712" s="25">
        <v>300</v>
      </c>
      <c r="G712" s="25"/>
      <c r="H712" s="25"/>
      <c r="I712" s="22">
        <f t="shared" si="11"/>
        <v>300</v>
      </c>
      <c r="J712" t="e">
        <f>VLOOKUP(B712,'[1]KT 광점퍼코드(수익률)'!$A$4:$P$243,16,0)</f>
        <v>#N/A</v>
      </c>
    </row>
    <row r="713" spans="1:10" ht="15.75" hidden="1" customHeight="1">
      <c r="A713" s="19">
        <v>710</v>
      </c>
      <c r="B713" s="20" t="s">
        <v>3106</v>
      </c>
      <c r="C713" s="20" t="s">
        <v>3107</v>
      </c>
      <c r="D713" s="20" t="s">
        <v>932</v>
      </c>
      <c r="E713" s="21"/>
      <c r="F713" s="21"/>
      <c r="G713" s="21">
        <v>30</v>
      </c>
      <c r="H713" s="21"/>
      <c r="I713" s="22">
        <f t="shared" si="11"/>
        <v>30</v>
      </c>
      <c r="J713" t="e">
        <f>VLOOKUP(B713,'[1]KT 광점퍼코드(수익률)'!$A$4:$P$243,16,0)</f>
        <v>#N/A</v>
      </c>
    </row>
    <row r="714" spans="1:10" ht="15.75" hidden="1" customHeight="1">
      <c r="A714" s="23">
        <v>711</v>
      </c>
      <c r="B714" s="24" t="s">
        <v>956</v>
      </c>
      <c r="C714" s="24" t="s">
        <v>957</v>
      </c>
      <c r="D714" s="24" t="s">
        <v>946</v>
      </c>
      <c r="E714" s="25">
        <v>4</v>
      </c>
      <c r="F714" s="25">
        <v>6</v>
      </c>
      <c r="G714" s="25"/>
      <c r="H714" s="25"/>
      <c r="I714" s="22">
        <f t="shared" si="11"/>
        <v>10</v>
      </c>
      <c r="J714" t="e">
        <f>VLOOKUP(B714,'[1]KT 광점퍼코드(수익률)'!$A$4:$P$243,16,0)</f>
        <v>#N/A</v>
      </c>
    </row>
    <row r="715" spans="1:10" ht="15.75" hidden="1" customHeight="1">
      <c r="A715" s="19">
        <v>712</v>
      </c>
      <c r="B715" s="20" t="s">
        <v>3108</v>
      </c>
      <c r="C715" s="20" t="s">
        <v>3109</v>
      </c>
      <c r="D715" s="20" t="s">
        <v>929</v>
      </c>
      <c r="E715" s="21"/>
      <c r="F715" s="21"/>
      <c r="G715" s="21">
        <v>40</v>
      </c>
      <c r="H715" s="21"/>
      <c r="I715" s="22">
        <f t="shared" si="11"/>
        <v>40</v>
      </c>
      <c r="J715" t="e">
        <f>VLOOKUP(B715,'[1]KT 광점퍼코드(수익률)'!$A$4:$P$243,16,0)</f>
        <v>#N/A</v>
      </c>
    </row>
    <row r="716" spans="1:10" ht="15.75" hidden="1" customHeight="1">
      <c r="A716" s="23">
        <v>713</v>
      </c>
      <c r="B716" s="24" t="s">
        <v>958</v>
      </c>
      <c r="C716" s="24" t="s">
        <v>959</v>
      </c>
      <c r="D716" s="24" t="s">
        <v>932</v>
      </c>
      <c r="E716" s="25">
        <v>300</v>
      </c>
      <c r="F716" s="25">
        <v>200</v>
      </c>
      <c r="G716" s="25">
        <v>15</v>
      </c>
      <c r="H716" s="25"/>
      <c r="I716" s="22">
        <f t="shared" si="11"/>
        <v>515</v>
      </c>
      <c r="J716" t="e">
        <f>VLOOKUP(B716,'[1]KT 광점퍼코드(수익률)'!$A$4:$P$243,16,0)</f>
        <v>#N/A</v>
      </c>
    </row>
    <row r="717" spans="1:10" ht="15.75" hidden="1" customHeight="1">
      <c r="A717" s="19">
        <v>714</v>
      </c>
      <c r="B717" s="20" t="s">
        <v>3110</v>
      </c>
      <c r="C717" s="20" t="s">
        <v>3111</v>
      </c>
      <c r="D717" s="20" t="s">
        <v>3112</v>
      </c>
      <c r="E717" s="21"/>
      <c r="F717" s="21"/>
      <c r="G717" s="21">
        <v>9</v>
      </c>
      <c r="H717" s="21"/>
      <c r="I717" s="22">
        <f t="shared" si="11"/>
        <v>9</v>
      </c>
      <c r="J717" t="e">
        <f>VLOOKUP(B717,'[1]KT 광점퍼코드(수익률)'!$A$4:$P$243,16,0)</f>
        <v>#N/A</v>
      </c>
    </row>
    <row r="718" spans="1:10" ht="15.75" hidden="1" customHeight="1">
      <c r="A718" s="23">
        <v>715</v>
      </c>
      <c r="B718" s="24" t="s">
        <v>2558</v>
      </c>
      <c r="C718" s="24" t="s">
        <v>2559</v>
      </c>
      <c r="D718" s="24" t="s">
        <v>1142</v>
      </c>
      <c r="E718" s="25"/>
      <c r="F718" s="25">
        <v>200</v>
      </c>
      <c r="G718" s="25"/>
      <c r="H718" s="25"/>
      <c r="I718" s="22">
        <f t="shared" si="11"/>
        <v>200</v>
      </c>
      <c r="J718" t="e">
        <f>VLOOKUP(B718,'[1]KT 광점퍼코드(수익률)'!$A$4:$P$243,16,0)</f>
        <v>#N/A</v>
      </c>
    </row>
    <row r="719" spans="1:10" ht="15.75" hidden="1" customHeight="1">
      <c r="A719" s="19">
        <v>716</v>
      </c>
      <c r="B719" s="20" t="s">
        <v>2560</v>
      </c>
      <c r="C719" s="20" t="s">
        <v>2561</v>
      </c>
      <c r="D719" s="20" t="s">
        <v>935</v>
      </c>
      <c r="E719" s="21"/>
      <c r="F719" s="21">
        <v>300</v>
      </c>
      <c r="G719" s="21">
        <v>137</v>
      </c>
      <c r="H719" s="21"/>
      <c r="I719" s="22">
        <f t="shared" si="11"/>
        <v>437</v>
      </c>
      <c r="J719" t="e">
        <f>VLOOKUP(B719,'[1]KT 광점퍼코드(수익률)'!$A$4:$P$243,16,0)</f>
        <v>#N/A</v>
      </c>
    </row>
    <row r="720" spans="1:10" ht="15.75" hidden="1" customHeight="1">
      <c r="A720" s="23">
        <v>717</v>
      </c>
      <c r="B720" s="24" t="s">
        <v>3113</v>
      </c>
      <c r="C720" s="24" t="s">
        <v>3114</v>
      </c>
      <c r="D720" s="24" t="s">
        <v>935</v>
      </c>
      <c r="E720" s="25"/>
      <c r="F720" s="25"/>
      <c r="G720" s="25">
        <v>34</v>
      </c>
      <c r="H720" s="25"/>
      <c r="I720" s="22">
        <f t="shared" si="11"/>
        <v>34</v>
      </c>
      <c r="J720" t="e">
        <f>VLOOKUP(B720,'[1]KT 광점퍼코드(수익률)'!$A$4:$P$243,16,0)</f>
        <v>#N/A</v>
      </c>
    </row>
    <row r="721" spans="1:10" ht="15.75" hidden="1" customHeight="1">
      <c r="A721" s="19">
        <v>718</v>
      </c>
      <c r="B721" s="20" t="s">
        <v>960</v>
      </c>
      <c r="C721" s="20" t="s">
        <v>961</v>
      </c>
      <c r="D721" s="20" t="s">
        <v>929</v>
      </c>
      <c r="E721" s="21">
        <v>80</v>
      </c>
      <c r="F721" s="21">
        <v>63</v>
      </c>
      <c r="G721" s="21"/>
      <c r="H721" s="21"/>
      <c r="I721" s="22">
        <f t="shared" si="11"/>
        <v>143</v>
      </c>
      <c r="J721" t="e">
        <f>VLOOKUP(B721,'[1]KT 광점퍼코드(수익률)'!$A$4:$P$243,16,0)</f>
        <v>#N/A</v>
      </c>
    </row>
    <row r="722" spans="1:10" ht="15.75" hidden="1" customHeight="1">
      <c r="A722" s="23">
        <v>719</v>
      </c>
      <c r="B722" s="24" t="s">
        <v>2562</v>
      </c>
      <c r="C722" s="24" t="s">
        <v>2563</v>
      </c>
      <c r="D722" s="24" t="s">
        <v>946</v>
      </c>
      <c r="E722" s="25"/>
      <c r="F722" s="25">
        <v>40</v>
      </c>
      <c r="G722" s="25"/>
      <c r="H722" s="25"/>
      <c r="I722" s="22">
        <f t="shared" si="11"/>
        <v>40</v>
      </c>
      <c r="J722" t="e">
        <f>VLOOKUP(B722,'[1]KT 광점퍼코드(수익률)'!$A$4:$P$243,16,0)</f>
        <v>#N/A</v>
      </c>
    </row>
    <row r="723" spans="1:10" ht="15.75" hidden="1" customHeight="1">
      <c r="A723" s="19">
        <v>720</v>
      </c>
      <c r="B723" s="20" t="s">
        <v>2564</v>
      </c>
      <c r="C723" s="20" t="s">
        <v>2565</v>
      </c>
      <c r="D723" s="20" t="s">
        <v>935</v>
      </c>
      <c r="E723" s="21"/>
      <c r="F723" s="21">
        <v>20</v>
      </c>
      <c r="G723" s="21">
        <v>10</v>
      </c>
      <c r="H723" s="21"/>
      <c r="I723" s="22">
        <f t="shared" si="11"/>
        <v>30</v>
      </c>
      <c r="J723" t="e">
        <f>VLOOKUP(B723,'[1]KT 광점퍼코드(수익률)'!$A$4:$P$243,16,0)</f>
        <v>#N/A</v>
      </c>
    </row>
    <row r="724" spans="1:10" ht="15.75" customHeight="1">
      <c r="A724" s="23">
        <v>721</v>
      </c>
      <c r="B724" s="24" t="s">
        <v>2566</v>
      </c>
      <c r="C724" s="24" t="s">
        <v>2567</v>
      </c>
      <c r="D724" s="24" t="s">
        <v>2568</v>
      </c>
      <c r="E724" s="25"/>
      <c r="F724" s="25">
        <v>15</v>
      </c>
      <c r="G724" s="25">
        <v>52</v>
      </c>
      <c r="H724" s="25"/>
      <c r="I724" s="22">
        <f t="shared" si="11"/>
        <v>67</v>
      </c>
      <c r="J724">
        <f>VLOOKUP(B724,'[1]KT 광점퍼코드(수익률)'!$A$4:$P$243,16,0)</f>
        <v>1904</v>
      </c>
    </row>
    <row r="725" spans="1:10" ht="15.75" hidden="1" customHeight="1">
      <c r="A725" s="19">
        <v>722</v>
      </c>
      <c r="B725" s="20" t="s">
        <v>2569</v>
      </c>
      <c r="C725" s="20" t="s">
        <v>2570</v>
      </c>
      <c r="D725" s="20"/>
      <c r="E725" s="21"/>
      <c r="F725" s="21">
        <v>15</v>
      </c>
      <c r="G725" s="21">
        <v>60</v>
      </c>
      <c r="H725" s="21">
        <v>10</v>
      </c>
      <c r="I725" s="22">
        <f t="shared" si="11"/>
        <v>85</v>
      </c>
      <c r="J725" t="e">
        <f>VLOOKUP(B725,'[1]KT 광점퍼코드(수익률)'!$A$4:$P$243,16,0)</f>
        <v>#N/A</v>
      </c>
    </row>
    <row r="726" spans="1:10" ht="15.75" customHeight="1">
      <c r="A726" s="23">
        <v>723</v>
      </c>
      <c r="B726" s="24" t="s">
        <v>3115</v>
      </c>
      <c r="C726" s="24" t="s">
        <v>3116</v>
      </c>
      <c r="D726" s="24" t="s">
        <v>3117</v>
      </c>
      <c r="E726" s="25"/>
      <c r="F726" s="25"/>
      <c r="G726" s="25">
        <v>120</v>
      </c>
      <c r="H726" s="25"/>
      <c r="I726" s="22">
        <f t="shared" si="11"/>
        <v>120</v>
      </c>
      <c r="J726">
        <f>VLOOKUP(B726,'[1]KT 광점퍼코드(수익률)'!$A$4:$P$243,16,0)</f>
        <v>2203</v>
      </c>
    </row>
    <row r="727" spans="1:10" ht="15.75" hidden="1" customHeight="1">
      <c r="A727" s="19">
        <v>724</v>
      </c>
      <c r="B727" s="20" t="s">
        <v>962</v>
      </c>
      <c r="C727" s="20" t="s">
        <v>963</v>
      </c>
      <c r="D727" s="20"/>
      <c r="E727" s="21">
        <v>50</v>
      </c>
      <c r="F727" s="21"/>
      <c r="G727" s="21">
        <v>6</v>
      </c>
      <c r="H727" s="21"/>
      <c r="I727" s="22">
        <f t="shared" si="11"/>
        <v>56</v>
      </c>
      <c r="J727" t="e">
        <f>VLOOKUP(B727,'[1]KT 광점퍼코드(수익률)'!$A$4:$P$243,16,0)</f>
        <v>#N/A</v>
      </c>
    </row>
    <row r="728" spans="1:10" ht="15.75" hidden="1" customHeight="1">
      <c r="A728" s="23">
        <v>725</v>
      </c>
      <c r="B728" s="24" t="s">
        <v>3118</v>
      </c>
      <c r="C728" s="24" t="s">
        <v>3119</v>
      </c>
      <c r="D728" s="24" t="s">
        <v>932</v>
      </c>
      <c r="E728" s="25"/>
      <c r="F728" s="25"/>
      <c r="G728" s="25">
        <v>5</v>
      </c>
      <c r="H728" s="25"/>
      <c r="I728" s="22">
        <f t="shared" si="11"/>
        <v>5</v>
      </c>
      <c r="J728" t="e">
        <f>VLOOKUP(B728,'[1]KT 광점퍼코드(수익률)'!$A$4:$P$243,16,0)</f>
        <v>#N/A</v>
      </c>
    </row>
    <row r="729" spans="1:10" ht="15.75" hidden="1" customHeight="1">
      <c r="A729" s="19">
        <v>726</v>
      </c>
      <c r="B729" s="20" t="s">
        <v>3120</v>
      </c>
      <c r="C729" s="20" t="s">
        <v>3121</v>
      </c>
      <c r="D729" s="20"/>
      <c r="E729" s="21"/>
      <c r="F729" s="21"/>
      <c r="G729" s="21">
        <v>10</v>
      </c>
      <c r="H729" s="21"/>
      <c r="I729" s="22">
        <f t="shared" si="11"/>
        <v>10</v>
      </c>
      <c r="J729" t="e">
        <f>VLOOKUP(B729,'[1]KT 광점퍼코드(수익률)'!$A$4:$P$243,16,0)</f>
        <v>#N/A</v>
      </c>
    </row>
    <row r="730" spans="1:10" ht="15.75" hidden="1" customHeight="1">
      <c r="A730" s="23">
        <v>727</v>
      </c>
      <c r="B730" s="24" t="s">
        <v>2571</v>
      </c>
      <c r="C730" s="24" t="s">
        <v>2572</v>
      </c>
      <c r="D730" s="24" t="s">
        <v>935</v>
      </c>
      <c r="E730" s="25"/>
      <c r="F730" s="25">
        <v>42</v>
      </c>
      <c r="G730" s="25">
        <v>85</v>
      </c>
      <c r="H730" s="25"/>
      <c r="I730" s="22">
        <f t="shared" si="11"/>
        <v>127</v>
      </c>
      <c r="J730" t="e">
        <f>VLOOKUP(B730,'[1]KT 광점퍼코드(수익률)'!$A$4:$P$243,16,0)</f>
        <v>#N/A</v>
      </c>
    </row>
    <row r="731" spans="1:10" ht="15.75" hidden="1" customHeight="1">
      <c r="A731" s="19">
        <v>728</v>
      </c>
      <c r="B731" s="20" t="s">
        <v>964</v>
      </c>
      <c r="C731" s="20" t="s">
        <v>965</v>
      </c>
      <c r="D731" s="20"/>
      <c r="E731" s="21">
        <v>100</v>
      </c>
      <c r="F731" s="21"/>
      <c r="G731" s="21"/>
      <c r="H731" s="21"/>
      <c r="I731" s="22">
        <f t="shared" si="11"/>
        <v>100</v>
      </c>
      <c r="J731" t="e">
        <f>VLOOKUP(B731,'[1]KT 광점퍼코드(수익률)'!$A$4:$P$243,16,0)</f>
        <v>#N/A</v>
      </c>
    </row>
    <row r="732" spans="1:10" ht="15.75" hidden="1" customHeight="1">
      <c r="A732" s="23">
        <v>729</v>
      </c>
      <c r="B732" s="24" t="s">
        <v>3122</v>
      </c>
      <c r="C732" s="24" t="s">
        <v>3123</v>
      </c>
      <c r="D732" s="24" t="s">
        <v>1142</v>
      </c>
      <c r="E732" s="25"/>
      <c r="F732" s="25"/>
      <c r="G732" s="25">
        <v>5</v>
      </c>
      <c r="H732" s="25">
        <v>150</v>
      </c>
      <c r="I732" s="22">
        <f t="shared" si="11"/>
        <v>155</v>
      </c>
      <c r="J732" t="e">
        <f>VLOOKUP(B732,'[1]KT 광점퍼코드(수익률)'!$A$4:$P$243,16,0)</f>
        <v>#N/A</v>
      </c>
    </row>
    <row r="733" spans="1:10" ht="15.75" customHeight="1">
      <c r="A733" s="19">
        <v>730</v>
      </c>
      <c r="B733" s="20" t="s">
        <v>2573</v>
      </c>
      <c r="C733" s="20" t="s">
        <v>2574</v>
      </c>
      <c r="D733" s="20" t="s">
        <v>2575</v>
      </c>
      <c r="E733" s="21"/>
      <c r="F733" s="21">
        <v>3</v>
      </c>
      <c r="G733" s="21"/>
      <c r="H733" s="21"/>
      <c r="I733" s="22">
        <f t="shared" si="11"/>
        <v>3</v>
      </c>
      <c r="J733">
        <f>VLOOKUP(B733,'[1]KT 광점퍼코드(수익률)'!$A$4:$P$243,16,0)</f>
        <v>3197</v>
      </c>
    </row>
    <row r="734" spans="1:10" ht="15.75" hidden="1" customHeight="1">
      <c r="A734" s="23">
        <v>731</v>
      </c>
      <c r="B734" s="24" t="s">
        <v>2576</v>
      </c>
      <c r="C734" s="24" t="s">
        <v>2577</v>
      </c>
      <c r="D734" s="24"/>
      <c r="E734" s="25"/>
      <c r="F734" s="25">
        <v>178</v>
      </c>
      <c r="G734" s="25"/>
      <c r="H734" s="25"/>
      <c r="I734" s="22">
        <f t="shared" si="11"/>
        <v>178</v>
      </c>
      <c r="J734" t="e">
        <f>VLOOKUP(B734,'[1]KT 광점퍼코드(수익률)'!$A$4:$P$243,16,0)</f>
        <v>#N/A</v>
      </c>
    </row>
    <row r="735" spans="1:10" ht="15.75" hidden="1" customHeight="1">
      <c r="A735" s="19">
        <v>732</v>
      </c>
      <c r="B735" s="20" t="s">
        <v>966</v>
      </c>
      <c r="C735" s="20" t="s">
        <v>967</v>
      </c>
      <c r="D735" s="20"/>
      <c r="E735" s="21">
        <v>30</v>
      </c>
      <c r="F735" s="21">
        <v>70</v>
      </c>
      <c r="G735" s="21">
        <v>10</v>
      </c>
      <c r="H735" s="21"/>
      <c r="I735" s="22">
        <f t="shared" si="11"/>
        <v>110</v>
      </c>
      <c r="J735" t="e">
        <f>VLOOKUP(B735,'[1]KT 광점퍼코드(수익률)'!$A$4:$P$243,16,0)</f>
        <v>#N/A</v>
      </c>
    </row>
    <row r="736" spans="1:10" ht="15.75" hidden="1" customHeight="1">
      <c r="A736" s="23">
        <v>733</v>
      </c>
      <c r="B736" s="24" t="s">
        <v>2578</v>
      </c>
      <c r="C736" s="24" t="s">
        <v>1233</v>
      </c>
      <c r="D736" s="24"/>
      <c r="E736" s="25"/>
      <c r="F736" s="25">
        <v>26</v>
      </c>
      <c r="G736" s="25">
        <v>50</v>
      </c>
      <c r="H736" s="25"/>
      <c r="I736" s="22">
        <f t="shared" si="11"/>
        <v>76</v>
      </c>
      <c r="J736" t="e">
        <f>VLOOKUP(B736,'[1]KT 광점퍼코드(수익률)'!$A$4:$P$243,16,0)</f>
        <v>#N/A</v>
      </c>
    </row>
    <row r="737" spans="1:10" ht="15.75" hidden="1" customHeight="1">
      <c r="A737" s="19">
        <v>734</v>
      </c>
      <c r="B737" s="20" t="s">
        <v>2579</v>
      </c>
      <c r="C737" s="20" t="s">
        <v>2580</v>
      </c>
      <c r="D737" s="20"/>
      <c r="E737" s="21"/>
      <c r="F737" s="21">
        <v>18</v>
      </c>
      <c r="G737" s="21">
        <v>5</v>
      </c>
      <c r="H737" s="21"/>
      <c r="I737" s="22">
        <f t="shared" si="11"/>
        <v>23</v>
      </c>
      <c r="J737" t="e">
        <f>VLOOKUP(B737,'[1]KT 광점퍼코드(수익률)'!$A$4:$P$243,16,0)</f>
        <v>#N/A</v>
      </c>
    </row>
    <row r="738" spans="1:10" ht="15.75" hidden="1" customHeight="1">
      <c r="A738" s="23">
        <v>735</v>
      </c>
      <c r="B738" s="24" t="s">
        <v>2581</v>
      </c>
      <c r="C738" s="24" t="s">
        <v>1153</v>
      </c>
      <c r="D738" s="24"/>
      <c r="E738" s="25"/>
      <c r="F738" s="25">
        <v>7</v>
      </c>
      <c r="G738" s="25">
        <v>5</v>
      </c>
      <c r="H738" s="25"/>
      <c r="I738" s="22">
        <f t="shared" si="11"/>
        <v>12</v>
      </c>
      <c r="J738" t="e">
        <f>VLOOKUP(B738,'[1]KT 광점퍼코드(수익률)'!$A$4:$P$243,16,0)</f>
        <v>#N/A</v>
      </c>
    </row>
    <row r="739" spans="1:10" ht="15.75" hidden="1" customHeight="1">
      <c r="A739" s="19">
        <v>736</v>
      </c>
      <c r="B739" s="20" t="s">
        <v>2582</v>
      </c>
      <c r="C739" s="20" t="s">
        <v>2583</v>
      </c>
      <c r="D739" s="20"/>
      <c r="E739" s="21"/>
      <c r="F739" s="21">
        <v>21</v>
      </c>
      <c r="G739" s="21"/>
      <c r="H739" s="21"/>
      <c r="I739" s="22">
        <f t="shared" si="11"/>
        <v>21</v>
      </c>
      <c r="J739" t="e">
        <f>VLOOKUP(B739,'[1]KT 광점퍼코드(수익률)'!$A$4:$P$243,16,0)</f>
        <v>#N/A</v>
      </c>
    </row>
    <row r="740" spans="1:10" ht="15.75" hidden="1" customHeight="1">
      <c r="A740" s="23">
        <v>737</v>
      </c>
      <c r="B740" s="24" t="s">
        <v>2584</v>
      </c>
      <c r="C740" s="24" t="s">
        <v>2585</v>
      </c>
      <c r="D740" s="24"/>
      <c r="E740" s="25"/>
      <c r="F740" s="25">
        <v>12</v>
      </c>
      <c r="G740" s="25"/>
      <c r="H740" s="25"/>
      <c r="I740" s="22">
        <f t="shared" si="11"/>
        <v>12</v>
      </c>
      <c r="J740" t="e">
        <f>VLOOKUP(B740,'[1]KT 광점퍼코드(수익률)'!$A$4:$P$243,16,0)</f>
        <v>#N/A</v>
      </c>
    </row>
    <row r="741" spans="1:10" ht="15.75" hidden="1" customHeight="1">
      <c r="A741" s="19">
        <v>738</v>
      </c>
      <c r="B741" s="20" t="s">
        <v>2586</v>
      </c>
      <c r="C741" s="20" t="s">
        <v>2587</v>
      </c>
      <c r="D741" s="20"/>
      <c r="E741" s="21"/>
      <c r="F741" s="21">
        <v>18</v>
      </c>
      <c r="G741" s="21"/>
      <c r="H741" s="21"/>
      <c r="I741" s="22">
        <f t="shared" si="11"/>
        <v>18</v>
      </c>
      <c r="J741" t="e">
        <f>VLOOKUP(B741,'[1]KT 광점퍼코드(수익률)'!$A$4:$P$243,16,0)</f>
        <v>#N/A</v>
      </c>
    </row>
    <row r="742" spans="1:10" ht="15.75" hidden="1" customHeight="1">
      <c r="A742" s="23">
        <v>739</v>
      </c>
      <c r="B742" s="24" t="s">
        <v>2588</v>
      </c>
      <c r="C742" s="24" t="s">
        <v>2589</v>
      </c>
      <c r="D742" s="24"/>
      <c r="E742" s="25"/>
      <c r="F742" s="25">
        <v>23</v>
      </c>
      <c r="G742" s="25"/>
      <c r="H742" s="25"/>
      <c r="I742" s="22">
        <f t="shared" si="11"/>
        <v>23</v>
      </c>
      <c r="J742" t="e">
        <f>VLOOKUP(B742,'[1]KT 광점퍼코드(수익률)'!$A$4:$P$243,16,0)</f>
        <v>#N/A</v>
      </c>
    </row>
    <row r="743" spans="1:10" ht="15.75" hidden="1" customHeight="1">
      <c r="A743" s="19">
        <v>740</v>
      </c>
      <c r="B743" s="20" t="s">
        <v>968</v>
      </c>
      <c r="C743" s="20" t="s">
        <v>969</v>
      </c>
      <c r="D743" s="20"/>
      <c r="E743" s="21">
        <v>1</v>
      </c>
      <c r="F743" s="21"/>
      <c r="G743" s="21"/>
      <c r="H743" s="21"/>
      <c r="I743" s="22">
        <f t="shared" si="11"/>
        <v>1</v>
      </c>
      <c r="J743" t="e">
        <f>VLOOKUP(B743,'[1]KT 광점퍼코드(수익률)'!$A$4:$P$243,16,0)</f>
        <v>#N/A</v>
      </c>
    </row>
    <row r="744" spans="1:10" ht="15.75" hidden="1" customHeight="1">
      <c r="A744" s="23">
        <v>741</v>
      </c>
      <c r="B744" s="24" t="s">
        <v>970</v>
      </c>
      <c r="C744" s="24" t="s">
        <v>971</v>
      </c>
      <c r="D744" s="24"/>
      <c r="E744" s="25">
        <v>4</v>
      </c>
      <c r="F744" s="25"/>
      <c r="G744" s="25"/>
      <c r="H744" s="25"/>
      <c r="I744" s="22">
        <f t="shared" si="11"/>
        <v>4</v>
      </c>
      <c r="J744" t="e">
        <f>VLOOKUP(B744,'[1]KT 광점퍼코드(수익률)'!$A$4:$P$243,16,0)</f>
        <v>#N/A</v>
      </c>
    </row>
    <row r="745" spans="1:10" ht="15.75" hidden="1" customHeight="1">
      <c r="A745" s="19">
        <v>742</v>
      </c>
      <c r="B745" s="20" t="s">
        <v>2590</v>
      </c>
      <c r="C745" s="20" t="s">
        <v>2591</v>
      </c>
      <c r="D745" s="20" t="s">
        <v>2592</v>
      </c>
      <c r="E745" s="21"/>
      <c r="F745" s="21">
        <v>3</v>
      </c>
      <c r="G745" s="21"/>
      <c r="H745" s="21"/>
      <c r="I745" s="22">
        <f t="shared" si="11"/>
        <v>3</v>
      </c>
      <c r="J745" t="e">
        <f>VLOOKUP(B745,'[1]KT 광점퍼코드(수익률)'!$A$4:$P$243,16,0)</f>
        <v>#N/A</v>
      </c>
    </row>
    <row r="746" spans="1:10" ht="15.75" customHeight="1">
      <c r="A746" s="23">
        <v>743</v>
      </c>
      <c r="B746" s="24" t="s">
        <v>972</v>
      </c>
      <c r="C746" s="24" t="s">
        <v>973</v>
      </c>
      <c r="D746" s="24" t="s">
        <v>974</v>
      </c>
      <c r="E746" s="25">
        <v>100</v>
      </c>
      <c r="F746" s="25"/>
      <c r="G746" s="25"/>
      <c r="H746" s="25"/>
      <c r="I746" s="22">
        <f t="shared" si="11"/>
        <v>100</v>
      </c>
      <c r="J746">
        <f>VLOOKUP(B746,'[1]KT 광점퍼코드(수익률)'!$A$4:$P$243,16,0)</f>
        <v>1792</v>
      </c>
    </row>
    <row r="747" spans="1:10" ht="15.75" customHeight="1">
      <c r="A747" s="19">
        <v>744</v>
      </c>
      <c r="B747" s="20" t="s">
        <v>975</v>
      </c>
      <c r="C747" s="20" t="s">
        <v>976</v>
      </c>
      <c r="D747" s="20" t="s">
        <v>977</v>
      </c>
      <c r="E747" s="21">
        <v>100</v>
      </c>
      <c r="F747" s="21"/>
      <c r="G747" s="21">
        <v>100</v>
      </c>
      <c r="H747" s="21"/>
      <c r="I747" s="22">
        <f t="shared" si="11"/>
        <v>200</v>
      </c>
      <c r="J747">
        <f>VLOOKUP(B747,'[1]KT 광점퍼코드(수익률)'!$A$4:$P$243,16,0)</f>
        <v>1960</v>
      </c>
    </row>
    <row r="748" spans="1:10" ht="15.75" hidden="1" customHeight="1">
      <c r="A748" s="23">
        <v>745</v>
      </c>
      <c r="B748" s="24" t="s">
        <v>978</v>
      </c>
      <c r="C748" s="24" t="s">
        <v>979</v>
      </c>
      <c r="D748" s="24"/>
      <c r="E748" s="25">
        <v>11</v>
      </c>
      <c r="F748" s="25">
        <v>6</v>
      </c>
      <c r="G748" s="25">
        <v>6</v>
      </c>
      <c r="H748" s="25"/>
      <c r="I748" s="22">
        <f t="shared" si="11"/>
        <v>23</v>
      </c>
      <c r="J748" t="e">
        <f>VLOOKUP(B748,'[1]KT 광점퍼코드(수익률)'!$A$4:$P$243,16,0)</f>
        <v>#N/A</v>
      </c>
    </row>
    <row r="749" spans="1:10" ht="15.75" hidden="1" customHeight="1">
      <c r="A749" s="19">
        <v>746</v>
      </c>
      <c r="B749" s="20" t="s">
        <v>980</v>
      </c>
      <c r="C749" s="20" t="s">
        <v>981</v>
      </c>
      <c r="D749" s="20"/>
      <c r="E749" s="21">
        <v>4</v>
      </c>
      <c r="F749" s="21"/>
      <c r="G749" s="21"/>
      <c r="H749" s="21"/>
      <c r="I749" s="22">
        <f t="shared" si="11"/>
        <v>4</v>
      </c>
      <c r="J749" t="e">
        <f>VLOOKUP(B749,'[1]KT 광점퍼코드(수익률)'!$A$4:$P$243,16,0)</f>
        <v>#N/A</v>
      </c>
    </row>
    <row r="750" spans="1:10" ht="15.75" hidden="1" customHeight="1">
      <c r="A750" s="23">
        <v>747</v>
      </c>
      <c r="B750" s="24" t="s">
        <v>982</v>
      </c>
      <c r="C750" s="24" t="s">
        <v>983</v>
      </c>
      <c r="D750" s="24"/>
      <c r="E750" s="25">
        <v>20</v>
      </c>
      <c r="F750" s="25"/>
      <c r="G750" s="25"/>
      <c r="H750" s="25"/>
      <c r="I750" s="22">
        <f t="shared" si="11"/>
        <v>20</v>
      </c>
      <c r="J750" t="e">
        <f>VLOOKUP(B750,'[1]KT 광점퍼코드(수익률)'!$A$4:$P$243,16,0)</f>
        <v>#N/A</v>
      </c>
    </row>
    <row r="751" spans="1:10" ht="15.75" hidden="1" customHeight="1">
      <c r="A751" s="19">
        <v>748</v>
      </c>
      <c r="B751" s="20" t="s">
        <v>3124</v>
      </c>
      <c r="C751" s="20" t="s">
        <v>3125</v>
      </c>
      <c r="D751" s="20"/>
      <c r="E751" s="21"/>
      <c r="F751" s="21"/>
      <c r="G751" s="21">
        <v>2</v>
      </c>
      <c r="H751" s="21"/>
      <c r="I751" s="22">
        <f t="shared" si="11"/>
        <v>2</v>
      </c>
      <c r="J751" t="e">
        <f>VLOOKUP(B751,'[1]KT 광점퍼코드(수익률)'!$A$4:$P$243,16,0)</f>
        <v>#N/A</v>
      </c>
    </row>
    <row r="752" spans="1:10" ht="15.75" hidden="1" customHeight="1">
      <c r="A752" s="23">
        <v>749</v>
      </c>
      <c r="B752" s="24" t="s">
        <v>984</v>
      </c>
      <c r="C752" s="24" t="s">
        <v>367</v>
      </c>
      <c r="D752" s="24" t="s">
        <v>985</v>
      </c>
      <c r="E752" s="25">
        <v>50</v>
      </c>
      <c r="F752" s="25">
        <v>110</v>
      </c>
      <c r="G752" s="25"/>
      <c r="H752" s="25"/>
      <c r="I752" s="22">
        <f t="shared" si="11"/>
        <v>160</v>
      </c>
      <c r="J752" t="e">
        <f>VLOOKUP(B752,'[1]KT 광점퍼코드(수익률)'!$A$4:$P$243,16,0)</f>
        <v>#N/A</v>
      </c>
    </row>
    <row r="753" spans="1:10" ht="15.75" hidden="1" customHeight="1">
      <c r="A753" s="19">
        <v>750</v>
      </c>
      <c r="B753" s="20" t="s">
        <v>986</v>
      </c>
      <c r="C753" s="20" t="s">
        <v>370</v>
      </c>
      <c r="D753" s="20" t="s">
        <v>987</v>
      </c>
      <c r="E753" s="21">
        <v>150</v>
      </c>
      <c r="F753" s="21">
        <v>50</v>
      </c>
      <c r="G753" s="21">
        <v>50</v>
      </c>
      <c r="H753" s="21"/>
      <c r="I753" s="22">
        <f t="shared" si="11"/>
        <v>250</v>
      </c>
      <c r="J753" t="e">
        <f>VLOOKUP(B753,'[1]KT 광점퍼코드(수익률)'!$A$4:$P$243,16,0)</f>
        <v>#N/A</v>
      </c>
    </row>
    <row r="754" spans="1:10" ht="15.75" hidden="1" customHeight="1">
      <c r="A754" s="23">
        <v>751</v>
      </c>
      <c r="B754" s="24" t="s">
        <v>988</v>
      </c>
      <c r="C754" s="24" t="s">
        <v>351</v>
      </c>
      <c r="D754" s="24" t="s">
        <v>989</v>
      </c>
      <c r="E754" s="25">
        <v>50</v>
      </c>
      <c r="F754" s="25">
        <v>210</v>
      </c>
      <c r="G754" s="25">
        <v>60</v>
      </c>
      <c r="H754" s="25"/>
      <c r="I754" s="22">
        <f t="shared" si="11"/>
        <v>320</v>
      </c>
      <c r="J754" t="e">
        <f>VLOOKUP(B754,'[1]KT 광점퍼코드(수익률)'!$A$4:$P$243,16,0)</f>
        <v>#N/A</v>
      </c>
    </row>
    <row r="755" spans="1:10" ht="15.75" hidden="1" customHeight="1">
      <c r="A755" s="19">
        <v>752</v>
      </c>
      <c r="B755" s="20" t="s">
        <v>2593</v>
      </c>
      <c r="C755" s="20" t="s">
        <v>357</v>
      </c>
      <c r="D755" s="20" t="s">
        <v>2594</v>
      </c>
      <c r="E755" s="21"/>
      <c r="F755" s="21">
        <v>60</v>
      </c>
      <c r="G755" s="21">
        <v>74</v>
      </c>
      <c r="H755" s="21"/>
      <c r="I755" s="22">
        <f t="shared" si="11"/>
        <v>134</v>
      </c>
      <c r="J755" t="e">
        <f>VLOOKUP(B755,'[1]KT 광점퍼코드(수익률)'!$A$4:$P$243,16,0)</f>
        <v>#N/A</v>
      </c>
    </row>
    <row r="756" spans="1:10" ht="15.75" hidden="1" customHeight="1">
      <c r="A756" s="23">
        <v>753</v>
      </c>
      <c r="B756" s="24" t="s">
        <v>2595</v>
      </c>
      <c r="C756" s="24" t="s">
        <v>480</v>
      </c>
      <c r="D756" s="24" t="s">
        <v>2596</v>
      </c>
      <c r="E756" s="25"/>
      <c r="F756" s="25">
        <v>40</v>
      </c>
      <c r="G756" s="25">
        <v>50</v>
      </c>
      <c r="H756" s="25"/>
      <c r="I756" s="22">
        <f t="shared" si="11"/>
        <v>90</v>
      </c>
      <c r="J756" t="e">
        <f>VLOOKUP(B756,'[1]KT 광점퍼코드(수익률)'!$A$4:$P$243,16,0)</f>
        <v>#N/A</v>
      </c>
    </row>
    <row r="757" spans="1:10" ht="15.75" hidden="1" customHeight="1">
      <c r="A757" s="19">
        <v>754</v>
      </c>
      <c r="B757" s="20" t="s">
        <v>3126</v>
      </c>
      <c r="C757" s="20" t="s">
        <v>726</v>
      </c>
      <c r="D757" s="20" t="s">
        <v>3127</v>
      </c>
      <c r="E757" s="21"/>
      <c r="F757" s="21"/>
      <c r="G757" s="21">
        <v>50</v>
      </c>
      <c r="H757" s="21"/>
      <c r="I757" s="22">
        <f t="shared" si="11"/>
        <v>50</v>
      </c>
      <c r="J757" t="e">
        <f>VLOOKUP(B757,'[1]KT 광점퍼코드(수익률)'!$A$4:$P$243,16,0)</f>
        <v>#N/A</v>
      </c>
    </row>
    <row r="758" spans="1:10" ht="15.75" hidden="1" customHeight="1">
      <c r="A758" s="23">
        <v>755</v>
      </c>
      <c r="B758" s="24" t="s">
        <v>3128</v>
      </c>
      <c r="C758" s="24" t="s">
        <v>711</v>
      </c>
      <c r="D758" s="24" t="s">
        <v>3129</v>
      </c>
      <c r="E758" s="25"/>
      <c r="F758" s="25"/>
      <c r="G758" s="25">
        <v>50</v>
      </c>
      <c r="H758" s="25"/>
      <c r="I758" s="22">
        <f t="shared" si="11"/>
        <v>50</v>
      </c>
      <c r="J758" t="e">
        <f>VLOOKUP(B758,'[1]KT 광점퍼코드(수익률)'!$A$4:$P$243,16,0)</f>
        <v>#N/A</v>
      </c>
    </row>
    <row r="759" spans="1:10" ht="15.75" hidden="1" customHeight="1">
      <c r="A759" s="19">
        <v>756</v>
      </c>
      <c r="B759" s="20" t="s">
        <v>3130</v>
      </c>
      <c r="C759" s="20" t="s">
        <v>3131</v>
      </c>
      <c r="D759" s="20"/>
      <c r="E759" s="21"/>
      <c r="F759" s="21"/>
      <c r="G759" s="21">
        <v>1</v>
      </c>
      <c r="H759" s="21"/>
      <c r="I759" s="22">
        <f t="shared" si="11"/>
        <v>1</v>
      </c>
      <c r="J759" t="e">
        <f>VLOOKUP(B759,'[1]KT 광점퍼코드(수익률)'!$A$4:$P$243,16,0)</f>
        <v>#N/A</v>
      </c>
    </row>
    <row r="760" spans="1:10" ht="15.75" hidden="1" customHeight="1">
      <c r="A760" s="23">
        <v>757</v>
      </c>
      <c r="B760" s="24" t="s">
        <v>990</v>
      </c>
      <c r="C760" s="24" t="s">
        <v>991</v>
      </c>
      <c r="D760" s="24"/>
      <c r="E760" s="25">
        <v>8</v>
      </c>
      <c r="F760" s="25">
        <v>13</v>
      </c>
      <c r="G760" s="25">
        <v>12</v>
      </c>
      <c r="H760" s="25"/>
      <c r="I760" s="22">
        <f t="shared" si="11"/>
        <v>33</v>
      </c>
      <c r="J760" t="e">
        <f>VLOOKUP(B760,'[1]KT 광점퍼코드(수익률)'!$A$4:$P$243,16,0)</f>
        <v>#N/A</v>
      </c>
    </row>
    <row r="761" spans="1:10" ht="15.75" hidden="1" customHeight="1">
      <c r="A761" s="19">
        <v>758</v>
      </c>
      <c r="B761" s="20" t="s">
        <v>2597</v>
      </c>
      <c r="C761" s="20" t="s">
        <v>820</v>
      </c>
      <c r="D761" s="20" t="s">
        <v>2598</v>
      </c>
      <c r="E761" s="21"/>
      <c r="F761" s="21">
        <v>311</v>
      </c>
      <c r="G761" s="21">
        <v>130</v>
      </c>
      <c r="H761" s="21"/>
      <c r="I761" s="22">
        <f t="shared" si="11"/>
        <v>441</v>
      </c>
      <c r="J761" t="e">
        <f>VLOOKUP(B761,'[1]KT 광점퍼코드(수익률)'!$A$4:$P$243,16,0)</f>
        <v>#N/A</v>
      </c>
    </row>
    <row r="762" spans="1:10" ht="15.75" hidden="1" customHeight="1">
      <c r="A762" s="23">
        <v>759</v>
      </c>
      <c r="B762" s="24" t="s">
        <v>992</v>
      </c>
      <c r="C762" s="24" t="s">
        <v>832</v>
      </c>
      <c r="D762" s="24" t="s">
        <v>993</v>
      </c>
      <c r="E762" s="25">
        <v>100</v>
      </c>
      <c r="F762" s="25">
        <v>589</v>
      </c>
      <c r="G762" s="25">
        <v>250</v>
      </c>
      <c r="H762" s="25"/>
      <c r="I762" s="22">
        <f t="shared" si="11"/>
        <v>939</v>
      </c>
      <c r="J762" t="e">
        <f>VLOOKUP(B762,'[1]KT 광점퍼코드(수익률)'!$A$4:$P$243,16,0)</f>
        <v>#N/A</v>
      </c>
    </row>
    <row r="763" spans="1:10" ht="15.75" hidden="1" customHeight="1">
      <c r="A763" s="19">
        <v>760</v>
      </c>
      <c r="B763" s="20" t="s">
        <v>2599</v>
      </c>
      <c r="C763" s="20" t="s">
        <v>776</v>
      </c>
      <c r="D763" s="20" t="s">
        <v>2600</v>
      </c>
      <c r="E763" s="21"/>
      <c r="F763" s="21">
        <v>280</v>
      </c>
      <c r="G763" s="21">
        <v>30</v>
      </c>
      <c r="H763" s="21"/>
      <c r="I763" s="22">
        <f t="shared" si="11"/>
        <v>310</v>
      </c>
      <c r="J763" t="e">
        <f>VLOOKUP(B763,'[1]KT 광점퍼코드(수익률)'!$A$4:$P$243,16,0)</f>
        <v>#N/A</v>
      </c>
    </row>
    <row r="764" spans="1:10" ht="15.75" hidden="1" customHeight="1">
      <c r="A764" s="23">
        <v>761</v>
      </c>
      <c r="B764" s="24" t="s">
        <v>994</v>
      </c>
      <c r="C764" s="24" t="s">
        <v>799</v>
      </c>
      <c r="D764" s="24" t="s">
        <v>995</v>
      </c>
      <c r="E764" s="25">
        <v>30</v>
      </c>
      <c r="F764" s="25">
        <v>914</v>
      </c>
      <c r="G764" s="25">
        <v>100</v>
      </c>
      <c r="H764" s="25"/>
      <c r="I764" s="22">
        <f t="shared" si="11"/>
        <v>1044</v>
      </c>
      <c r="J764" t="e">
        <f>VLOOKUP(B764,'[1]KT 광점퍼코드(수익률)'!$A$4:$P$243,16,0)</f>
        <v>#N/A</v>
      </c>
    </row>
    <row r="765" spans="1:10" ht="15.75" hidden="1" customHeight="1">
      <c r="A765" s="19">
        <v>762</v>
      </c>
      <c r="B765" s="20" t="s">
        <v>996</v>
      </c>
      <c r="C765" s="20" t="s">
        <v>823</v>
      </c>
      <c r="D765" s="20" t="s">
        <v>997</v>
      </c>
      <c r="E765" s="21">
        <v>59</v>
      </c>
      <c r="F765" s="21">
        <v>750</v>
      </c>
      <c r="G765" s="21"/>
      <c r="H765" s="21"/>
      <c r="I765" s="22">
        <f t="shared" si="11"/>
        <v>809</v>
      </c>
      <c r="J765" t="e">
        <f>VLOOKUP(B765,'[1]KT 광점퍼코드(수익률)'!$A$4:$P$243,16,0)</f>
        <v>#N/A</v>
      </c>
    </row>
    <row r="766" spans="1:10" ht="15.75" hidden="1" customHeight="1">
      <c r="A766" s="23">
        <v>763</v>
      </c>
      <c r="B766" s="24" t="s">
        <v>2601</v>
      </c>
      <c r="C766" s="24" t="s">
        <v>860</v>
      </c>
      <c r="D766" s="24" t="s">
        <v>2602</v>
      </c>
      <c r="E766" s="25"/>
      <c r="F766" s="25">
        <v>200</v>
      </c>
      <c r="G766" s="25"/>
      <c r="H766" s="25"/>
      <c r="I766" s="22">
        <f t="shared" si="11"/>
        <v>200</v>
      </c>
      <c r="J766" t="e">
        <f>VLOOKUP(B766,'[1]KT 광점퍼코드(수익률)'!$A$4:$P$243,16,0)</f>
        <v>#N/A</v>
      </c>
    </row>
    <row r="767" spans="1:10" ht="15.75" hidden="1" customHeight="1">
      <c r="A767" s="19">
        <v>764</v>
      </c>
      <c r="B767" s="20" t="s">
        <v>2603</v>
      </c>
      <c r="C767" s="20" t="s">
        <v>846</v>
      </c>
      <c r="D767" s="20" t="s">
        <v>2604</v>
      </c>
      <c r="E767" s="21"/>
      <c r="F767" s="21">
        <v>106</v>
      </c>
      <c r="G767" s="21">
        <v>30</v>
      </c>
      <c r="H767" s="21"/>
      <c r="I767" s="22">
        <f t="shared" si="11"/>
        <v>136</v>
      </c>
      <c r="J767" t="e">
        <f>VLOOKUP(B767,'[1]KT 광점퍼코드(수익률)'!$A$4:$P$243,16,0)</f>
        <v>#N/A</v>
      </c>
    </row>
    <row r="768" spans="1:10" ht="15.75" hidden="1" customHeight="1">
      <c r="A768" s="23">
        <v>765</v>
      </c>
      <c r="B768" s="24" t="s">
        <v>3132</v>
      </c>
      <c r="C768" s="24" t="s">
        <v>3133</v>
      </c>
      <c r="D768" s="24"/>
      <c r="E768" s="25"/>
      <c r="F768" s="25"/>
      <c r="G768" s="25">
        <v>2</v>
      </c>
      <c r="H768" s="25"/>
      <c r="I768" s="22">
        <f t="shared" si="11"/>
        <v>2</v>
      </c>
      <c r="J768" t="e">
        <f>VLOOKUP(B768,'[1]KT 광점퍼코드(수익률)'!$A$4:$P$243,16,0)</f>
        <v>#N/A</v>
      </c>
    </row>
    <row r="769" spans="1:10" ht="15.75" hidden="1" customHeight="1">
      <c r="A769" s="19">
        <v>766</v>
      </c>
      <c r="B769" s="20" t="s">
        <v>998</v>
      </c>
      <c r="C769" s="20" t="s">
        <v>852</v>
      </c>
      <c r="D769" s="20" t="s">
        <v>999</v>
      </c>
      <c r="E769" s="21">
        <v>100</v>
      </c>
      <c r="F769" s="21">
        <v>200</v>
      </c>
      <c r="G769" s="21"/>
      <c r="H769" s="21"/>
      <c r="I769" s="22">
        <f t="shared" si="11"/>
        <v>300</v>
      </c>
      <c r="J769" t="e">
        <f>VLOOKUP(B769,'[1]KT 광점퍼코드(수익률)'!$A$4:$P$243,16,0)</f>
        <v>#N/A</v>
      </c>
    </row>
    <row r="770" spans="1:10" ht="15.75" customHeight="1">
      <c r="A770" s="23">
        <v>767</v>
      </c>
      <c r="B770" s="24" t="s">
        <v>3134</v>
      </c>
      <c r="C770" s="24" t="s">
        <v>3135</v>
      </c>
      <c r="D770" s="24" t="s">
        <v>3136</v>
      </c>
      <c r="E770" s="25"/>
      <c r="F770" s="25"/>
      <c r="G770" s="25">
        <v>10</v>
      </c>
      <c r="H770" s="25"/>
      <c r="I770" s="22">
        <f t="shared" si="11"/>
        <v>10</v>
      </c>
      <c r="J770">
        <f>VLOOKUP(B770,'[1]KT 광점퍼코드(수익률)'!$A$4:$P$243,16,0)</f>
        <v>3138</v>
      </c>
    </row>
    <row r="771" spans="1:10" ht="15.75" hidden="1" customHeight="1">
      <c r="A771" s="19">
        <v>768</v>
      </c>
      <c r="B771" s="20" t="s">
        <v>1000</v>
      </c>
      <c r="C771" s="20" t="s">
        <v>832</v>
      </c>
      <c r="D771" s="20" t="s">
        <v>1001</v>
      </c>
      <c r="E771" s="21">
        <v>20</v>
      </c>
      <c r="F771" s="21">
        <v>130</v>
      </c>
      <c r="G771" s="21">
        <v>30</v>
      </c>
      <c r="H771" s="21"/>
      <c r="I771" s="22">
        <f t="shared" si="11"/>
        <v>180</v>
      </c>
      <c r="J771" t="e">
        <f>VLOOKUP(B771,'[1]KT 광점퍼코드(수익률)'!$A$4:$P$243,16,0)</f>
        <v>#N/A</v>
      </c>
    </row>
    <row r="772" spans="1:10" ht="15.75" hidden="1" customHeight="1">
      <c r="A772" s="23">
        <v>769</v>
      </c>
      <c r="B772" s="24" t="s">
        <v>1002</v>
      </c>
      <c r="C772" s="24" t="s">
        <v>799</v>
      </c>
      <c r="D772" s="24" t="s">
        <v>1003</v>
      </c>
      <c r="E772" s="25">
        <v>10</v>
      </c>
      <c r="F772" s="25"/>
      <c r="G772" s="25">
        <v>30</v>
      </c>
      <c r="H772" s="25">
        <v>30</v>
      </c>
      <c r="I772" s="22">
        <f t="shared" ref="I772:I835" si="12">SUM(E772:H772)</f>
        <v>70</v>
      </c>
      <c r="J772" t="e">
        <f>VLOOKUP(B772,'[1]KT 광점퍼코드(수익률)'!$A$4:$P$243,16,0)</f>
        <v>#N/A</v>
      </c>
    </row>
    <row r="773" spans="1:10" ht="15.75" hidden="1" customHeight="1">
      <c r="A773" s="19">
        <v>770</v>
      </c>
      <c r="B773" s="20" t="s">
        <v>1004</v>
      </c>
      <c r="C773" s="20" t="s">
        <v>776</v>
      </c>
      <c r="D773" s="20" t="s">
        <v>1005</v>
      </c>
      <c r="E773" s="21">
        <v>30</v>
      </c>
      <c r="F773" s="21"/>
      <c r="G773" s="21">
        <v>30</v>
      </c>
      <c r="H773" s="21">
        <v>50</v>
      </c>
      <c r="I773" s="22">
        <f t="shared" si="12"/>
        <v>110</v>
      </c>
      <c r="J773" t="e">
        <f>VLOOKUP(B773,'[1]KT 광점퍼코드(수익률)'!$A$4:$P$243,16,0)</f>
        <v>#N/A</v>
      </c>
    </row>
    <row r="774" spans="1:10" ht="15.75" hidden="1" customHeight="1">
      <c r="A774" s="23">
        <v>771</v>
      </c>
      <c r="B774" s="24" t="s">
        <v>2605</v>
      </c>
      <c r="C774" s="24" t="s">
        <v>896</v>
      </c>
      <c r="D774" s="24" t="s">
        <v>2606</v>
      </c>
      <c r="E774" s="25"/>
      <c r="F774" s="25">
        <v>300</v>
      </c>
      <c r="G774" s="25"/>
      <c r="H774" s="25"/>
      <c r="I774" s="22">
        <f t="shared" si="12"/>
        <v>300</v>
      </c>
      <c r="J774" t="e">
        <f>VLOOKUP(B774,'[1]KT 광점퍼코드(수익률)'!$A$4:$P$243,16,0)</f>
        <v>#N/A</v>
      </c>
    </row>
    <row r="775" spans="1:10" ht="15.75" hidden="1" customHeight="1">
      <c r="A775" s="19">
        <v>772</v>
      </c>
      <c r="B775" s="20" t="s">
        <v>3137</v>
      </c>
      <c r="C775" s="20" t="s">
        <v>678</v>
      </c>
      <c r="D775" s="20" t="s">
        <v>3138</v>
      </c>
      <c r="E775" s="21"/>
      <c r="F775" s="21"/>
      <c r="G775" s="21">
        <v>200</v>
      </c>
      <c r="H775" s="21">
        <v>150</v>
      </c>
      <c r="I775" s="22">
        <f t="shared" si="12"/>
        <v>350</v>
      </c>
      <c r="J775" t="e">
        <f>VLOOKUP(B775,'[1]KT 광점퍼코드(수익률)'!$A$4:$P$243,16,0)</f>
        <v>#N/A</v>
      </c>
    </row>
    <row r="776" spans="1:10" ht="15.75" hidden="1" customHeight="1">
      <c r="A776" s="23">
        <v>773</v>
      </c>
      <c r="B776" s="24" t="s">
        <v>3455</v>
      </c>
      <c r="C776" s="24" t="s">
        <v>692</v>
      </c>
      <c r="D776" s="24" t="s">
        <v>3456</v>
      </c>
      <c r="E776" s="25"/>
      <c r="F776" s="25"/>
      <c r="G776" s="25"/>
      <c r="H776" s="25">
        <v>100</v>
      </c>
      <c r="I776" s="22">
        <f t="shared" si="12"/>
        <v>100</v>
      </c>
      <c r="J776" t="e">
        <f>VLOOKUP(B776,'[1]KT 광점퍼코드(수익률)'!$A$4:$P$243,16,0)</f>
        <v>#N/A</v>
      </c>
    </row>
    <row r="777" spans="1:10" ht="15.75" hidden="1" customHeight="1">
      <c r="A777" s="19">
        <v>774</v>
      </c>
      <c r="B777" s="20" t="s">
        <v>3457</v>
      </c>
      <c r="C777" s="20" t="s">
        <v>697</v>
      </c>
      <c r="D777" s="20" t="s">
        <v>3458</v>
      </c>
      <c r="E777" s="21"/>
      <c r="F777" s="21"/>
      <c r="G777" s="21"/>
      <c r="H777" s="21">
        <v>100</v>
      </c>
      <c r="I777" s="22">
        <f t="shared" si="12"/>
        <v>100</v>
      </c>
      <c r="J777" t="e">
        <f>VLOOKUP(B777,'[1]KT 광점퍼코드(수익률)'!$A$4:$P$243,16,0)</f>
        <v>#N/A</v>
      </c>
    </row>
    <row r="778" spans="1:10" ht="15.75" hidden="1" customHeight="1">
      <c r="A778" s="23">
        <v>775</v>
      </c>
      <c r="B778" s="24" t="s">
        <v>3459</v>
      </c>
      <c r="C778" s="24" t="s">
        <v>708</v>
      </c>
      <c r="D778" s="24" t="s">
        <v>3460</v>
      </c>
      <c r="E778" s="25"/>
      <c r="F778" s="25"/>
      <c r="G778" s="25"/>
      <c r="H778" s="25">
        <v>50</v>
      </c>
      <c r="I778" s="22">
        <f t="shared" si="12"/>
        <v>50</v>
      </c>
      <c r="J778" t="e">
        <f>VLOOKUP(B778,'[1]KT 광점퍼코드(수익률)'!$A$4:$P$243,16,0)</f>
        <v>#N/A</v>
      </c>
    </row>
    <row r="779" spans="1:10" ht="15.75" hidden="1" customHeight="1">
      <c r="A779" s="19">
        <v>776</v>
      </c>
      <c r="B779" s="20" t="s">
        <v>1006</v>
      </c>
      <c r="C779" s="20" t="s">
        <v>869</v>
      </c>
      <c r="D779" s="20" t="s">
        <v>1007</v>
      </c>
      <c r="E779" s="21">
        <v>50</v>
      </c>
      <c r="F779" s="21"/>
      <c r="G779" s="21"/>
      <c r="H779" s="21"/>
      <c r="I779" s="22">
        <f t="shared" si="12"/>
        <v>50</v>
      </c>
      <c r="J779" t="e">
        <f>VLOOKUP(B779,'[1]KT 광점퍼코드(수익률)'!$A$4:$P$243,16,0)</f>
        <v>#N/A</v>
      </c>
    </row>
    <row r="780" spans="1:10" ht="15.75" hidden="1" customHeight="1">
      <c r="A780" s="23">
        <v>777</v>
      </c>
      <c r="B780" s="24" t="s">
        <v>3139</v>
      </c>
      <c r="C780" s="24" t="s">
        <v>3140</v>
      </c>
      <c r="D780" s="24"/>
      <c r="E780" s="25"/>
      <c r="F780" s="25"/>
      <c r="G780" s="25">
        <v>2</v>
      </c>
      <c r="H780" s="25"/>
      <c r="I780" s="22">
        <f t="shared" si="12"/>
        <v>2</v>
      </c>
      <c r="J780" t="e">
        <f>VLOOKUP(B780,'[1]KT 광점퍼코드(수익률)'!$A$4:$P$243,16,0)</f>
        <v>#N/A</v>
      </c>
    </row>
    <row r="781" spans="1:10" ht="15.75" hidden="1" customHeight="1">
      <c r="A781" s="19">
        <v>778</v>
      </c>
      <c r="B781" s="20" t="s">
        <v>3141</v>
      </c>
      <c r="C781" s="20" t="s">
        <v>802</v>
      </c>
      <c r="D781" s="20" t="s">
        <v>1144</v>
      </c>
      <c r="E781" s="21"/>
      <c r="F781" s="21"/>
      <c r="G781" s="21">
        <v>10</v>
      </c>
      <c r="H781" s="21"/>
      <c r="I781" s="22">
        <f t="shared" si="12"/>
        <v>10</v>
      </c>
      <c r="J781" t="e">
        <f>VLOOKUP(B781,'[1]KT 광점퍼코드(수익률)'!$A$4:$P$243,16,0)</f>
        <v>#N/A</v>
      </c>
    </row>
    <row r="782" spans="1:10" ht="15.75" hidden="1" customHeight="1">
      <c r="A782" s="23">
        <v>779</v>
      </c>
      <c r="B782" s="24" t="s">
        <v>1008</v>
      </c>
      <c r="C782" s="24" t="s">
        <v>779</v>
      </c>
      <c r="D782" s="24" t="s">
        <v>1009</v>
      </c>
      <c r="E782" s="25">
        <v>80</v>
      </c>
      <c r="F782" s="25">
        <v>383</v>
      </c>
      <c r="G782" s="25">
        <v>2</v>
      </c>
      <c r="H782" s="25"/>
      <c r="I782" s="22">
        <f t="shared" si="12"/>
        <v>465</v>
      </c>
      <c r="J782" t="e">
        <f>VLOOKUP(B782,'[1]KT 광점퍼코드(수익률)'!$A$4:$P$243,16,0)</f>
        <v>#N/A</v>
      </c>
    </row>
    <row r="783" spans="1:10" ht="15.75" hidden="1" customHeight="1">
      <c r="A783" s="19">
        <v>780</v>
      </c>
      <c r="B783" s="20" t="s">
        <v>1010</v>
      </c>
      <c r="C783" s="20" t="s">
        <v>802</v>
      </c>
      <c r="D783" s="20" t="s">
        <v>1011</v>
      </c>
      <c r="E783" s="21">
        <v>155</v>
      </c>
      <c r="F783" s="21">
        <v>258</v>
      </c>
      <c r="G783" s="21">
        <v>2</v>
      </c>
      <c r="H783" s="21"/>
      <c r="I783" s="22">
        <f t="shared" si="12"/>
        <v>415</v>
      </c>
      <c r="J783" t="e">
        <f>VLOOKUP(B783,'[1]KT 광점퍼코드(수익률)'!$A$4:$P$243,16,0)</f>
        <v>#N/A</v>
      </c>
    </row>
    <row r="784" spans="1:10" ht="15.75" hidden="1" customHeight="1">
      <c r="A784" s="23">
        <v>781</v>
      </c>
      <c r="B784" s="24" t="s">
        <v>1012</v>
      </c>
      <c r="C784" s="24" t="s">
        <v>860</v>
      </c>
      <c r="D784" s="24" t="s">
        <v>1013</v>
      </c>
      <c r="E784" s="25">
        <v>3</v>
      </c>
      <c r="F784" s="25"/>
      <c r="G784" s="25"/>
      <c r="H784" s="25"/>
      <c r="I784" s="22">
        <f t="shared" si="12"/>
        <v>3</v>
      </c>
      <c r="J784" t="e">
        <f>VLOOKUP(B784,'[1]KT 광점퍼코드(수익률)'!$A$4:$P$243,16,0)</f>
        <v>#N/A</v>
      </c>
    </row>
    <row r="785" spans="1:10" ht="15.75" hidden="1" customHeight="1">
      <c r="A785" s="19">
        <v>782</v>
      </c>
      <c r="B785" s="20" t="s">
        <v>2607</v>
      </c>
      <c r="C785" s="20" t="s">
        <v>732</v>
      </c>
      <c r="D785" s="20" t="s">
        <v>2608</v>
      </c>
      <c r="E785" s="21"/>
      <c r="F785" s="21">
        <v>10</v>
      </c>
      <c r="G785" s="21"/>
      <c r="H785" s="21"/>
      <c r="I785" s="22">
        <f t="shared" si="12"/>
        <v>10</v>
      </c>
      <c r="J785" t="e">
        <f>VLOOKUP(B785,'[1]KT 광점퍼코드(수익률)'!$A$4:$P$243,16,0)</f>
        <v>#N/A</v>
      </c>
    </row>
    <row r="786" spans="1:10" ht="15.75" hidden="1" customHeight="1">
      <c r="A786" s="23">
        <v>783</v>
      </c>
      <c r="B786" s="24" t="s">
        <v>1014</v>
      </c>
      <c r="C786" s="24" t="s">
        <v>776</v>
      </c>
      <c r="D786" s="24" t="s">
        <v>1015</v>
      </c>
      <c r="E786" s="25">
        <v>140</v>
      </c>
      <c r="F786" s="25">
        <v>60</v>
      </c>
      <c r="G786" s="25">
        <v>50</v>
      </c>
      <c r="H786" s="25"/>
      <c r="I786" s="22">
        <f t="shared" si="12"/>
        <v>250</v>
      </c>
      <c r="J786" t="e">
        <f>VLOOKUP(B786,'[1]KT 광점퍼코드(수익률)'!$A$4:$P$243,16,0)</f>
        <v>#N/A</v>
      </c>
    </row>
    <row r="787" spans="1:10" ht="15.75" hidden="1" customHeight="1">
      <c r="A787" s="19">
        <v>784</v>
      </c>
      <c r="B787" s="20" t="s">
        <v>1016</v>
      </c>
      <c r="C787" s="20" t="s">
        <v>799</v>
      </c>
      <c r="D787" s="20" t="s">
        <v>1017</v>
      </c>
      <c r="E787" s="21">
        <v>110</v>
      </c>
      <c r="F787" s="21">
        <v>70</v>
      </c>
      <c r="G787" s="21">
        <v>50</v>
      </c>
      <c r="H787" s="21"/>
      <c r="I787" s="22">
        <f t="shared" si="12"/>
        <v>230</v>
      </c>
      <c r="J787" t="e">
        <f>VLOOKUP(B787,'[1]KT 광점퍼코드(수익률)'!$A$4:$P$243,16,0)</f>
        <v>#N/A</v>
      </c>
    </row>
    <row r="788" spans="1:10" ht="15.75" hidden="1" customHeight="1">
      <c r="A788" s="23">
        <v>785</v>
      </c>
      <c r="B788" s="24" t="s">
        <v>1018</v>
      </c>
      <c r="C788" s="24" t="s">
        <v>820</v>
      </c>
      <c r="D788" s="24" t="s">
        <v>1019</v>
      </c>
      <c r="E788" s="25">
        <v>60</v>
      </c>
      <c r="F788" s="25">
        <v>60</v>
      </c>
      <c r="G788" s="25">
        <v>50</v>
      </c>
      <c r="H788" s="25"/>
      <c r="I788" s="22">
        <f t="shared" si="12"/>
        <v>170</v>
      </c>
      <c r="J788" t="e">
        <f>VLOOKUP(B788,'[1]KT 광점퍼코드(수익률)'!$A$4:$P$243,16,0)</f>
        <v>#N/A</v>
      </c>
    </row>
    <row r="789" spans="1:10" ht="15.75" hidden="1" customHeight="1">
      <c r="A789" s="19">
        <v>786</v>
      </c>
      <c r="B789" s="20" t="s">
        <v>1020</v>
      </c>
      <c r="C789" s="20" t="s">
        <v>832</v>
      </c>
      <c r="D789" s="20" t="s">
        <v>1021</v>
      </c>
      <c r="E789" s="21">
        <v>30</v>
      </c>
      <c r="F789" s="21">
        <v>60</v>
      </c>
      <c r="G789" s="21">
        <v>50</v>
      </c>
      <c r="H789" s="21"/>
      <c r="I789" s="22">
        <f t="shared" si="12"/>
        <v>140</v>
      </c>
      <c r="J789" t="e">
        <f>VLOOKUP(B789,'[1]KT 광점퍼코드(수익률)'!$A$4:$P$243,16,0)</f>
        <v>#N/A</v>
      </c>
    </row>
    <row r="790" spans="1:10" ht="15.75" hidden="1" customHeight="1">
      <c r="A790" s="23">
        <v>787</v>
      </c>
      <c r="B790" s="24" t="s">
        <v>3142</v>
      </c>
      <c r="C790" s="24" t="s">
        <v>846</v>
      </c>
      <c r="D790" s="24" t="s">
        <v>3143</v>
      </c>
      <c r="E790" s="25"/>
      <c r="F790" s="25"/>
      <c r="G790" s="25">
        <v>50</v>
      </c>
      <c r="H790" s="25"/>
      <c r="I790" s="22">
        <f t="shared" si="12"/>
        <v>50</v>
      </c>
      <c r="J790" t="e">
        <f>VLOOKUP(B790,'[1]KT 광점퍼코드(수익률)'!$A$4:$P$243,16,0)</f>
        <v>#N/A</v>
      </c>
    </row>
    <row r="791" spans="1:10" ht="15.75" hidden="1" customHeight="1">
      <c r="A791" s="19">
        <v>788</v>
      </c>
      <c r="B791" s="20" t="s">
        <v>1022</v>
      </c>
      <c r="C791" s="20" t="s">
        <v>846</v>
      </c>
      <c r="D791" s="20" t="s">
        <v>1023</v>
      </c>
      <c r="E791" s="21">
        <v>40</v>
      </c>
      <c r="F791" s="21">
        <v>30</v>
      </c>
      <c r="G791" s="21">
        <v>30</v>
      </c>
      <c r="H791" s="21"/>
      <c r="I791" s="22">
        <f t="shared" si="12"/>
        <v>100</v>
      </c>
      <c r="J791" t="e">
        <f>VLOOKUP(B791,'[1]KT 광점퍼코드(수익률)'!$A$4:$P$243,16,0)</f>
        <v>#N/A</v>
      </c>
    </row>
    <row r="792" spans="1:10" ht="15.75" hidden="1" customHeight="1">
      <c r="A792" s="23">
        <v>789</v>
      </c>
      <c r="B792" s="24" t="s">
        <v>2609</v>
      </c>
      <c r="C792" s="24" t="s">
        <v>597</v>
      </c>
      <c r="D792" s="24" t="s">
        <v>2610</v>
      </c>
      <c r="E792" s="25"/>
      <c r="F792" s="25">
        <v>50</v>
      </c>
      <c r="G792" s="25">
        <v>50</v>
      </c>
      <c r="H792" s="25"/>
      <c r="I792" s="22">
        <f t="shared" si="12"/>
        <v>100</v>
      </c>
      <c r="J792" t="e">
        <f>VLOOKUP(B792,'[1]KT 광점퍼코드(수익률)'!$A$4:$P$243,16,0)</f>
        <v>#N/A</v>
      </c>
    </row>
    <row r="793" spans="1:10" ht="15.75" hidden="1" customHeight="1">
      <c r="A793" s="19">
        <v>790</v>
      </c>
      <c r="B793" s="20" t="s">
        <v>2611</v>
      </c>
      <c r="C793" s="20" t="s">
        <v>591</v>
      </c>
      <c r="D793" s="20" t="s">
        <v>2612</v>
      </c>
      <c r="E793" s="21"/>
      <c r="F793" s="21">
        <v>50</v>
      </c>
      <c r="G793" s="21">
        <v>60</v>
      </c>
      <c r="H793" s="21"/>
      <c r="I793" s="22">
        <f t="shared" si="12"/>
        <v>110</v>
      </c>
      <c r="J793" t="e">
        <f>VLOOKUP(B793,'[1]KT 광점퍼코드(수익률)'!$A$4:$P$243,16,0)</f>
        <v>#N/A</v>
      </c>
    </row>
    <row r="794" spans="1:10" ht="15.75" hidden="1" customHeight="1">
      <c r="A794" s="23">
        <v>791</v>
      </c>
      <c r="B794" s="24" t="s">
        <v>2613</v>
      </c>
      <c r="C794" s="24" t="s">
        <v>582</v>
      </c>
      <c r="D794" s="24" t="s">
        <v>2614</v>
      </c>
      <c r="E794" s="25"/>
      <c r="F794" s="25">
        <v>50</v>
      </c>
      <c r="G794" s="25"/>
      <c r="H794" s="25"/>
      <c r="I794" s="22">
        <f t="shared" si="12"/>
        <v>50</v>
      </c>
      <c r="J794" t="e">
        <f>VLOOKUP(B794,'[1]KT 광점퍼코드(수익률)'!$A$4:$P$243,16,0)</f>
        <v>#N/A</v>
      </c>
    </row>
    <row r="795" spans="1:10" ht="15.75" hidden="1" customHeight="1">
      <c r="A795" s="19">
        <v>792</v>
      </c>
      <c r="B795" s="20" t="s">
        <v>1024</v>
      </c>
      <c r="C795" s="20" t="s">
        <v>354</v>
      </c>
      <c r="D795" s="20" t="s">
        <v>1025</v>
      </c>
      <c r="E795" s="21">
        <v>50</v>
      </c>
      <c r="F795" s="21">
        <v>80</v>
      </c>
      <c r="G795" s="21">
        <v>50</v>
      </c>
      <c r="H795" s="21"/>
      <c r="I795" s="22">
        <f t="shared" si="12"/>
        <v>180</v>
      </c>
      <c r="J795" t="e">
        <f>VLOOKUP(B795,'[1]KT 광점퍼코드(수익률)'!$A$4:$P$243,16,0)</f>
        <v>#N/A</v>
      </c>
    </row>
    <row r="796" spans="1:10" ht="15.75" hidden="1" customHeight="1">
      <c r="A796" s="23">
        <v>793</v>
      </c>
      <c r="B796" s="24" t="s">
        <v>1026</v>
      </c>
      <c r="C796" s="24" t="s">
        <v>568</v>
      </c>
      <c r="D796" s="24" t="s">
        <v>1027</v>
      </c>
      <c r="E796" s="25">
        <v>50</v>
      </c>
      <c r="F796" s="25">
        <v>80</v>
      </c>
      <c r="G796" s="25">
        <v>30</v>
      </c>
      <c r="H796" s="25"/>
      <c r="I796" s="22">
        <f t="shared" si="12"/>
        <v>160</v>
      </c>
      <c r="J796" t="e">
        <f>VLOOKUP(B796,'[1]KT 광점퍼코드(수익률)'!$A$4:$P$243,16,0)</f>
        <v>#N/A</v>
      </c>
    </row>
    <row r="797" spans="1:10" ht="15.75" hidden="1" customHeight="1">
      <c r="A797" s="19">
        <v>794</v>
      </c>
      <c r="B797" s="20" t="s">
        <v>1028</v>
      </c>
      <c r="C797" s="20" t="s">
        <v>558</v>
      </c>
      <c r="D797" s="20" t="s">
        <v>1029</v>
      </c>
      <c r="E797" s="21">
        <v>100</v>
      </c>
      <c r="F797" s="21">
        <v>80</v>
      </c>
      <c r="G797" s="21">
        <v>10</v>
      </c>
      <c r="H797" s="21"/>
      <c r="I797" s="22">
        <f t="shared" si="12"/>
        <v>190</v>
      </c>
      <c r="J797" t="e">
        <f>VLOOKUP(B797,'[1]KT 광점퍼코드(수익률)'!$A$4:$P$243,16,0)</f>
        <v>#N/A</v>
      </c>
    </row>
    <row r="798" spans="1:10" ht="15.75" hidden="1" customHeight="1">
      <c r="A798" s="23">
        <v>795</v>
      </c>
      <c r="B798" s="24" t="s">
        <v>1030</v>
      </c>
      <c r="C798" s="24" t="s">
        <v>835</v>
      </c>
      <c r="D798" s="24" t="s">
        <v>1031</v>
      </c>
      <c r="E798" s="25">
        <v>50</v>
      </c>
      <c r="F798" s="25">
        <v>150</v>
      </c>
      <c r="G798" s="25"/>
      <c r="H798" s="25"/>
      <c r="I798" s="22">
        <f t="shared" si="12"/>
        <v>200</v>
      </c>
      <c r="J798" t="e">
        <f>VLOOKUP(B798,'[1]KT 광점퍼코드(수익률)'!$A$4:$P$243,16,0)</f>
        <v>#N/A</v>
      </c>
    </row>
    <row r="799" spans="1:10" ht="15.75" hidden="1" customHeight="1">
      <c r="A799" s="19">
        <v>796</v>
      </c>
      <c r="B799" s="20" t="s">
        <v>1032</v>
      </c>
      <c r="C799" s="20" t="s">
        <v>1033</v>
      </c>
      <c r="D799" s="20" t="s">
        <v>932</v>
      </c>
      <c r="E799" s="21">
        <v>10</v>
      </c>
      <c r="F799" s="21">
        <v>5</v>
      </c>
      <c r="G799" s="21">
        <v>4</v>
      </c>
      <c r="H799" s="21"/>
      <c r="I799" s="22">
        <f t="shared" si="12"/>
        <v>19</v>
      </c>
      <c r="J799" t="e">
        <f>VLOOKUP(B799,'[1]KT 광점퍼코드(수익률)'!$A$4:$P$243,16,0)</f>
        <v>#N/A</v>
      </c>
    </row>
    <row r="800" spans="1:10" ht="15.75" hidden="1" customHeight="1">
      <c r="A800" s="23">
        <v>797</v>
      </c>
      <c r="B800" s="24" t="s">
        <v>3144</v>
      </c>
      <c r="C800" s="24" t="s">
        <v>666</v>
      </c>
      <c r="D800" s="24" t="s">
        <v>3145</v>
      </c>
      <c r="E800" s="25"/>
      <c r="F800" s="25"/>
      <c r="G800" s="25">
        <v>200</v>
      </c>
      <c r="H800" s="25"/>
      <c r="I800" s="22">
        <f t="shared" si="12"/>
        <v>200</v>
      </c>
      <c r="J800" t="e">
        <f>VLOOKUP(B800,'[1]KT 광점퍼코드(수익률)'!$A$4:$P$243,16,0)</f>
        <v>#N/A</v>
      </c>
    </row>
    <row r="801" spans="1:10" ht="15.75" hidden="1" customHeight="1">
      <c r="A801" s="19">
        <v>798</v>
      </c>
      <c r="B801" s="20" t="s">
        <v>1034</v>
      </c>
      <c r="C801" s="20" t="s">
        <v>1035</v>
      </c>
      <c r="D801" s="20"/>
      <c r="E801" s="21">
        <v>36</v>
      </c>
      <c r="F801" s="21"/>
      <c r="G801" s="21">
        <v>59</v>
      </c>
      <c r="H801" s="21"/>
      <c r="I801" s="22">
        <f t="shared" si="12"/>
        <v>95</v>
      </c>
      <c r="J801" t="e">
        <f>VLOOKUP(B801,'[1]KT 광점퍼코드(수익률)'!$A$4:$P$243,16,0)</f>
        <v>#N/A</v>
      </c>
    </row>
    <row r="802" spans="1:10" ht="15.75" hidden="1" customHeight="1">
      <c r="A802" s="23">
        <v>799</v>
      </c>
      <c r="B802" s="24" t="s">
        <v>2615</v>
      </c>
      <c r="C802" s="24" t="s">
        <v>606</v>
      </c>
      <c r="D802" s="24" t="s">
        <v>2616</v>
      </c>
      <c r="E802" s="25"/>
      <c r="F802" s="25">
        <v>50</v>
      </c>
      <c r="G802" s="25">
        <v>50</v>
      </c>
      <c r="H802" s="25"/>
      <c r="I802" s="22">
        <f t="shared" si="12"/>
        <v>100</v>
      </c>
      <c r="J802" t="e">
        <f>VLOOKUP(B802,'[1]KT 광점퍼코드(수익률)'!$A$4:$P$243,16,0)</f>
        <v>#N/A</v>
      </c>
    </row>
    <row r="803" spans="1:10" ht="15.75" hidden="1" customHeight="1">
      <c r="A803" s="19">
        <v>800</v>
      </c>
      <c r="B803" s="20" t="s">
        <v>3146</v>
      </c>
      <c r="C803" s="20" t="s">
        <v>609</v>
      </c>
      <c r="D803" s="20" t="s">
        <v>3147</v>
      </c>
      <c r="E803" s="21"/>
      <c r="F803" s="21"/>
      <c r="G803" s="21">
        <v>80</v>
      </c>
      <c r="H803" s="21"/>
      <c r="I803" s="22">
        <f t="shared" si="12"/>
        <v>80</v>
      </c>
      <c r="J803" t="e">
        <f>VLOOKUP(B803,'[1]KT 광점퍼코드(수익률)'!$A$4:$P$243,16,0)</f>
        <v>#N/A</v>
      </c>
    </row>
    <row r="804" spans="1:10" ht="15.75" hidden="1" customHeight="1">
      <c r="A804" s="23">
        <v>801</v>
      </c>
      <c r="B804" s="24" t="s">
        <v>3148</v>
      </c>
      <c r="C804" s="24" t="s">
        <v>785</v>
      </c>
      <c r="D804" s="24" t="s">
        <v>3149</v>
      </c>
      <c r="E804" s="25"/>
      <c r="F804" s="25"/>
      <c r="G804" s="25">
        <v>50</v>
      </c>
      <c r="H804" s="25"/>
      <c r="I804" s="22">
        <f t="shared" si="12"/>
        <v>50</v>
      </c>
      <c r="J804" t="e">
        <f>VLOOKUP(B804,'[1]KT 광점퍼코드(수익률)'!$A$4:$P$243,16,0)</f>
        <v>#N/A</v>
      </c>
    </row>
    <row r="805" spans="1:10" ht="15.75" hidden="1" customHeight="1">
      <c r="A805" s="19">
        <v>802</v>
      </c>
      <c r="B805" s="20" t="s">
        <v>3150</v>
      </c>
      <c r="C805" s="20" t="s">
        <v>3151</v>
      </c>
      <c r="D805" s="20" t="s">
        <v>1142</v>
      </c>
      <c r="E805" s="21"/>
      <c r="F805" s="21"/>
      <c r="G805" s="21">
        <v>40</v>
      </c>
      <c r="H805" s="21">
        <v>76</v>
      </c>
      <c r="I805" s="22">
        <f t="shared" si="12"/>
        <v>116</v>
      </c>
      <c r="J805" t="e">
        <f>VLOOKUP(B805,'[1]KT 광점퍼코드(수익률)'!$A$4:$P$243,16,0)</f>
        <v>#N/A</v>
      </c>
    </row>
    <row r="806" spans="1:10" ht="15.75" hidden="1" customHeight="1">
      <c r="A806" s="23">
        <v>803</v>
      </c>
      <c r="B806" s="24" t="s">
        <v>3152</v>
      </c>
      <c r="C806" s="24" t="s">
        <v>3153</v>
      </c>
      <c r="D806" s="24"/>
      <c r="E806" s="25"/>
      <c r="F806" s="25"/>
      <c r="G806" s="25">
        <v>170</v>
      </c>
      <c r="H806" s="25"/>
      <c r="I806" s="22">
        <f t="shared" si="12"/>
        <v>170</v>
      </c>
      <c r="J806" t="e">
        <f>VLOOKUP(B806,'[1]KT 광점퍼코드(수익률)'!$A$4:$P$243,16,0)</f>
        <v>#N/A</v>
      </c>
    </row>
    <row r="807" spans="1:10" ht="15.75" hidden="1" customHeight="1">
      <c r="A807" s="19">
        <v>804</v>
      </c>
      <c r="B807" s="20" t="s">
        <v>2617</v>
      </c>
      <c r="C807" s="20" t="s">
        <v>2618</v>
      </c>
      <c r="D807" s="20"/>
      <c r="E807" s="21"/>
      <c r="F807" s="21">
        <v>50</v>
      </c>
      <c r="G807" s="21"/>
      <c r="H807" s="21"/>
      <c r="I807" s="22">
        <f t="shared" si="12"/>
        <v>50</v>
      </c>
      <c r="J807" t="e">
        <f>VLOOKUP(B807,'[1]KT 광점퍼코드(수익률)'!$A$4:$P$243,16,0)</f>
        <v>#N/A</v>
      </c>
    </row>
    <row r="808" spans="1:10" ht="15.75" hidden="1" customHeight="1">
      <c r="A808" s="23">
        <v>805</v>
      </c>
      <c r="B808" s="24" t="s">
        <v>1036</v>
      </c>
      <c r="C808" s="24" t="s">
        <v>1037</v>
      </c>
      <c r="D808" s="24"/>
      <c r="E808" s="25">
        <v>50</v>
      </c>
      <c r="F808" s="25">
        <v>100</v>
      </c>
      <c r="G808" s="25">
        <v>150</v>
      </c>
      <c r="H808" s="25"/>
      <c r="I808" s="22">
        <f t="shared" si="12"/>
        <v>300</v>
      </c>
      <c r="J808" t="e">
        <f>VLOOKUP(B808,'[1]KT 광점퍼코드(수익률)'!$A$4:$P$243,16,0)</f>
        <v>#N/A</v>
      </c>
    </row>
    <row r="809" spans="1:10" ht="15.75" hidden="1" customHeight="1">
      <c r="A809" s="19">
        <v>806</v>
      </c>
      <c r="B809" s="20" t="s">
        <v>2619</v>
      </c>
      <c r="C809" s="20" t="s">
        <v>866</v>
      </c>
      <c r="D809" s="20" t="s">
        <v>2620</v>
      </c>
      <c r="E809" s="21"/>
      <c r="F809" s="21">
        <v>60</v>
      </c>
      <c r="G809" s="21"/>
      <c r="H809" s="21"/>
      <c r="I809" s="22">
        <f t="shared" si="12"/>
        <v>60</v>
      </c>
      <c r="J809" t="e">
        <f>VLOOKUP(B809,'[1]KT 광점퍼코드(수익률)'!$A$4:$P$243,16,0)</f>
        <v>#N/A</v>
      </c>
    </row>
    <row r="810" spans="1:10" ht="15.75" hidden="1" customHeight="1">
      <c r="A810" s="23">
        <v>807</v>
      </c>
      <c r="B810" s="24" t="s">
        <v>2621</v>
      </c>
      <c r="C810" s="24" t="s">
        <v>2622</v>
      </c>
      <c r="D810" s="24"/>
      <c r="E810" s="25"/>
      <c r="F810" s="25">
        <v>10</v>
      </c>
      <c r="G810" s="25">
        <v>22</v>
      </c>
      <c r="H810" s="25"/>
      <c r="I810" s="22">
        <f t="shared" si="12"/>
        <v>32</v>
      </c>
      <c r="J810" t="e">
        <f>VLOOKUP(B810,'[1]KT 광점퍼코드(수익률)'!$A$4:$P$243,16,0)</f>
        <v>#N/A</v>
      </c>
    </row>
    <row r="811" spans="1:10" ht="15.75" hidden="1" customHeight="1">
      <c r="A811" s="19">
        <v>808</v>
      </c>
      <c r="B811" s="20" t="s">
        <v>1038</v>
      </c>
      <c r="C811" s="20" t="s">
        <v>820</v>
      </c>
      <c r="D811" s="20" t="s">
        <v>1039</v>
      </c>
      <c r="E811" s="21">
        <v>5</v>
      </c>
      <c r="F811" s="21"/>
      <c r="G811" s="21">
        <v>30</v>
      </c>
      <c r="H811" s="21"/>
      <c r="I811" s="22">
        <f t="shared" si="12"/>
        <v>35</v>
      </c>
      <c r="J811" t="e">
        <f>VLOOKUP(B811,'[1]KT 광점퍼코드(수익률)'!$A$4:$P$243,16,0)</f>
        <v>#N/A</v>
      </c>
    </row>
    <row r="812" spans="1:10" ht="15.75" hidden="1" customHeight="1">
      <c r="A812" s="23">
        <v>809</v>
      </c>
      <c r="B812" s="24" t="s">
        <v>3154</v>
      </c>
      <c r="C812" s="24" t="s">
        <v>367</v>
      </c>
      <c r="D812" s="24" t="s">
        <v>3155</v>
      </c>
      <c r="E812" s="25"/>
      <c r="F812" s="25"/>
      <c r="G812" s="25">
        <v>200</v>
      </c>
      <c r="H812" s="25"/>
      <c r="I812" s="22">
        <f t="shared" si="12"/>
        <v>200</v>
      </c>
      <c r="J812" t="e">
        <f>VLOOKUP(B812,'[1]KT 광점퍼코드(수익률)'!$A$4:$P$243,16,0)</f>
        <v>#N/A</v>
      </c>
    </row>
    <row r="813" spans="1:10" ht="15.75" hidden="1" customHeight="1">
      <c r="A813" s="19">
        <v>810</v>
      </c>
      <c r="B813" s="20" t="s">
        <v>1040</v>
      </c>
      <c r="C813" s="20" t="s">
        <v>370</v>
      </c>
      <c r="D813" s="20" t="s">
        <v>1041</v>
      </c>
      <c r="E813" s="21">
        <v>148</v>
      </c>
      <c r="F813" s="21"/>
      <c r="G813" s="21"/>
      <c r="H813" s="21"/>
      <c r="I813" s="22">
        <f t="shared" si="12"/>
        <v>148</v>
      </c>
      <c r="J813" t="e">
        <f>VLOOKUP(B813,'[1]KT 광점퍼코드(수익률)'!$A$4:$P$243,16,0)</f>
        <v>#N/A</v>
      </c>
    </row>
    <row r="814" spans="1:10" ht="15.75" hidden="1" customHeight="1">
      <c r="A814" s="23">
        <v>811</v>
      </c>
      <c r="B814" s="24" t="s">
        <v>1042</v>
      </c>
      <c r="C814" s="24" t="s">
        <v>351</v>
      </c>
      <c r="D814" s="24" t="s">
        <v>1043</v>
      </c>
      <c r="E814" s="25">
        <v>150</v>
      </c>
      <c r="F814" s="25">
        <v>32</v>
      </c>
      <c r="G814" s="25">
        <v>130</v>
      </c>
      <c r="H814" s="25">
        <v>30</v>
      </c>
      <c r="I814" s="22">
        <f t="shared" si="12"/>
        <v>342</v>
      </c>
      <c r="J814" t="e">
        <f>VLOOKUP(B814,'[1]KT 광점퍼코드(수익률)'!$A$4:$P$243,16,0)</f>
        <v>#N/A</v>
      </c>
    </row>
    <row r="815" spans="1:10" ht="15.75" hidden="1" customHeight="1">
      <c r="A815" s="19">
        <v>812</v>
      </c>
      <c r="B815" s="20" t="s">
        <v>1044</v>
      </c>
      <c r="C815" s="20" t="s">
        <v>357</v>
      </c>
      <c r="D815" s="20" t="s">
        <v>1045</v>
      </c>
      <c r="E815" s="21">
        <v>90</v>
      </c>
      <c r="F815" s="21">
        <v>100</v>
      </c>
      <c r="G815" s="21"/>
      <c r="H815" s="21"/>
      <c r="I815" s="22">
        <f t="shared" si="12"/>
        <v>190</v>
      </c>
      <c r="J815" t="e">
        <f>VLOOKUP(B815,'[1]KT 광점퍼코드(수익률)'!$A$4:$P$243,16,0)</f>
        <v>#N/A</v>
      </c>
    </row>
    <row r="816" spans="1:10" ht="15.75" hidden="1" customHeight="1">
      <c r="A816" s="23">
        <v>813</v>
      </c>
      <c r="B816" s="24" t="s">
        <v>1046</v>
      </c>
      <c r="C816" s="24" t="s">
        <v>354</v>
      </c>
      <c r="D816" s="24" t="s">
        <v>1047</v>
      </c>
      <c r="E816" s="25">
        <v>60</v>
      </c>
      <c r="F816" s="25">
        <v>30</v>
      </c>
      <c r="G816" s="25">
        <v>130</v>
      </c>
      <c r="H816" s="25"/>
      <c r="I816" s="22">
        <f t="shared" si="12"/>
        <v>220</v>
      </c>
      <c r="J816" t="e">
        <f>VLOOKUP(B816,'[1]KT 광점퍼코드(수익률)'!$A$4:$P$243,16,0)</f>
        <v>#N/A</v>
      </c>
    </row>
    <row r="817" spans="1:10" ht="15.75" hidden="1" customHeight="1">
      <c r="A817" s="19">
        <v>814</v>
      </c>
      <c r="B817" s="20" t="s">
        <v>1048</v>
      </c>
      <c r="C817" s="20" t="s">
        <v>582</v>
      </c>
      <c r="D817" s="20" t="s">
        <v>1049</v>
      </c>
      <c r="E817" s="21">
        <v>20</v>
      </c>
      <c r="F817" s="21">
        <v>27</v>
      </c>
      <c r="G817" s="21">
        <v>60</v>
      </c>
      <c r="H817" s="21"/>
      <c r="I817" s="22">
        <f t="shared" si="12"/>
        <v>107</v>
      </c>
      <c r="J817" t="e">
        <f>VLOOKUP(B817,'[1]KT 광점퍼코드(수익률)'!$A$4:$P$243,16,0)</f>
        <v>#N/A</v>
      </c>
    </row>
    <row r="818" spans="1:10" ht="15.75" customHeight="1">
      <c r="A818" s="23">
        <v>815</v>
      </c>
      <c r="B818" s="24" t="s">
        <v>3156</v>
      </c>
      <c r="C818" s="24" t="s">
        <v>3157</v>
      </c>
      <c r="D818" s="24" t="s">
        <v>3158</v>
      </c>
      <c r="E818" s="25"/>
      <c r="F818" s="25"/>
      <c r="G818" s="25">
        <v>10</v>
      </c>
      <c r="H818" s="25"/>
      <c r="I818" s="22">
        <f t="shared" si="12"/>
        <v>10</v>
      </c>
      <c r="J818">
        <f>VLOOKUP(B818,'[1]KT 광점퍼코드(수익률)'!$A$4:$P$243,16,0)</f>
        <v>3289</v>
      </c>
    </row>
    <row r="819" spans="1:10" ht="15.75" hidden="1" customHeight="1">
      <c r="A819" s="19">
        <v>816</v>
      </c>
      <c r="B819" s="20" t="s">
        <v>1050</v>
      </c>
      <c r="C819" s="20" t="s">
        <v>591</v>
      </c>
      <c r="D819" s="20" t="s">
        <v>1051</v>
      </c>
      <c r="E819" s="21">
        <v>1</v>
      </c>
      <c r="F819" s="21">
        <v>31</v>
      </c>
      <c r="G819" s="21">
        <v>30</v>
      </c>
      <c r="H819" s="21"/>
      <c r="I819" s="22">
        <f t="shared" si="12"/>
        <v>62</v>
      </c>
      <c r="J819" t="e">
        <f>VLOOKUP(B819,'[1]KT 광점퍼코드(수익률)'!$A$4:$P$243,16,0)</f>
        <v>#N/A</v>
      </c>
    </row>
    <row r="820" spans="1:10" ht="15.75" hidden="1" customHeight="1">
      <c r="A820" s="23">
        <v>817</v>
      </c>
      <c r="B820" s="24" t="s">
        <v>1052</v>
      </c>
      <c r="C820" s="24" t="s">
        <v>480</v>
      </c>
      <c r="D820" s="24" t="s">
        <v>1053</v>
      </c>
      <c r="E820" s="25">
        <v>20</v>
      </c>
      <c r="F820" s="25">
        <v>20</v>
      </c>
      <c r="G820" s="25">
        <v>20</v>
      </c>
      <c r="H820" s="25">
        <v>60</v>
      </c>
      <c r="I820" s="22">
        <f t="shared" si="12"/>
        <v>120</v>
      </c>
      <c r="J820" t="e">
        <f>VLOOKUP(B820,'[1]KT 광점퍼코드(수익률)'!$A$4:$P$243,16,0)</f>
        <v>#N/A</v>
      </c>
    </row>
    <row r="821" spans="1:10" ht="15.75" hidden="1" customHeight="1">
      <c r="A821" s="19">
        <v>818</v>
      </c>
      <c r="B821" s="20" t="s">
        <v>1054</v>
      </c>
      <c r="C821" s="20" t="s">
        <v>1055</v>
      </c>
      <c r="D821" s="20"/>
      <c r="E821" s="21">
        <v>14</v>
      </c>
      <c r="F821" s="21">
        <v>64</v>
      </c>
      <c r="G821" s="21">
        <v>40</v>
      </c>
      <c r="H821" s="21"/>
      <c r="I821" s="22">
        <f t="shared" si="12"/>
        <v>118</v>
      </c>
      <c r="J821" t="e">
        <f>VLOOKUP(B821,'[1]KT 광점퍼코드(수익률)'!$A$4:$P$243,16,0)</f>
        <v>#N/A</v>
      </c>
    </row>
    <row r="822" spans="1:10" ht="15.75" hidden="1" customHeight="1">
      <c r="A822" s="23">
        <v>819</v>
      </c>
      <c r="B822" s="24" t="s">
        <v>1056</v>
      </c>
      <c r="C822" s="24" t="s">
        <v>1057</v>
      </c>
      <c r="D822" s="24"/>
      <c r="E822" s="25">
        <v>40</v>
      </c>
      <c r="F822" s="25">
        <v>2</v>
      </c>
      <c r="G822" s="25">
        <v>68</v>
      </c>
      <c r="H822" s="25"/>
      <c r="I822" s="22">
        <f t="shared" si="12"/>
        <v>110</v>
      </c>
      <c r="J822" t="e">
        <f>VLOOKUP(B822,'[1]KT 광점퍼코드(수익률)'!$A$4:$P$243,16,0)</f>
        <v>#N/A</v>
      </c>
    </row>
    <row r="823" spans="1:10" ht="15.75" hidden="1" customHeight="1">
      <c r="A823" s="19">
        <v>820</v>
      </c>
      <c r="B823" s="20" t="s">
        <v>3159</v>
      </c>
      <c r="C823" s="20" t="s">
        <v>849</v>
      </c>
      <c r="D823" s="20" t="s">
        <v>3160</v>
      </c>
      <c r="E823" s="21"/>
      <c r="F823" s="21"/>
      <c r="G823" s="21">
        <v>2</v>
      </c>
      <c r="H823" s="21"/>
      <c r="I823" s="22">
        <f t="shared" si="12"/>
        <v>2</v>
      </c>
      <c r="J823" t="e">
        <f>VLOOKUP(B823,'[1]KT 광점퍼코드(수익률)'!$A$4:$P$243,16,0)</f>
        <v>#N/A</v>
      </c>
    </row>
    <row r="824" spans="1:10" ht="15.75" hidden="1" customHeight="1">
      <c r="A824" s="23">
        <v>821</v>
      </c>
      <c r="B824" s="24" t="s">
        <v>3161</v>
      </c>
      <c r="C824" s="24" t="s">
        <v>3162</v>
      </c>
      <c r="D824" s="24" t="s">
        <v>932</v>
      </c>
      <c r="E824" s="25"/>
      <c r="F824" s="25"/>
      <c r="G824" s="25">
        <v>6</v>
      </c>
      <c r="H824" s="25"/>
      <c r="I824" s="22">
        <f t="shared" si="12"/>
        <v>6</v>
      </c>
      <c r="J824" t="e">
        <f>VLOOKUP(B824,'[1]KT 광점퍼코드(수익률)'!$A$4:$P$243,16,0)</f>
        <v>#N/A</v>
      </c>
    </row>
    <row r="825" spans="1:10" ht="15.75" hidden="1" customHeight="1">
      <c r="A825" s="19">
        <v>822</v>
      </c>
      <c r="B825" s="20" t="s">
        <v>2623</v>
      </c>
      <c r="C825" s="20" t="s">
        <v>2624</v>
      </c>
      <c r="D825" s="20"/>
      <c r="E825" s="21"/>
      <c r="F825" s="21">
        <v>1</v>
      </c>
      <c r="G825" s="21">
        <v>4</v>
      </c>
      <c r="H825" s="21"/>
      <c r="I825" s="22">
        <f t="shared" si="12"/>
        <v>5</v>
      </c>
      <c r="J825" t="e">
        <f>VLOOKUP(B825,'[1]KT 광점퍼코드(수익률)'!$A$4:$P$243,16,0)</f>
        <v>#N/A</v>
      </c>
    </row>
    <row r="826" spans="1:10" ht="15.75" hidden="1" customHeight="1">
      <c r="A826" s="23">
        <v>823</v>
      </c>
      <c r="B826" s="24" t="s">
        <v>1058</v>
      </c>
      <c r="C826" s="24" t="s">
        <v>1059</v>
      </c>
      <c r="D826" s="24"/>
      <c r="E826" s="25">
        <v>8</v>
      </c>
      <c r="F826" s="25">
        <v>10</v>
      </c>
      <c r="G826" s="25">
        <v>21</v>
      </c>
      <c r="H826" s="25"/>
      <c r="I826" s="22">
        <f t="shared" si="12"/>
        <v>39</v>
      </c>
      <c r="J826" t="e">
        <f>VLOOKUP(B826,'[1]KT 광점퍼코드(수익률)'!$A$4:$P$243,16,0)</f>
        <v>#N/A</v>
      </c>
    </row>
    <row r="827" spans="1:10" ht="15.75" hidden="1" customHeight="1">
      <c r="A827" s="19">
        <v>824</v>
      </c>
      <c r="B827" s="20" t="s">
        <v>1060</v>
      </c>
      <c r="C827" s="20" t="s">
        <v>744</v>
      </c>
      <c r="D827" s="20" t="s">
        <v>1061</v>
      </c>
      <c r="E827" s="21">
        <v>50</v>
      </c>
      <c r="F827" s="21">
        <v>50</v>
      </c>
      <c r="G827" s="21"/>
      <c r="H827" s="21"/>
      <c r="I827" s="22">
        <f t="shared" si="12"/>
        <v>100</v>
      </c>
      <c r="J827" t="e">
        <f>VLOOKUP(B827,'[1]KT 광점퍼코드(수익률)'!$A$4:$P$243,16,0)</f>
        <v>#N/A</v>
      </c>
    </row>
    <row r="828" spans="1:10" ht="15.75" hidden="1" customHeight="1">
      <c r="A828" s="23">
        <v>825</v>
      </c>
      <c r="B828" s="24" t="s">
        <v>1062</v>
      </c>
      <c r="C828" s="24" t="s">
        <v>1063</v>
      </c>
      <c r="D828" s="24"/>
      <c r="E828" s="25">
        <v>300</v>
      </c>
      <c r="F828" s="25">
        <v>200</v>
      </c>
      <c r="G828" s="25"/>
      <c r="H828" s="25"/>
      <c r="I828" s="22">
        <f t="shared" si="12"/>
        <v>500</v>
      </c>
      <c r="J828" t="e">
        <f>VLOOKUP(B828,'[1]KT 광점퍼코드(수익률)'!$A$4:$P$243,16,0)</f>
        <v>#N/A</v>
      </c>
    </row>
    <row r="829" spans="1:10" ht="15.75" hidden="1" customHeight="1">
      <c r="A829" s="19">
        <v>826</v>
      </c>
      <c r="B829" s="20" t="s">
        <v>3163</v>
      </c>
      <c r="C829" s="20" t="s">
        <v>779</v>
      </c>
      <c r="D829" s="20" t="s">
        <v>3164</v>
      </c>
      <c r="E829" s="21"/>
      <c r="F829" s="21"/>
      <c r="G829" s="21">
        <v>10</v>
      </c>
      <c r="H829" s="21"/>
      <c r="I829" s="22">
        <f t="shared" si="12"/>
        <v>10</v>
      </c>
      <c r="J829" t="e">
        <f>VLOOKUP(B829,'[1]KT 광점퍼코드(수익률)'!$A$4:$P$243,16,0)</f>
        <v>#N/A</v>
      </c>
    </row>
    <row r="830" spans="1:10" ht="15.75" hidden="1" customHeight="1">
      <c r="A830" s="23">
        <v>827</v>
      </c>
      <c r="B830" s="24" t="s">
        <v>3165</v>
      </c>
      <c r="C830" s="24" t="s">
        <v>3166</v>
      </c>
      <c r="D830" s="24"/>
      <c r="E830" s="25"/>
      <c r="F830" s="25"/>
      <c r="G830" s="25">
        <v>5</v>
      </c>
      <c r="H830" s="25"/>
      <c r="I830" s="22">
        <f t="shared" si="12"/>
        <v>5</v>
      </c>
      <c r="J830" t="e">
        <f>VLOOKUP(B830,'[1]KT 광점퍼코드(수익률)'!$A$4:$P$243,16,0)</f>
        <v>#N/A</v>
      </c>
    </row>
    <row r="831" spans="1:10" ht="15.75" hidden="1" customHeight="1">
      <c r="A831" s="19">
        <v>828</v>
      </c>
      <c r="B831" s="20" t="s">
        <v>1064</v>
      </c>
      <c r="C831" s="20" t="s">
        <v>899</v>
      </c>
      <c r="D831" s="20" t="s">
        <v>1065</v>
      </c>
      <c r="E831" s="21">
        <v>50</v>
      </c>
      <c r="F831" s="21"/>
      <c r="G831" s="21"/>
      <c r="H831" s="21"/>
      <c r="I831" s="22">
        <f t="shared" si="12"/>
        <v>50</v>
      </c>
      <c r="J831" t="e">
        <f>VLOOKUP(B831,'[1]KT 광점퍼코드(수익률)'!$A$4:$P$243,16,0)</f>
        <v>#N/A</v>
      </c>
    </row>
    <row r="832" spans="1:10" ht="15.75" hidden="1" customHeight="1">
      <c r="A832" s="23">
        <v>829</v>
      </c>
      <c r="B832" s="24" t="s">
        <v>1066</v>
      </c>
      <c r="C832" s="24" t="s">
        <v>899</v>
      </c>
      <c r="D832" s="24" t="s">
        <v>1067</v>
      </c>
      <c r="E832" s="25">
        <v>453</v>
      </c>
      <c r="F832" s="25">
        <v>127</v>
      </c>
      <c r="G832" s="25">
        <v>1</v>
      </c>
      <c r="H832" s="25"/>
      <c r="I832" s="22">
        <f t="shared" si="12"/>
        <v>581</v>
      </c>
      <c r="J832" t="e">
        <f>VLOOKUP(B832,'[1]KT 광점퍼코드(수익률)'!$A$4:$P$243,16,0)</f>
        <v>#N/A</v>
      </c>
    </row>
    <row r="833" spans="1:10" ht="15.75" hidden="1" customHeight="1">
      <c r="A833" s="19">
        <v>830</v>
      </c>
      <c r="B833" s="20" t="s">
        <v>2625</v>
      </c>
      <c r="C833" s="20" t="s">
        <v>2626</v>
      </c>
      <c r="D833" s="20"/>
      <c r="E833" s="21"/>
      <c r="F833" s="21">
        <v>2</v>
      </c>
      <c r="G833" s="21"/>
      <c r="H833" s="21"/>
      <c r="I833" s="22">
        <f t="shared" si="12"/>
        <v>2</v>
      </c>
      <c r="J833" t="e">
        <f>VLOOKUP(B833,'[1]KT 광점퍼코드(수익률)'!$A$4:$P$243,16,0)</f>
        <v>#N/A</v>
      </c>
    </row>
    <row r="834" spans="1:10" ht="15.75" hidden="1" customHeight="1">
      <c r="A834" s="23">
        <v>831</v>
      </c>
      <c r="B834" s="24" t="s">
        <v>1068</v>
      </c>
      <c r="C834" s="24" t="s">
        <v>1069</v>
      </c>
      <c r="D834" s="24"/>
      <c r="E834" s="25">
        <v>3</v>
      </c>
      <c r="F834" s="25">
        <v>2</v>
      </c>
      <c r="G834" s="25"/>
      <c r="H834" s="25"/>
      <c r="I834" s="22">
        <f t="shared" si="12"/>
        <v>5</v>
      </c>
      <c r="J834" t="e">
        <f>VLOOKUP(B834,'[1]KT 광점퍼코드(수익률)'!$A$4:$P$243,16,0)</f>
        <v>#N/A</v>
      </c>
    </row>
    <row r="835" spans="1:10" ht="15.75" hidden="1" customHeight="1">
      <c r="A835" s="19">
        <v>832</v>
      </c>
      <c r="B835" s="20" t="s">
        <v>3167</v>
      </c>
      <c r="C835" s="20" t="s">
        <v>3168</v>
      </c>
      <c r="D835" s="20"/>
      <c r="E835" s="21"/>
      <c r="F835" s="21"/>
      <c r="G835" s="21">
        <v>4</v>
      </c>
      <c r="H835" s="21"/>
      <c r="I835" s="22">
        <f t="shared" si="12"/>
        <v>4</v>
      </c>
      <c r="J835" t="e">
        <f>VLOOKUP(B835,'[1]KT 광점퍼코드(수익률)'!$A$4:$P$243,16,0)</f>
        <v>#N/A</v>
      </c>
    </row>
    <row r="836" spans="1:10" ht="15.75" hidden="1" customHeight="1">
      <c r="A836" s="23">
        <v>833</v>
      </c>
      <c r="B836" s="24" t="s">
        <v>1070</v>
      </c>
      <c r="C836" s="24" t="s">
        <v>620</v>
      </c>
      <c r="D836" s="24" t="s">
        <v>1071</v>
      </c>
      <c r="E836" s="25">
        <v>100</v>
      </c>
      <c r="F836" s="25"/>
      <c r="G836" s="25"/>
      <c r="H836" s="25"/>
      <c r="I836" s="22">
        <f t="shared" ref="I836:I899" si="13">SUM(E836:H836)</f>
        <v>100</v>
      </c>
      <c r="J836" t="e">
        <f>VLOOKUP(B836,'[1]KT 광점퍼코드(수익률)'!$A$4:$P$243,16,0)</f>
        <v>#N/A</v>
      </c>
    </row>
    <row r="837" spans="1:10" ht="15.75" hidden="1" customHeight="1">
      <c r="A837" s="19">
        <v>834</v>
      </c>
      <c r="B837" s="20" t="s">
        <v>1072</v>
      </c>
      <c r="C837" s="20" t="s">
        <v>1073</v>
      </c>
      <c r="D837" s="20"/>
      <c r="E837" s="21">
        <v>3</v>
      </c>
      <c r="F837" s="21">
        <v>4</v>
      </c>
      <c r="G837" s="21">
        <v>10</v>
      </c>
      <c r="H837" s="21"/>
      <c r="I837" s="22">
        <f t="shared" si="13"/>
        <v>17</v>
      </c>
      <c r="J837" t="e">
        <f>VLOOKUP(B837,'[1]KT 광점퍼코드(수익률)'!$A$4:$P$243,16,0)</f>
        <v>#N/A</v>
      </c>
    </row>
    <row r="838" spans="1:10" ht="15.75" hidden="1" customHeight="1">
      <c r="A838" s="23">
        <v>835</v>
      </c>
      <c r="B838" s="24" t="s">
        <v>1074</v>
      </c>
      <c r="C838" s="24" t="s">
        <v>1075</v>
      </c>
      <c r="D838" s="24"/>
      <c r="E838" s="25">
        <v>7</v>
      </c>
      <c r="F838" s="25"/>
      <c r="G838" s="25"/>
      <c r="H838" s="25"/>
      <c r="I838" s="22">
        <f t="shared" si="13"/>
        <v>7</v>
      </c>
      <c r="J838" t="e">
        <f>VLOOKUP(B838,'[1]KT 광점퍼코드(수익률)'!$A$4:$P$243,16,0)</f>
        <v>#N/A</v>
      </c>
    </row>
    <row r="839" spans="1:10" ht="15.75" hidden="1" customHeight="1">
      <c r="A839" s="19">
        <v>836</v>
      </c>
      <c r="B839" s="20" t="s">
        <v>1076</v>
      </c>
      <c r="C839" s="20" t="s">
        <v>779</v>
      </c>
      <c r="D839" s="20" t="s">
        <v>1077</v>
      </c>
      <c r="E839" s="21">
        <v>101</v>
      </c>
      <c r="F839" s="21"/>
      <c r="G839" s="21"/>
      <c r="H839" s="21"/>
      <c r="I839" s="22">
        <f t="shared" si="13"/>
        <v>101</v>
      </c>
      <c r="J839" t="e">
        <f>VLOOKUP(B839,'[1]KT 광점퍼코드(수익률)'!$A$4:$P$243,16,0)</f>
        <v>#N/A</v>
      </c>
    </row>
    <row r="840" spans="1:10" ht="15.75" customHeight="1">
      <c r="A840" s="23">
        <v>837</v>
      </c>
      <c r="B840" s="24" t="s">
        <v>1078</v>
      </c>
      <c r="C840" s="24" t="s">
        <v>1079</v>
      </c>
      <c r="D840" s="24" t="s">
        <v>1080</v>
      </c>
      <c r="E840" s="25">
        <v>50</v>
      </c>
      <c r="F840" s="25"/>
      <c r="G840" s="25"/>
      <c r="H840" s="25"/>
      <c r="I840" s="22">
        <f t="shared" si="13"/>
        <v>50</v>
      </c>
      <c r="J840">
        <f>VLOOKUP(B840,'[1]KT 광점퍼코드(수익률)'!$A$4:$P$243,16,0)</f>
        <v>2513</v>
      </c>
    </row>
    <row r="841" spans="1:10" ht="15.75" hidden="1" customHeight="1">
      <c r="A841" s="19">
        <v>838</v>
      </c>
      <c r="B841" s="20" t="s">
        <v>1081</v>
      </c>
      <c r="C841" s="20" t="s">
        <v>814</v>
      </c>
      <c r="D841" s="20" t="s">
        <v>1082</v>
      </c>
      <c r="E841" s="21">
        <v>6120</v>
      </c>
      <c r="F841" s="21"/>
      <c r="G841" s="21"/>
      <c r="H841" s="21"/>
      <c r="I841" s="22">
        <f t="shared" si="13"/>
        <v>6120</v>
      </c>
      <c r="J841" t="e">
        <f>VLOOKUP(B841,'[1]KT 광점퍼코드(수익률)'!$A$4:$P$243,16,0)</f>
        <v>#N/A</v>
      </c>
    </row>
    <row r="842" spans="1:10" ht="15.75" hidden="1" customHeight="1">
      <c r="A842" s="23">
        <v>839</v>
      </c>
      <c r="B842" s="24" t="s">
        <v>1083</v>
      </c>
      <c r="C842" s="24" t="s">
        <v>841</v>
      </c>
      <c r="D842" s="24" t="s">
        <v>1084</v>
      </c>
      <c r="E842" s="25">
        <v>3300</v>
      </c>
      <c r="F842" s="25">
        <v>1496</v>
      </c>
      <c r="G842" s="25"/>
      <c r="H842" s="25"/>
      <c r="I842" s="22">
        <f t="shared" si="13"/>
        <v>4796</v>
      </c>
      <c r="J842" t="e">
        <f>VLOOKUP(B842,'[1]KT 광점퍼코드(수익률)'!$A$4:$P$243,16,0)</f>
        <v>#N/A</v>
      </c>
    </row>
    <row r="843" spans="1:10" ht="15.75" hidden="1" customHeight="1">
      <c r="A843" s="19">
        <v>840</v>
      </c>
      <c r="B843" s="20" t="s">
        <v>1085</v>
      </c>
      <c r="C843" s="20" t="s">
        <v>869</v>
      </c>
      <c r="D843" s="20" t="s">
        <v>1086</v>
      </c>
      <c r="E843" s="21">
        <v>480</v>
      </c>
      <c r="F843" s="21"/>
      <c r="G843" s="21"/>
      <c r="H843" s="21"/>
      <c r="I843" s="22">
        <f t="shared" si="13"/>
        <v>480</v>
      </c>
      <c r="J843" t="e">
        <f>VLOOKUP(B843,'[1]KT 광점퍼코드(수익률)'!$A$4:$P$243,16,0)</f>
        <v>#N/A</v>
      </c>
    </row>
    <row r="844" spans="1:10" ht="15.75" hidden="1" customHeight="1">
      <c r="A844" s="23">
        <v>841</v>
      </c>
      <c r="B844" s="24" t="s">
        <v>1087</v>
      </c>
      <c r="C844" s="24" t="s">
        <v>814</v>
      </c>
      <c r="D844" s="24" t="s">
        <v>1088</v>
      </c>
      <c r="E844" s="25">
        <v>14160</v>
      </c>
      <c r="F844" s="25">
        <v>4500</v>
      </c>
      <c r="G844" s="25">
        <v>100</v>
      </c>
      <c r="H844" s="25">
        <v>28</v>
      </c>
      <c r="I844" s="22">
        <f t="shared" si="13"/>
        <v>18788</v>
      </c>
      <c r="J844" t="e">
        <f>VLOOKUP(B844,'[1]KT 광점퍼코드(수익률)'!$A$4:$P$243,16,0)</f>
        <v>#N/A</v>
      </c>
    </row>
    <row r="845" spans="1:10" ht="15.75" hidden="1" customHeight="1">
      <c r="A845" s="19">
        <v>842</v>
      </c>
      <c r="B845" s="20" t="s">
        <v>1089</v>
      </c>
      <c r="C845" s="20" t="s">
        <v>841</v>
      </c>
      <c r="D845" s="20" t="s">
        <v>1090</v>
      </c>
      <c r="E845" s="21">
        <v>4100</v>
      </c>
      <c r="F845" s="21">
        <v>4000</v>
      </c>
      <c r="G845" s="21">
        <v>120</v>
      </c>
      <c r="H845" s="21"/>
      <c r="I845" s="22">
        <f t="shared" si="13"/>
        <v>8220</v>
      </c>
      <c r="J845" t="e">
        <f>VLOOKUP(B845,'[1]KT 광점퍼코드(수익률)'!$A$4:$P$243,16,0)</f>
        <v>#N/A</v>
      </c>
    </row>
    <row r="846" spans="1:10" ht="15.75" hidden="1" customHeight="1">
      <c r="A846" s="23">
        <v>843</v>
      </c>
      <c r="B846" s="24" t="s">
        <v>1091</v>
      </c>
      <c r="C846" s="24" t="s">
        <v>869</v>
      </c>
      <c r="D846" s="24" t="s">
        <v>1092</v>
      </c>
      <c r="E846" s="25">
        <v>24350</v>
      </c>
      <c r="F846" s="25">
        <v>18700</v>
      </c>
      <c r="G846" s="25">
        <v>6018</v>
      </c>
      <c r="H846" s="25">
        <v>6800</v>
      </c>
      <c r="I846" s="22">
        <f t="shared" si="13"/>
        <v>55868</v>
      </c>
      <c r="J846" t="e">
        <f>VLOOKUP(B846,'[1]KT 광점퍼코드(수익률)'!$A$4:$P$243,16,0)</f>
        <v>#N/A</v>
      </c>
    </row>
    <row r="847" spans="1:10" ht="15.75" hidden="1" customHeight="1">
      <c r="A847" s="19">
        <v>844</v>
      </c>
      <c r="B847" s="20" t="s">
        <v>2627</v>
      </c>
      <c r="C847" s="20" t="s">
        <v>2628</v>
      </c>
      <c r="D847" s="20"/>
      <c r="E847" s="21"/>
      <c r="F847" s="21">
        <v>92</v>
      </c>
      <c r="G847" s="21"/>
      <c r="H847" s="21"/>
      <c r="I847" s="22">
        <f t="shared" si="13"/>
        <v>92</v>
      </c>
      <c r="J847" t="e">
        <f>VLOOKUP(B847,'[1]KT 광점퍼코드(수익률)'!$A$4:$P$243,16,0)</f>
        <v>#N/A</v>
      </c>
    </row>
    <row r="848" spans="1:10" ht="15.75" hidden="1" customHeight="1">
      <c r="A848" s="23">
        <v>845</v>
      </c>
      <c r="B848" s="24" t="s">
        <v>1093</v>
      </c>
      <c r="C848" s="24" t="s">
        <v>841</v>
      </c>
      <c r="D848" s="24" t="s">
        <v>1094</v>
      </c>
      <c r="E848" s="25">
        <v>520</v>
      </c>
      <c r="F848" s="25">
        <v>1500</v>
      </c>
      <c r="G848" s="25">
        <v>2000</v>
      </c>
      <c r="H848" s="25">
        <v>1000</v>
      </c>
      <c r="I848" s="22">
        <f t="shared" si="13"/>
        <v>5020</v>
      </c>
      <c r="J848" t="e">
        <f>VLOOKUP(B848,'[1]KT 광점퍼코드(수익률)'!$A$4:$P$243,16,0)</f>
        <v>#N/A</v>
      </c>
    </row>
    <row r="849" spans="1:10" ht="15.75" hidden="1" customHeight="1">
      <c r="A849" s="19">
        <v>846</v>
      </c>
      <c r="B849" s="20" t="s">
        <v>1095</v>
      </c>
      <c r="C849" s="20" t="s">
        <v>814</v>
      </c>
      <c r="D849" s="20" t="s">
        <v>1096</v>
      </c>
      <c r="E849" s="21">
        <v>2520</v>
      </c>
      <c r="F849" s="21">
        <v>1500</v>
      </c>
      <c r="G849" s="21"/>
      <c r="H849" s="21">
        <v>3000</v>
      </c>
      <c r="I849" s="22">
        <f t="shared" si="13"/>
        <v>7020</v>
      </c>
      <c r="J849" t="e">
        <f>VLOOKUP(B849,'[1]KT 광점퍼코드(수익률)'!$A$4:$P$243,16,0)</f>
        <v>#N/A</v>
      </c>
    </row>
    <row r="850" spans="1:10" ht="15.75" hidden="1" customHeight="1">
      <c r="A850" s="23">
        <v>847</v>
      </c>
      <c r="B850" s="24" t="s">
        <v>1097</v>
      </c>
      <c r="C850" s="24" t="s">
        <v>869</v>
      </c>
      <c r="D850" s="24" t="s">
        <v>1098</v>
      </c>
      <c r="E850" s="25">
        <v>22</v>
      </c>
      <c r="F850" s="25">
        <v>1000</v>
      </c>
      <c r="G850" s="25"/>
      <c r="H850" s="25"/>
      <c r="I850" s="22">
        <f t="shared" si="13"/>
        <v>1022</v>
      </c>
      <c r="J850" t="e">
        <f>VLOOKUP(B850,'[1]KT 광점퍼코드(수익률)'!$A$4:$P$243,16,0)</f>
        <v>#N/A</v>
      </c>
    </row>
    <row r="851" spans="1:10" ht="15.75" hidden="1" customHeight="1">
      <c r="A851" s="19">
        <v>848</v>
      </c>
      <c r="B851" s="20" t="s">
        <v>3169</v>
      </c>
      <c r="C851" s="20" t="s">
        <v>3170</v>
      </c>
      <c r="D851" s="20"/>
      <c r="E851" s="21"/>
      <c r="F851" s="21"/>
      <c r="G851" s="21">
        <v>4</v>
      </c>
      <c r="H851" s="21"/>
      <c r="I851" s="22">
        <f t="shared" si="13"/>
        <v>4</v>
      </c>
      <c r="J851" t="e">
        <f>VLOOKUP(B851,'[1]KT 광점퍼코드(수익률)'!$A$4:$P$243,16,0)</f>
        <v>#N/A</v>
      </c>
    </row>
    <row r="852" spans="1:10" ht="15.75" customHeight="1">
      <c r="A852" s="23">
        <v>849</v>
      </c>
      <c r="B852" s="24" t="s">
        <v>2629</v>
      </c>
      <c r="C852" s="24" t="s">
        <v>2630</v>
      </c>
      <c r="D852" s="24" t="s">
        <v>2631</v>
      </c>
      <c r="E852" s="25"/>
      <c r="F852" s="25">
        <v>10</v>
      </c>
      <c r="G852" s="25">
        <v>10</v>
      </c>
      <c r="H852" s="25"/>
      <c r="I852" s="22">
        <f t="shared" si="13"/>
        <v>20</v>
      </c>
      <c r="J852">
        <f>VLOOKUP(B852,'[1]KT 광점퍼코드(수익률)'!$A$4:$P$243,16,0)</f>
        <v>4143</v>
      </c>
    </row>
    <row r="853" spans="1:10" ht="15.75" hidden="1" customHeight="1">
      <c r="A853" s="19">
        <v>850</v>
      </c>
      <c r="B853" s="20" t="s">
        <v>3171</v>
      </c>
      <c r="C853" s="20" t="s">
        <v>3172</v>
      </c>
      <c r="D853" s="20"/>
      <c r="E853" s="21"/>
      <c r="F853" s="21"/>
      <c r="G853" s="21">
        <v>1</v>
      </c>
      <c r="H853" s="21"/>
      <c r="I853" s="22">
        <f t="shared" si="13"/>
        <v>1</v>
      </c>
      <c r="J853" t="e">
        <f>VLOOKUP(B853,'[1]KT 광점퍼코드(수익률)'!$A$4:$P$243,16,0)</f>
        <v>#N/A</v>
      </c>
    </row>
    <row r="854" spans="1:10" ht="15.75" hidden="1" customHeight="1">
      <c r="A854" s="23">
        <v>851</v>
      </c>
      <c r="B854" s="24" t="s">
        <v>3173</v>
      </c>
      <c r="C854" s="24" t="s">
        <v>612</v>
      </c>
      <c r="D854" s="24" t="s">
        <v>3174</v>
      </c>
      <c r="E854" s="25"/>
      <c r="F854" s="25"/>
      <c r="G854" s="25">
        <v>100</v>
      </c>
      <c r="H854" s="25"/>
      <c r="I854" s="22">
        <f t="shared" si="13"/>
        <v>100</v>
      </c>
      <c r="J854" t="e">
        <f>VLOOKUP(B854,'[1]KT 광점퍼코드(수익률)'!$A$4:$P$243,16,0)</f>
        <v>#N/A</v>
      </c>
    </row>
    <row r="855" spans="1:10" ht="15.75" customHeight="1">
      <c r="A855" s="19">
        <v>852</v>
      </c>
      <c r="B855" s="20" t="s">
        <v>2632</v>
      </c>
      <c r="C855" s="20" t="s">
        <v>2633</v>
      </c>
      <c r="D855" s="20" t="s">
        <v>922</v>
      </c>
      <c r="E855" s="21"/>
      <c r="F855" s="21">
        <v>2</v>
      </c>
      <c r="G855" s="21"/>
      <c r="H855" s="21"/>
      <c r="I855" s="22">
        <f t="shared" si="13"/>
        <v>2</v>
      </c>
      <c r="J855">
        <f>VLOOKUP(B855,'[1]KT 광점퍼코드(수익률)'!$A$4:$P$243,16,0)</f>
        <v>31547</v>
      </c>
    </row>
    <row r="856" spans="1:10" ht="15.75" hidden="1" customHeight="1">
      <c r="A856" s="23">
        <v>853</v>
      </c>
      <c r="B856" s="24" t="s">
        <v>2634</v>
      </c>
      <c r="C856" s="24" t="s">
        <v>866</v>
      </c>
      <c r="D856" s="24" t="s">
        <v>2635</v>
      </c>
      <c r="E856" s="25"/>
      <c r="F856" s="25">
        <v>60</v>
      </c>
      <c r="G856" s="25"/>
      <c r="H856" s="25"/>
      <c r="I856" s="22">
        <f t="shared" si="13"/>
        <v>60</v>
      </c>
      <c r="J856" t="e">
        <f>VLOOKUP(B856,'[1]KT 광점퍼코드(수익률)'!$A$4:$P$243,16,0)</f>
        <v>#N/A</v>
      </c>
    </row>
    <row r="857" spans="1:10" ht="15.75" hidden="1" customHeight="1">
      <c r="A857" s="19">
        <v>854</v>
      </c>
      <c r="B857" s="20" t="s">
        <v>1099</v>
      </c>
      <c r="C857" s="20" t="s">
        <v>370</v>
      </c>
      <c r="D857" s="20" t="s">
        <v>1100</v>
      </c>
      <c r="E857" s="21">
        <v>1450</v>
      </c>
      <c r="F857" s="21">
        <v>2703</v>
      </c>
      <c r="G857" s="21">
        <v>100</v>
      </c>
      <c r="H857" s="21"/>
      <c r="I857" s="22">
        <f t="shared" si="13"/>
        <v>4253</v>
      </c>
      <c r="J857" t="e">
        <f>VLOOKUP(B857,'[1]KT 광점퍼코드(수익률)'!$A$4:$P$243,16,0)</f>
        <v>#N/A</v>
      </c>
    </row>
    <row r="858" spans="1:10" ht="15.75" hidden="1" customHeight="1">
      <c r="A858" s="23">
        <v>855</v>
      </c>
      <c r="B858" s="24" t="s">
        <v>2636</v>
      </c>
      <c r="C858" s="24" t="s">
        <v>2637</v>
      </c>
      <c r="D858" s="24"/>
      <c r="E858" s="25"/>
      <c r="F858" s="25">
        <v>16</v>
      </c>
      <c r="G858" s="25"/>
      <c r="H858" s="25"/>
      <c r="I858" s="22">
        <f t="shared" si="13"/>
        <v>16</v>
      </c>
      <c r="J858" t="e">
        <f>VLOOKUP(B858,'[1]KT 광점퍼코드(수익률)'!$A$4:$P$243,16,0)</f>
        <v>#N/A</v>
      </c>
    </row>
    <row r="859" spans="1:10" ht="15.75" hidden="1" customHeight="1">
      <c r="A859" s="19">
        <v>856</v>
      </c>
      <c r="B859" s="20" t="s">
        <v>2638</v>
      </c>
      <c r="C859" s="20" t="s">
        <v>2639</v>
      </c>
      <c r="D859" s="20"/>
      <c r="E859" s="21"/>
      <c r="F859" s="21">
        <v>13</v>
      </c>
      <c r="G859" s="21"/>
      <c r="H859" s="21"/>
      <c r="I859" s="22">
        <f t="shared" si="13"/>
        <v>13</v>
      </c>
      <c r="J859" t="e">
        <f>VLOOKUP(B859,'[1]KT 광점퍼코드(수익률)'!$A$4:$P$243,16,0)</f>
        <v>#N/A</v>
      </c>
    </row>
    <row r="860" spans="1:10" ht="15.75" hidden="1" customHeight="1">
      <c r="A860" s="23">
        <v>857</v>
      </c>
      <c r="B860" s="24" t="s">
        <v>2640</v>
      </c>
      <c r="C860" s="24" t="s">
        <v>2641</v>
      </c>
      <c r="D860" s="24"/>
      <c r="E860" s="25"/>
      <c r="F860" s="25">
        <v>11</v>
      </c>
      <c r="G860" s="25"/>
      <c r="H860" s="25"/>
      <c r="I860" s="22">
        <f t="shared" si="13"/>
        <v>11</v>
      </c>
      <c r="J860" t="e">
        <f>VLOOKUP(B860,'[1]KT 광점퍼코드(수익률)'!$A$4:$P$243,16,0)</f>
        <v>#N/A</v>
      </c>
    </row>
    <row r="861" spans="1:10" ht="15.75" hidden="1" customHeight="1">
      <c r="A861" s="19">
        <v>858</v>
      </c>
      <c r="B861" s="20" t="s">
        <v>1101</v>
      </c>
      <c r="C861" s="20" t="s">
        <v>600</v>
      </c>
      <c r="D861" s="20" t="s">
        <v>1102</v>
      </c>
      <c r="E861" s="21">
        <v>50</v>
      </c>
      <c r="F861" s="21">
        <v>80</v>
      </c>
      <c r="G861" s="21"/>
      <c r="H861" s="21"/>
      <c r="I861" s="22">
        <f t="shared" si="13"/>
        <v>130</v>
      </c>
      <c r="J861" t="e">
        <f>VLOOKUP(B861,'[1]KT 광점퍼코드(수익률)'!$A$4:$P$243,16,0)</f>
        <v>#N/A</v>
      </c>
    </row>
    <row r="862" spans="1:10" ht="15.75" hidden="1" customHeight="1">
      <c r="A862" s="23">
        <v>859</v>
      </c>
      <c r="B862" s="24" t="s">
        <v>2642</v>
      </c>
      <c r="C862" s="24" t="s">
        <v>2643</v>
      </c>
      <c r="D862" s="24"/>
      <c r="E862" s="25"/>
      <c r="F862" s="25">
        <v>3</v>
      </c>
      <c r="G862" s="25">
        <v>38</v>
      </c>
      <c r="H862" s="25"/>
      <c r="I862" s="22">
        <f t="shared" si="13"/>
        <v>41</v>
      </c>
      <c r="J862" t="e">
        <f>VLOOKUP(B862,'[1]KT 광점퍼코드(수익률)'!$A$4:$P$243,16,0)</f>
        <v>#N/A</v>
      </c>
    </row>
    <row r="863" spans="1:10" ht="15.75" hidden="1" customHeight="1">
      <c r="A863" s="19">
        <v>860</v>
      </c>
      <c r="B863" s="20" t="s">
        <v>2644</v>
      </c>
      <c r="C863" s="20" t="s">
        <v>2645</v>
      </c>
      <c r="D863" s="20"/>
      <c r="E863" s="21"/>
      <c r="F863" s="21">
        <v>6</v>
      </c>
      <c r="G863" s="21"/>
      <c r="H863" s="21"/>
      <c r="I863" s="22">
        <f t="shared" si="13"/>
        <v>6</v>
      </c>
      <c r="J863" t="e">
        <f>VLOOKUP(B863,'[1]KT 광점퍼코드(수익률)'!$A$4:$P$243,16,0)</f>
        <v>#N/A</v>
      </c>
    </row>
    <row r="864" spans="1:10" ht="15.75" customHeight="1">
      <c r="A864" s="23">
        <v>861</v>
      </c>
      <c r="B864" s="24" t="s">
        <v>3175</v>
      </c>
      <c r="C864" s="24" t="s">
        <v>3176</v>
      </c>
      <c r="D864" s="24" t="s">
        <v>3177</v>
      </c>
      <c r="E864" s="25"/>
      <c r="F864" s="25"/>
      <c r="G864" s="25">
        <v>33</v>
      </c>
      <c r="H864" s="25"/>
      <c r="I864" s="22">
        <f t="shared" si="13"/>
        <v>33</v>
      </c>
      <c r="J864">
        <f>VLOOKUP(B864,'[1]KT 광점퍼코드(수익률)'!$A$4:$P$243,16,0)</f>
        <v>4950</v>
      </c>
    </row>
    <row r="865" spans="1:10" ht="15.75" hidden="1" customHeight="1">
      <c r="A865" s="19">
        <v>862</v>
      </c>
      <c r="B865" s="20" t="s">
        <v>2646</v>
      </c>
      <c r="C865" s="20" t="s">
        <v>2647</v>
      </c>
      <c r="D865" s="20" t="s">
        <v>2592</v>
      </c>
      <c r="E865" s="21"/>
      <c r="F865" s="21">
        <v>13</v>
      </c>
      <c r="G865" s="21"/>
      <c r="H865" s="21"/>
      <c r="I865" s="22">
        <f t="shared" si="13"/>
        <v>13</v>
      </c>
      <c r="J865" t="e">
        <f>VLOOKUP(B865,'[1]KT 광점퍼코드(수익률)'!$A$4:$P$243,16,0)</f>
        <v>#N/A</v>
      </c>
    </row>
    <row r="866" spans="1:10" ht="15.75" hidden="1" customHeight="1">
      <c r="A866" s="23">
        <v>863</v>
      </c>
      <c r="B866" s="24" t="s">
        <v>1103</v>
      </c>
      <c r="C866" s="24" t="s">
        <v>720</v>
      </c>
      <c r="D866" s="26" t="s">
        <v>1104</v>
      </c>
      <c r="E866" s="25">
        <v>50</v>
      </c>
      <c r="F866" s="25">
        <v>60</v>
      </c>
      <c r="G866" s="25"/>
      <c r="H866" s="25"/>
      <c r="I866" s="22">
        <f t="shared" si="13"/>
        <v>110</v>
      </c>
      <c r="J866" t="e">
        <f>VLOOKUP(B866,'[1]KT 광점퍼코드(수익률)'!$A$4:$P$243,16,0)</f>
        <v>#N/A</v>
      </c>
    </row>
    <row r="867" spans="1:10" ht="15.75" hidden="1" customHeight="1">
      <c r="A867" s="19">
        <v>864</v>
      </c>
      <c r="B867" s="20" t="s">
        <v>2648</v>
      </c>
      <c r="C867" s="20" t="s">
        <v>2649</v>
      </c>
      <c r="D867" s="20" t="s">
        <v>922</v>
      </c>
      <c r="E867" s="21"/>
      <c r="F867" s="21">
        <v>2</v>
      </c>
      <c r="G867" s="21"/>
      <c r="H867" s="21"/>
      <c r="I867" s="22">
        <f t="shared" si="13"/>
        <v>2</v>
      </c>
      <c r="J867" t="e">
        <f>VLOOKUP(B867,'[1]KT 광점퍼코드(수익률)'!$A$4:$P$243,16,0)</f>
        <v>#N/A</v>
      </c>
    </row>
    <row r="868" spans="1:10" ht="15.75" hidden="1" customHeight="1">
      <c r="A868" s="23">
        <v>865</v>
      </c>
      <c r="B868" s="24" t="s">
        <v>1105</v>
      </c>
      <c r="C868" s="24" t="s">
        <v>878</v>
      </c>
      <c r="D868" s="24" t="s">
        <v>1106</v>
      </c>
      <c r="E868" s="25">
        <v>100</v>
      </c>
      <c r="F868" s="25"/>
      <c r="G868" s="25"/>
      <c r="H868" s="25"/>
      <c r="I868" s="22">
        <f t="shared" si="13"/>
        <v>100</v>
      </c>
      <c r="J868" t="e">
        <f>VLOOKUP(B868,'[1]KT 광점퍼코드(수익률)'!$A$4:$P$243,16,0)</f>
        <v>#N/A</v>
      </c>
    </row>
    <row r="869" spans="1:10" ht="15.75" hidden="1" customHeight="1">
      <c r="A869" s="19">
        <v>866</v>
      </c>
      <c r="B869" s="20" t="s">
        <v>1107</v>
      </c>
      <c r="C869" s="20" t="s">
        <v>1108</v>
      </c>
      <c r="D869" s="20" t="s">
        <v>1109</v>
      </c>
      <c r="E869" s="21">
        <v>20</v>
      </c>
      <c r="F869" s="21"/>
      <c r="G869" s="21"/>
      <c r="H869" s="21"/>
      <c r="I869" s="22">
        <f t="shared" si="13"/>
        <v>20</v>
      </c>
      <c r="J869" t="e">
        <f>VLOOKUP(B869,'[1]KT 광점퍼코드(수익률)'!$A$4:$P$243,16,0)</f>
        <v>#N/A</v>
      </c>
    </row>
    <row r="870" spans="1:10" ht="15.75" hidden="1" customHeight="1">
      <c r="A870" s="23">
        <v>867</v>
      </c>
      <c r="B870" s="24" t="s">
        <v>3178</v>
      </c>
      <c r="C870" s="24" t="s">
        <v>823</v>
      </c>
      <c r="D870" s="24" t="s">
        <v>1136</v>
      </c>
      <c r="E870" s="25"/>
      <c r="F870" s="25"/>
      <c r="G870" s="25">
        <v>10</v>
      </c>
      <c r="H870" s="25"/>
      <c r="I870" s="22">
        <f t="shared" si="13"/>
        <v>10</v>
      </c>
      <c r="J870" t="e">
        <f>VLOOKUP(B870,'[1]KT 광점퍼코드(수익률)'!$A$4:$P$243,16,0)</f>
        <v>#N/A</v>
      </c>
    </row>
    <row r="871" spans="1:10" ht="15.75" hidden="1" customHeight="1">
      <c r="A871" s="19">
        <v>868</v>
      </c>
      <c r="B871" s="20" t="s">
        <v>1110</v>
      </c>
      <c r="C871" s="20" t="s">
        <v>835</v>
      </c>
      <c r="D871" s="20" t="s">
        <v>1111</v>
      </c>
      <c r="E871" s="21">
        <v>50</v>
      </c>
      <c r="F871" s="21"/>
      <c r="G871" s="21">
        <v>10</v>
      </c>
      <c r="H871" s="21"/>
      <c r="I871" s="22">
        <f t="shared" si="13"/>
        <v>60</v>
      </c>
      <c r="J871" t="e">
        <f>VLOOKUP(B871,'[1]KT 광점퍼코드(수익률)'!$A$4:$P$243,16,0)</f>
        <v>#N/A</v>
      </c>
    </row>
    <row r="872" spans="1:10" ht="15.75" hidden="1" customHeight="1">
      <c r="A872" s="23">
        <v>869</v>
      </c>
      <c r="B872" s="24" t="s">
        <v>3179</v>
      </c>
      <c r="C872" s="24" t="s">
        <v>726</v>
      </c>
      <c r="D872" s="26" t="s">
        <v>1154</v>
      </c>
      <c r="E872" s="25"/>
      <c r="F872" s="25"/>
      <c r="G872" s="25">
        <v>20</v>
      </c>
      <c r="H872" s="25"/>
      <c r="I872" s="22">
        <f t="shared" si="13"/>
        <v>20</v>
      </c>
      <c r="J872" t="e">
        <f>VLOOKUP(B872,'[1]KT 광점퍼코드(수익률)'!$A$4:$P$243,16,0)</f>
        <v>#N/A</v>
      </c>
    </row>
    <row r="873" spans="1:10" ht="15.75" hidden="1" customHeight="1">
      <c r="A873" s="19">
        <v>870</v>
      </c>
      <c r="B873" s="20" t="s">
        <v>1112</v>
      </c>
      <c r="C873" s="20" t="s">
        <v>574</v>
      </c>
      <c r="D873" s="20" t="s">
        <v>1113</v>
      </c>
      <c r="E873" s="21">
        <v>8</v>
      </c>
      <c r="F873" s="21">
        <v>10</v>
      </c>
      <c r="G873" s="21"/>
      <c r="H873" s="21"/>
      <c r="I873" s="22">
        <f t="shared" si="13"/>
        <v>18</v>
      </c>
      <c r="J873" t="e">
        <f>VLOOKUP(B873,'[1]KT 광점퍼코드(수익률)'!$A$4:$P$243,16,0)</f>
        <v>#N/A</v>
      </c>
    </row>
    <row r="874" spans="1:10" ht="15.75" hidden="1" customHeight="1">
      <c r="A874" s="23">
        <v>871</v>
      </c>
      <c r="B874" s="24" t="s">
        <v>2650</v>
      </c>
      <c r="C874" s="24" t="s">
        <v>866</v>
      </c>
      <c r="D874" s="26" t="s">
        <v>1154</v>
      </c>
      <c r="E874" s="25"/>
      <c r="F874" s="25">
        <v>10</v>
      </c>
      <c r="G874" s="25"/>
      <c r="H874" s="25"/>
      <c r="I874" s="22">
        <f t="shared" si="13"/>
        <v>10</v>
      </c>
      <c r="J874" t="e">
        <f>VLOOKUP(B874,'[1]KT 광점퍼코드(수익률)'!$A$4:$P$243,16,0)</f>
        <v>#N/A</v>
      </c>
    </row>
    <row r="875" spans="1:10" ht="15.75" hidden="1" customHeight="1">
      <c r="A875" s="19">
        <v>872</v>
      </c>
      <c r="B875" s="20" t="s">
        <v>2651</v>
      </c>
      <c r="C875" s="20" t="s">
        <v>2652</v>
      </c>
      <c r="D875" s="20" t="s">
        <v>2592</v>
      </c>
      <c r="E875" s="21"/>
      <c r="F875" s="21">
        <v>13</v>
      </c>
      <c r="G875" s="21"/>
      <c r="H875" s="21"/>
      <c r="I875" s="22">
        <f t="shared" si="13"/>
        <v>13</v>
      </c>
      <c r="J875" t="e">
        <f>VLOOKUP(B875,'[1]KT 광점퍼코드(수익률)'!$A$4:$P$243,16,0)</f>
        <v>#N/A</v>
      </c>
    </row>
    <row r="876" spans="1:10" ht="15.75" hidden="1" customHeight="1">
      <c r="A876" s="23">
        <v>873</v>
      </c>
      <c r="B876" s="24" t="s">
        <v>1114</v>
      </c>
      <c r="C876" s="24" t="s">
        <v>558</v>
      </c>
      <c r="D876" s="24" t="s">
        <v>1115</v>
      </c>
      <c r="E876" s="25">
        <v>24</v>
      </c>
      <c r="F876" s="25">
        <v>3</v>
      </c>
      <c r="G876" s="25">
        <v>38</v>
      </c>
      <c r="H876" s="25"/>
      <c r="I876" s="22">
        <f t="shared" si="13"/>
        <v>65</v>
      </c>
      <c r="J876" t="e">
        <f>VLOOKUP(B876,'[1]KT 광점퍼코드(수익률)'!$A$4:$P$243,16,0)</f>
        <v>#N/A</v>
      </c>
    </row>
    <row r="877" spans="1:10" ht="15.75" hidden="1" customHeight="1">
      <c r="A877" s="19">
        <v>874</v>
      </c>
      <c r="B877" s="20" t="s">
        <v>1116</v>
      </c>
      <c r="C877" s="20" t="s">
        <v>1117</v>
      </c>
      <c r="D877" s="20"/>
      <c r="E877" s="21">
        <v>291</v>
      </c>
      <c r="F877" s="21">
        <v>348</v>
      </c>
      <c r="G877" s="21">
        <v>86</v>
      </c>
      <c r="H877" s="21"/>
      <c r="I877" s="22">
        <f t="shared" si="13"/>
        <v>725</v>
      </c>
      <c r="J877" t="e">
        <f>VLOOKUP(B877,'[1]KT 광점퍼코드(수익률)'!$A$4:$P$243,16,0)</f>
        <v>#N/A</v>
      </c>
    </row>
    <row r="878" spans="1:10" ht="15.75" hidden="1" customHeight="1">
      <c r="A878" s="23">
        <v>875</v>
      </c>
      <c r="B878" s="24" t="s">
        <v>2653</v>
      </c>
      <c r="C878" s="24" t="s">
        <v>2654</v>
      </c>
      <c r="D878" s="24"/>
      <c r="E878" s="25"/>
      <c r="F878" s="25">
        <v>75</v>
      </c>
      <c r="G878" s="25"/>
      <c r="H878" s="25"/>
      <c r="I878" s="22">
        <f t="shared" si="13"/>
        <v>75</v>
      </c>
      <c r="J878" t="e">
        <f>VLOOKUP(B878,'[1]KT 광점퍼코드(수익률)'!$A$4:$P$243,16,0)</f>
        <v>#N/A</v>
      </c>
    </row>
    <row r="879" spans="1:10" ht="15.75" hidden="1" customHeight="1">
      <c r="A879" s="19">
        <v>876</v>
      </c>
      <c r="B879" s="20" t="s">
        <v>1118</v>
      </c>
      <c r="C879" s="20" t="s">
        <v>370</v>
      </c>
      <c r="D879" s="20" t="s">
        <v>1115</v>
      </c>
      <c r="E879" s="21">
        <v>34</v>
      </c>
      <c r="F879" s="21">
        <v>19</v>
      </c>
      <c r="G879" s="21">
        <v>4</v>
      </c>
      <c r="H879" s="21">
        <v>7</v>
      </c>
      <c r="I879" s="22">
        <f t="shared" si="13"/>
        <v>64</v>
      </c>
      <c r="J879" t="e">
        <f>VLOOKUP(B879,'[1]KT 광점퍼코드(수익률)'!$A$4:$P$243,16,0)</f>
        <v>#N/A</v>
      </c>
    </row>
    <row r="880" spans="1:10" ht="15.75" hidden="1" customHeight="1">
      <c r="A880" s="23">
        <v>877</v>
      </c>
      <c r="B880" s="24" t="s">
        <v>1119</v>
      </c>
      <c r="C880" s="24" t="s">
        <v>351</v>
      </c>
      <c r="D880" s="24" t="s">
        <v>1115</v>
      </c>
      <c r="E880" s="25">
        <v>30</v>
      </c>
      <c r="F880" s="25">
        <v>2</v>
      </c>
      <c r="G880" s="25">
        <v>1</v>
      </c>
      <c r="H880" s="25">
        <v>4</v>
      </c>
      <c r="I880" s="22">
        <f t="shared" si="13"/>
        <v>37</v>
      </c>
      <c r="J880" t="e">
        <f>VLOOKUP(B880,'[1]KT 광점퍼코드(수익률)'!$A$4:$P$243,16,0)</f>
        <v>#N/A</v>
      </c>
    </row>
    <row r="881" spans="1:10" ht="15.75" hidden="1" customHeight="1">
      <c r="A881" s="19">
        <v>878</v>
      </c>
      <c r="B881" s="20" t="s">
        <v>1120</v>
      </c>
      <c r="C881" s="20" t="s">
        <v>568</v>
      </c>
      <c r="D881" s="20" t="s">
        <v>1115</v>
      </c>
      <c r="E881" s="21">
        <v>3</v>
      </c>
      <c r="F881" s="21">
        <v>40</v>
      </c>
      <c r="G881" s="21">
        <v>49</v>
      </c>
      <c r="H881" s="21">
        <v>1</v>
      </c>
      <c r="I881" s="22">
        <f t="shared" si="13"/>
        <v>93</v>
      </c>
      <c r="J881" t="e">
        <f>VLOOKUP(B881,'[1]KT 광점퍼코드(수익률)'!$A$4:$P$243,16,0)</f>
        <v>#N/A</v>
      </c>
    </row>
    <row r="882" spans="1:10" ht="15.75" hidden="1" customHeight="1">
      <c r="A882" s="23">
        <v>879</v>
      </c>
      <c r="B882" s="24" t="s">
        <v>2655</v>
      </c>
      <c r="C882" s="24" t="s">
        <v>2656</v>
      </c>
      <c r="D882" s="24"/>
      <c r="E882" s="25"/>
      <c r="F882" s="25">
        <v>10</v>
      </c>
      <c r="G882" s="25"/>
      <c r="H882" s="25"/>
      <c r="I882" s="22">
        <f t="shared" si="13"/>
        <v>10</v>
      </c>
      <c r="J882" t="e">
        <f>VLOOKUP(B882,'[1]KT 광점퍼코드(수익률)'!$A$4:$P$243,16,0)</f>
        <v>#N/A</v>
      </c>
    </row>
    <row r="883" spans="1:10" ht="15.75" hidden="1" customHeight="1">
      <c r="A883" s="19">
        <v>880</v>
      </c>
      <c r="B883" s="20" t="s">
        <v>2657</v>
      </c>
      <c r="C883" s="20" t="s">
        <v>354</v>
      </c>
      <c r="D883" s="20" t="s">
        <v>1115</v>
      </c>
      <c r="E883" s="21"/>
      <c r="F883" s="21">
        <v>10</v>
      </c>
      <c r="G883" s="21">
        <v>22</v>
      </c>
      <c r="H883" s="21"/>
      <c r="I883" s="22">
        <f t="shared" si="13"/>
        <v>32</v>
      </c>
      <c r="J883" t="e">
        <f>VLOOKUP(B883,'[1]KT 광점퍼코드(수익률)'!$A$4:$P$243,16,0)</f>
        <v>#N/A</v>
      </c>
    </row>
    <row r="884" spans="1:10" ht="15.75" hidden="1" customHeight="1">
      <c r="A884" s="23">
        <v>881</v>
      </c>
      <c r="B884" s="24" t="s">
        <v>3180</v>
      </c>
      <c r="C884" s="24" t="s">
        <v>582</v>
      </c>
      <c r="D884" s="24" t="s">
        <v>1115</v>
      </c>
      <c r="E884" s="25"/>
      <c r="F884" s="25"/>
      <c r="G884" s="25">
        <v>21</v>
      </c>
      <c r="H884" s="25"/>
      <c r="I884" s="22">
        <f t="shared" si="13"/>
        <v>21</v>
      </c>
      <c r="J884" t="e">
        <f>VLOOKUP(B884,'[1]KT 광점퍼코드(수익률)'!$A$4:$P$243,16,0)</f>
        <v>#N/A</v>
      </c>
    </row>
    <row r="885" spans="1:10" ht="15.75" hidden="1" customHeight="1">
      <c r="A885" s="19">
        <v>882</v>
      </c>
      <c r="B885" s="20" t="s">
        <v>2658</v>
      </c>
      <c r="C885" s="20" t="s">
        <v>872</v>
      </c>
      <c r="D885" s="20" t="s">
        <v>2659</v>
      </c>
      <c r="E885" s="21"/>
      <c r="F885" s="21">
        <v>20</v>
      </c>
      <c r="G885" s="21"/>
      <c r="H885" s="21"/>
      <c r="I885" s="22">
        <f t="shared" si="13"/>
        <v>20</v>
      </c>
      <c r="J885" t="e">
        <f>VLOOKUP(B885,'[1]KT 광점퍼코드(수익률)'!$A$4:$P$243,16,0)</f>
        <v>#N/A</v>
      </c>
    </row>
    <row r="886" spans="1:10" ht="15.75" hidden="1" customHeight="1">
      <c r="A886" s="23">
        <v>883</v>
      </c>
      <c r="B886" s="24" t="s">
        <v>1121</v>
      </c>
      <c r="C886" s="24" t="s">
        <v>568</v>
      </c>
      <c r="D886" s="24" t="s">
        <v>1122</v>
      </c>
      <c r="E886" s="25">
        <v>96</v>
      </c>
      <c r="F886" s="25">
        <v>49</v>
      </c>
      <c r="G886" s="25">
        <v>12</v>
      </c>
      <c r="H886" s="25"/>
      <c r="I886" s="22">
        <f t="shared" si="13"/>
        <v>157</v>
      </c>
      <c r="J886" t="e">
        <f>VLOOKUP(B886,'[1]KT 광점퍼코드(수익률)'!$A$4:$P$243,16,0)</f>
        <v>#N/A</v>
      </c>
    </row>
    <row r="887" spans="1:10" ht="15.75" hidden="1" customHeight="1">
      <c r="A887" s="19">
        <v>884</v>
      </c>
      <c r="B887" s="20" t="s">
        <v>1123</v>
      </c>
      <c r="C887" s="20" t="s">
        <v>666</v>
      </c>
      <c r="D887" s="20" t="s">
        <v>1124</v>
      </c>
      <c r="E887" s="21">
        <v>81</v>
      </c>
      <c r="F887" s="21">
        <v>3</v>
      </c>
      <c r="G887" s="21"/>
      <c r="H887" s="21"/>
      <c r="I887" s="22">
        <f t="shared" si="13"/>
        <v>84</v>
      </c>
      <c r="J887" t="e">
        <f>VLOOKUP(B887,'[1]KT 광점퍼코드(수익률)'!$A$4:$P$243,16,0)</f>
        <v>#N/A</v>
      </c>
    </row>
    <row r="888" spans="1:10" ht="15.75" hidden="1" customHeight="1">
      <c r="A888" s="23">
        <v>885</v>
      </c>
      <c r="B888" s="24" t="s">
        <v>1125</v>
      </c>
      <c r="C888" s="24" t="s">
        <v>678</v>
      </c>
      <c r="D888" s="24" t="s">
        <v>1126</v>
      </c>
      <c r="E888" s="25">
        <v>30</v>
      </c>
      <c r="F888" s="25">
        <v>15</v>
      </c>
      <c r="G888" s="25"/>
      <c r="H888" s="25"/>
      <c r="I888" s="22">
        <f t="shared" si="13"/>
        <v>45</v>
      </c>
      <c r="J888" t="e">
        <f>VLOOKUP(B888,'[1]KT 광점퍼코드(수익률)'!$A$4:$P$243,16,0)</f>
        <v>#N/A</v>
      </c>
    </row>
    <row r="889" spans="1:10" ht="15.75" hidden="1" customHeight="1">
      <c r="A889" s="19">
        <v>886</v>
      </c>
      <c r="B889" s="20" t="s">
        <v>1127</v>
      </c>
      <c r="C889" s="20" t="s">
        <v>692</v>
      </c>
      <c r="D889" s="20" t="s">
        <v>1128</v>
      </c>
      <c r="E889" s="21">
        <v>167</v>
      </c>
      <c r="F889" s="21">
        <v>75</v>
      </c>
      <c r="G889" s="21"/>
      <c r="H889" s="21"/>
      <c r="I889" s="22">
        <f t="shared" si="13"/>
        <v>242</v>
      </c>
      <c r="J889" t="e">
        <f>VLOOKUP(B889,'[1]KT 광점퍼코드(수익률)'!$A$4:$P$243,16,0)</f>
        <v>#N/A</v>
      </c>
    </row>
    <row r="890" spans="1:10" ht="15.75" hidden="1" customHeight="1">
      <c r="A890" s="23">
        <v>887</v>
      </c>
      <c r="B890" s="24" t="s">
        <v>1129</v>
      </c>
      <c r="C890" s="24" t="s">
        <v>723</v>
      </c>
      <c r="D890" s="24" t="s">
        <v>1130</v>
      </c>
      <c r="E890" s="25">
        <v>89</v>
      </c>
      <c r="F890" s="25">
        <v>127</v>
      </c>
      <c r="G890" s="25"/>
      <c r="H890" s="25"/>
      <c r="I890" s="22">
        <f t="shared" si="13"/>
        <v>216</v>
      </c>
      <c r="J890" t="e">
        <f>VLOOKUP(B890,'[1]KT 광점퍼코드(수익률)'!$A$4:$P$243,16,0)</f>
        <v>#N/A</v>
      </c>
    </row>
    <row r="891" spans="1:10" ht="15.75" hidden="1" customHeight="1">
      <c r="A891" s="19">
        <v>888</v>
      </c>
      <c r="B891" s="20" t="s">
        <v>1131</v>
      </c>
      <c r="C891" s="20" t="s">
        <v>1132</v>
      </c>
      <c r="D891" s="20"/>
      <c r="E891" s="21">
        <v>16</v>
      </c>
      <c r="F891" s="21"/>
      <c r="G891" s="21"/>
      <c r="H891" s="21"/>
      <c r="I891" s="22">
        <f t="shared" si="13"/>
        <v>16</v>
      </c>
      <c r="J891" t="e">
        <f>VLOOKUP(B891,'[1]KT 광점퍼코드(수익률)'!$A$4:$P$243,16,0)</f>
        <v>#N/A</v>
      </c>
    </row>
    <row r="892" spans="1:10" ht="15.75" hidden="1" customHeight="1">
      <c r="A892" s="23">
        <v>889</v>
      </c>
      <c r="B892" s="24" t="s">
        <v>3181</v>
      </c>
      <c r="C892" s="24" t="s">
        <v>959</v>
      </c>
      <c r="D892" s="24" t="s">
        <v>3182</v>
      </c>
      <c r="E892" s="25"/>
      <c r="F892" s="25"/>
      <c r="G892" s="25">
        <v>50</v>
      </c>
      <c r="H892" s="25"/>
      <c r="I892" s="22">
        <f t="shared" si="13"/>
        <v>50</v>
      </c>
      <c r="J892" t="e">
        <f>VLOOKUP(B892,'[1]KT 광점퍼코드(수익률)'!$A$4:$P$243,16,0)</f>
        <v>#N/A</v>
      </c>
    </row>
    <row r="893" spans="1:10" ht="15.75" hidden="1" customHeight="1">
      <c r="A893" s="19">
        <v>890</v>
      </c>
      <c r="B893" s="20" t="s">
        <v>1133</v>
      </c>
      <c r="C893" s="20" t="s">
        <v>708</v>
      </c>
      <c r="D893" s="20" t="s">
        <v>1134</v>
      </c>
      <c r="E893" s="21">
        <v>81</v>
      </c>
      <c r="F893" s="21">
        <v>6</v>
      </c>
      <c r="G893" s="21"/>
      <c r="H893" s="21"/>
      <c r="I893" s="22">
        <f t="shared" si="13"/>
        <v>87</v>
      </c>
      <c r="J893" t="e">
        <f>VLOOKUP(B893,'[1]KT 광점퍼코드(수익률)'!$A$4:$P$243,16,0)</f>
        <v>#N/A</v>
      </c>
    </row>
    <row r="894" spans="1:10" ht="15.75" hidden="1" customHeight="1">
      <c r="A894" s="23">
        <v>891</v>
      </c>
      <c r="B894" s="24" t="s">
        <v>3183</v>
      </c>
      <c r="C894" s="24" t="s">
        <v>3184</v>
      </c>
      <c r="D894" s="24"/>
      <c r="E894" s="25"/>
      <c r="F894" s="25"/>
      <c r="G894" s="25">
        <v>4</v>
      </c>
      <c r="H894" s="25"/>
      <c r="I894" s="22">
        <f t="shared" si="13"/>
        <v>4</v>
      </c>
      <c r="J894" t="e">
        <f>VLOOKUP(B894,'[1]KT 광점퍼코드(수익률)'!$A$4:$P$243,16,0)</f>
        <v>#N/A</v>
      </c>
    </row>
    <row r="895" spans="1:10" ht="15.75" hidden="1" customHeight="1">
      <c r="A895" s="19">
        <v>892</v>
      </c>
      <c r="B895" s="20" t="s">
        <v>2660</v>
      </c>
      <c r="C895" s="20" t="s">
        <v>588</v>
      </c>
      <c r="D895" s="27" t="s">
        <v>2661</v>
      </c>
      <c r="E895" s="21"/>
      <c r="F895" s="21">
        <v>60</v>
      </c>
      <c r="G895" s="21"/>
      <c r="H895" s="21"/>
      <c r="I895" s="22">
        <f t="shared" si="13"/>
        <v>60</v>
      </c>
      <c r="J895" t="e">
        <f>VLOOKUP(B895,'[1]KT 광점퍼코드(수익률)'!$A$4:$P$243,16,0)</f>
        <v>#N/A</v>
      </c>
    </row>
    <row r="896" spans="1:10" ht="15.75" hidden="1" customHeight="1">
      <c r="A896" s="23">
        <v>893</v>
      </c>
      <c r="B896" s="24" t="s">
        <v>3461</v>
      </c>
      <c r="C896" s="24" t="s">
        <v>3462</v>
      </c>
      <c r="D896" s="24"/>
      <c r="E896" s="25"/>
      <c r="F896" s="25"/>
      <c r="G896" s="25"/>
      <c r="H896" s="25">
        <v>10</v>
      </c>
      <c r="I896" s="22">
        <f t="shared" si="13"/>
        <v>10</v>
      </c>
      <c r="J896" t="e">
        <f>VLOOKUP(B896,'[1]KT 광점퍼코드(수익률)'!$A$4:$P$243,16,0)</f>
        <v>#N/A</v>
      </c>
    </row>
    <row r="897" spans="1:10" ht="15.75" hidden="1" customHeight="1">
      <c r="A897" s="19">
        <v>894</v>
      </c>
      <c r="B897" s="20" t="s">
        <v>2662</v>
      </c>
      <c r="C897" s="20" t="s">
        <v>1237</v>
      </c>
      <c r="D897" s="20"/>
      <c r="E897" s="21"/>
      <c r="F897" s="21">
        <v>17</v>
      </c>
      <c r="G897" s="21">
        <v>12</v>
      </c>
      <c r="H897" s="21"/>
      <c r="I897" s="22">
        <f t="shared" si="13"/>
        <v>29</v>
      </c>
      <c r="J897" t="e">
        <f>VLOOKUP(B897,'[1]KT 광점퍼코드(수익률)'!$A$4:$P$243,16,0)</f>
        <v>#N/A</v>
      </c>
    </row>
    <row r="898" spans="1:10" ht="15.75" hidden="1" customHeight="1">
      <c r="A898" s="23">
        <v>895</v>
      </c>
      <c r="B898" s="24" t="s">
        <v>2663</v>
      </c>
      <c r="C898" s="24" t="s">
        <v>747</v>
      </c>
      <c r="D898" s="24" t="s">
        <v>2664</v>
      </c>
      <c r="E898" s="25"/>
      <c r="F898" s="25">
        <v>9</v>
      </c>
      <c r="G898" s="25"/>
      <c r="H898" s="25"/>
      <c r="I898" s="22">
        <f t="shared" si="13"/>
        <v>9</v>
      </c>
      <c r="J898" t="e">
        <f>VLOOKUP(B898,'[1]KT 광점퍼코드(수익률)'!$A$4:$P$243,16,0)</f>
        <v>#N/A</v>
      </c>
    </row>
    <row r="899" spans="1:10" ht="15.75" hidden="1" customHeight="1">
      <c r="A899" s="19">
        <v>896</v>
      </c>
      <c r="B899" s="20" t="s">
        <v>2665</v>
      </c>
      <c r="C899" s="20" t="s">
        <v>2666</v>
      </c>
      <c r="D899" s="20"/>
      <c r="E899" s="21"/>
      <c r="F899" s="21">
        <v>10</v>
      </c>
      <c r="G899" s="21"/>
      <c r="H899" s="21"/>
      <c r="I899" s="22">
        <f t="shared" si="13"/>
        <v>10</v>
      </c>
      <c r="J899" t="e">
        <f>VLOOKUP(B899,'[1]KT 광점퍼코드(수익률)'!$A$4:$P$243,16,0)</f>
        <v>#N/A</v>
      </c>
    </row>
    <row r="900" spans="1:10" ht="15.75" hidden="1" customHeight="1">
      <c r="A900" s="23">
        <v>897</v>
      </c>
      <c r="B900" s="24" t="s">
        <v>1135</v>
      </c>
      <c r="C900" s="24" t="s">
        <v>823</v>
      </c>
      <c r="D900" s="24" t="s">
        <v>1136</v>
      </c>
      <c r="E900" s="25">
        <v>100</v>
      </c>
      <c r="F900" s="25"/>
      <c r="G900" s="25"/>
      <c r="H900" s="25"/>
      <c r="I900" s="22">
        <f t="shared" ref="I900:I963" si="14">SUM(E900:H900)</f>
        <v>100</v>
      </c>
      <c r="J900" t="e">
        <f>VLOOKUP(B900,'[1]KT 광점퍼코드(수익률)'!$A$4:$P$243,16,0)</f>
        <v>#N/A</v>
      </c>
    </row>
    <row r="901" spans="1:10" ht="15.75" customHeight="1">
      <c r="A901" s="19">
        <v>898</v>
      </c>
      <c r="B901" s="20" t="s">
        <v>1137</v>
      </c>
      <c r="C901" s="20" t="s">
        <v>1138</v>
      </c>
      <c r="D901" s="20" t="s">
        <v>1139</v>
      </c>
      <c r="E901" s="21">
        <v>6</v>
      </c>
      <c r="F901" s="21">
        <v>680</v>
      </c>
      <c r="G901" s="21"/>
      <c r="H901" s="21"/>
      <c r="I901" s="22">
        <f t="shared" si="14"/>
        <v>686</v>
      </c>
      <c r="J901">
        <f>VLOOKUP(B901,'[1]KT 광점퍼코드(수익률)'!$A$4:$P$243,16,0)</f>
        <v>2641</v>
      </c>
    </row>
    <row r="902" spans="1:10" ht="15.75" customHeight="1">
      <c r="A902" s="23">
        <v>899</v>
      </c>
      <c r="B902" s="24" t="s">
        <v>1140</v>
      </c>
      <c r="C902" s="24" t="s">
        <v>1141</v>
      </c>
      <c r="D902" s="24" t="s">
        <v>1142</v>
      </c>
      <c r="E902" s="25">
        <v>200</v>
      </c>
      <c r="F902" s="25"/>
      <c r="G902" s="25"/>
      <c r="H902" s="25"/>
      <c r="I902" s="22">
        <f t="shared" si="14"/>
        <v>200</v>
      </c>
      <c r="J902">
        <f>VLOOKUP(B902,'[1]KT 광점퍼코드(수익률)'!$A$4:$P$243,16,0)</f>
        <v>6896</v>
      </c>
    </row>
    <row r="903" spans="1:10" ht="15.75" hidden="1" customHeight="1">
      <c r="A903" s="19">
        <v>900</v>
      </c>
      <c r="B903" s="20" t="s">
        <v>1143</v>
      </c>
      <c r="C903" s="20" t="s">
        <v>802</v>
      </c>
      <c r="D903" s="20" t="s">
        <v>1144</v>
      </c>
      <c r="E903" s="21">
        <v>150</v>
      </c>
      <c r="F903" s="21"/>
      <c r="G903" s="21"/>
      <c r="H903" s="21"/>
      <c r="I903" s="22">
        <f t="shared" si="14"/>
        <v>150</v>
      </c>
      <c r="J903" t="e">
        <f>VLOOKUP(B903,'[1]KT 광점퍼코드(수익률)'!$A$4:$P$243,16,0)</f>
        <v>#N/A</v>
      </c>
    </row>
    <row r="904" spans="1:10" ht="15.75" hidden="1" customHeight="1">
      <c r="A904" s="23">
        <v>901</v>
      </c>
      <c r="B904" s="24" t="s">
        <v>3185</v>
      </c>
      <c r="C904" s="24" t="s">
        <v>814</v>
      </c>
      <c r="D904" s="24" t="s">
        <v>3186</v>
      </c>
      <c r="E904" s="25"/>
      <c r="F904" s="25"/>
      <c r="G904" s="25">
        <v>70</v>
      </c>
      <c r="H904" s="25"/>
      <c r="I904" s="22">
        <f t="shared" si="14"/>
        <v>70</v>
      </c>
      <c r="J904" t="e">
        <f>VLOOKUP(B904,'[1]KT 광점퍼코드(수익률)'!$A$4:$P$243,16,0)</f>
        <v>#N/A</v>
      </c>
    </row>
    <row r="905" spans="1:10" ht="15.75" hidden="1" customHeight="1">
      <c r="A905" s="19">
        <v>902</v>
      </c>
      <c r="B905" s="20" t="s">
        <v>1145</v>
      </c>
      <c r="C905" s="20" t="s">
        <v>1146</v>
      </c>
      <c r="D905" s="20"/>
      <c r="E905" s="21">
        <v>4</v>
      </c>
      <c r="F905" s="21">
        <v>68</v>
      </c>
      <c r="G905" s="21"/>
      <c r="H905" s="21"/>
      <c r="I905" s="22">
        <f t="shared" si="14"/>
        <v>72</v>
      </c>
      <c r="J905" t="e">
        <f>VLOOKUP(B905,'[1]KT 광점퍼코드(수익률)'!$A$4:$P$243,16,0)</f>
        <v>#N/A</v>
      </c>
    </row>
    <row r="906" spans="1:10" ht="15.75" hidden="1" customHeight="1">
      <c r="A906" s="23">
        <v>903</v>
      </c>
      <c r="B906" s="24" t="s">
        <v>3463</v>
      </c>
      <c r="C906" s="24" t="s">
        <v>3464</v>
      </c>
      <c r="D906" s="24" t="s">
        <v>935</v>
      </c>
      <c r="E906" s="25"/>
      <c r="F906" s="25"/>
      <c r="G906" s="25"/>
      <c r="H906" s="25">
        <v>20</v>
      </c>
      <c r="I906" s="22">
        <f t="shared" si="14"/>
        <v>20</v>
      </c>
      <c r="J906" t="e">
        <f>VLOOKUP(B906,'[1]KT 광점퍼코드(수익률)'!$A$4:$P$243,16,0)</f>
        <v>#N/A</v>
      </c>
    </row>
    <row r="907" spans="1:10" ht="15.75" hidden="1" customHeight="1">
      <c r="A907" s="19">
        <v>904</v>
      </c>
      <c r="B907" s="20" t="s">
        <v>1147</v>
      </c>
      <c r="C907" s="20" t="s">
        <v>697</v>
      </c>
      <c r="D907" s="20" t="s">
        <v>1148</v>
      </c>
      <c r="E907" s="21">
        <v>314</v>
      </c>
      <c r="F907" s="21">
        <v>6</v>
      </c>
      <c r="G907" s="21"/>
      <c r="H907" s="21"/>
      <c r="I907" s="22">
        <f t="shared" si="14"/>
        <v>320</v>
      </c>
      <c r="J907" t="e">
        <f>VLOOKUP(B907,'[1]KT 광점퍼코드(수익률)'!$A$4:$P$243,16,0)</f>
        <v>#N/A</v>
      </c>
    </row>
    <row r="908" spans="1:10" ht="15.75" hidden="1" customHeight="1">
      <c r="A908" s="23">
        <v>905</v>
      </c>
      <c r="B908" s="24" t="s">
        <v>1149</v>
      </c>
      <c r="C908" s="24" t="s">
        <v>1150</v>
      </c>
      <c r="D908" s="24" t="s">
        <v>1151</v>
      </c>
      <c r="E908" s="25">
        <v>8</v>
      </c>
      <c r="F908" s="25"/>
      <c r="G908" s="25"/>
      <c r="H908" s="25"/>
      <c r="I908" s="22">
        <f t="shared" si="14"/>
        <v>8</v>
      </c>
      <c r="J908" t="e">
        <f>VLOOKUP(B908,'[1]KT 광점퍼코드(수익률)'!$A$4:$P$243,16,0)</f>
        <v>#N/A</v>
      </c>
    </row>
    <row r="909" spans="1:10" ht="15.75" hidden="1" customHeight="1">
      <c r="A909" s="19">
        <v>906</v>
      </c>
      <c r="B909" s="20" t="s">
        <v>1152</v>
      </c>
      <c r="C909" s="20" t="s">
        <v>1153</v>
      </c>
      <c r="D909" s="27" t="s">
        <v>1154</v>
      </c>
      <c r="E909" s="21">
        <v>1</v>
      </c>
      <c r="F909" s="21">
        <v>10</v>
      </c>
      <c r="G909" s="21"/>
      <c r="H909" s="21"/>
      <c r="I909" s="22">
        <f t="shared" si="14"/>
        <v>11</v>
      </c>
      <c r="J909" t="e">
        <f>VLOOKUP(B909,'[1]KT 광점퍼코드(수익률)'!$A$4:$P$243,16,0)</f>
        <v>#N/A</v>
      </c>
    </row>
    <row r="910" spans="1:10" ht="15.75" hidden="1" customHeight="1">
      <c r="A910" s="23">
        <v>907</v>
      </c>
      <c r="B910" s="24" t="s">
        <v>3187</v>
      </c>
      <c r="C910" s="24" t="s">
        <v>3188</v>
      </c>
      <c r="D910" s="24"/>
      <c r="E910" s="25"/>
      <c r="F910" s="25"/>
      <c r="G910" s="25">
        <v>20</v>
      </c>
      <c r="H910" s="25"/>
      <c r="I910" s="22">
        <f t="shared" si="14"/>
        <v>20</v>
      </c>
      <c r="J910" t="e">
        <f>VLOOKUP(B910,'[1]KT 광점퍼코드(수익률)'!$A$4:$P$243,16,0)</f>
        <v>#N/A</v>
      </c>
    </row>
    <row r="911" spans="1:10" ht="15.75" hidden="1" customHeight="1">
      <c r="A911" s="19">
        <v>908</v>
      </c>
      <c r="B911" s="20" t="s">
        <v>2667</v>
      </c>
      <c r="C911" s="20" t="s">
        <v>2668</v>
      </c>
      <c r="D911" s="20"/>
      <c r="E911" s="21"/>
      <c r="F911" s="21">
        <v>10</v>
      </c>
      <c r="G911" s="21"/>
      <c r="H911" s="21"/>
      <c r="I911" s="22">
        <f t="shared" si="14"/>
        <v>10</v>
      </c>
      <c r="J911" t="e">
        <f>VLOOKUP(B911,'[1]KT 광점퍼코드(수익률)'!$A$4:$P$243,16,0)</f>
        <v>#N/A</v>
      </c>
    </row>
    <row r="912" spans="1:10" ht="15.75" hidden="1" customHeight="1">
      <c r="A912" s="23">
        <v>909</v>
      </c>
      <c r="B912" s="24" t="s">
        <v>1155</v>
      </c>
      <c r="C912" s="24" t="s">
        <v>1156</v>
      </c>
      <c r="D912" s="24" t="s">
        <v>932</v>
      </c>
      <c r="E912" s="25">
        <v>2</v>
      </c>
      <c r="F912" s="25"/>
      <c r="G912" s="25"/>
      <c r="H912" s="25"/>
      <c r="I912" s="22">
        <f t="shared" si="14"/>
        <v>2</v>
      </c>
      <c r="J912" t="e">
        <f>VLOOKUP(B912,'[1]KT 광점퍼코드(수익률)'!$A$4:$P$243,16,0)</f>
        <v>#N/A</v>
      </c>
    </row>
    <row r="913" spans="1:10" ht="15.75" hidden="1" customHeight="1">
      <c r="A913" s="19">
        <v>910</v>
      </c>
      <c r="B913" s="20" t="s">
        <v>3189</v>
      </c>
      <c r="C913" s="20" t="s">
        <v>3190</v>
      </c>
      <c r="D913" s="20"/>
      <c r="E913" s="21"/>
      <c r="F913" s="21"/>
      <c r="G913" s="21">
        <v>20</v>
      </c>
      <c r="H913" s="21"/>
      <c r="I913" s="22">
        <f t="shared" si="14"/>
        <v>20</v>
      </c>
      <c r="J913" t="e">
        <f>VLOOKUP(B913,'[1]KT 광점퍼코드(수익률)'!$A$4:$P$243,16,0)</f>
        <v>#N/A</v>
      </c>
    </row>
    <row r="914" spans="1:10" ht="15.75" hidden="1" customHeight="1">
      <c r="A914" s="23">
        <v>911</v>
      </c>
      <c r="B914" s="24" t="s">
        <v>3191</v>
      </c>
      <c r="C914" s="24" t="s">
        <v>3192</v>
      </c>
      <c r="D914" s="24" t="s">
        <v>935</v>
      </c>
      <c r="E914" s="25"/>
      <c r="F914" s="25"/>
      <c r="G914" s="25">
        <v>20</v>
      </c>
      <c r="H914" s="25">
        <v>20</v>
      </c>
      <c r="I914" s="22">
        <f t="shared" si="14"/>
        <v>40</v>
      </c>
      <c r="J914" t="e">
        <f>VLOOKUP(B914,'[1]KT 광점퍼코드(수익률)'!$A$4:$P$243,16,0)</f>
        <v>#N/A</v>
      </c>
    </row>
    <row r="915" spans="1:10" ht="15.75" hidden="1" customHeight="1">
      <c r="A915" s="19">
        <v>912</v>
      </c>
      <c r="B915" s="20" t="s">
        <v>1157</v>
      </c>
      <c r="C915" s="20" t="s">
        <v>582</v>
      </c>
      <c r="D915" s="20" t="s">
        <v>1158</v>
      </c>
      <c r="E915" s="21">
        <v>67</v>
      </c>
      <c r="F915" s="21">
        <v>31</v>
      </c>
      <c r="G915" s="21"/>
      <c r="H915" s="21"/>
      <c r="I915" s="22">
        <f t="shared" si="14"/>
        <v>98</v>
      </c>
      <c r="J915" t="e">
        <f>VLOOKUP(B915,'[1]KT 광점퍼코드(수익률)'!$A$4:$P$243,16,0)</f>
        <v>#N/A</v>
      </c>
    </row>
    <row r="916" spans="1:10" ht="15.75" hidden="1" customHeight="1">
      <c r="A916" s="23">
        <v>913</v>
      </c>
      <c r="B916" s="24" t="s">
        <v>2669</v>
      </c>
      <c r="C916" s="24" t="s">
        <v>2670</v>
      </c>
      <c r="D916" s="24"/>
      <c r="E916" s="25"/>
      <c r="F916" s="25">
        <v>11</v>
      </c>
      <c r="G916" s="25"/>
      <c r="H916" s="25"/>
      <c r="I916" s="22">
        <f t="shared" si="14"/>
        <v>11</v>
      </c>
      <c r="J916" t="e">
        <f>VLOOKUP(B916,'[1]KT 광점퍼코드(수익률)'!$A$4:$P$243,16,0)</f>
        <v>#N/A</v>
      </c>
    </row>
    <row r="917" spans="1:10" ht="15.75" hidden="1" customHeight="1">
      <c r="A917" s="19">
        <v>914</v>
      </c>
      <c r="B917" s="20" t="s">
        <v>2671</v>
      </c>
      <c r="C917" s="20" t="s">
        <v>2672</v>
      </c>
      <c r="D917" s="20"/>
      <c r="E917" s="21"/>
      <c r="F917" s="21">
        <v>2</v>
      </c>
      <c r="G917" s="21"/>
      <c r="H917" s="21"/>
      <c r="I917" s="22">
        <f t="shared" si="14"/>
        <v>2</v>
      </c>
      <c r="J917" t="e">
        <f>VLOOKUP(B917,'[1]KT 광점퍼코드(수익률)'!$A$4:$P$243,16,0)</f>
        <v>#N/A</v>
      </c>
    </row>
    <row r="918" spans="1:10" ht="15.75" hidden="1" customHeight="1">
      <c r="A918" s="23">
        <v>915</v>
      </c>
      <c r="B918" s="24" t="s">
        <v>2673</v>
      </c>
      <c r="C918" s="24" t="s">
        <v>597</v>
      </c>
      <c r="D918" s="26" t="s">
        <v>1154</v>
      </c>
      <c r="E918" s="25"/>
      <c r="F918" s="25">
        <v>10</v>
      </c>
      <c r="G918" s="25"/>
      <c r="H918" s="25"/>
      <c r="I918" s="22">
        <f t="shared" si="14"/>
        <v>10</v>
      </c>
      <c r="J918" t="e">
        <f>VLOOKUP(B918,'[1]KT 광점퍼코드(수익률)'!$A$4:$P$243,16,0)</f>
        <v>#N/A</v>
      </c>
    </row>
    <row r="919" spans="1:10" ht="15.75" hidden="1" customHeight="1">
      <c r="A919" s="19">
        <v>916</v>
      </c>
      <c r="B919" s="20" t="s">
        <v>2674</v>
      </c>
      <c r="C919" s="20" t="s">
        <v>597</v>
      </c>
      <c r="D919" s="27" t="s">
        <v>1226</v>
      </c>
      <c r="E919" s="21"/>
      <c r="F919" s="21">
        <v>3</v>
      </c>
      <c r="G919" s="21"/>
      <c r="H919" s="21"/>
      <c r="I919" s="22">
        <f t="shared" si="14"/>
        <v>3</v>
      </c>
      <c r="J919" t="e">
        <f>VLOOKUP(B919,'[1]KT 광점퍼코드(수익률)'!$A$4:$P$243,16,0)</f>
        <v>#N/A</v>
      </c>
    </row>
    <row r="920" spans="1:10" ht="15.75" hidden="1" customHeight="1">
      <c r="A920" s="23">
        <v>917</v>
      </c>
      <c r="B920" s="24" t="s">
        <v>1159</v>
      </c>
      <c r="C920" s="24" t="s">
        <v>1160</v>
      </c>
      <c r="D920" s="24"/>
      <c r="E920" s="25">
        <v>4</v>
      </c>
      <c r="F920" s="25">
        <v>237</v>
      </c>
      <c r="G920" s="25"/>
      <c r="H920" s="25"/>
      <c r="I920" s="22">
        <f t="shared" si="14"/>
        <v>241</v>
      </c>
      <c r="J920" t="e">
        <f>VLOOKUP(B920,'[1]KT 광점퍼코드(수익률)'!$A$4:$P$243,16,0)</f>
        <v>#N/A</v>
      </c>
    </row>
    <row r="921" spans="1:10" ht="15.75" hidden="1" customHeight="1">
      <c r="A921" s="19">
        <v>918</v>
      </c>
      <c r="B921" s="20" t="s">
        <v>2675</v>
      </c>
      <c r="C921" s="20" t="s">
        <v>1235</v>
      </c>
      <c r="D921" s="20"/>
      <c r="E921" s="21"/>
      <c r="F921" s="21">
        <v>1</v>
      </c>
      <c r="G921" s="21"/>
      <c r="H921" s="21"/>
      <c r="I921" s="22">
        <f t="shared" si="14"/>
        <v>1</v>
      </c>
      <c r="J921" t="e">
        <f>VLOOKUP(B921,'[1]KT 광점퍼코드(수익률)'!$A$4:$P$243,16,0)</f>
        <v>#N/A</v>
      </c>
    </row>
    <row r="922" spans="1:10" ht="15.75" hidden="1" customHeight="1">
      <c r="A922" s="23">
        <v>919</v>
      </c>
      <c r="B922" s="24" t="s">
        <v>3193</v>
      </c>
      <c r="C922" s="24" t="s">
        <v>3166</v>
      </c>
      <c r="D922" s="24" t="s">
        <v>1162</v>
      </c>
      <c r="E922" s="25"/>
      <c r="F922" s="25"/>
      <c r="G922" s="25">
        <v>2</v>
      </c>
      <c r="H922" s="25"/>
      <c r="I922" s="22">
        <f t="shared" si="14"/>
        <v>2</v>
      </c>
      <c r="J922" t="e">
        <f>VLOOKUP(B922,'[1]KT 광점퍼코드(수익률)'!$A$4:$P$243,16,0)</f>
        <v>#N/A</v>
      </c>
    </row>
    <row r="923" spans="1:10" ht="15.75" hidden="1" customHeight="1">
      <c r="A923" s="19">
        <v>920</v>
      </c>
      <c r="B923" s="20" t="s">
        <v>3194</v>
      </c>
      <c r="C923" s="20" t="s">
        <v>495</v>
      </c>
      <c r="D923" s="20" t="s">
        <v>1162</v>
      </c>
      <c r="E923" s="21"/>
      <c r="F923" s="21"/>
      <c r="G923" s="21">
        <v>7</v>
      </c>
      <c r="H923" s="21"/>
      <c r="I923" s="22">
        <f t="shared" si="14"/>
        <v>7</v>
      </c>
      <c r="J923" t="e">
        <f>VLOOKUP(B923,'[1]KT 광점퍼코드(수익률)'!$A$4:$P$243,16,0)</f>
        <v>#N/A</v>
      </c>
    </row>
    <row r="924" spans="1:10" ht="15.75" hidden="1" customHeight="1">
      <c r="A924" s="23">
        <v>921</v>
      </c>
      <c r="B924" s="24" t="s">
        <v>2676</v>
      </c>
      <c r="C924" s="24" t="s">
        <v>483</v>
      </c>
      <c r="D924" s="24" t="s">
        <v>1162</v>
      </c>
      <c r="E924" s="25"/>
      <c r="F924" s="25">
        <v>110</v>
      </c>
      <c r="G924" s="25">
        <v>37</v>
      </c>
      <c r="H924" s="25"/>
      <c r="I924" s="22">
        <f t="shared" si="14"/>
        <v>147</v>
      </c>
      <c r="J924" t="e">
        <f>VLOOKUP(B924,'[1]KT 광점퍼코드(수익률)'!$A$4:$P$243,16,0)</f>
        <v>#N/A</v>
      </c>
    </row>
    <row r="925" spans="1:10" ht="15.75" hidden="1" customHeight="1">
      <c r="A925" s="19">
        <v>922</v>
      </c>
      <c r="B925" s="20" t="s">
        <v>1161</v>
      </c>
      <c r="C925" s="20" t="s">
        <v>485</v>
      </c>
      <c r="D925" s="20" t="s">
        <v>1162</v>
      </c>
      <c r="E925" s="21">
        <v>5</v>
      </c>
      <c r="F925" s="21"/>
      <c r="G925" s="21">
        <v>85</v>
      </c>
      <c r="H925" s="21"/>
      <c r="I925" s="22">
        <f t="shared" si="14"/>
        <v>90</v>
      </c>
      <c r="J925" t="e">
        <f>VLOOKUP(B925,'[1]KT 광점퍼코드(수익률)'!$A$4:$P$243,16,0)</f>
        <v>#N/A</v>
      </c>
    </row>
    <row r="926" spans="1:10" ht="15.75" hidden="1" customHeight="1">
      <c r="A926" s="23">
        <v>923</v>
      </c>
      <c r="B926" s="24" t="s">
        <v>3195</v>
      </c>
      <c r="C926" s="24" t="s">
        <v>3196</v>
      </c>
      <c r="D926" s="24"/>
      <c r="E926" s="25"/>
      <c r="F926" s="25"/>
      <c r="G926" s="25">
        <v>3</v>
      </c>
      <c r="H926" s="25"/>
      <c r="I926" s="22">
        <f t="shared" si="14"/>
        <v>3</v>
      </c>
      <c r="J926" t="e">
        <f>VLOOKUP(B926,'[1]KT 광점퍼코드(수익률)'!$A$4:$P$243,16,0)</f>
        <v>#N/A</v>
      </c>
    </row>
    <row r="927" spans="1:10" ht="15.75" hidden="1" customHeight="1">
      <c r="A927" s="19">
        <v>924</v>
      </c>
      <c r="B927" s="20" t="s">
        <v>3197</v>
      </c>
      <c r="C927" s="20" t="s">
        <v>3198</v>
      </c>
      <c r="D927" s="20"/>
      <c r="E927" s="21"/>
      <c r="F927" s="21"/>
      <c r="G927" s="21">
        <v>15</v>
      </c>
      <c r="H927" s="21"/>
      <c r="I927" s="22">
        <f t="shared" si="14"/>
        <v>15</v>
      </c>
      <c r="J927" t="e">
        <f>VLOOKUP(B927,'[1]KT 광점퍼코드(수익률)'!$A$4:$P$243,16,0)</f>
        <v>#N/A</v>
      </c>
    </row>
    <row r="928" spans="1:10" ht="15.75" hidden="1" customHeight="1">
      <c r="A928" s="23">
        <v>925</v>
      </c>
      <c r="B928" s="24" t="s">
        <v>2677</v>
      </c>
      <c r="C928" s="24" t="s">
        <v>2678</v>
      </c>
      <c r="D928" s="24"/>
      <c r="E928" s="25"/>
      <c r="F928" s="25">
        <v>8</v>
      </c>
      <c r="G928" s="25"/>
      <c r="H928" s="25"/>
      <c r="I928" s="22">
        <f t="shared" si="14"/>
        <v>8</v>
      </c>
      <c r="J928" t="e">
        <f>VLOOKUP(B928,'[1]KT 광점퍼코드(수익률)'!$A$4:$P$243,16,0)</f>
        <v>#N/A</v>
      </c>
    </row>
    <row r="929" spans="1:10" ht="15.75" customHeight="1">
      <c r="A929" s="19">
        <v>926</v>
      </c>
      <c r="B929" s="20" t="s">
        <v>3199</v>
      </c>
      <c r="C929" s="20" t="s">
        <v>3200</v>
      </c>
      <c r="D929" s="20" t="s">
        <v>3201</v>
      </c>
      <c r="E929" s="21"/>
      <c r="F929" s="21"/>
      <c r="G929" s="21">
        <v>5</v>
      </c>
      <c r="H929" s="21"/>
      <c r="I929" s="22">
        <f t="shared" si="14"/>
        <v>5</v>
      </c>
      <c r="J929">
        <f>VLOOKUP(B929,'[1]KT 광점퍼코드(수익률)'!$A$4:$P$243,16,0)</f>
        <v>2224</v>
      </c>
    </row>
    <row r="930" spans="1:10" ht="15.75" hidden="1" customHeight="1">
      <c r="A930" s="23">
        <v>927</v>
      </c>
      <c r="B930" s="24" t="s">
        <v>1163</v>
      </c>
      <c r="C930" s="24" t="s">
        <v>1164</v>
      </c>
      <c r="D930" s="24"/>
      <c r="E930" s="25">
        <v>20</v>
      </c>
      <c r="F930" s="25">
        <v>2</v>
      </c>
      <c r="G930" s="25">
        <v>10</v>
      </c>
      <c r="H930" s="25">
        <v>10</v>
      </c>
      <c r="I930" s="22">
        <f t="shared" si="14"/>
        <v>42</v>
      </c>
      <c r="J930" t="e">
        <f>VLOOKUP(B930,'[1]KT 광점퍼코드(수익률)'!$A$4:$P$243,16,0)</f>
        <v>#N/A</v>
      </c>
    </row>
    <row r="931" spans="1:10" ht="15.75" customHeight="1">
      <c r="A931" s="19">
        <v>928</v>
      </c>
      <c r="B931" s="20" t="s">
        <v>1165</v>
      </c>
      <c r="C931" s="20" t="s">
        <v>1166</v>
      </c>
      <c r="D931" s="20" t="s">
        <v>1167</v>
      </c>
      <c r="E931" s="21">
        <v>30</v>
      </c>
      <c r="F931" s="21"/>
      <c r="G931" s="21"/>
      <c r="H931" s="21"/>
      <c r="I931" s="22">
        <f t="shared" si="14"/>
        <v>30</v>
      </c>
      <c r="J931">
        <f>VLOOKUP(B931,'[1]KT 광점퍼코드(수익률)'!$A$4:$P$243,16,0)</f>
        <v>2805</v>
      </c>
    </row>
    <row r="932" spans="1:10" ht="15.75" hidden="1" customHeight="1">
      <c r="A932" s="23">
        <v>929</v>
      </c>
      <c r="B932" s="24" t="s">
        <v>3202</v>
      </c>
      <c r="C932" s="24" t="s">
        <v>497</v>
      </c>
      <c r="D932" s="24" t="s">
        <v>3203</v>
      </c>
      <c r="E932" s="25"/>
      <c r="F932" s="25"/>
      <c r="G932" s="25">
        <v>5</v>
      </c>
      <c r="H932" s="25"/>
      <c r="I932" s="22">
        <f t="shared" si="14"/>
        <v>5</v>
      </c>
      <c r="J932" t="e">
        <f>VLOOKUP(B932,'[1]KT 광점퍼코드(수익률)'!$A$4:$P$243,16,0)</f>
        <v>#N/A</v>
      </c>
    </row>
    <row r="933" spans="1:10" ht="15.75" hidden="1" customHeight="1">
      <c r="A933" s="19">
        <v>930</v>
      </c>
      <c r="B933" s="20" t="s">
        <v>3204</v>
      </c>
      <c r="C933" s="20" t="s">
        <v>1055</v>
      </c>
      <c r="D933" s="20" t="s">
        <v>3205</v>
      </c>
      <c r="E933" s="21"/>
      <c r="F933" s="21"/>
      <c r="G933" s="21">
        <v>2</v>
      </c>
      <c r="H933" s="21"/>
      <c r="I933" s="22">
        <f t="shared" si="14"/>
        <v>2</v>
      </c>
      <c r="J933" t="e">
        <f>VLOOKUP(B933,'[1]KT 광점퍼코드(수익률)'!$A$4:$P$243,16,0)</f>
        <v>#N/A</v>
      </c>
    </row>
    <row r="934" spans="1:10" ht="15.75" hidden="1" customHeight="1">
      <c r="A934" s="23">
        <v>931</v>
      </c>
      <c r="B934" s="24" t="s">
        <v>3206</v>
      </c>
      <c r="C934" s="24" t="s">
        <v>1160</v>
      </c>
      <c r="D934" s="24" t="s">
        <v>3207</v>
      </c>
      <c r="E934" s="25"/>
      <c r="F934" s="25"/>
      <c r="G934" s="25">
        <v>4</v>
      </c>
      <c r="H934" s="25"/>
      <c r="I934" s="22">
        <f t="shared" si="14"/>
        <v>4</v>
      </c>
      <c r="J934" t="e">
        <f>VLOOKUP(B934,'[1]KT 광점퍼코드(수익률)'!$A$4:$P$243,16,0)</f>
        <v>#N/A</v>
      </c>
    </row>
    <row r="935" spans="1:10" ht="15.75" hidden="1" customHeight="1">
      <c r="A935" s="19">
        <v>932</v>
      </c>
      <c r="B935" s="20" t="s">
        <v>1168</v>
      </c>
      <c r="C935" s="20" t="s">
        <v>1169</v>
      </c>
      <c r="D935" s="20" t="s">
        <v>1109</v>
      </c>
      <c r="E935" s="21">
        <v>4</v>
      </c>
      <c r="F935" s="21"/>
      <c r="G935" s="21"/>
      <c r="H935" s="21"/>
      <c r="I935" s="22">
        <f t="shared" si="14"/>
        <v>4</v>
      </c>
      <c r="J935" t="e">
        <f>VLOOKUP(B935,'[1]KT 광점퍼코드(수익률)'!$A$4:$P$243,16,0)</f>
        <v>#N/A</v>
      </c>
    </row>
    <row r="936" spans="1:10" ht="15.75" hidden="1" customHeight="1">
      <c r="A936" s="23">
        <v>933</v>
      </c>
      <c r="B936" s="24" t="s">
        <v>3208</v>
      </c>
      <c r="C936" s="24" t="s">
        <v>487</v>
      </c>
      <c r="D936" s="24" t="s">
        <v>3209</v>
      </c>
      <c r="E936" s="25"/>
      <c r="F936" s="25"/>
      <c r="G936" s="25">
        <v>66</v>
      </c>
      <c r="H936" s="25"/>
      <c r="I936" s="22">
        <f t="shared" si="14"/>
        <v>66</v>
      </c>
      <c r="J936" t="e">
        <f>VLOOKUP(B936,'[1]KT 광점퍼코드(수익률)'!$A$4:$P$243,16,0)</f>
        <v>#N/A</v>
      </c>
    </row>
    <row r="937" spans="1:10" ht="15.75" hidden="1" customHeight="1">
      <c r="A937" s="19">
        <v>934</v>
      </c>
      <c r="B937" s="20" t="s">
        <v>1170</v>
      </c>
      <c r="C937" s="20" t="s">
        <v>489</v>
      </c>
      <c r="D937" s="20" t="s">
        <v>1171</v>
      </c>
      <c r="E937" s="21">
        <v>12</v>
      </c>
      <c r="F937" s="21"/>
      <c r="G937" s="21"/>
      <c r="H937" s="21"/>
      <c r="I937" s="22">
        <f t="shared" si="14"/>
        <v>12</v>
      </c>
      <c r="J937" t="e">
        <f>VLOOKUP(B937,'[1]KT 광점퍼코드(수익률)'!$A$4:$P$243,16,0)</f>
        <v>#N/A</v>
      </c>
    </row>
    <row r="938" spans="1:10" ht="15.75" hidden="1" customHeight="1">
      <c r="A938" s="23">
        <v>935</v>
      </c>
      <c r="B938" s="24" t="s">
        <v>1172</v>
      </c>
      <c r="C938" s="24" t="s">
        <v>1173</v>
      </c>
      <c r="D938" s="24" t="s">
        <v>1174</v>
      </c>
      <c r="E938" s="25">
        <v>12</v>
      </c>
      <c r="F938" s="25"/>
      <c r="G938" s="25"/>
      <c r="H938" s="25"/>
      <c r="I938" s="22">
        <f t="shared" si="14"/>
        <v>12</v>
      </c>
      <c r="J938" t="e">
        <f>VLOOKUP(B938,'[1]KT 광점퍼코드(수익률)'!$A$4:$P$243,16,0)</f>
        <v>#N/A</v>
      </c>
    </row>
    <row r="939" spans="1:10" ht="15.75" hidden="1" customHeight="1">
      <c r="A939" s="19">
        <v>936</v>
      </c>
      <c r="B939" s="20" t="s">
        <v>1175</v>
      </c>
      <c r="C939" s="20" t="s">
        <v>1176</v>
      </c>
      <c r="D939" s="20" t="s">
        <v>1177</v>
      </c>
      <c r="E939" s="21">
        <v>12</v>
      </c>
      <c r="F939" s="21"/>
      <c r="G939" s="21"/>
      <c r="H939" s="21"/>
      <c r="I939" s="22">
        <f t="shared" si="14"/>
        <v>12</v>
      </c>
      <c r="J939" t="e">
        <f>VLOOKUP(B939,'[1]KT 광점퍼코드(수익률)'!$A$4:$P$243,16,0)</f>
        <v>#N/A</v>
      </c>
    </row>
    <row r="940" spans="1:10" ht="15.75" hidden="1" customHeight="1">
      <c r="A940" s="23">
        <v>937</v>
      </c>
      <c r="B940" s="24" t="s">
        <v>1178</v>
      </c>
      <c r="C940" s="24" t="s">
        <v>969</v>
      </c>
      <c r="D940" s="24" t="s">
        <v>1179</v>
      </c>
      <c r="E940" s="25">
        <v>12</v>
      </c>
      <c r="F940" s="25"/>
      <c r="G940" s="25"/>
      <c r="H940" s="25"/>
      <c r="I940" s="22">
        <f t="shared" si="14"/>
        <v>12</v>
      </c>
      <c r="J940" t="e">
        <f>VLOOKUP(B940,'[1]KT 광점퍼코드(수익률)'!$A$4:$P$243,16,0)</f>
        <v>#N/A</v>
      </c>
    </row>
    <row r="941" spans="1:10" ht="15.75" hidden="1" customHeight="1">
      <c r="A941" s="19">
        <v>938</v>
      </c>
      <c r="B941" s="20" t="s">
        <v>1180</v>
      </c>
      <c r="C941" s="20" t="s">
        <v>1181</v>
      </c>
      <c r="D941" s="20" t="s">
        <v>1182</v>
      </c>
      <c r="E941" s="21">
        <v>12</v>
      </c>
      <c r="F941" s="21"/>
      <c r="G941" s="21"/>
      <c r="H941" s="21"/>
      <c r="I941" s="22">
        <f t="shared" si="14"/>
        <v>12</v>
      </c>
      <c r="J941" t="e">
        <f>VLOOKUP(B941,'[1]KT 광점퍼코드(수익률)'!$A$4:$P$243,16,0)</f>
        <v>#N/A</v>
      </c>
    </row>
    <row r="942" spans="1:10" ht="15.75" hidden="1" customHeight="1">
      <c r="A942" s="23">
        <v>939</v>
      </c>
      <c r="B942" s="24" t="s">
        <v>1183</v>
      </c>
      <c r="C942" s="24" t="s">
        <v>491</v>
      </c>
      <c r="D942" s="24" t="s">
        <v>1184</v>
      </c>
      <c r="E942" s="25">
        <v>12</v>
      </c>
      <c r="F942" s="25"/>
      <c r="G942" s="25">
        <v>8</v>
      </c>
      <c r="H942" s="25"/>
      <c r="I942" s="22">
        <f t="shared" si="14"/>
        <v>20</v>
      </c>
      <c r="J942" t="e">
        <f>VLOOKUP(B942,'[1]KT 광점퍼코드(수익률)'!$A$4:$P$243,16,0)</f>
        <v>#N/A</v>
      </c>
    </row>
    <row r="943" spans="1:10" ht="15.75" hidden="1" customHeight="1">
      <c r="A943" s="19">
        <v>940</v>
      </c>
      <c r="B943" s="20" t="s">
        <v>1185</v>
      </c>
      <c r="C943" s="20" t="s">
        <v>1186</v>
      </c>
      <c r="D943" s="20" t="s">
        <v>1187</v>
      </c>
      <c r="E943" s="21">
        <v>12</v>
      </c>
      <c r="F943" s="21"/>
      <c r="G943" s="21"/>
      <c r="H943" s="21"/>
      <c r="I943" s="22">
        <f t="shared" si="14"/>
        <v>12</v>
      </c>
      <c r="J943" t="e">
        <f>VLOOKUP(B943,'[1]KT 광점퍼코드(수익률)'!$A$4:$P$243,16,0)</f>
        <v>#N/A</v>
      </c>
    </row>
    <row r="944" spans="1:10" ht="15.75" hidden="1" customHeight="1">
      <c r="A944" s="23">
        <v>941</v>
      </c>
      <c r="B944" s="24" t="s">
        <v>3210</v>
      </c>
      <c r="C944" s="24" t="s">
        <v>493</v>
      </c>
      <c r="D944" s="24" t="s">
        <v>3211</v>
      </c>
      <c r="E944" s="25"/>
      <c r="F944" s="25"/>
      <c r="G944" s="25">
        <v>3</v>
      </c>
      <c r="H944" s="25"/>
      <c r="I944" s="22">
        <f t="shared" si="14"/>
        <v>3</v>
      </c>
      <c r="J944" t="e">
        <f>VLOOKUP(B944,'[1]KT 광점퍼코드(수익률)'!$A$4:$P$243,16,0)</f>
        <v>#N/A</v>
      </c>
    </row>
    <row r="945" spans="1:10" ht="15.75" hidden="1" customHeight="1">
      <c r="A945" s="19">
        <v>942</v>
      </c>
      <c r="B945" s="20" t="s">
        <v>1188</v>
      </c>
      <c r="C945" s="20" t="s">
        <v>1189</v>
      </c>
      <c r="D945" s="20" t="s">
        <v>1190</v>
      </c>
      <c r="E945" s="21">
        <v>12</v>
      </c>
      <c r="F945" s="21"/>
      <c r="G945" s="21"/>
      <c r="H945" s="21"/>
      <c r="I945" s="22">
        <f t="shared" si="14"/>
        <v>12</v>
      </c>
      <c r="J945" t="e">
        <f>VLOOKUP(B945,'[1]KT 광점퍼코드(수익률)'!$A$4:$P$243,16,0)</f>
        <v>#N/A</v>
      </c>
    </row>
    <row r="946" spans="1:10" ht="15.75" hidden="1" customHeight="1">
      <c r="A946" s="23">
        <v>943</v>
      </c>
      <c r="B946" s="24" t="s">
        <v>1191</v>
      </c>
      <c r="C946" s="24" t="s">
        <v>1192</v>
      </c>
      <c r="D946" s="24" t="s">
        <v>1193</v>
      </c>
      <c r="E946" s="25">
        <v>12</v>
      </c>
      <c r="F946" s="25"/>
      <c r="G946" s="25"/>
      <c r="H946" s="25"/>
      <c r="I946" s="22">
        <f t="shared" si="14"/>
        <v>12</v>
      </c>
      <c r="J946" t="e">
        <f>VLOOKUP(B946,'[1]KT 광점퍼코드(수익률)'!$A$4:$P$243,16,0)</f>
        <v>#N/A</v>
      </c>
    </row>
    <row r="947" spans="1:10" ht="15.75" hidden="1" customHeight="1">
      <c r="A947" s="19">
        <v>944</v>
      </c>
      <c r="B947" s="20" t="s">
        <v>1194</v>
      </c>
      <c r="C947" s="20" t="s">
        <v>1195</v>
      </c>
      <c r="D947" s="20" t="s">
        <v>1196</v>
      </c>
      <c r="E947" s="21">
        <v>12</v>
      </c>
      <c r="F947" s="21"/>
      <c r="G947" s="21"/>
      <c r="H947" s="21"/>
      <c r="I947" s="22">
        <f t="shared" si="14"/>
        <v>12</v>
      </c>
      <c r="J947" t="e">
        <f>VLOOKUP(B947,'[1]KT 광점퍼코드(수익률)'!$A$4:$P$243,16,0)</f>
        <v>#N/A</v>
      </c>
    </row>
    <row r="948" spans="1:10" ht="15.75" hidden="1" customHeight="1">
      <c r="A948" s="23">
        <v>945</v>
      </c>
      <c r="B948" s="24" t="s">
        <v>1197</v>
      </c>
      <c r="C948" s="24" t="s">
        <v>1198</v>
      </c>
      <c r="D948" s="24" t="s">
        <v>1199</v>
      </c>
      <c r="E948" s="25">
        <v>12</v>
      </c>
      <c r="F948" s="25"/>
      <c r="G948" s="25"/>
      <c r="H948" s="25"/>
      <c r="I948" s="22">
        <f t="shared" si="14"/>
        <v>12</v>
      </c>
      <c r="J948" t="e">
        <f>VLOOKUP(B948,'[1]KT 광점퍼코드(수익률)'!$A$4:$P$243,16,0)</f>
        <v>#N/A</v>
      </c>
    </row>
    <row r="949" spans="1:10" ht="15.75" hidden="1" customHeight="1">
      <c r="A949" s="19">
        <v>946</v>
      </c>
      <c r="B949" s="20" t="s">
        <v>1200</v>
      </c>
      <c r="C949" s="20" t="s">
        <v>991</v>
      </c>
      <c r="D949" s="20" t="s">
        <v>1201</v>
      </c>
      <c r="E949" s="21">
        <v>12</v>
      </c>
      <c r="F949" s="21"/>
      <c r="G949" s="21">
        <v>6</v>
      </c>
      <c r="H949" s="21"/>
      <c r="I949" s="22">
        <f t="shared" si="14"/>
        <v>18</v>
      </c>
      <c r="J949" t="e">
        <f>VLOOKUP(B949,'[1]KT 광점퍼코드(수익률)'!$A$4:$P$243,16,0)</f>
        <v>#N/A</v>
      </c>
    </row>
    <row r="950" spans="1:10" ht="15.75" hidden="1" customHeight="1">
      <c r="A950" s="23">
        <v>947</v>
      </c>
      <c r="B950" s="24" t="s">
        <v>1202</v>
      </c>
      <c r="C950" s="24" t="s">
        <v>1203</v>
      </c>
      <c r="D950" s="24" t="s">
        <v>1204</v>
      </c>
      <c r="E950" s="25">
        <v>12</v>
      </c>
      <c r="F950" s="25"/>
      <c r="G950" s="25">
        <v>18</v>
      </c>
      <c r="H950" s="25"/>
      <c r="I950" s="22">
        <f t="shared" si="14"/>
        <v>30</v>
      </c>
      <c r="J950" t="e">
        <f>VLOOKUP(B950,'[1]KT 광점퍼코드(수익률)'!$A$4:$P$243,16,0)</f>
        <v>#N/A</v>
      </c>
    </row>
    <row r="951" spans="1:10" ht="15.75" hidden="1" customHeight="1">
      <c r="A951" s="19">
        <v>948</v>
      </c>
      <c r="B951" s="20" t="s">
        <v>1205</v>
      </c>
      <c r="C951" s="20" t="s">
        <v>1206</v>
      </c>
      <c r="D951" s="20" t="s">
        <v>1207</v>
      </c>
      <c r="E951" s="21">
        <v>14</v>
      </c>
      <c r="F951" s="21"/>
      <c r="G951" s="21">
        <v>18</v>
      </c>
      <c r="H951" s="21"/>
      <c r="I951" s="22">
        <f t="shared" si="14"/>
        <v>32</v>
      </c>
      <c r="J951" t="e">
        <f>VLOOKUP(B951,'[1]KT 광점퍼코드(수익률)'!$A$4:$P$243,16,0)</f>
        <v>#N/A</v>
      </c>
    </row>
    <row r="952" spans="1:10" ht="15.75" hidden="1" customHeight="1">
      <c r="A952" s="23">
        <v>949</v>
      </c>
      <c r="B952" s="24" t="s">
        <v>2679</v>
      </c>
      <c r="C952" s="24" t="s">
        <v>1260</v>
      </c>
      <c r="D952" s="24" t="s">
        <v>613</v>
      </c>
      <c r="E952" s="25"/>
      <c r="F952" s="25">
        <v>3</v>
      </c>
      <c r="G952" s="25">
        <v>50</v>
      </c>
      <c r="H952" s="25">
        <v>5</v>
      </c>
      <c r="I952" s="22">
        <f t="shared" si="14"/>
        <v>58</v>
      </c>
      <c r="J952" t="e">
        <f>VLOOKUP(B952,'[1]KT 광점퍼코드(수익률)'!$A$4:$P$243,16,0)</f>
        <v>#N/A</v>
      </c>
    </row>
    <row r="953" spans="1:10" ht="15.75" hidden="1" customHeight="1">
      <c r="A953" s="19">
        <v>950</v>
      </c>
      <c r="B953" s="20" t="s">
        <v>3212</v>
      </c>
      <c r="C953" s="20" t="s">
        <v>2445</v>
      </c>
      <c r="D953" s="20" t="s">
        <v>3213</v>
      </c>
      <c r="E953" s="21"/>
      <c r="F953" s="21"/>
      <c r="G953" s="21">
        <v>8</v>
      </c>
      <c r="H953" s="21"/>
      <c r="I953" s="22">
        <f t="shared" si="14"/>
        <v>8</v>
      </c>
      <c r="J953" t="e">
        <f>VLOOKUP(B953,'[1]KT 광점퍼코드(수익률)'!$A$4:$P$243,16,0)</f>
        <v>#N/A</v>
      </c>
    </row>
    <row r="954" spans="1:10" ht="15.75" hidden="1" customHeight="1">
      <c r="A954" s="23">
        <v>951</v>
      </c>
      <c r="B954" s="24" t="s">
        <v>3214</v>
      </c>
      <c r="C954" s="24" t="s">
        <v>3215</v>
      </c>
      <c r="D954" s="24" t="s">
        <v>3216</v>
      </c>
      <c r="E954" s="25"/>
      <c r="F954" s="25"/>
      <c r="G954" s="25">
        <v>20</v>
      </c>
      <c r="H954" s="25"/>
      <c r="I954" s="22">
        <f t="shared" si="14"/>
        <v>20</v>
      </c>
      <c r="J954" t="e">
        <f>VLOOKUP(B954,'[1]KT 광점퍼코드(수익률)'!$A$4:$P$243,16,0)</f>
        <v>#N/A</v>
      </c>
    </row>
    <row r="955" spans="1:10" ht="15.75" hidden="1" customHeight="1">
      <c r="A955" s="19">
        <v>952</v>
      </c>
      <c r="B955" s="20" t="s">
        <v>3217</v>
      </c>
      <c r="C955" s="20" t="s">
        <v>3218</v>
      </c>
      <c r="D955" s="20" t="s">
        <v>3219</v>
      </c>
      <c r="E955" s="21"/>
      <c r="F955" s="21"/>
      <c r="G955" s="21">
        <v>20</v>
      </c>
      <c r="H955" s="21"/>
      <c r="I955" s="22">
        <f t="shared" si="14"/>
        <v>20</v>
      </c>
      <c r="J955" t="e">
        <f>VLOOKUP(B955,'[1]KT 광점퍼코드(수익률)'!$A$4:$P$243,16,0)</f>
        <v>#N/A</v>
      </c>
    </row>
    <row r="956" spans="1:10" ht="15.75" hidden="1" customHeight="1">
      <c r="A956" s="23">
        <v>953</v>
      </c>
      <c r="B956" s="24" t="s">
        <v>3220</v>
      </c>
      <c r="C956" s="24" t="s">
        <v>1073</v>
      </c>
      <c r="D956" s="24" t="s">
        <v>3221</v>
      </c>
      <c r="E956" s="25"/>
      <c r="F956" s="25"/>
      <c r="G956" s="25">
        <v>2</v>
      </c>
      <c r="H956" s="25"/>
      <c r="I956" s="22">
        <f t="shared" si="14"/>
        <v>2</v>
      </c>
      <c r="J956" t="e">
        <f>VLOOKUP(B956,'[1]KT 광점퍼코드(수익률)'!$A$4:$P$243,16,0)</f>
        <v>#N/A</v>
      </c>
    </row>
    <row r="957" spans="1:10" ht="15.75" hidden="1" customHeight="1">
      <c r="A957" s="19">
        <v>954</v>
      </c>
      <c r="B957" s="20" t="s">
        <v>3222</v>
      </c>
      <c r="C957" s="20" t="s">
        <v>3223</v>
      </c>
      <c r="D957" s="20" t="s">
        <v>3224</v>
      </c>
      <c r="E957" s="21"/>
      <c r="F957" s="21"/>
      <c r="G957" s="21">
        <v>5</v>
      </c>
      <c r="H957" s="21"/>
      <c r="I957" s="22">
        <f t="shared" si="14"/>
        <v>5</v>
      </c>
      <c r="J957" t="e">
        <f>VLOOKUP(B957,'[1]KT 광점퍼코드(수익률)'!$A$4:$P$243,16,0)</f>
        <v>#N/A</v>
      </c>
    </row>
    <row r="958" spans="1:10" ht="15.75" hidden="1" customHeight="1">
      <c r="A958" s="23">
        <v>955</v>
      </c>
      <c r="B958" s="24" t="s">
        <v>1208</v>
      </c>
      <c r="C958" s="24" t="s">
        <v>568</v>
      </c>
      <c r="D958" s="26" t="s">
        <v>1154</v>
      </c>
      <c r="E958" s="25">
        <v>40</v>
      </c>
      <c r="F958" s="25">
        <v>20</v>
      </c>
      <c r="G958" s="25">
        <v>30</v>
      </c>
      <c r="H958" s="25"/>
      <c r="I958" s="22">
        <f t="shared" si="14"/>
        <v>90</v>
      </c>
      <c r="J958" t="e">
        <f>VLOOKUP(B958,'[1]KT 광점퍼코드(수익률)'!$A$4:$P$243,16,0)</f>
        <v>#N/A</v>
      </c>
    </row>
    <row r="959" spans="1:10" ht="15.75" hidden="1" customHeight="1">
      <c r="A959" s="19">
        <v>956</v>
      </c>
      <c r="B959" s="20" t="s">
        <v>1209</v>
      </c>
      <c r="C959" s="20" t="s">
        <v>1210</v>
      </c>
      <c r="D959" s="20" t="s">
        <v>1211</v>
      </c>
      <c r="E959" s="21">
        <v>10</v>
      </c>
      <c r="F959" s="21"/>
      <c r="G959" s="21"/>
      <c r="H959" s="21"/>
      <c r="I959" s="22">
        <f t="shared" si="14"/>
        <v>10</v>
      </c>
      <c r="J959" t="e">
        <f>VLOOKUP(B959,'[1]KT 광점퍼코드(수익률)'!$A$4:$P$243,16,0)</f>
        <v>#N/A</v>
      </c>
    </row>
    <row r="960" spans="1:10" ht="15.75" hidden="1" customHeight="1">
      <c r="A960" s="23">
        <v>957</v>
      </c>
      <c r="B960" s="24" t="s">
        <v>1212</v>
      </c>
      <c r="C960" s="24" t="s">
        <v>558</v>
      </c>
      <c r="D960" s="26" t="s">
        <v>1154</v>
      </c>
      <c r="E960" s="25">
        <v>40</v>
      </c>
      <c r="F960" s="25">
        <v>50</v>
      </c>
      <c r="G960" s="25">
        <v>30</v>
      </c>
      <c r="H960" s="25"/>
      <c r="I960" s="22">
        <f t="shared" si="14"/>
        <v>120</v>
      </c>
      <c r="J960" t="e">
        <f>VLOOKUP(B960,'[1]KT 광점퍼코드(수익률)'!$A$4:$P$243,16,0)</f>
        <v>#N/A</v>
      </c>
    </row>
    <row r="961" spans="1:10" ht="15.75" hidden="1" customHeight="1">
      <c r="A961" s="19">
        <v>958</v>
      </c>
      <c r="B961" s="20" t="s">
        <v>1213</v>
      </c>
      <c r="C961" s="20" t="s">
        <v>1214</v>
      </c>
      <c r="D961" s="20" t="s">
        <v>1215</v>
      </c>
      <c r="E961" s="21">
        <v>7</v>
      </c>
      <c r="F961" s="21"/>
      <c r="G961" s="21"/>
      <c r="H961" s="21"/>
      <c r="I961" s="22">
        <f t="shared" si="14"/>
        <v>7</v>
      </c>
      <c r="J961" t="e">
        <f>VLOOKUP(B961,'[1]KT 광점퍼코드(수익률)'!$A$4:$P$243,16,0)</f>
        <v>#N/A</v>
      </c>
    </row>
    <row r="962" spans="1:10" ht="15.75" hidden="1" customHeight="1">
      <c r="A962" s="23">
        <v>959</v>
      </c>
      <c r="B962" s="24" t="s">
        <v>1216</v>
      </c>
      <c r="C962" s="24" t="s">
        <v>606</v>
      </c>
      <c r="D962" s="26" t="s">
        <v>1154</v>
      </c>
      <c r="E962" s="25">
        <v>10</v>
      </c>
      <c r="F962" s="25"/>
      <c r="G962" s="25">
        <v>10</v>
      </c>
      <c r="H962" s="25"/>
      <c r="I962" s="22">
        <f t="shared" si="14"/>
        <v>20</v>
      </c>
      <c r="J962" t="e">
        <f>VLOOKUP(B962,'[1]KT 광점퍼코드(수익률)'!$A$4:$P$243,16,0)</f>
        <v>#N/A</v>
      </c>
    </row>
    <row r="963" spans="1:10" ht="15.75" hidden="1" customHeight="1">
      <c r="A963" s="19">
        <v>960</v>
      </c>
      <c r="B963" s="20" t="s">
        <v>1217</v>
      </c>
      <c r="C963" s="20" t="s">
        <v>1218</v>
      </c>
      <c r="D963" s="20" t="s">
        <v>1219</v>
      </c>
      <c r="E963" s="21">
        <v>10</v>
      </c>
      <c r="F963" s="21"/>
      <c r="G963" s="21"/>
      <c r="H963" s="21"/>
      <c r="I963" s="22">
        <f t="shared" si="14"/>
        <v>10</v>
      </c>
      <c r="J963" t="e">
        <f>VLOOKUP(B963,'[1]KT 광점퍼코드(수익률)'!$A$4:$P$243,16,0)</f>
        <v>#N/A</v>
      </c>
    </row>
    <row r="964" spans="1:10" ht="15.75" hidden="1" customHeight="1">
      <c r="A964" s="23">
        <v>961</v>
      </c>
      <c r="B964" s="24" t="s">
        <v>2680</v>
      </c>
      <c r="C964" s="24" t="s">
        <v>2681</v>
      </c>
      <c r="D964" s="26" t="s">
        <v>1154</v>
      </c>
      <c r="E964" s="25"/>
      <c r="F964" s="25">
        <v>1</v>
      </c>
      <c r="G964" s="25"/>
      <c r="H964" s="25"/>
      <c r="I964" s="22">
        <f t="shared" ref="I964:I1027" si="15">SUM(E964:H964)</f>
        <v>1</v>
      </c>
      <c r="J964" t="e">
        <f>VLOOKUP(B964,'[1]KT 광점퍼코드(수익률)'!$A$4:$P$243,16,0)</f>
        <v>#N/A</v>
      </c>
    </row>
    <row r="965" spans="1:10" ht="15.75" hidden="1" customHeight="1">
      <c r="A965" s="19">
        <v>962</v>
      </c>
      <c r="B965" s="20" t="s">
        <v>3225</v>
      </c>
      <c r="C965" s="20" t="s">
        <v>3226</v>
      </c>
      <c r="D965" s="20"/>
      <c r="E965" s="21"/>
      <c r="F965" s="21"/>
      <c r="G965" s="21">
        <v>4</v>
      </c>
      <c r="H965" s="21"/>
      <c r="I965" s="22">
        <f t="shared" si="15"/>
        <v>4</v>
      </c>
      <c r="J965" t="e">
        <f>VLOOKUP(B965,'[1]KT 광점퍼코드(수익률)'!$A$4:$P$243,16,0)</f>
        <v>#N/A</v>
      </c>
    </row>
    <row r="966" spans="1:10" ht="15.75" hidden="1" customHeight="1">
      <c r="A966" s="23">
        <v>963</v>
      </c>
      <c r="B966" s="24" t="s">
        <v>1220</v>
      </c>
      <c r="C966" s="24" t="s">
        <v>1221</v>
      </c>
      <c r="D966" s="24"/>
      <c r="E966" s="25">
        <v>40</v>
      </c>
      <c r="F966" s="25"/>
      <c r="G966" s="25">
        <v>50</v>
      </c>
      <c r="H966" s="25"/>
      <c r="I966" s="22">
        <f t="shared" si="15"/>
        <v>90</v>
      </c>
      <c r="J966" t="e">
        <f>VLOOKUP(B966,'[1]KT 광점퍼코드(수익률)'!$A$4:$P$243,16,0)</f>
        <v>#N/A</v>
      </c>
    </row>
    <row r="967" spans="1:10" ht="15.75" hidden="1" customHeight="1">
      <c r="A967" s="19">
        <v>964</v>
      </c>
      <c r="B967" s="20" t="s">
        <v>2682</v>
      </c>
      <c r="C967" s="20" t="s">
        <v>588</v>
      </c>
      <c r="D967" s="27" t="s">
        <v>1154</v>
      </c>
      <c r="E967" s="21"/>
      <c r="F967" s="21">
        <v>20</v>
      </c>
      <c r="G967" s="21">
        <v>100</v>
      </c>
      <c r="H967" s="21"/>
      <c r="I967" s="22">
        <f t="shared" si="15"/>
        <v>120</v>
      </c>
      <c r="J967" t="e">
        <f>VLOOKUP(B967,'[1]KT 광점퍼코드(수익률)'!$A$4:$P$243,16,0)</f>
        <v>#N/A</v>
      </c>
    </row>
    <row r="968" spans="1:10" ht="15.75" hidden="1" customHeight="1">
      <c r="A968" s="23">
        <v>965</v>
      </c>
      <c r="B968" s="24" t="s">
        <v>1222</v>
      </c>
      <c r="C968" s="24" t="s">
        <v>711</v>
      </c>
      <c r="D968" s="26" t="s">
        <v>1154</v>
      </c>
      <c r="E968" s="25">
        <v>30</v>
      </c>
      <c r="F968" s="25">
        <v>19</v>
      </c>
      <c r="G968" s="25">
        <v>30</v>
      </c>
      <c r="H968" s="25"/>
      <c r="I968" s="22">
        <f t="shared" si="15"/>
        <v>79</v>
      </c>
      <c r="J968" t="e">
        <f>VLOOKUP(B968,'[1]KT 광점퍼코드(수익률)'!$A$4:$P$243,16,0)</f>
        <v>#N/A</v>
      </c>
    </row>
    <row r="969" spans="1:10" ht="15.75" hidden="1" customHeight="1">
      <c r="A969" s="19">
        <v>966</v>
      </c>
      <c r="B969" s="20" t="s">
        <v>2683</v>
      </c>
      <c r="C969" s="20" t="s">
        <v>2670</v>
      </c>
      <c r="D969" s="27" t="s">
        <v>431</v>
      </c>
      <c r="E969" s="21"/>
      <c r="F969" s="21">
        <v>2</v>
      </c>
      <c r="G969" s="21"/>
      <c r="H969" s="21"/>
      <c r="I969" s="22">
        <f t="shared" si="15"/>
        <v>2</v>
      </c>
      <c r="J969" t="e">
        <f>VLOOKUP(B969,'[1]KT 광점퍼코드(수익률)'!$A$4:$P$243,16,0)</f>
        <v>#N/A</v>
      </c>
    </row>
    <row r="970" spans="1:10" ht="15.75" hidden="1" customHeight="1">
      <c r="A970" s="23">
        <v>967</v>
      </c>
      <c r="B970" s="24" t="s">
        <v>2684</v>
      </c>
      <c r="C970" s="24" t="s">
        <v>620</v>
      </c>
      <c r="D970" s="26" t="s">
        <v>1154</v>
      </c>
      <c r="E970" s="25"/>
      <c r="F970" s="25">
        <v>15</v>
      </c>
      <c r="G970" s="25"/>
      <c r="H970" s="25"/>
      <c r="I970" s="22">
        <f t="shared" si="15"/>
        <v>15</v>
      </c>
      <c r="J970" t="e">
        <f>VLOOKUP(B970,'[1]KT 광점퍼코드(수익률)'!$A$4:$P$243,16,0)</f>
        <v>#N/A</v>
      </c>
    </row>
    <row r="971" spans="1:10" ht="15.75" hidden="1" customHeight="1">
      <c r="A971" s="19">
        <v>968</v>
      </c>
      <c r="B971" s="20" t="s">
        <v>2685</v>
      </c>
      <c r="C971" s="20" t="s">
        <v>2686</v>
      </c>
      <c r="D971" s="27" t="s">
        <v>1154</v>
      </c>
      <c r="E971" s="21"/>
      <c r="F971" s="21">
        <v>4</v>
      </c>
      <c r="G971" s="21"/>
      <c r="H971" s="21"/>
      <c r="I971" s="22">
        <f t="shared" si="15"/>
        <v>4</v>
      </c>
      <c r="J971" t="e">
        <f>VLOOKUP(B971,'[1]KT 광점퍼코드(수익률)'!$A$4:$P$243,16,0)</f>
        <v>#N/A</v>
      </c>
    </row>
    <row r="972" spans="1:10" ht="15.75" hidden="1" customHeight="1">
      <c r="A972" s="23">
        <v>969</v>
      </c>
      <c r="B972" s="24" t="s">
        <v>1223</v>
      </c>
      <c r="C972" s="24" t="s">
        <v>1224</v>
      </c>
      <c r="D972" s="26" t="s">
        <v>1154</v>
      </c>
      <c r="E972" s="25">
        <v>1</v>
      </c>
      <c r="F972" s="25"/>
      <c r="G972" s="25"/>
      <c r="H972" s="25"/>
      <c r="I972" s="22">
        <f t="shared" si="15"/>
        <v>1</v>
      </c>
      <c r="J972" t="e">
        <f>VLOOKUP(B972,'[1]KT 광점퍼코드(수익률)'!$A$4:$P$243,16,0)</f>
        <v>#N/A</v>
      </c>
    </row>
    <row r="973" spans="1:10" ht="15.75" hidden="1" customHeight="1">
      <c r="A973" s="19">
        <v>970</v>
      </c>
      <c r="B973" s="20" t="s">
        <v>1225</v>
      </c>
      <c r="C973" s="20" t="s">
        <v>591</v>
      </c>
      <c r="D973" s="27" t="s">
        <v>1226</v>
      </c>
      <c r="E973" s="21">
        <v>80</v>
      </c>
      <c r="F973" s="21">
        <v>5</v>
      </c>
      <c r="G973" s="21"/>
      <c r="H973" s="21"/>
      <c r="I973" s="22">
        <f t="shared" si="15"/>
        <v>85</v>
      </c>
      <c r="J973" t="e">
        <f>VLOOKUP(B973,'[1]KT 광점퍼코드(수익률)'!$A$4:$P$243,16,0)</f>
        <v>#N/A</v>
      </c>
    </row>
    <row r="974" spans="1:10" ht="15.75" hidden="1" customHeight="1">
      <c r="A974" s="23">
        <v>971</v>
      </c>
      <c r="B974" s="24" t="s">
        <v>1227</v>
      </c>
      <c r="C974" s="24" t="s">
        <v>1228</v>
      </c>
      <c r="D974" s="24"/>
      <c r="E974" s="25">
        <v>6</v>
      </c>
      <c r="F974" s="25"/>
      <c r="G974" s="25"/>
      <c r="H974" s="25"/>
      <c r="I974" s="22">
        <f t="shared" si="15"/>
        <v>6</v>
      </c>
      <c r="J974" t="e">
        <f>VLOOKUP(B974,'[1]KT 광점퍼코드(수익률)'!$A$4:$P$243,16,0)</f>
        <v>#N/A</v>
      </c>
    </row>
    <row r="975" spans="1:10" ht="15.75" hidden="1" customHeight="1">
      <c r="A975" s="19">
        <v>972</v>
      </c>
      <c r="B975" s="20" t="s">
        <v>2687</v>
      </c>
      <c r="C975" s="20" t="s">
        <v>937</v>
      </c>
      <c r="D975" s="27" t="s">
        <v>2688</v>
      </c>
      <c r="E975" s="21"/>
      <c r="F975" s="21">
        <v>20</v>
      </c>
      <c r="G975" s="21"/>
      <c r="H975" s="21"/>
      <c r="I975" s="22">
        <f t="shared" si="15"/>
        <v>20</v>
      </c>
      <c r="J975" t="e">
        <f>VLOOKUP(B975,'[1]KT 광점퍼코드(수익률)'!$A$4:$P$243,16,0)</f>
        <v>#N/A</v>
      </c>
    </row>
    <row r="976" spans="1:10" ht="15.75" hidden="1" customHeight="1">
      <c r="A976" s="23">
        <v>973</v>
      </c>
      <c r="B976" s="24" t="s">
        <v>3227</v>
      </c>
      <c r="C976" s="24" t="s">
        <v>3228</v>
      </c>
      <c r="D976" s="24" t="s">
        <v>3229</v>
      </c>
      <c r="E976" s="25"/>
      <c r="F976" s="25"/>
      <c r="G976" s="25">
        <v>4</v>
      </c>
      <c r="H976" s="25"/>
      <c r="I976" s="22">
        <f t="shared" si="15"/>
        <v>4</v>
      </c>
      <c r="J976" t="e">
        <f>VLOOKUP(B976,'[1]KT 광점퍼코드(수익률)'!$A$4:$P$243,16,0)</f>
        <v>#N/A</v>
      </c>
    </row>
    <row r="977" spans="1:10" ht="15.75" hidden="1" customHeight="1">
      <c r="A977" s="19">
        <v>974</v>
      </c>
      <c r="B977" s="20" t="s">
        <v>1229</v>
      </c>
      <c r="C977" s="20" t="s">
        <v>1230</v>
      </c>
      <c r="D977" s="20"/>
      <c r="E977" s="21">
        <v>10</v>
      </c>
      <c r="F977" s="21"/>
      <c r="G977" s="21"/>
      <c r="H977" s="21"/>
      <c r="I977" s="22">
        <f t="shared" si="15"/>
        <v>10</v>
      </c>
      <c r="J977" t="e">
        <f>VLOOKUP(B977,'[1]KT 광점퍼코드(수익률)'!$A$4:$P$243,16,0)</f>
        <v>#N/A</v>
      </c>
    </row>
    <row r="978" spans="1:10" ht="15.75" hidden="1" customHeight="1">
      <c r="A978" s="23">
        <v>975</v>
      </c>
      <c r="B978" s="24" t="s">
        <v>2689</v>
      </c>
      <c r="C978" s="24" t="s">
        <v>2690</v>
      </c>
      <c r="D978" s="24"/>
      <c r="E978" s="25"/>
      <c r="F978" s="25">
        <v>1</v>
      </c>
      <c r="G978" s="25"/>
      <c r="H978" s="25"/>
      <c r="I978" s="22">
        <f t="shared" si="15"/>
        <v>1</v>
      </c>
      <c r="J978" t="e">
        <f>VLOOKUP(B978,'[1]KT 광점퍼코드(수익률)'!$A$4:$P$243,16,0)</f>
        <v>#N/A</v>
      </c>
    </row>
    <row r="979" spans="1:10" ht="15.75" hidden="1" customHeight="1">
      <c r="A979" s="19">
        <v>976</v>
      </c>
      <c r="B979" s="20" t="s">
        <v>1231</v>
      </c>
      <c r="C979" s="20" t="s">
        <v>768</v>
      </c>
      <c r="D979" s="27" t="s">
        <v>1226</v>
      </c>
      <c r="E979" s="21">
        <v>2</v>
      </c>
      <c r="F979" s="21"/>
      <c r="G979" s="21"/>
      <c r="H979" s="21"/>
      <c r="I979" s="22">
        <f t="shared" si="15"/>
        <v>2</v>
      </c>
      <c r="J979" t="e">
        <f>VLOOKUP(B979,'[1]KT 광점퍼코드(수익률)'!$A$4:$P$243,16,0)</f>
        <v>#N/A</v>
      </c>
    </row>
    <row r="980" spans="1:10" ht="15.75" hidden="1" customHeight="1">
      <c r="A980" s="23">
        <v>977</v>
      </c>
      <c r="B980" s="24" t="s">
        <v>1232</v>
      </c>
      <c r="C980" s="24" t="s">
        <v>1233</v>
      </c>
      <c r="D980" s="26" t="s">
        <v>1154</v>
      </c>
      <c r="E980" s="25">
        <v>1</v>
      </c>
      <c r="F980" s="25"/>
      <c r="G980" s="25"/>
      <c r="H980" s="25"/>
      <c r="I980" s="22">
        <f t="shared" si="15"/>
        <v>1</v>
      </c>
      <c r="J980" t="e">
        <f>VLOOKUP(B980,'[1]KT 광점퍼코드(수익률)'!$A$4:$P$243,16,0)</f>
        <v>#N/A</v>
      </c>
    </row>
    <row r="981" spans="1:10" ht="15.75" hidden="1" customHeight="1">
      <c r="A981" s="19">
        <v>978</v>
      </c>
      <c r="B981" s="20" t="s">
        <v>1234</v>
      </c>
      <c r="C981" s="20" t="s">
        <v>1235</v>
      </c>
      <c r="D981" s="27" t="s">
        <v>1154</v>
      </c>
      <c r="E981" s="21">
        <v>1</v>
      </c>
      <c r="F981" s="21"/>
      <c r="G981" s="21"/>
      <c r="H981" s="21"/>
      <c r="I981" s="22">
        <f t="shared" si="15"/>
        <v>1</v>
      </c>
      <c r="J981" t="e">
        <f>VLOOKUP(B981,'[1]KT 광점퍼코드(수익률)'!$A$4:$P$243,16,0)</f>
        <v>#N/A</v>
      </c>
    </row>
    <row r="982" spans="1:10" ht="15.75" hidden="1" customHeight="1">
      <c r="A982" s="23">
        <v>979</v>
      </c>
      <c r="B982" s="24" t="s">
        <v>1236</v>
      </c>
      <c r="C982" s="24" t="s">
        <v>1237</v>
      </c>
      <c r="D982" s="26" t="s">
        <v>1154</v>
      </c>
      <c r="E982" s="25">
        <v>2</v>
      </c>
      <c r="F982" s="25"/>
      <c r="G982" s="25"/>
      <c r="H982" s="25"/>
      <c r="I982" s="22">
        <f t="shared" si="15"/>
        <v>2</v>
      </c>
      <c r="J982" t="e">
        <f>VLOOKUP(B982,'[1]KT 광점퍼코드(수익률)'!$A$4:$P$243,16,0)</f>
        <v>#N/A</v>
      </c>
    </row>
    <row r="983" spans="1:10" ht="15.75" hidden="1" customHeight="1">
      <c r="A983" s="19">
        <v>980</v>
      </c>
      <c r="B983" s="20" t="s">
        <v>1238</v>
      </c>
      <c r="C983" s="20" t="s">
        <v>1239</v>
      </c>
      <c r="D983" s="27" t="s">
        <v>1154</v>
      </c>
      <c r="E983" s="21">
        <v>1</v>
      </c>
      <c r="F983" s="21"/>
      <c r="G983" s="21"/>
      <c r="H983" s="21"/>
      <c r="I983" s="22">
        <f t="shared" si="15"/>
        <v>1</v>
      </c>
      <c r="J983" t="e">
        <f>VLOOKUP(B983,'[1]KT 광점퍼코드(수익률)'!$A$4:$P$243,16,0)</f>
        <v>#N/A</v>
      </c>
    </row>
    <row r="984" spans="1:10" ht="15.75" hidden="1" customHeight="1">
      <c r="A984" s="23">
        <v>981</v>
      </c>
      <c r="B984" s="24" t="s">
        <v>1240</v>
      </c>
      <c r="C984" s="24" t="s">
        <v>1241</v>
      </c>
      <c r="D984" s="24"/>
      <c r="E984" s="25">
        <v>1</v>
      </c>
      <c r="F984" s="25"/>
      <c r="G984" s="25"/>
      <c r="H984" s="25"/>
      <c r="I984" s="22">
        <f t="shared" si="15"/>
        <v>1</v>
      </c>
      <c r="J984" t="e">
        <f>VLOOKUP(B984,'[1]KT 광점퍼코드(수익률)'!$A$4:$P$243,16,0)</f>
        <v>#N/A</v>
      </c>
    </row>
    <row r="985" spans="1:10" ht="15.75" hidden="1" customHeight="1">
      <c r="A985" s="19">
        <v>982</v>
      </c>
      <c r="B985" s="20" t="s">
        <v>1242</v>
      </c>
      <c r="C985" s="20" t="s">
        <v>1243</v>
      </c>
      <c r="D985" s="20"/>
      <c r="E985" s="21">
        <v>1</v>
      </c>
      <c r="F985" s="21"/>
      <c r="G985" s="21"/>
      <c r="H985" s="21"/>
      <c r="I985" s="22">
        <f t="shared" si="15"/>
        <v>1</v>
      </c>
      <c r="J985" t="e">
        <f>VLOOKUP(B985,'[1]KT 광점퍼코드(수익률)'!$A$4:$P$243,16,0)</f>
        <v>#N/A</v>
      </c>
    </row>
    <row r="986" spans="1:10" ht="15.75" hidden="1" customHeight="1">
      <c r="A986" s="23">
        <v>983</v>
      </c>
      <c r="B986" s="24" t="s">
        <v>1244</v>
      </c>
      <c r="C986" s="24" t="s">
        <v>1245</v>
      </c>
      <c r="D986" s="24" t="s">
        <v>1246</v>
      </c>
      <c r="E986" s="25">
        <v>20</v>
      </c>
      <c r="F986" s="25"/>
      <c r="G986" s="25"/>
      <c r="H986" s="25"/>
      <c r="I986" s="22">
        <f t="shared" si="15"/>
        <v>20</v>
      </c>
      <c r="J986" t="e">
        <f>VLOOKUP(B986,'[1]KT 광점퍼코드(수익률)'!$A$4:$P$243,16,0)</f>
        <v>#N/A</v>
      </c>
    </row>
    <row r="987" spans="1:10" ht="15.75" hidden="1" customHeight="1">
      <c r="A987" s="19">
        <v>984</v>
      </c>
      <c r="B987" s="20" t="s">
        <v>1247</v>
      </c>
      <c r="C987" s="20" t="s">
        <v>591</v>
      </c>
      <c r="D987" s="20" t="s">
        <v>1248</v>
      </c>
      <c r="E987" s="21">
        <v>20</v>
      </c>
      <c r="F987" s="21"/>
      <c r="G987" s="21"/>
      <c r="H987" s="21"/>
      <c r="I987" s="22">
        <f t="shared" si="15"/>
        <v>20</v>
      </c>
      <c r="J987" t="e">
        <f>VLOOKUP(B987,'[1]KT 광점퍼코드(수익률)'!$A$4:$P$243,16,0)</f>
        <v>#N/A</v>
      </c>
    </row>
    <row r="988" spans="1:10" ht="15.75" hidden="1" customHeight="1">
      <c r="A988" s="23">
        <v>985</v>
      </c>
      <c r="B988" s="24" t="s">
        <v>1249</v>
      </c>
      <c r="C988" s="24" t="s">
        <v>597</v>
      </c>
      <c r="D988" s="24" t="s">
        <v>1250</v>
      </c>
      <c r="E988" s="25">
        <v>20</v>
      </c>
      <c r="F988" s="25"/>
      <c r="G988" s="25"/>
      <c r="H988" s="25"/>
      <c r="I988" s="22">
        <f t="shared" si="15"/>
        <v>20</v>
      </c>
      <c r="J988" t="e">
        <f>VLOOKUP(B988,'[1]KT 광점퍼코드(수익률)'!$A$4:$P$243,16,0)</f>
        <v>#N/A</v>
      </c>
    </row>
    <row r="989" spans="1:10" ht="15.75" hidden="1" customHeight="1">
      <c r="A989" s="19">
        <v>986</v>
      </c>
      <c r="B989" s="20" t="s">
        <v>1251</v>
      </c>
      <c r="C989" s="20" t="s">
        <v>1252</v>
      </c>
      <c r="D989" s="20"/>
      <c r="E989" s="21">
        <v>5</v>
      </c>
      <c r="F989" s="21"/>
      <c r="G989" s="21"/>
      <c r="H989" s="21"/>
      <c r="I989" s="22">
        <f t="shared" si="15"/>
        <v>5</v>
      </c>
      <c r="J989" t="e">
        <f>VLOOKUP(B989,'[1]KT 광점퍼코드(수익률)'!$A$4:$P$243,16,0)</f>
        <v>#N/A</v>
      </c>
    </row>
    <row r="990" spans="1:10" ht="15.75" hidden="1" customHeight="1">
      <c r="A990" s="23">
        <v>987</v>
      </c>
      <c r="B990" s="24" t="s">
        <v>1253</v>
      </c>
      <c r="C990" s="24" t="s">
        <v>354</v>
      </c>
      <c r="D990" s="26" t="s">
        <v>431</v>
      </c>
      <c r="E990" s="25">
        <v>20</v>
      </c>
      <c r="F990" s="25"/>
      <c r="G990" s="25"/>
      <c r="H990" s="25"/>
      <c r="I990" s="22">
        <f t="shared" si="15"/>
        <v>20</v>
      </c>
      <c r="J990" t="e">
        <f>VLOOKUP(B990,'[1]KT 광점퍼코드(수익률)'!$A$4:$P$243,16,0)</f>
        <v>#N/A</v>
      </c>
    </row>
    <row r="991" spans="1:10" ht="15.75" hidden="1" customHeight="1">
      <c r="A991" s="19">
        <v>988</v>
      </c>
      <c r="B991" s="20" t="s">
        <v>1254</v>
      </c>
      <c r="C991" s="20" t="s">
        <v>1255</v>
      </c>
      <c r="D991" s="20" t="s">
        <v>1256</v>
      </c>
      <c r="E991" s="21">
        <v>3</v>
      </c>
      <c r="F991" s="21"/>
      <c r="G991" s="21"/>
      <c r="H991" s="21"/>
      <c r="I991" s="22">
        <f t="shared" si="15"/>
        <v>3</v>
      </c>
      <c r="J991" t="e">
        <f>VLOOKUP(B991,'[1]KT 광점퍼코드(수익률)'!$A$4:$P$243,16,0)</f>
        <v>#N/A</v>
      </c>
    </row>
    <row r="992" spans="1:10" ht="15.75" hidden="1" customHeight="1">
      <c r="A992" s="23">
        <v>989</v>
      </c>
      <c r="B992" s="24" t="s">
        <v>1257</v>
      </c>
      <c r="C992" s="24" t="s">
        <v>1258</v>
      </c>
      <c r="D992" s="24"/>
      <c r="E992" s="25">
        <v>4</v>
      </c>
      <c r="F992" s="25"/>
      <c r="G992" s="25"/>
      <c r="H992" s="25"/>
      <c r="I992" s="22">
        <f t="shared" si="15"/>
        <v>4</v>
      </c>
      <c r="J992" t="e">
        <f>VLOOKUP(B992,'[1]KT 광점퍼코드(수익률)'!$A$4:$P$243,16,0)</f>
        <v>#N/A</v>
      </c>
    </row>
    <row r="993" spans="1:10" ht="15.75" hidden="1" customHeight="1">
      <c r="A993" s="19">
        <v>990</v>
      </c>
      <c r="B993" s="20" t="s">
        <v>1259</v>
      </c>
      <c r="C993" s="20" t="s">
        <v>1260</v>
      </c>
      <c r="D993" s="27" t="s">
        <v>1154</v>
      </c>
      <c r="E993" s="21">
        <v>4</v>
      </c>
      <c r="F993" s="21"/>
      <c r="G993" s="21"/>
      <c r="H993" s="21"/>
      <c r="I993" s="22">
        <f t="shared" si="15"/>
        <v>4</v>
      </c>
      <c r="J993" t="e">
        <f>VLOOKUP(B993,'[1]KT 광점퍼코드(수익률)'!$A$4:$P$243,16,0)</f>
        <v>#N/A</v>
      </c>
    </row>
    <row r="994" spans="1:10" ht="15.75" hidden="1" customHeight="1">
      <c r="A994" s="23">
        <v>991</v>
      </c>
      <c r="B994" s="24" t="s">
        <v>1261</v>
      </c>
      <c r="C994" s="24" t="s">
        <v>558</v>
      </c>
      <c r="D994" s="24" t="s">
        <v>1262</v>
      </c>
      <c r="E994" s="25">
        <v>94</v>
      </c>
      <c r="F994" s="25">
        <v>12</v>
      </c>
      <c r="G994" s="25"/>
      <c r="H994" s="25"/>
      <c r="I994" s="22">
        <f t="shared" si="15"/>
        <v>106</v>
      </c>
      <c r="J994" t="e">
        <f>VLOOKUP(B994,'[1]KT 광점퍼코드(수익률)'!$A$4:$P$243,16,0)</f>
        <v>#N/A</v>
      </c>
    </row>
    <row r="995" spans="1:10" ht="15.75" hidden="1" customHeight="1">
      <c r="A995" s="19">
        <v>992</v>
      </c>
      <c r="B995" s="20" t="s">
        <v>2691</v>
      </c>
      <c r="C995" s="20" t="s">
        <v>620</v>
      </c>
      <c r="D995" s="20" t="s">
        <v>2692</v>
      </c>
      <c r="E995" s="21"/>
      <c r="F995" s="21">
        <v>9</v>
      </c>
      <c r="G995" s="21"/>
      <c r="H995" s="21"/>
      <c r="I995" s="22">
        <f t="shared" si="15"/>
        <v>9</v>
      </c>
      <c r="J995" t="e">
        <f>VLOOKUP(B995,'[1]KT 광점퍼코드(수익률)'!$A$4:$P$243,16,0)</f>
        <v>#N/A</v>
      </c>
    </row>
    <row r="996" spans="1:10" ht="15.75" hidden="1" customHeight="1">
      <c r="A996" s="23">
        <v>993</v>
      </c>
      <c r="B996" s="24" t="s">
        <v>1263</v>
      </c>
      <c r="C996" s="24" t="s">
        <v>928</v>
      </c>
      <c r="D996" s="26" t="s">
        <v>1264</v>
      </c>
      <c r="E996" s="25">
        <v>30</v>
      </c>
      <c r="F996" s="25"/>
      <c r="G996" s="25"/>
      <c r="H996" s="25"/>
      <c r="I996" s="22">
        <f t="shared" si="15"/>
        <v>30</v>
      </c>
      <c r="J996" t="e">
        <f>VLOOKUP(B996,'[1]KT 광점퍼코드(수익률)'!$A$4:$P$243,16,0)</f>
        <v>#N/A</v>
      </c>
    </row>
    <row r="997" spans="1:10" ht="15.75" hidden="1" customHeight="1">
      <c r="A997" s="19">
        <v>994</v>
      </c>
      <c r="B997" s="20" t="s">
        <v>1265</v>
      </c>
      <c r="C997" s="20" t="s">
        <v>937</v>
      </c>
      <c r="D997" s="27" t="s">
        <v>1264</v>
      </c>
      <c r="E997" s="21">
        <v>40</v>
      </c>
      <c r="F997" s="21"/>
      <c r="G997" s="21"/>
      <c r="H997" s="21"/>
      <c r="I997" s="22">
        <f t="shared" si="15"/>
        <v>40</v>
      </c>
      <c r="J997" t="e">
        <f>VLOOKUP(B997,'[1]KT 광점퍼코드(수익률)'!$A$4:$P$243,16,0)</f>
        <v>#N/A</v>
      </c>
    </row>
    <row r="998" spans="1:10" ht="15.75" hidden="1" customHeight="1">
      <c r="A998" s="23">
        <v>995</v>
      </c>
      <c r="B998" s="24" t="s">
        <v>1266</v>
      </c>
      <c r="C998" s="24" t="s">
        <v>1267</v>
      </c>
      <c r="D998" s="24"/>
      <c r="E998" s="25">
        <v>5</v>
      </c>
      <c r="F998" s="25"/>
      <c r="G998" s="25">
        <v>20</v>
      </c>
      <c r="H998" s="25"/>
      <c r="I998" s="22">
        <f t="shared" si="15"/>
        <v>25</v>
      </c>
      <c r="J998" t="e">
        <f>VLOOKUP(B998,'[1]KT 광점퍼코드(수익률)'!$A$4:$P$243,16,0)</f>
        <v>#N/A</v>
      </c>
    </row>
    <row r="999" spans="1:10" ht="15.75" hidden="1" customHeight="1">
      <c r="A999" s="19">
        <v>996</v>
      </c>
      <c r="B999" s="20" t="s">
        <v>1268</v>
      </c>
      <c r="C999" s="20" t="s">
        <v>588</v>
      </c>
      <c r="D999" s="27" t="s">
        <v>1226</v>
      </c>
      <c r="E999" s="21">
        <v>150</v>
      </c>
      <c r="F999" s="21"/>
      <c r="G999" s="21"/>
      <c r="H999" s="21"/>
      <c r="I999" s="22">
        <f t="shared" si="15"/>
        <v>150</v>
      </c>
      <c r="J999" t="e">
        <f>VLOOKUP(B999,'[1]KT 광점퍼코드(수익률)'!$A$4:$P$243,16,0)</f>
        <v>#N/A</v>
      </c>
    </row>
    <row r="1000" spans="1:10" ht="15.75" hidden="1" customHeight="1">
      <c r="A1000" s="23">
        <v>997</v>
      </c>
      <c r="B1000" s="24" t="s">
        <v>1269</v>
      </c>
      <c r="C1000" s="24" t="s">
        <v>1150</v>
      </c>
      <c r="D1000" s="24" t="s">
        <v>1270</v>
      </c>
      <c r="E1000" s="25">
        <v>44</v>
      </c>
      <c r="F1000" s="25"/>
      <c r="G1000" s="25"/>
      <c r="H1000" s="25"/>
      <c r="I1000" s="22">
        <f t="shared" si="15"/>
        <v>44</v>
      </c>
      <c r="J1000" t="e">
        <f>VLOOKUP(B1000,'[1]KT 광점퍼코드(수익률)'!$A$4:$P$243,16,0)</f>
        <v>#N/A</v>
      </c>
    </row>
    <row r="1001" spans="1:10" ht="15.75" hidden="1" customHeight="1">
      <c r="A1001" s="19">
        <v>998</v>
      </c>
      <c r="B1001" s="20" t="s">
        <v>1271</v>
      </c>
      <c r="C1001" s="20" t="s">
        <v>1033</v>
      </c>
      <c r="D1001" s="20" t="s">
        <v>1270</v>
      </c>
      <c r="E1001" s="21">
        <v>54</v>
      </c>
      <c r="F1001" s="21"/>
      <c r="G1001" s="21"/>
      <c r="H1001" s="21"/>
      <c r="I1001" s="22">
        <f t="shared" si="15"/>
        <v>54</v>
      </c>
      <c r="J1001" t="e">
        <f>VLOOKUP(B1001,'[1]KT 광점퍼코드(수익률)'!$A$4:$P$243,16,0)</f>
        <v>#N/A</v>
      </c>
    </row>
    <row r="1002" spans="1:10" ht="15.75" hidden="1" customHeight="1">
      <c r="A1002" s="23">
        <v>999</v>
      </c>
      <c r="B1002" s="24" t="s">
        <v>1272</v>
      </c>
      <c r="C1002" s="24" t="s">
        <v>1273</v>
      </c>
      <c r="D1002" s="24" t="s">
        <v>1270</v>
      </c>
      <c r="E1002" s="25">
        <v>1</v>
      </c>
      <c r="F1002" s="25"/>
      <c r="G1002" s="25"/>
      <c r="H1002" s="25"/>
      <c r="I1002" s="22">
        <f t="shared" si="15"/>
        <v>1</v>
      </c>
      <c r="J1002" t="e">
        <f>VLOOKUP(B1002,'[1]KT 광점퍼코드(수익률)'!$A$4:$P$243,16,0)</f>
        <v>#N/A</v>
      </c>
    </row>
    <row r="1003" spans="1:10" ht="15.75" hidden="1" customHeight="1">
      <c r="A1003" s="19">
        <v>1000</v>
      </c>
      <c r="B1003" s="20" t="s">
        <v>1274</v>
      </c>
      <c r="C1003" s="20" t="s">
        <v>950</v>
      </c>
      <c r="D1003" s="20" t="s">
        <v>1275</v>
      </c>
      <c r="E1003" s="21">
        <v>10</v>
      </c>
      <c r="F1003" s="21"/>
      <c r="G1003" s="21"/>
      <c r="H1003" s="21"/>
      <c r="I1003" s="22">
        <f t="shared" si="15"/>
        <v>10</v>
      </c>
      <c r="J1003" t="e">
        <f>VLOOKUP(B1003,'[1]KT 광점퍼코드(수익률)'!$A$4:$P$243,16,0)</f>
        <v>#N/A</v>
      </c>
    </row>
    <row r="1004" spans="1:10" ht="15.75" hidden="1" customHeight="1">
      <c r="A1004" s="23">
        <v>1001</v>
      </c>
      <c r="B1004" s="24" t="s">
        <v>1276</v>
      </c>
      <c r="C1004" s="24" t="s">
        <v>1277</v>
      </c>
      <c r="D1004" s="24" t="s">
        <v>1275</v>
      </c>
      <c r="E1004" s="25">
        <v>23</v>
      </c>
      <c r="F1004" s="25"/>
      <c r="G1004" s="25"/>
      <c r="H1004" s="25"/>
      <c r="I1004" s="22">
        <f t="shared" si="15"/>
        <v>23</v>
      </c>
      <c r="J1004" t="e">
        <f>VLOOKUP(B1004,'[1]KT 광점퍼코드(수익률)'!$A$4:$P$243,16,0)</f>
        <v>#N/A</v>
      </c>
    </row>
    <row r="1005" spans="1:10" ht="15.75" hidden="1" customHeight="1">
      <c r="A1005" s="19">
        <v>1002</v>
      </c>
      <c r="B1005" s="20" t="s">
        <v>1278</v>
      </c>
      <c r="C1005" s="20" t="s">
        <v>957</v>
      </c>
      <c r="D1005" s="20" t="s">
        <v>946</v>
      </c>
      <c r="E1005" s="21">
        <v>8</v>
      </c>
      <c r="F1005" s="21"/>
      <c r="G1005" s="21"/>
      <c r="H1005" s="21"/>
      <c r="I1005" s="22">
        <f t="shared" si="15"/>
        <v>8</v>
      </c>
      <c r="J1005" t="e">
        <f>VLOOKUP(B1005,'[1]KT 광점퍼코드(수익률)'!$A$4:$P$243,16,0)</f>
        <v>#N/A</v>
      </c>
    </row>
    <row r="1006" spans="1:10" ht="15.75" hidden="1" customHeight="1">
      <c r="A1006" s="23">
        <v>1003</v>
      </c>
      <c r="B1006" s="24" t="s">
        <v>1279</v>
      </c>
      <c r="C1006" s="24" t="s">
        <v>959</v>
      </c>
      <c r="D1006" s="24" t="s">
        <v>1270</v>
      </c>
      <c r="E1006" s="25">
        <v>55</v>
      </c>
      <c r="F1006" s="25">
        <v>400</v>
      </c>
      <c r="G1006" s="25"/>
      <c r="H1006" s="25"/>
      <c r="I1006" s="22">
        <f t="shared" si="15"/>
        <v>455</v>
      </c>
      <c r="J1006" t="e">
        <f>VLOOKUP(B1006,'[1]KT 광점퍼코드(수익률)'!$A$4:$P$243,16,0)</f>
        <v>#N/A</v>
      </c>
    </row>
    <row r="1007" spans="1:10" ht="15.75" hidden="1" customHeight="1">
      <c r="A1007" s="19">
        <v>1004</v>
      </c>
      <c r="B1007" s="20" t="s">
        <v>1280</v>
      </c>
      <c r="C1007" s="20" t="s">
        <v>931</v>
      </c>
      <c r="D1007" s="20" t="s">
        <v>1270</v>
      </c>
      <c r="E1007" s="21">
        <v>33</v>
      </c>
      <c r="F1007" s="21"/>
      <c r="G1007" s="21"/>
      <c r="H1007" s="21"/>
      <c r="I1007" s="22">
        <f t="shared" si="15"/>
        <v>33</v>
      </c>
      <c r="J1007" t="e">
        <f>VLOOKUP(B1007,'[1]KT 광점퍼코드(수익률)'!$A$4:$P$243,16,0)</f>
        <v>#N/A</v>
      </c>
    </row>
    <row r="1008" spans="1:10" ht="15.75" hidden="1" customHeight="1">
      <c r="A1008" s="23">
        <v>1005</v>
      </c>
      <c r="B1008" s="24" t="s">
        <v>1281</v>
      </c>
      <c r="C1008" s="24" t="s">
        <v>1282</v>
      </c>
      <c r="D1008" s="24" t="s">
        <v>1270</v>
      </c>
      <c r="E1008" s="25">
        <v>15</v>
      </c>
      <c r="F1008" s="25"/>
      <c r="G1008" s="25"/>
      <c r="H1008" s="25"/>
      <c r="I1008" s="22">
        <f t="shared" si="15"/>
        <v>15</v>
      </c>
      <c r="J1008" t="e">
        <f>VLOOKUP(B1008,'[1]KT 광점퍼코드(수익률)'!$A$4:$P$243,16,0)</f>
        <v>#N/A</v>
      </c>
    </row>
    <row r="1009" spans="1:10" ht="15.75" hidden="1" customHeight="1">
      <c r="A1009" s="19">
        <v>1006</v>
      </c>
      <c r="B1009" s="20" t="s">
        <v>1283</v>
      </c>
      <c r="C1009" s="20" t="s">
        <v>1284</v>
      </c>
      <c r="D1009" s="20"/>
      <c r="E1009" s="21">
        <v>20</v>
      </c>
      <c r="F1009" s="21"/>
      <c r="G1009" s="21"/>
      <c r="H1009" s="21"/>
      <c r="I1009" s="22">
        <f t="shared" si="15"/>
        <v>20</v>
      </c>
      <c r="J1009" t="e">
        <f>VLOOKUP(B1009,'[1]KT 광점퍼코드(수익률)'!$A$4:$P$243,16,0)</f>
        <v>#N/A</v>
      </c>
    </row>
    <row r="1010" spans="1:10" ht="15.75" hidden="1" customHeight="1">
      <c r="A1010" s="23">
        <v>1007</v>
      </c>
      <c r="B1010" s="24" t="s">
        <v>1285</v>
      </c>
      <c r="C1010" s="24" t="s">
        <v>796</v>
      </c>
      <c r="D1010" s="26" t="s">
        <v>1226</v>
      </c>
      <c r="E1010" s="25">
        <v>50</v>
      </c>
      <c r="F1010" s="25"/>
      <c r="G1010" s="25"/>
      <c r="H1010" s="25"/>
      <c r="I1010" s="22">
        <f t="shared" si="15"/>
        <v>50</v>
      </c>
      <c r="J1010" t="e">
        <f>VLOOKUP(B1010,'[1]KT 광점퍼코드(수익률)'!$A$4:$P$243,16,0)</f>
        <v>#N/A</v>
      </c>
    </row>
    <row r="1011" spans="1:10" ht="15.75" hidden="1" customHeight="1">
      <c r="A1011" s="19">
        <v>1008</v>
      </c>
      <c r="B1011" s="20" t="s">
        <v>1286</v>
      </c>
      <c r="C1011" s="20" t="s">
        <v>1287</v>
      </c>
      <c r="D1011" s="27" t="s">
        <v>1226</v>
      </c>
      <c r="E1011" s="21">
        <v>50</v>
      </c>
      <c r="F1011" s="21"/>
      <c r="G1011" s="21"/>
      <c r="H1011" s="21"/>
      <c r="I1011" s="22">
        <f t="shared" si="15"/>
        <v>50</v>
      </c>
      <c r="J1011" t="e">
        <f>VLOOKUP(B1011,'[1]KT 광점퍼코드(수익률)'!$A$4:$P$243,16,0)</f>
        <v>#N/A</v>
      </c>
    </row>
    <row r="1012" spans="1:10" ht="15.75" hidden="1" customHeight="1">
      <c r="A1012" s="23">
        <v>1009</v>
      </c>
      <c r="B1012" s="24" t="s">
        <v>1288</v>
      </c>
      <c r="C1012" s="24" t="s">
        <v>1289</v>
      </c>
      <c r="D1012" s="24"/>
      <c r="E1012" s="25">
        <v>4</v>
      </c>
      <c r="F1012" s="25"/>
      <c r="G1012" s="25"/>
      <c r="H1012" s="25"/>
      <c r="I1012" s="22">
        <f t="shared" si="15"/>
        <v>4</v>
      </c>
      <c r="J1012" t="e">
        <f>VLOOKUP(B1012,'[1]KT 광점퍼코드(수익률)'!$A$4:$P$243,16,0)</f>
        <v>#N/A</v>
      </c>
    </row>
    <row r="1013" spans="1:10" ht="15.75" hidden="1" customHeight="1">
      <c r="A1013" s="19">
        <v>1010</v>
      </c>
      <c r="B1013" s="20" t="s">
        <v>1290</v>
      </c>
      <c r="C1013" s="20" t="s">
        <v>1291</v>
      </c>
      <c r="D1013" s="20" t="s">
        <v>1292</v>
      </c>
      <c r="E1013" s="21">
        <v>17</v>
      </c>
      <c r="F1013" s="21"/>
      <c r="G1013" s="21"/>
      <c r="H1013" s="21"/>
      <c r="I1013" s="22">
        <f t="shared" si="15"/>
        <v>17</v>
      </c>
      <c r="J1013" t="e">
        <f>VLOOKUP(B1013,'[1]KT 광점퍼코드(수익률)'!$A$4:$P$243,16,0)</f>
        <v>#N/A</v>
      </c>
    </row>
    <row r="1014" spans="1:10" ht="15.75" hidden="1" customHeight="1">
      <c r="A1014" s="23">
        <v>1011</v>
      </c>
      <c r="B1014" s="24" t="s">
        <v>1293</v>
      </c>
      <c r="C1014" s="24" t="s">
        <v>1294</v>
      </c>
      <c r="D1014" s="24" t="s">
        <v>1292</v>
      </c>
      <c r="E1014" s="25">
        <v>6</v>
      </c>
      <c r="F1014" s="25"/>
      <c r="G1014" s="25"/>
      <c r="H1014" s="25"/>
      <c r="I1014" s="22">
        <f t="shared" si="15"/>
        <v>6</v>
      </c>
      <c r="J1014" t="e">
        <f>VLOOKUP(B1014,'[1]KT 광점퍼코드(수익률)'!$A$4:$P$243,16,0)</f>
        <v>#N/A</v>
      </c>
    </row>
    <row r="1015" spans="1:10" ht="15.75" hidden="1" customHeight="1">
      <c r="A1015" s="19">
        <v>1012</v>
      </c>
      <c r="B1015" s="20" t="s">
        <v>1295</v>
      </c>
      <c r="C1015" s="20" t="s">
        <v>1296</v>
      </c>
      <c r="D1015" s="20" t="s">
        <v>1292</v>
      </c>
      <c r="E1015" s="21">
        <v>11</v>
      </c>
      <c r="F1015" s="21"/>
      <c r="G1015" s="21"/>
      <c r="H1015" s="21"/>
      <c r="I1015" s="22">
        <f t="shared" si="15"/>
        <v>11</v>
      </c>
      <c r="J1015" t="e">
        <f>VLOOKUP(B1015,'[1]KT 광점퍼코드(수익률)'!$A$4:$P$243,16,0)</f>
        <v>#N/A</v>
      </c>
    </row>
    <row r="1016" spans="1:10" ht="15.75" hidden="1" customHeight="1">
      <c r="A1016" s="23">
        <v>1013</v>
      </c>
      <c r="B1016" s="24" t="s">
        <v>1297</v>
      </c>
      <c r="C1016" s="24" t="s">
        <v>1298</v>
      </c>
      <c r="D1016" s="24" t="s">
        <v>1292</v>
      </c>
      <c r="E1016" s="25">
        <v>10</v>
      </c>
      <c r="F1016" s="25"/>
      <c r="G1016" s="25"/>
      <c r="H1016" s="25"/>
      <c r="I1016" s="22">
        <f t="shared" si="15"/>
        <v>10</v>
      </c>
      <c r="J1016" t="e">
        <f>VLOOKUP(B1016,'[1]KT 광점퍼코드(수익률)'!$A$4:$P$243,16,0)</f>
        <v>#N/A</v>
      </c>
    </row>
    <row r="1017" spans="1:10" ht="15.75" hidden="1" customHeight="1">
      <c r="A1017" s="19">
        <v>1014</v>
      </c>
      <c r="B1017" s="20" t="s">
        <v>1299</v>
      </c>
      <c r="C1017" s="20" t="s">
        <v>1273</v>
      </c>
      <c r="D1017" s="20" t="s">
        <v>1292</v>
      </c>
      <c r="E1017" s="21">
        <v>13</v>
      </c>
      <c r="F1017" s="21"/>
      <c r="G1017" s="21"/>
      <c r="H1017" s="21"/>
      <c r="I1017" s="22">
        <f t="shared" si="15"/>
        <v>13</v>
      </c>
      <c r="J1017" t="e">
        <f>VLOOKUP(B1017,'[1]KT 광점퍼코드(수익률)'!$A$4:$P$243,16,0)</f>
        <v>#N/A</v>
      </c>
    </row>
    <row r="1018" spans="1:10" ht="15.75" hidden="1" customHeight="1">
      <c r="A1018" s="23">
        <v>1015</v>
      </c>
      <c r="B1018" s="24" t="s">
        <v>1300</v>
      </c>
      <c r="C1018" s="24" t="s">
        <v>1301</v>
      </c>
      <c r="D1018" s="24" t="s">
        <v>1302</v>
      </c>
      <c r="E1018" s="25">
        <v>13</v>
      </c>
      <c r="F1018" s="25"/>
      <c r="G1018" s="25"/>
      <c r="H1018" s="25"/>
      <c r="I1018" s="22">
        <f t="shared" si="15"/>
        <v>13</v>
      </c>
      <c r="J1018" t="e">
        <f>VLOOKUP(B1018,'[1]KT 광점퍼코드(수익률)'!$A$4:$P$243,16,0)</f>
        <v>#N/A</v>
      </c>
    </row>
    <row r="1019" spans="1:10" ht="15.75" hidden="1" customHeight="1">
      <c r="A1019" s="19">
        <v>1016</v>
      </c>
      <c r="B1019" s="20" t="s">
        <v>1303</v>
      </c>
      <c r="C1019" s="20" t="s">
        <v>1304</v>
      </c>
      <c r="D1019" s="20" t="s">
        <v>1302</v>
      </c>
      <c r="E1019" s="21">
        <v>6</v>
      </c>
      <c r="F1019" s="21"/>
      <c r="G1019" s="21"/>
      <c r="H1019" s="21"/>
      <c r="I1019" s="22">
        <f t="shared" si="15"/>
        <v>6</v>
      </c>
      <c r="J1019" t="e">
        <f>VLOOKUP(B1019,'[1]KT 광점퍼코드(수익률)'!$A$4:$P$243,16,0)</f>
        <v>#N/A</v>
      </c>
    </row>
    <row r="1020" spans="1:10" ht="15.75" hidden="1" customHeight="1">
      <c r="A1020" s="23">
        <v>1017</v>
      </c>
      <c r="B1020" s="24" t="s">
        <v>1305</v>
      </c>
      <c r="C1020" s="24" t="s">
        <v>1306</v>
      </c>
      <c r="D1020" s="24" t="s">
        <v>1302</v>
      </c>
      <c r="E1020" s="25">
        <v>6</v>
      </c>
      <c r="F1020" s="25"/>
      <c r="G1020" s="25"/>
      <c r="H1020" s="25"/>
      <c r="I1020" s="22">
        <f t="shared" si="15"/>
        <v>6</v>
      </c>
      <c r="J1020" t="e">
        <f>VLOOKUP(B1020,'[1]KT 광점퍼코드(수익률)'!$A$4:$P$243,16,0)</f>
        <v>#N/A</v>
      </c>
    </row>
    <row r="1021" spans="1:10" ht="15.75" hidden="1" customHeight="1">
      <c r="A1021" s="19">
        <v>1018</v>
      </c>
      <c r="B1021" s="20" t="s">
        <v>1307</v>
      </c>
      <c r="C1021" s="20" t="s">
        <v>1308</v>
      </c>
      <c r="D1021" s="20" t="s">
        <v>1302</v>
      </c>
      <c r="E1021" s="21">
        <v>5</v>
      </c>
      <c r="F1021" s="21"/>
      <c r="G1021" s="21"/>
      <c r="H1021" s="21"/>
      <c r="I1021" s="22">
        <f t="shared" si="15"/>
        <v>5</v>
      </c>
      <c r="J1021" t="e">
        <f>VLOOKUP(B1021,'[1]KT 광점퍼코드(수익률)'!$A$4:$P$243,16,0)</f>
        <v>#N/A</v>
      </c>
    </row>
    <row r="1022" spans="1:10" ht="15.75" hidden="1" customHeight="1">
      <c r="A1022" s="23">
        <v>1019</v>
      </c>
      <c r="B1022" s="24" t="s">
        <v>1309</v>
      </c>
      <c r="C1022" s="24" t="s">
        <v>1310</v>
      </c>
      <c r="D1022" s="24" t="s">
        <v>1311</v>
      </c>
      <c r="E1022" s="25">
        <v>20</v>
      </c>
      <c r="F1022" s="25"/>
      <c r="G1022" s="25"/>
      <c r="H1022" s="25"/>
      <c r="I1022" s="22">
        <f t="shared" si="15"/>
        <v>20</v>
      </c>
      <c r="J1022" t="e">
        <f>VLOOKUP(B1022,'[1]KT 광점퍼코드(수익률)'!$A$4:$P$243,16,0)</f>
        <v>#N/A</v>
      </c>
    </row>
    <row r="1023" spans="1:10" ht="15.75" hidden="1" customHeight="1">
      <c r="A1023" s="19">
        <v>1020</v>
      </c>
      <c r="B1023" s="20" t="s">
        <v>1312</v>
      </c>
      <c r="C1023" s="20" t="s">
        <v>1245</v>
      </c>
      <c r="D1023" s="20" t="s">
        <v>1313</v>
      </c>
      <c r="E1023" s="21">
        <v>19</v>
      </c>
      <c r="F1023" s="21"/>
      <c r="G1023" s="21"/>
      <c r="H1023" s="21"/>
      <c r="I1023" s="22">
        <f t="shared" si="15"/>
        <v>19</v>
      </c>
      <c r="J1023" t="e">
        <f>VLOOKUP(B1023,'[1]KT 광점퍼코드(수익률)'!$A$4:$P$243,16,0)</f>
        <v>#N/A</v>
      </c>
    </row>
    <row r="1024" spans="1:10" ht="15.75" hidden="1" customHeight="1">
      <c r="A1024" s="23">
        <v>1021</v>
      </c>
      <c r="B1024" s="24" t="s">
        <v>1314</v>
      </c>
      <c r="C1024" s="24" t="s">
        <v>1301</v>
      </c>
      <c r="D1024" s="24" t="s">
        <v>1313</v>
      </c>
      <c r="E1024" s="25">
        <v>8</v>
      </c>
      <c r="F1024" s="25"/>
      <c r="G1024" s="25"/>
      <c r="H1024" s="25"/>
      <c r="I1024" s="22">
        <f t="shared" si="15"/>
        <v>8</v>
      </c>
      <c r="J1024" t="e">
        <f>VLOOKUP(B1024,'[1]KT 광점퍼코드(수익률)'!$A$4:$P$243,16,0)</f>
        <v>#N/A</v>
      </c>
    </row>
    <row r="1025" spans="1:10" ht="15.75" hidden="1" customHeight="1">
      <c r="A1025" s="19">
        <v>1022</v>
      </c>
      <c r="B1025" s="20" t="s">
        <v>1315</v>
      </c>
      <c r="C1025" s="20" t="s">
        <v>1304</v>
      </c>
      <c r="D1025" s="20" t="s">
        <v>1313</v>
      </c>
      <c r="E1025" s="21">
        <v>21</v>
      </c>
      <c r="F1025" s="21"/>
      <c r="G1025" s="21"/>
      <c r="H1025" s="21"/>
      <c r="I1025" s="22">
        <f t="shared" si="15"/>
        <v>21</v>
      </c>
      <c r="J1025" t="e">
        <f>VLOOKUP(B1025,'[1]KT 광점퍼코드(수익률)'!$A$4:$P$243,16,0)</f>
        <v>#N/A</v>
      </c>
    </row>
    <row r="1026" spans="1:10" ht="15.75" hidden="1" customHeight="1">
      <c r="A1026" s="23">
        <v>1023</v>
      </c>
      <c r="B1026" s="24" t="s">
        <v>1316</v>
      </c>
      <c r="C1026" s="24" t="s">
        <v>950</v>
      </c>
      <c r="D1026" s="24" t="s">
        <v>1313</v>
      </c>
      <c r="E1026" s="25">
        <v>32</v>
      </c>
      <c r="F1026" s="25"/>
      <c r="G1026" s="25"/>
      <c r="H1026" s="25"/>
      <c r="I1026" s="22">
        <f t="shared" si="15"/>
        <v>32</v>
      </c>
      <c r="J1026" t="e">
        <f>VLOOKUP(B1026,'[1]KT 광점퍼코드(수익률)'!$A$4:$P$243,16,0)</f>
        <v>#N/A</v>
      </c>
    </row>
    <row r="1027" spans="1:10" ht="15.75" hidden="1" customHeight="1">
      <c r="A1027" s="19">
        <v>1024</v>
      </c>
      <c r="B1027" s="20" t="s">
        <v>1317</v>
      </c>
      <c r="C1027" s="20" t="s">
        <v>931</v>
      </c>
      <c r="D1027" s="20" t="s">
        <v>1318</v>
      </c>
      <c r="E1027" s="21">
        <v>10</v>
      </c>
      <c r="F1027" s="21"/>
      <c r="G1027" s="21"/>
      <c r="H1027" s="21"/>
      <c r="I1027" s="22">
        <f t="shared" si="15"/>
        <v>10</v>
      </c>
      <c r="J1027" t="e">
        <f>VLOOKUP(B1027,'[1]KT 광점퍼코드(수익률)'!$A$4:$P$243,16,0)</f>
        <v>#N/A</v>
      </c>
    </row>
    <row r="1028" spans="1:10" ht="15.75" hidden="1" customHeight="1">
      <c r="A1028" s="23">
        <v>1025</v>
      </c>
      <c r="B1028" s="24" t="s">
        <v>1319</v>
      </c>
      <c r="C1028" s="24" t="s">
        <v>1291</v>
      </c>
      <c r="D1028" s="24" t="s">
        <v>1318</v>
      </c>
      <c r="E1028" s="25">
        <v>4</v>
      </c>
      <c r="F1028" s="25"/>
      <c r="G1028" s="25"/>
      <c r="H1028" s="25"/>
      <c r="I1028" s="22">
        <f t="shared" ref="I1028:I1091" si="16">SUM(E1028:H1028)</f>
        <v>4</v>
      </c>
      <c r="J1028" t="e">
        <f>VLOOKUP(B1028,'[1]KT 광점퍼코드(수익률)'!$A$4:$P$243,16,0)</f>
        <v>#N/A</v>
      </c>
    </row>
    <row r="1029" spans="1:10" ht="15.75" hidden="1" customHeight="1">
      <c r="A1029" s="19">
        <v>1026</v>
      </c>
      <c r="B1029" s="20" t="s">
        <v>1320</v>
      </c>
      <c r="C1029" s="20" t="s">
        <v>1150</v>
      </c>
      <c r="D1029" s="20" t="s">
        <v>1318</v>
      </c>
      <c r="E1029" s="21">
        <v>5</v>
      </c>
      <c r="F1029" s="21"/>
      <c r="G1029" s="21"/>
      <c r="H1029" s="21"/>
      <c r="I1029" s="22">
        <f t="shared" si="16"/>
        <v>5</v>
      </c>
      <c r="J1029" t="e">
        <f>VLOOKUP(B1029,'[1]KT 광점퍼코드(수익률)'!$A$4:$P$243,16,0)</f>
        <v>#N/A</v>
      </c>
    </row>
    <row r="1030" spans="1:10" ht="15.75" hidden="1" customHeight="1">
      <c r="A1030" s="23">
        <v>1027</v>
      </c>
      <c r="B1030" s="24" t="s">
        <v>1321</v>
      </c>
      <c r="C1030" s="24" t="s">
        <v>1322</v>
      </c>
      <c r="D1030" s="24" t="s">
        <v>1323</v>
      </c>
      <c r="E1030" s="25">
        <v>5</v>
      </c>
      <c r="F1030" s="25"/>
      <c r="G1030" s="25"/>
      <c r="H1030" s="25"/>
      <c r="I1030" s="22">
        <f t="shared" si="16"/>
        <v>5</v>
      </c>
      <c r="J1030" t="e">
        <f>VLOOKUP(B1030,'[1]KT 광점퍼코드(수익률)'!$A$4:$P$243,16,0)</f>
        <v>#N/A</v>
      </c>
    </row>
    <row r="1031" spans="1:10" ht="15.75" hidden="1" customHeight="1">
      <c r="A1031" s="19">
        <v>1028</v>
      </c>
      <c r="B1031" s="20" t="s">
        <v>1324</v>
      </c>
      <c r="C1031" s="20" t="s">
        <v>1325</v>
      </c>
      <c r="D1031" s="20" t="s">
        <v>1323</v>
      </c>
      <c r="E1031" s="21">
        <v>4</v>
      </c>
      <c r="F1031" s="21"/>
      <c r="G1031" s="21"/>
      <c r="H1031" s="21"/>
      <c r="I1031" s="22">
        <f t="shared" si="16"/>
        <v>4</v>
      </c>
      <c r="J1031" t="e">
        <f>VLOOKUP(B1031,'[1]KT 광점퍼코드(수익률)'!$A$4:$P$243,16,0)</f>
        <v>#N/A</v>
      </c>
    </row>
    <row r="1032" spans="1:10" ht="15.75" hidden="1" customHeight="1">
      <c r="A1032" s="23">
        <v>1029</v>
      </c>
      <c r="B1032" s="24" t="s">
        <v>1326</v>
      </c>
      <c r="C1032" s="24" t="s">
        <v>1327</v>
      </c>
      <c r="D1032" s="24" t="s">
        <v>1323</v>
      </c>
      <c r="E1032" s="25">
        <v>8</v>
      </c>
      <c r="F1032" s="25"/>
      <c r="G1032" s="25"/>
      <c r="H1032" s="25"/>
      <c r="I1032" s="22">
        <f t="shared" si="16"/>
        <v>8</v>
      </c>
      <c r="J1032" t="e">
        <f>VLOOKUP(B1032,'[1]KT 광점퍼코드(수익률)'!$A$4:$P$243,16,0)</f>
        <v>#N/A</v>
      </c>
    </row>
    <row r="1033" spans="1:10" ht="15.75" hidden="1" customHeight="1">
      <c r="A1033" s="19">
        <v>1030</v>
      </c>
      <c r="B1033" s="20" t="s">
        <v>1328</v>
      </c>
      <c r="C1033" s="20" t="s">
        <v>1329</v>
      </c>
      <c r="D1033" s="20" t="s">
        <v>1323</v>
      </c>
      <c r="E1033" s="21">
        <v>2</v>
      </c>
      <c r="F1033" s="21"/>
      <c r="G1033" s="21"/>
      <c r="H1033" s="21"/>
      <c r="I1033" s="22">
        <f t="shared" si="16"/>
        <v>2</v>
      </c>
      <c r="J1033" t="e">
        <f>VLOOKUP(B1033,'[1]KT 광점퍼코드(수익률)'!$A$4:$P$243,16,0)</f>
        <v>#N/A</v>
      </c>
    </row>
    <row r="1034" spans="1:10" ht="15.75" hidden="1" customHeight="1">
      <c r="A1034" s="23">
        <v>1031</v>
      </c>
      <c r="B1034" s="24" t="s">
        <v>1330</v>
      </c>
      <c r="C1034" s="24" t="s">
        <v>626</v>
      </c>
      <c r="D1034" s="26" t="s">
        <v>1104</v>
      </c>
      <c r="E1034" s="25">
        <v>100</v>
      </c>
      <c r="F1034" s="25"/>
      <c r="G1034" s="25"/>
      <c r="H1034" s="25"/>
      <c r="I1034" s="22">
        <f t="shared" si="16"/>
        <v>100</v>
      </c>
      <c r="J1034" t="e">
        <f>VLOOKUP(B1034,'[1]KT 광점퍼코드(수익률)'!$A$4:$P$243,16,0)</f>
        <v>#N/A</v>
      </c>
    </row>
    <row r="1035" spans="1:10" ht="15.75" hidden="1" customHeight="1">
      <c r="A1035" s="19">
        <v>1032</v>
      </c>
      <c r="B1035" s="20" t="s">
        <v>1331</v>
      </c>
      <c r="C1035" s="20" t="s">
        <v>1332</v>
      </c>
      <c r="D1035" s="20" t="s">
        <v>1333</v>
      </c>
      <c r="E1035" s="21">
        <v>7</v>
      </c>
      <c r="F1035" s="21"/>
      <c r="G1035" s="21"/>
      <c r="H1035" s="21"/>
      <c r="I1035" s="22">
        <f t="shared" si="16"/>
        <v>7</v>
      </c>
      <c r="J1035" t="e">
        <f>VLOOKUP(B1035,'[1]KT 광점퍼코드(수익률)'!$A$4:$P$243,16,0)</f>
        <v>#N/A</v>
      </c>
    </row>
    <row r="1036" spans="1:10" ht="15.75" hidden="1" customHeight="1">
      <c r="A1036" s="23">
        <v>1033</v>
      </c>
      <c r="B1036" s="24" t="s">
        <v>1334</v>
      </c>
      <c r="C1036" s="24" t="s">
        <v>1335</v>
      </c>
      <c r="D1036" s="24"/>
      <c r="E1036" s="25">
        <v>40</v>
      </c>
      <c r="F1036" s="25">
        <v>10</v>
      </c>
      <c r="G1036" s="25">
        <v>64</v>
      </c>
      <c r="H1036" s="25"/>
      <c r="I1036" s="22">
        <f t="shared" si="16"/>
        <v>114</v>
      </c>
      <c r="J1036" t="e">
        <f>VLOOKUP(B1036,'[1]KT 광점퍼코드(수익률)'!$A$4:$P$243,16,0)</f>
        <v>#N/A</v>
      </c>
    </row>
    <row r="1037" spans="1:10" ht="15.75" hidden="1" customHeight="1">
      <c r="A1037" s="19">
        <v>1034</v>
      </c>
      <c r="B1037" s="20" t="s">
        <v>1336</v>
      </c>
      <c r="C1037" s="20" t="s">
        <v>1337</v>
      </c>
      <c r="D1037" s="20"/>
      <c r="E1037" s="21">
        <v>6</v>
      </c>
      <c r="F1037" s="21"/>
      <c r="G1037" s="21"/>
      <c r="H1037" s="21"/>
      <c r="I1037" s="22">
        <f t="shared" si="16"/>
        <v>6</v>
      </c>
      <c r="J1037" t="e">
        <f>VLOOKUP(B1037,'[1]KT 광점퍼코드(수익률)'!$A$4:$P$243,16,0)</f>
        <v>#N/A</v>
      </c>
    </row>
    <row r="1038" spans="1:10" ht="15.75" hidden="1" customHeight="1">
      <c r="A1038" s="23">
        <v>1035</v>
      </c>
      <c r="B1038" s="24" t="s">
        <v>1338</v>
      </c>
      <c r="C1038" s="24" t="s">
        <v>811</v>
      </c>
      <c r="D1038" s="24" t="s">
        <v>1339</v>
      </c>
      <c r="E1038" s="25">
        <v>80</v>
      </c>
      <c r="F1038" s="25"/>
      <c r="G1038" s="25"/>
      <c r="H1038" s="25"/>
      <c r="I1038" s="22">
        <f t="shared" si="16"/>
        <v>80</v>
      </c>
      <c r="J1038" t="e">
        <f>VLOOKUP(B1038,'[1]KT 광점퍼코드(수익률)'!$A$4:$P$243,16,0)</f>
        <v>#N/A</v>
      </c>
    </row>
    <row r="1039" spans="1:10" ht="15.75" hidden="1" customHeight="1">
      <c r="A1039" s="19">
        <v>1036</v>
      </c>
      <c r="B1039" s="20" t="s">
        <v>1340</v>
      </c>
      <c r="C1039" s="20" t="s">
        <v>913</v>
      </c>
      <c r="D1039" s="20" t="s">
        <v>1341</v>
      </c>
      <c r="E1039" s="21">
        <v>50</v>
      </c>
      <c r="F1039" s="21"/>
      <c r="G1039" s="21"/>
      <c r="H1039" s="21"/>
      <c r="I1039" s="22">
        <f t="shared" si="16"/>
        <v>50</v>
      </c>
      <c r="J1039" t="e">
        <f>VLOOKUP(B1039,'[1]KT 광점퍼코드(수익률)'!$A$4:$P$243,16,0)</f>
        <v>#N/A</v>
      </c>
    </row>
    <row r="1040" spans="1:10" ht="15.75" hidden="1" customHeight="1">
      <c r="A1040" s="23">
        <v>1037</v>
      </c>
      <c r="B1040" s="24" t="s">
        <v>1342</v>
      </c>
      <c r="C1040" s="24" t="s">
        <v>1343</v>
      </c>
      <c r="D1040" s="24" t="s">
        <v>1344</v>
      </c>
      <c r="E1040" s="25">
        <v>10</v>
      </c>
      <c r="F1040" s="25">
        <v>10</v>
      </c>
      <c r="G1040" s="25"/>
      <c r="H1040" s="25"/>
      <c r="I1040" s="22">
        <f t="shared" si="16"/>
        <v>20</v>
      </c>
      <c r="J1040" t="e">
        <f>VLOOKUP(B1040,'[1]KT 광점퍼코드(수익률)'!$A$4:$P$243,16,0)</f>
        <v>#N/A</v>
      </c>
    </row>
    <row r="1041" spans="1:10" ht="15.75" hidden="1" customHeight="1">
      <c r="A1041" s="19">
        <v>1038</v>
      </c>
      <c r="B1041" s="20" t="s">
        <v>1345</v>
      </c>
      <c r="C1041" s="20" t="s">
        <v>351</v>
      </c>
      <c r="D1041" s="20" t="s">
        <v>1346</v>
      </c>
      <c r="E1041" s="21">
        <v>8</v>
      </c>
      <c r="F1041" s="21"/>
      <c r="G1041" s="21"/>
      <c r="H1041" s="21"/>
      <c r="I1041" s="22">
        <f t="shared" si="16"/>
        <v>8</v>
      </c>
      <c r="J1041" t="e">
        <f>VLOOKUP(B1041,'[1]KT 광점퍼코드(수익률)'!$A$4:$P$243,16,0)</f>
        <v>#N/A</v>
      </c>
    </row>
    <row r="1042" spans="1:10" ht="15.75" hidden="1" customHeight="1">
      <c r="A1042" s="23">
        <v>1039</v>
      </c>
      <c r="B1042" s="24" t="s">
        <v>1347</v>
      </c>
      <c r="C1042" s="24" t="s">
        <v>357</v>
      </c>
      <c r="D1042" s="24" t="s">
        <v>1348</v>
      </c>
      <c r="E1042" s="25">
        <v>8</v>
      </c>
      <c r="F1042" s="25"/>
      <c r="G1042" s="25"/>
      <c r="H1042" s="25"/>
      <c r="I1042" s="22">
        <f t="shared" si="16"/>
        <v>8</v>
      </c>
      <c r="J1042" t="e">
        <f>VLOOKUP(B1042,'[1]KT 광점퍼코드(수익률)'!$A$4:$P$243,16,0)</f>
        <v>#N/A</v>
      </c>
    </row>
    <row r="1043" spans="1:10" ht="15.75" hidden="1" customHeight="1">
      <c r="A1043" s="19">
        <v>1040</v>
      </c>
      <c r="B1043" s="20" t="s">
        <v>2693</v>
      </c>
      <c r="C1043" s="20" t="s">
        <v>2694</v>
      </c>
      <c r="D1043" s="20"/>
      <c r="E1043" s="21"/>
      <c r="F1043" s="21">
        <v>74</v>
      </c>
      <c r="G1043" s="21"/>
      <c r="H1043" s="21"/>
      <c r="I1043" s="22">
        <f t="shared" si="16"/>
        <v>74</v>
      </c>
      <c r="J1043" t="e">
        <f>VLOOKUP(B1043,'[1]KT 광점퍼코드(수익률)'!$A$4:$P$243,16,0)</f>
        <v>#N/A</v>
      </c>
    </row>
    <row r="1044" spans="1:10" ht="15.75" hidden="1" customHeight="1">
      <c r="A1044" s="23">
        <v>1041</v>
      </c>
      <c r="B1044" s="24" t="s">
        <v>2695</v>
      </c>
      <c r="C1044" s="24" t="s">
        <v>2696</v>
      </c>
      <c r="D1044" s="24"/>
      <c r="E1044" s="25"/>
      <c r="F1044" s="25">
        <v>37</v>
      </c>
      <c r="G1044" s="25"/>
      <c r="H1044" s="25"/>
      <c r="I1044" s="22">
        <f t="shared" si="16"/>
        <v>37</v>
      </c>
      <c r="J1044" t="e">
        <f>VLOOKUP(B1044,'[1]KT 광점퍼코드(수익률)'!$A$4:$P$243,16,0)</f>
        <v>#N/A</v>
      </c>
    </row>
    <row r="1045" spans="1:10" ht="15.75" hidden="1" customHeight="1">
      <c r="A1045" s="19">
        <v>1042</v>
      </c>
      <c r="B1045" s="20" t="s">
        <v>2697</v>
      </c>
      <c r="C1045" s="20" t="s">
        <v>2698</v>
      </c>
      <c r="D1045" s="20"/>
      <c r="E1045" s="21"/>
      <c r="F1045" s="21">
        <v>12</v>
      </c>
      <c r="G1045" s="21"/>
      <c r="H1045" s="21"/>
      <c r="I1045" s="22">
        <f t="shared" si="16"/>
        <v>12</v>
      </c>
      <c r="J1045" t="e">
        <f>VLOOKUP(B1045,'[1]KT 광점퍼코드(수익률)'!$A$4:$P$243,16,0)</f>
        <v>#N/A</v>
      </c>
    </row>
    <row r="1046" spans="1:10" ht="15.75" hidden="1" customHeight="1">
      <c r="A1046" s="23">
        <v>1043</v>
      </c>
      <c r="B1046" s="24" t="s">
        <v>2699</v>
      </c>
      <c r="C1046" s="24" t="s">
        <v>2700</v>
      </c>
      <c r="D1046" s="24"/>
      <c r="E1046" s="25"/>
      <c r="F1046" s="25">
        <v>67</v>
      </c>
      <c r="G1046" s="25"/>
      <c r="H1046" s="25"/>
      <c r="I1046" s="22">
        <f t="shared" si="16"/>
        <v>67</v>
      </c>
      <c r="J1046" t="e">
        <f>VLOOKUP(B1046,'[1]KT 광점퍼코드(수익률)'!$A$4:$P$243,16,0)</f>
        <v>#N/A</v>
      </c>
    </row>
    <row r="1047" spans="1:10" ht="15.75" hidden="1" customHeight="1">
      <c r="A1047" s="19">
        <v>1044</v>
      </c>
      <c r="B1047" s="20" t="s">
        <v>2701</v>
      </c>
      <c r="C1047" s="20" t="s">
        <v>2702</v>
      </c>
      <c r="D1047" s="20"/>
      <c r="E1047" s="21"/>
      <c r="F1047" s="21">
        <v>5</v>
      </c>
      <c r="G1047" s="21"/>
      <c r="H1047" s="21"/>
      <c r="I1047" s="22">
        <f t="shared" si="16"/>
        <v>5</v>
      </c>
      <c r="J1047" t="e">
        <f>VLOOKUP(B1047,'[1]KT 광점퍼코드(수익률)'!$A$4:$P$243,16,0)</f>
        <v>#N/A</v>
      </c>
    </row>
    <row r="1048" spans="1:10" ht="15.75" hidden="1" customHeight="1">
      <c r="A1048" s="23">
        <v>1045</v>
      </c>
      <c r="B1048" s="24" t="s">
        <v>2703</v>
      </c>
      <c r="C1048" s="24" t="s">
        <v>2704</v>
      </c>
      <c r="D1048" s="24"/>
      <c r="E1048" s="25"/>
      <c r="F1048" s="25">
        <v>1</v>
      </c>
      <c r="G1048" s="25"/>
      <c r="H1048" s="25"/>
      <c r="I1048" s="22">
        <f t="shared" si="16"/>
        <v>1</v>
      </c>
      <c r="J1048" t="e">
        <f>VLOOKUP(B1048,'[1]KT 광점퍼코드(수익률)'!$A$4:$P$243,16,0)</f>
        <v>#N/A</v>
      </c>
    </row>
    <row r="1049" spans="1:10" ht="15.75" hidden="1" customHeight="1">
      <c r="A1049" s="19">
        <v>1046</v>
      </c>
      <c r="B1049" s="20" t="s">
        <v>2705</v>
      </c>
      <c r="C1049" s="20" t="s">
        <v>2706</v>
      </c>
      <c r="D1049" s="20"/>
      <c r="E1049" s="21"/>
      <c r="F1049" s="21">
        <v>188</v>
      </c>
      <c r="G1049" s="21"/>
      <c r="H1049" s="21"/>
      <c r="I1049" s="22">
        <f t="shared" si="16"/>
        <v>188</v>
      </c>
      <c r="J1049" t="e">
        <f>VLOOKUP(B1049,'[1]KT 광점퍼코드(수익률)'!$A$4:$P$243,16,0)</f>
        <v>#N/A</v>
      </c>
    </row>
    <row r="1050" spans="1:10" ht="15.75" hidden="1" customHeight="1">
      <c r="A1050" s="23">
        <v>1047</v>
      </c>
      <c r="B1050" s="24" t="s">
        <v>2707</v>
      </c>
      <c r="C1050" s="24" t="s">
        <v>703</v>
      </c>
      <c r="D1050" s="26" t="s">
        <v>1154</v>
      </c>
      <c r="E1050" s="25"/>
      <c r="F1050" s="25">
        <v>11</v>
      </c>
      <c r="G1050" s="25"/>
      <c r="H1050" s="25"/>
      <c r="I1050" s="22">
        <f t="shared" si="16"/>
        <v>11</v>
      </c>
      <c r="J1050" t="e">
        <f>VLOOKUP(B1050,'[1]KT 광점퍼코드(수익률)'!$A$4:$P$243,16,0)</f>
        <v>#N/A</v>
      </c>
    </row>
    <row r="1051" spans="1:10" ht="15.75" hidden="1" customHeight="1">
      <c r="A1051" s="19">
        <v>1048</v>
      </c>
      <c r="B1051" s="20" t="s">
        <v>2708</v>
      </c>
      <c r="C1051" s="20" t="s">
        <v>2709</v>
      </c>
      <c r="D1051" s="27" t="s">
        <v>1154</v>
      </c>
      <c r="E1051" s="21"/>
      <c r="F1051" s="21">
        <v>20</v>
      </c>
      <c r="G1051" s="21"/>
      <c r="H1051" s="21"/>
      <c r="I1051" s="22">
        <f t="shared" si="16"/>
        <v>20</v>
      </c>
      <c r="J1051" t="e">
        <f>VLOOKUP(B1051,'[1]KT 광점퍼코드(수익률)'!$A$4:$P$243,16,0)</f>
        <v>#N/A</v>
      </c>
    </row>
    <row r="1052" spans="1:10" ht="15.75" hidden="1" customHeight="1">
      <c r="A1052" s="23">
        <v>1049</v>
      </c>
      <c r="B1052" s="24" t="s">
        <v>2710</v>
      </c>
      <c r="C1052" s="24" t="s">
        <v>2711</v>
      </c>
      <c r="D1052" s="24"/>
      <c r="E1052" s="25"/>
      <c r="F1052" s="25">
        <v>55</v>
      </c>
      <c r="G1052" s="25">
        <v>5</v>
      </c>
      <c r="H1052" s="25">
        <v>10</v>
      </c>
      <c r="I1052" s="22">
        <f t="shared" si="16"/>
        <v>70</v>
      </c>
      <c r="J1052" t="e">
        <f>VLOOKUP(B1052,'[1]KT 광점퍼코드(수익률)'!$A$4:$P$243,16,0)</f>
        <v>#N/A</v>
      </c>
    </row>
    <row r="1053" spans="1:10" ht="15.75" hidden="1" customHeight="1">
      <c r="A1053" s="19">
        <v>1050</v>
      </c>
      <c r="B1053" s="20" t="s">
        <v>2712</v>
      </c>
      <c r="C1053" s="20" t="s">
        <v>2713</v>
      </c>
      <c r="D1053" s="20"/>
      <c r="E1053" s="21"/>
      <c r="F1053" s="21">
        <v>6</v>
      </c>
      <c r="G1053" s="21"/>
      <c r="H1053" s="21"/>
      <c r="I1053" s="22">
        <f t="shared" si="16"/>
        <v>6</v>
      </c>
      <c r="J1053" t="e">
        <f>VLOOKUP(B1053,'[1]KT 광점퍼코드(수익률)'!$A$4:$P$243,16,0)</f>
        <v>#N/A</v>
      </c>
    </row>
    <row r="1054" spans="1:10" ht="15.75" hidden="1" customHeight="1">
      <c r="A1054" s="23">
        <v>1051</v>
      </c>
      <c r="B1054" s="24" t="s">
        <v>2714</v>
      </c>
      <c r="C1054" s="24" t="s">
        <v>2431</v>
      </c>
      <c r="D1054" s="26" t="s">
        <v>431</v>
      </c>
      <c r="E1054" s="25"/>
      <c r="F1054" s="25">
        <v>3</v>
      </c>
      <c r="G1054" s="25"/>
      <c r="H1054" s="25"/>
      <c r="I1054" s="22">
        <f t="shared" si="16"/>
        <v>3</v>
      </c>
      <c r="J1054" t="e">
        <f>VLOOKUP(B1054,'[1]KT 광점퍼코드(수익률)'!$A$4:$P$243,16,0)</f>
        <v>#N/A</v>
      </c>
    </row>
    <row r="1055" spans="1:10" ht="15.75" hidden="1" customHeight="1">
      <c r="A1055" s="19">
        <v>1052</v>
      </c>
      <c r="B1055" s="20" t="s">
        <v>2715</v>
      </c>
      <c r="C1055" s="20" t="s">
        <v>934</v>
      </c>
      <c r="D1055" s="27" t="s">
        <v>2716</v>
      </c>
      <c r="E1055" s="21"/>
      <c r="F1055" s="21">
        <v>100</v>
      </c>
      <c r="G1055" s="21"/>
      <c r="H1055" s="21"/>
      <c r="I1055" s="22">
        <f t="shared" si="16"/>
        <v>100</v>
      </c>
      <c r="J1055" t="e">
        <f>VLOOKUP(B1055,'[1]KT 광점퍼코드(수익률)'!$A$4:$P$243,16,0)</f>
        <v>#N/A</v>
      </c>
    </row>
    <row r="1056" spans="1:10" ht="15.75" hidden="1" customHeight="1">
      <c r="A1056" s="23">
        <v>1053</v>
      </c>
      <c r="B1056" s="24" t="s">
        <v>2717</v>
      </c>
      <c r="C1056" s="24" t="s">
        <v>2565</v>
      </c>
      <c r="D1056" s="26" t="s">
        <v>2716</v>
      </c>
      <c r="E1056" s="25"/>
      <c r="F1056" s="25">
        <v>105</v>
      </c>
      <c r="G1056" s="25"/>
      <c r="H1056" s="25"/>
      <c r="I1056" s="22">
        <f t="shared" si="16"/>
        <v>105</v>
      </c>
      <c r="J1056" t="e">
        <f>VLOOKUP(B1056,'[1]KT 광점퍼코드(수익률)'!$A$4:$P$243,16,0)</f>
        <v>#N/A</v>
      </c>
    </row>
    <row r="1057" spans="1:10" ht="15.75" hidden="1" customHeight="1">
      <c r="A1057" s="19">
        <v>1054</v>
      </c>
      <c r="B1057" s="20" t="s">
        <v>2718</v>
      </c>
      <c r="C1057" s="20" t="s">
        <v>939</v>
      </c>
      <c r="D1057" s="27" t="s">
        <v>2716</v>
      </c>
      <c r="E1057" s="21"/>
      <c r="F1057" s="21">
        <v>100</v>
      </c>
      <c r="G1057" s="21"/>
      <c r="H1057" s="21"/>
      <c r="I1057" s="22">
        <f t="shared" si="16"/>
        <v>100</v>
      </c>
      <c r="J1057" t="e">
        <f>VLOOKUP(B1057,'[1]KT 광점퍼코드(수익률)'!$A$4:$P$243,16,0)</f>
        <v>#N/A</v>
      </c>
    </row>
    <row r="1058" spans="1:10" ht="15.75" hidden="1" customHeight="1">
      <c r="A1058" s="23">
        <v>1055</v>
      </c>
      <c r="B1058" s="24" t="s">
        <v>2719</v>
      </c>
      <c r="C1058" s="24" t="s">
        <v>934</v>
      </c>
      <c r="D1058" s="26" t="s">
        <v>2720</v>
      </c>
      <c r="E1058" s="25"/>
      <c r="F1058" s="25">
        <v>100</v>
      </c>
      <c r="G1058" s="25"/>
      <c r="H1058" s="25"/>
      <c r="I1058" s="22">
        <f t="shared" si="16"/>
        <v>100</v>
      </c>
      <c r="J1058" t="e">
        <f>VLOOKUP(B1058,'[1]KT 광점퍼코드(수익률)'!$A$4:$P$243,16,0)</f>
        <v>#N/A</v>
      </c>
    </row>
    <row r="1059" spans="1:10" ht="15.75" hidden="1" customHeight="1">
      <c r="A1059" s="19">
        <v>1056</v>
      </c>
      <c r="B1059" s="20" t="s">
        <v>2721</v>
      </c>
      <c r="C1059" s="20" t="s">
        <v>2565</v>
      </c>
      <c r="D1059" s="27" t="s">
        <v>2720</v>
      </c>
      <c r="E1059" s="21"/>
      <c r="F1059" s="21">
        <v>105</v>
      </c>
      <c r="G1059" s="21"/>
      <c r="H1059" s="21"/>
      <c r="I1059" s="22">
        <f t="shared" si="16"/>
        <v>105</v>
      </c>
      <c r="J1059" t="e">
        <f>VLOOKUP(B1059,'[1]KT 광점퍼코드(수익률)'!$A$4:$P$243,16,0)</f>
        <v>#N/A</v>
      </c>
    </row>
    <row r="1060" spans="1:10" ht="15.75" hidden="1" customHeight="1">
      <c r="A1060" s="23">
        <v>1057</v>
      </c>
      <c r="B1060" s="24" t="s">
        <v>2722</v>
      </c>
      <c r="C1060" s="24" t="s">
        <v>939</v>
      </c>
      <c r="D1060" s="26" t="s">
        <v>2720</v>
      </c>
      <c r="E1060" s="25"/>
      <c r="F1060" s="25">
        <v>100</v>
      </c>
      <c r="G1060" s="25"/>
      <c r="H1060" s="25"/>
      <c r="I1060" s="22">
        <f t="shared" si="16"/>
        <v>100</v>
      </c>
      <c r="J1060" t="e">
        <f>VLOOKUP(B1060,'[1]KT 광점퍼코드(수익률)'!$A$4:$P$243,16,0)</f>
        <v>#N/A</v>
      </c>
    </row>
    <row r="1061" spans="1:10" ht="15.75" hidden="1" customHeight="1">
      <c r="A1061" s="19">
        <v>1058</v>
      </c>
      <c r="B1061" s="20" t="s">
        <v>2723</v>
      </c>
      <c r="C1061" s="20" t="s">
        <v>934</v>
      </c>
      <c r="D1061" s="27" t="s">
        <v>2724</v>
      </c>
      <c r="E1061" s="21"/>
      <c r="F1061" s="21">
        <v>100</v>
      </c>
      <c r="G1061" s="21"/>
      <c r="H1061" s="21"/>
      <c r="I1061" s="22">
        <f t="shared" si="16"/>
        <v>100</v>
      </c>
      <c r="J1061" t="e">
        <f>VLOOKUP(B1061,'[1]KT 광점퍼코드(수익률)'!$A$4:$P$243,16,0)</f>
        <v>#N/A</v>
      </c>
    </row>
    <row r="1062" spans="1:10" ht="15.75" hidden="1" customHeight="1">
      <c r="A1062" s="23">
        <v>1059</v>
      </c>
      <c r="B1062" s="24" t="s">
        <v>2725</v>
      </c>
      <c r="C1062" s="24" t="s">
        <v>2565</v>
      </c>
      <c r="D1062" s="26" t="s">
        <v>2724</v>
      </c>
      <c r="E1062" s="25"/>
      <c r="F1062" s="25">
        <v>105</v>
      </c>
      <c r="G1062" s="25"/>
      <c r="H1062" s="25"/>
      <c r="I1062" s="22">
        <f t="shared" si="16"/>
        <v>105</v>
      </c>
      <c r="J1062" t="e">
        <f>VLOOKUP(B1062,'[1]KT 광점퍼코드(수익률)'!$A$4:$P$243,16,0)</f>
        <v>#N/A</v>
      </c>
    </row>
    <row r="1063" spans="1:10" ht="15.75" hidden="1" customHeight="1">
      <c r="A1063" s="19">
        <v>1060</v>
      </c>
      <c r="B1063" s="20" t="s">
        <v>2726</v>
      </c>
      <c r="C1063" s="20" t="s">
        <v>939</v>
      </c>
      <c r="D1063" s="27" t="s">
        <v>2724</v>
      </c>
      <c r="E1063" s="21"/>
      <c r="F1063" s="21">
        <v>100</v>
      </c>
      <c r="G1063" s="21"/>
      <c r="H1063" s="21"/>
      <c r="I1063" s="22">
        <f t="shared" si="16"/>
        <v>100</v>
      </c>
      <c r="J1063" t="e">
        <f>VLOOKUP(B1063,'[1]KT 광점퍼코드(수익률)'!$A$4:$P$243,16,0)</f>
        <v>#N/A</v>
      </c>
    </row>
    <row r="1064" spans="1:10" ht="15.75" hidden="1" customHeight="1">
      <c r="A1064" s="23">
        <v>1061</v>
      </c>
      <c r="B1064" s="24" t="s">
        <v>2727</v>
      </c>
      <c r="C1064" s="24" t="s">
        <v>934</v>
      </c>
      <c r="D1064" s="26" t="s">
        <v>2728</v>
      </c>
      <c r="E1064" s="25"/>
      <c r="F1064" s="25">
        <v>100</v>
      </c>
      <c r="G1064" s="25"/>
      <c r="H1064" s="25"/>
      <c r="I1064" s="22">
        <f t="shared" si="16"/>
        <v>100</v>
      </c>
      <c r="J1064" t="e">
        <f>VLOOKUP(B1064,'[1]KT 광점퍼코드(수익률)'!$A$4:$P$243,16,0)</f>
        <v>#N/A</v>
      </c>
    </row>
    <row r="1065" spans="1:10" ht="15.75" hidden="1" customHeight="1">
      <c r="A1065" s="19">
        <v>1062</v>
      </c>
      <c r="B1065" s="20" t="s">
        <v>2729</v>
      </c>
      <c r="C1065" s="20" t="s">
        <v>2565</v>
      </c>
      <c r="D1065" s="27" t="s">
        <v>2728</v>
      </c>
      <c r="E1065" s="21"/>
      <c r="F1065" s="21">
        <v>105</v>
      </c>
      <c r="G1065" s="21"/>
      <c r="H1065" s="21"/>
      <c r="I1065" s="22">
        <f t="shared" si="16"/>
        <v>105</v>
      </c>
      <c r="J1065" t="e">
        <f>VLOOKUP(B1065,'[1]KT 광점퍼코드(수익률)'!$A$4:$P$243,16,0)</f>
        <v>#N/A</v>
      </c>
    </row>
    <row r="1066" spans="1:10" ht="15.75" hidden="1" customHeight="1">
      <c r="A1066" s="23">
        <v>1063</v>
      </c>
      <c r="B1066" s="24" t="s">
        <v>2730</v>
      </c>
      <c r="C1066" s="24" t="s">
        <v>939</v>
      </c>
      <c r="D1066" s="26" t="s">
        <v>2728</v>
      </c>
      <c r="E1066" s="25"/>
      <c r="F1066" s="25">
        <v>100</v>
      </c>
      <c r="G1066" s="25"/>
      <c r="H1066" s="25"/>
      <c r="I1066" s="22">
        <f t="shared" si="16"/>
        <v>100</v>
      </c>
      <c r="J1066" t="e">
        <f>VLOOKUP(B1066,'[1]KT 광점퍼코드(수익률)'!$A$4:$P$243,16,0)</f>
        <v>#N/A</v>
      </c>
    </row>
    <row r="1067" spans="1:10" ht="15.75" hidden="1" customHeight="1">
      <c r="A1067" s="19">
        <v>1064</v>
      </c>
      <c r="B1067" s="20" t="s">
        <v>2731</v>
      </c>
      <c r="C1067" s="20" t="s">
        <v>2732</v>
      </c>
      <c r="D1067" s="20"/>
      <c r="E1067" s="21"/>
      <c r="F1067" s="21">
        <v>50</v>
      </c>
      <c r="G1067" s="21">
        <v>5</v>
      </c>
      <c r="H1067" s="21">
        <v>10</v>
      </c>
      <c r="I1067" s="22">
        <f t="shared" si="16"/>
        <v>65</v>
      </c>
      <c r="J1067" t="e">
        <f>VLOOKUP(B1067,'[1]KT 광점퍼코드(수익률)'!$A$4:$P$243,16,0)</f>
        <v>#N/A</v>
      </c>
    </row>
    <row r="1068" spans="1:10" ht="15.75" hidden="1" customHeight="1">
      <c r="A1068" s="23">
        <v>1065</v>
      </c>
      <c r="B1068" s="24" t="s">
        <v>2733</v>
      </c>
      <c r="C1068" s="24" t="s">
        <v>2734</v>
      </c>
      <c r="D1068" s="26" t="s">
        <v>1264</v>
      </c>
      <c r="E1068" s="25"/>
      <c r="F1068" s="25">
        <v>5</v>
      </c>
      <c r="G1068" s="25"/>
      <c r="H1068" s="25"/>
      <c r="I1068" s="22">
        <f t="shared" si="16"/>
        <v>5</v>
      </c>
      <c r="J1068" t="e">
        <f>VLOOKUP(B1068,'[1]KT 광점퍼코드(수익률)'!$A$4:$P$243,16,0)</f>
        <v>#N/A</v>
      </c>
    </row>
    <row r="1069" spans="1:10" ht="15.75" hidden="1" customHeight="1">
      <c r="A1069" s="19">
        <v>1066</v>
      </c>
      <c r="B1069" s="20" t="s">
        <v>2735</v>
      </c>
      <c r="C1069" s="20" t="s">
        <v>1291</v>
      </c>
      <c r="D1069" s="27" t="s">
        <v>2688</v>
      </c>
      <c r="E1069" s="21"/>
      <c r="F1069" s="21">
        <v>5</v>
      </c>
      <c r="G1069" s="21"/>
      <c r="H1069" s="21"/>
      <c r="I1069" s="22">
        <f t="shared" si="16"/>
        <v>5</v>
      </c>
      <c r="J1069" t="e">
        <f>VLOOKUP(B1069,'[1]KT 광점퍼코드(수익률)'!$A$4:$P$243,16,0)</f>
        <v>#N/A</v>
      </c>
    </row>
    <row r="1070" spans="1:10" ht="15.75" hidden="1" customHeight="1">
      <c r="A1070" s="23">
        <v>1067</v>
      </c>
      <c r="B1070" s="24" t="s">
        <v>2736</v>
      </c>
      <c r="C1070" s="24" t="s">
        <v>1150</v>
      </c>
      <c r="D1070" s="26" t="s">
        <v>2688</v>
      </c>
      <c r="E1070" s="25"/>
      <c r="F1070" s="25">
        <v>5</v>
      </c>
      <c r="G1070" s="25"/>
      <c r="H1070" s="25"/>
      <c r="I1070" s="22">
        <f t="shared" si="16"/>
        <v>5</v>
      </c>
      <c r="J1070" t="e">
        <f>VLOOKUP(B1070,'[1]KT 광점퍼코드(수익률)'!$A$4:$P$243,16,0)</f>
        <v>#N/A</v>
      </c>
    </row>
    <row r="1071" spans="1:10" ht="15.75" hidden="1" customHeight="1">
      <c r="A1071" s="19">
        <v>1068</v>
      </c>
      <c r="B1071" s="20" t="s">
        <v>2737</v>
      </c>
      <c r="C1071" s="20" t="s">
        <v>1033</v>
      </c>
      <c r="D1071" s="27" t="s">
        <v>2688</v>
      </c>
      <c r="E1071" s="21"/>
      <c r="F1071" s="21">
        <v>5</v>
      </c>
      <c r="G1071" s="21"/>
      <c r="H1071" s="21"/>
      <c r="I1071" s="22">
        <f t="shared" si="16"/>
        <v>5</v>
      </c>
      <c r="J1071" t="e">
        <f>VLOOKUP(B1071,'[1]KT 광점퍼코드(수익률)'!$A$4:$P$243,16,0)</f>
        <v>#N/A</v>
      </c>
    </row>
    <row r="1072" spans="1:10" ht="15.75" hidden="1" customHeight="1">
      <c r="A1072" s="23">
        <v>1069</v>
      </c>
      <c r="B1072" s="24" t="s">
        <v>2738</v>
      </c>
      <c r="C1072" s="24" t="s">
        <v>1273</v>
      </c>
      <c r="D1072" s="26" t="s">
        <v>2688</v>
      </c>
      <c r="E1072" s="25"/>
      <c r="F1072" s="25">
        <v>5</v>
      </c>
      <c r="G1072" s="25"/>
      <c r="H1072" s="25"/>
      <c r="I1072" s="22">
        <f t="shared" si="16"/>
        <v>5</v>
      </c>
      <c r="J1072" t="e">
        <f>VLOOKUP(B1072,'[1]KT 광점퍼코드(수익률)'!$A$4:$P$243,16,0)</f>
        <v>#N/A</v>
      </c>
    </row>
    <row r="1073" spans="1:10" ht="15.75" hidden="1" customHeight="1">
      <c r="A1073" s="19">
        <v>1070</v>
      </c>
      <c r="B1073" s="20" t="s">
        <v>2739</v>
      </c>
      <c r="C1073" s="20" t="s">
        <v>1282</v>
      </c>
      <c r="D1073" s="27" t="s">
        <v>2688</v>
      </c>
      <c r="E1073" s="21"/>
      <c r="F1073" s="21">
        <v>5</v>
      </c>
      <c r="G1073" s="21"/>
      <c r="H1073" s="21"/>
      <c r="I1073" s="22">
        <f t="shared" si="16"/>
        <v>5</v>
      </c>
      <c r="J1073" t="e">
        <f>VLOOKUP(B1073,'[1]KT 광점퍼코드(수익률)'!$A$4:$P$243,16,0)</f>
        <v>#N/A</v>
      </c>
    </row>
    <row r="1074" spans="1:10" ht="15.75" hidden="1" customHeight="1">
      <c r="A1074" s="23">
        <v>1071</v>
      </c>
      <c r="B1074" s="24" t="s">
        <v>2740</v>
      </c>
      <c r="C1074" s="24" t="s">
        <v>785</v>
      </c>
      <c r="D1074" s="24" t="s">
        <v>2741</v>
      </c>
      <c r="E1074" s="25"/>
      <c r="F1074" s="25">
        <v>12</v>
      </c>
      <c r="G1074" s="25"/>
      <c r="H1074" s="25"/>
      <c r="I1074" s="22">
        <f t="shared" si="16"/>
        <v>12</v>
      </c>
      <c r="J1074" t="e">
        <f>VLOOKUP(B1074,'[1]KT 광점퍼코드(수익률)'!$A$4:$P$243,16,0)</f>
        <v>#N/A</v>
      </c>
    </row>
    <row r="1075" spans="1:10" ht="15.75" hidden="1" customHeight="1">
      <c r="A1075" s="19">
        <v>1072</v>
      </c>
      <c r="B1075" s="20" t="s">
        <v>2742</v>
      </c>
      <c r="C1075" s="20" t="s">
        <v>2743</v>
      </c>
      <c r="D1075" s="20"/>
      <c r="E1075" s="21"/>
      <c r="F1075" s="21">
        <v>5</v>
      </c>
      <c r="G1075" s="21"/>
      <c r="H1075" s="21"/>
      <c r="I1075" s="22">
        <f t="shared" si="16"/>
        <v>5</v>
      </c>
      <c r="J1075" t="e">
        <f>VLOOKUP(B1075,'[1]KT 광점퍼코드(수익률)'!$A$4:$P$243,16,0)</f>
        <v>#N/A</v>
      </c>
    </row>
    <row r="1076" spans="1:10" ht="15.75" hidden="1" customHeight="1">
      <c r="A1076" s="23">
        <v>1073</v>
      </c>
      <c r="B1076" s="24" t="s">
        <v>2744</v>
      </c>
      <c r="C1076" s="24" t="s">
        <v>2745</v>
      </c>
      <c r="D1076" s="24"/>
      <c r="E1076" s="25"/>
      <c r="F1076" s="25">
        <v>50</v>
      </c>
      <c r="G1076" s="25"/>
      <c r="H1076" s="25"/>
      <c r="I1076" s="22">
        <f t="shared" si="16"/>
        <v>50</v>
      </c>
      <c r="J1076" t="e">
        <f>VLOOKUP(B1076,'[1]KT 광점퍼코드(수익률)'!$A$4:$P$243,16,0)</f>
        <v>#N/A</v>
      </c>
    </row>
    <row r="1077" spans="1:10" ht="15.75" hidden="1" customHeight="1">
      <c r="A1077" s="19">
        <v>1074</v>
      </c>
      <c r="B1077" s="20" t="s">
        <v>2746</v>
      </c>
      <c r="C1077" s="20" t="s">
        <v>606</v>
      </c>
      <c r="D1077" s="27" t="s">
        <v>1226</v>
      </c>
      <c r="E1077" s="21"/>
      <c r="F1077" s="21">
        <v>4</v>
      </c>
      <c r="G1077" s="21"/>
      <c r="H1077" s="21"/>
      <c r="I1077" s="22">
        <f t="shared" si="16"/>
        <v>4</v>
      </c>
      <c r="J1077" t="e">
        <f>VLOOKUP(B1077,'[1]KT 광점퍼코드(수익률)'!$A$4:$P$243,16,0)</f>
        <v>#N/A</v>
      </c>
    </row>
    <row r="1078" spans="1:10" ht="15.75" hidden="1" customHeight="1">
      <c r="A1078" s="23">
        <v>1075</v>
      </c>
      <c r="B1078" s="24" t="s">
        <v>2747</v>
      </c>
      <c r="C1078" s="24" t="s">
        <v>612</v>
      </c>
      <c r="D1078" s="26" t="s">
        <v>1226</v>
      </c>
      <c r="E1078" s="25"/>
      <c r="F1078" s="25">
        <v>4</v>
      </c>
      <c r="G1078" s="25"/>
      <c r="H1078" s="25"/>
      <c r="I1078" s="22">
        <f t="shared" si="16"/>
        <v>4</v>
      </c>
      <c r="J1078" t="e">
        <f>VLOOKUP(B1078,'[1]KT 광점퍼코드(수익률)'!$A$4:$P$243,16,0)</f>
        <v>#N/A</v>
      </c>
    </row>
    <row r="1079" spans="1:10" ht="15.75" hidden="1" customHeight="1">
      <c r="A1079" s="19">
        <v>1076</v>
      </c>
      <c r="B1079" s="20" t="s">
        <v>2748</v>
      </c>
      <c r="C1079" s="20" t="s">
        <v>574</v>
      </c>
      <c r="D1079" s="27" t="s">
        <v>1154</v>
      </c>
      <c r="E1079" s="21"/>
      <c r="F1079" s="21">
        <v>20</v>
      </c>
      <c r="G1079" s="21"/>
      <c r="H1079" s="21"/>
      <c r="I1079" s="22">
        <f t="shared" si="16"/>
        <v>20</v>
      </c>
      <c r="J1079" t="e">
        <f>VLOOKUP(B1079,'[1]KT 광점퍼코드(수익률)'!$A$4:$P$243,16,0)</f>
        <v>#N/A</v>
      </c>
    </row>
    <row r="1080" spans="1:10" ht="15.75" hidden="1" customHeight="1">
      <c r="A1080" s="23">
        <v>1077</v>
      </c>
      <c r="B1080" s="24" t="s">
        <v>2749</v>
      </c>
      <c r="C1080" s="24" t="s">
        <v>2750</v>
      </c>
      <c r="D1080" s="24"/>
      <c r="E1080" s="25"/>
      <c r="F1080" s="25">
        <v>1</v>
      </c>
      <c r="G1080" s="25"/>
      <c r="H1080" s="25"/>
      <c r="I1080" s="22">
        <f t="shared" si="16"/>
        <v>1</v>
      </c>
      <c r="J1080" t="e">
        <f>VLOOKUP(B1080,'[1]KT 광점퍼코드(수익률)'!$A$4:$P$243,16,0)</f>
        <v>#N/A</v>
      </c>
    </row>
    <row r="1081" spans="1:10" ht="15.75" hidden="1" customHeight="1">
      <c r="A1081" s="19">
        <v>1078</v>
      </c>
      <c r="B1081" s="20" t="s">
        <v>2751</v>
      </c>
      <c r="C1081" s="20" t="s">
        <v>2752</v>
      </c>
      <c r="D1081" s="20"/>
      <c r="E1081" s="21"/>
      <c r="F1081" s="21">
        <v>3</v>
      </c>
      <c r="G1081" s="21"/>
      <c r="H1081" s="21"/>
      <c r="I1081" s="22">
        <f t="shared" si="16"/>
        <v>3</v>
      </c>
      <c r="J1081" t="e">
        <f>VLOOKUP(B1081,'[1]KT 광점퍼코드(수익률)'!$A$4:$P$243,16,0)</f>
        <v>#N/A</v>
      </c>
    </row>
    <row r="1082" spans="1:10" ht="15.75" hidden="1" customHeight="1">
      <c r="A1082" s="23">
        <v>1079</v>
      </c>
      <c r="B1082" s="24" t="s">
        <v>2753</v>
      </c>
      <c r="C1082" s="24" t="s">
        <v>2754</v>
      </c>
      <c r="D1082" s="24"/>
      <c r="E1082" s="25"/>
      <c r="F1082" s="25">
        <v>2</v>
      </c>
      <c r="G1082" s="25"/>
      <c r="H1082" s="25"/>
      <c r="I1082" s="22">
        <f t="shared" si="16"/>
        <v>2</v>
      </c>
      <c r="J1082" t="e">
        <f>VLOOKUP(B1082,'[1]KT 광점퍼코드(수익률)'!$A$4:$P$243,16,0)</f>
        <v>#N/A</v>
      </c>
    </row>
    <row r="1083" spans="1:10" ht="15.75" hidden="1" customHeight="1">
      <c r="A1083" s="19">
        <v>1080</v>
      </c>
      <c r="B1083" s="20" t="s">
        <v>2755</v>
      </c>
      <c r="C1083" s="20" t="s">
        <v>2756</v>
      </c>
      <c r="D1083" s="20"/>
      <c r="E1083" s="21"/>
      <c r="F1083" s="21">
        <v>220</v>
      </c>
      <c r="G1083" s="21"/>
      <c r="H1083" s="21"/>
      <c r="I1083" s="22">
        <f t="shared" si="16"/>
        <v>220</v>
      </c>
      <c r="J1083" t="e">
        <f>VLOOKUP(B1083,'[1]KT 광점퍼코드(수익률)'!$A$4:$P$243,16,0)</f>
        <v>#N/A</v>
      </c>
    </row>
    <row r="1084" spans="1:10" ht="15.75" hidden="1" customHeight="1">
      <c r="A1084" s="23">
        <v>1081</v>
      </c>
      <c r="B1084" s="24" t="s">
        <v>2757</v>
      </c>
      <c r="C1084" s="24" t="s">
        <v>2758</v>
      </c>
      <c r="D1084" s="24"/>
      <c r="E1084" s="25"/>
      <c r="F1084" s="25">
        <v>100</v>
      </c>
      <c r="G1084" s="25"/>
      <c r="H1084" s="25"/>
      <c r="I1084" s="22">
        <f t="shared" si="16"/>
        <v>100</v>
      </c>
      <c r="J1084" t="e">
        <f>VLOOKUP(B1084,'[1]KT 광점퍼코드(수익률)'!$A$4:$P$243,16,0)</f>
        <v>#N/A</v>
      </c>
    </row>
    <row r="1085" spans="1:10" ht="15.75" hidden="1" customHeight="1">
      <c r="A1085" s="19">
        <v>1082</v>
      </c>
      <c r="B1085" s="20" t="s">
        <v>3230</v>
      </c>
      <c r="C1085" s="20" t="s">
        <v>3231</v>
      </c>
      <c r="D1085" s="20"/>
      <c r="E1085" s="21"/>
      <c r="F1085" s="21"/>
      <c r="G1085" s="21">
        <v>29</v>
      </c>
      <c r="H1085" s="21"/>
      <c r="I1085" s="22">
        <f t="shared" si="16"/>
        <v>29</v>
      </c>
      <c r="J1085" t="e">
        <f>VLOOKUP(B1085,'[1]KT 광점퍼코드(수익률)'!$A$4:$P$243,16,0)</f>
        <v>#N/A</v>
      </c>
    </row>
    <row r="1086" spans="1:10" ht="15.75" hidden="1" customHeight="1">
      <c r="A1086" s="23">
        <v>1083</v>
      </c>
      <c r="B1086" s="24" t="s">
        <v>3232</v>
      </c>
      <c r="C1086" s="24" t="s">
        <v>628</v>
      </c>
      <c r="D1086" s="26" t="s">
        <v>1104</v>
      </c>
      <c r="E1086" s="25"/>
      <c r="F1086" s="25"/>
      <c r="G1086" s="25">
        <v>60</v>
      </c>
      <c r="H1086" s="25"/>
      <c r="I1086" s="22">
        <f t="shared" si="16"/>
        <v>60</v>
      </c>
      <c r="J1086" t="e">
        <f>VLOOKUP(B1086,'[1]KT 광점퍼코드(수익률)'!$A$4:$P$243,16,0)</f>
        <v>#N/A</v>
      </c>
    </row>
    <row r="1087" spans="1:10" ht="15.75" hidden="1" customHeight="1">
      <c r="A1087" s="19">
        <v>1084</v>
      </c>
      <c r="B1087" s="20" t="s">
        <v>3233</v>
      </c>
      <c r="C1087" s="20" t="s">
        <v>3234</v>
      </c>
      <c r="D1087" s="20"/>
      <c r="E1087" s="21"/>
      <c r="F1087" s="21"/>
      <c r="G1087" s="21">
        <v>10</v>
      </c>
      <c r="H1087" s="21"/>
      <c r="I1087" s="22">
        <f t="shared" si="16"/>
        <v>10</v>
      </c>
      <c r="J1087" t="e">
        <f>VLOOKUP(B1087,'[1]KT 광점퍼코드(수익률)'!$A$4:$P$243,16,0)</f>
        <v>#N/A</v>
      </c>
    </row>
    <row r="1088" spans="1:10" ht="15.75" hidden="1" customHeight="1">
      <c r="A1088" s="23">
        <v>1085</v>
      </c>
      <c r="B1088" s="24" t="s">
        <v>3235</v>
      </c>
      <c r="C1088" s="24" t="s">
        <v>3236</v>
      </c>
      <c r="D1088" s="24"/>
      <c r="E1088" s="25"/>
      <c r="F1088" s="25"/>
      <c r="G1088" s="25">
        <v>3</v>
      </c>
      <c r="H1088" s="25"/>
      <c r="I1088" s="22">
        <f t="shared" si="16"/>
        <v>3</v>
      </c>
      <c r="J1088" t="e">
        <f>VLOOKUP(B1088,'[1]KT 광점퍼코드(수익률)'!$A$4:$P$243,16,0)</f>
        <v>#N/A</v>
      </c>
    </row>
    <row r="1089" spans="1:10" ht="15.75" hidden="1" customHeight="1">
      <c r="A1089" s="19">
        <v>1086</v>
      </c>
      <c r="B1089" s="20" t="s">
        <v>3237</v>
      </c>
      <c r="C1089" s="20" t="s">
        <v>3238</v>
      </c>
      <c r="D1089" s="20"/>
      <c r="E1089" s="21"/>
      <c r="F1089" s="21"/>
      <c r="G1089" s="21">
        <v>3</v>
      </c>
      <c r="H1089" s="21"/>
      <c r="I1089" s="22">
        <f t="shared" si="16"/>
        <v>3</v>
      </c>
      <c r="J1089" t="e">
        <f>VLOOKUP(B1089,'[1]KT 광점퍼코드(수익률)'!$A$4:$P$243,16,0)</f>
        <v>#N/A</v>
      </c>
    </row>
    <row r="1090" spans="1:10" ht="15.75" hidden="1" customHeight="1">
      <c r="A1090" s="23">
        <v>1087</v>
      </c>
      <c r="B1090" s="24" t="s">
        <v>3239</v>
      </c>
      <c r="C1090" s="24" t="s">
        <v>3240</v>
      </c>
      <c r="D1090" s="24"/>
      <c r="E1090" s="25"/>
      <c r="F1090" s="25"/>
      <c r="G1090" s="25">
        <v>5</v>
      </c>
      <c r="H1090" s="25"/>
      <c r="I1090" s="22">
        <f t="shared" si="16"/>
        <v>5</v>
      </c>
      <c r="J1090" t="e">
        <f>VLOOKUP(B1090,'[1]KT 광점퍼코드(수익률)'!$A$4:$P$243,16,0)</f>
        <v>#N/A</v>
      </c>
    </row>
    <row r="1091" spans="1:10" ht="15.75" hidden="1" customHeight="1">
      <c r="A1091" s="19">
        <v>1088</v>
      </c>
      <c r="B1091" s="20" t="s">
        <v>3241</v>
      </c>
      <c r="C1091" s="20" t="s">
        <v>3242</v>
      </c>
      <c r="D1091" s="20"/>
      <c r="E1091" s="21"/>
      <c r="F1091" s="21"/>
      <c r="G1091" s="21">
        <v>15</v>
      </c>
      <c r="H1091" s="21"/>
      <c r="I1091" s="22">
        <f t="shared" si="16"/>
        <v>15</v>
      </c>
      <c r="J1091" t="e">
        <f>VLOOKUP(B1091,'[1]KT 광점퍼코드(수익률)'!$A$4:$P$243,16,0)</f>
        <v>#N/A</v>
      </c>
    </row>
    <row r="1092" spans="1:10" ht="15.75" hidden="1" customHeight="1">
      <c r="A1092" s="23">
        <v>1089</v>
      </c>
      <c r="B1092" s="24" t="s">
        <v>3243</v>
      </c>
      <c r="C1092" s="24" t="s">
        <v>3244</v>
      </c>
      <c r="D1092" s="24"/>
      <c r="E1092" s="25"/>
      <c r="F1092" s="25"/>
      <c r="G1092" s="25">
        <v>10</v>
      </c>
      <c r="H1092" s="25"/>
      <c r="I1092" s="22">
        <f t="shared" ref="I1092:I1155" si="17">SUM(E1092:H1092)</f>
        <v>10</v>
      </c>
      <c r="J1092" t="e">
        <f>VLOOKUP(B1092,'[1]KT 광점퍼코드(수익률)'!$A$4:$P$243,16,0)</f>
        <v>#N/A</v>
      </c>
    </row>
    <row r="1093" spans="1:10" ht="15.75" hidden="1" customHeight="1">
      <c r="A1093" s="19">
        <v>1090</v>
      </c>
      <c r="B1093" s="20" t="s">
        <v>3245</v>
      </c>
      <c r="C1093" s="20" t="s">
        <v>588</v>
      </c>
      <c r="D1093" s="20"/>
      <c r="E1093" s="21"/>
      <c r="F1093" s="21"/>
      <c r="G1093" s="21">
        <v>5</v>
      </c>
      <c r="H1093" s="21"/>
      <c r="I1093" s="22">
        <f t="shared" si="17"/>
        <v>5</v>
      </c>
      <c r="J1093" t="e">
        <f>VLOOKUP(B1093,'[1]KT 광점퍼코드(수익률)'!$A$4:$P$243,16,0)</f>
        <v>#N/A</v>
      </c>
    </row>
    <row r="1094" spans="1:10" ht="15.75" hidden="1" customHeight="1">
      <c r="A1094" s="23">
        <v>1091</v>
      </c>
      <c r="B1094" s="24" t="s">
        <v>3246</v>
      </c>
      <c r="C1094" s="24" t="s">
        <v>3247</v>
      </c>
      <c r="D1094" s="24"/>
      <c r="E1094" s="25"/>
      <c r="F1094" s="25"/>
      <c r="G1094" s="25">
        <v>5</v>
      </c>
      <c r="H1094" s="25"/>
      <c r="I1094" s="22">
        <f t="shared" si="17"/>
        <v>5</v>
      </c>
      <c r="J1094" t="e">
        <f>VLOOKUP(B1094,'[1]KT 광점퍼코드(수익률)'!$A$4:$P$243,16,0)</f>
        <v>#N/A</v>
      </c>
    </row>
    <row r="1095" spans="1:10" ht="15.75" hidden="1" customHeight="1">
      <c r="A1095" s="19">
        <v>1092</v>
      </c>
      <c r="B1095" s="20" t="s">
        <v>3248</v>
      </c>
      <c r="C1095" s="20" t="s">
        <v>3249</v>
      </c>
      <c r="D1095" s="20"/>
      <c r="E1095" s="21"/>
      <c r="F1095" s="21"/>
      <c r="G1095" s="21">
        <v>8</v>
      </c>
      <c r="H1095" s="21"/>
      <c r="I1095" s="22">
        <f t="shared" si="17"/>
        <v>8</v>
      </c>
      <c r="J1095" t="e">
        <f>VLOOKUP(B1095,'[1]KT 광점퍼코드(수익률)'!$A$4:$P$243,16,0)</f>
        <v>#N/A</v>
      </c>
    </row>
    <row r="1096" spans="1:10" ht="15.75" hidden="1" customHeight="1">
      <c r="A1096" s="23">
        <v>1093</v>
      </c>
      <c r="B1096" s="24" t="s">
        <v>3250</v>
      </c>
      <c r="C1096" s="24" t="s">
        <v>3251</v>
      </c>
      <c r="D1096" s="24"/>
      <c r="E1096" s="25"/>
      <c r="F1096" s="25"/>
      <c r="G1096" s="25">
        <v>40</v>
      </c>
      <c r="H1096" s="25"/>
      <c r="I1096" s="22">
        <f t="shared" si="17"/>
        <v>40</v>
      </c>
      <c r="J1096" t="e">
        <f>VLOOKUP(B1096,'[1]KT 광점퍼코드(수익률)'!$A$4:$P$243,16,0)</f>
        <v>#N/A</v>
      </c>
    </row>
    <row r="1097" spans="1:10" ht="15.75" hidden="1" customHeight="1">
      <c r="A1097" s="19">
        <v>1094</v>
      </c>
      <c r="B1097" s="20" t="s">
        <v>3252</v>
      </c>
      <c r="C1097" s="20" t="s">
        <v>516</v>
      </c>
      <c r="D1097" s="20"/>
      <c r="E1097" s="21"/>
      <c r="F1097" s="21"/>
      <c r="G1097" s="21">
        <v>5</v>
      </c>
      <c r="H1097" s="21"/>
      <c r="I1097" s="22">
        <f t="shared" si="17"/>
        <v>5</v>
      </c>
      <c r="J1097" t="e">
        <f>VLOOKUP(B1097,'[1]KT 광점퍼코드(수익률)'!$A$4:$P$243,16,0)</f>
        <v>#N/A</v>
      </c>
    </row>
    <row r="1098" spans="1:10" ht="15.75" hidden="1" customHeight="1">
      <c r="A1098" s="23">
        <v>1095</v>
      </c>
      <c r="B1098" s="24" t="s">
        <v>3253</v>
      </c>
      <c r="C1098" s="24" t="s">
        <v>507</v>
      </c>
      <c r="D1098" s="24"/>
      <c r="E1098" s="25"/>
      <c r="F1098" s="25"/>
      <c r="G1098" s="25">
        <v>5</v>
      </c>
      <c r="H1098" s="25"/>
      <c r="I1098" s="22">
        <f t="shared" si="17"/>
        <v>5</v>
      </c>
      <c r="J1098" t="e">
        <f>VLOOKUP(B1098,'[1]KT 광점퍼코드(수익률)'!$A$4:$P$243,16,0)</f>
        <v>#N/A</v>
      </c>
    </row>
    <row r="1099" spans="1:10" ht="15.75" hidden="1" customHeight="1">
      <c r="A1099" s="19">
        <v>1096</v>
      </c>
      <c r="B1099" s="20" t="s">
        <v>3254</v>
      </c>
      <c r="C1099" s="20" t="s">
        <v>3255</v>
      </c>
      <c r="D1099" s="20"/>
      <c r="E1099" s="21"/>
      <c r="F1099" s="21"/>
      <c r="G1099" s="21">
        <v>2</v>
      </c>
      <c r="H1099" s="21"/>
      <c r="I1099" s="22">
        <f t="shared" si="17"/>
        <v>2</v>
      </c>
      <c r="J1099" t="e">
        <f>VLOOKUP(B1099,'[1]KT 광점퍼코드(수익률)'!$A$4:$P$243,16,0)</f>
        <v>#N/A</v>
      </c>
    </row>
    <row r="1100" spans="1:10" ht="15.75" hidden="1" customHeight="1">
      <c r="A1100" s="23">
        <v>1097</v>
      </c>
      <c r="B1100" s="24" t="s">
        <v>3256</v>
      </c>
      <c r="C1100" s="24" t="s">
        <v>3257</v>
      </c>
      <c r="D1100" s="24"/>
      <c r="E1100" s="25"/>
      <c r="F1100" s="25"/>
      <c r="G1100" s="25">
        <v>10</v>
      </c>
      <c r="H1100" s="25"/>
      <c r="I1100" s="22">
        <f t="shared" si="17"/>
        <v>10</v>
      </c>
      <c r="J1100" t="e">
        <f>VLOOKUP(B1100,'[1]KT 광점퍼코드(수익률)'!$A$4:$P$243,16,0)</f>
        <v>#N/A</v>
      </c>
    </row>
    <row r="1101" spans="1:10" ht="15.75" hidden="1" customHeight="1">
      <c r="A1101" s="19">
        <v>1098</v>
      </c>
      <c r="B1101" s="20" t="s">
        <v>3258</v>
      </c>
      <c r="C1101" s="20" t="s">
        <v>3259</v>
      </c>
      <c r="D1101" s="20"/>
      <c r="E1101" s="21"/>
      <c r="F1101" s="21"/>
      <c r="G1101" s="21">
        <v>10</v>
      </c>
      <c r="H1101" s="21"/>
      <c r="I1101" s="22">
        <f t="shared" si="17"/>
        <v>10</v>
      </c>
      <c r="J1101" t="e">
        <f>VLOOKUP(B1101,'[1]KT 광점퍼코드(수익률)'!$A$4:$P$243,16,0)</f>
        <v>#N/A</v>
      </c>
    </row>
    <row r="1102" spans="1:10" ht="15.75" hidden="1" customHeight="1">
      <c r="A1102" s="23">
        <v>1099</v>
      </c>
      <c r="B1102" s="24" t="s">
        <v>3260</v>
      </c>
      <c r="C1102" s="24" t="s">
        <v>3261</v>
      </c>
      <c r="D1102" s="24" t="s">
        <v>3229</v>
      </c>
      <c r="E1102" s="25"/>
      <c r="F1102" s="25"/>
      <c r="G1102" s="25">
        <v>1</v>
      </c>
      <c r="H1102" s="25"/>
      <c r="I1102" s="22">
        <f t="shared" si="17"/>
        <v>1</v>
      </c>
      <c r="J1102" t="e">
        <f>VLOOKUP(B1102,'[1]KT 광점퍼코드(수익률)'!$A$4:$P$243,16,0)</f>
        <v>#N/A</v>
      </c>
    </row>
    <row r="1103" spans="1:10" ht="15.75" hidden="1" customHeight="1">
      <c r="A1103" s="19">
        <v>1100</v>
      </c>
      <c r="B1103" s="20" t="s">
        <v>3262</v>
      </c>
      <c r="C1103" s="20" t="s">
        <v>620</v>
      </c>
      <c r="D1103" s="20" t="s">
        <v>3263</v>
      </c>
      <c r="E1103" s="21"/>
      <c r="F1103" s="21"/>
      <c r="G1103" s="21">
        <v>8</v>
      </c>
      <c r="H1103" s="21"/>
      <c r="I1103" s="22">
        <f t="shared" si="17"/>
        <v>8</v>
      </c>
      <c r="J1103" t="e">
        <f>VLOOKUP(B1103,'[1]KT 광점퍼코드(수익률)'!$A$4:$P$243,16,0)</f>
        <v>#N/A</v>
      </c>
    </row>
    <row r="1104" spans="1:10" ht="15.75" hidden="1" customHeight="1">
      <c r="A1104" s="23">
        <v>1101</v>
      </c>
      <c r="B1104" s="24" t="s">
        <v>3264</v>
      </c>
      <c r="C1104" s="24" t="s">
        <v>2447</v>
      </c>
      <c r="D1104" s="24" t="s">
        <v>3265</v>
      </c>
      <c r="E1104" s="25"/>
      <c r="F1104" s="25"/>
      <c r="G1104" s="25">
        <v>3</v>
      </c>
      <c r="H1104" s="25"/>
      <c r="I1104" s="22">
        <f t="shared" si="17"/>
        <v>3</v>
      </c>
      <c r="J1104" t="e">
        <f>VLOOKUP(B1104,'[1]KT 광점퍼코드(수익률)'!$A$4:$P$243,16,0)</f>
        <v>#N/A</v>
      </c>
    </row>
    <row r="1105" spans="1:10" ht="15.75" hidden="1" customHeight="1">
      <c r="A1105" s="19">
        <v>1102</v>
      </c>
      <c r="B1105" s="20" t="s">
        <v>3266</v>
      </c>
      <c r="C1105" s="20" t="s">
        <v>3267</v>
      </c>
      <c r="D1105" s="20" t="s">
        <v>3265</v>
      </c>
      <c r="E1105" s="21"/>
      <c r="F1105" s="21"/>
      <c r="G1105" s="21">
        <v>3</v>
      </c>
      <c r="H1105" s="21"/>
      <c r="I1105" s="22">
        <f t="shared" si="17"/>
        <v>3</v>
      </c>
      <c r="J1105" t="e">
        <f>VLOOKUP(B1105,'[1]KT 광점퍼코드(수익률)'!$A$4:$P$243,16,0)</f>
        <v>#N/A</v>
      </c>
    </row>
    <row r="1106" spans="1:10" ht="15.75" hidden="1" customHeight="1">
      <c r="A1106" s="23">
        <v>1103</v>
      </c>
      <c r="B1106" s="24" t="s">
        <v>3268</v>
      </c>
      <c r="C1106" s="24" t="s">
        <v>483</v>
      </c>
      <c r="D1106" s="24" t="s">
        <v>3265</v>
      </c>
      <c r="E1106" s="25"/>
      <c r="F1106" s="25"/>
      <c r="G1106" s="25">
        <v>17</v>
      </c>
      <c r="H1106" s="25"/>
      <c r="I1106" s="22">
        <f t="shared" si="17"/>
        <v>17</v>
      </c>
      <c r="J1106" t="e">
        <f>VLOOKUP(B1106,'[1]KT 광점퍼코드(수익률)'!$A$4:$P$243,16,0)</f>
        <v>#N/A</v>
      </c>
    </row>
    <row r="1107" spans="1:10" ht="15.75" hidden="1" customHeight="1">
      <c r="A1107" s="19">
        <v>1104</v>
      </c>
      <c r="B1107" s="20" t="s">
        <v>3269</v>
      </c>
      <c r="C1107" s="20" t="s">
        <v>1160</v>
      </c>
      <c r="D1107" s="20" t="s">
        <v>3265</v>
      </c>
      <c r="E1107" s="21"/>
      <c r="F1107" s="21"/>
      <c r="G1107" s="21">
        <v>31</v>
      </c>
      <c r="H1107" s="21"/>
      <c r="I1107" s="22">
        <f t="shared" si="17"/>
        <v>31</v>
      </c>
      <c r="J1107" t="e">
        <f>VLOOKUP(B1107,'[1]KT 광점퍼코드(수익률)'!$A$4:$P$243,16,0)</f>
        <v>#N/A</v>
      </c>
    </row>
    <row r="1108" spans="1:10" ht="15.75" hidden="1" customHeight="1">
      <c r="A1108" s="23">
        <v>1105</v>
      </c>
      <c r="B1108" s="24" t="s">
        <v>3270</v>
      </c>
      <c r="C1108" s="24" t="s">
        <v>1146</v>
      </c>
      <c r="D1108" s="24" t="s">
        <v>3265</v>
      </c>
      <c r="E1108" s="25"/>
      <c r="F1108" s="25"/>
      <c r="G1108" s="25">
        <v>31</v>
      </c>
      <c r="H1108" s="25"/>
      <c r="I1108" s="22">
        <f t="shared" si="17"/>
        <v>31</v>
      </c>
      <c r="J1108" t="e">
        <f>VLOOKUP(B1108,'[1]KT 광점퍼코드(수익률)'!$A$4:$P$243,16,0)</f>
        <v>#N/A</v>
      </c>
    </row>
    <row r="1109" spans="1:10" ht="15.75" hidden="1" customHeight="1">
      <c r="A1109" s="19">
        <v>1106</v>
      </c>
      <c r="B1109" s="20" t="s">
        <v>3271</v>
      </c>
      <c r="C1109" s="20" t="s">
        <v>2628</v>
      </c>
      <c r="D1109" s="20" t="s">
        <v>3265</v>
      </c>
      <c r="E1109" s="21"/>
      <c r="F1109" s="21"/>
      <c r="G1109" s="21">
        <v>39</v>
      </c>
      <c r="H1109" s="21"/>
      <c r="I1109" s="22">
        <f t="shared" si="17"/>
        <v>39</v>
      </c>
      <c r="J1109" t="e">
        <f>VLOOKUP(B1109,'[1]KT 광점퍼코드(수익률)'!$A$4:$P$243,16,0)</f>
        <v>#N/A</v>
      </c>
    </row>
    <row r="1110" spans="1:10" ht="15.75" hidden="1" customHeight="1">
      <c r="A1110" s="23">
        <v>1107</v>
      </c>
      <c r="B1110" s="24" t="s">
        <v>3272</v>
      </c>
      <c r="C1110" s="24" t="s">
        <v>2694</v>
      </c>
      <c r="D1110" s="24" t="s">
        <v>3265</v>
      </c>
      <c r="E1110" s="25"/>
      <c r="F1110" s="25"/>
      <c r="G1110" s="25">
        <v>77</v>
      </c>
      <c r="H1110" s="25"/>
      <c r="I1110" s="22">
        <f t="shared" si="17"/>
        <v>77</v>
      </c>
      <c r="J1110" t="e">
        <f>VLOOKUP(B1110,'[1]KT 광점퍼코드(수익률)'!$A$4:$P$243,16,0)</f>
        <v>#N/A</v>
      </c>
    </row>
    <row r="1111" spans="1:10" ht="15.75" hidden="1" customHeight="1">
      <c r="A1111" s="19">
        <v>1108</v>
      </c>
      <c r="B1111" s="20" t="s">
        <v>3273</v>
      </c>
      <c r="C1111" s="20" t="s">
        <v>485</v>
      </c>
      <c r="D1111" s="20" t="s">
        <v>3265</v>
      </c>
      <c r="E1111" s="21"/>
      <c r="F1111" s="21"/>
      <c r="G1111" s="21">
        <v>115</v>
      </c>
      <c r="H1111" s="21"/>
      <c r="I1111" s="22">
        <f t="shared" si="17"/>
        <v>115</v>
      </c>
      <c r="J1111" t="e">
        <f>VLOOKUP(B1111,'[1]KT 광점퍼코드(수익률)'!$A$4:$P$243,16,0)</f>
        <v>#N/A</v>
      </c>
    </row>
    <row r="1112" spans="1:10" ht="15.75" hidden="1" customHeight="1">
      <c r="A1112" s="23">
        <v>1109</v>
      </c>
      <c r="B1112" s="24" t="s">
        <v>3274</v>
      </c>
      <c r="C1112" s="24" t="s">
        <v>2696</v>
      </c>
      <c r="D1112" s="24" t="s">
        <v>3265</v>
      </c>
      <c r="E1112" s="25"/>
      <c r="F1112" s="25"/>
      <c r="G1112" s="25">
        <v>100</v>
      </c>
      <c r="H1112" s="25"/>
      <c r="I1112" s="22">
        <f t="shared" si="17"/>
        <v>100</v>
      </c>
      <c r="J1112" t="e">
        <f>VLOOKUP(B1112,'[1]KT 광점퍼코드(수익률)'!$A$4:$P$243,16,0)</f>
        <v>#N/A</v>
      </c>
    </row>
    <row r="1113" spans="1:10" ht="15.75" hidden="1" customHeight="1">
      <c r="A1113" s="19">
        <v>1110</v>
      </c>
      <c r="B1113" s="20" t="s">
        <v>3275</v>
      </c>
      <c r="C1113" s="20" t="s">
        <v>2698</v>
      </c>
      <c r="D1113" s="20" t="s">
        <v>3265</v>
      </c>
      <c r="E1113" s="21"/>
      <c r="F1113" s="21"/>
      <c r="G1113" s="21">
        <v>80</v>
      </c>
      <c r="H1113" s="21"/>
      <c r="I1113" s="22">
        <f t="shared" si="17"/>
        <v>80</v>
      </c>
      <c r="J1113" t="e">
        <f>VLOOKUP(B1113,'[1]KT 광점퍼코드(수익률)'!$A$4:$P$243,16,0)</f>
        <v>#N/A</v>
      </c>
    </row>
    <row r="1114" spans="1:10" ht="15.75" hidden="1" customHeight="1">
      <c r="A1114" s="23">
        <v>1111</v>
      </c>
      <c r="B1114" s="24" t="s">
        <v>3276</v>
      </c>
      <c r="C1114" s="24" t="s">
        <v>489</v>
      </c>
      <c r="D1114" s="24" t="s">
        <v>3265</v>
      </c>
      <c r="E1114" s="25"/>
      <c r="F1114" s="25"/>
      <c r="G1114" s="25">
        <v>22</v>
      </c>
      <c r="H1114" s="25"/>
      <c r="I1114" s="22">
        <f t="shared" si="17"/>
        <v>22</v>
      </c>
      <c r="J1114" t="e">
        <f>VLOOKUP(B1114,'[1]KT 광점퍼코드(수익률)'!$A$4:$P$243,16,0)</f>
        <v>#N/A</v>
      </c>
    </row>
    <row r="1115" spans="1:10" ht="15.75" hidden="1" customHeight="1">
      <c r="A1115" s="19">
        <v>1112</v>
      </c>
      <c r="B1115" s="20" t="s">
        <v>3277</v>
      </c>
      <c r="C1115" s="20" t="s">
        <v>1173</v>
      </c>
      <c r="D1115" s="20" t="s">
        <v>3265</v>
      </c>
      <c r="E1115" s="21"/>
      <c r="F1115" s="21"/>
      <c r="G1115" s="21">
        <v>22</v>
      </c>
      <c r="H1115" s="21"/>
      <c r="I1115" s="22">
        <f t="shared" si="17"/>
        <v>22</v>
      </c>
      <c r="J1115" t="e">
        <f>VLOOKUP(B1115,'[1]KT 광점퍼코드(수익률)'!$A$4:$P$243,16,0)</f>
        <v>#N/A</v>
      </c>
    </row>
    <row r="1116" spans="1:10" ht="15.75" hidden="1" customHeight="1">
      <c r="A1116" s="23">
        <v>1113</v>
      </c>
      <c r="B1116" s="24" t="s">
        <v>3278</v>
      </c>
      <c r="C1116" s="24" t="s">
        <v>1176</v>
      </c>
      <c r="D1116" s="24" t="s">
        <v>3265</v>
      </c>
      <c r="E1116" s="25"/>
      <c r="F1116" s="25"/>
      <c r="G1116" s="25">
        <v>22</v>
      </c>
      <c r="H1116" s="25"/>
      <c r="I1116" s="22">
        <f t="shared" si="17"/>
        <v>22</v>
      </c>
      <c r="J1116" t="e">
        <f>VLOOKUP(B1116,'[1]KT 광점퍼코드(수익률)'!$A$4:$P$243,16,0)</f>
        <v>#N/A</v>
      </c>
    </row>
    <row r="1117" spans="1:10" ht="15.75" hidden="1" customHeight="1">
      <c r="A1117" s="19">
        <v>1114</v>
      </c>
      <c r="B1117" s="20" t="s">
        <v>3279</v>
      </c>
      <c r="C1117" s="20" t="s">
        <v>969</v>
      </c>
      <c r="D1117" s="20" t="s">
        <v>3265</v>
      </c>
      <c r="E1117" s="21"/>
      <c r="F1117" s="21"/>
      <c r="G1117" s="21">
        <v>22</v>
      </c>
      <c r="H1117" s="21"/>
      <c r="I1117" s="22">
        <f t="shared" si="17"/>
        <v>22</v>
      </c>
      <c r="J1117" t="e">
        <f>VLOOKUP(B1117,'[1]KT 광점퍼코드(수익률)'!$A$4:$P$243,16,0)</f>
        <v>#N/A</v>
      </c>
    </row>
    <row r="1118" spans="1:10" ht="15.75" hidden="1" customHeight="1">
      <c r="A1118" s="23">
        <v>1115</v>
      </c>
      <c r="B1118" s="24" t="s">
        <v>3280</v>
      </c>
      <c r="C1118" s="24" t="s">
        <v>3281</v>
      </c>
      <c r="D1118" s="24"/>
      <c r="E1118" s="25"/>
      <c r="F1118" s="25"/>
      <c r="G1118" s="25">
        <v>28</v>
      </c>
      <c r="H1118" s="25"/>
      <c r="I1118" s="22">
        <f t="shared" si="17"/>
        <v>28</v>
      </c>
      <c r="J1118" t="e">
        <f>VLOOKUP(B1118,'[1]KT 광점퍼코드(수익률)'!$A$4:$P$243,16,0)</f>
        <v>#N/A</v>
      </c>
    </row>
    <row r="1119" spans="1:10" ht="15.75" hidden="1" customHeight="1">
      <c r="A1119" s="19">
        <v>1116</v>
      </c>
      <c r="B1119" s="20" t="s">
        <v>3282</v>
      </c>
      <c r="C1119" s="20" t="s">
        <v>3283</v>
      </c>
      <c r="D1119" s="20"/>
      <c r="E1119" s="21"/>
      <c r="F1119" s="21"/>
      <c r="G1119" s="21">
        <v>1</v>
      </c>
      <c r="H1119" s="21"/>
      <c r="I1119" s="22">
        <f t="shared" si="17"/>
        <v>1</v>
      </c>
      <c r="J1119" t="e">
        <f>VLOOKUP(B1119,'[1]KT 광점퍼코드(수익률)'!$A$4:$P$243,16,0)</f>
        <v>#N/A</v>
      </c>
    </row>
    <row r="1120" spans="1:10" ht="15.75" hidden="1" customHeight="1">
      <c r="A1120" s="23">
        <v>1117</v>
      </c>
      <c r="B1120" s="24" t="s">
        <v>3284</v>
      </c>
      <c r="C1120" s="24" t="s">
        <v>597</v>
      </c>
      <c r="D1120" s="24" t="s">
        <v>1115</v>
      </c>
      <c r="E1120" s="25"/>
      <c r="F1120" s="25"/>
      <c r="G1120" s="25">
        <v>30</v>
      </c>
      <c r="H1120" s="25"/>
      <c r="I1120" s="22">
        <f t="shared" si="17"/>
        <v>30</v>
      </c>
      <c r="J1120" t="e">
        <f>VLOOKUP(B1120,'[1]KT 광점퍼코드(수익률)'!$A$4:$P$243,16,0)</f>
        <v>#N/A</v>
      </c>
    </row>
    <row r="1121" spans="1:10" ht="15.75" hidden="1" customHeight="1">
      <c r="A1121" s="19">
        <v>1118</v>
      </c>
      <c r="B1121" s="20" t="s">
        <v>3285</v>
      </c>
      <c r="C1121" s="20" t="s">
        <v>606</v>
      </c>
      <c r="D1121" s="20" t="s">
        <v>1115</v>
      </c>
      <c r="E1121" s="21"/>
      <c r="F1121" s="21"/>
      <c r="G1121" s="21">
        <v>20</v>
      </c>
      <c r="H1121" s="21"/>
      <c r="I1121" s="22">
        <f t="shared" si="17"/>
        <v>20</v>
      </c>
      <c r="J1121" t="e">
        <f>VLOOKUP(B1121,'[1]KT 광점퍼코드(수익률)'!$A$4:$P$243,16,0)</f>
        <v>#N/A</v>
      </c>
    </row>
    <row r="1122" spans="1:10" ht="15.75" hidden="1" customHeight="1">
      <c r="A1122" s="23">
        <v>1119</v>
      </c>
      <c r="B1122" s="24" t="s">
        <v>3286</v>
      </c>
      <c r="C1122" s="24" t="s">
        <v>3287</v>
      </c>
      <c r="D1122" s="24"/>
      <c r="E1122" s="25"/>
      <c r="F1122" s="25"/>
      <c r="G1122" s="25">
        <v>1</v>
      </c>
      <c r="H1122" s="25"/>
      <c r="I1122" s="22">
        <f t="shared" si="17"/>
        <v>1</v>
      </c>
      <c r="J1122" t="e">
        <f>VLOOKUP(B1122,'[1]KT 광점퍼코드(수익률)'!$A$4:$P$243,16,0)</f>
        <v>#N/A</v>
      </c>
    </row>
    <row r="1123" spans="1:10" ht="15.75" hidden="1" customHeight="1">
      <c r="A1123" s="19">
        <v>1120</v>
      </c>
      <c r="B1123" s="20" t="s">
        <v>3288</v>
      </c>
      <c r="C1123" s="20" t="s">
        <v>732</v>
      </c>
      <c r="D1123" s="20" t="s">
        <v>3289</v>
      </c>
      <c r="E1123" s="21"/>
      <c r="F1123" s="21"/>
      <c r="G1123" s="21">
        <v>5</v>
      </c>
      <c r="H1123" s="21"/>
      <c r="I1123" s="22">
        <f t="shared" si="17"/>
        <v>5</v>
      </c>
      <c r="J1123" t="e">
        <f>VLOOKUP(B1123,'[1]KT 광점퍼코드(수익률)'!$A$4:$P$243,16,0)</f>
        <v>#N/A</v>
      </c>
    </row>
    <row r="1124" spans="1:10" ht="15.75" hidden="1" customHeight="1">
      <c r="A1124" s="23">
        <v>1121</v>
      </c>
      <c r="B1124" s="24" t="s">
        <v>3290</v>
      </c>
      <c r="C1124" s="24" t="s">
        <v>3291</v>
      </c>
      <c r="D1124" s="24"/>
      <c r="E1124" s="25"/>
      <c r="F1124" s="25"/>
      <c r="G1124" s="25">
        <v>5</v>
      </c>
      <c r="H1124" s="25"/>
      <c r="I1124" s="22">
        <f t="shared" si="17"/>
        <v>5</v>
      </c>
      <c r="J1124" t="e">
        <f>VLOOKUP(B1124,'[1]KT 광점퍼코드(수익률)'!$A$4:$P$243,16,0)</f>
        <v>#N/A</v>
      </c>
    </row>
    <row r="1125" spans="1:10" ht="15.75" hidden="1" customHeight="1">
      <c r="A1125" s="19">
        <v>1122</v>
      </c>
      <c r="B1125" s="20" t="s">
        <v>3292</v>
      </c>
      <c r="C1125" s="20" t="s">
        <v>3293</v>
      </c>
      <c r="D1125" s="20"/>
      <c r="E1125" s="21"/>
      <c r="F1125" s="21"/>
      <c r="G1125" s="21">
        <v>5</v>
      </c>
      <c r="H1125" s="21"/>
      <c r="I1125" s="22">
        <f t="shared" si="17"/>
        <v>5</v>
      </c>
      <c r="J1125" t="e">
        <f>VLOOKUP(B1125,'[1]KT 광점퍼코드(수익률)'!$A$4:$P$243,16,0)</f>
        <v>#N/A</v>
      </c>
    </row>
    <row r="1126" spans="1:10" ht="15.75" hidden="1" customHeight="1">
      <c r="A1126" s="23">
        <v>1123</v>
      </c>
      <c r="B1126" s="24" t="s">
        <v>3294</v>
      </c>
      <c r="C1126" s="24" t="s">
        <v>3295</v>
      </c>
      <c r="D1126" s="24"/>
      <c r="E1126" s="25"/>
      <c r="F1126" s="25"/>
      <c r="G1126" s="25">
        <v>5</v>
      </c>
      <c r="H1126" s="25"/>
      <c r="I1126" s="22">
        <f t="shared" si="17"/>
        <v>5</v>
      </c>
      <c r="J1126" t="e">
        <f>VLOOKUP(B1126,'[1]KT 광점퍼코드(수익률)'!$A$4:$P$243,16,0)</f>
        <v>#N/A</v>
      </c>
    </row>
    <row r="1127" spans="1:10" ht="15.75" hidden="1" customHeight="1">
      <c r="A1127" s="19">
        <v>1124</v>
      </c>
      <c r="B1127" s="20" t="s">
        <v>3296</v>
      </c>
      <c r="C1127" s="20" t="s">
        <v>3297</v>
      </c>
      <c r="D1127" s="20"/>
      <c r="E1127" s="21"/>
      <c r="F1127" s="21"/>
      <c r="G1127" s="21">
        <v>10</v>
      </c>
      <c r="H1127" s="21"/>
      <c r="I1127" s="22">
        <f t="shared" si="17"/>
        <v>10</v>
      </c>
      <c r="J1127" t="e">
        <f>VLOOKUP(B1127,'[1]KT 광점퍼코드(수익률)'!$A$4:$P$243,16,0)</f>
        <v>#N/A</v>
      </c>
    </row>
    <row r="1128" spans="1:10" ht="15.75" hidden="1" customHeight="1">
      <c r="A1128" s="23">
        <v>1125</v>
      </c>
      <c r="B1128" s="24" t="s">
        <v>3298</v>
      </c>
      <c r="C1128" s="24" t="s">
        <v>3299</v>
      </c>
      <c r="D1128" s="24"/>
      <c r="E1128" s="25"/>
      <c r="F1128" s="25"/>
      <c r="G1128" s="25">
        <v>10</v>
      </c>
      <c r="H1128" s="25"/>
      <c r="I1128" s="22">
        <f t="shared" si="17"/>
        <v>10</v>
      </c>
      <c r="J1128" t="e">
        <f>VLOOKUP(B1128,'[1]KT 광점퍼코드(수익률)'!$A$4:$P$243,16,0)</f>
        <v>#N/A</v>
      </c>
    </row>
    <row r="1129" spans="1:10" ht="15.75" hidden="1" customHeight="1">
      <c r="A1129" s="19">
        <v>1126</v>
      </c>
      <c r="B1129" s="20" t="s">
        <v>3300</v>
      </c>
      <c r="C1129" s="20" t="s">
        <v>3301</v>
      </c>
      <c r="D1129" s="20"/>
      <c r="E1129" s="21"/>
      <c r="F1129" s="21"/>
      <c r="G1129" s="21">
        <v>10</v>
      </c>
      <c r="H1129" s="21"/>
      <c r="I1129" s="22">
        <f t="shared" si="17"/>
        <v>10</v>
      </c>
      <c r="J1129" t="e">
        <f>VLOOKUP(B1129,'[1]KT 광점퍼코드(수익률)'!$A$4:$P$243,16,0)</f>
        <v>#N/A</v>
      </c>
    </row>
    <row r="1130" spans="1:10" ht="15.75" hidden="1" customHeight="1">
      <c r="A1130" s="23">
        <v>1127</v>
      </c>
      <c r="B1130" s="24" t="s">
        <v>3302</v>
      </c>
      <c r="C1130" s="24" t="s">
        <v>3303</v>
      </c>
      <c r="D1130" s="24"/>
      <c r="E1130" s="25"/>
      <c r="F1130" s="25"/>
      <c r="G1130" s="25">
        <v>20</v>
      </c>
      <c r="H1130" s="25"/>
      <c r="I1130" s="22">
        <f t="shared" si="17"/>
        <v>20</v>
      </c>
      <c r="J1130" t="e">
        <f>VLOOKUP(B1130,'[1]KT 광점퍼코드(수익률)'!$A$4:$P$243,16,0)</f>
        <v>#N/A</v>
      </c>
    </row>
    <row r="1131" spans="1:10" ht="15.75" hidden="1" customHeight="1">
      <c r="A1131" s="19">
        <v>1128</v>
      </c>
      <c r="B1131" s="20" t="s">
        <v>3304</v>
      </c>
      <c r="C1131" s="20" t="s">
        <v>3305</v>
      </c>
      <c r="D1131" s="20"/>
      <c r="E1131" s="21"/>
      <c r="F1131" s="21"/>
      <c r="G1131" s="21">
        <v>20</v>
      </c>
      <c r="H1131" s="21"/>
      <c r="I1131" s="22">
        <f t="shared" si="17"/>
        <v>20</v>
      </c>
      <c r="J1131" t="e">
        <f>VLOOKUP(B1131,'[1]KT 광점퍼코드(수익률)'!$A$4:$P$243,16,0)</f>
        <v>#N/A</v>
      </c>
    </row>
    <row r="1132" spans="1:10" ht="15.75" hidden="1" customHeight="1">
      <c r="A1132" s="23">
        <v>1129</v>
      </c>
      <c r="B1132" s="24" t="s">
        <v>3306</v>
      </c>
      <c r="C1132" s="24" t="s">
        <v>3307</v>
      </c>
      <c r="D1132" s="24"/>
      <c r="E1132" s="25"/>
      <c r="F1132" s="25"/>
      <c r="G1132" s="25">
        <v>20</v>
      </c>
      <c r="H1132" s="25"/>
      <c r="I1132" s="22">
        <f t="shared" si="17"/>
        <v>20</v>
      </c>
      <c r="J1132" t="e">
        <f>VLOOKUP(B1132,'[1]KT 광점퍼코드(수익률)'!$A$4:$P$243,16,0)</f>
        <v>#N/A</v>
      </c>
    </row>
    <row r="1133" spans="1:10" ht="15.75" hidden="1" customHeight="1">
      <c r="A1133" s="19">
        <v>1130</v>
      </c>
      <c r="B1133" s="20" t="s">
        <v>3308</v>
      </c>
      <c r="C1133" s="20" t="s">
        <v>3309</v>
      </c>
      <c r="D1133" s="20"/>
      <c r="E1133" s="21"/>
      <c r="F1133" s="21"/>
      <c r="G1133" s="21">
        <v>20</v>
      </c>
      <c r="H1133" s="21"/>
      <c r="I1133" s="22">
        <f t="shared" si="17"/>
        <v>20</v>
      </c>
      <c r="J1133" t="e">
        <f>VLOOKUP(B1133,'[1]KT 광점퍼코드(수익률)'!$A$4:$P$243,16,0)</f>
        <v>#N/A</v>
      </c>
    </row>
    <row r="1134" spans="1:10" ht="15.75" hidden="1" customHeight="1">
      <c r="A1134" s="23">
        <v>1131</v>
      </c>
      <c r="B1134" s="24" t="s">
        <v>3310</v>
      </c>
      <c r="C1134" s="24" t="s">
        <v>3311</v>
      </c>
      <c r="D1134" s="24"/>
      <c r="E1134" s="25"/>
      <c r="F1134" s="25"/>
      <c r="G1134" s="25">
        <v>20</v>
      </c>
      <c r="H1134" s="25"/>
      <c r="I1134" s="22">
        <f t="shared" si="17"/>
        <v>20</v>
      </c>
      <c r="J1134" t="e">
        <f>VLOOKUP(B1134,'[1]KT 광점퍼코드(수익률)'!$A$4:$P$243,16,0)</f>
        <v>#N/A</v>
      </c>
    </row>
    <row r="1135" spans="1:10" ht="15.75" hidden="1" customHeight="1">
      <c r="A1135" s="19">
        <v>1132</v>
      </c>
      <c r="B1135" s="20" t="s">
        <v>3312</v>
      </c>
      <c r="C1135" s="20" t="s">
        <v>3313</v>
      </c>
      <c r="D1135" s="20"/>
      <c r="E1135" s="21"/>
      <c r="F1135" s="21"/>
      <c r="G1135" s="21">
        <v>20</v>
      </c>
      <c r="H1135" s="21"/>
      <c r="I1135" s="22">
        <f t="shared" si="17"/>
        <v>20</v>
      </c>
      <c r="J1135" t="e">
        <f>VLOOKUP(B1135,'[1]KT 광점퍼코드(수익률)'!$A$4:$P$243,16,0)</f>
        <v>#N/A</v>
      </c>
    </row>
    <row r="1136" spans="1:10" ht="15.75" hidden="1" customHeight="1">
      <c r="A1136" s="23">
        <v>1133</v>
      </c>
      <c r="B1136" s="24" t="s">
        <v>3314</v>
      </c>
      <c r="C1136" s="24" t="s">
        <v>3315</v>
      </c>
      <c r="D1136" s="24"/>
      <c r="E1136" s="25"/>
      <c r="F1136" s="25"/>
      <c r="G1136" s="25">
        <v>20</v>
      </c>
      <c r="H1136" s="25"/>
      <c r="I1136" s="22">
        <f t="shared" si="17"/>
        <v>20</v>
      </c>
      <c r="J1136" t="e">
        <f>VLOOKUP(B1136,'[1]KT 광점퍼코드(수익률)'!$A$4:$P$243,16,0)</f>
        <v>#N/A</v>
      </c>
    </row>
    <row r="1137" spans="1:10" ht="15.75" hidden="1" customHeight="1">
      <c r="A1137" s="19">
        <v>1134</v>
      </c>
      <c r="B1137" s="20" t="s">
        <v>3316</v>
      </c>
      <c r="C1137" s="20" t="s">
        <v>3317</v>
      </c>
      <c r="D1137" s="20"/>
      <c r="E1137" s="21"/>
      <c r="F1137" s="21"/>
      <c r="G1137" s="21">
        <v>10</v>
      </c>
      <c r="H1137" s="21"/>
      <c r="I1137" s="22">
        <f t="shared" si="17"/>
        <v>10</v>
      </c>
      <c r="J1137" t="e">
        <f>VLOOKUP(B1137,'[1]KT 광점퍼코드(수익률)'!$A$4:$P$243,16,0)</f>
        <v>#N/A</v>
      </c>
    </row>
    <row r="1138" spans="1:10" ht="15.75" hidden="1" customHeight="1">
      <c r="A1138" s="23">
        <v>1135</v>
      </c>
      <c r="B1138" s="24" t="s">
        <v>3318</v>
      </c>
      <c r="C1138" s="24" t="s">
        <v>3319</v>
      </c>
      <c r="D1138" s="24"/>
      <c r="E1138" s="25"/>
      <c r="F1138" s="25"/>
      <c r="G1138" s="25">
        <v>10</v>
      </c>
      <c r="H1138" s="25"/>
      <c r="I1138" s="22">
        <f t="shared" si="17"/>
        <v>10</v>
      </c>
      <c r="J1138" t="e">
        <f>VLOOKUP(B1138,'[1]KT 광점퍼코드(수익률)'!$A$4:$P$243,16,0)</f>
        <v>#N/A</v>
      </c>
    </row>
    <row r="1139" spans="1:10" ht="15.75" hidden="1" customHeight="1">
      <c r="A1139" s="19">
        <v>1136</v>
      </c>
      <c r="B1139" s="20" t="s">
        <v>3320</v>
      </c>
      <c r="C1139" s="20" t="s">
        <v>3321</v>
      </c>
      <c r="D1139" s="20"/>
      <c r="E1139" s="21"/>
      <c r="F1139" s="21"/>
      <c r="G1139" s="21">
        <v>10</v>
      </c>
      <c r="H1139" s="21"/>
      <c r="I1139" s="22">
        <f t="shared" si="17"/>
        <v>10</v>
      </c>
      <c r="J1139" t="e">
        <f>VLOOKUP(B1139,'[1]KT 광점퍼코드(수익률)'!$A$4:$P$243,16,0)</f>
        <v>#N/A</v>
      </c>
    </row>
    <row r="1140" spans="1:10" ht="15.75" hidden="1" customHeight="1">
      <c r="A1140" s="23">
        <v>1137</v>
      </c>
      <c r="B1140" s="24" t="s">
        <v>3322</v>
      </c>
      <c r="C1140" s="24" t="s">
        <v>3323</v>
      </c>
      <c r="D1140" s="24"/>
      <c r="E1140" s="25"/>
      <c r="F1140" s="25"/>
      <c r="G1140" s="25">
        <v>10</v>
      </c>
      <c r="H1140" s="25"/>
      <c r="I1140" s="22">
        <f t="shared" si="17"/>
        <v>10</v>
      </c>
      <c r="J1140" t="e">
        <f>VLOOKUP(B1140,'[1]KT 광점퍼코드(수익률)'!$A$4:$P$243,16,0)</f>
        <v>#N/A</v>
      </c>
    </row>
    <row r="1141" spans="1:10" ht="15.75" hidden="1" customHeight="1">
      <c r="A1141" s="19">
        <v>1138</v>
      </c>
      <c r="B1141" s="20" t="s">
        <v>3465</v>
      </c>
      <c r="C1141" s="20" t="s">
        <v>367</v>
      </c>
      <c r="D1141" s="20" t="s">
        <v>3466</v>
      </c>
      <c r="E1141" s="21"/>
      <c r="F1141" s="21"/>
      <c r="G1141" s="21"/>
      <c r="H1141" s="21">
        <v>1020</v>
      </c>
      <c r="I1141" s="22">
        <f t="shared" si="17"/>
        <v>1020</v>
      </c>
      <c r="J1141" t="e">
        <f>VLOOKUP(B1141,'[1]KT 광점퍼코드(수익률)'!$A$4:$P$243,16,0)</f>
        <v>#N/A</v>
      </c>
    </row>
    <row r="1142" spans="1:10" ht="15.75" hidden="1" customHeight="1">
      <c r="A1142" s="23">
        <v>1139</v>
      </c>
      <c r="B1142" s="24" t="s">
        <v>3467</v>
      </c>
      <c r="C1142" s="24" t="s">
        <v>351</v>
      </c>
      <c r="D1142" s="24" t="s">
        <v>3468</v>
      </c>
      <c r="E1142" s="25"/>
      <c r="F1142" s="25"/>
      <c r="G1142" s="25"/>
      <c r="H1142" s="25">
        <v>1010</v>
      </c>
      <c r="I1142" s="22">
        <f t="shared" si="17"/>
        <v>1010</v>
      </c>
      <c r="J1142" t="e">
        <f>VLOOKUP(B1142,'[1]KT 광점퍼코드(수익률)'!$A$4:$P$243,16,0)</f>
        <v>#N/A</v>
      </c>
    </row>
    <row r="1143" spans="1:10" ht="15.75" hidden="1" customHeight="1">
      <c r="A1143" s="19">
        <v>1140</v>
      </c>
      <c r="B1143" s="20" t="s">
        <v>3469</v>
      </c>
      <c r="C1143" s="20" t="s">
        <v>779</v>
      </c>
      <c r="D1143" s="20" t="s">
        <v>3470</v>
      </c>
      <c r="E1143" s="21"/>
      <c r="F1143" s="21"/>
      <c r="G1143" s="21"/>
      <c r="H1143" s="21">
        <v>1550</v>
      </c>
      <c r="I1143" s="22">
        <f t="shared" si="17"/>
        <v>1550</v>
      </c>
      <c r="J1143" t="e">
        <f>VLOOKUP(B1143,'[1]KT 광점퍼코드(수익률)'!$A$4:$P$243,16,0)</f>
        <v>#N/A</v>
      </c>
    </row>
    <row r="1144" spans="1:10" ht="15.75" hidden="1" customHeight="1">
      <c r="A1144" s="23">
        <v>1141</v>
      </c>
      <c r="B1144" s="24" t="s">
        <v>3471</v>
      </c>
      <c r="C1144" s="24" t="s">
        <v>802</v>
      </c>
      <c r="D1144" s="24" t="s">
        <v>3472</v>
      </c>
      <c r="E1144" s="25"/>
      <c r="F1144" s="25"/>
      <c r="G1144" s="25"/>
      <c r="H1144" s="25">
        <v>1118</v>
      </c>
      <c r="I1144" s="22">
        <f t="shared" si="17"/>
        <v>1118</v>
      </c>
      <c r="J1144" t="e">
        <f>VLOOKUP(B1144,'[1]KT 광점퍼코드(수익률)'!$A$4:$P$243,16,0)</f>
        <v>#N/A</v>
      </c>
    </row>
    <row r="1145" spans="1:10" ht="15.75" hidden="1" customHeight="1">
      <c r="A1145" s="19">
        <v>1142</v>
      </c>
      <c r="B1145" s="20" t="s">
        <v>3473</v>
      </c>
      <c r="C1145" s="20" t="s">
        <v>823</v>
      </c>
      <c r="D1145" s="20" t="s">
        <v>3474</v>
      </c>
      <c r="E1145" s="21"/>
      <c r="F1145" s="21"/>
      <c r="G1145" s="21"/>
      <c r="H1145" s="21">
        <v>1230</v>
      </c>
      <c r="I1145" s="22">
        <f t="shared" si="17"/>
        <v>1230</v>
      </c>
      <c r="J1145" t="e">
        <f>VLOOKUP(B1145,'[1]KT 광점퍼코드(수익률)'!$A$4:$P$243,16,0)</f>
        <v>#N/A</v>
      </c>
    </row>
    <row r="1146" spans="1:10" ht="15.75" hidden="1" customHeight="1">
      <c r="A1146" s="23">
        <v>1143</v>
      </c>
      <c r="B1146" s="24" t="s">
        <v>3475</v>
      </c>
      <c r="C1146" s="24" t="s">
        <v>835</v>
      </c>
      <c r="D1146" s="24" t="s">
        <v>3476</v>
      </c>
      <c r="E1146" s="25"/>
      <c r="F1146" s="25"/>
      <c r="G1146" s="25"/>
      <c r="H1146" s="25">
        <v>1000</v>
      </c>
      <c r="I1146" s="22">
        <f t="shared" si="17"/>
        <v>1000</v>
      </c>
      <c r="J1146" t="e">
        <f>VLOOKUP(B1146,'[1]KT 광점퍼코드(수익률)'!$A$4:$P$243,16,0)</f>
        <v>#N/A</v>
      </c>
    </row>
    <row r="1147" spans="1:10" ht="15.75" hidden="1" customHeight="1">
      <c r="A1147" s="19">
        <v>1144</v>
      </c>
      <c r="B1147" s="20" t="s">
        <v>3477</v>
      </c>
      <c r="C1147" s="20" t="s">
        <v>849</v>
      </c>
      <c r="D1147" s="20" t="s">
        <v>3478</v>
      </c>
      <c r="E1147" s="21"/>
      <c r="F1147" s="21"/>
      <c r="G1147" s="21"/>
      <c r="H1147" s="21">
        <v>150</v>
      </c>
      <c r="I1147" s="22">
        <f t="shared" si="17"/>
        <v>150</v>
      </c>
      <c r="J1147" t="e">
        <f>VLOOKUP(B1147,'[1]KT 광점퍼코드(수익률)'!$A$4:$P$243,16,0)</f>
        <v>#N/A</v>
      </c>
    </row>
    <row r="1148" spans="1:10" ht="15.75" hidden="1" customHeight="1">
      <c r="A1148" s="23">
        <v>1145</v>
      </c>
      <c r="B1148" s="24" t="s">
        <v>3479</v>
      </c>
      <c r="C1148" s="24" t="s">
        <v>855</v>
      </c>
      <c r="D1148" s="24" t="s">
        <v>3480</v>
      </c>
      <c r="E1148" s="25"/>
      <c r="F1148" s="25"/>
      <c r="G1148" s="25"/>
      <c r="H1148" s="25">
        <v>150</v>
      </c>
      <c r="I1148" s="22">
        <f t="shared" si="17"/>
        <v>150</v>
      </c>
      <c r="J1148" t="e">
        <f>VLOOKUP(B1148,'[1]KT 광점퍼코드(수익률)'!$A$4:$P$243,16,0)</f>
        <v>#N/A</v>
      </c>
    </row>
    <row r="1149" spans="1:10" ht="15.75" hidden="1" customHeight="1">
      <c r="A1149" s="19">
        <v>1146</v>
      </c>
      <c r="B1149" s="20" t="s">
        <v>3481</v>
      </c>
      <c r="C1149" s="20" t="s">
        <v>875</v>
      </c>
      <c r="D1149" s="20" t="s">
        <v>3482</v>
      </c>
      <c r="E1149" s="21"/>
      <c r="F1149" s="21"/>
      <c r="G1149" s="21"/>
      <c r="H1149" s="21">
        <v>150</v>
      </c>
      <c r="I1149" s="22">
        <f t="shared" si="17"/>
        <v>150</v>
      </c>
      <c r="J1149" t="e">
        <f>VLOOKUP(B1149,'[1]KT 광점퍼코드(수익률)'!$A$4:$P$243,16,0)</f>
        <v>#N/A</v>
      </c>
    </row>
    <row r="1150" spans="1:10" ht="15.75" hidden="1" customHeight="1">
      <c r="A1150" s="23">
        <v>1147</v>
      </c>
      <c r="B1150" s="24" t="s">
        <v>3483</v>
      </c>
      <c r="C1150" s="24" t="s">
        <v>776</v>
      </c>
      <c r="D1150" s="24" t="s">
        <v>3484</v>
      </c>
      <c r="E1150" s="25"/>
      <c r="F1150" s="25"/>
      <c r="G1150" s="25"/>
      <c r="H1150" s="25">
        <v>100</v>
      </c>
      <c r="I1150" s="22">
        <f t="shared" si="17"/>
        <v>100</v>
      </c>
      <c r="J1150" t="e">
        <f>VLOOKUP(B1150,'[1]KT 광점퍼코드(수익률)'!$A$4:$P$243,16,0)</f>
        <v>#N/A</v>
      </c>
    </row>
    <row r="1151" spans="1:10" ht="15.75" hidden="1" customHeight="1">
      <c r="A1151" s="19">
        <v>1148</v>
      </c>
      <c r="B1151" s="20" t="s">
        <v>3485</v>
      </c>
      <c r="C1151" s="20" t="s">
        <v>820</v>
      </c>
      <c r="D1151" s="20" t="s">
        <v>3486</v>
      </c>
      <c r="E1151" s="21"/>
      <c r="F1151" s="21"/>
      <c r="G1151" s="21"/>
      <c r="H1151" s="21">
        <v>100</v>
      </c>
      <c r="I1151" s="22">
        <f t="shared" si="17"/>
        <v>100</v>
      </c>
      <c r="J1151" t="e">
        <f>VLOOKUP(B1151,'[1]KT 광점퍼코드(수익률)'!$A$4:$P$243,16,0)</f>
        <v>#N/A</v>
      </c>
    </row>
    <row r="1152" spans="1:10" ht="15.75" hidden="1" customHeight="1">
      <c r="A1152" s="23">
        <v>1149</v>
      </c>
      <c r="B1152" s="24" t="s">
        <v>3487</v>
      </c>
      <c r="C1152" s="24" t="s">
        <v>846</v>
      </c>
      <c r="D1152" s="24" t="s">
        <v>3488</v>
      </c>
      <c r="E1152" s="25"/>
      <c r="F1152" s="25"/>
      <c r="G1152" s="25"/>
      <c r="H1152" s="25">
        <v>100</v>
      </c>
      <c r="I1152" s="22">
        <f t="shared" si="17"/>
        <v>100</v>
      </c>
      <c r="J1152" t="e">
        <f>VLOOKUP(B1152,'[1]KT 광점퍼코드(수익률)'!$A$4:$P$243,16,0)</f>
        <v>#N/A</v>
      </c>
    </row>
    <row r="1153" spans="1:10" ht="15.75" hidden="1" customHeight="1">
      <c r="A1153" s="19">
        <v>1150</v>
      </c>
      <c r="B1153" s="20" t="s">
        <v>3489</v>
      </c>
      <c r="C1153" s="20" t="s">
        <v>872</v>
      </c>
      <c r="D1153" s="20" t="s">
        <v>3490</v>
      </c>
      <c r="E1153" s="21"/>
      <c r="F1153" s="21"/>
      <c r="G1153" s="21"/>
      <c r="H1153" s="21">
        <v>100</v>
      </c>
      <c r="I1153" s="22">
        <f t="shared" si="17"/>
        <v>100</v>
      </c>
      <c r="J1153" t="e">
        <f>VLOOKUP(B1153,'[1]KT 광점퍼코드(수익률)'!$A$4:$P$243,16,0)</f>
        <v>#N/A</v>
      </c>
    </row>
    <row r="1154" spans="1:10" ht="15.75" hidden="1" customHeight="1">
      <c r="A1154" s="23">
        <v>1151</v>
      </c>
      <c r="B1154" s="24" t="s">
        <v>3491</v>
      </c>
      <c r="C1154" s="24" t="s">
        <v>681</v>
      </c>
      <c r="D1154" s="24" t="s">
        <v>3492</v>
      </c>
      <c r="E1154" s="25"/>
      <c r="F1154" s="25"/>
      <c r="G1154" s="25"/>
      <c r="H1154" s="25">
        <v>30</v>
      </c>
      <c r="I1154" s="22">
        <f t="shared" si="17"/>
        <v>30</v>
      </c>
      <c r="J1154" t="e">
        <f>VLOOKUP(B1154,'[1]KT 광점퍼코드(수익률)'!$A$4:$P$243,16,0)</f>
        <v>#N/A</v>
      </c>
    </row>
    <row r="1155" spans="1:10" ht="15.75" hidden="1" customHeight="1">
      <c r="A1155" s="19">
        <v>1152</v>
      </c>
      <c r="B1155" s="20" t="s">
        <v>3493</v>
      </c>
      <c r="C1155" s="20" t="s">
        <v>700</v>
      </c>
      <c r="D1155" s="20" t="s">
        <v>3494</v>
      </c>
      <c r="E1155" s="21"/>
      <c r="F1155" s="21"/>
      <c r="G1155" s="21"/>
      <c r="H1155" s="21">
        <v>10</v>
      </c>
      <c r="I1155" s="22">
        <f t="shared" si="17"/>
        <v>10</v>
      </c>
      <c r="J1155" t="e">
        <f>VLOOKUP(B1155,'[1]KT 광점퍼코드(수익률)'!$A$4:$P$243,16,0)</f>
        <v>#N/A</v>
      </c>
    </row>
    <row r="1156" spans="1:10" ht="15.75" hidden="1" customHeight="1">
      <c r="A1156" s="23">
        <v>1153</v>
      </c>
      <c r="B1156" s="24" t="s">
        <v>3495</v>
      </c>
      <c r="C1156" s="24" t="s">
        <v>744</v>
      </c>
      <c r="D1156" s="24" t="s">
        <v>3496</v>
      </c>
      <c r="E1156" s="25"/>
      <c r="F1156" s="25"/>
      <c r="G1156" s="25"/>
      <c r="H1156" s="25">
        <v>452</v>
      </c>
      <c r="I1156" s="22">
        <f t="shared" ref="I1156:I1219" si="18">SUM(E1156:H1156)</f>
        <v>452</v>
      </c>
      <c r="J1156" t="e">
        <f>VLOOKUP(B1156,'[1]KT 광점퍼코드(수익률)'!$A$4:$P$243,16,0)</f>
        <v>#N/A</v>
      </c>
    </row>
    <row r="1157" spans="1:10" ht="15.75" hidden="1" customHeight="1">
      <c r="A1157" s="19">
        <v>1154</v>
      </c>
      <c r="B1157" s="20" t="s">
        <v>3497</v>
      </c>
      <c r="C1157" s="20" t="s">
        <v>357</v>
      </c>
      <c r="D1157" s="20" t="s">
        <v>3498</v>
      </c>
      <c r="E1157" s="21"/>
      <c r="F1157" s="21"/>
      <c r="G1157" s="21"/>
      <c r="H1157" s="21">
        <v>1162</v>
      </c>
      <c r="I1157" s="22">
        <f t="shared" si="18"/>
        <v>1162</v>
      </c>
      <c r="J1157" t="e">
        <f>VLOOKUP(B1157,'[1]KT 광점퍼코드(수익률)'!$A$4:$P$243,16,0)</f>
        <v>#N/A</v>
      </c>
    </row>
    <row r="1158" spans="1:10" ht="15.75" hidden="1" customHeight="1">
      <c r="A1158" s="23">
        <v>1155</v>
      </c>
      <c r="B1158" s="24" t="s">
        <v>3499</v>
      </c>
      <c r="C1158" s="24" t="s">
        <v>524</v>
      </c>
      <c r="D1158" s="24" t="s">
        <v>3500</v>
      </c>
      <c r="E1158" s="25"/>
      <c r="F1158" s="25"/>
      <c r="G1158" s="25"/>
      <c r="H1158" s="25">
        <v>10</v>
      </c>
      <c r="I1158" s="22">
        <f t="shared" si="18"/>
        <v>10</v>
      </c>
      <c r="J1158" t="e">
        <f>VLOOKUP(B1158,'[1]KT 광점퍼코드(수익률)'!$A$4:$P$243,16,0)</f>
        <v>#N/A</v>
      </c>
    </row>
    <row r="1159" spans="1:10" ht="15.75" hidden="1" customHeight="1">
      <c r="A1159" s="19">
        <v>1156</v>
      </c>
      <c r="B1159" s="20" t="s">
        <v>3501</v>
      </c>
      <c r="C1159" s="20" t="s">
        <v>516</v>
      </c>
      <c r="D1159" s="20" t="s">
        <v>3502</v>
      </c>
      <c r="E1159" s="21"/>
      <c r="F1159" s="21"/>
      <c r="G1159" s="21"/>
      <c r="H1159" s="21">
        <v>1020</v>
      </c>
      <c r="I1159" s="22">
        <f t="shared" si="18"/>
        <v>1020</v>
      </c>
      <c r="J1159" t="e">
        <f>VLOOKUP(B1159,'[1]KT 광점퍼코드(수익률)'!$A$4:$P$243,16,0)</f>
        <v>#N/A</v>
      </c>
    </row>
    <row r="1160" spans="1:10" ht="15.75" hidden="1" customHeight="1">
      <c r="A1160" s="23">
        <v>1157</v>
      </c>
      <c r="B1160" s="24" t="s">
        <v>3503</v>
      </c>
      <c r="C1160" s="24" t="s">
        <v>3504</v>
      </c>
      <c r="D1160" s="24" t="s">
        <v>59</v>
      </c>
      <c r="E1160" s="25"/>
      <c r="F1160" s="25"/>
      <c r="G1160" s="25"/>
      <c r="H1160" s="25">
        <v>1</v>
      </c>
      <c r="I1160" s="22">
        <f t="shared" si="18"/>
        <v>1</v>
      </c>
      <c r="J1160" t="e">
        <f>VLOOKUP(B1160,'[1]KT 광점퍼코드(수익률)'!$A$4:$P$243,16,0)</f>
        <v>#N/A</v>
      </c>
    </row>
    <row r="1161" spans="1:10" ht="15.75" hidden="1" customHeight="1">
      <c r="A1161" s="19">
        <v>1158</v>
      </c>
      <c r="B1161" s="20" t="s">
        <v>1349</v>
      </c>
      <c r="C1161" s="20" t="s">
        <v>1350</v>
      </c>
      <c r="D1161" s="20" t="s">
        <v>32</v>
      </c>
      <c r="E1161" s="21">
        <v>20</v>
      </c>
      <c r="F1161" s="21"/>
      <c r="G1161" s="21">
        <v>12</v>
      </c>
      <c r="H1161" s="21"/>
      <c r="I1161" s="22">
        <f t="shared" si="18"/>
        <v>32</v>
      </c>
      <c r="J1161" t="e">
        <f>VLOOKUP(B1161,'[1]KT 광점퍼코드(수익률)'!$A$4:$P$243,16,0)</f>
        <v>#N/A</v>
      </c>
    </row>
    <row r="1162" spans="1:10" ht="15.75" hidden="1" customHeight="1">
      <c r="A1162" s="23">
        <v>1159</v>
      </c>
      <c r="B1162" s="24" t="s">
        <v>1351</v>
      </c>
      <c r="C1162" s="24" t="s">
        <v>1350</v>
      </c>
      <c r="D1162" s="24" t="s">
        <v>184</v>
      </c>
      <c r="E1162" s="25">
        <v>35</v>
      </c>
      <c r="F1162" s="25"/>
      <c r="G1162" s="25"/>
      <c r="H1162" s="25"/>
      <c r="I1162" s="22">
        <f t="shared" si="18"/>
        <v>35</v>
      </c>
      <c r="J1162" t="e">
        <f>VLOOKUP(B1162,'[1]KT 광점퍼코드(수익률)'!$A$4:$P$243,16,0)</f>
        <v>#N/A</v>
      </c>
    </row>
    <row r="1163" spans="1:10" ht="15.75" hidden="1" customHeight="1">
      <c r="A1163" s="19">
        <v>1160</v>
      </c>
      <c r="B1163" s="20" t="s">
        <v>1352</v>
      </c>
      <c r="C1163" s="20" t="s">
        <v>1350</v>
      </c>
      <c r="D1163" s="20" t="s">
        <v>22</v>
      </c>
      <c r="E1163" s="21">
        <v>20</v>
      </c>
      <c r="F1163" s="21"/>
      <c r="G1163" s="21"/>
      <c r="H1163" s="21"/>
      <c r="I1163" s="22">
        <f t="shared" si="18"/>
        <v>20</v>
      </c>
      <c r="J1163" t="e">
        <f>VLOOKUP(B1163,'[1]KT 광점퍼코드(수익률)'!$A$4:$P$243,16,0)</f>
        <v>#N/A</v>
      </c>
    </row>
    <row r="1164" spans="1:10" ht="15.75" hidden="1" customHeight="1">
      <c r="A1164" s="23">
        <v>1161</v>
      </c>
      <c r="B1164" s="24" t="s">
        <v>3324</v>
      </c>
      <c r="C1164" s="24" t="s">
        <v>1350</v>
      </c>
      <c r="D1164" s="24" t="s">
        <v>24</v>
      </c>
      <c r="E1164" s="25"/>
      <c r="F1164" s="25"/>
      <c r="G1164" s="25">
        <v>4</v>
      </c>
      <c r="H1164" s="25">
        <v>6</v>
      </c>
      <c r="I1164" s="22">
        <f t="shared" si="18"/>
        <v>10</v>
      </c>
      <c r="J1164" t="e">
        <f>VLOOKUP(B1164,'[1]KT 광점퍼코드(수익률)'!$A$4:$P$243,16,0)</f>
        <v>#N/A</v>
      </c>
    </row>
    <row r="1165" spans="1:10" ht="15.75" hidden="1" customHeight="1">
      <c r="A1165" s="19">
        <v>1162</v>
      </c>
      <c r="B1165" s="20" t="s">
        <v>1353</v>
      </c>
      <c r="C1165" s="20" t="s">
        <v>1350</v>
      </c>
      <c r="D1165" s="20" t="s">
        <v>57</v>
      </c>
      <c r="E1165" s="21">
        <v>8</v>
      </c>
      <c r="F1165" s="21"/>
      <c r="G1165" s="21"/>
      <c r="H1165" s="21"/>
      <c r="I1165" s="22">
        <f t="shared" si="18"/>
        <v>8</v>
      </c>
      <c r="J1165" t="e">
        <f>VLOOKUP(B1165,'[1]KT 광점퍼코드(수익률)'!$A$4:$P$243,16,0)</f>
        <v>#N/A</v>
      </c>
    </row>
    <row r="1166" spans="1:10" ht="15.75" hidden="1" customHeight="1">
      <c r="A1166" s="23">
        <v>1163</v>
      </c>
      <c r="B1166" s="24" t="s">
        <v>1354</v>
      </c>
      <c r="C1166" s="24" t="s">
        <v>1355</v>
      </c>
      <c r="D1166" s="24" t="s">
        <v>170</v>
      </c>
      <c r="E1166" s="25">
        <v>24</v>
      </c>
      <c r="F1166" s="25"/>
      <c r="G1166" s="25"/>
      <c r="H1166" s="25"/>
      <c r="I1166" s="22">
        <f t="shared" si="18"/>
        <v>24</v>
      </c>
      <c r="J1166" t="e">
        <f>VLOOKUP(B1166,'[1]KT 광점퍼코드(수익률)'!$A$4:$P$243,16,0)</f>
        <v>#N/A</v>
      </c>
    </row>
    <row r="1167" spans="1:10" ht="15.75" hidden="1" customHeight="1">
      <c r="A1167" s="19">
        <v>1164</v>
      </c>
      <c r="B1167" s="20" t="s">
        <v>1356</v>
      </c>
      <c r="C1167" s="20" t="s">
        <v>1357</v>
      </c>
      <c r="D1167" s="20" t="s">
        <v>20</v>
      </c>
      <c r="E1167" s="21">
        <v>97</v>
      </c>
      <c r="F1167" s="21"/>
      <c r="G1167" s="21"/>
      <c r="H1167" s="21"/>
      <c r="I1167" s="22">
        <f t="shared" si="18"/>
        <v>97</v>
      </c>
      <c r="J1167" t="e">
        <f>VLOOKUP(B1167,'[1]KT 광점퍼코드(수익률)'!$A$4:$P$243,16,0)</f>
        <v>#N/A</v>
      </c>
    </row>
    <row r="1168" spans="1:10" ht="15.75" hidden="1" customHeight="1">
      <c r="A1168" s="23">
        <v>1165</v>
      </c>
      <c r="B1168" s="24" t="s">
        <v>1358</v>
      </c>
      <c r="C1168" s="24" t="s">
        <v>1357</v>
      </c>
      <c r="D1168" s="24" t="s">
        <v>170</v>
      </c>
      <c r="E1168" s="25">
        <v>20</v>
      </c>
      <c r="F1168" s="25"/>
      <c r="G1168" s="25"/>
      <c r="H1168" s="25"/>
      <c r="I1168" s="22">
        <f t="shared" si="18"/>
        <v>20</v>
      </c>
      <c r="J1168" t="e">
        <f>VLOOKUP(B1168,'[1]KT 광점퍼코드(수익률)'!$A$4:$P$243,16,0)</f>
        <v>#N/A</v>
      </c>
    </row>
    <row r="1169" spans="1:10" ht="15.75" hidden="1" customHeight="1">
      <c r="A1169" s="19">
        <v>1166</v>
      </c>
      <c r="B1169" s="20" t="s">
        <v>1359</v>
      </c>
      <c r="C1169" s="20" t="s">
        <v>1357</v>
      </c>
      <c r="D1169" s="20" t="s">
        <v>32</v>
      </c>
      <c r="E1169" s="21">
        <v>31</v>
      </c>
      <c r="F1169" s="21"/>
      <c r="G1169" s="21"/>
      <c r="H1169" s="21"/>
      <c r="I1169" s="22">
        <f t="shared" si="18"/>
        <v>31</v>
      </c>
      <c r="J1169" t="e">
        <f>VLOOKUP(B1169,'[1]KT 광점퍼코드(수익률)'!$A$4:$P$243,16,0)</f>
        <v>#N/A</v>
      </c>
    </row>
    <row r="1170" spans="1:10" ht="15.75" hidden="1" customHeight="1">
      <c r="A1170" s="23">
        <v>1167</v>
      </c>
      <c r="B1170" s="24" t="s">
        <v>2759</v>
      </c>
      <c r="C1170" s="24" t="s">
        <v>1357</v>
      </c>
      <c r="D1170" s="24" t="s">
        <v>186</v>
      </c>
      <c r="E1170" s="25"/>
      <c r="F1170" s="25">
        <v>5</v>
      </c>
      <c r="G1170" s="25"/>
      <c r="H1170" s="25"/>
      <c r="I1170" s="22">
        <f t="shared" si="18"/>
        <v>5</v>
      </c>
      <c r="J1170" t="e">
        <f>VLOOKUP(B1170,'[1]KT 광점퍼코드(수익률)'!$A$4:$P$243,16,0)</f>
        <v>#N/A</v>
      </c>
    </row>
    <row r="1171" spans="1:10" ht="15.75" hidden="1" customHeight="1">
      <c r="A1171" s="19">
        <v>1168</v>
      </c>
      <c r="B1171" s="20" t="s">
        <v>2760</v>
      </c>
      <c r="C1171" s="20" t="s">
        <v>1357</v>
      </c>
      <c r="D1171" s="20" t="s">
        <v>22</v>
      </c>
      <c r="E1171" s="21"/>
      <c r="F1171" s="21">
        <v>30</v>
      </c>
      <c r="G1171" s="21"/>
      <c r="H1171" s="21"/>
      <c r="I1171" s="22">
        <f t="shared" si="18"/>
        <v>30</v>
      </c>
      <c r="J1171" t="e">
        <f>VLOOKUP(B1171,'[1]KT 광점퍼코드(수익률)'!$A$4:$P$243,16,0)</f>
        <v>#N/A</v>
      </c>
    </row>
    <row r="1172" spans="1:10" ht="15.75" hidden="1" customHeight="1">
      <c r="A1172" s="23">
        <v>1169</v>
      </c>
      <c r="B1172" s="24" t="s">
        <v>1360</v>
      </c>
      <c r="C1172" s="24" t="s">
        <v>1357</v>
      </c>
      <c r="D1172" s="24" t="s">
        <v>26</v>
      </c>
      <c r="E1172" s="25">
        <v>344</v>
      </c>
      <c r="F1172" s="25"/>
      <c r="G1172" s="25"/>
      <c r="H1172" s="25"/>
      <c r="I1172" s="22">
        <f t="shared" si="18"/>
        <v>344</v>
      </c>
      <c r="J1172" t="e">
        <f>VLOOKUP(B1172,'[1]KT 광점퍼코드(수익률)'!$A$4:$P$243,16,0)</f>
        <v>#N/A</v>
      </c>
    </row>
    <row r="1173" spans="1:10" ht="15.75" hidden="1" customHeight="1">
      <c r="A1173" s="19">
        <v>1170</v>
      </c>
      <c r="B1173" s="20" t="s">
        <v>1361</v>
      </c>
      <c r="C1173" s="20" t="s">
        <v>1357</v>
      </c>
      <c r="D1173" s="20" t="s">
        <v>57</v>
      </c>
      <c r="E1173" s="21">
        <v>30</v>
      </c>
      <c r="F1173" s="21"/>
      <c r="G1173" s="21"/>
      <c r="H1173" s="21"/>
      <c r="I1173" s="22">
        <f t="shared" si="18"/>
        <v>30</v>
      </c>
      <c r="J1173" t="e">
        <f>VLOOKUP(B1173,'[1]KT 광점퍼코드(수익률)'!$A$4:$P$243,16,0)</f>
        <v>#N/A</v>
      </c>
    </row>
    <row r="1174" spans="1:10" ht="15.75" hidden="1" customHeight="1">
      <c r="A1174" s="23">
        <v>1171</v>
      </c>
      <c r="B1174" s="24" t="s">
        <v>2761</v>
      </c>
      <c r="C1174" s="24" t="s">
        <v>1357</v>
      </c>
      <c r="D1174" s="24" t="s">
        <v>259</v>
      </c>
      <c r="E1174" s="25"/>
      <c r="F1174" s="25">
        <v>40</v>
      </c>
      <c r="G1174" s="25"/>
      <c r="H1174" s="25"/>
      <c r="I1174" s="22">
        <f t="shared" si="18"/>
        <v>40</v>
      </c>
      <c r="J1174" t="e">
        <f>VLOOKUP(B1174,'[1]KT 광점퍼코드(수익률)'!$A$4:$P$243,16,0)</f>
        <v>#N/A</v>
      </c>
    </row>
    <row r="1175" spans="1:10" ht="15.75" hidden="1" customHeight="1">
      <c r="A1175" s="19">
        <v>1172</v>
      </c>
      <c r="B1175" s="20" t="s">
        <v>1362</v>
      </c>
      <c r="C1175" s="20" t="s">
        <v>1363</v>
      </c>
      <c r="D1175" s="20" t="s">
        <v>20</v>
      </c>
      <c r="E1175" s="21">
        <v>42</v>
      </c>
      <c r="F1175" s="21"/>
      <c r="G1175" s="21"/>
      <c r="H1175" s="21"/>
      <c r="I1175" s="22">
        <f t="shared" si="18"/>
        <v>42</v>
      </c>
      <c r="J1175" t="e">
        <f>VLOOKUP(B1175,'[1]KT 광점퍼코드(수익률)'!$A$4:$P$243,16,0)</f>
        <v>#N/A</v>
      </c>
    </row>
    <row r="1176" spans="1:10" ht="15.75" hidden="1" customHeight="1">
      <c r="A1176" s="23">
        <v>1173</v>
      </c>
      <c r="B1176" s="24" t="s">
        <v>1364</v>
      </c>
      <c r="C1176" s="24" t="s">
        <v>1363</v>
      </c>
      <c r="D1176" s="24" t="s">
        <v>32</v>
      </c>
      <c r="E1176" s="25">
        <v>6</v>
      </c>
      <c r="F1176" s="25"/>
      <c r="G1176" s="25"/>
      <c r="H1176" s="25"/>
      <c r="I1176" s="22">
        <f t="shared" si="18"/>
        <v>6</v>
      </c>
      <c r="J1176" t="e">
        <f>VLOOKUP(B1176,'[1]KT 광점퍼코드(수익률)'!$A$4:$P$243,16,0)</f>
        <v>#N/A</v>
      </c>
    </row>
    <row r="1177" spans="1:10" ht="15.75" hidden="1" customHeight="1">
      <c r="A1177" s="19">
        <v>1174</v>
      </c>
      <c r="B1177" s="20" t="s">
        <v>1365</v>
      </c>
      <c r="C1177" s="20" t="s">
        <v>1363</v>
      </c>
      <c r="D1177" s="20" t="s">
        <v>22</v>
      </c>
      <c r="E1177" s="21">
        <v>20</v>
      </c>
      <c r="F1177" s="21"/>
      <c r="G1177" s="21"/>
      <c r="H1177" s="21"/>
      <c r="I1177" s="22">
        <f t="shared" si="18"/>
        <v>20</v>
      </c>
      <c r="J1177" t="e">
        <f>VLOOKUP(B1177,'[1]KT 광점퍼코드(수익률)'!$A$4:$P$243,16,0)</f>
        <v>#N/A</v>
      </c>
    </row>
    <row r="1178" spans="1:10" ht="15.75" hidden="1" customHeight="1">
      <c r="A1178" s="23">
        <v>1175</v>
      </c>
      <c r="B1178" s="24" t="s">
        <v>1366</v>
      </c>
      <c r="C1178" s="24" t="s">
        <v>1363</v>
      </c>
      <c r="D1178" s="24" t="s">
        <v>26</v>
      </c>
      <c r="E1178" s="25">
        <v>59</v>
      </c>
      <c r="F1178" s="25"/>
      <c r="G1178" s="25"/>
      <c r="H1178" s="25"/>
      <c r="I1178" s="22">
        <f t="shared" si="18"/>
        <v>59</v>
      </c>
      <c r="J1178" t="e">
        <f>VLOOKUP(B1178,'[1]KT 광점퍼코드(수익률)'!$A$4:$P$243,16,0)</f>
        <v>#N/A</v>
      </c>
    </row>
    <row r="1179" spans="1:10" ht="15.75" hidden="1" customHeight="1">
      <c r="A1179" s="19">
        <v>1176</v>
      </c>
      <c r="B1179" s="20" t="s">
        <v>1367</v>
      </c>
      <c r="C1179" s="20" t="s">
        <v>1363</v>
      </c>
      <c r="D1179" s="20" t="s">
        <v>57</v>
      </c>
      <c r="E1179" s="21">
        <v>27</v>
      </c>
      <c r="F1179" s="21"/>
      <c r="G1179" s="21"/>
      <c r="H1179" s="21"/>
      <c r="I1179" s="22">
        <f t="shared" si="18"/>
        <v>27</v>
      </c>
      <c r="J1179" t="e">
        <f>VLOOKUP(B1179,'[1]KT 광점퍼코드(수익률)'!$A$4:$P$243,16,0)</f>
        <v>#N/A</v>
      </c>
    </row>
    <row r="1180" spans="1:10" ht="15.75" hidden="1" customHeight="1">
      <c r="A1180" s="23">
        <v>1177</v>
      </c>
      <c r="B1180" s="24" t="s">
        <v>1368</v>
      </c>
      <c r="C1180" s="24" t="s">
        <v>1355</v>
      </c>
      <c r="D1180" s="24" t="s">
        <v>259</v>
      </c>
      <c r="E1180" s="25">
        <v>54</v>
      </c>
      <c r="F1180" s="25"/>
      <c r="G1180" s="25"/>
      <c r="H1180" s="25"/>
      <c r="I1180" s="22">
        <f t="shared" si="18"/>
        <v>54</v>
      </c>
      <c r="J1180" t="e">
        <f>VLOOKUP(B1180,'[1]KT 광점퍼코드(수익률)'!$A$4:$P$243,16,0)</f>
        <v>#N/A</v>
      </c>
    </row>
    <row r="1181" spans="1:10" ht="15.75" hidden="1" customHeight="1">
      <c r="A1181" s="19">
        <v>1178</v>
      </c>
      <c r="B1181" s="20" t="s">
        <v>1369</v>
      </c>
      <c r="C1181" s="20" t="s">
        <v>1370</v>
      </c>
      <c r="D1181" s="20" t="s">
        <v>20</v>
      </c>
      <c r="E1181" s="21">
        <v>2</v>
      </c>
      <c r="F1181" s="21"/>
      <c r="G1181" s="21"/>
      <c r="H1181" s="21"/>
      <c r="I1181" s="22">
        <f t="shared" si="18"/>
        <v>2</v>
      </c>
      <c r="J1181" t="e">
        <f>VLOOKUP(B1181,'[1]KT 광점퍼코드(수익률)'!$A$4:$P$243,16,0)</f>
        <v>#N/A</v>
      </c>
    </row>
    <row r="1182" spans="1:10" ht="15.75" hidden="1" customHeight="1">
      <c r="A1182" s="23">
        <v>1179</v>
      </c>
      <c r="B1182" s="24" t="s">
        <v>1371</v>
      </c>
      <c r="C1182" s="24" t="s">
        <v>1370</v>
      </c>
      <c r="D1182" s="24" t="s">
        <v>32</v>
      </c>
      <c r="E1182" s="25">
        <v>20</v>
      </c>
      <c r="F1182" s="25"/>
      <c r="G1182" s="25"/>
      <c r="H1182" s="25"/>
      <c r="I1182" s="22">
        <f t="shared" si="18"/>
        <v>20</v>
      </c>
      <c r="J1182" t="e">
        <f>VLOOKUP(B1182,'[1]KT 광점퍼코드(수익률)'!$A$4:$P$243,16,0)</f>
        <v>#N/A</v>
      </c>
    </row>
    <row r="1183" spans="1:10" ht="15.75" hidden="1" customHeight="1">
      <c r="A1183" s="19">
        <v>1180</v>
      </c>
      <c r="B1183" s="20" t="s">
        <v>1372</v>
      </c>
      <c r="C1183" s="20" t="s">
        <v>1373</v>
      </c>
      <c r="D1183" s="20" t="s">
        <v>20</v>
      </c>
      <c r="E1183" s="21">
        <v>2</v>
      </c>
      <c r="F1183" s="21"/>
      <c r="G1183" s="21"/>
      <c r="H1183" s="21"/>
      <c r="I1183" s="22">
        <f t="shared" si="18"/>
        <v>2</v>
      </c>
      <c r="J1183" t="e">
        <f>VLOOKUP(B1183,'[1]KT 광점퍼코드(수익률)'!$A$4:$P$243,16,0)</f>
        <v>#N/A</v>
      </c>
    </row>
    <row r="1184" spans="1:10" ht="15.75" hidden="1" customHeight="1">
      <c r="A1184" s="23">
        <v>1181</v>
      </c>
      <c r="B1184" s="24" t="s">
        <v>1374</v>
      </c>
      <c r="C1184" s="24" t="s">
        <v>1363</v>
      </c>
      <c r="D1184" s="24" t="s">
        <v>118</v>
      </c>
      <c r="E1184" s="25">
        <v>57</v>
      </c>
      <c r="F1184" s="25">
        <v>49</v>
      </c>
      <c r="G1184" s="25"/>
      <c r="H1184" s="25"/>
      <c r="I1184" s="22">
        <f t="shared" si="18"/>
        <v>106</v>
      </c>
      <c r="J1184" t="e">
        <f>VLOOKUP(B1184,'[1]KT 광점퍼코드(수익률)'!$A$4:$P$243,16,0)</f>
        <v>#N/A</v>
      </c>
    </row>
    <row r="1185" spans="1:10" ht="15.75" hidden="1" customHeight="1">
      <c r="A1185" s="19">
        <v>1182</v>
      </c>
      <c r="B1185" s="20" t="s">
        <v>1375</v>
      </c>
      <c r="C1185" s="20" t="s">
        <v>1357</v>
      </c>
      <c r="D1185" s="20" t="s">
        <v>118</v>
      </c>
      <c r="E1185" s="21">
        <v>13</v>
      </c>
      <c r="F1185" s="21"/>
      <c r="G1185" s="21"/>
      <c r="H1185" s="21"/>
      <c r="I1185" s="22">
        <f t="shared" si="18"/>
        <v>13</v>
      </c>
      <c r="J1185" t="e">
        <f>VLOOKUP(B1185,'[1]KT 광점퍼코드(수익률)'!$A$4:$P$243,16,0)</f>
        <v>#N/A</v>
      </c>
    </row>
    <row r="1186" spans="1:10" ht="15.75" hidden="1" customHeight="1">
      <c r="A1186" s="23">
        <v>1183</v>
      </c>
      <c r="B1186" s="24" t="s">
        <v>1376</v>
      </c>
      <c r="C1186" s="24" t="s">
        <v>1357</v>
      </c>
      <c r="D1186" s="24" t="s">
        <v>24</v>
      </c>
      <c r="E1186" s="25">
        <v>30</v>
      </c>
      <c r="F1186" s="25"/>
      <c r="G1186" s="25"/>
      <c r="H1186" s="25"/>
      <c r="I1186" s="22">
        <f t="shared" si="18"/>
        <v>30</v>
      </c>
      <c r="J1186" t="e">
        <f>VLOOKUP(B1186,'[1]KT 광점퍼코드(수익률)'!$A$4:$P$243,16,0)</f>
        <v>#N/A</v>
      </c>
    </row>
    <row r="1187" spans="1:10" ht="15.75" hidden="1" customHeight="1">
      <c r="A1187" s="19">
        <v>1184</v>
      </c>
      <c r="B1187" s="20" t="s">
        <v>1377</v>
      </c>
      <c r="C1187" s="20" t="s">
        <v>1355</v>
      </c>
      <c r="D1187" s="20" t="s">
        <v>20</v>
      </c>
      <c r="E1187" s="21">
        <v>6</v>
      </c>
      <c r="F1187" s="21"/>
      <c r="G1187" s="21"/>
      <c r="H1187" s="21"/>
      <c r="I1187" s="22">
        <f t="shared" si="18"/>
        <v>6</v>
      </c>
      <c r="J1187" t="e">
        <f>VLOOKUP(B1187,'[1]KT 광점퍼코드(수익률)'!$A$4:$P$243,16,0)</f>
        <v>#N/A</v>
      </c>
    </row>
    <row r="1188" spans="1:10" ht="15.75" hidden="1" customHeight="1">
      <c r="A1188" s="23">
        <v>1185</v>
      </c>
      <c r="B1188" s="24" t="s">
        <v>2762</v>
      </c>
      <c r="C1188" s="24" t="s">
        <v>1382</v>
      </c>
      <c r="D1188" s="24" t="s">
        <v>24</v>
      </c>
      <c r="E1188" s="25"/>
      <c r="F1188" s="25">
        <v>2</v>
      </c>
      <c r="G1188" s="25"/>
      <c r="H1188" s="25"/>
      <c r="I1188" s="22">
        <f t="shared" si="18"/>
        <v>2</v>
      </c>
      <c r="J1188" t="e">
        <f>VLOOKUP(B1188,'[1]KT 광점퍼코드(수익률)'!$A$4:$P$243,16,0)</f>
        <v>#N/A</v>
      </c>
    </row>
    <row r="1189" spans="1:10" ht="15.75" hidden="1" customHeight="1">
      <c r="A1189" s="19">
        <v>1186</v>
      </c>
      <c r="B1189" s="20" t="s">
        <v>1378</v>
      </c>
      <c r="C1189" s="20" t="s">
        <v>1379</v>
      </c>
      <c r="D1189" s="20" t="s">
        <v>24</v>
      </c>
      <c r="E1189" s="21">
        <v>15</v>
      </c>
      <c r="F1189" s="21"/>
      <c r="G1189" s="21"/>
      <c r="H1189" s="21"/>
      <c r="I1189" s="22">
        <f t="shared" si="18"/>
        <v>15</v>
      </c>
      <c r="J1189" t="e">
        <f>VLOOKUP(B1189,'[1]KT 광점퍼코드(수익률)'!$A$4:$P$243,16,0)</f>
        <v>#N/A</v>
      </c>
    </row>
    <row r="1190" spans="1:10" ht="15.75" hidden="1" customHeight="1">
      <c r="A1190" s="23">
        <v>1187</v>
      </c>
      <c r="B1190" s="24" t="s">
        <v>1380</v>
      </c>
      <c r="C1190" s="24" t="s">
        <v>1379</v>
      </c>
      <c r="D1190" s="24" t="s">
        <v>118</v>
      </c>
      <c r="E1190" s="25">
        <v>2</v>
      </c>
      <c r="F1190" s="25"/>
      <c r="G1190" s="25"/>
      <c r="H1190" s="25"/>
      <c r="I1190" s="22">
        <f t="shared" si="18"/>
        <v>2</v>
      </c>
      <c r="J1190" t="e">
        <f>VLOOKUP(B1190,'[1]KT 광점퍼코드(수익률)'!$A$4:$P$243,16,0)</f>
        <v>#N/A</v>
      </c>
    </row>
    <row r="1191" spans="1:10" ht="15.75" hidden="1" customHeight="1">
      <c r="A1191" s="19">
        <v>1188</v>
      </c>
      <c r="B1191" s="20" t="s">
        <v>1381</v>
      </c>
      <c r="C1191" s="20" t="s">
        <v>1382</v>
      </c>
      <c r="D1191" s="20" t="s">
        <v>32</v>
      </c>
      <c r="E1191" s="21">
        <v>6</v>
      </c>
      <c r="F1191" s="21"/>
      <c r="G1191" s="21"/>
      <c r="H1191" s="21"/>
      <c r="I1191" s="22">
        <f t="shared" si="18"/>
        <v>6</v>
      </c>
      <c r="J1191" t="e">
        <f>VLOOKUP(B1191,'[1]KT 광점퍼코드(수익률)'!$A$4:$P$243,16,0)</f>
        <v>#N/A</v>
      </c>
    </row>
    <row r="1192" spans="1:10" ht="15.75" hidden="1" customHeight="1">
      <c r="A1192" s="23">
        <v>1189</v>
      </c>
      <c r="B1192" s="24" t="s">
        <v>1383</v>
      </c>
      <c r="C1192" s="24" t="s">
        <v>1357</v>
      </c>
      <c r="D1192" s="24" t="s">
        <v>1384</v>
      </c>
      <c r="E1192" s="25">
        <v>4</v>
      </c>
      <c r="F1192" s="25"/>
      <c r="G1192" s="25"/>
      <c r="H1192" s="25"/>
      <c r="I1192" s="22">
        <f t="shared" si="18"/>
        <v>4</v>
      </c>
      <c r="J1192" t="e">
        <f>VLOOKUP(B1192,'[1]KT 광점퍼코드(수익률)'!$A$4:$P$243,16,0)</f>
        <v>#N/A</v>
      </c>
    </row>
    <row r="1193" spans="1:10" ht="15.75" hidden="1" customHeight="1">
      <c r="A1193" s="19">
        <v>1190</v>
      </c>
      <c r="B1193" s="20" t="s">
        <v>1385</v>
      </c>
      <c r="C1193" s="20" t="s">
        <v>1357</v>
      </c>
      <c r="D1193" s="20" t="s">
        <v>1386</v>
      </c>
      <c r="E1193" s="21">
        <v>4</v>
      </c>
      <c r="F1193" s="21"/>
      <c r="G1193" s="21"/>
      <c r="H1193" s="21"/>
      <c r="I1193" s="22">
        <f t="shared" si="18"/>
        <v>4</v>
      </c>
      <c r="J1193" t="e">
        <f>VLOOKUP(B1193,'[1]KT 광점퍼코드(수익률)'!$A$4:$P$243,16,0)</f>
        <v>#N/A</v>
      </c>
    </row>
    <row r="1194" spans="1:10" ht="15.75" hidden="1" customHeight="1">
      <c r="A1194" s="23">
        <v>1191</v>
      </c>
      <c r="B1194" s="24" t="s">
        <v>1387</v>
      </c>
      <c r="C1194" s="24" t="s">
        <v>1388</v>
      </c>
      <c r="D1194" s="24" t="s">
        <v>24</v>
      </c>
      <c r="E1194" s="25">
        <v>41</v>
      </c>
      <c r="F1194" s="25"/>
      <c r="G1194" s="25">
        <v>28</v>
      </c>
      <c r="H1194" s="25"/>
      <c r="I1194" s="22">
        <f t="shared" si="18"/>
        <v>69</v>
      </c>
      <c r="J1194" t="e">
        <f>VLOOKUP(B1194,'[1]KT 광점퍼코드(수익률)'!$A$4:$P$243,16,0)</f>
        <v>#N/A</v>
      </c>
    </row>
    <row r="1195" spans="1:10" ht="15.75" hidden="1" customHeight="1">
      <c r="A1195" s="19">
        <v>1192</v>
      </c>
      <c r="B1195" s="20" t="s">
        <v>2763</v>
      </c>
      <c r="C1195" s="20" t="s">
        <v>1390</v>
      </c>
      <c r="D1195" s="20" t="s">
        <v>20</v>
      </c>
      <c r="E1195" s="21"/>
      <c r="F1195" s="21">
        <v>2</v>
      </c>
      <c r="G1195" s="21"/>
      <c r="H1195" s="21"/>
      <c r="I1195" s="22">
        <f t="shared" si="18"/>
        <v>2</v>
      </c>
      <c r="J1195" t="e">
        <f>VLOOKUP(B1195,'[1]KT 광점퍼코드(수익률)'!$A$4:$P$243,16,0)</f>
        <v>#N/A</v>
      </c>
    </row>
    <row r="1196" spans="1:10" ht="15.75" hidden="1" customHeight="1">
      <c r="A1196" s="23">
        <v>1193</v>
      </c>
      <c r="B1196" s="24" t="s">
        <v>1389</v>
      </c>
      <c r="C1196" s="24" t="s">
        <v>1390</v>
      </c>
      <c r="D1196" s="24" t="s">
        <v>57</v>
      </c>
      <c r="E1196" s="25">
        <v>13</v>
      </c>
      <c r="F1196" s="25"/>
      <c r="G1196" s="25"/>
      <c r="H1196" s="25"/>
      <c r="I1196" s="22">
        <f t="shared" si="18"/>
        <v>13</v>
      </c>
      <c r="J1196" t="e">
        <f>VLOOKUP(B1196,'[1]KT 광점퍼코드(수익률)'!$A$4:$P$243,16,0)</f>
        <v>#N/A</v>
      </c>
    </row>
    <row r="1197" spans="1:10" ht="15.75" hidden="1" customHeight="1">
      <c r="A1197" s="19">
        <v>1194</v>
      </c>
      <c r="B1197" s="20" t="s">
        <v>1391</v>
      </c>
      <c r="C1197" s="20" t="s">
        <v>1392</v>
      </c>
      <c r="D1197" s="20" t="s">
        <v>1393</v>
      </c>
      <c r="E1197" s="21">
        <v>30</v>
      </c>
      <c r="F1197" s="21"/>
      <c r="G1197" s="21"/>
      <c r="H1197" s="21"/>
      <c r="I1197" s="22">
        <f t="shared" si="18"/>
        <v>30</v>
      </c>
      <c r="J1197" t="e">
        <f>VLOOKUP(B1197,'[1]KT 광점퍼코드(수익률)'!$A$4:$P$243,16,0)</f>
        <v>#N/A</v>
      </c>
    </row>
    <row r="1198" spans="1:10" ht="15.75" hidden="1" customHeight="1">
      <c r="A1198" s="23">
        <v>1195</v>
      </c>
      <c r="B1198" s="24" t="s">
        <v>2764</v>
      </c>
      <c r="C1198" s="24" t="s">
        <v>1392</v>
      </c>
      <c r="D1198" s="24" t="s">
        <v>47</v>
      </c>
      <c r="E1198" s="25"/>
      <c r="F1198" s="25">
        <v>6</v>
      </c>
      <c r="G1198" s="25"/>
      <c r="H1198" s="25"/>
      <c r="I1198" s="22">
        <f t="shared" si="18"/>
        <v>6</v>
      </c>
      <c r="J1198" t="e">
        <f>VLOOKUP(B1198,'[1]KT 광점퍼코드(수익률)'!$A$4:$P$243,16,0)</f>
        <v>#N/A</v>
      </c>
    </row>
    <row r="1199" spans="1:10" ht="15.75" hidden="1" customHeight="1">
      <c r="A1199" s="19">
        <v>1196</v>
      </c>
      <c r="B1199" s="20" t="s">
        <v>2765</v>
      </c>
      <c r="C1199" s="20" t="s">
        <v>1382</v>
      </c>
      <c r="D1199" s="20" t="s">
        <v>47</v>
      </c>
      <c r="E1199" s="21"/>
      <c r="F1199" s="21">
        <v>4</v>
      </c>
      <c r="G1199" s="21"/>
      <c r="H1199" s="21"/>
      <c r="I1199" s="22">
        <f t="shared" si="18"/>
        <v>4</v>
      </c>
      <c r="J1199" t="e">
        <f>VLOOKUP(B1199,'[1]KT 광점퍼코드(수익률)'!$A$4:$P$243,16,0)</f>
        <v>#N/A</v>
      </c>
    </row>
    <row r="1200" spans="1:10" ht="15.75" hidden="1" customHeight="1">
      <c r="A1200" s="23">
        <v>1197</v>
      </c>
      <c r="B1200" s="24" t="s">
        <v>3325</v>
      </c>
      <c r="C1200" s="24" t="s">
        <v>3326</v>
      </c>
      <c r="D1200" s="24" t="s">
        <v>3327</v>
      </c>
      <c r="E1200" s="25"/>
      <c r="F1200" s="25"/>
      <c r="G1200" s="25">
        <v>24</v>
      </c>
      <c r="H1200" s="25"/>
      <c r="I1200" s="22">
        <f t="shared" si="18"/>
        <v>24</v>
      </c>
      <c r="J1200" t="e">
        <f>VLOOKUP(B1200,'[1]KT 광점퍼코드(수익률)'!$A$4:$P$243,16,0)</f>
        <v>#N/A</v>
      </c>
    </row>
    <row r="1201" spans="1:10" ht="15.75" hidden="1" customHeight="1">
      <c r="A1201" s="19">
        <v>1198</v>
      </c>
      <c r="B1201" s="20" t="s">
        <v>1394</v>
      </c>
      <c r="C1201" s="20" t="s">
        <v>1395</v>
      </c>
      <c r="D1201" s="20" t="s">
        <v>1396</v>
      </c>
      <c r="E1201" s="21">
        <v>39</v>
      </c>
      <c r="F1201" s="21">
        <v>1</v>
      </c>
      <c r="G1201" s="21"/>
      <c r="H1201" s="21"/>
      <c r="I1201" s="22">
        <f t="shared" si="18"/>
        <v>40</v>
      </c>
      <c r="J1201" t="e">
        <f>VLOOKUP(B1201,'[1]KT 광점퍼코드(수익률)'!$A$4:$P$243,16,0)</f>
        <v>#N/A</v>
      </c>
    </row>
    <row r="1202" spans="1:10" ht="15.75" hidden="1" customHeight="1">
      <c r="A1202" s="23">
        <v>1199</v>
      </c>
      <c r="B1202" s="24" t="s">
        <v>1397</v>
      </c>
      <c r="C1202" s="24" t="s">
        <v>1398</v>
      </c>
      <c r="D1202" s="24" t="s">
        <v>1396</v>
      </c>
      <c r="E1202" s="25">
        <v>107</v>
      </c>
      <c r="F1202" s="25">
        <v>55</v>
      </c>
      <c r="G1202" s="25">
        <v>62</v>
      </c>
      <c r="H1202" s="25">
        <v>68</v>
      </c>
      <c r="I1202" s="22">
        <f t="shared" si="18"/>
        <v>292</v>
      </c>
      <c r="J1202" t="e">
        <f>VLOOKUP(B1202,'[1]KT 광점퍼코드(수익률)'!$A$4:$P$243,16,0)</f>
        <v>#N/A</v>
      </c>
    </row>
    <row r="1203" spans="1:10" ht="15.75" hidden="1" customHeight="1">
      <c r="A1203" s="19">
        <v>1200</v>
      </c>
      <c r="B1203" s="20" t="s">
        <v>1399</v>
      </c>
      <c r="C1203" s="20" t="s">
        <v>1400</v>
      </c>
      <c r="D1203" s="20" t="s">
        <v>284</v>
      </c>
      <c r="E1203" s="21">
        <v>288</v>
      </c>
      <c r="F1203" s="21"/>
      <c r="G1203" s="21"/>
      <c r="H1203" s="21"/>
      <c r="I1203" s="22">
        <f t="shared" si="18"/>
        <v>288</v>
      </c>
      <c r="J1203" t="e">
        <f>VLOOKUP(B1203,'[1]KT 광점퍼코드(수익률)'!$A$4:$P$243,16,0)</f>
        <v>#N/A</v>
      </c>
    </row>
    <row r="1204" spans="1:10" ht="15.75" hidden="1" customHeight="1">
      <c r="A1204" s="23">
        <v>1201</v>
      </c>
      <c r="B1204" s="24" t="s">
        <v>1401</v>
      </c>
      <c r="C1204" s="24" t="s">
        <v>1402</v>
      </c>
      <c r="D1204" s="24" t="s">
        <v>1396</v>
      </c>
      <c r="E1204" s="25">
        <v>1068</v>
      </c>
      <c r="F1204" s="25">
        <v>811</v>
      </c>
      <c r="G1204" s="25">
        <v>397</v>
      </c>
      <c r="H1204" s="25">
        <v>100</v>
      </c>
      <c r="I1204" s="22">
        <f t="shared" si="18"/>
        <v>2376</v>
      </c>
      <c r="J1204" t="e">
        <f>VLOOKUP(B1204,'[1]KT 광점퍼코드(수익률)'!$A$4:$P$243,16,0)</f>
        <v>#N/A</v>
      </c>
    </row>
    <row r="1205" spans="1:10" ht="15.75" hidden="1" customHeight="1">
      <c r="A1205" s="19">
        <v>1202</v>
      </c>
      <c r="B1205" s="20" t="s">
        <v>2766</v>
      </c>
      <c r="C1205" s="20" t="s">
        <v>2767</v>
      </c>
      <c r="D1205" s="20" t="s">
        <v>2768</v>
      </c>
      <c r="E1205" s="21"/>
      <c r="F1205" s="21">
        <v>392</v>
      </c>
      <c r="G1205" s="21">
        <v>39</v>
      </c>
      <c r="H1205" s="21"/>
      <c r="I1205" s="22">
        <f t="shared" si="18"/>
        <v>431</v>
      </c>
      <c r="J1205" t="e">
        <f>VLOOKUP(B1205,'[1]KT 광점퍼코드(수익률)'!$A$4:$P$243,16,0)</f>
        <v>#N/A</v>
      </c>
    </row>
    <row r="1206" spans="1:10" ht="15.75" hidden="1" customHeight="1">
      <c r="A1206" s="23">
        <v>1203</v>
      </c>
      <c r="B1206" s="24" t="s">
        <v>1403</v>
      </c>
      <c r="C1206" s="24" t="s">
        <v>1404</v>
      </c>
      <c r="D1206" s="24" t="s">
        <v>284</v>
      </c>
      <c r="E1206" s="25">
        <v>2276</v>
      </c>
      <c r="F1206" s="25">
        <v>2598</v>
      </c>
      <c r="G1206" s="25">
        <v>420</v>
      </c>
      <c r="H1206" s="25"/>
      <c r="I1206" s="22">
        <f t="shared" si="18"/>
        <v>5294</v>
      </c>
      <c r="J1206" t="e">
        <f>VLOOKUP(B1206,'[1]KT 광점퍼코드(수익률)'!$A$4:$P$243,16,0)</f>
        <v>#N/A</v>
      </c>
    </row>
    <row r="1207" spans="1:10" ht="15.75" hidden="1" customHeight="1">
      <c r="A1207" s="19">
        <v>1204</v>
      </c>
      <c r="B1207" s="20" t="s">
        <v>1405</v>
      </c>
      <c r="C1207" s="20" t="s">
        <v>1406</v>
      </c>
      <c r="D1207" s="20" t="s">
        <v>1396</v>
      </c>
      <c r="E1207" s="21">
        <v>438</v>
      </c>
      <c r="F1207" s="21">
        <v>500</v>
      </c>
      <c r="G1207" s="21">
        <v>895</v>
      </c>
      <c r="H1207" s="21">
        <v>20</v>
      </c>
      <c r="I1207" s="22">
        <f t="shared" si="18"/>
        <v>1853</v>
      </c>
      <c r="J1207" t="e">
        <f>VLOOKUP(B1207,'[1]KT 광점퍼코드(수익률)'!$A$4:$P$243,16,0)</f>
        <v>#N/A</v>
      </c>
    </row>
    <row r="1208" spans="1:10" ht="15.75" hidden="1" customHeight="1">
      <c r="A1208" s="23">
        <v>1205</v>
      </c>
      <c r="B1208" s="24" t="s">
        <v>1407</v>
      </c>
      <c r="C1208" s="24" t="s">
        <v>1408</v>
      </c>
      <c r="D1208" s="24" t="s">
        <v>284</v>
      </c>
      <c r="E1208" s="25">
        <v>1855</v>
      </c>
      <c r="F1208" s="25">
        <v>2460</v>
      </c>
      <c r="G1208" s="25">
        <v>2625</v>
      </c>
      <c r="H1208" s="25">
        <v>750</v>
      </c>
      <c r="I1208" s="22">
        <f t="shared" si="18"/>
        <v>7690</v>
      </c>
      <c r="J1208" t="e">
        <f>VLOOKUP(B1208,'[1]KT 광점퍼코드(수익률)'!$A$4:$P$243,16,0)</f>
        <v>#N/A</v>
      </c>
    </row>
    <row r="1209" spans="1:10" ht="15.75" hidden="1" customHeight="1">
      <c r="A1209" s="19">
        <v>1206</v>
      </c>
      <c r="B1209" s="20" t="s">
        <v>3328</v>
      </c>
      <c r="C1209" s="20" t="s">
        <v>3329</v>
      </c>
      <c r="D1209" s="20" t="s">
        <v>284</v>
      </c>
      <c r="E1209" s="21"/>
      <c r="F1209" s="21"/>
      <c r="G1209" s="21">
        <v>266</v>
      </c>
      <c r="H1209" s="21">
        <v>60</v>
      </c>
      <c r="I1209" s="22">
        <f t="shared" si="18"/>
        <v>326</v>
      </c>
      <c r="J1209" t="e">
        <f>VLOOKUP(B1209,'[1]KT 광점퍼코드(수익률)'!$A$4:$P$243,16,0)</f>
        <v>#N/A</v>
      </c>
    </row>
    <row r="1210" spans="1:10" ht="15.75" hidden="1" customHeight="1">
      <c r="A1210" s="23">
        <v>1207</v>
      </c>
      <c r="B1210" s="24" t="s">
        <v>1409</v>
      </c>
      <c r="C1210" s="24" t="s">
        <v>1410</v>
      </c>
      <c r="D1210" s="24" t="s">
        <v>1411</v>
      </c>
      <c r="E1210" s="25">
        <v>404</v>
      </c>
      <c r="F1210" s="25">
        <v>11</v>
      </c>
      <c r="G1210" s="25">
        <v>158</v>
      </c>
      <c r="H1210" s="25"/>
      <c r="I1210" s="22">
        <f t="shared" si="18"/>
        <v>573</v>
      </c>
      <c r="J1210" t="e">
        <f>VLOOKUP(B1210,'[1]KT 광점퍼코드(수익률)'!$A$4:$P$243,16,0)</f>
        <v>#N/A</v>
      </c>
    </row>
    <row r="1211" spans="1:10" ht="15.75" hidden="1" customHeight="1">
      <c r="A1211" s="19">
        <v>1208</v>
      </c>
      <c r="B1211" s="20" t="s">
        <v>1412</v>
      </c>
      <c r="C1211" s="20" t="s">
        <v>1413</v>
      </c>
      <c r="D1211" s="20" t="s">
        <v>284</v>
      </c>
      <c r="E1211" s="21">
        <v>173</v>
      </c>
      <c r="F1211" s="21">
        <v>160</v>
      </c>
      <c r="G1211" s="21">
        <v>94</v>
      </c>
      <c r="H1211" s="21"/>
      <c r="I1211" s="22">
        <f t="shared" si="18"/>
        <v>427</v>
      </c>
      <c r="J1211" t="e">
        <f>VLOOKUP(B1211,'[1]KT 광점퍼코드(수익률)'!$A$4:$P$243,16,0)</f>
        <v>#N/A</v>
      </c>
    </row>
    <row r="1212" spans="1:10" ht="15.75" hidden="1" customHeight="1">
      <c r="A1212" s="23">
        <v>1209</v>
      </c>
      <c r="B1212" s="24" t="s">
        <v>1414</v>
      </c>
      <c r="C1212" s="24" t="s">
        <v>1415</v>
      </c>
      <c r="D1212" s="24" t="s">
        <v>1396</v>
      </c>
      <c r="E1212" s="25">
        <v>3033</v>
      </c>
      <c r="F1212" s="25">
        <v>484</v>
      </c>
      <c r="G1212" s="25">
        <v>986</v>
      </c>
      <c r="H1212" s="25">
        <v>111</v>
      </c>
      <c r="I1212" s="22">
        <f t="shared" si="18"/>
        <v>4614</v>
      </c>
      <c r="J1212" t="e">
        <f>VLOOKUP(B1212,'[1]KT 광점퍼코드(수익률)'!$A$4:$P$243,16,0)</f>
        <v>#N/A</v>
      </c>
    </row>
    <row r="1213" spans="1:10" ht="15.75" hidden="1" customHeight="1">
      <c r="A1213" s="19">
        <v>1210</v>
      </c>
      <c r="B1213" s="20" t="s">
        <v>1416</v>
      </c>
      <c r="C1213" s="20" t="s">
        <v>1417</v>
      </c>
      <c r="D1213" s="20" t="s">
        <v>284</v>
      </c>
      <c r="E1213" s="21">
        <v>23303</v>
      </c>
      <c r="F1213" s="21">
        <v>9725</v>
      </c>
      <c r="G1213" s="21">
        <v>15442</v>
      </c>
      <c r="H1213" s="21">
        <v>11788</v>
      </c>
      <c r="I1213" s="22">
        <f t="shared" si="18"/>
        <v>60258</v>
      </c>
      <c r="J1213" t="e">
        <f>VLOOKUP(B1213,'[1]KT 광점퍼코드(수익률)'!$A$4:$P$243,16,0)</f>
        <v>#N/A</v>
      </c>
    </row>
    <row r="1214" spans="1:10" ht="15.75" hidden="1" customHeight="1">
      <c r="A1214" s="23">
        <v>1211</v>
      </c>
      <c r="B1214" s="24" t="s">
        <v>1418</v>
      </c>
      <c r="C1214" s="24" t="s">
        <v>1419</v>
      </c>
      <c r="D1214" s="24" t="s">
        <v>284</v>
      </c>
      <c r="E1214" s="25">
        <v>241</v>
      </c>
      <c r="F1214" s="25"/>
      <c r="G1214" s="25"/>
      <c r="H1214" s="25"/>
      <c r="I1214" s="22">
        <f t="shared" si="18"/>
        <v>241</v>
      </c>
      <c r="J1214" t="e">
        <f>VLOOKUP(B1214,'[1]KT 광점퍼코드(수익률)'!$A$4:$P$243,16,0)</f>
        <v>#N/A</v>
      </c>
    </row>
    <row r="1215" spans="1:10" ht="15.75" hidden="1" customHeight="1">
      <c r="A1215" s="19">
        <v>1212</v>
      </c>
      <c r="B1215" s="20" t="s">
        <v>2769</v>
      </c>
      <c r="C1215" s="20" t="s">
        <v>2770</v>
      </c>
      <c r="D1215" s="20" t="s">
        <v>2771</v>
      </c>
      <c r="E1215" s="21"/>
      <c r="F1215" s="21">
        <v>4</v>
      </c>
      <c r="G1215" s="21"/>
      <c r="H1215" s="21"/>
      <c r="I1215" s="22">
        <f t="shared" si="18"/>
        <v>4</v>
      </c>
      <c r="J1215" t="e">
        <f>VLOOKUP(B1215,'[1]KT 광점퍼코드(수익률)'!$A$4:$P$243,16,0)</f>
        <v>#N/A</v>
      </c>
    </row>
    <row r="1216" spans="1:10" ht="15.75" hidden="1" customHeight="1">
      <c r="A1216" s="23">
        <v>1213</v>
      </c>
      <c r="B1216" s="24" t="s">
        <v>1420</v>
      </c>
      <c r="C1216" s="24" t="s">
        <v>1421</v>
      </c>
      <c r="D1216" s="24" t="s">
        <v>284</v>
      </c>
      <c r="E1216" s="25">
        <v>3802</v>
      </c>
      <c r="F1216" s="25">
        <v>4749</v>
      </c>
      <c r="G1216" s="25">
        <v>2875</v>
      </c>
      <c r="H1216" s="25">
        <v>472</v>
      </c>
      <c r="I1216" s="22">
        <f t="shared" si="18"/>
        <v>11898</v>
      </c>
      <c r="J1216" t="e">
        <f>VLOOKUP(B1216,'[1]KT 광점퍼코드(수익률)'!$A$4:$P$243,16,0)</f>
        <v>#N/A</v>
      </c>
    </row>
    <row r="1217" spans="1:10" ht="15.75" hidden="1" customHeight="1">
      <c r="A1217" s="19">
        <v>1214</v>
      </c>
      <c r="B1217" s="20" t="s">
        <v>3330</v>
      </c>
      <c r="C1217" s="20" t="s">
        <v>3331</v>
      </c>
      <c r="D1217" s="20" t="s">
        <v>284</v>
      </c>
      <c r="E1217" s="21"/>
      <c r="F1217" s="21"/>
      <c r="G1217" s="21">
        <v>184</v>
      </c>
      <c r="H1217" s="21"/>
      <c r="I1217" s="22">
        <f t="shared" si="18"/>
        <v>184</v>
      </c>
      <c r="J1217" t="e">
        <f>VLOOKUP(B1217,'[1]KT 광점퍼코드(수익률)'!$A$4:$P$243,16,0)</f>
        <v>#N/A</v>
      </c>
    </row>
    <row r="1218" spans="1:10" ht="15.75" hidden="1" customHeight="1">
      <c r="A1218" s="23">
        <v>1215</v>
      </c>
      <c r="B1218" s="24" t="s">
        <v>1422</v>
      </c>
      <c r="C1218" s="24" t="s">
        <v>1423</v>
      </c>
      <c r="D1218" s="24" t="s">
        <v>284</v>
      </c>
      <c r="E1218" s="25">
        <v>120</v>
      </c>
      <c r="F1218" s="25">
        <v>69</v>
      </c>
      <c r="G1218" s="25">
        <v>209</v>
      </c>
      <c r="H1218" s="25">
        <v>70</v>
      </c>
      <c r="I1218" s="22">
        <f t="shared" si="18"/>
        <v>468</v>
      </c>
      <c r="J1218" t="e">
        <f>VLOOKUP(B1218,'[1]KT 광점퍼코드(수익률)'!$A$4:$P$243,16,0)</f>
        <v>#N/A</v>
      </c>
    </row>
    <row r="1219" spans="1:10" ht="15.75" hidden="1" customHeight="1">
      <c r="A1219" s="19">
        <v>1216</v>
      </c>
      <c r="B1219" s="20" t="s">
        <v>1424</v>
      </c>
      <c r="C1219" s="20" t="s">
        <v>1415</v>
      </c>
      <c r="D1219" s="20" t="s">
        <v>1425</v>
      </c>
      <c r="E1219" s="21">
        <v>784</v>
      </c>
      <c r="F1219" s="21">
        <v>638</v>
      </c>
      <c r="G1219" s="21">
        <v>240</v>
      </c>
      <c r="H1219" s="21">
        <v>153</v>
      </c>
      <c r="I1219" s="22">
        <f t="shared" si="18"/>
        <v>1815</v>
      </c>
      <c r="J1219" t="e">
        <f>VLOOKUP(B1219,'[1]KT 광점퍼코드(수익률)'!$A$4:$P$243,16,0)</f>
        <v>#N/A</v>
      </c>
    </row>
    <row r="1220" spans="1:10" ht="15.75" hidden="1" customHeight="1">
      <c r="A1220" s="23">
        <v>1217</v>
      </c>
      <c r="B1220" s="24" t="s">
        <v>1426</v>
      </c>
      <c r="C1220" s="24" t="s">
        <v>1406</v>
      </c>
      <c r="D1220" s="24" t="s">
        <v>1425</v>
      </c>
      <c r="E1220" s="25">
        <v>10</v>
      </c>
      <c r="F1220" s="25">
        <v>175</v>
      </c>
      <c r="G1220" s="25">
        <v>7</v>
      </c>
      <c r="H1220" s="25"/>
      <c r="I1220" s="22">
        <f t="shared" ref="I1220:I1283" si="19">SUM(E1220:H1220)</f>
        <v>192</v>
      </c>
      <c r="J1220" t="e">
        <f>VLOOKUP(B1220,'[1]KT 광점퍼코드(수익률)'!$A$4:$P$243,16,0)</f>
        <v>#N/A</v>
      </c>
    </row>
    <row r="1221" spans="1:10" ht="15.75" hidden="1" customHeight="1">
      <c r="A1221" s="19">
        <v>1218</v>
      </c>
      <c r="B1221" s="20" t="s">
        <v>1427</v>
      </c>
      <c r="C1221" s="20" t="s">
        <v>1428</v>
      </c>
      <c r="D1221" s="20" t="s">
        <v>1429</v>
      </c>
      <c r="E1221" s="21">
        <v>81</v>
      </c>
      <c r="F1221" s="21">
        <v>160</v>
      </c>
      <c r="G1221" s="21">
        <v>50</v>
      </c>
      <c r="H1221" s="21"/>
      <c r="I1221" s="22">
        <f t="shared" si="19"/>
        <v>291</v>
      </c>
      <c r="J1221" t="e">
        <f>VLOOKUP(B1221,'[1]KT 광점퍼코드(수익률)'!$A$4:$P$243,16,0)</f>
        <v>#N/A</v>
      </c>
    </row>
    <row r="1222" spans="1:10" ht="15.75" hidden="1" customHeight="1">
      <c r="A1222" s="23">
        <v>1219</v>
      </c>
      <c r="B1222" s="24" t="s">
        <v>1430</v>
      </c>
      <c r="C1222" s="24" t="s">
        <v>1431</v>
      </c>
      <c r="D1222" s="24" t="s">
        <v>284</v>
      </c>
      <c r="E1222" s="25">
        <v>24</v>
      </c>
      <c r="F1222" s="25">
        <v>24</v>
      </c>
      <c r="G1222" s="25">
        <v>3</v>
      </c>
      <c r="H1222" s="25"/>
      <c r="I1222" s="22">
        <f t="shared" si="19"/>
        <v>51</v>
      </c>
      <c r="J1222" t="e">
        <f>VLOOKUP(B1222,'[1]KT 광점퍼코드(수익률)'!$A$4:$P$243,16,0)</f>
        <v>#N/A</v>
      </c>
    </row>
    <row r="1223" spans="1:10" ht="15.75" hidden="1" customHeight="1">
      <c r="A1223" s="19">
        <v>1220</v>
      </c>
      <c r="B1223" s="20" t="s">
        <v>1432</v>
      </c>
      <c r="C1223" s="20" t="s">
        <v>1433</v>
      </c>
      <c r="D1223" s="20" t="s">
        <v>284</v>
      </c>
      <c r="E1223" s="21">
        <v>481</v>
      </c>
      <c r="F1223" s="21">
        <v>12</v>
      </c>
      <c r="G1223" s="21"/>
      <c r="H1223" s="21"/>
      <c r="I1223" s="22">
        <f t="shared" si="19"/>
        <v>493</v>
      </c>
      <c r="J1223" t="e">
        <f>VLOOKUP(B1223,'[1]KT 광점퍼코드(수익률)'!$A$4:$P$243,16,0)</f>
        <v>#N/A</v>
      </c>
    </row>
    <row r="1224" spans="1:10" ht="15.75" hidden="1" customHeight="1">
      <c r="A1224" s="23">
        <v>1221</v>
      </c>
      <c r="B1224" s="24" t="s">
        <v>1434</v>
      </c>
      <c r="C1224" s="24" t="s">
        <v>1402</v>
      </c>
      <c r="D1224" s="24" t="s">
        <v>1425</v>
      </c>
      <c r="E1224" s="25">
        <v>97</v>
      </c>
      <c r="F1224" s="25">
        <v>11</v>
      </c>
      <c r="G1224" s="25">
        <v>30</v>
      </c>
      <c r="H1224" s="25"/>
      <c r="I1224" s="22">
        <f t="shared" si="19"/>
        <v>138</v>
      </c>
      <c r="J1224" t="e">
        <f>VLOOKUP(B1224,'[1]KT 광점퍼코드(수익률)'!$A$4:$P$243,16,0)</f>
        <v>#N/A</v>
      </c>
    </row>
    <row r="1225" spans="1:10" ht="15.75" hidden="1" customHeight="1">
      <c r="A1225" s="19">
        <v>1222</v>
      </c>
      <c r="B1225" s="20" t="s">
        <v>3332</v>
      </c>
      <c r="C1225" s="20" t="s">
        <v>3333</v>
      </c>
      <c r="D1225" s="20" t="s">
        <v>284</v>
      </c>
      <c r="E1225" s="21"/>
      <c r="F1225" s="21"/>
      <c r="G1225" s="21">
        <v>2</v>
      </c>
      <c r="H1225" s="21"/>
      <c r="I1225" s="22">
        <f t="shared" si="19"/>
        <v>2</v>
      </c>
      <c r="J1225" t="e">
        <f>VLOOKUP(B1225,'[1]KT 광점퍼코드(수익률)'!$A$4:$P$243,16,0)</f>
        <v>#N/A</v>
      </c>
    </row>
    <row r="1226" spans="1:10" ht="15.75" hidden="1" customHeight="1">
      <c r="A1226" s="23">
        <v>1223</v>
      </c>
      <c r="B1226" s="24" t="s">
        <v>1435</v>
      </c>
      <c r="C1226" s="24" t="s">
        <v>1436</v>
      </c>
      <c r="D1226" s="24" t="s">
        <v>1425</v>
      </c>
      <c r="E1226" s="25">
        <v>15</v>
      </c>
      <c r="F1226" s="25"/>
      <c r="G1226" s="25"/>
      <c r="H1226" s="25"/>
      <c r="I1226" s="22">
        <f t="shared" si="19"/>
        <v>15</v>
      </c>
      <c r="J1226" t="e">
        <f>VLOOKUP(B1226,'[1]KT 광점퍼코드(수익률)'!$A$4:$P$243,16,0)</f>
        <v>#N/A</v>
      </c>
    </row>
    <row r="1227" spans="1:10" ht="15.75" hidden="1" customHeight="1">
      <c r="A1227" s="19">
        <v>1224</v>
      </c>
      <c r="B1227" s="20" t="s">
        <v>1437</v>
      </c>
      <c r="C1227" s="20" t="s">
        <v>1438</v>
      </c>
      <c r="D1227" s="20" t="s">
        <v>284</v>
      </c>
      <c r="E1227" s="21">
        <v>25</v>
      </c>
      <c r="F1227" s="21"/>
      <c r="G1227" s="21"/>
      <c r="H1227" s="21"/>
      <c r="I1227" s="22">
        <f t="shared" si="19"/>
        <v>25</v>
      </c>
      <c r="J1227" t="e">
        <f>VLOOKUP(B1227,'[1]KT 광점퍼코드(수익률)'!$A$4:$P$243,16,0)</f>
        <v>#N/A</v>
      </c>
    </row>
    <row r="1228" spans="1:10" ht="15.75" hidden="1" customHeight="1">
      <c r="A1228" s="23">
        <v>1225</v>
      </c>
      <c r="B1228" s="24" t="s">
        <v>1439</v>
      </c>
      <c r="C1228" s="24" t="s">
        <v>1440</v>
      </c>
      <c r="D1228" s="24" t="s">
        <v>1425</v>
      </c>
      <c r="E1228" s="25">
        <v>55</v>
      </c>
      <c r="F1228" s="25"/>
      <c r="G1228" s="25"/>
      <c r="H1228" s="25"/>
      <c r="I1228" s="22">
        <f t="shared" si="19"/>
        <v>55</v>
      </c>
      <c r="J1228" t="e">
        <f>VLOOKUP(B1228,'[1]KT 광점퍼코드(수익률)'!$A$4:$P$243,16,0)</f>
        <v>#N/A</v>
      </c>
    </row>
    <row r="1229" spans="1:10" ht="15.75" hidden="1" customHeight="1">
      <c r="A1229" s="19">
        <v>1226</v>
      </c>
      <c r="B1229" s="20" t="s">
        <v>2772</v>
      </c>
      <c r="C1229" s="20" t="s">
        <v>1417</v>
      </c>
      <c r="D1229" s="20" t="s">
        <v>42</v>
      </c>
      <c r="E1229" s="21"/>
      <c r="F1229" s="21">
        <v>300</v>
      </c>
      <c r="G1229" s="21"/>
      <c r="H1229" s="21"/>
      <c r="I1229" s="22">
        <f t="shared" si="19"/>
        <v>300</v>
      </c>
      <c r="J1229" t="e">
        <f>VLOOKUP(B1229,'[1]KT 광점퍼코드(수익률)'!$A$4:$P$243,16,0)</f>
        <v>#N/A</v>
      </c>
    </row>
    <row r="1230" spans="1:10" ht="15.75" hidden="1" customHeight="1">
      <c r="A1230" s="23">
        <v>1227</v>
      </c>
      <c r="B1230" s="24" t="s">
        <v>1441</v>
      </c>
      <c r="C1230" s="24" t="s">
        <v>1442</v>
      </c>
      <c r="D1230" s="24" t="s">
        <v>1425</v>
      </c>
      <c r="E1230" s="25">
        <v>3</v>
      </c>
      <c r="F1230" s="25"/>
      <c r="G1230" s="25"/>
      <c r="H1230" s="25"/>
      <c r="I1230" s="22">
        <f t="shared" si="19"/>
        <v>3</v>
      </c>
      <c r="J1230" t="e">
        <f>VLOOKUP(B1230,'[1]KT 광점퍼코드(수익률)'!$A$4:$P$243,16,0)</f>
        <v>#N/A</v>
      </c>
    </row>
    <row r="1231" spans="1:10" ht="15.75" hidden="1" customHeight="1">
      <c r="A1231" s="19">
        <v>1228</v>
      </c>
      <c r="B1231" s="20" t="s">
        <v>1443</v>
      </c>
      <c r="C1231" s="20" t="s">
        <v>1444</v>
      </c>
      <c r="D1231" s="20" t="s">
        <v>284</v>
      </c>
      <c r="E1231" s="21">
        <v>4</v>
      </c>
      <c r="F1231" s="21"/>
      <c r="G1231" s="21">
        <v>45</v>
      </c>
      <c r="H1231" s="21"/>
      <c r="I1231" s="22">
        <f t="shared" si="19"/>
        <v>49</v>
      </c>
      <c r="J1231" t="e">
        <f>VLOOKUP(B1231,'[1]KT 광점퍼코드(수익률)'!$A$4:$P$243,16,0)</f>
        <v>#N/A</v>
      </c>
    </row>
    <row r="1232" spans="1:10" ht="15.75" hidden="1" customHeight="1">
      <c r="A1232" s="23">
        <v>1229</v>
      </c>
      <c r="B1232" s="24" t="s">
        <v>2773</v>
      </c>
      <c r="C1232" s="24" t="s">
        <v>2774</v>
      </c>
      <c r="D1232" s="24" t="s">
        <v>2775</v>
      </c>
      <c r="E1232" s="25"/>
      <c r="F1232" s="25">
        <v>100</v>
      </c>
      <c r="G1232" s="25"/>
      <c r="H1232" s="25"/>
      <c r="I1232" s="22">
        <f t="shared" si="19"/>
        <v>100</v>
      </c>
      <c r="J1232" t="e">
        <f>VLOOKUP(B1232,'[1]KT 광점퍼코드(수익률)'!$A$4:$P$243,16,0)</f>
        <v>#N/A</v>
      </c>
    </row>
    <row r="1233" spans="1:10" ht="15.75" hidden="1" customHeight="1">
      <c r="A1233" s="19">
        <v>1230</v>
      </c>
      <c r="B1233" s="20" t="s">
        <v>1445</v>
      </c>
      <c r="C1233" s="20" t="s">
        <v>1446</v>
      </c>
      <c r="D1233" s="20" t="s">
        <v>1447</v>
      </c>
      <c r="E1233" s="21">
        <v>135</v>
      </c>
      <c r="F1233" s="21"/>
      <c r="G1233" s="21"/>
      <c r="H1233" s="21"/>
      <c r="I1233" s="22">
        <f t="shared" si="19"/>
        <v>135</v>
      </c>
      <c r="J1233" t="e">
        <f>VLOOKUP(B1233,'[1]KT 광점퍼코드(수익률)'!$A$4:$P$243,16,0)</f>
        <v>#N/A</v>
      </c>
    </row>
    <row r="1234" spans="1:10" ht="15.75" hidden="1" customHeight="1">
      <c r="A1234" s="23">
        <v>1231</v>
      </c>
      <c r="B1234" s="24" t="s">
        <v>1448</v>
      </c>
      <c r="C1234" s="24" t="s">
        <v>1449</v>
      </c>
      <c r="D1234" s="24" t="s">
        <v>1447</v>
      </c>
      <c r="E1234" s="25">
        <v>202</v>
      </c>
      <c r="F1234" s="25">
        <v>77</v>
      </c>
      <c r="G1234" s="25">
        <v>50</v>
      </c>
      <c r="H1234" s="25"/>
      <c r="I1234" s="22">
        <f t="shared" si="19"/>
        <v>329</v>
      </c>
      <c r="J1234" t="e">
        <f>VLOOKUP(B1234,'[1]KT 광점퍼코드(수익률)'!$A$4:$P$243,16,0)</f>
        <v>#N/A</v>
      </c>
    </row>
    <row r="1235" spans="1:10" ht="15.75" hidden="1" customHeight="1">
      <c r="A1235" s="19">
        <v>1232</v>
      </c>
      <c r="B1235" s="20" t="s">
        <v>1450</v>
      </c>
      <c r="C1235" s="20" t="s">
        <v>1451</v>
      </c>
      <c r="D1235" s="20" t="s">
        <v>1447</v>
      </c>
      <c r="E1235" s="21">
        <v>140</v>
      </c>
      <c r="F1235" s="21">
        <v>50</v>
      </c>
      <c r="G1235" s="21"/>
      <c r="H1235" s="21"/>
      <c r="I1235" s="22">
        <f t="shared" si="19"/>
        <v>190</v>
      </c>
      <c r="J1235" t="e">
        <f>VLOOKUP(B1235,'[1]KT 광점퍼코드(수익률)'!$A$4:$P$243,16,0)</f>
        <v>#N/A</v>
      </c>
    </row>
    <row r="1236" spans="1:10" ht="15.75" hidden="1" customHeight="1">
      <c r="A1236" s="23">
        <v>1233</v>
      </c>
      <c r="B1236" s="24" t="s">
        <v>2776</v>
      </c>
      <c r="C1236" s="24" t="s">
        <v>2777</v>
      </c>
      <c r="D1236" s="24" t="s">
        <v>284</v>
      </c>
      <c r="E1236" s="25"/>
      <c r="F1236" s="25">
        <v>8</v>
      </c>
      <c r="G1236" s="25">
        <v>6</v>
      </c>
      <c r="H1236" s="25"/>
      <c r="I1236" s="22">
        <f t="shared" si="19"/>
        <v>14</v>
      </c>
      <c r="J1236" t="e">
        <f>VLOOKUP(B1236,'[1]KT 광점퍼코드(수익률)'!$A$4:$P$243,16,0)</f>
        <v>#N/A</v>
      </c>
    </row>
    <row r="1237" spans="1:10" ht="15.75" hidden="1" customHeight="1">
      <c r="A1237" s="19">
        <v>1234</v>
      </c>
      <c r="B1237" s="20" t="s">
        <v>3334</v>
      </c>
      <c r="C1237" s="20" t="s">
        <v>1406</v>
      </c>
      <c r="D1237" s="20" t="s">
        <v>1458</v>
      </c>
      <c r="E1237" s="21"/>
      <c r="F1237" s="21"/>
      <c r="G1237" s="21">
        <v>4</v>
      </c>
      <c r="H1237" s="21"/>
      <c r="I1237" s="22">
        <f t="shared" si="19"/>
        <v>4</v>
      </c>
      <c r="J1237" t="e">
        <f>VLOOKUP(B1237,'[1]KT 광점퍼코드(수익률)'!$A$4:$P$243,16,0)</f>
        <v>#N/A</v>
      </c>
    </row>
    <row r="1238" spans="1:10" ht="15.75" hidden="1" customHeight="1">
      <c r="A1238" s="23">
        <v>1235</v>
      </c>
      <c r="B1238" s="24" t="s">
        <v>2778</v>
      </c>
      <c r="C1238" s="24" t="s">
        <v>2779</v>
      </c>
      <c r="D1238" s="24" t="s">
        <v>1396</v>
      </c>
      <c r="E1238" s="25"/>
      <c r="F1238" s="25">
        <v>16</v>
      </c>
      <c r="G1238" s="25"/>
      <c r="H1238" s="25">
        <v>30</v>
      </c>
      <c r="I1238" s="22">
        <f t="shared" si="19"/>
        <v>46</v>
      </c>
      <c r="J1238" t="e">
        <f>VLOOKUP(B1238,'[1]KT 광점퍼코드(수익률)'!$A$4:$P$243,16,0)</f>
        <v>#N/A</v>
      </c>
    </row>
    <row r="1239" spans="1:10" ht="15.75" hidden="1" customHeight="1">
      <c r="A1239" s="19">
        <v>1236</v>
      </c>
      <c r="B1239" s="20" t="s">
        <v>2780</v>
      </c>
      <c r="C1239" s="20" t="s">
        <v>2781</v>
      </c>
      <c r="D1239" s="20" t="s">
        <v>1411</v>
      </c>
      <c r="E1239" s="21"/>
      <c r="F1239" s="21">
        <v>80</v>
      </c>
      <c r="G1239" s="21">
        <v>242</v>
      </c>
      <c r="H1239" s="21"/>
      <c r="I1239" s="22">
        <f t="shared" si="19"/>
        <v>322</v>
      </c>
      <c r="J1239" t="e">
        <f>VLOOKUP(B1239,'[1]KT 광점퍼코드(수익률)'!$A$4:$P$243,16,0)</f>
        <v>#N/A</v>
      </c>
    </row>
    <row r="1240" spans="1:10" ht="15.75" hidden="1" customHeight="1">
      <c r="A1240" s="23">
        <v>1237</v>
      </c>
      <c r="B1240" s="24" t="s">
        <v>1452</v>
      </c>
      <c r="C1240" s="24" t="s">
        <v>1404</v>
      </c>
      <c r="D1240" s="24" t="s">
        <v>324</v>
      </c>
      <c r="E1240" s="25">
        <v>520</v>
      </c>
      <c r="F1240" s="25"/>
      <c r="G1240" s="25"/>
      <c r="H1240" s="25"/>
      <c r="I1240" s="22">
        <f t="shared" si="19"/>
        <v>520</v>
      </c>
      <c r="J1240" t="e">
        <f>VLOOKUP(B1240,'[1]KT 광점퍼코드(수익률)'!$A$4:$P$243,16,0)</f>
        <v>#N/A</v>
      </c>
    </row>
    <row r="1241" spans="1:10" ht="15.75" hidden="1" customHeight="1">
      <c r="A1241" s="19">
        <v>1238</v>
      </c>
      <c r="B1241" s="20" t="s">
        <v>1453</v>
      </c>
      <c r="C1241" s="20" t="s">
        <v>1454</v>
      </c>
      <c r="D1241" s="20" t="s">
        <v>284</v>
      </c>
      <c r="E1241" s="21">
        <v>30</v>
      </c>
      <c r="F1241" s="21"/>
      <c r="G1241" s="21"/>
      <c r="H1241" s="21"/>
      <c r="I1241" s="22">
        <f t="shared" si="19"/>
        <v>30</v>
      </c>
      <c r="J1241" t="e">
        <f>VLOOKUP(B1241,'[1]KT 광점퍼코드(수익률)'!$A$4:$P$243,16,0)</f>
        <v>#N/A</v>
      </c>
    </row>
    <row r="1242" spans="1:10" ht="15.75" hidden="1" customHeight="1">
      <c r="A1242" s="23">
        <v>1239</v>
      </c>
      <c r="B1242" s="24" t="s">
        <v>1455</v>
      </c>
      <c r="C1242" s="24" t="s">
        <v>1417</v>
      </c>
      <c r="D1242" s="24" t="s">
        <v>1456</v>
      </c>
      <c r="E1242" s="25">
        <v>300</v>
      </c>
      <c r="F1242" s="25"/>
      <c r="G1242" s="25"/>
      <c r="H1242" s="25"/>
      <c r="I1242" s="22">
        <f t="shared" si="19"/>
        <v>300</v>
      </c>
      <c r="J1242" t="e">
        <f>VLOOKUP(B1242,'[1]KT 광점퍼코드(수익률)'!$A$4:$P$243,16,0)</f>
        <v>#N/A</v>
      </c>
    </row>
    <row r="1243" spans="1:10" ht="15.75" hidden="1" customHeight="1">
      <c r="A1243" s="19">
        <v>1240</v>
      </c>
      <c r="B1243" s="20" t="s">
        <v>1457</v>
      </c>
      <c r="C1243" s="20" t="s">
        <v>1402</v>
      </c>
      <c r="D1243" s="20" t="s">
        <v>1458</v>
      </c>
      <c r="E1243" s="21">
        <v>24</v>
      </c>
      <c r="F1243" s="21"/>
      <c r="G1243" s="21"/>
      <c r="H1243" s="21"/>
      <c r="I1243" s="22">
        <f t="shared" si="19"/>
        <v>24</v>
      </c>
      <c r="J1243" t="e">
        <f>VLOOKUP(B1243,'[1]KT 광점퍼코드(수익률)'!$A$4:$P$243,16,0)</f>
        <v>#N/A</v>
      </c>
    </row>
    <row r="1244" spans="1:10" ht="15.75" hidden="1" customHeight="1">
      <c r="A1244" s="23">
        <v>1241</v>
      </c>
      <c r="B1244" s="24" t="s">
        <v>2782</v>
      </c>
      <c r="C1244" s="24" t="s">
        <v>2783</v>
      </c>
      <c r="D1244" s="24" t="s">
        <v>2771</v>
      </c>
      <c r="E1244" s="25"/>
      <c r="F1244" s="25">
        <v>301</v>
      </c>
      <c r="G1244" s="25"/>
      <c r="H1244" s="25"/>
      <c r="I1244" s="22">
        <f t="shared" si="19"/>
        <v>301</v>
      </c>
      <c r="J1244" t="e">
        <f>VLOOKUP(B1244,'[1]KT 광점퍼코드(수익률)'!$A$4:$P$243,16,0)</f>
        <v>#N/A</v>
      </c>
    </row>
    <row r="1245" spans="1:10" ht="15.75" hidden="1" customHeight="1">
      <c r="A1245" s="19">
        <v>1242</v>
      </c>
      <c r="B1245" s="20" t="s">
        <v>3335</v>
      </c>
      <c r="C1245" s="20" t="s">
        <v>1415</v>
      </c>
      <c r="D1245" s="20" t="s">
        <v>3336</v>
      </c>
      <c r="E1245" s="21"/>
      <c r="F1245" s="21"/>
      <c r="G1245" s="21">
        <v>300</v>
      </c>
      <c r="H1245" s="21"/>
      <c r="I1245" s="22">
        <f t="shared" si="19"/>
        <v>300</v>
      </c>
      <c r="J1245" t="e">
        <f>VLOOKUP(B1245,'[1]KT 광점퍼코드(수익률)'!$A$4:$P$243,16,0)</f>
        <v>#N/A</v>
      </c>
    </row>
    <row r="1246" spans="1:10" ht="15.75" hidden="1" customHeight="1">
      <c r="A1246" s="23">
        <v>1243</v>
      </c>
      <c r="B1246" s="24" t="s">
        <v>3337</v>
      </c>
      <c r="C1246" s="24" t="s">
        <v>1423</v>
      </c>
      <c r="D1246" s="24" t="s">
        <v>1447</v>
      </c>
      <c r="E1246" s="25"/>
      <c r="F1246" s="25"/>
      <c r="G1246" s="25">
        <v>40</v>
      </c>
      <c r="H1246" s="25"/>
      <c r="I1246" s="22">
        <f t="shared" si="19"/>
        <v>40</v>
      </c>
      <c r="J1246" t="e">
        <f>VLOOKUP(B1246,'[1]KT 광점퍼코드(수익률)'!$A$4:$P$243,16,0)</f>
        <v>#N/A</v>
      </c>
    </row>
    <row r="1247" spans="1:10" ht="15.75" hidden="1" customHeight="1">
      <c r="A1247" s="19">
        <v>1244</v>
      </c>
      <c r="B1247" s="20" t="s">
        <v>1459</v>
      </c>
      <c r="C1247" s="20" t="s">
        <v>1460</v>
      </c>
      <c r="D1247" s="20" t="s">
        <v>32</v>
      </c>
      <c r="E1247" s="21">
        <v>30</v>
      </c>
      <c r="F1247" s="21"/>
      <c r="G1247" s="21"/>
      <c r="H1247" s="21"/>
      <c r="I1247" s="22">
        <f t="shared" si="19"/>
        <v>30</v>
      </c>
      <c r="J1247" t="e">
        <f>VLOOKUP(B1247,'[1]KT 광점퍼코드(수익률)'!$A$4:$P$243,16,0)</f>
        <v>#N/A</v>
      </c>
    </row>
    <row r="1248" spans="1:10" ht="15.75" hidden="1" customHeight="1">
      <c r="A1248" s="23">
        <v>1245</v>
      </c>
      <c r="B1248" s="24" t="s">
        <v>1461</v>
      </c>
      <c r="C1248" s="24" t="s">
        <v>1460</v>
      </c>
      <c r="D1248" s="24" t="s">
        <v>24</v>
      </c>
      <c r="E1248" s="25">
        <v>20</v>
      </c>
      <c r="F1248" s="25"/>
      <c r="G1248" s="25"/>
      <c r="H1248" s="25"/>
      <c r="I1248" s="22">
        <f t="shared" si="19"/>
        <v>20</v>
      </c>
      <c r="J1248" t="e">
        <f>VLOOKUP(B1248,'[1]KT 광점퍼코드(수익률)'!$A$4:$P$243,16,0)</f>
        <v>#N/A</v>
      </c>
    </row>
    <row r="1249" spans="1:10" ht="15.75" hidden="1" customHeight="1">
      <c r="A1249" s="19">
        <v>1246</v>
      </c>
      <c r="B1249" s="20" t="s">
        <v>1462</v>
      </c>
      <c r="C1249" s="20" t="s">
        <v>1463</v>
      </c>
      <c r="D1249" s="20" t="s">
        <v>32</v>
      </c>
      <c r="E1249" s="21">
        <v>20</v>
      </c>
      <c r="F1249" s="21"/>
      <c r="G1249" s="21"/>
      <c r="H1249" s="21"/>
      <c r="I1249" s="22">
        <f t="shared" si="19"/>
        <v>20</v>
      </c>
      <c r="J1249" t="e">
        <f>VLOOKUP(B1249,'[1]KT 광점퍼코드(수익률)'!$A$4:$P$243,16,0)</f>
        <v>#N/A</v>
      </c>
    </row>
    <row r="1250" spans="1:10" ht="15.75" hidden="1" customHeight="1">
      <c r="A1250" s="23">
        <v>1247</v>
      </c>
      <c r="B1250" s="24" t="s">
        <v>1464</v>
      </c>
      <c r="C1250" s="24" t="s">
        <v>1463</v>
      </c>
      <c r="D1250" s="24" t="s">
        <v>22</v>
      </c>
      <c r="E1250" s="25">
        <v>20</v>
      </c>
      <c r="F1250" s="25"/>
      <c r="G1250" s="25"/>
      <c r="H1250" s="25"/>
      <c r="I1250" s="22">
        <f t="shared" si="19"/>
        <v>20</v>
      </c>
      <c r="J1250" t="e">
        <f>VLOOKUP(B1250,'[1]KT 광점퍼코드(수익률)'!$A$4:$P$243,16,0)</f>
        <v>#N/A</v>
      </c>
    </row>
    <row r="1251" spans="1:10" ht="15.75" hidden="1" customHeight="1">
      <c r="A1251" s="19">
        <v>1248</v>
      </c>
      <c r="B1251" s="20" t="s">
        <v>2784</v>
      </c>
      <c r="C1251" s="20" t="s">
        <v>1466</v>
      </c>
      <c r="D1251" s="20" t="s">
        <v>324</v>
      </c>
      <c r="E1251" s="21"/>
      <c r="F1251" s="21">
        <v>100</v>
      </c>
      <c r="G1251" s="21"/>
      <c r="H1251" s="21"/>
      <c r="I1251" s="22">
        <f t="shared" si="19"/>
        <v>100</v>
      </c>
      <c r="J1251" t="e">
        <f>VLOOKUP(B1251,'[1]KT 광점퍼코드(수익률)'!$A$4:$P$243,16,0)</f>
        <v>#N/A</v>
      </c>
    </row>
    <row r="1252" spans="1:10" ht="15.75" hidden="1" customHeight="1">
      <c r="A1252" s="23">
        <v>1249</v>
      </c>
      <c r="B1252" s="24" t="s">
        <v>3338</v>
      </c>
      <c r="C1252" s="24" t="s">
        <v>1466</v>
      </c>
      <c r="D1252" s="24" t="s">
        <v>20</v>
      </c>
      <c r="E1252" s="25"/>
      <c r="F1252" s="25"/>
      <c r="G1252" s="25">
        <v>600</v>
      </c>
      <c r="H1252" s="25"/>
      <c r="I1252" s="22">
        <f t="shared" si="19"/>
        <v>600</v>
      </c>
      <c r="J1252" t="e">
        <f>VLOOKUP(B1252,'[1]KT 광점퍼코드(수익률)'!$A$4:$P$243,16,0)</f>
        <v>#N/A</v>
      </c>
    </row>
    <row r="1253" spans="1:10" ht="15.75" hidden="1" customHeight="1">
      <c r="A1253" s="19">
        <v>1250</v>
      </c>
      <c r="B1253" s="20" t="s">
        <v>1465</v>
      </c>
      <c r="C1253" s="20" t="s">
        <v>1466</v>
      </c>
      <c r="D1253" s="20" t="s">
        <v>32</v>
      </c>
      <c r="E1253" s="21">
        <v>50</v>
      </c>
      <c r="F1253" s="21"/>
      <c r="G1253" s="21">
        <v>530</v>
      </c>
      <c r="H1253" s="21"/>
      <c r="I1253" s="22">
        <f t="shared" si="19"/>
        <v>580</v>
      </c>
      <c r="J1253" t="e">
        <f>VLOOKUP(B1253,'[1]KT 광점퍼코드(수익률)'!$A$4:$P$243,16,0)</f>
        <v>#N/A</v>
      </c>
    </row>
    <row r="1254" spans="1:10" ht="15.75" hidden="1" customHeight="1">
      <c r="A1254" s="23">
        <v>1251</v>
      </c>
      <c r="B1254" s="24" t="s">
        <v>2785</v>
      </c>
      <c r="C1254" s="24" t="s">
        <v>1466</v>
      </c>
      <c r="D1254" s="24" t="s">
        <v>42</v>
      </c>
      <c r="E1254" s="25"/>
      <c r="F1254" s="25">
        <v>250</v>
      </c>
      <c r="G1254" s="25"/>
      <c r="H1254" s="25">
        <v>10</v>
      </c>
      <c r="I1254" s="22">
        <f t="shared" si="19"/>
        <v>260</v>
      </c>
      <c r="J1254" t="e">
        <f>VLOOKUP(B1254,'[1]KT 광점퍼코드(수익률)'!$A$4:$P$243,16,0)</f>
        <v>#N/A</v>
      </c>
    </row>
    <row r="1255" spans="1:10" ht="15.75" hidden="1" customHeight="1">
      <c r="A1255" s="19">
        <v>1252</v>
      </c>
      <c r="B1255" s="20" t="s">
        <v>3339</v>
      </c>
      <c r="C1255" s="20" t="s">
        <v>1466</v>
      </c>
      <c r="D1255" s="20" t="s">
        <v>22</v>
      </c>
      <c r="E1255" s="21"/>
      <c r="F1255" s="21"/>
      <c r="G1255" s="21">
        <v>50</v>
      </c>
      <c r="H1255" s="21"/>
      <c r="I1255" s="22">
        <f t="shared" si="19"/>
        <v>50</v>
      </c>
      <c r="J1255" t="e">
        <f>VLOOKUP(B1255,'[1]KT 광점퍼코드(수익률)'!$A$4:$P$243,16,0)</f>
        <v>#N/A</v>
      </c>
    </row>
    <row r="1256" spans="1:10" ht="15.75" hidden="1" customHeight="1">
      <c r="A1256" s="23">
        <v>1253</v>
      </c>
      <c r="B1256" s="24" t="s">
        <v>3340</v>
      </c>
      <c r="C1256" s="24" t="s">
        <v>1466</v>
      </c>
      <c r="D1256" s="24" t="s">
        <v>45</v>
      </c>
      <c r="E1256" s="25"/>
      <c r="F1256" s="25"/>
      <c r="G1256" s="25">
        <v>13</v>
      </c>
      <c r="H1256" s="25"/>
      <c r="I1256" s="22">
        <f t="shared" si="19"/>
        <v>13</v>
      </c>
      <c r="J1256" t="e">
        <f>VLOOKUP(B1256,'[1]KT 광점퍼코드(수익률)'!$A$4:$P$243,16,0)</f>
        <v>#N/A</v>
      </c>
    </row>
    <row r="1257" spans="1:10" ht="15.75" hidden="1" customHeight="1">
      <c r="A1257" s="19">
        <v>1254</v>
      </c>
      <c r="B1257" s="20" t="s">
        <v>1467</v>
      </c>
      <c r="C1257" s="20" t="s">
        <v>1466</v>
      </c>
      <c r="D1257" s="20" t="s">
        <v>24</v>
      </c>
      <c r="E1257" s="21">
        <v>27898</v>
      </c>
      <c r="F1257" s="21">
        <v>55</v>
      </c>
      <c r="G1257" s="21"/>
      <c r="H1257" s="21"/>
      <c r="I1257" s="22">
        <f t="shared" si="19"/>
        <v>27953</v>
      </c>
      <c r="J1257" t="e">
        <f>VLOOKUP(B1257,'[1]KT 광점퍼코드(수익률)'!$A$4:$P$243,16,0)</f>
        <v>#N/A</v>
      </c>
    </row>
    <row r="1258" spans="1:10" ht="15.75" hidden="1" customHeight="1">
      <c r="A1258" s="23">
        <v>1255</v>
      </c>
      <c r="B1258" s="24" t="s">
        <v>1468</v>
      </c>
      <c r="C1258" s="24" t="s">
        <v>1466</v>
      </c>
      <c r="D1258" s="24" t="s">
        <v>87</v>
      </c>
      <c r="E1258" s="25">
        <v>4</v>
      </c>
      <c r="F1258" s="25"/>
      <c r="G1258" s="25"/>
      <c r="H1258" s="25"/>
      <c r="I1258" s="22">
        <f t="shared" si="19"/>
        <v>4</v>
      </c>
      <c r="J1258" t="e">
        <f>VLOOKUP(B1258,'[1]KT 광점퍼코드(수익률)'!$A$4:$P$243,16,0)</f>
        <v>#N/A</v>
      </c>
    </row>
    <row r="1259" spans="1:10" ht="15.75" hidden="1" customHeight="1">
      <c r="A1259" s="19">
        <v>1256</v>
      </c>
      <c r="B1259" s="20" t="s">
        <v>1469</v>
      </c>
      <c r="C1259" s="20" t="s">
        <v>1466</v>
      </c>
      <c r="D1259" s="20" t="s">
        <v>26</v>
      </c>
      <c r="E1259" s="21">
        <v>60</v>
      </c>
      <c r="F1259" s="21"/>
      <c r="G1259" s="21">
        <v>10</v>
      </c>
      <c r="H1259" s="21"/>
      <c r="I1259" s="22">
        <f t="shared" si="19"/>
        <v>70</v>
      </c>
      <c r="J1259" t="e">
        <f>VLOOKUP(B1259,'[1]KT 광점퍼코드(수익률)'!$A$4:$P$243,16,0)</f>
        <v>#N/A</v>
      </c>
    </row>
    <row r="1260" spans="1:10" ht="15.75" hidden="1" customHeight="1">
      <c r="A1260" s="23">
        <v>1257</v>
      </c>
      <c r="B1260" s="24" t="s">
        <v>2786</v>
      </c>
      <c r="C1260" s="24" t="s">
        <v>1471</v>
      </c>
      <c r="D1260" s="24" t="s">
        <v>284</v>
      </c>
      <c r="E1260" s="25"/>
      <c r="F1260" s="25">
        <v>20</v>
      </c>
      <c r="G1260" s="25"/>
      <c r="H1260" s="25"/>
      <c r="I1260" s="22">
        <f t="shared" si="19"/>
        <v>20</v>
      </c>
      <c r="J1260" t="e">
        <f>VLOOKUP(B1260,'[1]KT 광점퍼코드(수익률)'!$A$4:$P$243,16,0)</f>
        <v>#N/A</v>
      </c>
    </row>
    <row r="1261" spans="1:10" ht="15.75" hidden="1" customHeight="1">
      <c r="A1261" s="19">
        <v>1258</v>
      </c>
      <c r="B1261" s="20" t="s">
        <v>2787</v>
      </c>
      <c r="C1261" s="20" t="s">
        <v>1471</v>
      </c>
      <c r="D1261" s="20" t="s">
        <v>20</v>
      </c>
      <c r="E1261" s="21"/>
      <c r="F1261" s="21">
        <v>10</v>
      </c>
      <c r="G1261" s="21"/>
      <c r="H1261" s="21"/>
      <c r="I1261" s="22">
        <f t="shared" si="19"/>
        <v>10</v>
      </c>
      <c r="J1261" t="e">
        <f>VLOOKUP(B1261,'[1]KT 광점퍼코드(수익률)'!$A$4:$P$243,16,0)</f>
        <v>#N/A</v>
      </c>
    </row>
    <row r="1262" spans="1:10" ht="15.75" hidden="1" customHeight="1">
      <c r="A1262" s="23">
        <v>1259</v>
      </c>
      <c r="B1262" s="24" t="s">
        <v>2788</v>
      </c>
      <c r="C1262" s="24" t="s">
        <v>1471</v>
      </c>
      <c r="D1262" s="24" t="s">
        <v>32</v>
      </c>
      <c r="E1262" s="25"/>
      <c r="F1262" s="25">
        <v>10</v>
      </c>
      <c r="G1262" s="25"/>
      <c r="H1262" s="25"/>
      <c r="I1262" s="22">
        <f t="shared" si="19"/>
        <v>10</v>
      </c>
      <c r="J1262" t="e">
        <f>VLOOKUP(B1262,'[1]KT 광점퍼코드(수익률)'!$A$4:$P$243,16,0)</f>
        <v>#N/A</v>
      </c>
    </row>
    <row r="1263" spans="1:10" ht="15.75" hidden="1" customHeight="1">
      <c r="A1263" s="19">
        <v>1260</v>
      </c>
      <c r="B1263" s="20" t="s">
        <v>2789</v>
      </c>
      <c r="C1263" s="20" t="s">
        <v>1471</v>
      </c>
      <c r="D1263" s="20" t="s">
        <v>22</v>
      </c>
      <c r="E1263" s="21"/>
      <c r="F1263" s="21">
        <v>10</v>
      </c>
      <c r="G1263" s="21"/>
      <c r="H1263" s="21"/>
      <c r="I1263" s="22">
        <f t="shared" si="19"/>
        <v>10</v>
      </c>
      <c r="J1263" t="e">
        <f>VLOOKUP(B1263,'[1]KT 광점퍼코드(수익률)'!$A$4:$P$243,16,0)</f>
        <v>#N/A</v>
      </c>
    </row>
    <row r="1264" spans="1:10" ht="15.75" hidden="1" customHeight="1">
      <c r="A1264" s="23">
        <v>1261</v>
      </c>
      <c r="B1264" s="24" t="s">
        <v>1470</v>
      </c>
      <c r="C1264" s="24" t="s">
        <v>1471</v>
      </c>
      <c r="D1264" s="24" t="s">
        <v>121</v>
      </c>
      <c r="E1264" s="25">
        <v>4</v>
      </c>
      <c r="F1264" s="25">
        <v>5</v>
      </c>
      <c r="G1264" s="25"/>
      <c r="H1264" s="25"/>
      <c r="I1264" s="22">
        <f t="shared" si="19"/>
        <v>9</v>
      </c>
      <c r="J1264" t="e">
        <f>VLOOKUP(B1264,'[1]KT 광점퍼코드(수익률)'!$A$4:$P$243,16,0)</f>
        <v>#N/A</v>
      </c>
    </row>
    <row r="1265" spans="1:10" ht="15.75" hidden="1" customHeight="1">
      <c r="A1265" s="19">
        <v>1262</v>
      </c>
      <c r="B1265" s="20" t="s">
        <v>1472</v>
      </c>
      <c r="C1265" s="20" t="s">
        <v>1471</v>
      </c>
      <c r="D1265" s="20" t="s">
        <v>47</v>
      </c>
      <c r="E1265" s="21">
        <v>1</v>
      </c>
      <c r="F1265" s="21"/>
      <c r="G1265" s="21"/>
      <c r="H1265" s="21"/>
      <c r="I1265" s="22">
        <f t="shared" si="19"/>
        <v>1</v>
      </c>
      <c r="J1265" t="e">
        <f>VLOOKUP(B1265,'[1]KT 광점퍼코드(수익률)'!$A$4:$P$243,16,0)</f>
        <v>#N/A</v>
      </c>
    </row>
    <row r="1266" spans="1:10" ht="15.75" hidden="1" customHeight="1">
      <c r="A1266" s="23">
        <v>1263</v>
      </c>
      <c r="B1266" s="24" t="s">
        <v>1473</v>
      </c>
      <c r="C1266" s="24" t="s">
        <v>1471</v>
      </c>
      <c r="D1266" s="24" t="s">
        <v>24</v>
      </c>
      <c r="E1266" s="25">
        <v>20</v>
      </c>
      <c r="F1266" s="25"/>
      <c r="G1266" s="25"/>
      <c r="H1266" s="25"/>
      <c r="I1266" s="22">
        <f t="shared" si="19"/>
        <v>20</v>
      </c>
      <c r="J1266" t="e">
        <f>VLOOKUP(B1266,'[1]KT 광점퍼코드(수익률)'!$A$4:$P$243,16,0)</f>
        <v>#N/A</v>
      </c>
    </row>
    <row r="1267" spans="1:10" ht="15.75" hidden="1" customHeight="1">
      <c r="A1267" s="19">
        <v>1264</v>
      </c>
      <c r="B1267" s="20" t="s">
        <v>2790</v>
      </c>
      <c r="C1267" s="20" t="s">
        <v>1471</v>
      </c>
      <c r="D1267" s="20" t="s">
        <v>26</v>
      </c>
      <c r="E1267" s="21"/>
      <c r="F1267" s="21">
        <v>20</v>
      </c>
      <c r="G1267" s="21"/>
      <c r="H1267" s="21"/>
      <c r="I1267" s="22">
        <f t="shared" si="19"/>
        <v>20</v>
      </c>
      <c r="J1267" t="e">
        <f>VLOOKUP(B1267,'[1]KT 광점퍼코드(수익률)'!$A$4:$P$243,16,0)</f>
        <v>#N/A</v>
      </c>
    </row>
    <row r="1268" spans="1:10" ht="15.75" hidden="1" customHeight="1">
      <c r="A1268" s="23">
        <v>1265</v>
      </c>
      <c r="B1268" s="24" t="s">
        <v>1474</v>
      </c>
      <c r="C1268" s="24" t="s">
        <v>1475</v>
      </c>
      <c r="D1268" s="24" t="s">
        <v>284</v>
      </c>
      <c r="E1268" s="25">
        <v>2</v>
      </c>
      <c r="F1268" s="25"/>
      <c r="G1268" s="25"/>
      <c r="H1268" s="25"/>
      <c r="I1268" s="22">
        <f t="shared" si="19"/>
        <v>2</v>
      </c>
      <c r="J1268" t="e">
        <f>VLOOKUP(B1268,'[1]KT 광점퍼코드(수익률)'!$A$4:$P$243,16,0)</f>
        <v>#N/A</v>
      </c>
    </row>
    <row r="1269" spans="1:10" ht="15.75" hidden="1" customHeight="1">
      <c r="A1269" s="19">
        <v>1266</v>
      </c>
      <c r="B1269" s="20" t="s">
        <v>1476</v>
      </c>
      <c r="C1269" s="20" t="s">
        <v>1475</v>
      </c>
      <c r="D1269" s="20" t="s">
        <v>182</v>
      </c>
      <c r="E1269" s="21">
        <v>3</v>
      </c>
      <c r="F1269" s="21">
        <v>30</v>
      </c>
      <c r="G1269" s="21"/>
      <c r="H1269" s="21"/>
      <c r="I1269" s="22">
        <f t="shared" si="19"/>
        <v>33</v>
      </c>
      <c r="J1269" t="e">
        <f>VLOOKUP(B1269,'[1]KT 광점퍼코드(수익률)'!$A$4:$P$243,16,0)</f>
        <v>#N/A</v>
      </c>
    </row>
    <row r="1270" spans="1:10" ht="15.75" hidden="1" customHeight="1">
      <c r="A1270" s="23">
        <v>1267</v>
      </c>
      <c r="B1270" s="24" t="s">
        <v>1477</v>
      </c>
      <c r="C1270" s="24" t="s">
        <v>1475</v>
      </c>
      <c r="D1270" s="24" t="s">
        <v>32</v>
      </c>
      <c r="E1270" s="25">
        <v>4</v>
      </c>
      <c r="F1270" s="25"/>
      <c r="G1270" s="25"/>
      <c r="H1270" s="25"/>
      <c r="I1270" s="22">
        <f t="shared" si="19"/>
        <v>4</v>
      </c>
      <c r="J1270" t="e">
        <f>VLOOKUP(B1270,'[1]KT 광점퍼코드(수익률)'!$A$4:$P$243,16,0)</f>
        <v>#N/A</v>
      </c>
    </row>
    <row r="1271" spans="1:10" ht="15.75" hidden="1" customHeight="1">
      <c r="A1271" s="19">
        <v>1268</v>
      </c>
      <c r="B1271" s="20" t="s">
        <v>1478</v>
      </c>
      <c r="C1271" s="20" t="s">
        <v>1475</v>
      </c>
      <c r="D1271" s="20" t="s">
        <v>310</v>
      </c>
      <c r="E1271" s="21">
        <v>2</v>
      </c>
      <c r="F1271" s="21"/>
      <c r="G1271" s="21"/>
      <c r="H1271" s="21"/>
      <c r="I1271" s="22">
        <f t="shared" si="19"/>
        <v>2</v>
      </c>
      <c r="J1271" t="e">
        <f>VLOOKUP(B1271,'[1]KT 광점퍼코드(수익률)'!$A$4:$P$243,16,0)</f>
        <v>#N/A</v>
      </c>
    </row>
    <row r="1272" spans="1:10" ht="15.75" hidden="1" customHeight="1">
      <c r="A1272" s="23">
        <v>1269</v>
      </c>
      <c r="B1272" s="24" t="s">
        <v>3505</v>
      </c>
      <c r="C1272" s="24" t="s">
        <v>1475</v>
      </c>
      <c r="D1272" s="24" t="s">
        <v>42</v>
      </c>
      <c r="E1272" s="25"/>
      <c r="F1272" s="25"/>
      <c r="G1272" s="25"/>
      <c r="H1272" s="25">
        <v>10</v>
      </c>
      <c r="I1272" s="22">
        <f t="shared" si="19"/>
        <v>10</v>
      </c>
      <c r="J1272" t="e">
        <f>VLOOKUP(B1272,'[1]KT 광점퍼코드(수익률)'!$A$4:$P$243,16,0)</f>
        <v>#N/A</v>
      </c>
    </row>
    <row r="1273" spans="1:10" ht="15.75" hidden="1" customHeight="1">
      <c r="A1273" s="19">
        <v>1270</v>
      </c>
      <c r="B1273" s="20" t="s">
        <v>3506</v>
      </c>
      <c r="C1273" s="20" t="s">
        <v>1475</v>
      </c>
      <c r="D1273" s="20" t="s">
        <v>24</v>
      </c>
      <c r="E1273" s="21"/>
      <c r="F1273" s="21"/>
      <c r="G1273" s="21"/>
      <c r="H1273" s="21">
        <v>31</v>
      </c>
      <c r="I1273" s="22">
        <f t="shared" si="19"/>
        <v>31</v>
      </c>
      <c r="J1273" t="e">
        <f>VLOOKUP(B1273,'[1]KT 광점퍼코드(수익률)'!$A$4:$P$243,16,0)</f>
        <v>#N/A</v>
      </c>
    </row>
    <row r="1274" spans="1:10" ht="15.75" hidden="1" customHeight="1">
      <c r="A1274" s="23">
        <v>1271</v>
      </c>
      <c r="B1274" s="24" t="s">
        <v>1479</v>
      </c>
      <c r="C1274" s="24" t="s">
        <v>1475</v>
      </c>
      <c r="D1274" s="24" t="s">
        <v>57</v>
      </c>
      <c r="E1274" s="25">
        <v>20</v>
      </c>
      <c r="F1274" s="25"/>
      <c r="G1274" s="25"/>
      <c r="H1274" s="25"/>
      <c r="I1274" s="22">
        <f t="shared" si="19"/>
        <v>20</v>
      </c>
      <c r="J1274" t="e">
        <f>VLOOKUP(B1274,'[1]KT 광점퍼코드(수익률)'!$A$4:$P$243,16,0)</f>
        <v>#N/A</v>
      </c>
    </row>
    <row r="1275" spans="1:10" ht="15.75" hidden="1" customHeight="1">
      <c r="A1275" s="19">
        <v>1272</v>
      </c>
      <c r="B1275" s="20" t="s">
        <v>2791</v>
      </c>
      <c r="C1275" s="20" t="s">
        <v>2041</v>
      </c>
      <c r="D1275" s="20" t="s">
        <v>45</v>
      </c>
      <c r="E1275" s="21"/>
      <c r="F1275" s="21">
        <v>10</v>
      </c>
      <c r="G1275" s="21"/>
      <c r="H1275" s="21"/>
      <c r="I1275" s="22">
        <f t="shared" si="19"/>
        <v>10</v>
      </c>
      <c r="J1275" t="e">
        <f>VLOOKUP(B1275,'[1]KT 광점퍼코드(수익률)'!$A$4:$P$243,16,0)</f>
        <v>#N/A</v>
      </c>
    </row>
    <row r="1276" spans="1:10" ht="15.75" hidden="1" customHeight="1">
      <c r="A1276" s="23">
        <v>1273</v>
      </c>
      <c r="B1276" s="24" t="s">
        <v>1480</v>
      </c>
      <c r="C1276" s="24" t="s">
        <v>1481</v>
      </c>
      <c r="D1276" s="24" t="s">
        <v>20</v>
      </c>
      <c r="E1276" s="25">
        <v>10</v>
      </c>
      <c r="F1276" s="25"/>
      <c r="G1276" s="25"/>
      <c r="H1276" s="25"/>
      <c r="I1276" s="22">
        <f t="shared" si="19"/>
        <v>10</v>
      </c>
      <c r="J1276" t="e">
        <f>VLOOKUP(B1276,'[1]KT 광점퍼코드(수익률)'!$A$4:$P$243,16,0)</f>
        <v>#N/A</v>
      </c>
    </row>
    <row r="1277" spans="1:10" ht="15.75" hidden="1" customHeight="1">
      <c r="A1277" s="19">
        <v>1274</v>
      </c>
      <c r="B1277" s="20" t="s">
        <v>1482</v>
      </c>
      <c r="C1277" s="20" t="s">
        <v>1481</v>
      </c>
      <c r="D1277" s="20" t="s">
        <v>32</v>
      </c>
      <c r="E1277" s="21">
        <v>59</v>
      </c>
      <c r="F1277" s="21">
        <v>111</v>
      </c>
      <c r="G1277" s="21">
        <v>22</v>
      </c>
      <c r="H1277" s="21">
        <v>1</v>
      </c>
      <c r="I1277" s="22">
        <f t="shared" si="19"/>
        <v>193</v>
      </c>
      <c r="J1277" t="e">
        <f>VLOOKUP(B1277,'[1]KT 광점퍼코드(수익률)'!$A$4:$P$243,16,0)</f>
        <v>#N/A</v>
      </c>
    </row>
    <row r="1278" spans="1:10" ht="15.75" hidden="1" customHeight="1">
      <c r="A1278" s="23">
        <v>1275</v>
      </c>
      <c r="B1278" s="24" t="s">
        <v>1483</v>
      </c>
      <c r="C1278" s="24" t="s">
        <v>1481</v>
      </c>
      <c r="D1278" s="24" t="s">
        <v>42</v>
      </c>
      <c r="E1278" s="25">
        <v>3</v>
      </c>
      <c r="F1278" s="25">
        <v>82</v>
      </c>
      <c r="G1278" s="25">
        <v>46</v>
      </c>
      <c r="H1278" s="25">
        <v>117</v>
      </c>
      <c r="I1278" s="22">
        <f t="shared" si="19"/>
        <v>248</v>
      </c>
      <c r="J1278" t="e">
        <f>VLOOKUP(B1278,'[1]KT 광점퍼코드(수익률)'!$A$4:$P$243,16,0)</f>
        <v>#N/A</v>
      </c>
    </row>
    <row r="1279" spans="1:10" ht="15.75" hidden="1" customHeight="1">
      <c r="A1279" s="19">
        <v>1276</v>
      </c>
      <c r="B1279" s="20" t="s">
        <v>1484</v>
      </c>
      <c r="C1279" s="20" t="s">
        <v>1481</v>
      </c>
      <c r="D1279" s="20" t="s">
        <v>22</v>
      </c>
      <c r="E1279" s="21">
        <v>15</v>
      </c>
      <c r="F1279" s="21">
        <v>50</v>
      </c>
      <c r="G1279" s="21"/>
      <c r="H1279" s="21"/>
      <c r="I1279" s="22">
        <f t="shared" si="19"/>
        <v>65</v>
      </c>
      <c r="J1279" t="e">
        <f>VLOOKUP(B1279,'[1]KT 광점퍼코드(수익률)'!$A$4:$P$243,16,0)</f>
        <v>#N/A</v>
      </c>
    </row>
    <row r="1280" spans="1:10" ht="15.75" hidden="1" customHeight="1">
      <c r="A1280" s="23">
        <v>1277</v>
      </c>
      <c r="B1280" s="24" t="s">
        <v>1485</v>
      </c>
      <c r="C1280" s="24" t="s">
        <v>1481</v>
      </c>
      <c r="D1280" s="24" t="s">
        <v>45</v>
      </c>
      <c r="E1280" s="25">
        <v>296</v>
      </c>
      <c r="F1280" s="25">
        <v>78</v>
      </c>
      <c r="G1280" s="25">
        <v>17</v>
      </c>
      <c r="H1280" s="25">
        <v>4</v>
      </c>
      <c r="I1280" s="22">
        <f t="shared" si="19"/>
        <v>395</v>
      </c>
      <c r="J1280" t="e">
        <f>VLOOKUP(B1280,'[1]KT 광점퍼코드(수익률)'!$A$4:$P$243,16,0)</f>
        <v>#N/A</v>
      </c>
    </row>
    <row r="1281" spans="1:10" ht="15.75" hidden="1" customHeight="1">
      <c r="A1281" s="19">
        <v>1278</v>
      </c>
      <c r="B1281" s="20" t="s">
        <v>1486</v>
      </c>
      <c r="C1281" s="20" t="s">
        <v>1481</v>
      </c>
      <c r="D1281" s="20" t="s">
        <v>24</v>
      </c>
      <c r="E1281" s="21">
        <v>2048</v>
      </c>
      <c r="F1281" s="21">
        <v>334</v>
      </c>
      <c r="G1281" s="21">
        <v>6</v>
      </c>
      <c r="H1281" s="21">
        <v>17</v>
      </c>
      <c r="I1281" s="22">
        <f t="shared" si="19"/>
        <v>2405</v>
      </c>
      <c r="J1281" t="e">
        <f>VLOOKUP(B1281,'[1]KT 광점퍼코드(수익률)'!$A$4:$P$243,16,0)</f>
        <v>#N/A</v>
      </c>
    </row>
    <row r="1282" spans="1:10" ht="15.75" hidden="1" customHeight="1">
      <c r="A1282" s="23">
        <v>1279</v>
      </c>
      <c r="B1282" s="24" t="s">
        <v>1487</v>
      </c>
      <c r="C1282" s="24" t="s">
        <v>1481</v>
      </c>
      <c r="D1282" s="24" t="s">
        <v>118</v>
      </c>
      <c r="E1282" s="25">
        <v>37</v>
      </c>
      <c r="F1282" s="25"/>
      <c r="G1282" s="25"/>
      <c r="H1282" s="25"/>
      <c r="I1282" s="22">
        <f t="shared" si="19"/>
        <v>37</v>
      </c>
      <c r="J1282" t="e">
        <f>VLOOKUP(B1282,'[1]KT 광점퍼코드(수익률)'!$A$4:$P$243,16,0)</f>
        <v>#N/A</v>
      </c>
    </row>
    <row r="1283" spans="1:10" ht="15.75" hidden="1" customHeight="1">
      <c r="A1283" s="19">
        <v>1280</v>
      </c>
      <c r="B1283" s="20" t="s">
        <v>2792</v>
      </c>
      <c r="C1283" s="20" t="s">
        <v>1481</v>
      </c>
      <c r="D1283" s="20" t="s">
        <v>26</v>
      </c>
      <c r="E1283" s="21"/>
      <c r="F1283" s="21">
        <v>50</v>
      </c>
      <c r="G1283" s="21">
        <v>5</v>
      </c>
      <c r="H1283" s="21"/>
      <c r="I1283" s="22">
        <f t="shared" si="19"/>
        <v>55</v>
      </c>
      <c r="J1283" t="e">
        <f>VLOOKUP(B1283,'[1]KT 광점퍼코드(수익률)'!$A$4:$P$243,16,0)</f>
        <v>#N/A</v>
      </c>
    </row>
    <row r="1284" spans="1:10" ht="15.75" hidden="1" customHeight="1">
      <c r="A1284" s="23">
        <v>1281</v>
      </c>
      <c r="B1284" s="24" t="s">
        <v>1488</v>
      </c>
      <c r="C1284" s="24" t="s">
        <v>1489</v>
      </c>
      <c r="D1284" s="24" t="s">
        <v>259</v>
      </c>
      <c r="E1284" s="25">
        <v>2</v>
      </c>
      <c r="F1284" s="25">
        <v>12</v>
      </c>
      <c r="G1284" s="25">
        <v>2</v>
      </c>
      <c r="H1284" s="25"/>
      <c r="I1284" s="22">
        <f t="shared" ref="I1284:I1347" si="20">SUM(E1284:H1284)</f>
        <v>16</v>
      </c>
      <c r="J1284" t="e">
        <f>VLOOKUP(B1284,'[1]KT 광점퍼코드(수익률)'!$A$4:$P$243,16,0)</f>
        <v>#N/A</v>
      </c>
    </row>
    <row r="1285" spans="1:10" ht="15.75" hidden="1" customHeight="1">
      <c r="A1285" s="19">
        <v>1282</v>
      </c>
      <c r="B1285" s="20" t="s">
        <v>1490</v>
      </c>
      <c r="C1285" s="20" t="s">
        <v>1491</v>
      </c>
      <c r="D1285" s="20" t="s">
        <v>24</v>
      </c>
      <c r="E1285" s="21">
        <v>5</v>
      </c>
      <c r="F1285" s="21"/>
      <c r="G1285" s="21"/>
      <c r="H1285" s="21"/>
      <c r="I1285" s="22">
        <f t="shared" si="20"/>
        <v>5</v>
      </c>
      <c r="J1285" t="e">
        <f>VLOOKUP(B1285,'[1]KT 광점퍼코드(수익률)'!$A$4:$P$243,16,0)</f>
        <v>#N/A</v>
      </c>
    </row>
    <row r="1286" spans="1:10" ht="15.75" hidden="1" customHeight="1">
      <c r="A1286" s="23">
        <v>1283</v>
      </c>
      <c r="B1286" s="24" t="s">
        <v>1492</v>
      </c>
      <c r="C1286" s="24" t="s">
        <v>1493</v>
      </c>
      <c r="D1286" s="24" t="s">
        <v>324</v>
      </c>
      <c r="E1286" s="25">
        <v>969</v>
      </c>
      <c r="F1286" s="25"/>
      <c r="G1286" s="25"/>
      <c r="H1286" s="25"/>
      <c r="I1286" s="22">
        <f t="shared" si="20"/>
        <v>969</v>
      </c>
      <c r="J1286" t="e">
        <f>VLOOKUP(B1286,'[1]KT 광점퍼코드(수익률)'!$A$4:$P$243,16,0)</f>
        <v>#N/A</v>
      </c>
    </row>
    <row r="1287" spans="1:10" ht="15.75" hidden="1" customHeight="1">
      <c r="A1287" s="19">
        <v>1284</v>
      </c>
      <c r="B1287" s="20" t="s">
        <v>1494</v>
      </c>
      <c r="C1287" s="20" t="s">
        <v>1493</v>
      </c>
      <c r="D1287" s="20" t="s">
        <v>284</v>
      </c>
      <c r="E1287" s="21">
        <v>13</v>
      </c>
      <c r="F1287" s="21"/>
      <c r="G1287" s="21"/>
      <c r="H1287" s="21"/>
      <c r="I1287" s="22">
        <f t="shared" si="20"/>
        <v>13</v>
      </c>
      <c r="J1287" t="e">
        <f>VLOOKUP(B1287,'[1]KT 광점퍼코드(수익률)'!$A$4:$P$243,16,0)</f>
        <v>#N/A</v>
      </c>
    </row>
    <row r="1288" spans="1:10" ht="15.75" hidden="1" customHeight="1">
      <c r="A1288" s="23">
        <v>1285</v>
      </c>
      <c r="B1288" s="24" t="s">
        <v>1495</v>
      </c>
      <c r="C1288" s="24" t="s">
        <v>1493</v>
      </c>
      <c r="D1288" s="24" t="s">
        <v>20</v>
      </c>
      <c r="E1288" s="25">
        <v>4</v>
      </c>
      <c r="F1288" s="25"/>
      <c r="G1288" s="25"/>
      <c r="H1288" s="25"/>
      <c r="I1288" s="22">
        <f t="shared" si="20"/>
        <v>4</v>
      </c>
      <c r="J1288" t="e">
        <f>VLOOKUP(B1288,'[1]KT 광점퍼코드(수익률)'!$A$4:$P$243,16,0)</f>
        <v>#N/A</v>
      </c>
    </row>
    <row r="1289" spans="1:10" ht="15.75" hidden="1" customHeight="1">
      <c r="A1289" s="19">
        <v>1286</v>
      </c>
      <c r="B1289" s="20" t="s">
        <v>2793</v>
      </c>
      <c r="C1289" s="20" t="s">
        <v>1493</v>
      </c>
      <c r="D1289" s="20" t="s">
        <v>32</v>
      </c>
      <c r="E1289" s="21"/>
      <c r="F1289" s="21">
        <v>50</v>
      </c>
      <c r="G1289" s="21">
        <v>30</v>
      </c>
      <c r="H1289" s="21"/>
      <c r="I1289" s="22">
        <f t="shared" si="20"/>
        <v>80</v>
      </c>
      <c r="J1289" t="e">
        <f>VLOOKUP(B1289,'[1]KT 광점퍼코드(수익률)'!$A$4:$P$243,16,0)</f>
        <v>#N/A</v>
      </c>
    </row>
    <row r="1290" spans="1:10" ht="15.75" hidden="1" customHeight="1">
      <c r="A1290" s="23">
        <v>1287</v>
      </c>
      <c r="B1290" s="24" t="s">
        <v>1496</v>
      </c>
      <c r="C1290" s="24" t="s">
        <v>1493</v>
      </c>
      <c r="D1290" s="24" t="s">
        <v>42</v>
      </c>
      <c r="E1290" s="25">
        <v>366</v>
      </c>
      <c r="F1290" s="25">
        <v>45</v>
      </c>
      <c r="G1290" s="25">
        <v>40</v>
      </c>
      <c r="H1290" s="25">
        <v>18</v>
      </c>
      <c r="I1290" s="22">
        <f t="shared" si="20"/>
        <v>469</v>
      </c>
      <c r="J1290" t="e">
        <f>VLOOKUP(B1290,'[1]KT 광점퍼코드(수익률)'!$A$4:$P$243,16,0)</f>
        <v>#N/A</v>
      </c>
    </row>
    <row r="1291" spans="1:10" ht="15.75" hidden="1" customHeight="1">
      <c r="A1291" s="19">
        <v>1288</v>
      </c>
      <c r="B1291" s="20" t="s">
        <v>1497</v>
      </c>
      <c r="C1291" s="20" t="s">
        <v>1493</v>
      </c>
      <c r="D1291" s="20" t="s">
        <v>22</v>
      </c>
      <c r="E1291" s="21">
        <v>80</v>
      </c>
      <c r="F1291" s="21">
        <v>50</v>
      </c>
      <c r="G1291" s="21">
        <v>10</v>
      </c>
      <c r="H1291" s="21"/>
      <c r="I1291" s="22">
        <f t="shared" si="20"/>
        <v>140</v>
      </c>
      <c r="J1291" t="e">
        <f>VLOOKUP(B1291,'[1]KT 광점퍼코드(수익률)'!$A$4:$P$243,16,0)</f>
        <v>#N/A</v>
      </c>
    </row>
    <row r="1292" spans="1:10" ht="15.75" hidden="1" customHeight="1">
      <c r="A1292" s="23">
        <v>1289</v>
      </c>
      <c r="B1292" s="24" t="s">
        <v>1498</v>
      </c>
      <c r="C1292" s="24" t="s">
        <v>1493</v>
      </c>
      <c r="D1292" s="24" t="s">
        <v>45</v>
      </c>
      <c r="E1292" s="25">
        <v>225</v>
      </c>
      <c r="F1292" s="25">
        <v>150</v>
      </c>
      <c r="G1292" s="25">
        <v>123</v>
      </c>
      <c r="H1292" s="25">
        <v>31</v>
      </c>
      <c r="I1292" s="22">
        <f t="shared" si="20"/>
        <v>529</v>
      </c>
      <c r="J1292" t="e">
        <f>VLOOKUP(B1292,'[1]KT 광점퍼코드(수익률)'!$A$4:$P$243,16,0)</f>
        <v>#N/A</v>
      </c>
    </row>
    <row r="1293" spans="1:10" ht="15.75" hidden="1" customHeight="1">
      <c r="A1293" s="19">
        <v>1290</v>
      </c>
      <c r="B1293" s="20" t="s">
        <v>1499</v>
      </c>
      <c r="C1293" s="20" t="s">
        <v>1493</v>
      </c>
      <c r="D1293" s="20" t="s">
        <v>47</v>
      </c>
      <c r="E1293" s="21">
        <v>1</v>
      </c>
      <c r="F1293" s="21"/>
      <c r="G1293" s="21"/>
      <c r="H1293" s="21"/>
      <c r="I1293" s="22">
        <f t="shared" si="20"/>
        <v>1</v>
      </c>
      <c r="J1293" t="e">
        <f>VLOOKUP(B1293,'[1]KT 광점퍼코드(수익률)'!$A$4:$P$243,16,0)</f>
        <v>#N/A</v>
      </c>
    </row>
    <row r="1294" spans="1:10" ht="15.75" hidden="1" customHeight="1">
      <c r="A1294" s="23">
        <v>1291</v>
      </c>
      <c r="B1294" s="24" t="s">
        <v>1500</v>
      </c>
      <c r="C1294" s="24" t="s">
        <v>1493</v>
      </c>
      <c r="D1294" s="24" t="s">
        <v>24</v>
      </c>
      <c r="E1294" s="25">
        <v>60</v>
      </c>
      <c r="F1294" s="25">
        <v>210</v>
      </c>
      <c r="G1294" s="25">
        <v>450</v>
      </c>
      <c r="H1294" s="25"/>
      <c r="I1294" s="22">
        <f t="shared" si="20"/>
        <v>720</v>
      </c>
      <c r="J1294" t="e">
        <f>VLOOKUP(B1294,'[1]KT 광점퍼코드(수익률)'!$A$4:$P$243,16,0)</f>
        <v>#N/A</v>
      </c>
    </row>
    <row r="1295" spans="1:10" ht="15.75" hidden="1" customHeight="1">
      <c r="A1295" s="19">
        <v>1292</v>
      </c>
      <c r="B1295" s="20" t="s">
        <v>1501</v>
      </c>
      <c r="C1295" s="20" t="s">
        <v>1493</v>
      </c>
      <c r="D1295" s="20" t="s">
        <v>26</v>
      </c>
      <c r="E1295" s="21">
        <v>524</v>
      </c>
      <c r="F1295" s="21">
        <v>17</v>
      </c>
      <c r="G1295" s="21">
        <v>13</v>
      </c>
      <c r="H1295" s="21"/>
      <c r="I1295" s="22">
        <f t="shared" si="20"/>
        <v>554</v>
      </c>
      <c r="J1295" t="e">
        <f>VLOOKUP(B1295,'[1]KT 광점퍼코드(수익률)'!$A$4:$P$243,16,0)</f>
        <v>#N/A</v>
      </c>
    </row>
    <row r="1296" spans="1:10" ht="15.75" hidden="1" customHeight="1">
      <c r="A1296" s="23">
        <v>1293</v>
      </c>
      <c r="B1296" s="24" t="s">
        <v>1502</v>
      </c>
      <c r="C1296" s="24" t="s">
        <v>1493</v>
      </c>
      <c r="D1296" s="24" t="s">
        <v>259</v>
      </c>
      <c r="E1296" s="25">
        <v>174</v>
      </c>
      <c r="F1296" s="25"/>
      <c r="G1296" s="25"/>
      <c r="H1296" s="25"/>
      <c r="I1296" s="22">
        <f t="shared" si="20"/>
        <v>174</v>
      </c>
      <c r="J1296" t="e">
        <f>VLOOKUP(B1296,'[1]KT 광점퍼코드(수익률)'!$A$4:$P$243,16,0)</f>
        <v>#N/A</v>
      </c>
    </row>
    <row r="1297" spans="1:10" ht="15.75" hidden="1" customHeight="1">
      <c r="A1297" s="19">
        <v>1294</v>
      </c>
      <c r="B1297" s="20" t="s">
        <v>2794</v>
      </c>
      <c r="C1297" s="20" t="s">
        <v>1504</v>
      </c>
      <c r="D1297" s="20" t="s">
        <v>324</v>
      </c>
      <c r="E1297" s="21"/>
      <c r="F1297" s="21">
        <v>100</v>
      </c>
      <c r="G1297" s="21"/>
      <c r="H1297" s="21"/>
      <c r="I1297" s="22">
        <f t="shared" si="20"/>
        <v>100</v>
      </c>
      <c r="J1297" t="e">
        <f>VLOOKUP(B1297,'[1]KT 광점퍼코드(수익률)'!$A$4:$P$243,16,0)</f>
        <v>#N/A</v>
      </c>
    </row>
    <row r="1298" spans="1:10" ht="15.75" hidden="1" customHeight="1">
      <c r="A1298" s="23">
        <v>1295</v>
      </c>
      <c r="B1298" s="24" t="s">
        <v>1503</v>
      </c>
      <c r="C1298" s="24" t="s">
        <v>1504</v>
      </c>
      <c r="D1298" s="24" t="s">
        <v>20</v>
      </c>
      <c r="E1298" s="25">
        <v>500</v>
      </c>
      <c r="F1298" s="25">
        <v>5</v>
      </c>
      <c r="G1298" s="25"/>
      <c r="H1298" s="25"/>
      <c r="I1298" s="22">
        <f t="shared" si="20"/>
        <v>505</v>
      </c>
      <c r="J1298" t="e">
        <f>VLOOKUP(B1298,'[1]KT 광점퍼코드(수익률)'!$A$4:$P$243,16,0)</f>
        <v>#N/A</v>
      </c>
    </row>
    <row r="1299" spans="1:10" ht="15.75" hidden="1" customHeight="1">
      <c r="A1299" s="19">
        <v>1296</v>
      </c>
      <c r="B1299" s="20" t="s">
        <v>2795</v>
      </c>
      <c r="C1299" s="20" t="s">
        <v>1504</v>
      </c>
      <c r="D1299" s="20" t="s">
        <v>32</v>
      </c>
      <c r="E1299" s="21"/>
      <c r="F1299" s="21">
        <v>5</v>
      </c>
      <c r="G1299" s="21"/>
      <c r="H1299" s="21"/>
      <c r="I1299" s="22">
        <f t="shared" si="20"/>
        <v>5</v>
      </c>
      <c r="J1299" t="e">
        <f>VLOOKUP(B1299,'[1]KT 광점퍼코드(수익률)'!$A$4:$P$243,16,0)</f>
        <v>#N/A</v>
      </c>
    </row>
    <row r="1300" spans="1:10" ht="15.75" hidden="1" customHeight="1">
      <c r="A1300" s="23">
        <v>1297</v>
      </c>
      <c r="B1300" s="24" t="s">
        <v>3341</v>
      </c>
      <c r="C1300" s="24" t="s">
        <v>1504</v>
      </c>
      <c r="D1300" s="24" t="s">
        <v>42</v>
      </c>
      <c r="E1300" s="25"/>
      <c r="F1300" s="25"/>
      <c r="G1300" s="25">
        <v>100</v>
      </c>
      <c r="H1300" s="25">
        <v>5</v>
      </c>
      <c r="I1300" s="22">
        <f t="shared" si="20"/>
        <v>105</v>
      </c>
      <c r="J1300" t="e">
        <f>VLOOKUP(B1300,'[1]KT 광점퍼코드(수익률)'!$A$4:$P$243,16,0)</f>
        <v>#N/A</v>
      </c>
    </row>
    <row r="1301" spans="1:10" ht="15.75" hidden="1" customHeight="1">
      <c r="A1301" s="19">
        <v>1298</v>
      </c>
      <c r="B1301" s="20" t="s">
        <v>2796</v>
      </c>
      <c r="C1301" s="20" t="s">
        <v>1504</v>
      </c>
      <c r="D1301" s="20" t="s">
        <v>22</v>
      </c>
      <c r="E1301" s="21"/>
      <c r="F1301" s="21">
        <v>20</v>
      </c>
      <c r="G1301" s="21"/>
      <c r="H1301" s="21"/>
      <c r="I1301" s="22">
        <f t="shared" si="20"/>
        <v>20</v>
      </c>
      <c r="J1301" t="e">
        <f>VLOOKUP(B1301,'[1]KT 광점퍼코드(수익률)'!$A$4:$P$243,16,0)</f>
        <v>#N/A</v>
      </c>
    </row>
    <row r="1302" spans="1:10" ht="15.75" hidden="1" customHeight="1">
      <c r="A1302" s="23">
        <v>1299</v>
      </c>
      <c r="B1302" s="24" t="s">
        <v>2797</v>
      </c>
      <c r="C1302" s="24" t="s">
        <v>1504</v>
      </c>
      <c r="D1302" s="24" t="s">
        <v>121</v>
      </c>
      <c r="E1302" s="25"/>
      <c r="F1302" s="25">
        <v>5</v>
      </c>
      <c r="G1302" s="25"/>
      <c r="H1302" s="25"/>
      <c r="I1302" s="22">
        <f t="shared" si="20"/>
        <v>5</v>
      </c>
      <c r="J1302" t="e">
        <f>VLOOKUP(B1302,'[1]KT 광점퍼코드(수익률)'!$A$4:$P$243,16,0)</f>
        <v>#N/A</v>
      </c>
    </row>
    <row r="1303" spans="1:10" ht="15.75" hidden="1" customHeight="1">
      <c r="A1303" s="19">
        <v>1300</v>
      </c>
      <c r="B1303" s="20" t="s">
        <v>1505</v>
      </c>
      <c r="C1303" s="20" t="s">
        <v>1504</v>
      </c>
      <c r="D1303" s="20" t="s">
        <v>45</v>
      </c>
      <c r="E1303" s="21">
        <v>26</v>
      </c>
      <c r="F1303" s="21"/>
      <c r="G1303" s="21"/>
      <c r="H1303" s="21"/>
      <c r="I1303" s="22">
        <f t="shared" si="20"/>
        <v>26</v>
      </c>
      <c r="J1303" t="e">
        <f>VLOOKUP(B1303,'[1]KT 광점퍼코드(수익률)'!$A$4:$P$243,16,0)</f>
        <v>#N/A</v>
      </c>
    </row>
    <row r="1304" spans="1:10" ht="15.75" hidden="1" customHeight="1">
      <c r="A1304" s="23">
        <v>1301</v>
      </c>
      <c r="B1304" s="24" t="s">
        <v>1506</v>
      </c>
      <c r="C1304" s="24" t="s">
        <v>1504</v>
      </c>
      <c r="D1304" s="24" t="s">
        <v>47</v>
      </c>
      <c r="E1304" s="25">
        <v>12</v>
      </c>
      <c r="F1304" s="25"/>
      <c r="G1304" s="25"/>
      <c r="H1304" s="25"/>
      <c r="I1304" s="22">
        <f t="shared" si="20"/>
        <v>12</v>
      </c>
      <c r="J1304" t="e">
        <f>VLOOKUP(B1304,'[1]KT 광점퍼코드(수익률)'!$A$4:$P$243,16,0)</f>
        <v>#N/A</v>
      </c>
    </row>
    <row r="1305" spans="1:10" ht="15.75" hidden="1" customHeight="1">
      <c r="A1305" s="19">
        <v>1302</v>
      </c>
      <c r="B1305" s="20" t="s">
        <v>1507</v>
      </c>
      <c r="C1305" s="20" t="s">
        <v>1504</v>
      </c>
      <c r="D1305" s="20" t="s">
        <v>24</v>
      </c>
      <c r="E1305" s="21">
        <v>1000</v>
      </c>
      <c r="F1305" s="21">
        <v>280</v>
      </c>
      <c r="G1305" s="21">
        <v>300</v>
      </c>
      <c r="H1305" s="21"/>
      <c r="I1305" s="22">
        <f t="shared" si="20"/>
        <v>1580</v>
      </c>
      <c r="J1305" t="e">
        <f>VLOOKUP(B1305,'[1]KT 광점퍼코드(수익률)'!$A$4:$P$243,16,0)</f>
        <v>#N/A</v>
      </c>
    </row>
    <row r="1306" spans="1:10" ht="15.75" hidden="1" customHeight="1">
      <c r="A1306" s="23">
        <v>1303</v>
      </c>
      <c r="B1306" s="24" t="s">
        <v>1508</v>
      </c>
      <c r="C1306" s="24" t="s">
        <v>1504</v>
      </c>
      <c r="D1306" s="24" t="s">
        <v>118</v>
      </c>
      <c r="E1306" s="25">
        <v>100</v>
      </c>
      <c r="F1306" s="25"/>
      <c r="G1306" s="25"/>
      <c r="H1306" s="25"/>
      <c r="I1306" s="22">
        <f t="shared" si="20"/>
        <v>100</v>
      </c>
      <c r="J1306" t="e">
        <f>VLOOKUP(B1306,'[1]KT 광점퍼코드(수익률)'!$A$4:$P$243,16,0)</f>
        <v>#N/A</v>
      </c>
    </row>
    <row r="1307" spans="1:10" ht="15.75" hidden="1" customHeight="1">
      <c r="A1307" s="19">
        <v>1304</v>
      </c>
      <c r="B1307" s="20" t="s">
        <v>2798</v>
      </c>
      <c r="C1307" s="20" t="s">
        <v>1504</v>
      </c>
      <c r="D1307" s="20" t="s">
        <v>26</v>
      </c>
      <c r="E1307" s="21"/>
      <c r="F1307" s="21">
        <v>5</v>
      </c>
      <c r="G1307" s="21"/>
      <c r="H1307" s="21"/>
      <c r="I1307" s="22">
        <f t="shared" si="20"/>
        <v>5</v>
      </c>
      <c r="J1307" t="e">
        <f>VLOOKUP(B1307,'[1]KT 광점퍼코드(수익률)'!$A$4:$P$243,16,0)</f>
        <v>#N/A</v>
      </c>
    </row>
    <row r="1308" spans="1:10" ht="15.75" hidden="1" customHeight="1">
      <c r="A1308" s="23">
        <v>1305</v>
      </c>
      <c r="B1308" s="24" t="s">
        <v>1509</v>
      </c>
      <c r="C1308" s="24" t="s">
        <v>1510</v>
      </c>
      <c r="D1308" s="24" t="s">
        <v>45</v>
      </c>
      <c r="E1308" s="25">
        <v>100</v>
      </c>
      <c r="F1308" s="25"/>
      <c r="G1308" s="25"/>
      <c r="H1308" s="25"/>
      <c r="I1308" s="22">
        <f t="shared" si="20"/>
        <v>100</v>
      </c>
      <c r="J1308" t="e">
        <f>VLOOKUP(B1308,'[1]KT 광점퍼코드(수익률)'!$A$4:$P$243,16,0)</f>
        <v>#N/A</v>
      </c>
    </row>
    <row r="1309" spans="1:10" ht="15.75" hidden="1" customHeight="1">
      <c r="A1309" s="19">
        <v>1306</v>
      </c>
      <c r="B1309" s="20" t="s">
        <v>2799</v>
      </c>
      <c r="C1309" s="20" t="s">
        <v>1466</v>
      </c>
      <c r="D1309" s="20" t="s">
        <v>1515</v>
      </c>
      <c r="E1309" s="21"/>
      <c r="F1309" s="21">
        <v>100</v>
      </c>
      <c r="G1309" s="21"/>
      <c r="H1309" s="21"/>
      <c r="I1309" s="22">
        <f t="shared" si="20"/>
        <v>100</v>
      </c>
      <c r="J1309" t="e">
        <f>VLOOKUP(B1309,'[1]KT 광점퍼코드(수익률)'!$A$4:$P$243,16,0)</f>
        <v>#N/A</v>
      </c>
    </row>
    <row r="1310" spans="1:10" ht="15.75" hidden="1" customHeight="1">
      <c r="A1310" s="23">
        <v>1307</v>
      </c>
      <c r="B1310" s="24" t="s">
        <v>3507</v>
      </c>
      <c r="C1310" s="24" t="s">
        <v>1523</v>
      </c>
      <c r="D1310" s="24" t="s">
        <v>20</v>
      </c>
      <c r="E1310" s="25"/>
      <c r="F1310" s="25"/>
      <c r="G1310" s="25"/>
      <c r="H1310" s="25">
        <v>10</v>
      </c>
      <c r="I1310" s="22">
        <f t="shared" si="20"/>
        <v>10</v>
      </c>
      <c r="J1310" t="e">
        <f>VLOOKUP(B1310,'[1]KT 광점퍼코드(수익률)'!$A$4:$P$243,16,0)</f>
        <v>#N/A</v>
      </c>
    </row>
    <row r="1311" spans="1:10" ht="15.75" hidden="1" customHeight="1">
      <c r="A1311" s="19">
        <v>1308</v>
      </c>
      <c r="B1311" s="20" t="s">
        <v>1511</v>
      </c>
      <c r="C1311" s="20" t="s">
        <v>1510</v>
      </c>
      <c r="D1311" s="20" t="s">
        <v>32</v>
      </c>
      <c r="E1311" s="21">
        <v>1</v>
      </c>
      <c r="F1311" s="21"/>
      <c r="G1311" s="21">
        <v>4</v>
      </c>
      <c r="H1311" s="21"/>
      <c r="I1311" s="22">
        <f t="shared" si="20"/>
        <v>5</v>
      </c>
      <c r="J1311" t="e">
        <f>VLOOKUP(B1311,'[1]KT 광점퍼코드(수익률)'!$A$4:$P$243,16,0)</f>
        <v>#N/A</v>
      </c>
    </row>
    <row r="1312" spans="1:10" ht="15.75" hidden="1" customHeight="1">
      <c r="A1312" s="23">
        <v>1309</v>
      </c>
      <c r="B1312" s="24" t="s">
        <v>1512</v>
      </c>
      <c r="C1312" s="24" t="s">
        <v>1510</v>
      </c>
      <c r="D1312" s="24" t="s">
        <v>24</v>
      </c>
      <c r="E1312" s="25">
        <v>31</v>
      </c>
      <c r="F1312" s="25"/>
      <c r="G1312" s="25"/>
      <c r="H1312" s="25"/>
      <c r="I1312" s="22">
        <f t="shared" si="20"/>
        <v>31</v>
      </c>
      <c r="J1312" t="e">
        <f>VLOOKUP(B1312,'[1]KT 광점퍼코드(수익률)'!$A$4:$P$243,16,0)</f>
        <v>#N/A</v>
      </c>
    </row>
    <row r="1313" spans="1:10" ht="15.75" hidden="1" customHeight="1">
      <c r="A1313" s="19">
        <v>1310</v>
      </c>
      <c r="B1313" s="20" t="s">
        <v>1513</v>
      </c>
      <c r="C1313" s="20" t="s">
        <v>169</v>
      </c>
      <c r="D1313" s="20" t="s">
        <v>190</v>
      </c>
      <c r="E1313" s="21">
        <v>22</v>
      </c>
      <c r="F1313" s="21">
        <v>1</v>
      </c>
      <c r="G1313" s="21"/>
      <c r="H1313" s="21"/>
      <c r="I1313" s="22">
        <f t="shared" si="20"/>
        <v>23</v>
      </c>
      <c r="J1313" t="e">
        <f>VLOOKUP(B1313,'[1]KT 광점퍼코드(수익률)'!$A$4:$P$243,16,0)</f>
        <v>#N/A</v>
      </c>
    </row>
    <row r="1314" spans="1:10" ht="15.75" hidden="1" customHeight="1">
      <c r="A1314" s="23">
        <v>1311</v>
      </c>
      <c r="B1314" s="24" t="s">
        <v>3508</v>
      </c>
      <c r="C1314" s="24" t="s">
        <v>1504</v>
      </c>
      <c r="D1314" s="24" t="s">
        <v>50</v>
      </c>
      <c r="E1314" s="25"/>
      <c r="F1314" s="25"/>
      <c r="G1314" s="25"/>
      <c r="H1314" s="25">
        <v>10</v>
      </c>
      <c r="I1314" s="22">
        <f t="shared" si="20"/>
        <v>10</v>
      </c>
      <c r="J1314" t="e">
        <f>VLOOKUP(B1314,'[1]KT 광점퍼코드(수익률)'!$A$4:$P$243,16,0)</f>
        <v>#N/A</v>
      </c>
    </row>
    <row r="1315" spans="1:10" ht="15.75" hidden="1" customHeight="1">
      <c r="A1315" s="19">
        <v>1312</v>
      </c>
      <c r="B1315" s="20" t="s">
        <v>3342</v>
      </c>
      <c r="C1315" s="20" t="s">
        <v>1466</v>
      </c>
      <c r="D1315" s="20" t="s">
        <v>3008</v>
      </c>
      <c r="E1315" s="21"/>
      <c r="F1315" s="21"/>
      <c r="G1315" s="21">
        <v>350</v>
      </c>
      <c r="H1315" s="21"/>
      <c r="I1315" s="22">
        <f t="shared" si="20"/>
        <v>350</v>
      </c>
      <c r="J1315" t="e">
        <f>VLOOKUP(B1315,'[1]KT 광점퍼코드(수익률)'!$A$4:$P$243,16,0)</f>
        <v>#N/A</v>
      </c>
    </row>
    <row r="1316" spans="1:10" ht="15.75" hidden="1" customHeight="1">
      <c r="A1316" s="23">
        <v>1313</v>
      </c>
      <c r="B1316" s="24" t="s">
        <v>2800</v>
      </c>
      <c r="C1316" s="24" t="s">
        <v>1460</v>
      </c>
      <c r="D1316" s="24" t="s">
        <v>50</v>
      </c>
      <c r="E1316" s="25"/>
      <c r="F1316" s="25">
        <v>3</v>
      </c>
      <c r="G1316" s="25"/>
      <c r="H1316" s="25"/>
      <c r="I1316" s="22">
        <f t="shared" si="20"/>
        <v>3</v>
      </c>
      <c r="J1316" t="e">
        <f>VLOOKUP(B1316,'[1]KT 광점퍼코드(수익률)'!$A$4:$P$243,16,0)</f>
        <v>#N/A</v>
      </c>
    </row>
    <row r="1317" spans="1:10" ht="15.75" hidden="1" customHeight="1">
      <c r="A1317" s="19">
        <v>1314</v>
      </c>
      <c r="B1317" s="20" t="s">
        <v>2801</v>
      </c>
      <c r="C1317" s="20" t="s">
        <v>1531</v>
      </c>
      <c r="D1317" s="20" t="s">
        <v>42</v>
      </c>
      <c r="E1317" s="21"/>
      <c r="F1317" s="21">
        <v>2</v>
      </c>
      <c r="G1317" s="21"/>
      <c r="H1317" s="21"/>
      <c r="I1317" s="22">
        <f t="shared" si="20"/>
        <v>2</v>
      </c>
      <c r="J1317" t="e">
        <f>VLOOKUP(B1317,'[1]KT 광점퍼코드(수익률)'!$A$4:$P$243,16,0)</f>
        <v>#N/A</v>
      </c>
    </row>
    <row r="1318" spans="1:10" ht="15.75" hidden="1" customHeight="1">
      <c r="A1318" s="23">
        <v>1315</v>
      </c>
      <c r="B1318" s="24" t="s">
        <v>1514</v>
      </c>
      <c r="C1318" s="24" t="s">
        <v>1471</v>
      </c>
      <c r="D1318" s="24" t="s">
        <v>1515</v>
      </c>
      <c r="E1318" s="25">
        <v>10</v>
      </c>
      <c r="F1318" s="25"/>
      <c r="G1318" s="25">
        <v>200</v>
      </c>
      <c r="H1318" s="25">
        <v>50</v>
      </c>
      <c r="I1318" s="22">
        <f t="shared" si="20"/>
        <v>260</v>
      </c>
      <c r="J1318" t="e">
        <f>VLOOKUP(B1318,'[1]KT 광점퍼코드(수익률)'!$A$4:$P$243,16,0)</f>
        <v>#N/A</v>
      </c>
    </row>
    <row r="1319" spans="1:10" ht="15.75" hidden="1" customHeight="1">
      <c r="A1319" s="19">
        <v>1316</v>
      </c>
      <c r="B1319" s="20" t="s">
        <v>2802</v>
      </c>
      <c r="C1319" s="20" t="s">
        <v>1466</v>
      </c>
      <c r="D1319" s="20" t="s">
        <v>53</v>
      </c>
      <c r="E1319" s="21"/>
      <c r="F1319" s="21">
        <v>13</v>
      </c>
      <c r="G1319" s="21"/>
      <c r="H1319" s="21"/>
      <c r="I1319" s="22">
        <f t="shared" si="20"/>
        <v>13</v>
      </c>
      <c r="J1319" t="e">
        <f>VLOOKUP(B1319,'[1]KT 광점퍼코드(수익률)'!$A$4:$P$243,16,0)</f>
        <v>#N/A</v>
      </c>
    </row>
    <row r="1320" spans="1:10" ht="15.75" hidden="1" customHeight="1">
      <c r="A1320" s="23">
        <v>1317</v>
      </c>
      <c r="B1320" s="24" t="s">
        <v>1516</v>
      </c>
      <c r="C1320" s="24" t="s">
        <v>1471</v>
      </c>
      <c r="D1320" s="24" t="s">
        <v>310</v>
      </c>
      <c r="E1320" s="25">
        <v>4</v>
      </c>
      <c r="F1320" s="25"/>
      <c r="G1320" s="25"/>
      <c r="H1320" s="25"/>
      <c r="I1320" s="22">
        <f t="shared" si="20"/>
        <v>4</v>
      </c>
      <c r="J1320" t="e">
        <f>VLOOKUP(B1320,'[1]KT 광점퍼코드(수익률)'!$A$4:$P$243,16,0)</f>
        <v>#N/A</v>
      </c>
    </row>
    <row r="1321" spans="1:10" ht="15.75" hidden="1" customHeight="1">
      <c r="A1321" s="19">
        <v>1318</v>
      </c>
      <c r="B1321" s="20" t="s">
        <v>2803</v>
      </c>
      <c r="C1321" s="20" t="s">
        <v>1460</v>
      </c>
      <c r="D1321" s="20" t="s">
        <v>53</v>
      </c>
      <c r="E1321" s="21"/>
      <c r="F1321" s="21">
        <v>2</v>
      </c>
      <c r="G1321" s="21"/>
      <c r="H1321" s="21"/>
      <c r="I1321" s="22">
        <f t="shared" si="20"/>
        <v>2</v>
      </c>
      <c r="J1321" t="e">
        <f>VLOOKUP(B1321,'[1]KT 광점퍼코드(수익률)'!$A$4:$P$243,16,0)</f>
        <v>#N/A</v>
      </c>
    </row>
    <row r="1322" spans="1:10" ht="15.75" hidden="1" customHeight="1">
      <c r="A1322" s="23">
        <v>1319</v>
      </c>
      <c r="B1322" s="24" t="s">
        <v>1517</v>
      </c>
      <c r="C1322" s="24" t="s">
        <v>445</v>
      </c>
      <c r="D1322" s="24" t="s">
        <v>474</v>
      </c>
      <c r="E1322" s="25">
        <v>30</v>
      </c>
      <c r="F1322" s="25"/>
      <c r="G1322" s="25"/>
      <c r="H1322" s="25"/>
      <c r="I1322" s="22">
        <f t="shared" si="20"/>
        <v>30</v>
      </c>
      <c r="J1322" t="e">
        <f>VLOOKUP(B1322,'[1]KT 광점퍼코드(수익률)'!$A$4:$P$243,16,0)</f>
        <v>#N/A</v>
      </c>
    </row>
    <row r="1323" spans="1:10" ht="15.75" hidden="1" customHeight="1">
      <c r="A1323" s="19">
        <v>1320</v>
      </c>
      <c r="B1323" s="20" t="s">
        <v>1518</v>
      </c>
      <c r="C1323" s="20" t="s">
        <v>445</v>
      </c>
      <c r="D1323" s="20" t="s">
        <v>1519</v>
      </c>
      <c r="E1323" s="21">
        <v>10</v>
      </c>
      <c r="F1323" s="21"/>
      <c r="G1323" s="21"/>
      <c r="H1323" s="21"/>
      <c r="I1323" s="22">
        <f t="shared" si="20"/>
        <v>10</v>
      </c>
      <c r="J1323" t="e">
        <f>VLOOKUP(B1323,'[1]KT 광점퍼코드(수익률)'!$A$4:$P$243,16,0)</f>
        <v>#N/A</v>
      </c>
    </row>
    <row r="1324" spans="1:10" ht="15.75" hidden="1" customHeight="1">
      <c r="A1324" s="23">
        <v>1321</v>
      </c>
      <c r="B1324" s="24" t="s">
        <v>2804</v>
      </c>
      <c r="C1324" s="24" t="s">
        <v>1475</v>
      </c>
      <c r="D1324" s="24" t="s">
        <v>53</v>
      </c>
      <c r="E1324" s="25"/>
      <c r="F1324" s="25">
        <v>24</v>
      </c>
      <c r="G1324" s="25"/>
      <c r="H1324" s="25"/>
      <c r="I1324" s="22">
        <f t="shared" si="20"/>
        <v>24</v>
      </c>
      <c r="J1324" t="e">
        <f>VLOOKUP(B1324,'[1]KT 광점퍼코드(수익률)'!$A$4:$P$243,16,0)</f>
        <v>#N/A</v>
      </c>
    </row>
    <row r="1325" spans="1:10" ht="15.75" hidden="1" customHeight="1">
      <c r="A1325" s="19">
        <v>1322</v>
      </c>
      <c r="B1325" s="20" t="s">
        <v>2805</v>
      </c>
      <c r="C1325" s="20" t="s">
        <v>869</v>
      </c>
      <c r="D1325" s="20" t="s">
        <v>2806</v>
      </c>
      <c r="E1325" s="21"/>
      <c r="F1325" s="21">
        <v>600</v>
      </c>
      <c r="G1325" s="21">
        <v>100</v>
      </c>
      <c r="H1325" s="21"/>
      <c r="I1325" s="22">
        <f t="shared" si="20"/>
        <v>700</v>
      </c>
      <c r="J1325" t="e">
        <f>VLOOKUP(B1325,'[1]KT 광점퍼코드(수익률)'!$A$4:$P$243,16,0)</f>
        <v>#N/A</v>
      </c>
    </row>
    <row r="1326" spans="1:10" ht="15.75" customHeight="1">
      <c r="A1326" s="23">
        <v>1323</v>
      </c>
      <c r="B1326" s="24" t="s">
        <v>2807</v>
      </c>
      <c r="C1326" s="24" t="s">
        <v>2808</v>
      </c>
      <c r="D1326" s="24"/>
      <c r="E1326" s="25"/>
      <c r="F1326" s="25">
        <v>44</v>
      </c>
      <c r="G1326" s="25"/>
      <c r="H1326" s="25"/>
      <c r="I1326" s="22">
        <f t="shared" si="20"/>
        <v>44</v>
      </c>
      <c r="J1326">
        <f>VLOOKUP(B1326,'[1]KT 광점퍼코드(수익률)'!$A$4:$P$243,16,0)</f>
        <v>1344</v>
      </c>
    </row>
    <row r="1327" spans="1:10" ht="15.75" hidden="1" customHeight="1">
      <c r="A1327" s="19">
        <v>1324</v>
      </c>
      <c r="B1327" s="20" t="s">
        <v>1520</v>
      </c>
      <c r="C1327" s="20" t="s">
        <v>755</v>
      </c>
      <c r="D1327" s="27" t="s">
        <v>1521</v>
      </c>
      <c r="E1327" s="21">
        <v>50</v>
      </c>
      <c r="F1327" s="21"/>
      <c r="G1327" s="21"/>
      <c r="H1327" s="21"/>
      <c r="I1327" s="22">
        <f t="shared" si="20"/>
        <v>50</v>
      </c>
      <c r="J1327" t="e">
        <f>VLOOKUP(B1327,'[1]KT 광점퍼코드(수익률)'!$A$4:$P$243,16,0)</f>
        <v>#N/A</v>
      </c>
    </row>
    <row r="1328" spans="1:10" ht="15.75" hidden="1" customHeight="1">
      <c r="A1328" s="23">
        <v>1325</v>
      </c>
      <c r="B1328" s="24" t="s">
        <v>3343</v>
      </c>
      <c r="C1328" s="24" t="s">
        <v>3344</v>
      </c>
      <c r="D1328" s="24"/>
      <c r="E1328" s="25"/>
      <c r="F1328" s="25"/>
      <c r="G1328" s="25">
        <v>544</v>
      </c>
      <c r="H1328" s="25"/>
      <c r="I1328" s="22">
        <f t="shared" si="20"/>
        <v>544</v>
      </c>
      <c r="J1328" t="e">
        <f>VLOOKUP(B1328,'[1]KT 광점퍼코드(수익률)'!$A$4:$P$243,16,0)</f>
        <v>#N/A</v>
      </c>
    </row>
    <row r="1329" spans="1:10" ht="15.75" hidden="1" customHeight="1">
      <c r="A1329" s="19">
        <v>1326</v>
      </c>
      <c r="B1329" s="20" t="s">
        <v>3345</v>
      </c>
      <c r="C1329" s="20" t="s">
        <v>3346</v>
      </c>
      <c r="D1329" s="20"/>
      <c r="E1329" s="21"/>
      <c r="F1329" s="21"/>
      <c r="G1329" s="21">
        <v>19</v>
      </c>
      <c r="H1329" s="21"/>
      <c r="I1329" s="22">
        <f t="shared" si="20"/>
        <v>19</v>
      </c>
      <c r="J1329" t="e">
        <f>VLOOKUP(B1329,'[1]KT 광점퍼코드(수익률)'!$A$4:$P$243,16,0)</f>
        <v>#N/A</v>
      </c>
    </row>
    <row r="1330" spans="1:10" ht="15.75" hidden="1" customHeight="1">
      <c r="A1330" s="23">
        <v>1327</v>
      </c>
      <c r="B1330" s="24" t="s">
        <v>3347</v>
      </c>
      <c r="C1330" s="24" t="s">
        <v>3348</v>
      </c>
      <c r="D1330" s="24" t="s">
        <v>3349</v>
      </c>
      <c r="E1330" s="25"/>
      <c r="F1330" s="25"/>
      <c r="G1330" s="25">
        <v>150</v>
      </c>
      <c r="H1330" s="25"/>
      <c r="I1330" s="22">
        <f t="shared" si="20"/>
        <v>150</v>
      </c>
      <c r="J1330" t="e">
        <f>VLOOKUP(B1330,'[1]KT 광점퍼코드(수익률)'!$A$4:$P$243,16,0)</f>
        <v>#N/A</v>
      </c>
    </row>
    <row r="1331" spans="1:10" ht="15.75" hidden="1" customHeight="1">
      <c r="A1331" s="19">
        <v>1328</v>
      </c>
      <c r="B1331" s="20" t="s">
        <v>3350</v>
      </c>
      <c r="C1331" s="20" t="s">
        <v>3348</v>
      </c>
      <c r="D1331" s="20" t="s">
        <v>3351</v>
      </c>
      <c r="E1331" s="21"/>
      <c r="F1331" s="21"/>
      <c r="G1331" s="21">
        <v>200</v>
      </c>
      <c r="H1331" s="21"/>
      <c r="I1331" s="22">
        <f t="shared" si="20"/>
        <v>200</v>
      </c>
      <c r="J1331" t="e">
        <f>VLOOKUP(B1331,'[1]KT 광점퍼코드(수익률)'!$A$4:$P$243,16,0)</f>
        <v>#N/A</v>
      </c>
    </row>
    <row r="1332" spans="1:10" ht="15.75" hidden="1" customHeight="1">
      <c r="A1332" s="23">
        <v>1329</v>
      </c>
      <c r="B1332" s="24" t="s">
        <v>3352</v>
      </c>
      <c r="C1332" s="24" t="s">
        <v>1460</v>
      </c>
      <c r="D1332" s="24" t="s">
        <v>3353</v>
      </c>
      <c r="E1332" s="25"/>
      <c r="F1332" s="25"/>
      <c r="G1332" s="25">
        <v>30</v>
      </c>
      <c r="H1332" s="25">
        <v>30</v>
      </c>
      <c r="I1332" s="22">
        <f t="shared" si="20"/>
        <v>60</v>
      </c>
      <c r="J1332" t="e">
        <f>VLOOKUP(B1332,'[1]KT 광점퍼코드(수익률)'!$A$4:$P$243,16,0)</f>
        <v>#N/A</v>
      </c>
    </row>
    <row r="1333" spans="1:10" ht="15.75" hidden="1" customHeight="1">
      <c r="A1333" s="19">
        <v>1330</v>
      </c>
      <c r="B1333" s="20" t="s">
        <v>1522</v>
      </c>
      <c r="C1333" s="20" t="s">
        <v>1523</v>
      </c>
      <c r="D1333" s="20" t="s">
        <v>1524</v>
      </c>
      <c r="E1333" s="21">
        <v>4</v>
      </c>
      <c r="F1333" s="21"/>
      <c r="G1333" s="21"/>
      <c r="H1333" s="21"/>
      <c r="I1333" s="22">
        <f t="shared" si="20"/>
        <v>4</v>
      </c>
      <c r="J1333" t="e">
        <f>VLOOKUP(B1333,'[1]KT 광점퍼코드(수익률)'!$A$4:$P$243,16,0)</f>
        <v>#N/A</v>
      </c>
    </row>
    <row r="1334" spans="1:10" ht="15.75" hidden="1" customHeight="1">
      <c r="A1334" s="23">
        <v>1331</v>
      </c>
      <c r="B1334" s="24" t="s">
        <v>1525</v>
      </c>
      <c r="C1334" s="24" t="s">
        <v>1491</v>
      </c>
      <c r="D1334" s="24" t="s">
        <v>284</v>
      </c>
      <c r="E1334" s="25">
        <v>2</v>
      </c>
      <c r="F1334" s="25"/>
      <c r="G1334" s="25"/>
      <c r="H1334" s="25"/>
      <c r="I1334" s="22">
        <f t="shared" si="20"/>
        <v>2</v>
      </c>
      <c r="J1334" t="e">
        <f>VLOOKUP(B1334,'[1]KT 광점퍼코드(수익률)'!$A$4:$P$243,16,0)</f>
        <v>#N/A</v>
      </c>
    </row>
    <row r="1335" spans="1:10" ht="15.75" hidden="1" customHeight="1">
      <c r="A1335" s="19">
        <v>1332</v>
      </c>
      <c r="B1335" s="20" t="s">
        <v>1526</v>
      </c>
      <c r="C1335" s="20" t="s">
        <v>1527</v>
      </c>
      <c r="D1335" s="20" t="s">
        <v>284</v>
      </c>
      <c r="E1335" s="21">
        <v>2</v>
      </c>
      <c r="F1335" s="21"/>
      <c r="G1335" s="21"/>
      <c r="H1335" s="21"/>
      <c r="I1335" s="22">
        <f t="shared" si="20"/>
        <v>2</v>
      </c>
      <c r="J1335" t="e">
        <f>VLOOKUP(B1335,'[1]KT 광점퍼코드(수익률)'!$A$4:$P$243,16,0)</f>
        <v>#N/A</v>
      </c>
    </row>
    <row r="1336" spans="1:10" ht="15.75" hidden="1" customHeight="1">
      <c r="A1336" s="23">
        <v>1333</v>
      </c>
      <c r="B1336" s="24" t="s">
        <v>1528</v>
      </c>
      <c r="C1336" s="24" t="s">
        <v>1529</v>
      </c>
      <c r="D1336" s="24" t="s">
        <v>137</v>
      </c>
      <c r="E1336" s="25">
        <v>4</v>
      </c>
      <c r="F1336" s="25"/>
      <c r="G1336" s="25"/>
      <c r="H1336" s="25"/>
      <c r="I1336" s="22">
        <f t="shared" si="20"/>
        <v>4</v>
      </c>
      <c r="J1336" t="e">
        <f>VLOOKUP(B1336,'[1]KT 광점퍼코드(수익률)'!$A$4:$P$243,16,0)</f>
        <v>#N/A</v>
      </c>
    </row>
    <row r="1337" spans="1:10" ht="15.75" hidden="1" customHeight="1">
      <c r="A1337" s="19">
        <v>1334</v>
      </c>
      <c r="B1337" s="20" t="s">
        <v>1530</v>
      </c>
      <c r="C1337" s="20" t="s">
        <v>1531</v>
      </c>
      <c r="D1337" s="20" t="s">
        <v>1532</v>
      </c>
      <c r="E1337" s="21">
        <v>5</v>
      </c>
      <c r="F1337" s="21"/>
      <c r="G1337" s="21"/>
      <c r="H1337" s="21"/>
      <c r="I1337" s="22">
        <f t="shared" si="20"/>
        <v>5</v>
      </c>
      <c r="J1337" t="e">
        <f>VLOOKUP(B1337,'[1]KT 광점퍼코드(수익률)'!$A$4:$P$243,16,0)</f>
        <v>#N/A</v>
      </c>
    </row>
    <row r="1338" spans="1:10" ht="15.75" hidden="1" customHeight="1">
      <c r="A1338" s="23">
        <v>1335</v>
      </c>
      <c r="B1338" s="24" t="s">
        <v>1533</v>
      </c>
      <c r="C1338" s="24" t="s">
        <v>1504</v>
      </c>
      <c r="D1338" s="24" t="s">
        <v>1534</v>
      </c>
      <c r="E1338" s="25">
        <v>100</v>
      </c>
      <c r="F1338" s="25"/>
      <c r="G1338" s="25"/>
      <c r="H1338" s="25"/>
      <c r="I1338" s="22">
        <f t="shared" si="20"/>
        <v>100</v>
      </c>
      <c r="J1338" t="e">
        <f>VLOOKUP(B1338,'[1]KT 광점퍼코드(수익률)'!$A$4:$P$243,16,0)</f>
        <v>#N/A</v>
      </c>
    </row>
    <row r="1339" spans="1:10" ht="15.75" hidden="1" customHeight="1">
      <c r="A1339" s="19">
        <v>1336</v>
      </c>
      <c r="B1339" s="20" t="s">
        <v>1535</v>
      </c>
      <c r="C1339" s="20" t="s">
        <v>1504</v>
      </c>
      <c r="D1339" s="20" t="s">
        <v>1536</v>
      </c>
      <c r="E1339" s="21">
        <v>50</v>
      </c>
      <c r="F1339" s="21"/>
      <c r="G1339" s="21"/>
      <c r="H1339" s="21"/>
      <c r="I1339" s="22">
        <f t="shared" si="20"/>
        <v>50</v>
      </c>
      <c r="J1339" t="e">
        <f>VLOOKUP(B1339,'[1]KT 광점퍼코드(수익률)'!$A$4:$P$243,16,0)</f>
        <v>#N/A</v>
      </c>
    </row>
    <row r="1340" spans="1:10" ht="15.75" hidden="1" customHeight="1">
      <c r="A1340" s="23">
        <v>1337</v>
      </c>
      <c r="B1340" s="24" t="s">
        <v>1537</v>
      </c>
      <c r="C1340" s="24" t="s">
        <v>1466</v>
      </c>
      <c r="D1340" s="24" t="s">
        <v>1538</v>
      </c>
      <c r="E1340" s="25">
        <v>62</v>
      </c>
      <c r="F1340" s="25"/>
      <c r="G1340" s="25"/>
      <c r="H1340" s="25"/>
      <c r="I1340" s="22">
        <f t="shared" si="20"/>
        <v>62</v>
      </c>
      <c r="J1340" t="e">
        <f>VLOOKUP(B1340,'[1]KT 광점퍼코드(수익률)'!$A$4:$P$243,16,0)</f>
        <v>#N/A</v>
      </c>
    </row>
    <row r="1341" spans="1:10" ht="15.75" hidden="1" customHeight="1">
      <c r="A1341" s="19">
        <v>1338</v>
      </c>
      <c r="B1341" s="20" t="s">
        <v>1539</v>
      </c>
      <c r="C1341" s="20" t="s">
        <v>1466</v>
      </c>
      <c r="D1341" s="20" t="s">
        <v>1540</v>
      </c>
      <c r="E1341" s="21">
        <v>54</v>
      </c>
      <c r="F1341" s="21"/>
      <c r="G1341" s="21"/>
      <c r="H1341" s="21"/>
      <c r="I1341" s="22">
        <f t="shared" si="20"/>
        <v>54</v>
      </c>
      <c r="J1341" t="e">
        <f>VLOOKUP(B1341,'[1]KT 광점퍼코드(수익률)'!$A$4:$P$243,16,0)</f>
        <v>#N/A</v>
      </c>
    </row>
    <row r="1342" spans="1:10" ht="15.75" hidden="1" customHeight="1">
      <c r="A1342" s="23">
        <v>1339</v>
      </c>
      <c r="B1342" s="24" t="s">
        <v>3354</v>
      </c>
      <c r="C1342" s="24" t="s">
        <v>1466</v>
      </c>
      <c r="D1342" s="24" t="s">
        <v>3355</v>
      </c>
      <c r="E1342" s="25"/>
      <c r="F1342" s="25"/>
      <c r="G1342" s="25">
        <v>30</v>
      </c>
      <c r="H1342" s="25"/>
      <c r="I1342" s="22">
        <f t="shared" si="20"/>
        <v>30</v>
      </c>
      <c r="J1342" t="e">
        <f>VLOOKUP(B1342,'[1]KT 광점퍼코드(수익률)'!$A$4:$P$243,16,0)</f>
        <v>#N/A</v>
      </c>
    </row>
    <row r="1343" spans="1:10" ht="15.75" hidden="1" customHeight="1">
      <c r="A1343" s="19">
        <v>1340</v>
      </c>
      <c r="B1343" s="20" t="s">
        <v>1541</v>
      </c>
      <c r="C1343" s="20" t="s">
        <v>896</v>
      </c>
      <c r="D1343" s="20" t="s">
        <v>1542</v>
      </c>
      <c r="E1343" s="21">
        <v>80</v>
      </c>
      <c r="F1343" s="21"/>
      <c r="G1343" s="21"/>
      <c r="H1343" s="21"/>
      <c r="I1343" s="22">
        <f t="shared" si="20"/>
        <v>80</v>
      </c>
      <c r="J1343" t="e">
        <f>VLOOKUP(B1343,'[1]KT 광점퍼코드(수익률)'!$A$4:$P$243,16,0)</f>
        <v>#N/A</v>
      </c>
    </row>
    <row r="1344" spans="1:10" ht="15.75" hidden="1" customHeight="1">
      <c r="A1344" s="23">
        <v>1341</v>
      </c>
      <c r="B1344" s="24" t="s">
        <v>3356</v>
      </c>
      <c r="C1344" s="24" t="s">
        <v>3357</v>
      </c>
      <c r="D1344" s="24" t="s">
        <v>932</v>
      </c>
      <c r="E1344" s="25"/>
      <c r="F1344" s="25"/>
      <c r="G1344" s="25">
        <v>44</v>
      </c>
      <c r="H1344" s="25"/>
      <c r="I1344" s="22">
        <f t="shared" si="20"/>
        <v>44</v>
      </c>
      <c r="J1344" t="e">
        <f>VLOOKUP(B1344,'[1]KT 광점퍼코드(수익률)'!$A$4:$P$243,16,0)</f>
        <v>#N/A</v>
      </c>
    </row>
    <row r="1345" spans="1:10" ht="15.75" hidden="1" customHeight="1">
      <c r="A1345" s="19">
        <v>1342</v>
      </c>
      <c r="B1345" s="20" t="s">
        <v>3509</v>
      </c>
      <c r="C1345" s="20" t="s">
        <v>3510</v>
      </c>
      <c r="D1345" s="20" t="s">
        <v>1142</v>
      </c>
      <c r="E1345" s="21"/>
      <c r="F1345" s="21"/>
      <c r="G1345" s="21"/>
      <c r="H1345" s="21">
        <v>20</v>
      </c>
      <c r="I1345" s="22">
        <f t="shared" si="20"/>
        <v>20</v>
      </c>
      <c r="J1345" t="e">
        <f>VLOOKUP(B1345,'[1]KT 광점퍼코드(수익률)'!$A$4:$P$243,16,0)</f>
        <v>#N/A</v>
      </c>
    </row>
    <row r="1346" spans="1:10" ht="15.75" hidden="1" customHeight="1">
      <c r="A1346" s="23">
        <v>1343</v>
      </c>
      <c r="B1346" s="24" t="s">
        <v>2809</v>
      </c>
      <c r="C1346" s="24" t="s">
        <v>2810</v>
      </c>
      <c r="D1346" s="24"/>
      <c r="E1346" s="25"/>
      <c r="F1346" s="25">
        <v>3</v>
      </c>
      <c r="G1346" s="25"/>
      <c r="H1346" s="25"/>
      <c r="I1346" s="22">
        <f t="shared" si="20"/>
        <v>3</v>
      </c>
      <c r="J1346" t="e">
        <f>VLOOKUP(B1346,'[1]KT 광점퍼코드(수익률)'!$A$4:$P$243,16,0)</f>
        <v>#N/A</v>
      </c>
    </row>
    <row r="1347" spans="1:10" ht="15.75" hidden="1" customHeight="1">
      <c r="A1347" s="19">
        <v>1344</v>
      </c>
      <c r="B1347" s="20" t="s">
        <v>2809</v>
      </c>
      <c r="C1347" s="20" t="s">
        <v>2811</v>
      </c>
      <c r="D1347" s="20"/>
      <c r="E1347" s="21"/>
      <c r="F1347" s="21">
        <v>1</v>
      </c>
      <c r="G1347" s="21"/>
      <c r="H1347" s="21"/>
      <c r="I1347" s="22">
        <f t="shared" si="20"/>
        <v>1</v>
      </c>
      <c r="J1347" t="e">
        <f>VLOOKUP(B1347,'[1]KT 광점퍼코드(수익률)'!$A$4:$P$243,16,0)</f>
        <v>#N/A</v>
      </c>
    </row>
    <row r="1348" spans="1:10" ht="15.75" hidden="1" customHeight="1">
      <c r="A1348" s="23">
        <v>1345</v>
      </c>
      <c r="B1348" s="24" t="s">
        <v>2812</v>
      </c>
      <c r="C1348" s="24" t="s">
        <v>1649</v>
      </c>
      <c r="D1348" s="24" t="s">
        <v>2813</v>
      </c>
      <c r="E1348" s="25"/>
      <c r="F1348" s="25">
        <v>10</v>
      </c>
      <c r="G1348" s="25"/>
      <c r="H1348" s="25"/>
      <c r="I1348" s="22">
        <f t="shared" ref="I1348:I1411" si="21">SUM(E1348:H1348)</f>
        <v>10</v>
      </c>
      <c r="J1348" t="e">
        <f>VLOOKUP(B1348,'[1]KT 광점퍼코드(수익률)'!$A$4:$P$243,16,0)</f>
        <v>#N/A</v>
      </c>
    </row>
    <row r="1349" spans="1:10" ht="15.75" hidden="1" customHeight="1">
      <c r="A1349" s="19">
        <v>1346</v>
      </c>
      <c r="B1349" s="20" t="s">
        <v>2814</v>
      </c>
      <c r="C1349" s="20" t="s">
        <v>1649</v>
      </c>
      <c r="D1349" s="20" t="s">
        <v>1660</v>
      </c>
      <c r="E1349" s="21"/>
      <c r="F1349" s="21">
        <v>15</v>
      </c>
      <c r="G1349" s="21"/>
      <c r="H1349" s="21"/>
      <c r="I1349" s="22">
        <f t="shared" si="21"/>
        <v>15</v>
      </c>
      <c r="J1349" t="e">
        <f>VLOOKUP(B1349,'[1]KT 광점퍼코드(수익률)'!$A$4:$P$243,16,0)</f>
        <v>#N/A</v>
      </c>
    </row>
    <row r="1350" spans="1:10" ht="15.75" hidden="1" customHeight="1">
      <c r="A1350" s="23">
        <v>1347</v>
      </c>
      <c r="B1350" s="24" t="s">
        <v>3358</v>
      </c>
      <c r="C1350" s="24" t="s">
        <v>1649</v>
      </c>
      <c r="D1350" s="24" t="s">
        <v>3359</v>
      </c>
      <c r="E1350" s="25"/>
      <c r="F1350" s="25"/>
      <c r="G1350" s="25">
        <v>2</v>
      </c>
      <c r="H1350" s="25"/>
      <c r="I1350" s="22">
        <f t="shared" si="21"/>
        <v>2</v>
      </c>
      <c r="J1350" t="e">
        <f>VLOOKUP(B1350,'[1]KT 광점퍼코드(수익률)'!$A$4:$P$243,16,0)</f>
        <v>#N/A</v>
      </c>
    </row>
    <row r="1351" spans="1:10" ht="15.75" hidden="1" customHeight="1">
      <c r="A1351" s="19">
        <v>1348</v>
      </c>
      <c r="B1351" s="20" t="s">
        <v>1543</v>
      </c>
      <c r="C1351" s="20" t="s">
        <v>1544</v>
      </c>
      <c r="D1351" s="20" t="s">
        <v>1545</v>
      </c>
      <c r="E1351" s="21">
        <v>15</v>
      </c>
      <c r="F1351" s="21">
        <v>10</v>
      </c>
      <c r="G1351" s="21">
        <v>10</v>
      </c>
      <c r="H1351" s="21"/>
      <c r="I1351" s="22">
        <f t="shared" si="21"/>
        <v>35</v>
      </c>
      <c r="J1351" t="e">
        <f>VLOOKUP(B1351,'[1]KT 광점퍼코드(수익률)'!$A$4:$P$243,16,0)</f>
        <v>#N/A</v>
      </c>
    </row>
    <row r="1352" spans="1:10" ht="15.75" hidden="1" customHeight="1">
      <c r="A1352" s="23">
        <v>1349</v>
      </c>
      <c r="B1352" s="24" t="s">
        <v>1546</v>
      </c>
      <c r="C1352" s="24" t="s">
        <v>1544</v>
      </c>
      <c r="D1352" s="24" t="s">
        <v>1547</v>
      </c>
      <c r="E1352" s="25">
        <v>15</v>
      </c>
      <c r="F1352" s="25"/>
      <c r="G1352" s="25"/>
      <c r="H1352" s="25"/>
      <c r="I1352" s="22">
        <f t="shared" si="21"/>
        <v>15</v>
      </c>
      <c r="J1352" t="e">
        <f>VLOOKUP(B1352,'[1]KT 광점퍼코드(수익률)'!$A$4:$P$243,16,0)</f>
        <v>#N/A</v>
      </c>
    </row>
    <row r="1353" spans="1:10" ht="15.75" hidden="1" customHeight="1">
      <c r="A1353" s="19">
        <v>1350</v>
      </c>
      <c r="B1353" s="20" t="s">
        <v>2815</v>
      </c>
      <c r="C1353" s="20" t="s">
        <v>1544</v>
      </c>
      <c r="D1353" s="20" t="s">
        <v>2816</v>
      </c>
      <c r="E1353" s="21"/>
      <c r="F1353" s="21">
        <v>30</v>
      </c>
      <c r="G1353" s="21"/>
      <c r="H1353" s="21"/>
      <c r="I1353" s="22">
        <f t="shared" si="21"/>
        <v>30</v>
      </c>
      <c r="J1353" t="e">
        <f>VLOOKUP(B1353,'[1]KT 광점퍼코드(수익률)'!$A$4:$P$243,16,0)</f>
        <v>#N/A</v>
      </c>
    </row>
    <row r="1354" spans="1:10" ht="15.75" hidden="1" customHeight="1">
      <c r="A1354" s="23">
        <v>1351</v>
      </c>
      <c r="B1354" s="24" t="s">
        <v>2817</v>
      </c>
      <c r="C1354" s="24" t="s">
        <v>1544</v>
      </c>
      <c r="D1354" s="24" t="s">
        <v>2818</v>
      </c>
      <c r="E1354" s="25"/>
      <c r="F1354" s="25">
        <v>10</v>
      </c>
      <c r="G1354" s="25"/>
      <c r="H1354" s="25"/>
      <c r="I1354" s="22">
        <f t="shared" si="21"/>
        <v>10</v>
      </c>
      <c r="J1354" t="e">
        <f>VLOOKUP(B1354,'[1]KT 광점퍼코드(수익률)'!$A$4:$P$243,16,0)</f>
        <v>#N/A</v>
      </c>
    </row>
    <row r="1355" spans="1:10" ht="15.75" hidden="1" customHeight="1">
      <c r="A1355" s="19">
        <v>1352</v>
      </c>
      <c r="B1355" s="20" t="s">
        <v>2819</v>
      </c>
      <c r="C1355" s="20" t="s">
        <v>1544</v>
      </c>
      <c r="D1355" s="20" t="s">
        <v>2820</v>
      </c>
      <c r="E1355" s="21"/>
      <c r="F1355" s="21">
        <v>10</v>
      </c>
      <c r="G1355" s="21"/>
      <c r="H1355" s="21"/>
      <c r="I1355" s="22">
        <f t="shared" si="21"/>
        <v>10</v>
      </c>
      <c r="J1355" t="e">
        <f>VLOOKUP(B1355,'[1]KT 광점퍼코드(수익률)'!$A$4:$P$243,16,0)</f>
        <v>#N/A</v>
      </c>
    </row>
    <row r="1356" spans="1:10" ht="15.75" hidden="1" customHeight="1">
      <c r="A1356" s="23">
        <v>1353</v>
      </c>
      <c r="B1356" s="24" t="s">
        <v>2821</v>
      </c>
      <c r="C1356" s="24" t="s">
        <v>1544</v>
      </c>
      <c r="D1356" s="24" t="s">
        <v>2822</v>
      </c>
      <c r="E1356" s="25"/>
      <c r="F1356" s="25">
        <v>10</v>
      </c>
      <c r="G1356" s="25">
        <v>8</v>
      </c>
      <c r="H1356" s="25"/>
      <c r="I1356" s="22">
        <f t="shared" si="21"/>
        <v>18</v>
      </c>
      <c r="J1356" t="e">
        <f>VLOOKUP(B1356,'[1]KT 광점퍼코드(수익률)'!$A$4:$P$243,16,0)</f>
        <v>#N/A</v>
      </c>
    </row>
    <row r="1357" spans="1:10" ht="15.75" hidden="1" customHeight="1">
      <c r="A1357" s="19">
        <v>1354</v>
      </c>
      <c r="B1357" s="20" t="s">
        <v>1548</v>
      </c>
      <c r="C1357" s="20" t="s">
        <v>448</v>
      </c>
      <c r="D1357" s="20" t="s">
        <v>1549</v>
      </c>
      <c r="E1357" s="21">
        <v>20</v>
      </c>
      <c r="F1357" s="21">
        <v>10</v>
      </c>
      <c r="G1357" s="21">
        <v>50</v>
      </c>
      <c r="H1357" s="21">
        <v>25</v>
      </c>
      <c r="I1357" s="22">
        <f t="shared" si="21"/>
        <v>105</v>
      </c>
      <c r="J1357" t="e">
        <f>VLOOKUP(B1357,'[1]KT 광점퍼코드(수익률)'!$A$4:$P$243,16,0)</f>
        <v>#N/A</v>
      </c>
    </row>
    <row r="1358" spans="1:10" ht="15.75" hidden="1" customHeight="1">
      <c r="A1358" s="23">
        <v>1355</v>
      </c>
      <c r="B1358" s="24" t="s">
        <v>1550</v>
      </c>
      <c r="C1358" s="24" t="s">
        <v>448</v>
      </c>
      <c r="D1358" s="24" t="s">
        <v>1551</v>
      </c>
      <c r="E1358" s="25">
        <v>10</v>
      </c>
      <c r="F1358" s="25">
        <v>30</v>
      </c>
      <c r="G1358" s="25">
        <v>60</v>
      </c>
      <c r="H1358" s="25"/>
      <c r="I1358" s="22">
        <f t="shared" si="21"/>
        <v>100</v>
      </c>
      <c r="J1358" t="e">
        <f>VLOOKUP(B1358,'[1]KT 광점퍼코드(수익률)'!$A$4:$P$243,16,0)</f>
        <v>#N/A</v>
      </c>
    </row>
    <row r="1359" spans="1:10" ht="15.75" hidden="1" customHeight="1">
      <c r="A1359" s="19">
        <v>1356</v>
      </c>
      <c r="B1359" s="20" t="s">
        <v>2823</v>
      </c>
      <c r="C1359" s="20" t="s">
        <v>448</v>
      </c>
      <c r="D1359" s="20" t="s">
        <v>2824</v>
      </c>
      <c r="E1359" s="21"/>
      <c r="F1359" s="21">
        <v>10</v>
      </c>
      <c r="G1359" s="21"/>
      <c r="H1359" s="21"/>
      <c r="I1359" s="22">
        <f t="shared" si="21"/>
        <v>10</v>
      </c>
      <c r="J1359" t="e">
        <f>VLOOKUP(B1359,'[1]KT 광점퍼코드(수익률)'!$A$4:$P$243,16,0)</f>
        <v>#N/A</v>
      </c>
    </row>
    <row r="1360" spans="1:10" ht="15.75" hidden="1" customHeight="1">
      <c r="A1360" s="23">
        <v>1357</v>
      </c>
      <c r="B1360" s="24" t="s">
        <v>1552</v>
      </c>
      <c r="C1360" s="24" t="s">
        <v>448</v>
      </c>
      <c r="D1360" s="24" t="s">
        <v>1553</v>
      </c>
      <c r="E1360" s="25">
        <v>30</v>
      </c>
      <c r="F1360" s="25"/>
      <c r="G1360" s="25">
        <v>10</v>
      </c>
      <c r="H1360" s="25">
        <v>10</v>
      </c>
      <c r="I1360" s="22">
        <f t="shared" si="21"/>
        <v>50</v>
      </c>
      <c r="J1360" t="e">
        <f>VLOOKUP(B1360,'[1]KT 광점퍼코드(수익률)'!$A$4:$P$243,16,0)</f>
        <v>#N/A</v>
      </c>
    </row>
    <row r="1361" spans="1:10" ht="15.75" hidden="1" customHeight="1">
      <c r="A1361" s="19">
        <v>1358</v>
      </c>
      <c r="B1361" s="20" t="s">
        <v>1554</v>
      </c>
      <c r="C1361" s="20" t="s">
        <v>448</v>
      </c>
      <c r="D1361" s="20" t="s">
        <v>1555</v>
      </c>
      <c r="E1361" s="21">
        <v>20</v>
      </c>
      <c r="F1361" s="21">
        <v>10</v>
      </c>
      <c r="G1361" s="21">
        <v>10</v>
      </c>
      <c r="H1361" s="21"/>
      <c r="I1361" s="22">
        <f t="shared" si="21"/>
        <v>40</v>
      </c>
      <c r="J1361" t="e">
        <f>VLOOKUP(B1361,'[1]KT 광점퍼코드(수익률)'!$A$4:$P$243,16,0)</f>
        <v>#N/A</v>
      </c>
    </row>
    <row r="1362" spans="1:10" ht="15.75" hidden="1" customHeight="1">
      <c r="A1362" s="23">
        <v>1359</v>
      </c>
      <c r="B1362" s="24" t="s">
        <v>2825</v>
      </c>
      <c r="C1362" s="24" t="s">
        <v>362</v>
      </c>
      <c r="D1362" s="24" t="s">
        <v>2826</v>
      </c>
      <c r="E1362" s="25"/>
      <c r="F1362" s="25">
        <v>178</v>
      </c>
      <c r="G1362" s="25">
        <v>40</v>
      </c>
      <c r="H1362" s="25"/>
      <c r="I1362" s="22">
        <f t="shared" si="21"/>
        <v>218</v>
      </c>
      <c r="J1362" t="e">
        <f>VLOOKUP(B1362,'[1]KT 광점퍼코드(수익률)'!$A$4:$P$243,16,0)</f>
        <v>#N/A</v>
      </c>
    </row>
    <row r="1363" spans="1:10" ht="15.75" hidden="1" customHeight="1">
      <c r="A1363" s="19">
        <v>1360</v>
      </c>
      <c r="B1363" s="20" t="s">
        <v>2827</v>
      </c>
      <c r="C1363" s="20" t="s">
        <v>206</v>
      </c>
      <c r="D1363" s="20" t="s">
        <v>2828</v>
      </c>
      <c r="E1363" s="21"/>
      <c r="F1363" s="21">
        <v>2</v>
      </c>
      <c r="G1363" s="21">
        <v>4</v>
      </c>
      <c r="H1363" s="21"/>
      <c r="I1363" s="22">
        <f t="shared" si="21"/>
        <v>6</v>
      </c>
      <c r="J1363" t="e">
        <f>VLOOKUP(B1363,'[1]KT 광점퍼코드(수익률)'!$A$4:$P$243,16,0)</f>
        <v>#N/A</v>
      </c>
    </row>
    <row r="1364" spans="1:10" ht="15.75" hidden="1" customHeight="1">
      <c r="A1364" s="23">
        <v>1361</v>
      </c>
      <c r="B1364" s="24" t="s">
        <v>1556</v>
      </c>
      <c r="C1364" s="24" t="s">
        <v>206</v>
      </c>
      <c r="D1364" s="24" t="s">
        <v>1557</v>
      </c>
      <c r="E1364" s="25">
        <v>10</v>
      </c>
      <c r="F1364" s="25"/>
      <c r="G1364" s="25"/>
      <c r="H1364" s="25"/>
      <c r="I1364" s="22">
        <f t="shared" si="21"/>
        <v>10</v>
      </c>
      <c r="J1364" t="e">
        <f>VLOOKUP(B1364,'[1]KT 광점퍼코드(수익률)'!$A$4:$P$243,16,0)</f>
        <v>#N/A</v>
      </c>
    </row>
    <row r="1365" spans="1:10" ht="15.75" hidden="1" customHeight="1">
      <c r="A1365" s="19">
        <v>1362</v>
      </c>
      <c r="B1365" s="20" t="s">
        <v>2829</v>
      </c>
      <c r="C1365" s="20" t="s">
        <v>211</v>
      </c>
      <c r="D1365" s="20" t="s">
        <v>2830</v>
      </c>
      <c r="E1365" s="21"/>
      <c r="F1365" s="21">
        <v>5</v>
      </c>
      <c r="G1365" s="21"/>
      <c r="H1365" s="21"/>
      <c r="I1365" s="22">
        <f t="shared" si="21"/>
        <v>5</v>
      </c>
      <c r="J1365" t="e">
        <f>VLOOKUP(B1365,'[1]KT 광점퍼코드(수익률)'!$A$4:$P$243,16,0)</f>
        <v>#N/A</v>
      </c>
    </row>
    <row r="1366" spans="1:10" ht="15.75" hidden="1" customHeight="1">
      <c r="A1366" s="23">
        <v>1363</v>
      </c>
      <c r="B1366" s="24" t="s">
        <v>1558</v>
      </c>
      <c r="C1366" s="24" t="s">
        <v>211</v>
      </c>
      <c r="D1366" s="24" t="s">
        <v>1559</v>
      </c>
      <c r="E1366" s="25">
        <v>10</v>
      </c>
      <c r="F1366" s="25">
        <v>3</v>
      </c>
      <c r="G1366" s="25">
        <v>20</v>
      </c>
      <c r="H1366" s="25"/>
      <c r="I1366" s="22">
        <f t="shared" si="21"/>
        <v>33</v>
      </c>
      <c r="J1366" t="e">
        <f>VLOOKUP(B1366,'[1]KT 광점퍼코드(수익률)'!$A$4:$P$243,16,0)</f>
        <v>#N/A</v>
      </c>
    </row>
    <row r="1367" spans="1:10" ht="15.75" hidden="1" customHeight="1">
      <c r="A1367" s="19">
        <v>1364</v>
      </c>
      <c r="B1367" s="20" t="s">
        <v>1560</v>
      </c>
      <c r="C1367" s="20" t="s">
        <v>211</v>
      </c>
      <c r="D1367" s="20" t="s">
        <v>1561</v>
      </c>
      <c r="E1367" s="21">
        <v>35</v>
      </c>
      <c r="F1367" s="21">
        <v>10</v>
      </c>
      <c r="G1367" s="21">
        <v>20</v>
      </c>
      <c r="H1367" s="21"/>
      <c r="I1367" s="22">
        <f t="shared" si="21"/>
        <v>65</v>
      </c>
      <c r="J1367" t="e">
        <f>VLOOKUP(B1367,'[1]KT 광점퍼코드(수익률)'!$A$4:$P$243,16,0)</f>
        <v>#N/A</v>
      </c>
    </row>
    <row r="1368" spans="1:10" ht="15.75" hidden="1" customHeight="1">
      <c r="A1368" s="23">
        <v>1365</v>
      </c>
      <c r="B1368" s="24" t="s">
        <v>1562</v>
      </c>
      <c r="C1368" s="24" t="s">
        <v>180</v>
      </c>
      <c r="D1368" s="24" t="s">
        <v>1563</v>
      </c>
      <c r="E1368" s="25">
        <v>34</v>
      </c>
      <c r="F1368" s="25"/>
      <c r="G1368" s="25"/>
      <c r="H1368" s="25"/>
      <c r="I1368" s="22">
        <f t="shared" si="21"/>
        <v>34</v>
      </c>
      <c r="J1368" t="e">
        <f>VLOOKUP(B1368,'[1]KT 광점퍼코드(수익률)'!$A$4:$P$243,16,0)</f>
        <v>#N/A</v>
      </c>
    </row>
    <row r="1369" spans="1:10" ht="15.75" hidden="1" customHeight="1">
      <c r="A1369" s="19">
        <v>1366</v>
      </c>
      <c r="B1369" s="20" t="s">
        <v>1564</v>
      </c>
      <c r="C1369" s="20" t="s">
        <v>180</v>
      </c>
      <c r="D1369" s="20" t="s">
        <v>53</v>
      </c>
      <c r="E1369" s="21">
        <v>6</v>
      </c>
      <c r="F1369" s="21"/>
      <c r="G1369" s="21"/>
      <c r="H1369" s="21"/>
      <c r="I1369" s="22">
        <f t="shared" si="21"/>
        <v>6</v>
      </c>
      <c r="J1369" t="e">
        <f>VLOOKUP(B1369,'[1]KT 광점퍼코드(수익률)'!$A$4:$P$243,16,0)</f>
        <v>#N/A</v>
      </c>
    </row>
    <row r="1370" spans="1:10" ht="15.75" hidden="1" customHeight="1">
      <c r="A1370" s="23">
        <v>1367</v>
      </c>
      <c r="B1370" s="24" t="s">
        <v>3360</v>
      </c>
      <c r="C1370" s="24" t="s">
        <v>180</v>
      </c>
      <c r="D1370" s="24" t="s">
        <v>3361</v>
      </c>
      <c r="E1370" s="25"/>
      <c r="F1370" s="25"/>
      <c r="G1370" s="25">
        <v>20</v>
      </c>
      <c r="H1370" s="25"/>
      <c r="I1370" s="22">
        <f t="shared" si="21"/>
        <v>20</v>
      </c>
      <c r="J1370" t="e">
        <f>VLOOKUP(B1370,'[1]KT 광점퍼코드(수익률)'!$A$4:$P$243,16,0)</f>
        <v>#N/A</v>
      </c>
    </row>
    <row r="1371" spans="1:10" ht="15.75" hidden="1" customHeight="1">
      <c r="A1371" s="19">
        <v>1368</v>
      </c>
      <c r="B1371" s="20" t="s">
        <v>3511</v>
      </c>
      <c r="C1371" s="20" t="s">
        <v>180</v>
      </c>
      <c r="D1371" s="20" t="s">
        <v>238</v>
      </c>
      <c r="E1371" s="21"/>
      <c r="F1371" s="21"/>
      <c r="G1371" s="21"/>
      <c r="H1371" s="21">
        <v>11</v>
      </c>
      <c r="I1371" s="22">
        <f t="shared" si="21"/>
        <v>11</v>
      </c>
      <c r="J1371" t="e">
        <f>VLOOKUP(B1371,'[1]KT 광점퍼코드(수익률)'!$A$4:$P$243,16,0)</f>
        <v>#N/A</v>
      </c>
    </row>
    <row r="1372" spans="1:10" ht="15.75" hidden="1" customHeight="1">
      <c r="A1372" s="23">
        <v>1369</v>
      </c>
      <c r="B1372" s="24" t="s">
        <v>2831</v>
      </c>
      <c r="C1372" s="24" t="s">
        <v>203</v>
      </c>
      <c r="D1372" s="24" t="s">
        <v>2832</v>
      </c>
      <c r="E1372" s="25"/>
      <c r="F1372" s="25">
        <v>20</v>
      </c>
      <c r="G1372" s="25">
        <v>30</v>
      </c>
      <c r="H1372" s="25">
        <v>45</v>
      </c>
      <c r="I1372" s="22">
        <f t="shared" si="21"/>
        <v>95</v>
      </c>
      <c r="J1372" t="e">
        <f>VLOOKUP(B1372,'[1]KT 광점퍼코드(수익률)'!$A$4:$P$243,16,0)</f>
        <v>#N/A</v>
      </c>
    </row>
    <row r="1373" spans="1:10" ht="15.75" hidden="1" customHeight="1">
      <c r="A1373" s="19">
        <v>1370</v>
      </c>
      <c r="B1373" s="20" t="s">
        <v>2833</v>
      </c>
      <c r="C1373" s="20" t="s">
        <v>203</v>
      </c>
      <c r="D1373" s="20" t="s">
        <v>2834</v>
      </c>
      <c r="E1373" s="21"/>
      <c r="F1373" s="21">
        <v>20</v>
      </c>
      <c r="G1373" s="21">
        <v>20</v>
      </c>
      <c r="H1373" s="21">
        <v>45</v>
      </c>
      <c r="I1373" s="22">
        <f t="shared" si="21"/>
        <v>85</v>
      </c>
      <c r="J1373" t="e">
        <f>VLOOKUP(B1373,'[1]KT 광점퍼코드(수익률)'!$A$4:$P$243,16,0)</f>
        <v>#N/A</v>
      </c>
    </row>
    <row r="1374" spans="1:10" ht="15.75" hidden="1" customHeight="1">
      <c r="A1374" s="23">
        <v>1371</v>
      </c>
      <c r="B1374" s="24" t="s">
        <v>2835</v>
      </c>
      <c r="C1374" s="24" t="s">
        <v>203</v>
      </c>
      <c r="D1374" s="24" t="s">
        <v>1578</v>
      </c>
      <c r="E1374" s="25"/>
      <c r="F1374" s="25">
        <v>10</v>
      </c>
      <c r="G1374" s="25">
        <v>14</v>
      </c>
      <c r="H1374" s="25">
        <v>12</v>
      </c>
      <c r="I1374" s="22">
        <f t="shared" si="21"/>
        <v>36</v>
      </c>
      <c r="J1374" t="e">
        <f>VLOOKUP(B1374,'[1]KT 광점퍼코드(수익률)'!$A$4:$P$243,16,0)</f>
        <v>#N/A</v>
      </c>
    </row>
    <row r="1375" spans="1:10" ht="15.75" hidden="1" customHeight="1">
      <c r="A1375" s="19">
        <v>1372</v>
      </c>
      <c r="B1375" s="20" t="s">
        <v>3362</v>
      </c>
      <c r="C1375" s="20" t="s">
        <v>244</v>
      </c>
      <c r="D1375" s="20" t="s">
        <v>3363</v>
      </c>
      <c r="E1375" s="21"/>
      <c r="F1375" s="21"/>
      <c r="G1375" s="21">
        <v>10</v>
      </c>
      <c r="H1375" s="21"/>
      <c r="I1375" s="22">
        <f t="shared" si="21"/>
        <v>10</v>
      </c>
      <c r="J1375" t="e">
        <f>VLOOKUP(B1375,'[1]KT 광점퍼코드(수익률)'!$A$4:$P$243,16,0)</f>
        <v>#N/A</v>
      </c>
    </row>
    <row r="1376" spans="1:10" ht="15.75" hidden="1" customHeight="1">
      <c r="A1376" s="23">
        <v>1373</v>
      </c>
      <c r="B1376" s="24" t="s">
        <v>1565</v>
      </c>
      <c r="C1376" s="24" t="s">
        <v>244</v>
      </c>
      <c r="D1376" s="24" t="s">
        <v>1566</v>
      </c>
      <c r="E1376" s="25">
        <v>50</v>
      </c>
      <c r="F1376" s="25"/>
      <c r="G1376" s="25"/>
      <c r="H1376" s="25"/>
      <c r="I1376" s="22">
        <f t="shared" si="21"/>
        <v>50</v>
      </c>
      <c r="J1376" t="e">
        <f>VLOOKUP(B1376,'[1]KT 광점퍼코드(수익률)'!$A$4:$P$243,16,0)</f>
        <v>#N/A</v>
      </c>
    </row>
    <row r="1377" spans="1:10" ht="15.75" hidden="1" customHeight="1">
      <c r="A1377" s="19">
        <v>1374</v>
      </c>
      <c r="B1377" s="20" t="s">
        <v>3364</v>
      </c>
      <c r="C1377" s="20" t="s">
        <v>244</v>
      </c>
      <c r="D1377" s="20" t="s">
        <v>3365</v>
      </c>
      <c r="E1377" s="21"/>
      <c r="F1377" s="21"/>
      <c r="G1377" s="21">
        <v>20</v>
      </c>
      <c r="H1377" s="21"/>
      <c r="I1377" s="22">
        <f t="shared" si="21"/>
        <v>20</v>
      </c>
      <c r="J1377" t="e">
        <f>VLOOKUP(B1377,'[1]KT 광점퍼코드(수익률)'!$A$4:$P$243,16,0)</f>
        <v>#N/A</v>
      </c>
    </row>
    <row r="1378" spans="1:10" ht="15.75" hidden="1" customHeight="1">
      <c r="A1378" s="23">
        <v>1375</v>
      </c>
      <c r="B1378" s="24" t="s">
        <v>1567</v>
      </c>
      <c r="C1378" s="24" t="s">
        <v>244</v>
      </c>
      <c r="D1378" s="24" t="s">
        <v>1568</v>
      </c>
      <c r="E1378" s="25">
        <v>50</v>
      </c>
      <c r="F1378" s="25">
        <v>2</v>
      </c>
      <c r="G1378" s="25"/>
      <c r="H1378" s="25"/>
      <c r="I1378" s="22">
        <f t="shared" si="21"/>
        <v>52</v>
      </c>
      <c r="J1378" t="e">
        <f>VLOOKUP(B1378,'[1]KT 광점퍼코드(수익률)'!$A$4:$P$243,16,0)</f>
        <v>#N/A</v>
      </c>
    </row>
    <row r="1379" spans="1:10" ht="15.75" hidden="1" customHeight="1">
      <c r="A1379" s="19">
        <v>1376</v>
      </c>
      <c r="B1379" s="20" t="s">
        <v>2836</v>
      </c>
      <c r="C1379" s="20" t="s">
        <v>194</v>
      </c>
      <c r="D1379" s="20" t="s">
        <v>2837</v>
      </c>
      <c r="E1379" s="21"/>
      <c r="F1379" s="21">
        <v>1</v>
      </c>
      <c r="G1379" s="21">
        <v>10</v>
      </c>
      <c r="H1379" s="21"/>
      <c r="I1379" s="22">
        <f t="shared" si="21"/>
        <v>11</v>
      </c>
      <c r="J1379" t="e">
        <f>VLOOKUP(B1379,'[1]KT 광점퍼코드(수익률)'!$A$4:$P$243,16,0)</f>
        <v>#N/A</v>
      </c>
    </row>
    <row r="1380" spans="1:10" ht="15.75" hidden="1" customHeight="1">
      <c r="A1380" s="23">
        <v>1377</v>
      </c>
      <c r="B1380" s="24" t="s">
        <v>1569</v>
      </c>
      <c r="C1380" s="24" t="s">
        <v>194</v>
      </c>
      <c r="D1380" s="24" t="s">
        <v>1570</v>
      </c>
      <c r="E1380" s="25">
        <v>22</v>
      </c>
      <c r="F1380" s="25">
        <v>22</v>
      </c>
      <c r="G1380" s="25">
        <v>1</v>
      </c>
      <c r="H1380" s="25"/>
      <c r="I1380" s="22">
        <f t="shared" si="21"/>
        <v>45</v>
      </c>
      <c r="J1380" t="e">
        <f>VLOOKUP(B1380,'[1]KT 광점퍼코드(수익률)'!$A$4:$P$243,16,0)</f>
        <v>#N/A</v>
      </c>
    </row>
    <row r="1381" spans="1:10" ht="15.75" hidden="1" customHeight="1">
      <c r="A1381" s="19">
        <v>1378</v>
      </c>
      <c r="B1381" s="20" t="s">
        <v>1571</v>
      </c>
      <c r="C1381" s="20" t="s">
        <v>194</v>
      </c>
      <c r="D1381" s="20" t="s">
        <v>1572</v>
      </c>
      <c r="E1381" s="21">
        <v>2</v>
      </c>
      <c r="F1381" s="21">
        <v>1</v>
      </c>
      <c r="G1381" s="21"/>
      <c r="H1381" s="21"/>
      <c r="I1381" s="22">
        <f t="shared" si="21"/>
        <v>3</v>
      </c>
      <c r="J1381" t="e">
        <f>VLOOKUP(B1381,'[1]KT 광점퍼코드(수익률)'!$A$4:$P$243,16,0)</f>
        <v>#N/A</v>
      </c>
    </row>
    <row r="1382" spans="1:10" ht="15.75" hidden="1" customHeight="1">
      <c r="A1382" s="23">
        <v>1379</v>
      </c>
      <c r="B1382" s="24" t="s">
        <v>3366</v>
      </c>
      <c r="C1382" s="24" t="s">
        <v>194</v>
      </c>
      <c r="D1382" s="24" t="s">
        <v>3367</v>
      </c>
      <c r="E1382" s="25"/>
      <c r="F1382" s="25"/>
      <c r="G1382" s="25">
        <v>33</v>
      </c>
      <c r="H1382" s="25"/>
      <c r="I1382" s="22">
        <f t="shared" si="21"/>
        <v>33</v>
      </c>
      <c r="J1382" t="e">
        <f>VLOOKUP(B1382,'[1]KT 광점퍼코드(수익률)'!$A$4:$P$243,16,0)</f>
        <v>#N/A</v>
      </c>
    </row>
    <row r="1383" spans="1:10" ht="15.75" hidden="1" customHeight="1">
      <c r="A1383" s="19">
        <v>1380</v>
      </c>
      <c r="B1383" s="20" t="s">
        <v>1573</v>
      </c>
      <c r="C1383" s="20" t="s">
        <v>253</v>
      </c>
      <c r="D1383" s="20" t="s">
        <v>1574</v>
      </c>
      <c r="E1383" s="21">
        <v>20</v>
      </c>
      <c r="F1383" s="21">
        <v>93</v>
      </c>
      <c r="G1383" s="21">
        <v>130</v>
      </c>
      <c r="H1383" s="21">
        <v>50</v>
      </c>
      <c r="I1383" s="22">
        <f t="shared" si="21"/>
        <v>293</v>
      </c>
      <c r="J1383" t="e">
        <f>VLOOKUP(B1383,'[1]KT 광점퍼코드(수익률)'!$A$4:$P$243,16,0)</f>
        <v>#N/A</v>
      </c>
    </row>
    <row r="1384" spans="1:10" ht="15.75" hidden="1" customHeight="1">
      <c r="A1384" s="23">
        <v>1381</v>
      </c>
      <c r="B1384" s="24" t="s">
        <v>1575</v>
      </c>
      <c r="C1384" s="24" t="s">
        <v>253</v>
      </c>
      <c r="D1384" s="24" t="s">
        <v>1576</v>
      </c>
      <c r="E1384" s="25">
        <v>6</v>
      </c>
      <c r="F1384" s="25">
        <v>20</v>
      </c>
      <c r="G1384" s="25"/>
      <c r="H1384" s="25"/>
      <c r="I1384" s="22">
        <f t="shared" si="21"/>
        <v>26</v>
      </c>
      <c r="J1384" t="e">
        <f>VLOOKUP(B1384,'[1]KT 광점퍼코드(수익률)'!$A$4:$P$243,16,0)</f>
        <v>#N/A</v>
      </c>
    </row>
    <row r="1385" spans="1:10" ht="15.75" hidden="1" customHeight="1">
      <c r="A1385" s="19">
        <v>1382</v>
      </c>
      <c r="B1385" s="20" t="s">
        <v>2838</v>
      </c>
      <c r="C1385" s="20" t="s">
        <v>253</v>
      </c>
      <c r="D1385" s="20" t="s">
        <v>2839</v>
      </c>
      <c r="E1385" s="21"/>
      <c r="F1385" s="21">
        <v>242</v>
      </c>
      <c r="G1385" s="21">
        <v>120</v>
      </c>
      <c r="H1385" s="21">
        <v>15</v>
      </c>
      <c r="I1385" s="22">
        <f t="shared" si="21"/>
        <v>377</v>
      </c>
      <c r="J1385" t="e">
        <f>VLOOKUP(B1385,'[1]KT 광점퍼코드(수익률)'!$A$4:$P$243,16,0)</f>
        <v>#N/A</v>
      </c>
    </row>
    <row r="1386" spans="1:10" ht="15.75" hidden="1" customHeight="1">
      <c r="A1386" s="23">
        <v>1383</v>
      </c>
      <c r="B1386" s="24" t="s">
        <v>1577</v>
      </c>
      <c r="C1386" s="24" t="s">
        <v>253</v>
      </c>
      <c r="D1386" s="24" t="s">
        <v>1578</v>
      </c>
      <c r="E1386" s="25">
        <v>10</v>
      </c>
      <c r="F1386" s="25">
        <v>2</v>
      </c>
      <c r="G1386" s="25">
        <v>8</v>
      </c>
      <c r="H1386" s="25">
        <v>7</v>
      </c>
      <c r="I1386" s="22">
        <f t="shared" si="21"/>
        <v>27</v>
      </c>
      <c r="J1386" t="e">
        <f>VLOOKUP(B1386,'[1]KT 광점퍼코드(수익률)'!$A$4:$P$243,16,0)</f>
        <v>#N/A</v>
      </c>
    </row>
    <row r="1387" spans="1:10" ht="15.75" hidden="1" customHeight="1">
      <c r="A1387" s="19">
        <v>1384</v>
      </c>
      <c r="B1387" s="20" t="s">
        <v>3512</v>
      </c>
      <c r="C1387" s="20" t="s">
        <v>253</v>
      </c>
      <c r="D1387" s="20" t="s">
        <v>1744</v>
      </c>
      <c r="E1387" s="21"/>
      <c r="F1387" s="21"/>
      <c r="G1387" s="21"/>
      <c r="H1387" s="21">
        <v>7</v>
      </c>
      <c r="I1387" s="22">
        <f t="shared" si="21"/>
        <v>7</v>
      </c>
      <c r="J1387" t="e">
        <f>VLOOKUP(B1387,'[1]KT 광점퍼코드(수익률)'!$A$4:$P$243,16,0)</f>
        <v>#N/A</v>
      </c>
    </row>
    <row r="1388" spans="1:10" ht="15.75" hidden="1" customHeight="1">
      <c r="A1388" s="23">
        <v>1385</v>
      </c>
      <c r="B1388" s="24" t="s">
        <v>1579</v>
      </c>
      <c r="C1388" s="24" t="s">
        <v>1580</v>
      </c>
      <c r="D1388" s="24" t="s">
        <v>1581</v>
      </c>
      <c r="E1388" s="25">
        <v>20</v>
      </c>
      <c r="F1388" s="25"/>
      <c r="G1388" s="25">
        <v>10</v>
      </c>
      <c r="H1388" s="25"/>
      <c r="I1388" s="22">
        <f t="shared" si="21"/>
        <v>30</v>
      </c>
      <c r="J1388" t="e">
        <f>VLOOKUP(B1388,'[1]KT 광점퍼코드(수익률)'!$A$4:$P$243,16,0)</f>
        <v>#N/A</v>
      </c>
    </row>
    <row r="1389" spans="1:10" ht="15.75" hidden="1" customHeight="1">
      <c r="A1389" s="19">
        <v>1386</v>
      </c>
      <c r="B1389" s="20" t="s">
        <v>1582</v>
      </c>
      <c r="C1389" s="20" t="s">
        <v>1580</v>
      </c>
      <c r="D1389" s="20" t="s">
        <v>1583</v>
      </c>
      <c r="E1389" s="21">
        <v>30</v>
      </c>
      <c r="F1389" s="21"/>
      <c r="G1389" s="21">
        <v>10</v>
      </c>
      <c r="H1389" s="21"/>
      <c r="I1389" s="22">
        <f t="shared" si="21"/>
        <v>40</v>
      </c>
      <c r="J1389" t="e">
        <f>VLOOKUP(B1389,'[1]KT 광점퍼코드(수익률)'!$A$4:$P$243,16,0)</f>
        <v>#N/A</v>
      </c>
    </row>
    <row r="1390" spans="1:10" ht="15.75" hidden="1" customHeight="1">
      <c r="A1390" s="23">
        <v>1387</v>
      </c>
      <c r="B1390" s="24" t="s">
        <v>1584</v>
      </c>
      <c r="C1390" s="24" t="s">
        <v>1580</v>
      </c>
      <c r="D1390" s="24" t="s">
        <v>1585</v>
      </c>
      <c r="E1390" s="25">
        <v>20</v>
      </c>
      <c r="F1390" s="25"/>
      <c r="G1390" s="25"/>
      <c r="H1390" s="25">
        <v>2</v>
      </c>
      <c r="I1390" s="22">
        <f t="shared" si="21"/>
        <v>22</v>
      </c>
      <c r="J1390" t="e">
        <f>VLOOKUP(B1390,'[1]KT 광점퍼코드(수익률)'!$A$4:$P$243,16,0)</f>
        <v>#N/A</v>
      </c>
    </row>
    <row r="1391" spans="1:10" ht="15.75" hidden="1" customHeight="1">
      <c r="A1391" s="19">
        <v>1388</v>
      </c>
      <c r="B1391" s="20" t="s">
        <v>1586</v>
      </c>
      <c r="C1391" s="20" t="s">
        <v>1580</v>
      </c>
      <c r="D1391" s="20" t="s">
        <v>1587</v>
      </c>
      <c r="E1391" s="21">
        <v>10</v>
      </c>
      <c r="F1391" s="21"/>
      <c r="G1391" s="21"/>
      <c r="H1391" s="21"/>
      <c r="I1391" s="22">
        <f t="shared" si="21"/>
        <v>10</v>
      </c>
      <c r="J1391" t="e">
        <f>VLOOKUP(B1391,'[1]KT 광점퍼코드(수익률)'!$A$4:$P$243,16,0)</f>
        <v>#N/A</v>
      </c>
    </row>
    <row r="1392" spans="1:10" ht="15.75" hidden="1" customHeight="1">
      <c r="A1392" s="23">
        <v>1389</v>
      </c>
      <c r="B1392" s="24" t="s">
        <v>1588</v>
      </c>
      <c r="C1392" s="24" t="s">
        <v>1580</v>
      </c>
      <c r="D1392" s="24" t="s">
        <v>1589</v>
      </c>
      <c r="E1392" s="25">
        <v>10</v>
      </c>
      <c r="F1392" s="25"/>
      <c r="G1392" s="25"/>
      <c r="H1392" s="25"/>
      <c r="I1392" s="22">
        <f t="shared" si="21"/>
        <v>10</v>
      </c>
      <c r="J1392" t="e">
        <f>VLOOKUP(B1392,'[1]KT 광점퍼코드(수익률)'!$A$4:$P$243,16,0)</f>
        <v>#N/A</v>
      </c>
    </row>
    <row r="1393" spans="1:10" ht="15.75" hidden="1" customHeight="1">
      <c r="A1393" s="19">
        <v>1390</v>
      </c>
      <c r="B1393" s="20" t="s">
        <v>2840</v>
      </c>
      <c r="C1393" s="20" t="s">
        <v>2841</v>
      </c>
      <c r="D1393" s="20" t="s">
        <v>2842</v>
      </c>
      <c r="E1393" s="21"/>
      <c r="F1393" s="21">
        <v>5</v>
      </c>
      <c r="G1393" s="21">
        <v>10</v>
      </c>
      <c r="H1393" s="21"/>
      <c r="I1393" s="22">
        <f t="shared" si="21"/>
        <v>15</v>
      </c>
      <c r="J1393" t="e">
        <f>VLOOKUP(B1393,'[1]KT 광점퍼코드(수익률)'!$A$4:$P$243,16,0)</f>
        <v>#N/A</v>
      </c>
    </row>
    <row r="1394" spans="1:10" ht="15.75" hidden="1" customHeight="1">
      <c r="A1394" s="23">
        <v>1391</v>
      </c>
      <c r="B1394" s="24" t="s">
        <v>1590</v>
      </c>
      <c r="C1394" s="24" t="s">
        <v>263</v>
      </c>
      <c r="D1394" s="24" t="s">
        <v>1591</v>
      </c>
      <c r="E1394" s="25">
        <v>11</v>
      </c>
      <c r="F1394" s="25"/>
      <c r="G1394" s="25"/>
      <c r="H1394" s="25"/>
      <c r="I1394" s="22">
        <f t="shared" si="21"/>
        <v>11</v>
      </c>
      <c r="J1394" t="e">
        <f>VLOOKUP(B1394,'[1]KT 광점퍼코드(수익률)'!$A$4:$P$243,16,0)</f>
        <v>#N/A</v>
      </c>
    </row>
    <row r="1395" spans="1:10" ht="15.75" hidden="1" customHeight="1">
      <c r="A1395" s="19">
        <v>1392</v>
      </c>
      <c r="B1395" s="20" t="s">
        <v>1592</v>
      </c>
      <c r="C1395" s="20" t="s">
        <v>263</v>
      </c>
      <c r="D1395" s="20" t="s">
        <v>1593</v>
      </c>
      <c r="E1395" s="21">
        <v>50</v>
      </c>
      <c r="F1395" s="21">
        <v>45</v>
      </c>
      <c r="G1395" s="21">
        <v>5</v>
      </c>
      <c r="H1395" s="21"/>
      <c r="I1395" s="22">
        <f t="shared" si="21"/>
        <v>100</v>
      </c>
      <c r="J1395" t="e">
        <f>VLOOKUP(B1395,'[1]KT 광점퍼코드(수익률)'!$A$4:$P$243,16,0)</f>
        <v>#N/A</v>
      </c>
    </row>
    <row r="1396" spans="1:10" ht="15.75" hidden="1" customHeight="1">
      <c r="A1396" s="23">
        <v>1393</v>
      </c>
      <c r="B1396" s="24" t="s">
        <v>2843</v>
      </c>
      <c r="C1396" s="24" t="s">
        <v>263</v>
      </c>
      <c r="D1396" s="24" t="s">
        <v>2844</v>
      </c>
      <c r="E1396" s="25"/>
      <c r="F1396" s="25">
        <v>120</v>
      </c>
      <c r="G1396" s="25"/>
      <c r="H1396" s="25"/>
      <c r="I1396" s="22">
        <f t="shared" si="21"/>
        <v>120</v>
      </c>
      <c r="J1396" t="e">
        <f>VLOOKUP(B1396,'[1]KT 광점퍼코드(수익률)'!$A$4:$P$243,16,0)</f>
        <v>#N/A</v>
      </c>
    </row>
    <row r="1397" spans="1:10" ht="15.75" hidden="1" customHeight="1">
      <c r="A1397" s="19">
        <v>1394</v>
      </c>
      <c r="B1397" s="20" t="s">
        <v>2845</v>
      </c>
      <c r="C1397" s="20" t="s">
        <v>271</v>
      </c>
      <c r="D1397" s="20" t="s">
        <v>2846</v>
      </c>
      <c r="E1397" s="21"/>
      <c r="F1397" s="21">
        <v>15</v>
      </c>
      <c r="G1397" s="21"/>
      <c r="H1397" s="21"/>
      <c r="I1397" s="22">
        <f t="shared" si="21"/>
        <v>15</v>
      </c>
      <c r="J1397" t="e">
        <f>VLOOKUP(B1397,'[1]KT 광점퍼코드(수익률)'!$A$4:$P$243,16,0)</f>
        <v>#N/A</v>
      </c>
    </row>
    <row r="1398" spans="1:10" ht="15.75" hidden="1" customHeight="1">
      <c r="A1398" s="23">
        <v>1395</v>
      </c>
      <c r="B1398" s="24" t="s">
        <v>2847</v>
      </c>
      <c r="C1398" s="24" t="s">
        <v>271</v>
      </c>
      <c r="D1398" s="24" t="s">
        <v>2848</v>
      </c>
      <c r="E1398" s="25"/>
      <c r="F1398" s="25">
        <v>2</v>
      </c>
      <c r="G1398" s="25"/>
      <c r="H1398" s="25"/>
      <c r="I1398" s="22">
        <f t="shared" si="21"/>
        <v>2</v>
      </c>
      <c r="J1398" t="e">
        <f>VLOOKUP(B1398,'[1]KT 광점퍼코드(수익률)'!$A$4:$P$243,16,0)</f>
        <v>#N/A</v>
      </c>
    </row>
    <row r="1399" spans="1:10" ht="15.75" hidden="1" customHeight="1">
      <c r="A1399" s="19">
        <v>1396</v>
      </c>
      <c r="B1399" s="20" t="s">
        <v>3368</v>
      </c>
      <c r="C1399" s="20" t="s">
        <v>271</v>
      </c>
      <c r="D1399" s="20" t="s">
        <v>3369</v>
      </c>
      <c r="E1399" s="21"/>
      <c r="F1399" s="21"/>
      <c r="G1399" s="21">
        <v>10</v>
      </c>
      <c r="H1399" s="21"/>
      <c r="I1399" s="22">
        <f t="shared" si="21"/>
        <v>10</v>
      </c>
      <c r="J1399" t="e">
        <f>VLOOKUP(B1399,'[1]KT 광점퍼코드(수익률)'!$A$4:$P$243,16,0)</f>
        <v>#N/A</v>
      </c>
    </row>
    <row r="1400" spans="1:10" ht="15.75" hidden="1" customHeight="1">
      <c r="A1400" s="23">
        <v>1397</v>
      </c>
      <c r="B1400" s="24" t="s">
        <v>3370</v>
      </c>
      <c r="C1400" s="24" t="s">
        <v>271</v>
      </c>
      <c r="D1400" s="24" t="s">
        <v>3371</v>
      </c>
      <c r="E1400" s="25"/>
      <c r="F1400" s="25"/>
      <c r="G1400" s="25">
        <v>10</v>
      </c>
      <c r="H1400" s="25"/>
      <c r="I1400" s="22">
        <f t="shared" si="21"/>
        <v>10</v>
      </c>
      <c r="J1400" t="e">
        <f>VLOOKUP(B1400,'[1]KT 광점퍼코드(수익률)'!$A$4:$P$243,16,0)</f>
        <v>#N/A</v>
      </c>
    </row>
    <row r="1401" spans="1:10" ht="15.75" hidden="1" customHeight="1">
      <c r="A1401" s="19">
        <v>1398</v>
      </c>
      <c r="B1401" s="20" t="s">
        <v>2849</v>
      </c>
      <c r="C1401" s="20" t="s">
        <v>278</v>
      </c>
      <c r="D1401" s="20" t="s">
        <v>2850</v>
      </c>
      <c r="E1401" s="21"/>
      <c r="F1401" s="21">
        <v>2</v>
      </c>
      <c r="G1401" s="21"/>
      <c r="H1401" s="21"/>
      <c r="I1401" s="22">
        <f t="shared" si="21"/>
        <v>2</v>
      </c>
      <c r="J1401" t="e">
        <f>VLOOKUP(B1401,'[1]KT 광점퍼코드(수익률)'!$A$4:$P$243,16,0)</f>
        <v>#N/A</v>
      </c>
    </row>
    <row r="1402" spans="1:10" ht="15.75" hidden="1" customHeight="1">
      <c r="A1402" s="23">
        <v>1399</v>
      </c>
      <c r="B1402" s="24" t="s">
        <v>1594</v>
      </c>
      <c r="C1402" s="24" t="s">
        <v>278</v>
      </c>
      <c r="D1402" s="24" t="s">
        <v>1595</v>
      </c>
      <c r="E1402" s="25">
        <v>30</v>
      </c>
      <c r="F1402" s="25">
        <v>10</v>
      </c>
      <c r="G1402" s="25">
        <v>27</v>
      </c>
      <c r="H1402" s="25">
        <v>10</v>
      </c>
      <c r="I1402" s="22">
        <f t="shared" si="21"/>
        <v>77</v>
      </c>
      <c r="J1402" t="e">
        <f>VLOOKUP(B1402,'[1]KT 광점퍼코드(수익률)'!$A$4:$P$243,16,0)</f>
        <v>#N/A</v>
      </c>
    </row>
    <row r="1403" spans="1:10" ht="15.75" hidden="1" customHeight="1">
      <c r="A1403" s="19">
        <v>1400</v>
      </c>
      <c r="B1403" s="20" t="s">
        <v>2851</v>
      </c>
      <c r="C1403" s="20" t="s">
        <v>278</v>
      </c>
      <c r="D1403" s="20" t="s">
        <v>2852</v>
      </c>
      <c r="E1403" s="21"/>
      <c r="F1403" s="21">
        <v>5</v>
      </c>
      <c r="G1403" s="21">
        <v>5</v>
      </c>
      <c r="H1403" s="21"/>
      <c r="I1403" s="22">
        <f t="shared" si="21"/>
        <v>10</v>
      </c>
      <c r="J1403" t="e">
        <f>VLOOKUP(B1403,'[1]KT 광점퍼코드(수익률)'!$A$4:$P$243,16,0)</f>
        <v>#N/A</v>
      </c>
    </row>
    <row r="1404" spans="1:10" ht="15.75" hidden="1" customHeight="1">
      <c r="A1404" s="23">
        <v>1401</v>
      </c>
      <c r="B1404" s="24" t="s">
        <v>1596</v>
      </c>
      <c r="C1404" s="24" t="s">
        <v>283</v>
      </c>
      <c r="D1404" s="24" t="s">
        <v>1597</v>
      </c>
      <c r="E1404" s="25">
        <v>8</v>
      </c>
      <c r="F1404" s="25">
        <v>25</v>
      </c>
      <c r="G1404" s="25"/>
      <c r="H1404" s="25">
        <v>11</v>
      </c>
      <c r="I1404" s="22">
        <f t="shared" si="21"/>
        <v>44</v>
      </c>
      <c r="J1404" t="e">
        <f>VLOOKUP(B1404,'[1]KT 광점퍼코드(수익률)'!$A$4:$P$243,16,0)</f>
        <v>#N/A</v>
      </c>
    </row>
    <row r="1405" spans="1:10" ht="15.75" hidden="1" customHeight="1">
      <c r="A1405" s="19">
        <v>1402</v>
      </c>
      <c r="B1405" s="20" t="s">
        <v>1598</v>
      </c>
      <c r="C1405" s="20" t="s">
        <v>283</v>
      </c>
      <c r="D1405" s="20" t="s">
        <v>1599</v>
      </c>
      <c r="E1405" s="21">
        <v>15</v>
      </c>
      <c r="F1405" s="21">
        <v>30</v>
      </c>
      <c r="G1405" s="21">
        <v>50</v>
      </c>
      <c r="H1405" s="21">
        <v>20</v>
      </c>
      <c r="I1405" s="22">
        <f t="shared" si="21"/>
        <v>115</v>
      </c>
      <c r="J1405" t="e">
        <f>VLOOKUP(B1405,'[1]KT 광점퍼코드(수익률)'!$A$4:$P$243,16,0)</f>
        <v>#N/A</v>
      </c>
    </row>
    <row r="1406" spans="1:10" ht="15.75" hidden="1" customHeight="1">
      <c r="A1406" s="23">
        <v>1403</v>
      </c>
      <c r="B1406" s="24" t="s">
        <v>2853</v>
      </c>
      <c r="C1406" s="24" t="s">
        <v>283</v>
      </c>
      <c r="D1406" s="24" t="s">
        <v>2854</v>
      </c>
      <c r="E1406" s="25"/>
      <c r="F1406" s="25">
        <v>15</v>
      </c>
      <c r="G1406" s="25"/>
      <c r="H1406" s="25"/>
      <c r="I1406" s="22">
        <f t="shared" si="21"/>
        <v>15</v>
      </c>
      <c r="J1406" t="e">
        <f>VLOOKUP(B1406,'[1]KT 광점퍼코드(수익률)'!$A$4:$P$243,16,0)</f>
        <v>#N/A</v>
      </c>
    </row>
    <row r="1407" spans="1:10" ht="15.75" hidden="1" customHeight="1">
      <c r="A1407" s="19">
        <v>1404</v>
      </c>
      <c r="B1407" s="20" t="s">
        <v>1600</v>
      </c>
      <c r="C1407" s="20" t="s">
        <v>283</v>
      </c>
      <c r="D1407" s="20" t="s">
        <v>1601</v>
      </c>
      <c r="E1407" s="21">
        <v>4</v>
      </c>
      <c r="F1407" s="21"/>
      <c r="G1407" s="21"/>
      <c r="H1407" s="21"/>
      <c r="I1407" s="22">
        <f t="shared" si="21"/>
        <v>4</v>
      </c>
      <c r="J1407" t="e">
        <f>VLOOKUP(B1407,'[1]KT 광점퍼코드(수익률)'!$A$4:$P$243,16,0)</f>
        <v>#N/A</v>
      </c>
    </row>
    <row r="1408" spans="1:10" ht="15.75" hidden="1" customHeight="1">
      <c r="A1408" s="23">
        <v>1405</v>
      </c>
      <c r="B1408" s="24" t="s">
        <v>1602</v>
      </c>
      <c r="C1408" s="24" t="s">
        <v>294</v>
      </c>
      <c r="D1408" s="24" t="s">
        <v>1603</v>
      </c>
      <c r="E1408" s="25">
        <v>180</v>
      </c>
      <c r="F1408" s="25">
        <v>30</v>
      </c>
      <c r="G1408" s="25">
        <v>85</v>
      </c>
      <c r="H1408" s="25"/>
      <c r="I1408" s="22">
        <f t="shared" si="21"/>
        <v>295</v>
      </c>
      <c r="J1408" t="e">
        <f>VLOOKUP(B1408,'[1]KT 광점퍼코드(수익률)'!$A$4:$P$243,16,0)</f>
        <v>#N/A</v>
      </c>
    </row>
    <row r="1409" spans="1:10" ht="15.75" hidden="1" customHeight="1">
      <c r="A1409" s="19">
        <v>1406</v>
      </c>
      <c r="B1409" s="20" t="s">
        <v>1604</v>
      </c>
      <c r="C1409" s="20" t="s">
        <v>294</v>
      </c>
      <c r="D1409" s="20" t="s">
        <v>1605</v>
      </c>
      <c r="E1409" s="21">
        <v>10</v>
      </c>
      <c r="F1409" s="21">
        <v>70</v>
      </c>
      <c r="G1409" s="21">
        <v>110</v>
      </c>
      <c r="H1409" s="21">
        <v>100</v>
      </c>
      <c r="I1409" s="22">
        <f t="shared" si="21"/>
        <v>290</v>
      </c>
      <c r="J1409" t="e">
        <f>VLOOKUP(B1409,'[1]KT 광점퍼코드(수익률)'!$A$4:$P$243,16,0)</f>
        <v>#N/A</v>
      </c>
    </row>
    <row r="1410" spans="1:10" ht="15.75" hidden="1" customHeight="1">
      <c r="A1410" s="23">
        <v>1407</v>
      </c>
      <c r="B1410" s="24" t="s">
        <v>1606</v>
      </c>
      <c r="C1410" s="24" t="s">
        <v>180</v>
      </c>
      <c r="D1410" s="24" t="s">
        <v>1607</v>
      </c>
      <c r="E1410" s="25">
        <v>38</v>
      </c>
      <c r="F1410" s="25">
        <v>3</v>
      </c>
      <c r="G1410" s="25"/>
      <c r="H1410" s="25"/>
      <c r="I1410" s="22">
        <f t="shared" si="21"/>
        <v>41</v>
      </c>
      <c r="J1410" t="e">
        <f>VLOOKUP(B1410,'[1]KT 광점퍼코드(수익률)'!$A$4:$P$243,16,0)</f>
        <v>#N/A</v>
      </c>
    </row>
    <row r="1411" spans="1:10" ht="15.75" hidden="1" customHeight="1">
      <c r="A1411" s="19">
        <v>1408</v>
      </c>
      <c r="B1411" s="20" t="s">
        <v>1608</v>
      </c>
      <c r="C1411" s="20" t="s">
        <v>180</v>
      </c>
      <c r="D1411" s="20" t="s">
        <v>1609</v>
      </c>
      <c r="E1411" s="21">
        <v>65</v>
      </c>
      <c r="F1411" s="21">
        <v>126</v>
      </c>
      <c r="G1411" s="21">
        <v>59</v>
      </c>
      <c r="H1411" s="21">
        <v>5</v>
      </c>
      <c r="I1411" s="22">
        <f t="shared" si="21"/>
        <v>255</v>
      </c>
      <c r="J1411" t="e">
        <f>VLOOKUP(B1411,'[1]KT 광점퍼코드(수익률)'!$A$4:$P$243,16,0)</f>
        <v>#N/A</v>
      </c>
    </row>
    <row r="1412" spans="1:10" ht="15.75" hidden="1" customHeight="1">
      <c r="A1412" s="23">
        <v>1409</v>
      </c>
      <c r="B1412" s="24" t="s">
        <v>1610</v>
      </c>
      <c r="C1412" s="24" t="s">
        <v>180</v>
      </c>
      <c r="D1412" s="24" t="s">
        <v>1611</v>
      </c>
      <c r="E1412" s="25">
        <v>20</v>
      </c>
      <c r="F1412" s="25">
        <v>27</v>
      </c>
      <c r="G1412" s="25">
        <v>33</v>
      </c>
      <c r="H1412" s="25">
        <v>10</v>
      </c>
      <c r="I1412" s="22">
        <f t="shared" ref="I1412:I1475" si="22">SUM(E1412:H1412)</f>
        <v>90</v>
      </c>
      <c r="J1412" t="e">
        <f>VLOOKUP(B1412,'[1]KT 광점퍼코드(수익률)'!$A$4:$P$243,16,0)</f>
        <v>#N/A</v>
      </c>
    </row>
    <row r="1413" spans="1:10" ht="15.75" hidden="1" customHeight="1">
      <c r="A1413" s="19">
        <v>1410</v>
      </c>
      <c r="B1413" s="20" t="s">
        <v>1612</v>
      </c>
      <c r="C1413" s="20" t="s">
        <v>180</v>
      </c>
      <c r="D1413" s="20" t="s">
        <v>1613</v>
      </c>
      <c r="E1413" s="21">
        <v>130</v>
      </c>
      <c r="F1413" s="21">
        <v>81</v>
      </c>
      <c r="G1413" s="21">
        <v>20</v>
      </c>
      <c r="H1413" s="21">
        <v>38</v>
      </c>
      <c r="I1413" s="22">
        <f t="shared" si="22"/>
        <v>269</v>
      </c>
      <c r="J1413" t="e">
        <f>VLOOKUP(B1413,'[1]KT 광점퍼코드(수익률)'!$A$4:$P$243,16,0)</f>
        <v>#N/A</v>
      </c>
    </row>
    <row r="1414" spans="1:10" ht="15.75" hidden="1" customHeight="1">
      <c r="A1414" s="23">
        <v>1411</v>
      </c>
      <c r="B1414" s="24" t="s">
        <v>1614</v>
      </c>
      <c r="C1414" s="24" t="s">
        <v>194</v>
      </c>
      <c r="D1414" s="24" t="s">
        <v>1615</v>
      </c>
      <c r="E1414" s="25">
        <v>59</v>
      </c>
      <c r="F1414" s="25">
        <v>21</v>
      </c>
      <c r="G1414" s="25">
        <v>46</v>
      </c>
      <c r="H1414" s="25"/>
      <c r="I1414" s="22">
        <f t="shared" si="22"/>
        <v>126</v>
      </c>
      <c r="J1414" t="e">
        <f>VLOOKUP(B1414,'[1]KT 광점퍼코드(수익률)'!$A$4:$P$243,16,0)</f>
        <v>#N/A</v>
      </c>
    </row>
    <row r="1415" spans="1:10" ht="15.75" hidden="1" customHeight="1">
      <c r="A1415" s="19">
        <v>1412</v>
      </c>
      <c r="B1415" s="20" t="s">
        <v>1616</v>
      </c>
      <c r="C1415" s="20" t="s">
        <v>194</v>
      </c>
      <c r="D1415" s="20" t="s">
        <v>1617</v>
      </c>
      <c r="E1415" s="21">
        <v>105</v>
      </c>
      <c r="F1415" s="21">
        <v>82</v>
      </c>
      <c r="G1415" s="21">
        <v>32</v>
      </c>
      <c r="H1415" s="21"/>
      <c r="I1415" s="22">
        <f t="shared" si="22"/>
        <v>219</v>
      </c>
      <c r="J1415" t="e">
        <f>VLOOKUP(B1415,'[1]KT 광점퍼코드(수익률)'!$A$4:$P$243,16,0)</f>
        <v>#N/A</v>
      </c>
    </row>
    <row r="1416" spans="1:10" ht="15.75" hidden="1" customHeight="1">
      <c r="A1416" s="23">
        <v>1413</v>
      </c>
      <c r="B1416" s="24" t="s">
        <v>1618</v>
      </c>
      <c r="C1416" s="24" t="s">
        <v>194</v>
      </c>
      <c r="D1416" s="24" t="s">
        <v>1619</v>
      </c>
      <c r="E1416" s="25">
        <v>56</v>
      </c>
      <c r="F1416" s="25">
        <v>40</v>
      </c>
      <c r="G1416" s="25">
        <v>35</v>
      </c>
      <c r="H1416" s="25"/>
      <c r="I1416" s="22">
        <f t="shared" si="22"/>
        <v>131</v>
      </c>
      <c r="J1416" t="e">
        <f>VLOOKUP(B1416,'[1]KT 광점퍼코드(수익률)'!$A$4:$P$243,16,0)</f>
        <v>#N/A</v>
      </c>
    </row>
    <row r="1417" spans="1:10" ht="15.75" hidden="1" customHeight="1">
      <c r="A1417" s="19">
        <v>1414</v>
      </c>
      <c r="B1417" s="20" t="s">
        <v>1620</v>
      </c>
      <c r="C1417" s="20" t="s">
        <v>194</v>
      </c>
      <c r="D1417" s="20" t="s">
        <v>1621</v>
      </c>
      <c r="E1417" s="21">
        <v>13</v>
      </c>
      <c r="F1417" s="21">
        <v>8</v>
      </c>
      <c r="G1417" s="21">
        <v>20</v>
      </c>
      <c r="H1417" s="21"/>
      <c r="I1417" s="22">
        <f t="shared" si="22"/>
        <v>41</v>
      </c>
      <c r="J1417" t="e">
        <f>VLOOKUP(B1417,'[1]KT 광점퍼코드(수익률)'!$A$4:$P$243,16,0)</f>
        <v>#N/A</v>
      </c>
    </row>
    <row r="1418" spans="1:10" ht="15.75" hidden="1" customHeight="1">
      <c r="A1418" s="23">
        <v>1415</v>
      </c>
      <c r="B1418" s="24" t="s">
        <v>1622</v>
      </c>
      <c r="C1418" s="24" t="s">
        <v>194</v>
      </c>
      <c r="D1418" s="24" t="s">
        <v>1623</v>
      </c>
      <c r="E1418" s="25">
        <v>100</v>
      </c>
      <c r="F1418" s="25">
        <v>30</v>
      </c>
      <c r="G1418" s="25"/>
      <c r="H1418" s="25"/>
      <c r="I1418" s="22">
        <f t="shared" si="22"/>
        <v>130</v>
      </c>
      <c r="J1418" t="e">
        <f>VLOOKUP(B1418,'[1]KT 광점퍼코드(수익률)'!$A$4:$P$243,16,0)</f>
        <v>#N/A</v>
      </c>
    </row>
    <row r="1419" spans="1:10" ht="15.75" hidden="1" customHeight="1">
      <c r="A1419" s="19">
        <v>1416</v>
      </c>
      <c r="B1419" s="20" t="s">
        <v>1624</v>
      </c>
      <c r="C1419" s="20" t="s">
        <v>194</v>
      </c>
      <c r="D1419" s="20" t="s">
        <v>1625</v>
      </c>
      <c r="E1419" s="21">
        <v>1</v>
      </c>
      <c r="F1419" s="21">
        <v>3</v>
      </c>
      <c r="G1419" s="21"/>
      <c r="H1419" s="21"/>
      <c r="I1419" s="22">
        <f t="shared" si="22"/>
        <v>4</v>
      </c>
      <c r="J1419" t="e">
        <f>VLOOKUP(B1419,'[1]KT 광점퍼코드(수익률)'!$A$4:$P$243,16,0)</f>
        <v>#N/A</v>
      </c>
    </row>
    <row r="1420" spans="1:10" ht="15.75" hidden="1" customHeight="1">
      <c r="A1420" s="23">
        <v>1417</v>
      </c>
      <c r="B1420" s="24" t="s">
        <v>1626</v>
      </c>
      <c r="C1420" s="24" t="s">
        <v>180</v>
      </c>
      <c r="D1420" s="24" t="s">
        <v>1627</v>
      </c>
      <c r="E1420" s="25">
        <v>5</v>
      </c>
      <c r="F1420" s="25">
        <v>18</v>
      </c>
      <c r="G1420" s="25">
        <v>18</v>
      </c>
      <c r="H1420" s="25">
        <v>5</v>
      </c>
      <c r="I1420" s="22">
        <f t="shared" si="22"/>
        <v>46</v>
      </c>
      <c r="J1420" t="e">
        <f>VLOOKUP(B1420,'[1]KT 광점퍼코드(수익률)'!$A$4:$P$243,16,0)</f>
        <v>#N/A</v>
      </c>
    </row>
    <row r="1421" spans="1:10" ht="15.75" hidden="1" customHeight="1">
      <c r="A1421" s="19">
        <v>1418</v>
      </c>
      <c r="B1421" s="20" t="s">
        <v>2855</v>
      </c>
      <c r="C1421" s="20" t="s">
        <v>194</v>
      </c>
      <c r="D1421" s="20" t="s">
        <v>2856</v>
      </c>
      <c r="E1421" s="21"/>
      <c r="F1421" s="21">
        <v>3</v>
      </c>
      <c r="G1421" s="21"/>
      <c r="H1421" s="21"/>
      <c r="I1421" s="22">
        <f t="shared" si="22"/>
        <v>3</v>
      </c>
      <c r="J1421" t="e">
        <f>VLOOKUP(B1421,'[1]KT 광점퍼코드(수익률)'!$A$4:$P$243,16,0)</f>
        <v>#N/A</v>
      </c>
    </row>
    <row r="1422" spans="1:10" ht="15.75" hidden="1" customHeight="1">
      <c r="A1422" s="23">
        <v>1419</v>
      </c>
      <c r="B1422" s="24" t="s">
        <v>1628</v>
      </c>
      <c r="C1422" s="24" t="s">
        <v>180</v>
      </c>
      <c r="D1422" s="24" t="s">
        <v>1629</v>
      </c>
      <c r="E1422" s="25">
        <v>1049</v>
      </c>
      <c r="F1422" s="25">
        <v>642</v>
      </c>
      <c r="G1422" s="25">
        <v>1304</v>
      </c>
      <c r="H1422" s="25">
        <v>183</v>
      </c>
      <c r="I1422" s="22">
        <f t="shared" si="22"/>
        <v>3178</v>
      </c>
      <c r="J1422" t="e">
        <f>VLOOKUP(B1422,'[1]KT 광점퍼코드(수익률)'!$A$4:$P$243,16,0)</f>
        <v>#N/A</v>
      </c>
    </row>
    <row r="1423" spans="1:10" ht="15.75" hidden="1" customHeight="1">
      <c r="A1423" s="19">
        <v>1420</v>
      </c>
      <c r="B1423" s="20" t="s">
        <v>1630</v>
      </c>
      <c r="C1423" s="20" t="s">
        <v>180</v>
      </c>
      <c r="D1423" s="20" t="s">
        <v>1629</v>
      </c>
      <c r="E1423" s="21">
        <v>20</v>
      </c>
      <c r="F1423" s="21">
        <v>22</v>
      </c>
      <c r="G1423" s="21">
        <v>20</v>
      </c>
      <c r="H1423" s="21"/>
      <c r="I1423" s="22">
        <f t="shared" si="22"/>
        <v>62</v>
      </c>
      <c r="J1423" t="e">
        <f>VLOOKUP(B1423,'[1]KT 광점퍼코드(수익률)'!$A$4:$P$243,16,0)</f>
        <v>#N/A</v>
      </c>
    </row>
    <row r="1424" spans="1:10" ht="15.75" hidden="1" customHeight="1">
      <c r="A1424" s="23">
        <v>1421</v>
      </c>
      <c r="B1424" s="24" t="s">
        <v>1631</v>
      </c>
      <c r="C1424" s="24" t="s">
        <v>180</v>
      </c>
      <c r="D1424" s="24" t="s">
        <v>1632</v>
      </c>
      <c r="E1424" s="25">
        <v>1082</v>
      </c>
      <c r="F1424" s="25">
        <v>852</v>
      </c>
      <c r="G1424" s="25">
        <v>810</v>
      </c>
      <c r="H1424" s="25">
        <v>228</v>
      </c>
      <c r="I1424" s="22">
        <f t="shared" si="22"/>
        <v>2972</v>
      </c>
      <c r="J1424" t="e">
        <f>VLOOKUP(B1424,'[1]KT 광점퍼코드(수익률)'!$A$4:$P$243,16,0)</f>
        <v>#N/A</v>
      </c>
    </row>
    <row r="1425" spans="1:10" ht="15.75" hidden="1" customHeight="1">
      <c r="A1425" s="19">
        <v>1422</v>
      </c>
      <c r="B1425" s="20" t="s">
        <v>1633</v>
      </c>
      <c r="C1425" s="20" t="s">
        <v>180</v>
      </c>
      <c r="D1425" s="20" t="s">
        <v>1634</v>
      </c>
      <c r="E1425" s="21">
        <v>284</v>
      </c>
      <c r="F1425" s="21">
        <v>217</v>
      </c>
      <c r="G1425" s="21">
        <v>317</v>
      </c>
      <c r="H1425" s="21">
        <v>79</v>
      </c>
      <c r="I1425" s="22">
        <f t="shared" si="22"/>
        <v>897</v>
      </c>
      <c r="J1425" t="e">
        <f>VLOOKUP(B1425,'[1]KT 광점퍼코드(수익률)'!$A$4:$P$243,16,0)</f>
        <v>#N/A</v>
      </c>
    </row>
    <row r="1426" spans="1:10" ht="15.75" hidden="1" customHeight="1">
      <c r="A1426" s="23">
        <v>1423</v>
      </c>
      <c r="B1426" s="24" t="s">
        <v>1635</v>
      </c>
      <c r="C1426" s="24" t="s">
        <v>180</v>
      </c>
      <c r="D1426" s="24" t="s">
        <v>1636</v>
      </c>
      <c r="E1426" s="25">
        <v>174</v>
      </c>
      <c r="F1426" s="25">
        <v>180</v>
      </c>
      <c r="G1426" s="25">
        <v>226</v>
      </c>
      <c r="H1426" s="25">
        <v>12</v>
      </c>
      <c r="I1426" s="22">
        <f t="shared" si="22"/>
        <v>592</v>
      </c>
      <c r="J1426" t="e">
        <f>VLOOKUP(B1426,'[1]KT 광점퍼코드(수익률)'!$A$4:$P$243,16,0)</f>
        <v>#N/A</v>
      </c>
    </row>
    <row r="1427" spans="1:10" ht="15.75" hidden="1" customHeight="1">
      <c r="A1427" s="19">
        <v>1424</v>
      </c>
      <c r="B1427" s="20" t="s">
        <v>1637</v>
      </c>
      <c r="C1427" s="20" t="s">
        <v>180</v>
      </c>
      <c r="D1427" s="20" t="s">
        <v>1638</v>
      </c>
      <c r="E1427" s="21">
        <v>316</v>
      </c>
      <c r="F1427" s="21">
        <v>347</v>
      </c>
      <c r="G1427" s="21">
        <v>307</v>
      </c>
      <c r="H1427" s="21">
        <v>25</v>
      </c>
      <c r="I1427" s="22">
        <f t="shared" si="22"/>
        <v>995</v>
      </c>
      <c r="J1427" t="e">
        <f>VLOOKUP(B1427,'[1]KT 광점퍼코드(수익률)'!$A$4:$P$243,16,0)</f>
        <v>#N/A</v>
      </c>
    </row>
    <row r="1428" spans="1:10" ht="15.75" hidden="1" customHeight="1">
      <c r="A1428" s="23">
        <v>1425</v>
      </c>
      <c r="B1428" s="24" t="s">
        <v>1639</v>
      </c>
      <c r="C1428" s="24" t="s">
        <v>180</v>
      </c>
      <c r="D1428" s="24" t="s">
        <v>1640</v>
      </c>
      <c r="E1428" s="25">
        <v>237</v>
      </c>
      <c r="F1428" s="25">
        <v>127</v>
      </c>
      <c r="G1428" s="25">
        <v>237</v>
      </c>
      <c r="H1428" s="25">
        <v>11</v>
      </c>
      <c r="I1428" s="22">
        <f t="shared" si="22"/>
        <v>612</v>
      </c>
      <c r="J1428" t="e">
        <f>VLOOKUP(B1428,'[1]KT 광점퍼코드(수익률)'!$A$4:$P$243,16,0)</f>
        <v>#N/A</v>
      </c>
    </row>
    <row r="1429" spans="1:10" ht="15.75" hidden="1" customHeight="1">
      <c r="A1429" s="19">
        <v>1426</v>
      </c>
      <c r="B1429" s="20" t="s">
        <v>1641</v>
      </c>
      <c r="C1429" s="20" t="s">
        <v>169</v>
      </c>
      <c r="D1429" s="20" t="s">
        <v>20</v>
      </c>
      <c r="E1429" s="21">
        <v>159</v>
      </c>
      <c r="F1429" s="21">
        <v>42</v>
      </c>
      <c r="G1429" s="21">
        <v>40</v>
      </c>
      <c r="H1429" s="21">
        <v>99</v>
      </c>
      <c r="I1429" s="22">
        <f t="shared" si="22"/>
        <v>340</v>
      </c>
      <c r="J1429" t="e">
        <f>VLOOKUP(B1429,'[1]KT 광점퍼코드(수익률)'!$A$4:$P$243,16,0)</f>
        <v>#N/A</v>
      </c>
    </row>
    <row r="1430" spans="1:10" ht="15.75" hidden="1" customHeight="1">
      <c r="A1430" s="23">
        <v>1427</v>
      </c>
      <c r="B1430" s="24" t="s">
        <v>1642</v>
      </c>
      <c r="C1430" s="24" t="s">
        <v>169</v>
      </c>
      <c r="D1430" s="24" t="s">
        <v>32</v>
      </c>
      <c r="E1430" s="25">
        <v>108</v>
      </c>
      <c r="F1430" s="25">
        <v>77</v>
      </c>
      <c r="G1430" s="25">
        <v>29</v>
      </c>
      <c r="H1430" s="25">
        <v>70</v>
      </c>
      <c r="I1430" s="22">
        <f t="shared" si="22"/>
        <v>284</v>
      </c>
      <c r="J1430" t="e">
        <f>VLOOKUP(B1430,'[1]KT 광점퍼코드(수익률)'!$A$4:$P$243,16,0)</f>
        <v>#N/A</v>
      </c>
    </row>
    <row r="1431" spans="1:10" ht="15.75" hidden="1" customHeight="1">
      <c r="A1431" s="19">
        <v>1428</v>
      </c>
      <c r="B1431" s="20" t="s">
        <v>1643</v>
      </c>
      <c r="C1431" s="20" t="s">
        <v>169</v>
      </c>
      <c r="D1431" s="20" t="s">
        <v>22</v>
      </c>
      <c r="E1431" s="21">
        <v>49</v>
      </c>
      <c r="F1431" s="21">
        <v>20</v>
      </c>
      <c r="G1431" s="21">
        <v>25</v>
      </c>
      <c r="H1431" s="21">
        <v>5</v>
      </c>
      <c r="I1431" s="22">
        <f t="shared" si="22"/>
        <v>99</v>
      </c>
      <c r="J1431" t="e">
        <f>VLOOKUP(B1431,'[1]KT 광점퍼코드(수익률)'!$A$4:$P$243,16,0)</f>
        <v>#N/A</v>
      </c>
    </row>
    <row r="1432" spans="1:10" ht="15.75" hidden="1" customHeight="1">
      <c r="A1432" s="23">
        <v>1429</v>
      </c>
      <c r="B1432" s="24" t="s">
        <v>1644</v>
      </c>
      <c r="C1432" s="24" t="s">
        <v>169</v>
      </c>
      <c r="D1432" s="24" t="s">
        <v>121</v>
      </c>
      <c r="E1432" s="25">
        <v>26</v>
      </c>
      <c r="F1432" s="25">
        <v>4</v>
      </c>
      <c r="G1432" s="25">
        <v>5</v>
      </c>
      <c r="H1432" s="25">
        <v>5</v>
      </c>
      <c r="I1432" s="22">
        <f t="shared" si="22"/>
        <v>40</v>
      </c>
      <c r="J1432" t="e">
        <f>VLOOKUP(B1432,'[1]KT 광점퍼코드(수익률)'!$A$4:$P$243,16,0)</f>
        <v>#N/A</v>
      </c>
    </row>
    <row r="1433" spans="1:10" ht="15.75" hidden="1" customHeight="1">
      <c r="A1433" s="19">
        <v>1430</v>
      </c>
      <c r="B1433" s="20" t="s">
        <v>1645</v>
      </c>
      <c r="C1433" s="20" t="s">
        <v>169</v>
      </c>
      <c r="D1433" s="20" t="s">
        <v>26</v>
      </c>
      <c r="E1433" s="21">
        <v>280</v>
      </c>
      <c r="F1433" s="21">
        <v>23</v>
      </c>
      <c r="G1433" s="21">
        <v>169</v>
      </c>
      <c r="H1433" s="21">
        <v>30</v>
      </c>
      <c r="I1433" s="22">
        <f t="shared" si="22"/>
        <v>502</v>
      </c>
      <c r="J1433" t="e">
        <f>VLOOKUP(B1433,'[1]KT 광점퍼코드(수익률)'!$A$4:$P$243,16,0)</f>
        <v>#N/A</v>
      </c>
    </row>
    <row r="1434" spans="1:10" ht="15.75" hidden="1" customHeight="1">
      <c r="A1434" s="23">
        <v>1431</v>
      </c>
      <c r="B1434" s="24" t="s">
        <v>1646</v>
      </c>
      <c r="C1434" s="24" t="s">
        <v>169</v>
      </c>
      <c r="D1434" s="24" t="s">
        <v>1647</v>
      </c>
      <c r="E1434" s="25">
        <v>14</v>
      </c>
      <c r="F1434" s="25">
        <v>16</v>
      </c>
      <c r="G1434" s="25"/>
      <c r="H1434" s="25"/>
      <c r="I1434" s="22">
        <f t="shared" si="22"/>
        <v>30</v>
      </c>
      <c r="J1434" t="e">
        <f>VLOOKUP(B1434,'[1]KT 광점퍼코드(수익률)'!$A$4:$P$243,16,0)</f>
        <v>#N/A</v>
      </c>
    </row>
    <row r="1435" spans="1:10" ht="15.75" hidden="1" customHeight="1">
      <c r="A1435" s="19">
        <v>1432</v>
      </c>
      <c r="B1435" s="20" t="s">
        <v>2857</v>
      </c>
      <c r="C1435" s="20" t="s">
        <v>203</v>
      </c>
      <c r="D1435" s="20" t="s">
        <v>374</v>
      </c>
      <c r="E1435" s="21"/>
      <c r="F1435" s="21">
        <v>20</v>
      </c>
      <c r="G1435" s="21">
        <v>20</v>
      </c>
      <c r="H1435" s="21"/>
      <c r="I1435" s="22">
        <f t="shared" si="22"/>
        <v>40</v>
      </c>
      <c r="J1435" t="e">
        <f>VLOOKUP(B1435,'[1]KT 광점퍼코드(수익률)'!$A$4:$P$243,16,0)</f>
        <v>#N/A</v>
      </c>
    </row>
    <row r="1436" spans="1:10" ht="15.75" hidden="1" customHeight="1">
      <c r="A1436" s="23">
        <v>1433</v>
      </c>
      <c r="B1436" s="24" t="s">
        <v>1648</v>
      </c>
      <c r="C1436" s="24" t="s">
        <v>1649</v>
      </c>
      <c r="D1436" s="24" t="s">
        <v>1650</v>
      </c>
      <c r="E1436" s="25">
        <v>61</v>
      </c>
      <c r="F1436" s="25">
        <v>35</v>
      </c>
      <c r="G1436" s="25">
        <v>43</v>
      </c>
      <c r="H1436" s="25">
        <v>30</v>
      </c>
      <c r="I1436" s="22">
        <f t="shared" si="22"/>
        <v>169</v>
      </c>
      <c r="J1436" t="e">
        <f>VLOOKUP(B1436,'[1]KT 광점퍼코드(수익률)'!$A$4:$P$243,16,0)</f>
        <v>#N/A</v>
      </c>
    </row>
    <row r="1437" spans="1:10" ht="15.75" hidden="1" customHeight="1">
      <c r="A1437" s="19">
        <v>1434</v>
      </c>
      <c r="B1437" s="20" t="s">
        <v>1651</v>
      </c>
      <c r="C1437" s="20" t="s">
        <v>1649</v>
      </c>
      <c r="D1437" s="20" t="s">
        <v>1652</v>
      </c>
      <c r="E1437" s="21">
        <v>55</v>
      </c>
      <c r="F1437" s="21">
        <v>40</v>
      </c>
      <c r="G1437" s="21">
        <v>39</v>
      </c>
      <c r="H1437" s="21">
        <v>4</v>
      </c>
      <c r="I1437" s="22">
        <f t="shared" si="22"/>
        <v>138</v>
      </c>
      <c r="J1437" t="e">
        <f>VLOOKUP(B1437,'[1]KT 광점퍼코드(수익률)'!$A$4:$P$243,16,0)</f>
        <v>#N/A</v>
      </c>
    </row>
    <row r="1438" spans="1:10" ht="15.75" hidden="1" customHeight="1">
      <c r="A1438" s="23">
        <v>1435</v>
      </c>
      <c r="B1438" s="24" t="s">
        <v>1653</v>
      </c>
      <c r="C1438" s="24" t="s">
        <v>1649</v>
      </c>
      <c r="D1438" s="24" t="s">
        <v>1654</v>
      </c>
      <c r="E1438" s="25">
        <v>65</v>
      </c>
      <c r="F1438" s="25">
        <v>97</v>
      </c>
      <c r="G1438" s="25">
        <v>45</v>
      </c>
      <c r="H1438" s="25"/>
      <c r="I1438" s="22">
        <f t="shared" si="22"/>
        <v>207</v>
      </c>
      <c r="J1438" t="e">
        <f>VLOOKUP(B1438,'[1]KT 광점퍼코드(수익률)'!$A$4:$P$243,16,0)</f>
        <v>#N/A</v>
      </c>
    </row>
    <row r="1439" spans="1:10" ht="15.75" hidden="1" customHeight="1">
      <c r="A1439" s="19">
        <v>1436</v>
      </c>
      <c r="B1439" s="20" t="s">
        <v>1655</v>
      </c>
      <c r="C1439" s="20" t="s">
        <v>1649</v>
      </c>
      <c r="D1439" s="20" t="s">
        <v>1656</v>
      </c>
      <c r="E1439" s="21">
        <v>5</v>
      </c>
      <c r="F1439" s="21">
        <v>30</v>
      </c>
      <c r="G1439" s="21"/>
      <c r="H1439" s="21"/>
      <c r="I1439" s="22">
        <f t="shared" si="22"/>
        <v>35</v>
      </c>
      <c r="J1439" t="e">
        <f>VLOOKUP(B1439,'[1]KT 광점퍼코드(수익률)'!$A$4:$P$243,16,0)</f>
        <v>#N/A</v>
      </c>
    </row>
    <row r="1440" spans="1:10" ht="15.75" hidden="1" customHeight="1">
      <c r="A1440" s="23">
        <v>1437</v>
      </c>
      <c r="B1440" s="24" t="s">
        <v>1657</v>
      </c>
      <c r="C1440" s="24" t="s">
        <v>1649</v>
      </c>
      <c r="D1440" s="24" t="s">
        <v>1658</v>
      </c>
      <c r="E1440" s="25">
        <v>10</v>
      </c>
      <c r="F1440" s="25">
        <v>32</v>
      </c>
      <c r="G1440" s="25"/>
      <c r="H1440" s="25">
        <v>5</v>
      </c>
      <c r="I1440" s="22">
        <f t="shared" si="22"/>
        <v>47</v>
      </c>
      <c r="J1440" t="e">
        <f>VLOOKUP(B1440,'[1]KT 광점퍼코드(수익률)'!$A$4:$P$243,16,0)</f>
        <v>#N/A</v>
      </c>
    </row>
    <row r="1441" spans="1:10" ht="15.75" hidden="1" customHeight="1">
      <c r="A1441" s="19">
        <v>1438</v>
      </c>
      <c r="B1441" s="20" t="s">
        <v>3513</v>
      </c>
      <c r="C1441" s="20" t="s">
        <v>1649</v>
      </c>
      <c r="D1441" s="20" t="s">
        <v>1578</v>
      </c>
      <c r="E1441" s="21"/>
      <c r="F1441" s="21"/>
      <c r="G1441" s="21"/>
      <c r="H1441" s="21">
        <v>5</v>
      </c>
      <c r="I1441" s="22">
        <f t="shared" si="22"/>
        <v>5</v>
      </c>
      <c r="J1441" t="e">
        <f>VLOOKUP(B1441,'[1]KT 광점퍼코드(수익률)'!$A$4:$P$243,16,0)</f>
        <v>#N/A</v>
      </c>
    </row>
    <row r="1442" spans="1:10" ht="15.75" hidden="1" customHeight="1">
      <c r="A1442" s="23">
        <v>1439</v>
      </c>
      <c r="B1442" s="24" t="s">
        <v>1659</v>
      </c>
      <c r="C1442" s="24" t="s">
        <v>1649</v>
      </c>
      <c r="D1442" s="24" t="s">
        <v>1660</v>
      </c>
      <c r="E1442" s="25">
        <v>70</v>
      </c>
      <c r="F1442" s="25"/>
      <c r="G1442" s="25">
        <v>9</v>
      </c>
      <c r="H1442" s="25"/>
      <c r="I1442" s="22">
        <f t="shared" si="22"/>
        <v>79</v>
      </c>
      <c r="J1442" t="e">
        <f>VLOOKUP(B1442,'[1]KT 광점퍼코드(수익률)'!$A$4:$P$243,16,0)</f>
        <v>#N/A</v>
      </c>
    </row>
    <row r="1443" spans="1:10" ht="15.75" hidden="1" customHeight="1">
      <c r="A1443" s="19">
        <v>1440</v>
      </c>
      <c r="B1443" s="20" t="s">
        <v>1661</v>
      </c>
      <c r="C1443" s="20" t="s">
        <v>448</v>
      </c>
      <c r="D1443" s="20" t="s">
        <v>1662</v>
      </c>
      <c r="E1443" s="21">
        <v>60</v>
      </c>
      <c r="F1443" s="21">
        <v>30</v>
      </c>
      <c r="G1443" s="21">
        <v>20</v>
      </c>
      <c r="H1443" s="21"/>
      <c r="I1443" s="22">
        <f t="shared" si="22"/>
        <v>110</v>
      </c>
      <c r="J1443" t="e">
        <f>VLOOKUP(B1443,'[1]KT 광점퍼코드(수익률)'!$A$4:$P$243,16,0)</f>
        <v>#N/A</v>
      </c>
    </row>
    <row r="1444" spans="1:10" ht="15.75" hidden="1" customHeight="1">
      <c r="A1444" s="23">
        <v>1441</v>
      </c>
      <c r="B1444" s="24" t="s">
        <v>1663</v>
      </c>
      <c r="C1444" s="24" t="s">
        <v>448</v>
      </c>
      <c r="D1444" s="24" t="s">
        <v>1664</v>
      </c>
      <c r="E1444" s="25">
        <v>100</v>
      </c>
      <c r="F1444" s="25"/>
      <c r="G1444" s="25">
        <v>50</v>
      </c>
      <c r="H1444" s="25"/>
      <c r="I1444" s="22">
        <f t="shared" si="22"/>
        <v>150</v>
      </c>
      <c r="J1444" t="e">
        <f>VLOOKUP(B1444,'[1]KT 광점퍼코드(수익률)'!$A$4:$P$243,16,0)</f>
        <v>#N/A</v>
      </c>
    </row>
    <row r="1445" spans="1:10" ht="15.75" hidden="1" customHeight="1">
      <c r="A1445" s="19">
        <v>1442</v>
      </c>
      <c r="B1445" s="20" t="s">
        <v>2858</v>
      </c>
      <c r="C1445" s="20" t="s">
        <v>448</v>
      </c>
      <c r="D1445" s="20" t="s">
        <v>2859</v>
      </c>
      <c r="E1445" s="21"/>
      <c r="F1445" s="21">
        <v>20</v>
      </c>
      <c r="G1445" s="21"/>
      <c r="H1445" s="21"/>
      <c r="I1445" s="22">
        <f t="shared" si="22"/>
        <v>20</v>
      </c>
      <c r="J1445" t="e">
        <f>VLOOKUP(B1445,'[1]KT 광점퍼코드(수익률)'!$A$4:$P$243,16,0)</f>
        <v>#N/A</v>
      </c>
    </row>
    <row r="1446" spans="1:10" ht="15.75" hidden="1" customHeight="1">
      <c r="A1446" s="23">
        <v>1443</v>
      </c>
      <c r="B1446" s="24" t="s">
        <v>1665</v>
      </c>
      <c r="C1446" s="24" t="s">
        <v>206</v>
      </c>
      <c r="D1446" s="24" t="s">
        <v>1666</v>
      </c>
      <c r="E1446" s="25">
        <v>543</v>
      </c>
      <c r="F1446" s="25">
        <v>560</v>
      </c>
      <c r="G1446" s="25">
        <v>1053</v>
      </c>
      <c r="H1446" s="25">
        <v>325</v>
      </c>
      <c r="I1446" s="22">
        <f t="shared" si="22"/>
        <v>2481</v>
      </c>
      <c r="J1446" t="e">
        <f>VLOOKUP(B1446,'[1]KT 광점퍼코드(수익률)'!$A$4:$P$243,16,0)</f>
        <v>#N/A</v>
      </c>
    </row>
    <row r="1447" spans="1:10" ht="15.75" hidden="1" customHeight="1">
      <c r="A1447" s="19">
        <v>1444</v>
      </c>
      <c r="B1447" s="20" t="s">
        <v>1667</v>
      </c>
      <c r="C1447" s="20" t="s">
        <v>206</v>
      </c>
      <c r="D1447" s="20" t="s">
        <v>1668</v>
      </c>
      <c r="E1447" s="21">
        <v>2</v>
      </c>
      <c r="F1447" s="21">
        <v>3</v>
      </c>
      <c r="G1447" s="21"/>
      <c r="H1447" s="21"/>
      <c r="I1447" s="22">
        <f t="shared" si="22"/>
        <v>5</v>
      </c>
      <c r="J1447" t="e">
        <f>VLOOKUP(B1447,'[1]KT 광점퍼코드(수익률)'!$A$4:$P$243,16,0)</f>
        <v>#N/A</v>
      </c>
    </row>
    <row r="1448" spans="1:10" ht="15.75" hidden="1" customHeight="1">
      <c r="A1448" s="23">
        <v>1445</v>
      </c>
      <c r="B1448" s="24" t="s">
        <v>1669</v>
      </c>
      <c r="C1448" s="24" t="s">
        <v>206</v>
      </c>
      <c r="D1448" s="24" t="s">
        <v>1670</v>
      </c>
      <c r="E1448" s="25">
        <v>1726</v>
      </c>
      <c r="F1448" s="25">
        <v>1492</v>
      </c>
      <c r="G1448" s="25">
        <v>1894</v>
      </c>
      <c r="H1448" s="25">
        <v>516</v>
      </c>
      <c r="I1448" s="22">
        <f t="shared" si="22"/>
        <v>5628</v>
      </c>
      <c r="J1448" t="e">
        <f>VLOOKUP(B1448,'[1]KT 광점퍼코드(수익률)'!$A$4:$P$243,16,0)</f>
        <v>#N/A</v>
      </c>
    </row>
    <row r="1449" spans="1:10" ht="15.75" hidden="1" customHeight="1">
      <c r="A1449" s="19">
        <v>1446</v>
      </c>
      <c r="B1449" s="20" t="s">
        <v>2860</v>
      </c>
      <c r="C1449" s="20" t="s">
        <v>206</v>
      </c>
      <c r="D1449" s="20" t="s">
        <v>1722</v>
      </c>
      <c r="E1449" s="21"/>
      <c r="F1449" s="21">
        <v>12</v>
      </c>
      <c r="G1449" s="21"/>
      <c r="H1449" s="21"/>
      <c r="I1449" s="22">
        <f t="shared" si="22"/>
        <v>12</v>
      </c>
      <c r="J1449" t="e">
        <f>VLOOKUP(B1449,'[1]KT 광점퍼코드(수익률)'!$A$4:$P$243,16,0)</f>
        <v>#N/A</v>
      </c>
    </row>
    <row r="1450" spans="1:10" ht="15.75" hidden="1" customHeight="1">
      <c r="A1450" s="23">
        <v>1447</v>
      </c>
      <c r="B1450" s="24" t="s">
        <v>1671</v>
      </c>
      <c r="C1450" s="24" t="s">
        <v>206</v>
      </c>
      <c r="D1450" s="24" t="s">
        <v>1672</v>
      </c>
      <c r="E1450" s="25">
        <v>832</v>
      </c>
      <c r="F1450" s="25">
        <v>847</v>
      </c>
      <c r="G1450" s="25">
        <v>1023</v>
      </c>
      <c r="H1450" s="25">
        <v>351</v>
      </c>
      <c r="I1450" s="22">
        <f t="shared" si="22"/>
        <v>3053</v>
      </c>
      <c r="J1450" t="e">
        <f>VLOOKUP(B1450,'[1]KT 광점퍼코드(수익률)'!$A$4:$P$243,16,0)</f>
        <v>#N/A</v>
      </c>
    </row>
    <row r="1451" spans="1:10" ht="15.75" hidden="1" customHeight="1">
      <c r="A1451" s="19">
        <v>1448</v>
      </c>
      <c r="B1451" s="20" t="s">
        <v>1673</v>
      </c>
      <c r="C1451" s="20" t="s">
        <v>206</v>
      </c>
      <c r="D1451" s="20" t="s">
        <v>1674</v>
      </c>
      <c r="E1451" s="21">
        <v>539</v>
      </c>
      <c r="F1451" s="21">
        <v>509</v>
      </c>
      <c r="G1451" s="21">
        <v>542</v>
      </c>
      <c r="H1451" s="21">
        <v>143</v>
      </c>
      <c r="I1451" s="22">
        <f t="shared" si="22"/>
        <v>1733</v>
      </c>
      <c r="J1451" t="e">
        <f>VLOOKUP(B1451,'[1]KT 광점퍼코드(수익률)'!$A$4:$P$243,16,0)</f>
        <v>#N/A</v>
      </c>
    </row>
    <row r="1452" spans="1:10" ht="15.75" hidden="1" customHeight="1">
      <c r="A1452" s="23">
        <v>1449</v>
      </c>
      <c r="B1452" s="24" t="s">
        <v>1675</v>
      </c>
      <c r="C1452" s="24" t="s">
        <v>206</v>
      </c>
      <c r="D1452" s="24" t="s">
        <v>1676</v>
      </c>
      <c r="E1452" s="25">
        <v>219</v>
      </c>
      <c r="F1452" s="25">
        <v>316</v>
      </c>
      <c r="G1452" s="25">
        <v>274</v>
      </c>
      <c r="H1452" s="25">
        <v>97</v>
      </c>
      <c r="I1452" s="22">
        <f t="shared" si="22"/>
        <v>906</v>
      </c>
      <c r="J1452" t="e">
        <f>VLOOKUP(B1452,'[1]KT 광점퍼코드(수익률)'!$A$4:$P$243,16,0)</f>
        <v>#N/A</v>
      </c>
    </row>
    <row r="1453" spans="1:10" ht="15.75" hidden="1" customHeight="1">
      <c r="A1453" s="19">
        <v>1450</v>
      </c>
      <c r="B1453" s="20" t="s">
        <v>1677</v>
      </c>
      <c r="C1453" s="20" t="s">
        <v>206</v>
      </c>
      <c r="D1453" s="20" t="s">
        <v>1678</v>
      </c>
      <c r="E1453" s="21">
        <v>60</v>
      </c>
      <c r="F1453" s="21">
        <v>33</v>
      </c>
      <c r="G1453" s="21">
        <v>62</v>
      </c>
      <c r="H1453" s="21">
        <v>27</v>
      </c>
      <c r="I1453" s="22">
        <f t="shared" si="22"/>
        <v>182</v>
      </c>
      <c r="J1453" t="e">
        <f>VLOOKUP(B1453,'[1]KT 광점퍼코드(수익률)'!$A$4:$P$243,16,0)</f>
        <v>#N/A</v>
      </c>
    </row>
    <row r="1454" spans="1:10" ht="15.75" hidden="1" customHeight="1">
      <c r="A1454" s="23">
        <v>1451</v>
      </c>
      <c r="B1454" s="24" t="s">
        <v>1679</v>
      </c>
      <c r="C1454" s="24" t="s">
        <v>206</v>
      </c>
      <c r="D1454" s="24" t="s">
        <v>1680</v>
      </c>
      <c r="E1454" s="25">
        <v>80</v>
      </c>
      <c r="F1454" s="25">
        <v>35</v>
      </c>
      <c r="G1454" s="25">
        <v>40</v>
      </c>
      <c r="H1454" s="25">
        <v>5</v>
      </c>
      <c r="I1454" s="22">
        <f t="shared" si="22"/>
        <v>160</v>
      </c>
      <c r="J1454" t="e">
        <f>VLOOKUP(B1454,'[1]KT 광점퍼코드(수익률)'!$A$4:$P$243,16,0)</f>
        <v>#N/A</v>
      </c>
    </row>
    <row r="1455" spans="1:10" ht="15.75" hidden="1" customHeight="1">
      <c r="A1455" s="19">
        <v>1452</v>
      </c>
      <c r="B1455" s="20" t="s">
        <v>1681</v>
      </c>
      <c r="C1455" s="20" t="s">
        <v>206</v>
      </c>
      <c r="D1455" s="20" t="s">
        <v>1682</v>
      </c>
      <c r="E1455" s="21">
        <v>75</v>
      </c>
      <c r="F1455" s="21">
        <v>85</v>
      </c>
      <c r="G1455" s="21">
        <v>16</v>
      </c>
      <c r="H1455" s="21">
        <v>29</v>
      </c>
      <c r="I1455" s="22">
        <f t="shared" si="22"/>
        <v>205</v>
      </c>
      <c r="J1455" t="e">
        <f>VLOOKUP(B1455,'[1]KT 광점퍼코드(수익률)'!$A$4:$P$243,16,0)</f>
        <v>#N/A</v>
      </c>
    </row>
    <row r="1456" spans="1:10" ht="15.75" hidden="1" customHeight="1">
      <c r="A1456" s="23">
        <v>1453</v>
      </c>
      <c r="B1456" s="24" t="s">
        <v>1683</v>
      </c>
      <c r="C1456" s="24" t="s">
        <v>206</v>
      </c>
      <c r="D1456" s="24" t="s">
        <v>1578</v>
      </c>
      <c r="E1456" s="25">
        <v>24</v>
      </c>
      <c r="F1456" s="25">
        <v>23</v>
      </c>
      <c r="G1456" s="25">
        <v>30</v>
      </c>
      <c r="H1456" s="25"/>
      <c r="I1456" s="22">
        <f t="shared" si="22"/>
        <v>77</v>
      </c>
      <c r="J1456" t="e">
        <f>VLOOKUP(B1456,'[1]KT 광점퍼코드(수익률)'!$A$4:$P$243,16,0)</f>
        <v>#N/A</v>
      </c>
    </row>
    <row r="1457" spans="1:10" ht="15.75" hidden="1" customHeight="1">
      <c r="A1457" s="19">
        <v>1454</v>
      </c>
      <c r="B1457" s="20" t="s">
        <v>1684</v>
      </c>
      <c r="C1457" s="20" t="s">
        <v>206</v>
      </c>
      <c r="D1457" s="20" t="s">
        <v>1685</v>
      </c>
      <c r="E1457" s="21">
        <v>15</v>
      </c>
      <c r="F1457" s="21">
        <v>3</v>
      </c>
      <c r="G1457" s="21">
        <v>12</v>
      </c>
      <c r="H1457" s="21"/>
      <c r="I1457" s="22">
        <f t="shared" si="22"/>
        <v>30</v>
      </c>
      <c r="J1457" t="e">
        <f>VLOOKUP(B1457,'[1]KT 광점퍼코드(수익률)'!$A$4:$P$243,16,0)</f>
        <v>#N/A</v>
      </c>
    </row>
    <row r="1458" spans="1:10" ht="15.75" hidden="1" customHeight="1">
      <c r="A1458" s="23">
        <v>1455</v>
      </c>
      <c r="B1458" s="24" t="s">
        <v>2861</v>
      </c>
      <c r="C1458" s="24" t="s">
        <v>206</v>
      </c>
      <c r="D1458" s="24" t="s">
        <v>1744</v>
      </c>
      <c r="E1458" s="25"/>
      <c r="F1458" s="25">
        <v>2</v>
      </c>
      <c r="G1458" s="25"/>
      <c r="H1458" s="25">
        <v>4</v>
      </c>
      <c r="I1458" s="22">
        <f t="shared" si="22"/>
        <v>6</v>
      </c>
      <c r="J1458" t="e">
        <f>VLOOKUP(B1458,'[1]KT 광점퍼코드(수익률)'!$A$4:$P$243,16,0)</f>
        <v>#N/A</v>
      </c>
    </row>
    <row r="1459" spans="1:10" ht="15.75" hidden="1" customHeight="1">
      <c r="A1459" s="19">
        <v>1456</v>
      </c>
      <c r="B1459" s="20" t="s">
        <v>1686</v>
      </c>
      <c r="C1459" s="20" t="s">
        <v>206</v>
      </c>
      <c r="D1459" s="20" t="s">
        <v>1687</v>
      </c>
      <c r="E1459" s="21">
        <v>10</v>
      </c>
      <c r="F1459" s="21">
        <v>15</v>
      </c>
      <c r="G1459" s="21">
        <v>59</v>
      </c>
      <c r="H1459" s="21">
        <v>25</v>
      </c>
      <c r="I1459" s="22">
        <f t="shared" si="22"/>
        <v>109</v>
      </c>
      <c r="J1459" t="e">
        <f>VLOOKUP(B1459,'[1]KT 광점퍼코드(수익률)'!$A$4:$P$243,16,0)</f>
        <v>#N/A</v>
      </c>
    </row>
    <row r="1460" spans="1:10" ht="15.75" hidden="1" customHeight="1">
      <c r="A1460" s="23">
        <v>1457</v>
      </c>
      <c r="B1460" s="24" t="s">
        <v>1688</v>
      </c>
      <c r="C1460" s="24" t="s">
        <v>206</v>
      </c>
      <c r="D1460" s="24" t="s">
        <v>1689</v>
      </c>
      <c r="E1460" s="25">
        <v>2</v>
      </c>
      <c r="F1460" s="25"/>
      <c r="G1460" s="25"/>
      <c r="H1460" s="25">
        <v>2</v>
      </c>
      <c r="I1460" s="22">
        <f t="shared" si="22"/>
        <v>4</v>
      </c>
      <c r="J1460" t="e">
        <f>VLOOKUP(B1460,'[1]KT 광점퍼코드(수익률)'!$A$4:$P$243,16,0)</f>
        <v>#N/A</v>
      </c>
    </row>
    <row r="1461" spans="1:10" ht="15.75" hidden="1" customHeight="1">
      <c r="A1461" s="19">
        <v>1458</v>
      </c>
      <c r="B1461" s="20" t="s">
        <v>3514</v>
      </c>
      <c r="C1461" s="20" t="s">
        <v>206</v>
      </c>
      <c r="D1461" s="20" t="s">
        <v>3515</v>
      </c>
      <c r="E1461" s="21"/>
      <c r="F1461" s="21"/>
      <c r="G1461" s="21"/>
      <c r="H1461" s="21">
        <v>2</v>
      </c>
      <c r="I1461" s="22">
        <f t="shared" si="22"/>
        <v>2</v>
      </c>
      <c r="J1461" t="e">
        <f>VLOOKUP(B1461,'[1]KT 광점퍼코드(수익률)'!$A$4:$P$243,16,0)</f>
        <v>#N/A</v>
      </c>
    </row>
    <row r="1462" spans="1:10" ht="15.75" hidden="1" customHeight="1">
      <c r="A1462" s="23">
        <v>1459</v>
      </c>
      <c r="B1462" s="24" t="s">
        <v>1690</v>
      </c>
      <c r="C1462" s="24" t="s">
        <v>206</v>
      </c>
      <c r="D1462" s="24" t="s">
        <v>1691</v>
      </c>
      <c r="E1462" s="25">
        <v>5</v>
      </c>
      <c r="F1462" s="25"/>
      <c r="G1462" s="25"/>
      <c r="H1462" s="25"/>
      <c r="I1462" s="22">
        <f t="shared" si="22"/>
        <v>5</v>
      </c>
      <c r="J1462" t="e">
        <f>VLOOKUP(B1462,'[1]KT 광점퍼코드(수익률)'!$A$4:$P$243,16,0)</f>
        <v>#N/A</v>
      </c>
    </row>
    <row r="1463" spans="1:10" ht="15.75" hidden="1" customHeight="1">
      <c r="A1463" s="19">
        <v>1460</v>
      </c>
      <c r="B1463" s="20" t="s">
        <v>1692</v>
      </c>
      <c r="C1463" s="20" t="s">
        <v>206</v>
      </c>
      <c r="D1463" s="20" t="s">
        <v>1693</v>
      </c>
      <c r="E1463" s="21">
        <v>12</v>
      </c>
      <c r="F1463" s="21">
        <v>10</v>
      </c>
      <c r="G1463" s="21">
        <v>31</v>
      </c>
      <c r="H1463" s="21">
        <v>18</v>
      </c>
      <c r="I1463" s="22">
        <f t="shared" si="22"/>
        <v>71</v>
      </c>
      <c r="J1463" t="e">
        <f>VLOOKUP(B1463,'[1]KT 광점퍼코드(수익률)'!$A$4:$P$243,16,0)</f>
        <v>#N/A</v>
      </c>
    </row>
    <row r="1464" spans="1:10" ht="15.75" hidden="1" customHeight="1">
      <c r="A1464" s="23">
        <v>1461</v>
      </c>
      <c r="B1464" s="24" t="s">
        <v>1694</v>
      </c>
      <c r="C1464" s="24" t="s">
        <v>206</v>
      </c>
      <c r="D1464" s="24" t="s">
        <v>1695</v>
      </c>
      <c r="E1464" s="25">
        <v>25</v>
      </c>
      <c r="F1464" s="25"/>
      <c r="G1464" s="25">
        <v>40</v>
      </c>
      <c r="H1464" s="25">
        <v>20</v>
      </c>
      <c r="I1464" s="22">
        <f t="shared" si="22"/>
        <v>85</v>
      </c>
      <c r="J1464" t="e">
        <f>VLOOKUP(B1464,'[1]KT 광점퍼코드(수익률)'!$A$4:$P$243,16,0)</f>
        <v>#N/A</v>
      </c>
    </row>
    <row r="1465" spans="1:10" ht="15.75" hidden="1" customHeight="1">
      <c r="A1465" s="19">
        <v>1462</v>
      </c>
      <c r="B1465" s="20" t="s">
        <v>3372</v>
      </c>
      <c r="C1465" s="20" t="s">
        <v>206</v>
      </c>
      <c r="D1465" s="20" t="s">
        <v>1700</v>
      </c>
      <c r="E1465" s="21"/>
      <c r="F1465" s="21"/>
      <c r="G1465" s="21">
        <v>4</v>
      </c>
      <c r="H1465" s="21">
        <v>4</v>
      </c>
      <c r="I1465" s="22">
        <f t="shared" si="22"/>
        <v>8</v>
      </c>
      <c r="J1465" t="e">
        <f>VLOOKUP(B1465,'[1]KT 광점퍼코드(수익률)'!$A$4:$P$243,16,0)</f>
        <v>#N/A</v>
      </c>
    </row>
    <row r="1466" spans="1:10" ht="15.75" hidden="1" customHeight="1">
      <c r="A1466" s="23">
        <v>1463</v>
      </c>
      <c r="B1466" s="24" t="s">
        <v>1696</v>
      </c>
      <c r="C1466" s="24" t="s">
        <v>211</v>
      </c>
      <c r="D1466" s="24" t="s">
        <v>1697</v>
      </c>
      <c r="E1466" s="25">
        <v>257</v>
      </c>
      <c r="F1466" s="25">
        <v>103</v>
      </c>
      <c r="G1466" s="25">
        <v>444</v>
      </c>
      <c r="H1466" s="25">
        <v>10</v>
      </c>
      <c r="I1466" s="22">
        <f t="shared" si="22"/>
        <v>814</v>
      </c>
      <c r="J1466" t="e">
        <f>VLOOKUP(B1466,'[1]KT 광점퍼코드(수익률)'!$A$4:$P$243,16,0)</f>
        <v>#N/A</v>
      </c>
    </row>
    <row r="1467" spans="1:10" ht="15.75" hidden="1" customHeight="1">
      <c r="A1467" s="19">
        <v>1464</v>
      </c>
      <c r="B1467" s="20" t="s">
        <v>1698</v>
      </c>
      <c r="C1467" s="20" t="s">
        <v>211</v>
      </c>
      <c r="D1467" s="20" t="s">
        <v>1668</v>
      </c>
      <c r="E1467" s="21">
        <v>5</v>
      </c>
      <c r="F1467" s="21"/>
      <c r="G1467" s="21"/>
      <c r="H1467" s="21"/>
      <c r="I1467" s="22">
        <f t="shared" si="22"/>
        <v>5</v>
      </c>
      <c r="J1467" t="e">
        <f>VLOOKUP(B1467,'[1]KT 광점퍼코드(수익률)'!$A$4:$P$243,16,0)</f>
        <v>#N/A</v>
      </c>
    </row>
    <row r="1468" spans="1:10" ht="15.75" hidden="1" customHeight="1">
      <c r="A1468" s="23">
        <v>1465</v>
      </c>
      <c r="B1468" s="24" t="s">
        <v>1699</v>
      </c>
      <c r="C1468" s="24" t="s">
        <v>211</v>
      </c>
      <c r="D1468" s="24" t="s">
        <v>1700</v>
      </c>
      <c r="E1468" s="25">
        <v>20</v>
      </c>
      <c r="F1468" s="25"/>
      <c r="G1468" s="25"/>
      <c r="H1468" s="25"/>
      <c r="I1468" s="22">
        <f t="shared" si="22"/>
        <v>20</v>
      </c>
      <c r="J1468" t="e">
        <f>VLOOKUP(B1468,'[1]KT 광점퍼코드(수익률)'!$A$4:$P$243,16,0)</f>
        <v>#N/A</v>
      </c>
    </row>
    <row r="1469" spans="1:10" ht="15.75" hidden="1" customHeight="1">
      <c r="A1469" s="19">
        <v>1466</v>
      </c>
      <c r="B1469" s="20" t="s">
        <v>1701</v>
      </c>
      <c r="C1469" s="20" t="s">
        <v>211</v>
      </c>
      <c r="D1469" s="20" t="s">
        <v>1702</v>
      </c>
      <c r="E1469" s="21">
        <v>823</v>
      </c>
      <c r="F1469" s="21">
        <v>540</v>
      </c>
      <c r="G1469" s="21">
        <v>887</v>
      </c>
      <c r="H1469" s="21">
        <v>120</v>
      </c>
      <c r="I1469" s="22">
        <f t="shared" si="22"/>
        <v>2370</v>
      </c>
      <c r="J1469" t="e">
        <f>VLOOKUP(B1469,'[1]KT 광점퍼코드(수익률)'!$A$4:$P$243,16,0)</f>
        <v>#N/A</v>
      </c>
    </row>
    <row r="1470" spans="1:10" ht="15.75" hidden="1" customHeight="1">
      <c r="A1470" s="23">
        <v>1467</v>
      </c>
      <c r="B1470" s="24" t="s">
        <v>1703</v>
      </c>
      <c r="C1470" s="24" t="s">
        <v>211</v>
      </c>
      <c r="D1470" s="24" t="s">
        <v>1704</v>
      </c>
      <c r="E1470" s="25">
        <v>430</v>
      </c>
      <c r="F1470" s="25">
        <v>436</v>
      </c>
      <c r="G1470" s="25">
        <v>724</v>
      </c>
      <c r="H1470" s="25">
        <v>130</v>
      </c>
      <c r="I1470" s="22">
        <f t="shared" si="22"/>
        <v>1720</v>
      </c>
      <c r="J1470" t="e">
        <f>VLOOKUP(B1470,'[1]KT 광점퍼코드(수익률)'!$A$4:$P$243,16,0)</f>
        <v>#N/A</v>
      </c>
    </row>
    <row r="1471" spans="1:10" ht="15.75" hidden="1" customHeight="1">
      <c r="A1471" s="19">
        <v>1468</v>
      </c>
      <c r="B1471" s="20" t="s">
        <v>1705</v>
      </c>
      <c r="C1471" s="20" t="s">
        <v>211</v>
      </c>
      <c r="D1471" s="20" t="s">
        <v>1706</v>
      </c>
      <c r="E1471" s="21">
        <v>167</v>
      </c>
      <c r="F1471" s="21">
        <v>193</v>
      </c>
      <c r="G1471" s="21">
        <v>375</v>
      </c>
      <c r="H1471" s="21">
        <v>10</v>
      </c>
      <c r="I1471" s="22">
        <f t="shared" si="22"/>
        <v>745</v>
      </c>
      <c r="J1471" t="e">
        <f>VLOOKUP(B1471,'[1]KT 광점퍼코드(수익률)'!$A$4:$P$243,16,0)</f>
        <v>#N/A</v>
      </c>
    </row>
    <row r="1472" spans="1:10" ht="15.75" hidden="1" customHeight="1">
      <c r="A1472" s="23">
        <v>1469</v>
      </c>
      <c r="B1472" s="24" t="s">
        <v>1707</v>
      </c>
      <c r="C1472" s="24" t="s">
        <v>211</v>
      </c>
      <c r="D1472" s="24" t="s">
        <v>1708</v>
      </c>
      <c r="E1472" s="25">
        <v>81</v>
      </c>
      <c r="F1472" s="25">
        <v>71</v>
      </c>
      <c r="G1472" s="25">
        <v>167</v>
      </c>
      <c r="H1472" s="25">
        <v>30</v>
      </c>
      <c r="I1472" s="22">
        <f t="shared" si="22"/>
        <v>349</v>
      </c>
      <c r="J1472" t="e">
        <f>VLOOKUP(B1472,'[1]KT 광점퍼코드(수익률)'!$A$4:$P$243,16,0)</f>
        <v>#N/A</v>
      </c>
    </row>
    <row r="1473" spans="1:10" ht="15.75" hidden="1" customHeight="1">
      <c r="A1473" s="19">
        <v>1470</v>
      </c>
      <c r="B1473" s="20" t="s">
        <v>1709</v>
      </c>
      <c r="C1473" s="20" t="s">
        <v>211</v>
      </c>
      <c r="D1473" s="20" t="s">
        <v>1678</v>
      </c>
      <c r="E1473" s="21">
        <v>50</v>
      </c>
      <c r="F1473" s="21">
        <v>15</v>
      </c>
      <c r="G1473" s="21">
        <v>55</v>
      </c>
      <c r="H1473" s="21"/>
      <c r="I1473" s="22">
        <f t="shared" si="22"/>
        <v>120</v>
      </c>
      <c r="J1473" t="e">
        <f>VLOOKUP(B1473,'[1]KT 광점퍼코드(수익률)'!$A$4:$P$243,16,0)</f>
        <v>#N/A</v>
      </c>
    </row>
    <row r="1474" spans="1:10" ht="15.75" hidden="1" customHeight="1">
      <c r="A1474" s="23">
        <v>1471</v>
      </c>
      <c r="B1474" s="24" t="s">
        <v>1710</v>
      </c>
      <c r="C1474" s="24" t="s">
        <v>211</v>
      </c>
      <c r="D1474" s="24" t="s">
        <v>1682</v>
      </c>
      <c r="E1474" s="25">
        <v>7</v>
      </c>
      <c r="F1474" s="25">
        <v>27</v>
      </c>
      <c r="G1474" s="25">
        <v>9</v>
      </c>
      <c r="H1474" s="25"/>
      <c r="I1474" s="22">
        <f t="shared" si="22"/>
        <v>43</v>
      </c>
      <c r="J1474" t="e">
        <f>VLOOKUP(B1474,'[1]KT 광점퍼코드(수익률)'!$A$4:$P$243,16,0)</f>
        <v>#N/A</v>
      </c>
    </row>
    <row r="1475" spans="1:10" ht="15.75" hidden="1" customHeight="1">
      <c r="A1475" s="19">
        <v>1472</v>
      </c>
      <c r="B1475" s="20" t="s">
        <v>1711</v>
      </c>
      <c r="C1475" s="20" t="s">
        <v>211</v>
      </c>
      <c r="D1475" s="20" t="s">
        <v>1712</v>
      </c>
      <c r="E1475" s="21">
        <v>19</v>
      </c>
      <c r="F1475" s="21"/>
      <c r="G1475" s="21">
        <v>41</v>
      </c>
      <c r="H1475" s="21">
        <v>20</v>
      </c>
      <c r="I1475" s="22">
        <f t="shared" si="22"/>
        <v>80</v>
      </c>
      <c r="J1475" t="e">
        <f>VLOOKUP(B1475,'[1]KT 광점퍼코드(수익률)'!$A$4:$P$243,16,0)</f>
        <v>#N/A</v>
      </c>
    </row>
    <row r="1476" spans="1:10" ht="15.75" hidden="1" customHeight="1">
      <c r="A1476" s="23">
        <v>1473</v>
      </c>
      <c r="B1476" s="24" t="s">
        <v>3516</v>
      </c>
      <c r="C1476" s="24" t="s">
        <v>211</v>
      </c>
      <c r="D1476" s="24" t="s">
        <v>1689</v>
      </c>
      <c r="E1476" s="25"/>
      <c r="F1476" s="25"/>
      <c r="G1476" s="25"/>
      <c r="H1476" s="25">
        <v>5</v>
      </c>
      <c r="I1476" s="22">
        <f t="shared" ref="I1476:I1539" si="23">SUM(E1476:H1476)</f>
        <v>5</v>
      </c>
      <c r="J1476" t="e">
        <f>VLOOKUP(B1476,'[1]KT 광점퍼코드(수익률)'!$A$4:$P$243,16,0)</f>
        <v>#N/A</v>
      </c>
    </row>
    <row r="1477" spans="1:10" ht="15.75" hidden="1" customHeight="1">
      <c r="A1477" s="19">
        <v>1474</v>
      </c>
      <c r="B1477" s="20" t="s">
        <v>1713</v>
      </c>
      <c r="C1477" s="20" t="s">
        <v>203</v>
      </c>
      <c r="D1477" s="20" t="s">
        <v>1714</v>
      </c>
      <c r="E1477" s="21">
        <v>15342</v>
      </c>
      <c r="F1477" s="21">
        <v>10349</v>
      </c>
      <c r="G1477" s="21">
        <v>11030</v>
      </c>
      <c r="H1477" s="21">
        <v>2824</v>
      </c>
      <c r="I1477" s="22">
        <f t="shared" si="23"/>
        <v>39545</v>
      </c>
      <c r="J1477" t="e">
        <f>VLOOKUP(B1477,'[1]KT 광점퍼코드(수익률)'!$A$4:$P$243,16,0)</f>
        <v>#N/A</v>
      </c>
    </row>
    <row r="1478" spans="1:10" ht="15.75" hidden="1" customHeight="1">
      <c r="A1478" s="23">
        <v>1475</v>
      </c>
      <c r="B1478" s="24" t="s">
        <v>1715</v>
      </c>
      <c r="C1478" s="24" t="s">
        <v>203</v>
      </c>
      <c r="D1478" s="24" t="s">
        <v>1716</v>
      </c>
      <c r="E1478" s="25">
        <v>150</v>
      </c>
      <c r="F1478" s="25">
        <v>638</v>
      </c>
      <c r="G1478" s="25">
        <v>150</v>
      </c>
      <c r="H1478" s="25">
        <v>50</v>
      </c>
      <c r="I1478" s="22">
        <f t="shared" si="23"/>
        <v>988</v>
      </c>
      <c r="J1478" t="e">
        <f>VLOOKUP(B1478,'[1]KT 광점퍼코드(수익률)'!$A$4:$P$243,16,0)</f>
        <v>#N/A</v>
      </c>
    </row>
    <row r="1479" spans="1:10" ht="15.75" hidden="1" customHeight="1">
      <c r="A1479" s="19">
        <v>1476</v>
      </c>
      <c r="B1479" s="20" t="s">
        <v>1717</v>
      </c>
      <c r="C1479" s="20" t="s">
        <v>203</v>
      </c>
      <c r="D1479" s="20" t="s">
        <v>1718</v>
      </c>
      <c r="E1479" s="21">
        <v>50</v>
      </c>
      <c r="F1479" s="21">
        <v>703</v>
      </c>
      <c r="G1479" s="21">
        <v>155</v>
      </c>
      <c r="H1479" s="21">
        <v>35</v>
      </c>
      <c r="I1479" s="22">
        <f t="shared" si="23"/>
        <v>943</v>
      </c>
      <c r="J1479" t="e">
        <f>VLOOKUP(B1479,'[1]KT 광점퍼코드(수익률)'!$A$4:$P$243,16,0)</f>
        <v>#N/A</v>
      </c>
    </row>
    <row r="1480" spans="1:10" ht="15.75" hidden="1" customHeight="1">
      <c r="A1480" s="23">
        <v>1477</v>
      </c>
      <c r="B1480" s="24" t="s">
        <v>1719</v>
      </c>
      <c r="C1480" s="24" t="s">
        <v>203</v>
      </c>
      <c r="D1480" s="24" t="s">
        <v>1720</v>
      </c>
      <c r="E1480" s="25">
        <v>11303</v>
      </c>
      <c r="F1480" s="25">
        <v>10245</v>
      </c>
      <c r="G1480" s="25">
        <v>8968</v>
      </c>
      <c r="H1480" s="25">
        <v>2977</v>
      </c>
      <c r="I1480" s="22">
        <f t="shared" si="23"/>
        <v>33493</v>
      </c>
      <c r="J1480" t="e">
        <f>VLOOKUP(B1480,'[1]KT 광점퍼코드(수익률)'!$A$4:$P$243,16,0)</f>
        <v>#N/A</v>
      </c>
    </row>
    <row r="1481" spans="1:10" ht="15.75" hidden="1" customHeight="1">
      <c r="A1481" s="19">
        <v>1478</v>
      </c>
      <c r="B1481" s="20" t="s">
        <v>1721</v>
      </c>
      <c r="C1481" s="20" t="s">
        <v>203</v>
      </c>
      <c r="D1481" s="20" t="s">
        <v>1722</v>
      </c>
      <c r="E1481" s="21">
        <v>3</v>
      </c>
      <c r="F1481" s="21">
        <v>50</v>
      </c>
      <c r="G1481" s="21"/>
      <c r="H1481" s="21"/>
      <c r="I1481" s="22">
        <f t="shared" si="23"/>
        <v>53</v>
      </c>
      <c r="J1481" t="e">
        <f>VLOOKUP(B1481,'[1]KT 광점퍼코드(수익률)'!$A$4:$P$243,16,0)</f>
        <v>#N/A</v>
      </c>
    </row>
    <row r="1482" spans="1:10" ht="15.75" hidden="1" customHeight="1">
      <c r="A1482" s="23">
        <v>1479</v>
      </c>
      <c r="B1482" s="24" t="s">
        <v>1723</v>
      </c>
      <c r="C1482" s="24" t="s">
        <v>203</v>
      </c>
      <c r="D1482" s="24" t="s">
        <v>1724</v>
      </c>
      <c r="E1482" s="25">
        <v>836</v>
      </c>
      <c r="F1482" s="25">
        <v>148</v>
      </c>
      <c r="G1482" s="25">
        <v>60</v>
      </c>
      <c r="H1482" s="25">
        <v>120</v>
      </c>
      <c r="I1482" s="22">
        <f t="shared" si="23"/>
        <v>1164</v>
      </c>
      <c r="J1482" t="e">
        <f>VLOOKUP(B1482,'[1]KT 광점퍼코드(수익률)'!$A$4:$P$243,16,0)</f>
        <v>#N/A</v>
      </c>
    </row>
    <row r="1483" spans="1:10" ht="15.75" hidden="1" customHeight="1">
      <c r="A1483" s="19">
        <v>1480</v>
      </c>
      <c r="B1483" s="20" t="s">
        <v>1725</v>
      </c>
      <c r="C1483" s="20" t="s">
        <v>203</v>
      </c>
      <c r="D1483" s="20" t="s">
        <v>1726</v>
      </c>
      <c r="E1483" s="21">
        <v>6085</v>
      </c>
      <c r="F1483" s="21">
        <v>5201</v>
      </c>
      <c r="G1483" s="21">
        <v>4156</v>
      </c>
      <c r="H1483" s="21">
        <v>1150</v>
      </c>
      <c r="I1483" s="22">
        <f t="shared" si="23"/>
        <v>16592</v>
      </c>
      <c r="J1483" t="e">
        <f>VLOOKUP(B1483,'[1]KT 광점퍼코드(수익률)'!$A$4:$P$243,16,0)</f>
        <v>#N/A</v>
      </c>
    </row>
    <row r="1484" spans="1:10" ht="15.75" hidden="1" customHeight="1">
      <c r="A1484" s="23">
        <v>1481</v>
      </c>
      <c r="B1484" s="24" t="s">
        <v>1727</v>
      </c>
      <c r="C1484" s="24" t="s">
        <v>203</v>
      </c>
      <c r="D1484" s="24" t="s">
        <v>1728</v>
      </c>
      <c r="E1484" s="25">
        <v>2322</v>
      </c>
      <c r="F1484" s="25">
        <v>2761</v>
      </c>
      <c r="G1484" s="25">
        <v>2524</v>
      </c>
      <c r="H1484" s="25">
        <v>533</v>
      </c>
      <c r="I1484" s="22">
        <f t="shared" si="23"/>
        <v>8140</v>
      </c>
      <c r="J1484" t="e">
        <f>VLOOKUP(B1484,'[1]KT 광점퍼코드(수익률)'!$A$4:$P$243,16,0)</f>
        <v>#N/A</v>
      </c>
    </row>
    <row r="1485" spans="1:10" ht="15.75" hidden="1" customHeight="1">
      <c r="A1485" s="19">
        <v>1482</v>
      </c>
      <c r="B1485" s="20" t="s">
        <v>1729</v>
      </c>
      <c r="C1485" s="20" t="s">
        <v>203</v>
      </c>
      <c r="D1485" s="20" t="s">
        <v>1730</v>
      </c>
      <c r="E1485" s="21">
        <v>596</v>
      </c>
      <c r="F1485" s="21">
        <v>800</v>
      </c>
      <c r="G1485" s="21">
        <v>1170</v>
      </c>
      <c r="H1485" s="21">
        <v>480</v>
      </c>
      <c r="I1485" s="22">
        <f t="shared" si="23"/>
        <v>3046</v>
      </c>
      <c r="J1485" t="e">
        <f>VLOOKUP(B1485,'[1]KT 광점퍼코드(수익률)'!$A$4:$P$243,16,0)</f>
        <v>#N/A</v>
      </c>
    </row>
    <row r="1486" spans="1:10" ht="15.75" hidden="1" customHeight="1">
      <c r="A1486" s="23">
        <v>1483</v>
      </c>
      <c r="B1486" s="24" t="s">
        <v>1731</v>
      </c>
      <c r="C1486" s="24" t="s">
        <v>203</v>
      </c>
      <c r="D1486" s="24" t="s">
        <v>1732</v>
      </c>
      <c r="E1486" s="25">
        <v>958</v>
      </c>
      <c r="F1486" s="25">
        <v>1175</v>
      </c>
      <c r="G1486" s="25">
        <v>1188</v>
      </c>
      <c r="H1486" s="25">
        <v>270</v>
      </c>
      <c r="I1486" s="22">
        <f t="shared" si="23"/>
        <v>3591</v>
      </c>
      <c r="J1486" t="e">
        <f>VLOOKUP(B1486,'[1]KT 광점퍼코드(수익률)'!$A$4:$P$243,16,0)</f>
        <v>#N/A</v>
      </c>
    </row>
    <row r="1487" spans="1:10" ht="15.75" hidden="1" customHeight="1">
      <c r="A1487" s="19">
        <v>1484</v>
      </c>
      <c r="B1487" s="20" t="s">
        <v>1733</v>
      </c>
      <c r="C1487" s="20" t="s">
        <v>203</v>
      </c>
      <c r="D1487" s="20" t="s">
        <v>1734</v>
      </c>
      <c r="E1487" s="21">
        <v>261</v>
      </c>
      <c r="F1487" s="21">
        <v>480</v>
      </c>
      <c r="G1487" s="21">
        <v>483</v>
      </c>
      <c r="H1487" s="21">
        <v>78</v>
      </c>
      <c r="I1487" s="22">
        <f t="shared" si="23"/>
        <v>1302</v>
      </c>
      <c r="J1487" t="e">
        <f>VLOOKUP(B1487,'[1]KT 광점퍼코드(수익률)'!$A$4:$P$243,16,0)</f>
        <v>#N/A</v>
      </c>
    </row>
    <row r="1488" spans="1:10" ht="15.75" hidden="1" customHeight="1">
      <c r="A1488" s="23">
        <v>1485</v>
      </c>
      <c r="B1488" s="24" t="s">
        <v>1735</v>
      </c>
      <c r="C1488" s="24" t="s">
        <v>203</v>
      </c>
      <c r="D1488" s="24" t="s">
        <v>1736</v>
      </c>
      <c r="E1488" s="25">
        <v>4506</v>
      </c>
      <c r="F1488" s="25">
        <v>3620</v>
      </c>
      <c r="G1488" s="25">
        <v>3927</v>
      </c>
      <c r="H1488" s="25">
        <v>1102</v>
      </c>
      <c r="I1488" s="22">
        <f t="shared" si="23"/>
        <v>13155</v>
      </c>
      <c r="J1488" t="e">
        <f>VLOOKUP(B1488,'[1]KT 광점퍼코드(수익률)'!$A$4:$P$243,16,0)</f>
        <v>#N/A</v>
      </c>
    </row>
    <row r="1489" spans="1:10" ht="15.75" hidden="1" customHeight="1">
      <c r="A1489" s="19">
        <v>1486</v>
      </c>
      <c r="B1489" s="20" t="s">
        <v>1737</v>
      </c>
      <c r="C1489" s="20" t="s">
        <v>203</v>
      </c>
      <c r="D1489" s="20" t="s">
        <v>1738</v>
      </c>
      <c r="E1489" s="21">
        <v>214</v>
      </c>
      <c r="F1489" s="21">
        <v>280</v>
      </c>
      <c r="G1489" s="21">
        <v>279</v>
      </c>
      <c r="H1489" s="21">
        <v>126</v>
      </c>
      <c r="I1489" s="22">
        <f t="shared" si="23"/>
        <v>899</v>
      </c>
      <c r="J1489" t="e">
        <f>VLOOKUP(B1489,'[1]KT 광점퍼코드(수익률)'!$A$4:$P$243,16,0)</f>
        <v>#N/A</v>
      </c>
    </row>
    <row r="1490" spans="1:10" ht="15.75" hidden="1" customHeight="1">
      <c r="A1490" s="23">
        <v>1487</v>
      </c>
      <c r="B1490" s="24" t="s">
        <v>1739</v>
      </c>
      <c r="C1490" s="24" t="s">
        <v>203</v>
      </c>
      <c r="D1490" s="24" t="s">
        <v>1578</v>
      </c>
      <c r="E1490" s="25">
        <v>90</v>
      </c>
      <c r="F1490" s="25">
        <v>100</v>
      </c>
      <c r="G1490" s="25">
        <v>84</v>
      </c>
      <c r="H1490" s="25">
        <v>19</v>
      </c>
      <c r="I1490" s="22">
        <f t="shared" si="23"/>
        <v>293</v>
      </c>
      <c r="J1490" t="e">
        <f>VLOOKUP(B1490,'[1]KT 광점퍼코드(수익률)'!$A$4:$P$243,16,0)</f>
        <v>#N/A</v>
      </c>
    </row>
    <row r="1491" spans="1:10" ht="15.75" hidden="1" customHeight="1">
      <c r="A1491" s="19">
        <v>1488</v>
      </c>
      <c r="B1491" s="20" t="s">
        <v>1740</v>
      </c>
      <c r="C1491" s="20" t="s">
        <v>203</v>
      </c>
      <c r="D1491" s="20" t="s">
        <v>1741</v>
      </c>
      <c r="E1491" s="21">
        <v>97</v>
      </c>
      <c r="F1491" s="21">
        <v>100</v>
      </c>
      <c r="G1491" s="21">
        <v>250</v>
      </c>
      <c r="H1491" s="21">
        <v>100</v>
      </c>
      <c r="I1491" s="22">
        <f t="shared" si="23"/>
        <v>547</v>
      </c>
      <c r="J1491" t="e">
        <f>VLOOKUP(B1491,'[1]KT 광점퍼코드(수익률)'!$A$4:$P$243,16,0)</f>
        <v>#N/A</v>
      </c>
    </row>
    <row r="1492" spans="1:10" ht="15.75" hidden="1" customHeight="1">
      <c r="A1492" s="23">
        <v>1489</v>
      </c>
      <c r="B1492" s="24" t="s">
        <v>1742</v>
      </c>
      <c r="C1492" s="24" t="s">
        <v>203</v>
      </c>
      <c r="D1492" s="24" t="s">
        <v>1685</v>
      </c>
      <c r="E1492" s="25">
        <v>81</v>
      </c>
      <c r="F1492" s="25">
        <v>45</v>
      </c>
      <c r="G1492" s="25">
        <v>50</v>
      </c>
      <c r="H1492" s="25">
        <v>7</v>
      </c>
      <c r="I1492" s="22">
        <f t="shared" si="23"/>
        <v>183</v>
      </c>
      <c r="J1492" t="e">
        <f>VLOOKUP(B1492,'[1]KT 광점퍼코드(수익률)'!$A$4:$P$243,16,0)</f>
        <v>#N/A</v>
      </c>
    </row>
    <row r="1493" spans="1:10" ht="15.75" hidden="1" customHeight="1">
      <c r="A1493" s="19">
        <v>1490</v>
      </c>
      <c r="B1493" s="20" t="s">
        <v>1743</v>
      </c>
      <c r="C1493" s="20" t="s">
        <v>203</v>
      </c>
      <c r="D1493" s="20" t="s">
        <v>1744</v>
      </c>
      <c r="E1493" s="21">
        <v>3</v>
      </c>
      <c r="F1493" s="21">
        <v>2</v>
      </c>
      <c r="G1493" s="21">
        <v>10</v>
      </c>
      <c r="H1493" s="21">
        <v>11</v>
      </c>
      <c r="I1493" s="22">
        <f t="shared" si="23"/>
        <v>26</v>
      </c>
      <c r="J1493" t="e">
        <f>VLOOKUP(B1493,'[1]KT 광점퍼코드(수익률)'!$A$4:$P$243,16,0)</f>
        <v>#N/A</v>
      </c>
    </row>
    <row r="1494" spans="1:10" ht="15.75" hidden="1" customHeight="1">
      <c r="A1494" s="23">
        <v>1491</v>
      </c>
      <c r="B1494" s="24" t="s">
        <v>1745</v>
      </c>
      <c r="C1494" s="24" t="s">
        <v>203</v>
      </c>
      <c r="D1494" s="24" t="s">
        <v>1746</v>
      </c>
      <c r="E1494" s="25">
        <v>1354</v>
      </c>
      <c r="F1494" s="25">
        <v>1052</v>
      </c>
      <c r="G1494" s="25">
        <v>1088</v>
      </c>
      <c r="H1494" s="25">
        <v>475</v>
      </c>
      <c r="I1494" s="22">
        <f t="shared" si="23"/>
        <v>3969</v>
      </c>
      <c r="J1494" t="e">
        <f>VLOOKUP(B1494,'[1]KT 광점퍼코드(수익률)'!$A$4:$P$243,16,0)</f>
        <v>#N/A</v>
      </c>
    </row>
    <row r="1495" spans="1:10" ht="15.75" hidden="1" customHeight="1">
      <c r="A1495" s="19">
        <v>1492</v>
      </c>
      <c r="B1495" s="20" t="s">
        <v>1747</v>
      </c>
      <c r="C1495" s="20" t="s">
        <v>203</v>
      </c>
      <c r="D1495" s="20" t="s">
        <v>1689</v>
      </c>
      <c r="E1495" s="21">
        <v>7</v>
      </c>
      <c r="F1495" s="21">
        <v>3</v>
      </c>
      <c r="G1495" s="21">
        <v>12</v>
      </c>
      <c r="H1495" s="21">
        <v>7</v>
      </c>
      <c r="I1495" s="22">
        <f t="shared" si="23"/>
        <v>29</v>
      </c>
      <c r="J1495" t="e">
        <f>VLOOKUP(B1495,'[1]KT 광점퍼코드(수익률)'!$A$4:$P$243,16,0)</f>
        <v>#N/A</v>
      </c>
    </row>
    <row r="1496" spans="1:10" ht="15.75" hidden="1" customHeight="1">
      <c r="A1496" s="23">
        <v>1493</v>
      </c>
      <c r="B1496" s="24" t="s">
        <v>1748</v>
      </c>
      <c r="C1496" s="24" t="s">
        <v>203</v>
      </c>
      <c r="D1496" s="24" t="s">
        <v>1749</v>
      </c>
      <c r="E1496" s="25">
        <v>58</v>
      </c>
      <c r="F1496" s="25">
        <v>56</v>
      </c>
      <c r="G1496" s="25">
        <v>118</v>
      </c>
      <c r="H1496" s="25">
        <v>1560</v>
      </c>
      <c r="I1496" s="22">
        <f t="shared" si="23"/>
        <v>1792</v>
      </c>
      <c r="J1496" t="e">
        <f>VLOOKUP(B1496,'[1]KT 광점퍼코드(수익률)'!$A$4:$P$243,16,0)</f>
        <v>#N/A</v>
      </c>
    </row>
    <row r="1497" spans="1:10" ht="15.75" hidden="1" customHeight="1">
      <c r="A1497" s="19">
        <v>1494</v>
      </c>
      <c r="B1497" s="20" t="s">
        <v>1750</v>
      </c>
      <c r="C1497" s="20" t="s">
        <v>203</v>
      </c>
      <c r="D1497" s="20" t="s">
        <v>1751</v>
      </c>
      <c r="E1497" s="21">
        <v>660</v>
      </c>
      <c r="F1497" s="21">
        <v>809</v>
      </c>
      <c r="G1497" s="21">
        <v>1106</v>
      </c>
      <c r="H1497" s="21">
        <v>176</v>
      </c>
      <c r="I1497" s="22">
        <f t="shared" si="23"/>
        <v>2751</v>
      </c>
      <c r="J1497" t="e">
        <f>VLOOKUP(B1497,'[1]KT 광점퍼코드(수익률)'!$A$4:$P$243,16,0)</f>
        <v>#N/A</v>
      </c>
    </row>
    <row r="1498" spans="1:10" ht="15.75" hidden="1" customHeight="1">
      <c r="A1498" s="23">
        <v>1495</v>
      </c>
      <c r="B1498" s="24" t="s">
        <v>1752</v>
      </c>
      <c r="C1498" s="24" t="s">
        <v>203</v>
      </c>
      <c r="D1498" s="24" t="s">
        <v>1753</v>
      </c>
      <c r="E1498" s="25">
        <v>142</v>
      </c>
      <c r="F1498" s="25">
        <v>171</v>
      </c>
      <c r="G1498" s="25">
        <v>483</v>
      </c>
      <c r="H1498" s="25">
        <v>75</v>
      </c>
      <c r="I1498" s="22">
        <f t="shared" si="23"/>
        <v>871</v>
      </c>
      <c r="J1498" t="e">
        <f>VLOOKUP(B1498,'[1]KT 광점퍼코드(수익률)'!$A$4:$P$243,16,0)</f>
        <v>#N/A</v>
      </c>
    </row>
    <row r="1499" spans="1:10" ht="15.75" hidden="1" customHeight="1">
      <c r="A1499" s="19">
        <v>1496</v>
      </c>
      <c r="B1499" s="20" t="s">
        <v>1754</v>
      </c>
      <c r="C1499" s="20" t="s">
        <v>244</v>
      </c>
      <c r="D1499" s="20" t="s">
        <v>1755</v>
      </c>
      <c r="E1499" s="21">
        <v>401</v>
      </c>
      <c r="F1499" s="21">
        <v>246</v>
      </c>
      <c r="G1499" s="21">
        <v>443</v>
      </c>
      <c r="H1499" s="21">
        <v>68</v>
      </c>
      <c r="I1499" s="22">
        <f t="shared" si="23"/>
        <v>1158</v>
      </c>
      <c r="J1499" t="e">
        <f>VLOOKUP(B1499,'[1]KT 광점퍼코드(수익률)'!$A$4:$P$243,16,0)</f>
        <v>#N/A</v>
      </c>
    </row>
    <row r="1500" spans="1:10" ht="15.75" hidden="1" customHeight="1">
      <c r="A1500" s="23">
        <v>1497</v>
      </c>
      <c r="B1500" s="24" t="s">
        <v>1756</v>
      </c>
      <c r="C1500" s="24" t="s">
        <v>244</v>
      </c>
      <c r="D1500" s="24" t="s">
        <v>1757</v>
      </c>
      <c r="E1500" s="25">
        <v>344</v>
      </c>
      <c r="F1500" s="25">
        <v>377</v>
      </c>
      <c r="G1500" s="25">
        <v>531</v>
      </c>
      <c r="H1500" s="25">
        <v>67</v>
      </c>
      <c r="I1500" s="22">
        <f t="shared" si="23"/>
        <v>1319</v>
      </c>
      <c r="J1500" t="e">
        <f>VLOOKUP(B1500,'[1]KT 광점퍼코드(수익률)'!$A$4:$P$243,16,0)</f>
        <v>#N/A</v>
      </c>
    </row>
    <row r="1501" spans="1:10" ht="15.75" hidden="1" customHeight="1">
      <c r="A1501" s="19">
        <v>1498</v>
      </c>
      <c r="B1501" s="20" t="s">
        <v>1758</v>
      </c>
      <c r="C1501" s="20" t="s">
        <v>244</v>
      </c>
      <c r="D1501" s="20" t="s">
        <v>1759</v>
      </c>
      <c r="E1501" s="21">
        <v>120</v>
      </c>
      <c r="F1501" s="21">
        <v>87</v>
      </c>
      <c r="G1501" s="21">
        <v>280</v>
      </c>
      <c r="H1501" s="21">
        <v>150</v>
      </c>
      <c r="I1501" s="22">
        <f t="shared" si="23"/>
        <v>637</v>
      </c>
      <c r="J1501" t="e">
        <f>VLOOKUP(B1501,'[1]KT 광점퍼코드(수익률)'!$A$4:$P$243,16,0)</f>
        <v>#N/A</v>
      </c>
    </row>
    <row r="1502" spans="1:10" ht="15.75" hidden="1" customHeight="1">
      <c r="A1502" s="23">
        <v>1499</v>
      </c>
      <c r="B1502" s="24" t="s">
        <v>1760</v>
      </c>
      <c r="C1502" s="24" t="s">
        <v>244</v>
      </c>
      <c r="D1502" s="24" t="s">
        <v>1761</v>
      </c>
      <c r="E1502" s="25">
        <v>59</v>
      </c>
      <c r="F1502" s="25">
        <v>129</v>
      </c>
      <c r="G1502" s="25">
        <v>272</v>
      </c>
      <c r="H1502" s="25">
        <v>20</v>
      </c>
      <c r="I1502" s="22">
        <f t="shared" si="23"/>
        <v>480</v>
      </c>
      <c r="J1502" t="e">
        <f>VLOOKUP(B1502,'[1]KT 광점퍼코드(수익률)'!$A$4:$P$243,16,0)</f>
        <v>#N/A</v>
      </c>
    </row>
    <row r="1503" spans="1:10" ht="15.75" hidden="1" customHeight="1">
      <c r="A1503" s="19">
        <v>1500</v>
      </c>
      <c r="B1503" s="20" t="s">
        <v>1762</v>
      </c>
      <c r="C1503" s="20" t="s">
        <v>244</v>
      </c>
      <c r="D1503" s="20" t="s">
        <v>1763</v>
      </c>
      <c r="E1503" s="21">
        <v>34</v>
      </c>
      <c r="F1503" s="21">
        <v>61</v>
      </c>
      <c r="G1503" s="21">
        <v>26</v>
      </c>
      <c r="H1503" s="21"/>
      <c r="I1503" s="22">
        <f t="shared" si="23"/>
        <v>121</v>
      </c>
      <c r="J1503" t="e">
        <f>VLOOKUP(B1503,'[1]KT 광점퍼코드(수익률)'!$A$4:$P$243,16,0)</f>
        <v>#N/A</v>
      </c>
    </row>
    <row r="1504" spans="1:10" ht="15.75" hidden="1" customHeight="1">
      <c r="A1504" s="23">
        <v>1501</v>
      </c>
      <c r="B1504" s="24" t="s">
        <v>1764</v>
      </c>
      <c r="C1504" s="24" t="s">
        <v>244</v>
      </c>
      <c r="D1504" s="24" t="s">
        <v>1765</v>
      </c>
      <c r="E1504" s="25">
        <v>820</v>
      </c>
      <c r="F1504" s="25">
        <v>530</v>
      </c>
      <c r="G1504" s="25">
        <v>714</v>
      </c>
      <c r="H1504" s="25">
        <v>200</v>
      </c>
      <c r="I1504" s="22">
        <f t="shared" si="23"/>
        <v>2264</v>
      </c>
      <c r="J1504" t="e">
        <f>VLOOKUP(B1504,'[1]KT 광점퍼코드(수익률)'!$A$4:$P$243,16,0)</f>
        <v>#N/A</v>
      </c>
    </row>
    <row r="1505" spans="1:10" ht="15.75" hidden="1" customHeight="1">
      <c r="A1505" s="19">
        <v>1502</v>
      </c>
      <c r="B1505" s="20" t="s">
        <v>1766</v>
      </c>
      <c r="C1505" s="20" t="s">
        <v>244</v>
      </c>
      <c r="D1505" s="20" t="s">
        <v>1767</v>
      </c>
      <c r="E1505" s="21">
        <v>63</v>
      </c>
      <c r="F1505" s="21">
        <v>14</v>
      </c>
      <c r="G1505" s="21">
        <v>52</v>
      </c>
      <c r="H1505" s="21">
        <v>1</v>
      </c>
      <c r="I1505" s="22">
        <f t="shared" si="23"/>
        <v>130</v>
      </c>
      <c r="J1505" t="e">
        <f>VLOOKUP(B1505,'[1]KT 광점퍼코드(수익률)'!$A$4:$P$243,16,0)</f>
        <v>#N/A</v>
      </c>
    </row>
    <row r="1506" spans="1:10" ht="15.75" hidden="1" customHeight="1">
      <c r="A1506" s="23">
        <v>1503</v>
      </c>
      <c r="B1506" s="24" t="s">
        <v>1768</v>
      </c>
      <c r="C1506" s="24" t="s">
        <v>244</v>
      </c>
      <c r="D1506" s="24" t="s">
        <v>1678</v>
      </c>
      <c r="E1506" s="25">
        <v>10</v>
      </c>
      <c r="F1506" s="25">
        <v>20</v>
      </c>
      <c r="G1506" s="25">
        <v>2</v>
      </c>
      <c r="H1506" s="25"/>
      <c r="I1506" s="22">
        <f t="shared" si="23"/>
        <v>32</v>
      </c>
      <c r="J1506" t="e">
        <f>VLOOKUP(B1506,'[1]KT 광점퍼코드(수익률)'!$A$4:$P$243,16,0)</f>
        <v>#N/A</v>
      </c>
    </row>
    <row r="1507" spans="1:10" ht="15.75" hidden="1" customHeight="1">
      <c r="A1507" s="19">
        <v>1504</v>
      </c>
      <c r="B1507" s="20" t="s">
        <v>1769</v>
      </c>
      <c r="C1507" s="20" t="s">
        <v>244</v>
      </c>
      <c r="D1507" s="20" t="s">
        <v>1770</v>
      </c>
      <c r="E1507" s="21">
        <v>3292</v>
      </c>
      <c r="F1507" s="21">
        <v>2616</v>
      </c>
      <c r="G1507" s="21">
        <v>3127</v>
      </c>
      <c r="H1507" s="21">
        <v>835</v>
      </c>
      <c r="I1507" s="22">
        <f t="shared" si="23"/>
        <v>9870</v>
      </c>
      <c r="J1507" t="e">
        <f>VLOOKUP(B1507,'[1]KT 광점퍼코드(수익률)'!$A$4:$P$243,16,0)</f>
        <v>#N/A</v>
      </c>
    </row>
    <row r="1508" spans="1:10" ht="15.75" hidden="1" customHeight="1">
      <c r="A1508" s="23">
        <v>1505</v>
      </c>
      <c r="B1508" s="24" t="s">
        <v>1771</v>
      </c>
      <c r="C1508" s="24" t="s">
        <v>244</v>
      </c>
      <c r="D1508" s="24" t="s">
        <v>1772</v>
      </c>
      <c r="E1508" s="25">
        <v>180</v>
      </c>
      <c r="F1508" s="25">
        <v>125</v>
      </c>
      <c r="G1508" s="25">
        <v>200</v>
      </c>
      <c r="H1508" s="25">
        <v>28</v>
      </c>
      <c r="I1508" s="22">
        <f t="shared" si="23"/>
        <v>533</v>
      </c>
      <c r="J1508" t="e">
        <f>VLOOKUP(B1508,'[1]KT 광점퍼코드(수익률)'!$A$4:$P$243,16,0)</f>
        <v>#N/A</v>
      </c>
    </row>
    <row r="1509" spans="1:10" ht="15.75" hidden="1" customHeight="1">
      <c r="A1509" s="19">
        <v>1506</v>
      </c>
      <c r="B1509" s="20" t="s">
        <v>1773</v>
      </c>
      <c r="C1509" s="20" t="s">
        <v>244</v>
      </c>
      <c r="D1509" s="20" t="s">
        <v>1774</v>
      </c>
      <c r="E1509" s="21">
        <v>30</v>
      </c>
      <c r="F1509" s="21">
        <v>80</v>
      </c>
      <c r="G1509" s="21">
        <v>110</v>
      </c>
      <c r="H1509" s="21"/>
      <c r="I1509" s="22">
        <f t="shared" si="23"/>
        <v>220</v>
      </c>
      <c r="J1509" t="e">
        <f>VLOOKUP(B1509,'[1]KT 광점퍼코드(수익률)'!$A$4:$P$243,16,0)</f>
        <v>#N/A</v>
      </c>
    </row>
    <row r="1510" spans="1:10" ht="15.75" hidden="1" customHeight="1">
      <c r="A1510" s="23">
        <v>1507</v>
      </c>
      <c r="B1510" s="24" t="s">
        <v>1775</v>
      </c>
      <c r="C1510" s="24" t="s">
        <v>253</v>
      </c>
      <c r="D1510" s="24" t="s">
        <v>1776</v>
      </c>
      <c r="E1510" s="25">
        <v>2433</v>
      </c>
      <c r="F1510" s="25">
        <v>2034</v>
      </c>
      <c r="G1510" s="25">
        <v>2245</v>
      </c>
      <c r="H1510" s="25">
        <v>575</v>
      </c>
      <c r="I1510" s="22">
        <f t="shared" si="23"/>
        <v>7287</v>
      </c>
      <c r="J1510" t="e">
        <f>VLOOKUP(B1510,'[1]KT 광점퍼코드(수익률)'!$A$4:$P$243,16,0)</f>
        <v>#N/A</v>
      </c>
    </row>
    <row r="1511" spans="1:10" ht="15.75" hidden="1" customHeight="1">
      <c r="A1511" s="19">
        <v>1508</v>
      </c>
      <c r="B1511" s="20" t="s">
        <v>1777</v>
      </c>
      <c r="C1511" s="20" t="s">
        <v>253</v>
      </c>
      <c r="D1511" s="20" t="s">
        <v>1778</v>
      </c>
      <c r="E1511" s="21">
        <v>85</v>
      </c>
      <c r="F1511" s="21">
        <v>210</v>
      </c>
      <c r="G1511" s="21">
        <v>140</v>
      </c>
      <c r="H1511" s="21">
        <v>10</v>
      </c>
      <c r="I1511" s="22">
        <f t="shared" si="23"/>
        <v>445</v>
      </c>
      <c r="J1511" t="e">
        <f>VLOOKUP(B1511,'[1]KT 광점퍼코드(수익률)'!$A$4:$P$243,16,0)</f>
        <v>#N/A</v>
      </c>
    </row>
    <row r="1512" spans="1:10" ht="15.75" hidden="1" customHeight="1">
      <c r="A1512" s="23">
        <v>1509</v>
      </c>
      <c r="B1512" s="24" t="s">
        <v>1779</v>
      </c>
      <c r="C1512" s="24" t="s">
        <v>253</v>
      </c>
      <c r="D1512" s="24" t="s">
        <v>1700</v>
      </c>
      <c r="E1512" s="25">
        <v>10</v>
      </c>
      <c r="F1512" s="25"/>
      <c r="G1512" s="25"/>
      <c r="H1512" s="25"/>
      <c r="I1512" s="22">
        <f t="shared" si="23"/>
        <v>10</v>
      </c>
      <c r="J1512" t="e">
        <f>VLOOKUP(B1512,'[1]KT 광점퍼코드(수익률)'!$A$4:$P$243,16,0)</f>
        <v>#N/A</v>
      </c>
    </row>
    <row r="1513" spans="1:10" ht="15.75" hidden="1" customHeight="1">
      <c r="A1513" s="19">
        <v>1510</v>
      </c>
      <c r="B1513" s="20" t="s">
        <v>1780</v>
      </c>
      <c r="C1513" s="20" t="s">
        <v>253</v>
      </c>
      <c r="D1513" s="20" t="s">
        <v>1781</v>
      </c>
      <c r="E1513" s="21">
        <v>3318</v>
      </c>
      <c r="F1513" s="21">
        <v>2131</v>
      </c>
      <c r="G1513" s="21">
        <v>3026</v>
      </c>
      <c r="H1513" s="21">
        <v>730</v>
      </c>
      <c r="I1513" s="22">
        <f t="shared" si="23"/>
        <v>9205</v>
      </c>
      <c r="J1513" t="e">
        <f>VLOOKUP(B1513,'[1]KT 광점퍼코드(수익률)'!$A$4:$P$243,16,0)</f>
        <v>#N/A</v>
      </c>
    </row>
    <row r="1514" spans="1:10" ht="15.75" hidden="1" customHeight="1">
      <c r="A1514" s="23">
        <v>1511</v>
      </c>
      <c r="B1514" s="24" t="s">
        <v>1782</v>
      </c>
      <c r="C1514" s="24" t="s">
        <v>253</v>
      </c>
      <c r="D1514" s="24" t="s">
        <v>1783</v>
      </c>
      <c r="E1514" s="25">
        <v>8</v>
      </c>
      <c r="F1514" s="25">
        <v>7</v>
      </c>
      <c r="G1514" s="25"/>
      <c r="H1514" s="25"/>
      <c r="I1514" s="22">
        <f t="shared" si="23"/>
        <v>15</v>
      </c>
      <c r="J1514" t="e">
        <f>VLOOKUP(B1514,'[1]KT 광점퍼코드(수익률)'!$A$4:$P$243,16,0)</f>
        <v>#N/A</v>
      </c>
    </row>
    <row r="1515" spans="1:10" ht="15.75" hidden="1" customHeight="1">
      <c r="A1515" s="19">
        <v>1512</v>
      </c>
      <c r="B1515" s="20" t="s">
        <v>1784</v>
      </c>
      <c r="C1515" s="20" t="s">
        <v>253</v>
      </c>
      <c r="D1515" s="20" t="s">
        <v>1722</v>
      </c>
      <c r="E1515" s="21">
        <v>39</v>
      </c>
      <c r="F1515" s="21"/>
      <c r="G1515" s="21">
        <v>20</v>
      </c>
      <c r="H1515" s="21"/>
      <c r="I1515" s="22">
        <f t="shared" si="23"/>
        <v>59</v>
      </c>
      <c r="J1515" t="e">
        <f>VLOOKUP(B1515,'[1]KT 광점퍼코드(수익률)'!$A$4:$P$243,16,0)</f>
        <v>#N/A</v>
      </c>
    </row>
    <row r="1516" spans="1:10" ht="15.75" hidden="1" customHeight="1">
      <c r="A1516" s="23">
        <v>1513</v>
      </c>
      <c r="B1516" s="24" t="s">
        <v>1785</v>
      </c>
      <c r="C1516" s="24" t="s">
        <v>253</v>
      </c>
      <c r="D1516" s="24" t="s">
        <v>1786</v>
      </c>
      <c r="E1516" s="25">
        <v>2203</v>
      </c>
      <c r="F1516" s="25">
        <v>1398</v>
      </c>
      <c r="G1516" s="25">
        <v>1487</v>
      </c>
      <c r="H1516" s="25">
        <v>670</v>
      </c>
      <c r="I1516" s="22">
        <f t="shared" si="23"/>
        <v>5758</v>
      </c>
      <c r="J1516" t="e">
        <f>VLOOKUP(B1516,'[1]KT 광점퍼코드(수익률)'!$A$4:$P$243,16,0)</f>
        <v>#N/A</v>
      </c>
    </row>
    <row r="1517" spans="1:10" ht="15.75" hidden="1" customHeight="1">
      <c r="A1517" s="19">
        <v>1514</v>
      </c>
      <c r="B1517" s="20" t="s">
        <v>1787</v>
      </c>
      <c r="C1517" s="20" t="s">
        <v>253</v>
      </c>
      <c r="D1517" s="20" t="s">
        <v>1788</v>
      </c>
      <c r="E1517" s="21">
        <v>789</v>
      </c>
      <c r="F1517" s="21">
        <v>573</v>
      </c>
      <c r="G1517" s="21">
        <v>667</v>
      </c>
      <c r="H1517" s="21">
        <v>145</v>
      </c>
      <c r="I1517" s="22">
        <f t="shared" si="23"/>
        <v>2174</v>
      </c>
      <c r="J1517" t="e">
        <f>VLOOKUP(B1517,'[1]KT 광점퍼코드(수익률)'!$A$4:$P$243,16,0)</f>
        <v>#N/A</v>
      </c>
    </row>
    <row r="1518" spans="1:10" ht="15.75" hidden="1" customHeight="1">
      <c r="A1518" s="23">
        <v>1515</v>
      </c>
      <c r="B1518" s="24" t="s">
        <v>1789</v>
      </c>
      <c r="C1518" s="24" t="s">
        <v>253</v>
      </c>
      <c r="D1518" s="24" t="s">
        <v>1790</v>
      </c>
      <c r="E1518" s="25">
        <v>480</v>
      </c>
      <c r="F1518" s="25">
        <v>320</v>
      </c>
      <c r="G1518" s="25">
        <v>331</v>
      </c>
      <c r="H1518" s="25">
        <v>80</v>
      </c>
      <c r="I1518" s="22">
        <f t="shared" si="23"/>
        <v>1211</v>
      </c>
      <c r="J1518" t="e">
        <f>VLOOKUP(B1518,'[1]KT 광점퍼코드(수익률)'!$A$4:$P$243,16,0)</f>
        <v>#N/A</v>
      </c>
    </row>
    <row r="1519" spans="1:10" ht="15.75" hidden="1" customHeight="1">
      <c r="A1519" s="19">
        <v>1516</v>
      </c>
      <c r="B1519" s="20" t="s">
        <v>1791</v>
      </c>
      <c r="C1519" s="20" t="s">
        <v>253</v>
      </c>
      <c r="D1519" s="20" t="s">
        <v>1792</v>
      </c>
      <c r="E1519" s="21">
        <v>274</v>
      </c>
      <c r="F1519" s="21">
        <v>189</v>
      </c>
      <c r="G1519" s="21">
        <v>267</v>
      </c>
      <c r="H1519" s="21">
        <v>125</v>
      </c>
      <c r="I1519" s="22">
        <f t="shared" si="23"/>
        <v>855</v>
      </c>
      <c r="J1519" t="e">
        <f>VLOOKUP(B1519,'[1]KT 광점퍼코드(수익률)'!$A$4:$P$243,16,0)</f>
        <v>#N/A</v>
      </c>
    </row>
    <row r="1520" spans="1:10" ht="15.75" hidden="1" customHeight="1">
      <c r="A1520" s="23">
        <v>1517</v>
      </c>
      <c r="B1520" s="24" t="s">
        <v>1793</v>
      </c>
      <c r="C1520" s="24" t="s">
        <v>253</v>
      </c>
      <c r="D1520" s="24" t="s">
        <v>1794</v>
      </c>
      <c r="E1520" s="25">
        <v>1890</v>
      </c>
      <c r="F1520" s="25">
        <v>1280</v>
      </c>
      <c r="G1520" s="25">
        <v>1449</v>
      </c>
      <c r="H1520" s="25">
        <v>295</v>
      </c>
      <c r="I1520" s="22">
        <f t="shared" si="23"/>
        <v>4914</v>
      </c>
      <c r="J1520" t="e">
        <f>VLOOKUP(B1520,'[1]KT 광점퍼코드(수익률)'!$A$4:$P$243,16,0)</f>
        <v>#N/A</v>
      </c>
    </row>
    <row r="1521" spans="1:10" ht="15.75" hidden="1" customHeight="1">
      <c r="A1521" s="19">
        <v>1518</v>
      </c>
      <c r="B1521" s="20" t="s">
        <v>1795</v>
      </c>
      <c r="C1521" s="20" t="s">
        <v>253</v>
      </c>
      <c r="D1521" s="20" t="s">
        <v>1796</v>
      </c>
      <c r="E1521" s="21">
        <v>43</v>
      </c>
      <c r="F1521" s="21">
        <v>24</v>
      </c>
      <c r="G1521" s="21">
        <v>61</v>
      </c>
      <c r="H1521" s="21">
        <v>2</v>
      </c>
      <c r="I1521" s="22">
        <f t="shared" si="23"/>
        <v>130</v>
      </c>
      <c r="J1521" t="e">
        <f>VLOOKUP(B1521,'[1]KT 광점퍼코드(수익률)'!$A$4:$P$243,16,0)</f>
        <v>#N/A</v>
      </c>
    </row>
    <row r="1522" spans="1:10" ht="15.75" hidden="1" customHeight="1">
      <c r="A1522" s="23">
        <v>1519</v>
      </c>
      <c r="B1522" s="24" t="s">
        <v>1797</v>
      </c>
      <c r="C1522" s="24" t="s">
        <v>253</v>
      </c>
      <c r="D1522" s="24" t="s">
        <v>1798</v>
      </c>
      <c r="E1522" s="25">
        <v>160</v>
      </c>
      <c r="F1522" s="25">
        <v>55</v>
      </c>
      <c r="G1522" s="25">
        <v>180</v>
      </c>
      <c r="H1522" s="25">
        <v>50</v>
      </c>
      <c r="I1522" s="22">
        <f t="shared" si="23"/>
        <v>445</v>
      </c>
      <c r="J1522" t="e">
        <f>VLOOKUP(B1522,'[1]KT 광점퍼코드(수익률)'!$A$4:$P$243,16,0)</f>
        <v>#N/A</v>
      </c>
    </row>
    <row r="1523" spans="1:10" ht="15.75" hidden="1" customHeight="1">
      <c r="A1523" s="19">
        <v>1520</v>
      </c>
      <c r="B1523" s="20" t="s">
        <v>3517</v>
      </c>
      <c r="C1523" s="20" t="s">
        <v>253</v>
      </c>
      <c r="D1523" s="20" t="s">
        <v>1685</v>
      </c>
      <c r="E1523" s="21"/>
      <c r="F1523" s="21"/>
      <c r="G1523" s="21"/>
      <c r="H1523" s="21">
        <v>3</v>
      </c>
      <c r="I1523" s="22">
        <f t="shared" si="23"/>
        <v>3</v>
      </c>
      <c r="J1523" t="e">
        <f>VLOOKUP(B1523,'[1]KT 광점퍼코드(수익률)'!$A$4:$P$243,16,0)</f>
        <v>#N/A</v>
      </c>
    </row>
    <row r="1524" spans="1:10" ht="15.75" hidden="1" customHeight="1">
      <c r="A1524" s="23">
        <v>1521</v>
      </c>
      <c r="B1524" s="24" t="s">
        <v>3518</v>
      </c>
      <c r="C1524" s="24" t="s">
        <v>253</v>
      </c>
      <c r="D1524" s="24" t="s">
        <v>1744</v>
      </c>
      <c r="E1524" s="25"/>
      <c r="F1524" s="25"/>
      <c r="G1524" s="25"/>
      <c r="H1524" s="25">
        <v>2</v>
      </c>
      <c r="I1524" s="22">
        <f t="shared" si="23"/>
        <v>2</v>
      </c>
      <c r="J1524" t="e">
        <f>VLOOKUP(B1524,'[1]KT 광점퍼코드(수익률)'!$A$4:$P$243,16,0)</f>
        <v>#N/A</v>
      </c>
    </row>
    <row r="1525" spans="1:10" ht="15.75" hidden="1" customHeight="1">
      <c r="A1525" s="19">
        <v>1522</v>
      </c>
      <c r="B1525" s="20" t="s">
        <v>1799</v>
      </c>
      <c r="C1525" s="20" t="s">
        <v>253</v>
      </c>
      <c r="D1525" s="20" t="s">
        <v>1800</v>
      </c>
      <c r="E1525" s="21">
        <v>425</v>
      </c>
      <c r="F1525" s="21">
        <v>385</v>
      </c>
      <c r="G1525" s="21">
        <v>236</v>
      </c>
      <c r="H1525" s="21">
        <v>95</v>
      </c>
      <c r="I1525" s="22">
        <f t="shared" si="23"/>
        <v>1141</v>
      </c>
      <c r="J1525" t="e">
        <f>VLOOKUP(B1525,'[1]KT 광점퍼코드(수익률)'!$A$4:$P$243,16,0)</f>
        <v>#N/A</v>
      </c>
    </row>
    <row r="1526" spans="1:10" ht="15.75" hidden="1" customHeight="1">
      <c r="A1526" s="23">
        <v>1523</v>
      </c>
      <c r="B1526" s="24" t="s">
        <v>1801</v>
      </c>
      <c r="C1526" s="24" t="s">
        <v>253</v>
      </c>
      <c r="D1526" s="24" t="s">
        <v>1689</v>
      </c>
      <c r="E1526" s="25">
        <v>4</v>
      </c>
      <c r="F1526" s="25"/>
      <c r="G1526" s="25"/>
      <c r="H1526" s="25"/>
      <c r="I1526" s="22">
        <f t="shared" si="23"/>
        <v>4</v>
      </c>
      <c r="J1526" t="e">
        <f>VLOOKUP(B1526,'[1]KT 광점퍼코드(수익률)'!$A$4:$P$243,16,0)</f>
        <v>#N/A</v>
      </c>
    </row>
    <row r="1527" spans="1:10" ht="15.75" hidden="1" customHeight="1">
      <c r="A1527" s="19">
        <v>1524</v>
      </c>
      <c r="B1527" s="20" t="s">
        <v>2862</v>
      </c>
      <c r="C1527" s="20" t="s">
        <v>1649</v>
      </c>
      <c r="D1527" s="20" t="s">
        <v>2863</v>
      </c>
      <c r="E1527" s="21"/>
      <c r="F1527" s="21">
        <v>10</v>
      </c>
      <c r="G1527" s="21"/>
      <c r="H1527" s="21"/>
      <c r="I1527" s="22">
        <f t="shared" si="23"/>
        <v>10</v>
      </c>
      <c r="J1527" t="e">
        <f>VLOOKUP(B1527,'[1]KT 광점퍼코드(수익률)'!$A$4:$P$243,16,0)</f>
        <v>#N/A</v>
      </c>
    </row>
    <row r="1528" spans="1:10" ht="15.75" hidden="1" customHeight="1">
      <c r="A1528" s="23">
        <v>1525</v>
      </c>
      <c r="B1528" s="24" t="s">
        <v>1802</v>
      </c>
      <c r="C1528" s="24" t="s">
        <v>253</v>
      </c>
      <c r="D1528" s="24" t="s">
        <v>1803</v>
      </c>
      <c r="E1528" s="25">
        <v>26</v>
      </c>
      <c r="F1528" s="25">
        <v>60</v>
      </c>
      <c r="G1528" s="25">
        <v>50</v>
      </c>
      <c r="H1528" s="25"/>
      <c r="I1528" s="22">
        <f t="shared" si="23"/>
        <v>136</v>
      </c>
      <c r="J1528" t="e">
        <f>VLOOKUP(B1528,'[1]KT 광점퍼코드(수익률)'!$A$4:$P$243,16,0)</f>
        <v>#N/A</v>
      </c>
    </row>
    <row r="1529" spans="1:10" ht="15.75" hidden="1" customHeight="1">
      <c r="A1529" s="19">
        <v>1526</v>
      </c>
      <c r="B1529" s="20" t="s">
        <v>1804</v>
      </c>
      <c r="C1529" s="20" t="s">
        <v>253</v>
      </c>
      <c r="D1529" s="20" t="s">
        <v>1805</v>
      </c>
      <c r="E1529" s="21">
        <v>175</v>
      </c>
      <c r="F1529" s="21">
        <v>370</v>
      </c>
      <c r="G1529" s="21">
        <v>350</v>
      </c>
      <c r="H1529" s="21">
        <v>100</v>
      </c>
      <c r="I1529" s="22">
        <f t="shared" si="23"/>
        <v>995</v>
      </c>
      <c r="J1529" t="e">
        <f>VLOOKUP(B1529,'[1]KT 광점퍼코드(수익률)'!$A$4:$P$243,16,0)</f>
        <v>#N/A</v>
      </c>
    </row>
    <row r="1530" spans="1:10" ht="15.75" hidden="1" customHeight="1">
      <c r="A1530" s="23">
        <v>1527</v>
      </c>
      <c r="B1530" s="24" t="s">
        <v>1806</v>
      </c>
      <c r="C1530" s="24" t="s">
        <v>253</v>
      </c>
      <c r="D1530" s="24" t="s">
        <v>1807</v>
      </c>
      <c r="E1530" s="25">
        <v>95</v>
      </c>
      <c r="F1530" s="25">
        <v>51</v>
      </c>
      <c r="G1530" s="25">
        <v>394</v>
      </c>
      <c r="H1530" s="25">
        <v>10</v>
      </c>
      <c r="I1530" s="22">
        <f t="shared" si="23"/>
        <v>550</v>
      </c>
      <c r="J1530" t="e">
        <f>VLOOKUP(B1530,'[1]KT 광점퍼코드(수익률)'!$A$4:$P$243,16,0)</f>
        <v>#N/A</v>
      </c>
    </row>
    <row r="1531" spans="1:10" ht="15.75" hidden="1" customHeight="1">
      <c r="A1531" s="19">
        <v>1528</v>
      </c>
      <c r="B1531" s="20" t="s">
        <v>3519</v>
      </c>
      <c r="C1531" s="20" t="s">
        <v>253</v>
      </c>
      <c r="D1531" s="20" t="s">
        <v>1578</v>
      </c>
      <c r="E1531" s="21"/>
      <c r="F1531" s="21"/>
      <c r="G1531" s="21"/>
      <c r="H1531" s="21">
        <v>5</v>
      </c>
      <c r="I1531" s="22">
        <f t="shared" si="23"/>
        <v>5</v>
      </c>
      <c r="J1531" t="e">
        <f>VLOOKUP(B1531,'[1]KT 광점퍼코드(수익률)'!$A$4:$P$243,16,0)</f>
        <v>#N/A</v>
      </c>
    </row>
    <row r="1532" spans="1:10" ht="15.75" hidden="1" customHeight="1">
      <c r="A1532" s="23">
        <v>1529</v>
      </c>
      <c r="B1532" s="24" t="s">
        <v>1808</v>
      </c>
      <c r="C1532" s="24" t="s">
        <v>263</v>
      </c>
      <c r="D1532" s="24" t="s">
        <v>1809</v>
      </c>
      <c r="E1532" s="25">
        <v>135</v>
      </c>
      <c r="F1532" s="25">
        <v>35</v>
      </c>
      <c r="G1532" s="25">
        <v>70</v>
      </c>
      <c r="H1532" s="25"/>
      <c r="I1532" s="22">
        <f t="shared" si="23"/>
        <v>240</v>
      </c>
      <c r="J1532" t="e">
        <f>VLOOKUP(B1532,'[1]KT 광점퍼코드(수익률)'!$A$4:$P$243,16,0)</f>
        <v>#N/A</v>
      </c>
    </row>
    <row r="1533" spans="1:10" ht="15.75" hidden="1" customHeight="1">
      <c r="A1533" s="19">
        <v>1530</v>
      </c>
      <c r="B1533" s="20" t="s">
        <v>1810</v>
      </c>
      <c r="C1533" s="20" t="s">
        <v>263</v>
      </c>
      <c r="D1533" s="20" t="s">
        <v>1668</v>
      </c>
      <c r="E1533" s="21">
        <v>21</v>
      </c>
      <c r="F1533" s="21"/>
      <c r="G1533" s="21"/>
      <c r="H1533" s="21"/>
      <c r="I1533" s="22">
        <f t="shared" si="23"/>
        <v>21</v>
      </c>
      <c r="J1533" t="e">
        <f>VLOOKUP(B1533,'[1]KT 광점퍼코드(수익률)'!$A$4:$P$243,16,0)</f>
        <v>#N/A</v>
      </c>
    </row>
    <row r="1534" spans="1:10" ht="15.75" hidden="1" customHeight="1">
      <c r="A1534" s="23">
        <v>1531</v>
      </c>
      <c r="B1534" s="24" t="s">
        <v>1811</v>
      </c>
      <c r="C1534" s="24" t="s">
        <v>263</v>
      </c>
      <c r="D1534" s="24" t="s">
        <v>1812</v>
      </c>
      <c r="E1534" s="25">
        <v>62</v>
      </c>
      <c r="F1534" s="25">
        <v>70</v>
      </c>
      <c r="G1534" s="25">
        <v>60</v>
      </c>
      <c r="H1534" s="25">
        <v>30</v>
      </c>
      <c r="I1534" s="22">
        <f t="shared" si="23"/>
        <v>222</v>
      </c>
      <c r="J1534" t="e">
        <f>VLOOKUP(B1534,'[1]KT 광점퍼코드(수익률)'!$A$4:$P$243,16,0)</f>
        <v>#N/A</v>
      </c>
    </row>
    <row r="1535" spans="1:10" ht="15.75" hidden="1" customHeight="1">
      <c r="A1535" s="19">
        <v>1532</v>
      </c>
      <c r="B1535" s="20" t="s">
        <v>1813</v>
      </c>
      <c r="C1535" s="20" t="s">
        <v>263</v>
      </c>
      <c r="D1535" s="20" t="s">
        <v>1814</v>
      </c>
      <c r="E1535" s="21">
        <v>20</v>
      </c>
      <c r="F1535" s="21">
        <v>14</v>
      </c>
      <c r="G1535" s="21">
        <v>30</v>
      </c>
      <c r="H1535" s="21"/>
      <c r="I1535" s="22">
        <f t="shared" si="23"/>
        <v>64</v>
      </c>
      <c r="J1535" t="e">
        <f>VLOOKUP(B1535,'[1]KT 광점퍼코드(수익률)'!$A$4:$P$243,16,0)</f>
        <v>#N/A</v>
      </c>
    </row>
    <row r="1536" spans="1:10" ht="15.75" hidden="1" customHeight="1">
      <c r="A1536" s="23">
        <v>1533</v>
      </c>
      <c r="B1536" s="24" t="s">
        <v>1815</v>
      </c>
      <c r="C1536" s="24" t="s">
        <v>263</v>
      </c>
      <c r="D1536" s="24" t="s">
        <v>1816</v>
      </c>
      <c r="E1536" s="25">
        <v>20</v>
      </c>
      <c r="F1536" s="25"/>
      <c r="G1536" s="25"/>
      <c r="H1536" s="25"/>
      <c r="I1536" s="22">
        <f t="shared" si="23"/>
        <v>20</v>
      </c>
      <c r="J1536" t="e">
        <f>VLOOKUP(B1536,'[1]KT 광점퍼코드(수익률)'!$A$4:$P$243,16,0)</f>
        <v>#N/A</v>
      </c>
    </row>
    <row r="1537" spans="1:10" ht="15.75" hidden="1" customHeight="1">
      <c r="A1537" s="19">
        <v>1534</v>
      </c>
      <c r="B1537" s="20" t="s">
        <v>1817</v>
      </c>
      <c r="C1537" s="20" t="s">
        <v>263</v>
      </c>
      <c r="D1537" s="20" t="s">
        <v>1818</v>
      </c>
      <c r="E1537" s="21">
        <v>328</v>
      </c>
      <c r="F1537" s="21">
        <v>390</v>
      </c>
      <c r="G1537" s="21">
        <v>340</v>
      </c>
      <c r="H1537" s="21">
        <v>50</v>
      </c>
      <c r="I1537" s="22">
        <f t="shared" si="23"/>
        <v>1108</v>
      </c>
      <c r="J1537" t="e">
        <f>VLOOKUP(B1537,'[1]KT 광점퍼코드(수익률)'!$A$4:$P$243,16,0)</f>
        <v>#N/A</v>
      </c>
    </row>
    <row r="1538" spans="1:10" ht="15.75" hidden="1" customHeight="1">
      <c r="A1538" s="23">
        <v>1535</v>
      </c>
      <c r="B1538" s="24" t="s">
        <v>1819</v>
      </c>
      <c r="C1538" s="24" t="s">
        <v>263</v>
      </c>
      <c r="D1538" s="24" t="s">
        <v>1682</v>
      </c>
      <c r="E1538" s="25">
        <v>10</v>
      </c>
      <c r="F1538" s="25"/>
      <c r="G1538" s="25"/>
      <c r="H1538" s="25"/>
      <c r="I1538" s="22">
        <f t="shared" si="23"/>
        <v>10</v>
      </c>
      <c r="J1538" t="e">
        <f>VLOOKUP(B1538,'[1]KT 광점퍼코드(수익률)'!$A$4:$P$243,16,0)</f>
        <v>#N/A</v>
      </c>
    </row>
    <row r="1539" spans="1:10" ht="15.75" hidden="1" customHeight="1">
      <c r="A1539" s="19">
        <v>1536</v>
      </c>
      <c r="B1539" s="20" t="s">
        <v>1820</v>
      </c>
      <c r="C1539" s="20" t="s">
        <v>263</v>
      </c>
      <c r="D1539" s="20" t="s">
        <v>1685</v>
      </c>
      <c r="E1539" s="21">
        <v>2</v>
      </c>
      <c r="F1539" s="21"/>
      <c r="G1539" s="21"/>
      <c r="H1539" s="21"/>
      <c r="I1539" s="22">
        <f t="shared" si="23"/>
        <v>2</v>
      </c>
      <c r="J1539" t="e">
        <f>VLOOKUP(B1539,'[1]KT 광점퍼코드(수익률)'!$A$4:$P$243,16,0)</f>
        <v>#N/A</v>
      </c>
    </row>
    <row r="1540" spans="1:10" ht="15.75" hidden="1" customHeight="1">
      <c r="A1540" s="23">
        <v>1537</v>
      </c>
      <c r="B1540" s="24" t="s">
        <v>1821</v>
      </c>
      <c r="C1540" s="24" t="s">
        <v>263</v>
      </c>
      <c r="D1540" s="24" t="s">
        <v>1822</v>
      </c>
      <c r="E1540" s="25">
        <v>32</v>
      </c>
      <c r="F1540" s="25">
        <v>10</v>
      </c>
      <c r="G1540" s="25">
        <v>40</v>
      </c>
      <c r="H1540" s="25">
        <v>30</v>
      </c>
      <c r="I1540" s="22">
        <f t="shared" ref="I1540:I1603" si="24">SUM(E1540:H1540)</f>
        <v>112</v>
      </c>
      <c r="J1540" t="e">
        <f>VLOOKUP(B1540,'[1]KT 광점퍼코드(수익률)'!$A$4:$P$243,16,0)</f>
        <v>#N/A</v>
      </c>
    </row>
    <row r="1541" spans="1:10" ht="15.75" hidden="1" customHeight="1">
      <c r="A1541" s="19">
        <v>1538</v>
      </c>
      <c r="B1541" s="20" t="s">
        <v>1823</v>
      </c>
      <c r="C1541" s="20" t="s">
        <v>271</v>
      </c>
      <c r="D1541" s="20" t="s">
        <v>1824</v>
      </c>
      <c r="E1541" s="21">
        <v>361</v>
      </c>
      <c r="F1541" s="21">
        <v>231</v>
      </c>
      <c r="G1541" s="21">
        <v>440</v>
      </c>
      <c r="H1541" s="21">
        <v>230</v>
      </c>
      <c r="I1541" s="22">
        <f t="shared" si="24"/>
        <v>1262</v>
      </c>
      <c r="J1541" t="e">
        <f>VLOOKUP(B1541,'[1]KT 광점퍼코드(수익률)'!$A$4:$P$243,16,0)</f>
        <v>#N/A</v>
      </c>
    </row>
    <row r="1542" spans="1:10" ht="15.75" hidden="1" customHeight="1">
      <c r="A1542" s="23">
        <v>1539</v>
      </c>
      <c r="B1542" s="24" t="s">
        <v>1825</v>
      </c>
      <c r="C1542" s="24" t="s">
        <v>271</v>
      </c>
      <c r="D1542" s="24" t="s">
        <v>1668</v>
      </c>
      <c r="E1542" s="25">
        <v>4</v>
      </c>
      <c r="F1542" s="25"/>
      <c r="G1542" s="25">
        <v>10</v>
      </c>
      <c r="H1542" s="25">
        <v>30</v>
      </c>
      <c r="I1542" s="22">
        <f t="shared" si="24"/>
        <v>44</v>
      </c>
      <c r="J1542" t="e">
        <f>VLOOKUP(B1542,'[1]KT 광점퍼코드(수익률)'!$A$4:$P$243,16,0)</f>
        <v>#N/A</v>
      </c>
    </row>
    <row r="1543" spans="1:10" ht="15.75" hidden="1" customHeight="1">
      <c r="A1543" s="19">
        <v>1540</v>
      </c>
      <c r="B1543" s="20" t="s">
        <v>1826</v>
      </c>
      <c r="C1543" s="20" t="s">
        <v>271</v>
      </c>
      <c r="D1543" s="20" t="s">
        <v>1827</v>
      </c>
      <c r="E1543" s="21">
        <v>808</v>
      </c>
      <c r="F1543" s="21">
        <v>723</v>
      </c>
      <c r="G1543" s="21">
        <v>715</v>
      </c>
      <c r="H1543" s="21">
        <v>450</v>
      </c>
      <c r="I1543" s="22">
        <f t="shared" si="24"/>
        <v>2696</v>
      </c>
      <c r="J1543" t="e">
        <f>VLOOKUP(B1543,'[1]KT 광점퍼코드(수익률)'!$A$4:$P$243,16,0)</f>
        <v>#N/A</v>
      </c>
    </row>
    <row r="1544" spans="1:10" ht="15.75" hidden="1" customHeight="1">
      <c r="A1544" s="23">
        <v>1541</v>
      </c>
      <c r="B1544" s="24" t="s">
        <v>1828</v>
      </c>
      <c r="C1544" s="24" t="s">
        <v>271</v>
      </c>
      <c r="D1544" s="24" t="s">
        <v>1722</v>
      </c>
      <c r="E1544" s="25">
        <v>30</v>
      </c>
      <c r="F1544" s="25"/>
      <c r="G1544" s="25"/>
      <c r="H1544" s="25"/>
      <c r="I1544" s="22">
        <f t="shared" si="24"/>
        <v>30</v>
      </c>
      <c r="J1544" t="e">
        <f>VLOOKUP(B1544,'[1]KT 광점퍼코드(수익률)'!$A$4:$P$243,16,0)</f>
        <v>#N/A</v>
      </c>
    </row>
    <row r="1545" spans="1:10" ht="15.75" hidden="1" customHeight="1">
      <c r="A1545" s="19">
        <v>1542</v>
      </c>
      <c r="B1545" s="20" t="s">
        <v>1829</v>
      </c>
      <c r="C1545" s="20" t="s">
        <v>271</v>
      </c>
      <c r="D1545" s="20" t="s">
        <v>1830</v>
      </c>
      <c r="E1545" s="21">
        <v>556</v>
      </c>
      <c r="F1545" s="21">
        <v>321</v>
      </c>
      <c r="G1545" s="21">
        <v>585</v>
      </c>
      <c r="H1545" s="21">
        <v>482</v>
      </c>
      <c r="I1545" s="22">
        <f t="shared" si="24"/>
        <v>1944</v>
      </c>
      <c r="J1545" t="e">
        <f>VLOOKUP(B1545,'[1]KT 광점퍼코드(수익률)'!$A$4:$P$243,16,0)</f>
        <v>#N/A</v>
      </c>
    </row>
    <row r="1546" spans="1:10" ht="15.75" hidden="1" customHeight="1">
      <c r="A1546" s="23">
        <v>1543</v>
      </c>
      <c r="B1546" s="24" t="s">
        <v>1831</v>
      </c>
      <c r="C1546" s="24" t="s">
        <v>271</v>
      </c>
      <c r="D1546" s="24" t="s">
        <v>1832</v>
      </c>
      <c r="E1546" s="25">
        <v>106</v>
      </c>
      <c r="F1546" s="25">
        <v>124</v>
      </c>
      <c r="G1546" s="25">
        <v>216</v>
      </c>
      <c r="H1546" s="25">
        <v>55</v>
      </c>
      <c r="I1546" s="22">
        <f t="shared" si="24"/>
        <v>501</v>
      </c>
      <c r="J1546" t="e">
        <f>VLOOKUP(B1546,'[1]KT 광점퍼코드(수익률)'!$A$4:$P$243,16,0)</f>
        <v>#N/A</v>
      </c>
    </row>
    <row r="1547" spans="1:10" ht="15.75" hidden="1" customHeight="1">
      <c r="A1547" s="19">
        <v>1544</v>
      </c>
      <c r="B1547" s="20" t="s">
        <v>1833</v>
      </c>
      <c r="C1547" s="20" t="s">
        <v>271</v>
      </c>
      <c r="D1547" s="20" t="s">
        <v>1834</v>
      </c>
      <c r="E1547" s="21">
        <v>103</v>
      </c>
      <c r="F1547" s="21">
        <v>61</v>
      </c>
      <c r="G1547" s="21">
        <v>127</v>
      </c>
      <c r="H1547" s="21">
        <v>80</v>
      </c>
      <c r="I1547" s="22">
        <f t="shared" si="24"/>
        <v>371</v>
      </c>
      <c r="J1547" t="e">
        <f>VLOOKUP(B1547,'[1]KT 광점퍼코드(수익률)'!$A$4:$P$243,16,0)</f>
        <v>#N/A</v>
      </c>
    </row>
    <row r="1548" spans="1:10" ht="15.75" hidden="1" customHeight="1">
      <c r="A1548" s="23">
        <v>1545</v>
      </c>
      <c r="B1548" s="24" t="s">
        <v>1835</v>
      </c>
      <c r="C1548" s="24" t="s">
        <v>271</v>
      </c>
      <c r="D1548" s="24" t="s">
        <v>1678</v>
      </c>
      <c r="E1548" s="25">
        <v>5</v>
      </c>
      <c r="F1548" s="25"/>
      <c r="G1548" s="25">
        <v>6</v>
      </c>
      <c r="H1548" s="25">
        <v>10</v>
      </c>
      <c r="I1548" s="22">
        <f t="shared" si="24"/>
        <v>21</v>
      </c>
      <c r="J1548" t="e">
        <f>VLOOKUP(B1548,'[1]KT 광점퍼코드(수익률)'!$A$4:$P$243,16,0)</f>
        <v>#N/A</v>
      </c>
    </row>
    <row r="1549" spans="1:10" ht="15.75" hidden="1" customHeight="1">
      <c r="A1549" s="19">
        <v>1546</v>
      </c>
      <c r="B1549" s="20" t="s">
        <v>1836</v>
      </c>
      <c r="C1549" s="20" t="s">
        <v>271</v>
      </c>
      <c r="D1549" s="20" t="s">
        <v>1837</v>
      </c>
      <c r="E1549" s="21">
        <v>70</v>
      </c>
      <c r="F1549" s="21"/>
      <c r="G1549" s="21">
        <v>40</v>
      </c>
      <c r="H1549" s="21"/>
      <c r="I1549" s="22">
        <f t="shared" si="24"/>
        <v>110</v>
      </c>
      <c r="J1549" t="e">
        <f>VLOOKUP(B1549,'[1]KT 광점퍼코드(수익률)'!$A$4:$P$243,16,0)</f>
        <v>#N/A</v>
      </c>
    </row>
    <row r="1550" spans="1:10" ht="15.75" hidden="1" customHeight="1">
      <c r="A1550" s="23">
        <v>1547</v>
      </c>
      <c r="B1550" s="24" t="s">
        <v>1838</v>
      </c>
      <c r="C1550" s="24" t="s">
        <v>271</v>
      </c>
      <c r="D1550" s="24" t="s">
        <v>1682</v>
      </c>
      <c r="E1550" s="25">
        <v>15</v>
      </c>
      <c r="F1550" s="25"/>
      <c r="G1550" s="25"/>
      <c r="H1550" s="25">
        <v>5</v>
      </c>
      <c r="I1550" s="22">
        <f t="shared" si="24"/>
        <v>20</v>
      </c>
      <c r="J1550" t="e">
        <f>VLOOKUP(B1550,'[1]KT 광점퍼코드(수익률)'!$A$4:$P$243,16,0)</f>
        <v>#N/A</v>
      </c>
    </row>
    <row r="1551" spans="1:10" ht="15.75" hidden="1" customHeight="1">
      <c r="A1551" s="19">
        <v>1548</v>
      </c>
      <c r="B1551" s="20" t="s">
        <v>3520</v>
      </c>
      <c r="C1551" s="20" t="s">
        <v>271</v>
      </c>
      <c r="D1551" s="20" t="s">
        <v>1578</v>
      </c>
      <c r="E1551" s="21"/>
      <c r="F1551" s="21"/>
      <c r="G1551" s="21"/>
      <c r="H1551" s="21">
        <v>5</v>
      </c>
      <c r="I1551" s="22">
        <f t="shared" si="24"/>
        <v>5</v>
      </c>
      <c r="J1551" t="e">
        <f>VLOOKUP(B1551,'[1]KT 광점퍼코드(수익률)'!$A$4:$P$243,16,0)</f>
        <v>#N/A</v>
      </c>
    </row>
    <row r="1552" spans="1:10" ht="15.75" hidden="1" customHeight="1">
      <c r="A1552" s="23">
        <v>1549</v>
      </c>
      <c r="B1552" s="24" t="s">
        <v>1839</v>
      </c>
      <c r="C1552" s="24" t="s">
        <v>271</v>
      </c>
      <c r="D1552" s="24" t="s">
        <v>1685</v>
      </c>
      <c r="E1552" s="25">
        <v>10</v>
      </c>
      <c r="F1552" s="25"/>
      <c r="G1552" s="25"/>
      <c r="H1552" s="25"/>
      <c r="I1552" s="22">
        <f t="shared" si="24"/>
        <v>10</v>
      </c>
      <c r="J1552" t="e">
        <f>VLOOKUP(B1552,'[1]KT 광점퍼코드(수익률)'!$A$4:$P$243,16,0)</f>
        <v>#N/A</v>
      </c>
    </row>
    <row r="1553" spans="1:10" ht="15.75" hidden="1" customHeight="1">
      <c r="A1553" s="19">
        <v>1550</v>
      </c>
      <c r="B1553" s="20" t="s">
        <v>3521</v>
      </c>
      <c r="C1553" s="20" t="s">
        <v>271</v>
      </c>
      <c r="D1553" s="20" t="s">
        <v>1744</v>
      </c>
      <c r="E1553" s="21"/>
      <c r="F1553" s="21"/>
      <c r="G1553" s="21"/>
      <c r="H1553" s="21">
        <v>9</v>
      </c>
      <c r="I1553" s="22">
        <f t="shared" si="24"/>
        <v>9</v>
      </c>
      <c r="J1553" t="e">
        <f>VLOOKUP(B1553,'[1]KT 광점퍼코드(수익률)'!$A$4:$P$243,16,0)</f>
        <v>#N/A</v>
      </c>
    </row>
    <row r="1554" spans="1:10" ht="15.75" hidden="1" customHeight="1">
      <c r="A1554" s="23">
        <v>1551</v>
      </c>
      <c r="B1554" s="24" t="s">
        <v>1840</v>
      </c>
      <c r="C1554" s="24" t="s">
        <v>271</v>
      </c>
      <c r="D1554" s="24" t="s">
        <v>1841</v>
      </c>
      <c r="E1554" s="25">
        <v>20</v>
      </c>
      <c r="F1554" s="25">
        <v>35</v>
      </c>
      <c r="G1554" s="25">
        <v>25</v>
      </c>
      <c r="H1554" s="25">
        <v>5</v>
      </c>
      <c r="I1554" s="22">
        <f t="shared" si="24"/>
        <v>85</v>
      </c>
      <c r="J1554" t="e">
        <f>VLOOKUP(B1554,'[1]KT 광점퍼코드(수익률)'!$A$4:$P$243,16,0)</f>
        <v>#N/A</v>
      </c>
    </row>
    <row r="1555" spans="1:10" ht="15.75" hidden="1" customHeight="1">
      <c r="A1555" s="19">
        <v>1552</v>
      </c>
      <c r="B1555" s="20" t="s">
        <v>1842</v>
      </c>
      <c r="C1555" s="20" t="s">
        <v>271</v>
      </c>
      <c r="D1555" s="20" t="s">
        <v>1691</v>
      </c>
      <c r="E1555" s="21">
        <v>5</v>
      </c>
      <c r="F1555" s="21"/>
      <c r="G1555" s="21"/>
      <c r="H1555" s="21"/>
      <c r="I1555" s="22">
        <f t="shared" si="24"/>
        <v>5</v>
      </c>
      <c r="J1555" t="e">
        <f>VLOOKUP(B1555,'[1]KT 광점퍼코드(수익률)'!$A$4:$P$243,16,0)</f>
        <v>#N/A</v>
      </c>
    </row>
    <row r="1556" spans="1:10" ht="15.75" hidden="1" customHeight="1">
      <c r="A1556" s="23">
        <v>1553</v>
      </c>
      <c r="B1556" s="24" t="s">
        <v>1843</v>
      </c>
      <c r="C1556" s="24" t="s">
        <v>271</v>
      </c>
      <c r="D1556" s="24" t="s">
        <v>1844</v>
      </c>
      <c r="E1556" s="25">
        <v>20</v>
      </c>
      <c r="F1556" s="25"/>
      <c r="G1556" s="25">
        <v>40</v>
      </c>
      <c r="H1556" s="25">
        <v>45</v>
      </c>
      <c r="I1556" s="22">
        <f t="shared" si="24"/>
        <v>105</v>
      </c>
      <c r="J1556" t="e">
        <f>VLOOKUP(B1556,'[1]KT 광점퍼코드(수익률)'!$A$4:$P$243,16,0)</f>
        <v>#N/A</v>
      </c>
    </row>
    <row r="1557" spans="1:10" ht="15.75" hidden="1" customHeight="1">
      <c r="A1557" s="19">
        <v>1554</v>
      </c>
      <c r="B1557" s="20" t="s">
        <v>1845</v>
      </c>
      <c r="C1557" s="20" t="s">
        <v>278</v>
      </c>
      <c r="D1557" s="20" t="s">
        <v>1846</v>
      </c>
      <c r="E1557" s="21">
        <v>104</v>
      </c>
      <c r="F1557" s="21">
        <v>55</v>
      </c>
      <c r="G1557" s="21">
        <v>50</v>
      </c>
      <c r="H1557" s="21">
        <v>50</v>
      </c>
      <c r="I1557" s="22">
        <f t="shared" si="24"/>
        <v>259</v>
      </c>
      <c r="J1557" t="e">
        <f>VLOOKUP(B1557,'[1]KT 광점퍼코드(수익률)'!$A$4:$P$243,16,0)</f>
        <v>#N/A</v>
      </c>
    </row>
    <row r="1558" spans="1:10" ht="15.75" hidden="1" customHeight="1">
      <c r="A1558" s="23">
        <v>1555</v>
      </c>
      <c r="B1558" s="24" t="s">
        <v>1847</v>
      </c>
      <c r="C1558" s="24" t="s">
        <v>278</v>
      </c>
      <c r="D1558" s="24" t="s">
        <v>1700</v>
      </c>
      <c r="E1558" s="25">
        <v>10</v>
      </c>
      <c r="F1558" s="25"/>
      <c r="G1558" s="25"/>
      <c r="H1558" s="25"/>
      <c r="I1558" s="22">
        <f t="shared" si="24"/>
        <v>10</v>
      </c>
      <c r="J1558" t="e">
        <f>VLOOKUP(B1558,'[1]KT 광점퍼코드(수익률)'!$A$4:$P$243,16,0)</f>
        <v>#N/A</v>
      </c>
    </row>
    <row r="1559" spans="1:10" ht="15.75" hidden="1" customHeight="1">
      <c r="A1559" s="19">
        <v>1556</v>
      </c>
      <c r="B1559" s="20" t="s">
        <v>1848</v>
      </c>
      <c r="C1559" s="20" t="s">
        <v>278</v>
      </c>
      <c r="D1559" s="20" t="s">
        <v>1849</v>
      </c>
      <c r="E1559" s="21">
        <v>255</v>
      </c>
      <c r="F1559" s="21">
        <v>180</v>
      </c>
      <c r="G1559" s="21">
        <v>233</v>
      </c>
      <c r="H1559" s="21">
        <v>192</v>
      </c>
      <c r="I1559" s="22">
        <f t="shared" si="24"/>
        <v>860</v>
      </c>
      <c r="J1559" t="e">
        <f>VLOOKUP(B1559,'[1]KT 광점퍼코드(수익률)'!$A$4:$P$243,16,0)</f>
        <v>#N/A</v>
      </c>
    </row>
    <row r="1560" spans="1:10" ht="15.75" hidden="1" customHeight="1">
      <c r="A1560" s="23">
        <v>1557</v>
      </c>
      <c r="B1560" s="24" t="s">
        <v>1850</v>
      </c>
      <c r="C1560" s="24" t="s">
        <v>278</v>
      </c>
      <c r="D1560" s="24" t="s">
        <v>1851</v>
      </c>
      <c r="E1560" s="25">
        <v>302</v>
      </c>
      <c r="F1560" s="25">
        <v>70</v>
      </c>
      <c r="G1560" s="25">
        <v>120</v>
      </c>
      <c r="H1560" s="25">
        <v>175</v>
      </c>
      <c r="I1560" s="22">
        <f t="shared" si="24"/>
        <v>667</v>
      </c>
      <c r="J1560" t="e">
        <f>VLOOKUP(B1560,'[1]KT 광점퍼코드(수익률)'!$A$4:$P$243,16,0)</f>
        <v>#N/A</v>
      </c>
    </row>
    <row r="1561" spans="1:10" ht="15.75" hidden="1" customHeight="1">
      <c r="A1561" s="19">
        <v>1558</v>
      </c>
      <c r="B1561" s="20" t="s">
        <v>1852</v>
      </c>
      <c r="C1561" s="20" t="s">
        <v>278</v>
      </c>
      <c r="D1561" s="20" t="s">
        <v>1853</v>
      </c>
      <c r="E1561" s="21">
        <v>186</v>
      </c>
      <c r="F1561" s="21">
        <v>78</v>
      </c>
      <c r="G1561" s="21">
        <v>10</v>
      </c>
      <c r="H1561" s="21">
        <v>100</v>
      </c>
      <c r="I1561" s="22">
        <f t="shared" si="24"/>
        <v>374</v>
      </c>
      <c r="J1561" t="e">
        <f>VLOOKUP(B1561,'[1]KT 광점퍼코드(수익률)'!$A$4:$P$243,16,0)</f>
        <v>#N/A</v>
      </c>
    </row>
    <row r="1562" spans="1:10" ht="15.75" hidden="1" customHeight="1">
      <c r="A1562" s="23">
        <v>1559</v>
      </c>
      <c r="B1562" s="24" t="s">
        <v>1854</v>
      </c>
      <c r="C1562" s="24" t="s">
        <v>283</v>
      </c>
      <c r="D1562" s="24" t="s">
        <v>1855</v>
      </c>
      <c r="E1562" s="25">
        <v>310</v>
      </c>
      <c r="F1562" s="25">
        <v>207</v>
      </c>
      <c r="G1562" s="25">
        <v>159</v>
      </c>
      <c r="H1562" s="25">
        <v>75</v>
      </c>
      <c r="I1562" s="22">
        <f t="shared" si="24"/>
        <v>751</v>
      </c>
      <c r="J1562" t="e">
        <f>VLOOKUP(B1562,'[1]KT 광점퍼코드(수익률)'!$A$4:$P$243,16,0)</f>
        <v>#N/A</v>
      </c>
    </row>
    <row r="1563" spans="1:10" ht="15.75" hidden="1" customHeight="1">
      <c r="A1563" s="19">
        <v>1560</v>
      </c>
      <c r="B1563" s="20" t="s">
        <v>1856</v>
      </c>
      <c r="C1563" s="20" t="s">
        <v>283</v>
      </c>
      <c r="D1563" s="20" t="s">
        <v>1668</v>
      </c>
      <c r="E1563" s="21">
        <v>2</v>
      </c>
      <c r="F1563" s="21"/>
      <c r="G1563" s="21"/>
      <c r="H1563" s="21"/>
      <c r="I1563" s="22">
        <f t="shared" si="24"/>
        <v>2</v>
      </c>
      <c r="J1563" t="e">
        <f>VLOOKUP(B1563,'[1]KT 광점퍼코드(수익률)'!$A$4:$P$243,16,0)</f>
        <v>#N/A</v>
      </c>
    </row>
    <row r="1564" spans="1:10" ht="15.75" hidden="1" customHeight="1">
      <c r="A1564" s="23">
        <v>1561</v>
      </c>
      <c r="B1564" s="24" t="s">
        <v>1857</v>
      </c>
      <c r="C1564" s="24" t="s">
        <v>283</v>
      </c>
      <c r="D1564" s="24" t="s">
        <v>1858</v>
      </c>
      <c r="E1564" s="25">
        <v>159</v>
      </c>
      <c r="F1564" s="25">
        <v>64</v>
      </c>
      <c r="G1564" s="25">
        <v>230</v>
      </c>
      <c r="H1564" s="25">
        <v>50</v>
      </c>
      <c r="I1564" s="22">
        <f t="shared" si="24"/>
        <v>503</v>
      </c>
      <c r="J1564" t="e">
        <f>VLOOKUP(B1564,'[1]KT 광점퍼코드(수익률)'!$A$4:$P$243,16,0)</f>
        <v>#N/A</v>
      </c>
    </row>
    <row r="1565" spans="1:10" ht="15.75" hidden="1" customHeight="1">
      <c r="A1565" s="19">
        <v>1562</v>
      </c>
      <c r="B1565" s="20" t="s">
        <v>1859</v>
      </c>
      <c r="C1565" s="20" t="s">
        <v>283</v>
      </c>
      <c r="D1565" s="20" t="s">
        <v>1860</v>
      </c>
      <c r="E1565" s="21">
        <v>14</v>
      </c>
      <c r="F1565" s="21">
        <v>37</v>
      </c>
      <c r="G1565" s="21">
        <v>40</v>
      </c>
      <c r="H1565" s="21"/>
      <c r="I1565" s="22">
        <f t="shared" si="24"/>
        <v>91</v>
      </c>
      <c r="J1565" t="e">
        <f>VLOOKUP(B1565,'[1]KT 광점퍼코드(수익률)'!$A$4:$P$243,16,0)</f>
        <v>#N/A</v>
      </c>
    </row>
    <row r="1566" spans="1:10" ht="15.75" hidden="1" customHeight="1">
      <c r="A1566" s="23">
        <v>1563</v>
      </c>
      <c r="B1566" s="24" t="s">
        <v>1861</v>
      </c>
      <c r="C1566" s="24" t="s">
        <v>283</v>
      </c>
      <c r="D1566" s="24" t="s">
        <v>1862</v>
      </c>
      <c r="E1566" s="25">
        <v>61</v>
      </c>
      <c r="F1566" s="25">
        <v>58</v>
      </c>
      <c r="G1566" s="25">
        <v>60</v>
      </c>
      <c r="H1566" s="25"/>
      <c r="I1566" s="22">
        <f t="shared" si="24"/>
        <v>179</v>
      </c>
      <c r="J1566" t="e">
        <f>VLOOKUP(B1566,'[1]KT 광점퍼코드(수익률)'!$A$4:$P$243,16,0)</f>
        <v>#N/A</v>
      </c>
    </row>
    <row r="1567" spans="1:10" ht="15.75" hidden="1" customHeight="1">
      <c r="A1567" s="19">
        <v>1564</v>
      </c>
      <c r="B1567" s="20" t="s">
        <v>1863</v>
      </c>
      <c r="C1567" s="20" t="s">
        <v>283</v>
      </c>
      <c r="D1567" s="20" t="s">
        <v>1864</v>
      </c>
      <c r="E1567" s="21">
        <v>317</v>
      </c>
      <c r="F1567" s="21">
        <v>890</v>
      </c>
      <c r="G1567" s="21">
        <v>470</v>
      </c>
      <c r="H1567" s="21">
        <v>680</v>
      </c>
      <c r="I1567" s="22">
        <f t="shared" si="24"/>
        <v>2357</v>
      </c>
      <c r="J1567" t="e">
        <f>VLOOKUP(B1567,'[1]KT 광점퍼코드(수익률)'!$A$4:$P$243,16,0)</f>
        <v>#N/A</v>
      </c>
    </row>
    <row r="1568" spans="1:10" ht="15.75" hidden="1" customHeight="1">
      <c r="A1568" s="23">
        <v>1565</v>
      </c>
      <c r="B1568" s="24" t="s">
        <v>1865</v>
      </c>
      <c r="C1568" s="24" t="s">
        <v>283</v>
      </c>
      <c r="D1568" s="24" t="s">
        <v>1866</v>
      </c>
      <c r="E1568" s="25">
        <v>1842</v>
      </c>
      <c r="F1568" s="25">
        <v>2451</v>
      </c>
      <c r="G1568" s="25">
        <v>2902</v>
      </c>
      <c r="H1568" s="25">
        <v>1430</v>
      </c>
      <c r="I1568" s="22">
        <f t="shared" si="24"/>
        <v>8625</v>
      </c>
      <c r="J1568" t="e">
        <f>VLOOKUP(B1568,'[1]KT 광점퍼코드(수익률)'!$A$4:$P$243,16,0)</f>
        <v>#N/A</v>
      </c>
    </row>
    <row r="1569" spans="1:10" ht="15.75" hidden="1" customHeight="1">
      <c r="A1569" s="19">
        <v>1566</v>
      </c>
      <c r="B1569" s="20" t="s">
        <v>1867</v>
      </c>
      <c r="C1569" s="20" t="s">
        <v>283</v>
      </c>
      <c r="D1569" s="20" t="s">
        <v>1868</v>
      </c>
      <c r="E1569" s="21">
        <v>270</v>
      </c>
      <c r="F1569" s="21">
        <v>40</v>
      </c>
      <c r="G1569" s="21">
        <v>80</v>
      </c>
      <c r="H1569" s="21"/>
      <c r="I1569" s="22">
        <f t="shared" si="24"/>
        <v>390</v>
      </c>
      <c r="J1569" t="e">
        <f>VLOOKUP(B1569,'[1]KT 광점퍼코드(수익률)'!$A$4:$P$243,16,0)</f>
        <v>#N/A</v>
      </c>
    </row>
    <row r="1570" spans="1:10" ht="15.75" hidden="1" customHeight="1">
      <c r="A1570" s="23">
        <v>1567</v>
      </c>
      <c r="B1570" s="24" t="s">
        <v>1869</v>
      </c>
      <c r="C1570" s="24" t="s">
        <v>283</v>
      </c>
      <c r="D1570" s="24" t="s">
        <v>1870</v>
      </c>
      <c r="E1570" s="25">
        <v>410</v>
      </c>
      <c r="F1570" s="25">
        <v>170</v>
      </c>
      <c r="G1570" s="25">
        <v>77</v>
      </c>
      <c r="H1570" s="25">
        <v>70</v>
      </c>
      <c r="I1570" s="22">
        <f t="shared" si="24"/>
        <v>727</v>
      </c>
      <c r="J1570" t="e">
        <f>VLOOKUP(B1570,'[1]KT 광점퍼코드(수익률)'!$A$4:$P$243,16,0)</f>
        <v>#N/A</v>
      </c>
    </row>
    <row r="1571" spans="1:10" ht="15.75" hidden="1" customHeight="1">
      <c r="A1571" s="19">
        <v>1568</v>
      </c>
      <c r="B1571" s="20" t="s">
        <v>1871</v>
      </c>
      <c r="C1571" s="20" t="s">
        <v>283</v>
      </c>
      <c r="D1571" s="20" t="s">
        <v>1872</v>
      </c>
      <c r="E1571" s="21">
        <v>20</v>
      </c>
      <c r="F1571" s="21">
        <v>10</v>
      </c>
      <c r="G1571" s="21">
        <v>90</v>
      </c>
      <c r="H1571" s="21"/>
      <c r="I1571" s="22">
        <f t="shared" si="24"/>
        <v>120</v>
      </c>
      <c r="J1571" t="e">
        <f>VLOOKUP(B1571,'[1]KT 광점퍼코드(수익률)'!$A$4:$P$243,16,0)</f>
        <v>#N/A</v>
      </c>
    </row>
    <row r="1572" spans="1:10" ht="15.75" hidden="1" customHeight="1">
      <c r="A1572" s="23">
        <v>1569</v>
      </c>
      <c r="B1572" s="24" t="s">
        <v>1873</v>
      </c>
      <c r="C1572" s="24" t="s">
        <v>294</v>
      </c>
      <c r="D1572" s="24" t="s">
        <v>1874</v>
      </c>
      <c r="E1572" s="25">
        <v>602</v>
      </c>
      <c r="F1572" s="25">
        <v>1039</v>
      </c>
      <c r="G1572" s="25">
        <v>926</v>
      </c>
      <c r="H1572" s="25">
        <v>151</v>
      </c>
      <c r="I1572" s="22">
        <f t="shared" si="24"/>
        <v>2718</v>
      </c>
      <c r="J1572" t="e">
        <f>VLOOKUP(B1572,'[1]KT 광점퍼코드(수익률)'!$A$4:$P$243,16,0)</f>
        <v>#N/A</v>
      </c>
    </row>
    <row r="1573" spans="1:10" ht="15.75" hidden="1" customHeight="1">
      <c r="A1573" s="19">
        <v>1570</v>
      </c>
      <c r="B1573" s="20" t="s">
        <v>1875</v>
      </c>
      <c r="C1573" s="20" t="s">
        <v>294</v>
      </c>
      <c r="D1573" s="20" t="s">
        <v>1876</v>
      </c>
      <c r="E1573" s="21">
        <v>828</v>
      </c>
      <c r="F1573" s="21">
        <v>447</v>
      </c>
      <c r="G1573" s="21">
        <v>445</v>
      </c>
      <c r="H1573" s="21">
        <v>121</v>
      </c>
      <c r="I1573" s="22">
        <f t="shared" si="24"/>
        <v>1841</v>
      </c>
      <c r="J1573" t="e">
        <f>VLOOKUP(B1573,'[1]KT 광점퍼코드(수익률)'!$A$4:$P$243,16,0)</f>
        <v>#N/A</v>
      </c>
    </row>
    <row r="1574" spans="1:10" ht="15.75" hidden="1" customHeight="1">
      <c r="A1574" s="23">
        <v>1571</v>
      </c>
      <c r="B1574" s="24" t="s">
        <v>1877</v>
      </c>
      <c r="C1574" s="24" t="s">
        <v>294</v>
      </c>
      <c r="D1574" s="24" t="s">
        <v>1878</v>
      </c>
      <c r="E1574" s="25">
        <v>785</v>
      </c>
      <c r="F1574" s="25">
        <v>382</v>
      </c>
      <c r="G1574" s="25">
        <v>1160</v>
      </c>
      <c r="H1574" s="25">
        <v>180</v>
      </c>
      <c r="I1574" s="22">
        <f t="shared" si="24"/>
        <v>2507</v>
      </c>
      <c r="J1574" t="e">
        <f>VLOOKUP(B1574,'[1]KT 광점퍼코드(수익률)'!$A$4:$P$243,16,0)</f>
        <v>#N/A</v>
      </c>
    </row>
    <row r="1575" spans="1:10" ht="15.75" hidden="1" customHeight="1">
      <c r="A1575" s="19">
        <v>1572</v>
      </c>
      <c r="B1575" s="20" t="s">
        <v>1879</v>
      </c>
      <c r="C1575" s="20" t="s">
        <v>294</v>
      </c>
      <c r="D1575" s="20" t="s">
        <v>1880</v>
      </c>
      <c r="E1575" s="21">
        <v>155</v>
      </c>
      <c r="F1575" s="21">
        <v>89</v>
      </c>
      <c r="G1575" s="21">
        <v>270</v>
      </c>
      <c r="H1575" s="21">
        <v>72</v>
      </c>
      <c r="I1575" s="22">
        <f t="shared" si="24"/>
        <v>586</v>
      </c>
      <c r="J1575" t="e">
        <f>VLOOKUP(B1575,'[1]KT 광점퍼코드(수익률)'!$A$4:$P$243,16,0)</f>
        <v>#N/A</v>
      </c>
    </row>
    <row r="1576" spans="1:10" ht="15.75" hidden="1" customHeight="1">
      <c r="A1576" s="23">
        <v>1573</v>
      </c>
      <c r="B1576" s="24" t="s">
        <v>1881</v>
      </c>
      <c r="C1576" s="24" t="s">
        <v>294</v>
      </c>
      <c r="D1576" s="24" t="s">
        <v>1882</v>
      </c>
      <c r="E1576" s="25">
        <v>135</v>
      </c>
      <c r="F1576" s="25">
        <v>14</v>
      </c>
      <c r="G1576" s="25">
        <v>23</v>
      </c>
      <c r="H1576" s="25"/>
      <c r="I1576" s="22">
        <f t="shared" si="24"/>
        <v>172</v>
      </c>
      <c r="J1576" t="e">
        <f>VLOOKUP(B1576,'[1]KT 광점퍼코드(수익률)'!$A$4:$P$243,16,0)</f>
        <v>#N/A</v>
      </c>
    </row>
    <row r="1577" spans="1:10" ht="15.75" hidden="1" customHeight="1">
      <c r="A1577" s="19">
        <v>1574</v>
      </c>
      <c r="B1577" s="20" t="s">
        <v>1883</v>
      </c>
      <c r="C1577" s="20" t="s">
        <v>294</v>
      </c>
      <c r="D1577" s="20" t="s">
        <v>1884</v>
      </c>
      <c r="E1577" s="21">
        <v>339</v>
      </c>
      <c r="F1577" s="21">
        <v>700</v>
      </c>
      <c r="G1577" s="21">
        <v>430</v>
      </c>
      <c r="H1577" s="21">
        <v>80</v>
      </c>
      <c r="I1577" s="22">
        <f t="shared" si="24"/>
        <v>1549</v>
      </c>
      <c r="J1577" t="e">
        <f>VLOOKUP(B1577,'[1]KT 광점퍼코드(수익률)'!$A$4:$P$243,16,0)</f>
        <v>#N/A</v>
      </c>
    </row>
    <row r="1578" spans="1:10" ht="15.75" hidden="1" customHeight="1">
      <c r="A1578" s="23">
        <v>1575</v>
      </c>
      <c r="B1578" s="24" t="s">
        <v>1885</v>
      </c>
      <c r="C1578" s="24" t="s">
        <v>294</v>
      </c>
      <c r="D1578" s="24" t="s">
        <v>1886</v>
      </c>
      <c r="E1578" s="25">
        <v>30</v>
      </c>
      <c r="F1578" s="25">
        <v>30</v>
      </c>
      <c r="G1578" s="25">
        <v>72</v>
      </c>
      <c r="H1578" s="25">
        <v>15</v>
      </c>
      <c r="I1578" s="22">
        <f t="shared" si="24"/>
        <v>147</v>
      </c>
      <c r="J1578" t="e">
        <f>VLOOKUP(B1578,'[1]KT 광점퍼코드(수익률)'!$A$4:$P$243,16,0)</f>
        <v>#N/A</v>
      </c>
    </row>
    <row r="1579" spans="1:10" ht="15.75" hidden="1" customHeight="1">
      <c r="A1579" s="19">
        <v>1576</v>
      </c>
      <c r="B1579" s="20" t="s">
        <v>1887</v>
      </c>
      <c r="C1579" s="20" t="s">
        <v>294</v>
      </c>
      <c r="D1579" s="20" t="s">
        <v>1888</v>
      </c>
      <c r="E1579" s="21">
        <v>2645</v>
      </c>
      <c r="F1579" s="21">
        <v>3420</v>
      </c>
      <c r="G1579" s="21">
        <v>2956</v>
      </c>
      <c r="H1579" s="21">
        <v>613</v>
      </c>
      <c r="I1579" s="22">
        <f t="shared" si="24"/>
        <v>9634</v>
      </c>
      <c r="J1579" t="e">
        <f>VLOOKUP(B1579,'[1]KT 광점퍼코드(수익률)'!$A$4:$P$243,16,0)</f>
        <v>#N/A</v>
      </c>
    </row>
    <row r="1580" spans="1:10" ht="15.75" hidden="1" customHeight="1">
      <c r="A1580" s="23">
        <v>1577</v>
      </c>
      <c r="B1580" s="24" t="s">
        <v>1889</v>
      </c>
      <c r="C1580" s="24" t="s">
        <v>294</v>
      </c>
      <c r="D1580" s="24" t="s">
        <v>1890</v>
      </c>
      <c r="E1580" s="25">
        <v>14</v>
      </c>
      <c r="F1580" s="25"/>
      <c r="G1580" s="25"/>
      <c r="H1580" s="25"/>
      <c r="I1580" s="22">
        <f t="shared" si="24"/>
        <v>14</v>
      </c>
      <c r="J1580" t="e">
        <f>VLOOKUP(B1580,'[1]KT 광점퍼코드(수익률)'!$A$4:$P$243,16,0)</f>
        <v>#N/A</v>
      </c>
    </row>
    <row r="1581" spans="1:10" ht="15.75" hidden="1" customHeight="1">
      <c r="A1581" s="19">
        <v>1578</v>
      </c>
      <c r="B1581" s="20" t="s">
        <v>1891</v>
      </c>
      <c r="C1581" s="20" t="s">
        <v>294</v>
      </c>
      <c r="D1581" s="20" t="s">
        <v>1892</v>
      </c>
      <c r="E1581" s="21">
        <v>905</v>
      </c>
      <c r="F1581" s="21">
        <v>90</v>
      </c>
      <c r="G1581" s="21">
        <v>180</v>
      </c>
      <c r="H1581" s="21">
        <v>100</v>
      </c>
      <c r="I1581" s="22">
        <f t="shared" si="24"/>
        <v>1275</v>
      </c>
      <c r="J1581" t="e">
        <f>VLOOKUP(B1581,'[1]KT 광점퍼코드(수익률)'!$A$4:$P$243,16,0)</f>
        <v>#N/A</v>
      </c>
    </row>
    <row r="1582" spans="1:10" ht="15.75" hidden="1" customHeight="1">
      <c r="A1582" s="23">
        <v>1579</v>
      </c>
      <c r="B1582" s="24" t="s">
        <v>1893</v>
      </c>
      <c r="C1582" s="24" t="s">
        <v>294</v>
      </c>
      <c r="D1582" s="24" t="s">
        <v>1894</v>
      </c>
      <c r="E1582" s="25">
        <v>1490</v>
      </c>
      <c r="F1582" s="25">
        <v>804</v>
      </c>
      <c r="G1582" s="25">
        <v>435</v>
      </c>
      <c r="H1582" s="25">
        <v>125</v>
      </c>
      <c r="I1582" s="22">
        <f t="shared" si="24"/>
        <v>2854</v>
      </c>
      <c r="J1582" t="e">
        <f>VLOOKUP(B1582,'[1]KT 광점퍼코드(수익률)'!$A$4:$P$243,16,0)</f>
        <v>#N/A</v>
      </c>
    </row>
    <row r="1583" spans="1:10" ht="15.75" hidden="1" customHeight="1">
      <c r="A1583" s="19">
        <v>1580</v>
      </c>
      <c r="B1583" s="20" t="s">
        <v>3522</v>
      </c>
      <c r="C1583" s="20" t="s">
        <v>294</v>
      </c>
      <c r="D1583" s="20" t="s">
        <v>3523</v>
      </c>
      <c r="E1583" s="21"/>
      <c r="F1583" s="21"/>
      <c r="G1583" s="21"/>
      <c r="H1583" s="21">
        <v>50</v>
      </c>
      <c r="I1583" s="22">
        <f t="shared" si="24"/>
        <v>50</v>
      </c>
      <c r="J1583" t="e">
        <f>VLOOKUP(B1583,'[1]KT 광점퍼코드(수익률)'!$A$4:$P$243,16,0)</f>
        <v>#N/A</v>
      </c>
    </row>
    <row r="1584" spans="1:10" ht="15.75" hidden="1" customHeight="1">
      <c r="A1584" s="23">
        <v>1581</v>
      </c>
      <c r="B1584" s="24" t="s">
        <v>1895</v>
      </c>
      <c r="C1584" s="24" t="s">
        <v>294</v>
      </c>
      <c r="D1584" s="24" t="s">
        <v>1896</v>
      </c>
      <c r="E1584" s="25">
        <v>720</v>
      </c>
      <c r="F1584" s="25"/>
      <c r="G1584" s="25"/>
      <c r="H1584" s="25"/>
      <c r="I1584" s="22">
        <f t="shared" si="24"/>
        <v>720</v>
      </c>
      <c r="J1584" t="e">
        <f>VLOOKUP(B1584,'[1]KT 광점퍼코드(수익률)'!$A$4:$P$243,16,0)</f>
        <v>#N/A</v>
      </c>
    </row>
    <row r="1585" spans="1:10" ht="15.75" hidden="1" customHeight="1">
      <c r="A1585" s="19">
        <v>1582</v>
      </c>
      <c r="B1585" s="20" t="s">
        <v>1897</v>
      </c>
      <c r="C1585" s="20" t="s">
        <v>294</v>
      </c>
      <c r="D1585" s="20" t="s">
        <v>1898</v>
      </c>
      <c r="E1585" s="21">
        <v>20</v>
      </c>
      <c r="F1585" s="21">
        <v>40</v>
      </c>
      <c r="G1585" s="21">
        <v>247</v>
      </c>
      <c r="H1585" s="21">
        <v>10</v>
      </c>
      <c r="I1585" s="22">
        <f t="shared" si="24"/>
        <v>317</v>
      </c>
      <c r="J1585" t="e">
        <f>VLOOKUP(B1585,'[1]KT 광점퍼코드(수익률)'!$A$4:$P$243,16,0)</f>
        <v>#N/A</v>
      </c>
    </row>
    <row r="1586" spans="1:10" ht="15.75" hidden="1" customHeight="1">
      <c r="A1586" s="23">
        <v>1583</v>
      </c>
      <c r="B1586" s="24" t="s">
        <v>3373</v>
      </c>
      <c r="C1586" s="24" t="s">
        <v>294</v>
      </c>
      <c r="D1586" s="24" t="s">
        <v>2280</v>
      </c>
      <c r="E1586" s="25"/>
      <c r="F1586" s="25"/>
      <c r="G1586" s="25">
        <v>2</v>
      </c>
      <c r="H1586" s="25"/>
      <c r="I1586" s="22">
        <f t="shared" si="24"/>
        <v>2</v>
      </c>
      <c r="J1586" t="e">
        <f>VLOOKUP(B1586,'[1]KT 광점퍼코드(수익률)'!$A$4:$P$243,16,0)</f>
        <v>#N/A</v>
      </c>
    </row>
    <row r="1587" spans="1:10" ht="15.75" hidden="1" customHeight="1">
      <c r="A1587" s="19">
        <v>1584</v>
      </c>
      <c r="B1587" s="20" t="s">
        <v>3374</v>
      </c>
      <c r="C1587" s="20" t="s">
        <v>294</v>
      </c>
      <c r="D1587" s="20" t="s">
        <v>2110</v>
      </c>
      <c r="E1587" s="21"/>
      <c r="F1587" s="21"/>
      <c r="G1587" s="21">
        <v>2</v>
      </c>
      <c r="H1587" s="21"/>
      <c r="I1587" s="22">
        <f t="shared" si="24"/>
        <v>2</v>
      </c>
      <c r="J1587" t="e">
        <f>VLOOKUP(B1587,'[1]KT 광점퍼코드(수익률)'!$A$4:$P$243,16,0)</f>
        <v>#N/A</v>
      </c>
    </row>
    <row r="1588" spans="1:10" ht="15.75" hidden="1" customHeight="1">
      <c r="A1588" s="23">
        <v>1585</v>
      </c>
      <c r="B1588" s="24" t="s">
        <v>3375</v>
      </c>
      <c r="C1588" s="24" t="s">
        <v>294</v>
      </c>
      <c r="D1588" s="24" t="s">
        <v>2118</v>
      </c>
      <c r="E1588" s="25"/>
      <c r="F1588" s="25"/>
      <c r="G1588" s="25">
        <v>2</v>
      </c>
      <c r="H1588" s="25"/>
      <c r="I1588" s="22">
        <f t="shared" si="24"/>
        <v>2</v>
      </c>
      <c r="J1588" t="e">
        <f>VLOOKUP(B1588,'[1]KT 광점퍼코드(수익률)'!$A$4:$P$243,16,0)</f>
        <v>#N/A</v>
      </c>
    </row>
    <row r="1589" spans="1:10" ht="15.75" hidden="1" customHeight="1">
      <c r="A1589" s="19">
        <v>1586</v>
      </c>
      <c r="B1589" s="20" t="s">
        <v>3376</v>
      </c>
      <c r="C1589" s="20" t="s">
        <v>294</v>
      </c>
      <c r="D1589" s="20" t="s">
        <v>1906</v>
      </c>
      <c r="E1589" s="21"/>
      <c r="F1589" s="21"/>
      <c r="G1589" s="21">
        <v>3</v>
      </c>
      <c r="H1589" s="21"/>
      <c r="I1589" s="22">
        <f t="shared" si="24"/>
        <v>3</v>
      </c>
      <c r="J1589" t="e">
        <f>VLOOKUP(B1589,'[1]KT 광점퍼코드(수익률)'!$A$4:$P$243,16,0)</f>
        <v>#N/A</v>
      </c>
    </row>
    <row r="1590" spans="1:10" ht="15.75" hidden="1" customHeight="1">
      <c r="A1590" s="23">
        <v>1587</v>
      </c>
      <c r="B1590" s="24" t="s">
        <v>3377</v>
      </c>
      <c r="C1590" s="24" t="s">
        <v>294</v>
      </c>
      <c r="D1590" s="24" t="s">
        <v>3378</v>
      </c>
      <c r="E1590" s="25"/>
      <c r="F1590" s="25"/>
      <c r="G1590" s="25">
        <v>1</v>
      </c>
      <c r="H1590" s="25"/>
      <c r="I1590" s="22">
        <f t="shared" si="24"/>
        <v>1</v>
      </c>
      <c r="J1590" t="e">
        <f>VLOOKUP(B1590,'[1]KT 광점퍼코드(수익률)'!$A$4:$P$243,16,0)</f>
        <v>#N/A</v>
      </c>
    </row>
    <row r="1591" spans="1:10" ht="15.75" hidden="1" customHeight="1">
      <c r="A1591" s="19">
        <v>1588</v>
      </c>
      <c r="B1591" s="20" t="s">
        <v>3524</v>
      </c>
      <c r="C1591" s="20" t="s">
        <v>278</v>
      </c>
      <c r="D1591" s="20" t="s">
        <v>1685</v>
      </c>
      <c r="E1591" s="21"/>
      <c r="F1591" s="21"/>
      <c r="G1591" s="21"/>
      <c r="H1591" s="21">
        <v>3</v>
      </c>
      <c r="I1591" s="22">
        <f t="shared" si="24"/>
        <v>3</v>
      </c>
      <c r="J1591" t="e">
        <f>VLOOKUP(B1591,'[1]KT 광점퍼코드(수익률)'!$A$4:$P$243,16,0)</f>
        <v>#N/A</v>
      </c>
    </row>
    <row r="1592" spans="1:10" ht="15.75" hidden="1" customHeight="1">
      <c r="A1592" s="23">
        <v>1589</v>
      </c>
      <c r="B1592" s="24" t="s">
        <v>1899</v>
      </c>
      <c r="C1592" s="24" t="s">
        <v>362</v>
      </c>
      <c r="D1592" s="24" t="s">
        <v>1900</v>
      </c>
      <c r="E1592" s="25">
        <v>30</v>
      </c>
      <c r="F1592" s="25">
        <v>506</v>
      </c>
      <c r="G1592" s="25">
        <v>145</v>
      </c>
      <c r="H1592" s="25">
        <v>25</v>
      </c>
      <c r="I1592" s="22">
        <f t="shared" si="24"/>
        <v>706</v>
      </c>
      <c r="J1592" t="e">
        <f>VLOOKUP(B1592,'[1]KT 광점퍼코드(수익률)'!$A$4:$P$243,16,0)</f>
        <v>#N/A</v>
      </c>
    </row>
    <row r="1593" spans="1:10" ht="15.75" hidden="1" customHeight="1">
      <c r="A1593" s="19">
        <v>1590</v>
      </c>
      <c r="B1593" s="20" t="s">
        <v>1901</v>
      </c>
      <c r="C1593" s="20" t="s">
        <v>362</v>
      </c>
      <c r="D1593" s="20" t="s">
        <v>1902</v>
      </c>
      <c r="E1593" s="21">
        <v>41</v>
      </c>
      <c r="F1593" s="21">
        <v>560</v>
      </c>
      <c r="G1593" s="21">
        <v>40</v>
      </c>
      <c r="H1593" s="21"/>
      <c r="I1593" s="22">
        <f t="shared" si="24"/>
        <v>641</v>
      </c>
      <c r="J1593" t="e">
        <f>VLOOKUP(B1593,'[1]KT 광점퍼코드(수익률)'!$A$4:$P$243,16,0)</f>
        <v>#N/A</v>
      </c>
    </row>
    <row r="1594" spans="1:10" ht="15.75" hidden="1" customHeight="1">
      <c r="A1594" s="23">
        <v>1591</v>
      </c>
      <c r="B1594" s="24" t="s">
        <v>1903</v>
      </c>
      <c r="C1594" s="24" t="s">
        <v>362</v>
      </c>
      <c r="D1594" s="24" t="s">
        <v>1904</v>
      </c>
      <c r="E1594" s="25">
        <v>10</v>
      </c>
      <c r="F1594" s="25">
        <v>122</v>
      </c>
      <c r="G1594" s="25">
        <v>55</v>
      </c>
      <c r="H1594" s="25"/>
      <c r="I1594" s="22">
        <f t="shared" si="24"/>
        <v>187</v>
      </c>
      <c r="J1594" t="e">
        <f>VLOOKUP(B1594,'[1]KT 광점퍼코드(수익률)'!$A$4:$P$243,16,0)</f>
        <v>#N/A</v>
      </c>
    </row>
    <row r="1595" spans="1:10" ht="15.75" hidden="1" customHeight="1">
      <c r="A1595" s="19">
        <v>1592</v>
      </c>
      <c r="B1595" s="20" t="s">
        <v>1905</v>
      </c>
      <c r="C1595" s="20" t="s">
        <v>203</v>
      </c>
      <c r="D1595" s="20" t="s">
        <v>1906</v>
      </c>
      <c r="E1595" s="21">
        <v>6</v>
      </c>
      <c r="F1595" s="21"/>
      <c r="G1595" s="21"/>
      <c r="H1595" s="21"/>
      <c r="I1595" s="22">
        <f t="shared" si="24"/>
        <v>6</v>
      </c>
      <c r="J1595" t="e">
        <f>VLOOKUP(B1595,'[1]KT 광점퍼코드(수익률)'!$A$4:$P$243,16,0)</f>
        <v>#N/A</v>
      </c>
    </row>
    <row r="1596" spans="1:10" ht="15.75" hidden="1" customHeight="1">
      <c r="A1596" s="23">
        <v>1593</v>
      </c>
      <c r="B1596" s="24" t="s">
        <v>1907</v>
      </c>
      <c r="C1596" s="24" t="s">
        <v>1908</v>
      </c>
      <c r="D1596" s="24" t="s">
        <v>1909</v>
      </c>
      <c r="E1596" s="25">
        <v>20</v>
      </c>
      <c r="F1596" s="25">
        <v>82</v>
      </c>
      <c r="G1596" s="25">
        <v>7</v>
      </c>
      <c r="H1596" s="25"/>
      <c r="I1596" s="22">
        <f t="shared" si="24"/>
        <v>109</v>
      </c>
      <c r="J1596" t="e">
        <f>VLOOKUP(B1596,'[1]KT 광점퍼코드(수익률)'!$A$4:$P$243,16,0)</f>
        <v>#N/A</v>
      </c>
    </row>
    <row r="1597" spans="1:10" ht="15.75" hidden="1" customHeight="1">
      <c r="A1597" s="19">
        <v>1594</v>
      </c>
      <c r="B1597" s="20" t="s">
        <v>1910</v>
      </c>
      <c r="C1597" s="20" t="s">
        <v>1908</v>
      </c>
      <c r="D1597" s="20" t="s">
        <v>1911</v>
      </c>
      <c r="E1597" s="21">
        <v>30</v>
      </c>
      <c r="F1597" s="21">
        <v>65</v>
      </c>
      <c r="G1597" s="21">
        <v>15</v>
      </c>
      <c r="H1597" s="21"/>
      <c r="I1597" s="22">
        <f t="shared" si="24"/>
        <v>110</v>
      </c>
      <c r="J1597" t="e">
        <f>VLOOKUP(B1597,'[1]KT 광점퍼코드(수익률)'!$A$4:$P$243,16,0)</f>
        <v>#N/A</v>
      </c>
    </row>
    <row r="1598" spans="1:10" ht="15.75" hidden="1" customHeight="1">
      <c r="A1598" s="23">
        <v>1595</v>
      </c>
      <c r="B1598" s="24" t="s">
        <v>1912</v>
      </c>
      <c r="C1598" s="24" t="s">
        <v>1908</v>
      </c>
      <c r="D1598" s="24" t="s">
        <v>1913</v>
      </c>
      <c r="E1598" s="25">
        <v>10</v>
      </c>
      <c r="F1598" s="25">
        <v>53</v>
      </c>
      <c r="G1598" s="25">
        <v>75</v>
      </c>
      <c r="H1598" s="25"/>
      <c r="I1598" s="22">
        <f t="shared" si="24"/>
        <v>138</v>
      </c>
      <c r="J1598" t="e">
        <f>VLOOKUP(B1598,'[1]KT 광점퍼코드(수익률)'!$A$4:$P$243,16,0)</f>
        <v>#N/A</v>
      </c>
    </row>
    <row r="1599" spans="1:10" ht="15.75" hidden="1" customHeight="1">
      <c r="A1599" s="19">
        <v>1596</v>
      </c>
      <c r="B1599" s="20" t="s">
        <v>2864</v>
      </c>
      <c r="C1599" s="20" t="s">
        <v>1908</v>
      </c>
      <c r="D1599" s="20" t="s">
        <v>1904</v>
      </c>
      <c r="E1599" s="21"/>
      <c r="F1599" s="21">
        <v>20</v>
      </c>
      <c r="G1599" s="21">
        <v>15</v>
      </c>
      <c r="H1599" s="21"/>
      <c r="I1599" s="22">
        <f t="shared" si="24"/>
        <v>35</v>
      </c>
      <c r="J1599" t="e">
        <f>VLOOKUP(B1599,'[1]KT 광점퍼코드(수익률)'!$A$4:$P$243,16,0)</f>
        <v>#N/A</v>
      </c>
    </row>
    <row r="1600" spans="1:10" ht="15.75" hidden="1" customHeight="1">
      <c r="A1600" s="23">
        <v>1597</v>
      </c>
      <c r="B1600" s="24" t="s">
        <v>3379</v>
      </c>
      <c r="C1600" s="24" t="s">
        <v>1908</v>
      </c>
      <c r="D1600" s="24" t="s">
        <v>2870</v>
      </c>
      <c r="E1600" s="25"/>
      <c r="F1600" s="25"/>
      <c r="G1600" s="25">
        <v>30</v>
      </c>
      <c r="H1600" s="25"/>
      <c r="I1600" s="22">
        <f t="shared" si="24"/>
        <v>30</v>
      </c>
      <c r="J1600" t="e">
        <f>VLOOKUP(B1600,'[1]KT 광점퍼코드(수익률)'!$A$4:$P$243,16,0)</f>
        <v>#N/A</v>
      </c>
    </row>
    <row r="1601" spans="1:10" ht="15.75" hidden="1" customHeight="1">
      <c r="A1601" s="19">
        <v>1598</v>
      </c>
      <c r="B1601" s="20" t="s">
        <v>2865</v>
      </c>
      <c r="C1601" s="20" t="s">
        <v>244</v>
      </c>
      <c r="D1601" s="20" t="s">
        <v>1685</v>
      </c>
      <c r="E1601" s="21"/>
      <c r="F1601" s="21">
        <v>20</v>
      </c>
      <c r="G1601" s="21"/>
      <c r="H1601" s="21"/>
      <c r="I1601" s="22">
        <f t="shared" si="24"/>
        <v>20</v>
      </c>
      <c r="J1601" t="e">
        <f>VLOOKUP(B1601,'[1]KT 광점퍼코드(수익률)'!$A$4:$P$243,16,0)</f>
        <v>#N/A</v>
      </c>
    </row>
    <row r="1602" spans="1:10" ht="15.75" hidden="1" customHeight="1">
      <c r="A1602" s="23">
        <v>1599</v>
      </c>
      <c r="B1602" s="24" t="s">
        <v>1914</v>
      </c>
      <c r="C1602" s="24" t="s">
        <v>211</v>
      </c>
      <c r="D1602" s="24" t="s">
        <v>1783</v>
      </c>
      <c r="E1602" s="25">
        <v>3</v>
      </c>
      <c r="F1602" s="25"/>
      <c r="G1602" s="25"/>
      <c r="H1602" s="25"/>
      <c r="I1602" s="22">
        <f t="shared" si="24"/>
        <v>3</v>
      </c>
      <c r="J1602" t="e">
        <f>VLOOKUP(B1602,'[1]KT 광점퍼코드(수익률)'!$A$4:$P$243,16,0)</f>
        <v>#N/A</v>
      </c>
    </row>
    <row r="1603" spans="1:10" ht="15.75" hidden="1" customHeight="1">
      <c r="A1603" s="19">
        <v>1600</v>
      </c>
      <c r="B1603" s="20" t="s">
        <v>2866</v>
      </c>
      <c r="C1603" s="20" t="s">
        <v>211</v>
      </c>
      <c r="D1603" s="20" t="s">
        <v>1578</v>
      </c>
      <c r="E1603" s="21"/>
      <c r="F1603" s="21">
        <v>34</v>
      </c>
      <c r="G1603" s="21">
        <v>4</v>
      </c>
      <c r="H1603" s="21">
        <v>5</v>
      </c>
      <c r="I1603" s="22">
        <f t="shared" si="24"/>
        <v>43</v>
      </c>
      <c r="J1603" t="e">
        <f>VLOOKUP(B1603,'[1]KT 광점퍼코드(수익률)'!$A$4:$P$243,16,0)</f>
        <v>#N/A</v>
      </c>
    </row>
    <row r="1604" spans="1:10" ht="15.75" hidden="1" customHeight="1">
      <c r="A1604" s="23">
        <v>1601</v>
      </c>
      <c r="B1604" s="24" t="s">
        <v>2867</v>
      </c>
      <c r="C1604" s="24" t="s">
        <v>203</v>
      </c>
      <c r="D1604" s="24" t="s">
        <v>2868</v>
      </c>
      <c r="E1604" s="25"/>
      <c r="F1604" s="25">
        <v>40</v>
      </c>
      <c r="G1604" s="25"/>
      <c r="H1604" s="25"/>
      <c r="I1604" s="22">
        <f t="shared" ref="I1604:I1667" si="25">SUM(E1604:H1604)</f>
        <v>40</v>
      </c>
      <c r="J1604" t="e">
        <f>VLOOKUP(B1604,'[1]KT 광점퍼코드(수익률)'!$A$4:$P$243,16,0)</f>
        <v>#N/A</v>
      </c>
    </row>
    <row r="1605" spans="1:10" ht="15.75" hidden="1" customHeight="1">
      <c r="A1605" s="19">
        <v>1602</v>
      </c>
      <c r="B1605" s="20" t="s">
        <v>3380</v>
      </c>
      <c r="C1605" s="20" t="s">
        <v>1504</v>
      </c>
      <c r="D1605" s="20" t="s">
        <v>3381</v>
      </c>
      <c r="E1605" s="21"/>
      <c r="F1605" s="21"/>
      <c r="G1605" s="21">
        <v>30</v>
      </c>
      <c r="H1605" s="21"/>
      <c r="I1605" s="22">
        <f t="shared" si="25"/>
        <v>30</v>
      </c>
      <c r="J1605" t="e">
        <f>VLOOKUP(B1605,'[1]KT 광점퍼코드(수익률)'!$A$4:$P$243,16,0)</f>
        <v>#N/A</v>
      </c>
    </row>
    <row r="1606" spans="1:10" ht="15.75" hidden="1" customHeight="1">
      <c r="A1606" s="23">
        <v>1603</v>
      </c>
      <c r="B1606" s="24" t="s">
        <v>1915</v>
      </c>
      <c r="C1606" s="24" t="s">
        <v>294</v>
      </c>
      <c r="D1606" s="24" t="s">
        <v>1916</v>
      </c>
      <c r="E1606" s="25">
        <v>100</v>
      </c>
      <c r="F1606" s="25">
        <v>300</v>
      </c>
      <c r="G1606" s="25"/>
      <c r="H1606" s="25"/>
      <c r="I1606" s="22">
        <f t="shared" si="25"/>
        <v>400</v>
      </c>
      <c r="J1606" t="e">
        <f>VLOOKUP(B1606,'[1]KT 광점퍼코드(수익률)'!$A$4:$P$243,16,0)</f>
        <v>#N/A</v>
      </c>
    </row>
    <row r="1607" spans="1:10" ht="15.75" hidden="1" customHeight="1">
      <c r="A1607" s="19">
        <v>1604</v>
      </c>
      <c r="B1607" s="20" t="s">
        <v>1917</v>
      </c>
      <c r="C1607" s="20" t="s">
        <v>271</v>
      </c>
      <c r="D1607" s="20" t="s">
        <v>1918</v>
      </c>
      <c r="E1607" s="21">
        <v>5</v>
      </c>
      <c r="F1607" s="21"/>
      <c r="G1607" s="21"/>
      <c r="H1607" s="21"/>
      <c r="I1607" s="22">
        <f t="shared" si="25"/>
        <v>5</v>
      </c>
      <c r="J1607" t="e">
        <f>VLOOKUP(B1607,'[1]KT 광점퍼코드(수익률)'!$A$4:$P$243,16,0)</f>
        <v>#N/A</v>
      </c>
    </row>
    <row r="1608" spans="1:10" ht="15.75" hidden="1" customHeight="1">
      <c r="A1608" s="23">
        <v>1605</v>
      </c>
      <c r="B1608" s="24" t="s">
        <v>1919</v>
      </c>
      <c r="C1608" s="24" t="s">
        <v>362</v>
      </c>
      <c r="D1608" s="24" t="s">
        <v>1920</v>
      </c>
      <c r="E1608" s="25">
        <v>20</v>
      </c>
      <c r="F1608" s="25">
        <v>347</v>
      </c>
      <c r="G1608" s="25">
        <v>50</v>
      </c>
      <c r="H1608" s="25">
        <v>25</v>
      </c>
      <c r="I1608" s="22">
        <f t="shared" si="25"/>
        <v>442</v>
      </c>
      <c r="J1608" t="e">
        <f>VLOOKUP(B1608,'[1]KT 광점퍼코드(수익률)'!$A$4:$P$243,16,0)</f>
        <v>#N/A</v>
      </c>
    </row>
    <row r="1609" spans="1:10" ht="15.75" hidden="1" customHeight="1">
      <c r="A1609" s="19">
        <v>1606</v>
      </c>
      <c r="B1609" s="20" t="s">
        <v>1921</v>
      </c>
      <c r="C1609" s="20" t="s">
        <v>1908</v>
      </c>
      <c r="D1609" s="20" t="s">
        <v>1922</v>
      </c>
      <c r="E1609" s="21">
        <v>15</v>
      </c>
      <c r="F1609" s="21"/>
      <c r="G1609" s="21"/>
      <c r="H1609" s="21">
        <v>30</v>
      </c>
      <c r="I1609" s="22">
        <f t="shared" si="25"/>
        <v>45</v>
      </c>
      <c r="J1609" t="e">
        <f>VLOOKUP(B1609,'[1]KT 광점퍼코드(수익률)'!$A$4:$P$243,16,0)</f>
        <v>#N/A</v>
      </c>
    </row>
    <row r="1610" spans="1:10" ht="15.75" hidden="1" customHeight="1">
      <c r="A1610" s="23">
        <v>1607</v>
      </c>
      <c r="B1610" s="24" t="s">
        <v>2869</v>
      </c>
      <c r="C1610" s="24" t="s">
        <v>362</v>
      </c>
      <c r="D1610" s="24" t="s">
        <v>2870</v>
      </c>
      <c r="E1610" s="25"/>
      <c r="F1610" s="25">
        <v>7</v>
      </c>
      <c r="G1610" s="25"/>
      <c r="H1610" s="25"/>
      <c r="I1610" s="22">
        <f t="shared" si="25"/>
        <v>7</v>
      </c>
      <c r="J1610" t="e">
        <f>VLOOKUP(B1610,'[1]KT 광점퍼코드(수익률)'!$A$4:$P$243,16,0)</f>
        <v>#N/A</v>
      </c>
    </row>
    <row r="1611" spans="1:10" ht="15.75" hidden="1" customHeight="1">
      <c r="A1611" s="19">
        <v>1608</v>
      </c>
      <c r="B1611" s="20" t="s">
        <v>2871</v>
      </c>
      <c r="C1611" s="20" t="s">
        <v>362</v>
      </c>
      <c r="D1611" s="20" t="s">
        <v>1678</v>
      </c>
      <c r="E1611" s="21"/>
      <c r="F1611" s="21">
        <v>7</v>
      </c>
      <c r="G1611" s="21"/>
      <c r="H1611" s="21"/>
      <c r="I1611" s="22">
        <f t="shared" si="25"/>
        <v>7</v>
      </c>
      <c r="J1611" t="e">
        <f>VLOOKUP(B1611,'[1]KT 광점퍼코드(수익률)'!$A$4:$P$243,16,0)</f>
        <v>#N/A</v>
      </c>
    </row>
    <row r="1612" spans="1:10" ht="15.75" hidden="1" customHeight="1">
      <c r="A1612" s="23">
        <v>1609</v>
      </c>
      <c r="B1612" s="24" t="s">
        <v>1923</v>
      </c>
      <c r="C1612" s="24" t="s">
        <v>244</v>
      </c>
      <c r="D1612" s="24" t="s">
        <v>1722</v>
      </c>
      <c r="E1612" s="25">
        <v>20</v>
      </c>
      <c r="F1612" s="25"/>
      <c r="G1612" s="25"/>
      <c r="H1612" s="25"/>
      <c r="I1612" s="22">
        <f t="shared" si="25"/>
        <v>20</v>
      </c>
      <c r="J1612" t="e">
        <f>VLOOKUP(B1612,'[1]KT 광점퍼코드(수익률)'!$A$4:$P$243,16,0)</f>
        <v>#N/A</v>
      </c>
    </row>
    <row r="1613" spans="1:10" ht="15.75" hidden="1" customHeight="1">
      <c r="A1613" s="19">
        <v>1610</v>
      </c>
      <c r="B1613" s="20" t="s">
        <v>2872</v>
      </c>
      <c r="C1613" s="20" t="s">
        <v>1943</v>
      </c>
      <c r="D1613" s="20" t="s">
        <v>2873</v>
      </c>
      <c r="E1613" s="21"/>
      <c r="F1613" s="21">
        <v>2</v>
      </c>
      <c r="G1613" s="21"/>
      <c r="H1613" s="21"/>
      <c r="I1613" s="22">
        <f t="shared" si="25"/>
        <v>2</v>
      </c>
      <c r="J1613" t="e">
        <f>VLOOKUP(B1613,'[1]KT 광점퍼코드(수익률)'!$A$4:$P$243,16,0)</f>
        <v>#N/A</v>
      </c>
    </row>
    <row r="1614" spans="1:10" ht="15.75" hidden="1" customHeight="1">
      <c r="A1614" s="23">
        <v>1611</v>
      </c>
      <c r="B1614" s="24" t="s">
        <v>3382</v>
      </c>
      <c r="C1614" s="24" t="s">
        <v>253</v>
      </c>
      <c r="D1614" s="24" t="s">
        <v>3383</v>
      </c>
      <c r="E1614" s="25"/>
      <c r="F1614" s="25"/>
      <c r="G1614" s="25">
        <v>2</v>
      </c>
      <c r="H1614" s="25"/>
      <c r="I1614" s="22">
        <f t="shared" si="25"/>
        <v>2</v>
      </c>
      <c r="J1614" t="e">
        <f>VLOOKUP(B1614,'[1]KT 광점퍼코드(수익률)'!$A$4:$P$243,16,0)</f>
        <v>#N/A</v>
      </c>
    </row>
    <row r="1615" spans="1:10" ht="15.75" hidden="1" customHeight="1">
      <c r="A1615" s="19">
        <v>1612</v>
      </c>
      <c r="B1615" s="20" t="s">
        <v>3384</v>
      </c>
      <c r="C1615" s="20" t="s">
        <v>253</v>
      </c>
      <c r="D1615" s="20" t="s">
        <v>1906</v>
      </c>
      <c r="E1615" s="21"/>
      <c r="F1615" s="21"/>
      <c r="G1615" s="21">
        <v>17</v>
      </c>
      <c r="H1615" s="21"/>
      <c r="I1615" s="22">
        <f t="shared" si="25"/>
        <v>17</v>
      </c>
      <c r="J1615" t="e">
        <f>VLOOKUP(B1615,'[1]KT 광점퍼코드(수익률)'!$A$4:$P$243,16,0)</f>
        <v>#N/A</v>
      </c>
    </row>
    <row r="1616" spans="1:10" ht="15.75" hidden="1" customHeight="1">
      <c r="A1616" s="23">
        <v>1613</v>
      </c>
      <c r="B1616" s="24" t="s">
        <v>3385</v>
      </c>
      <c r="C1616" s="24" t="s">
        <v>211</v>
      </c>
      <c r="D1616" s="24" t="s">
        <v>1691</v>
      </c>
      <c r="E1616" s="25"/>
      <c r="F1616" s="25"/>
      <c r="G1616" s="25">
        <v>2</v>
      </c>
      <c r="H1616" s="25"/>
      <c r="I1616" s="22">
        <f t="shared" si="25"/>
        <v>2</v>
      </c>
      <c r="J1616" t="e">
        <f>VLOOKUP(B1616,'[1]KT 광점퍼코드(수익률)'!$A$4:$P$243,16,0)</f>
        <v>#N/A</v>
      </c>
    </row>
    <row r="1617" spans="1:10" ht="15.75" hidden="1" customHeight="1">
      <c r="A1617" s="19">
        <v>1614</v>
      </c>
      <c r="B1617" s="20" t="s">
        <v>3386</v>
      </c>
      <c r="C1617" s="20" t="s">
        <v>271</v>
      </c>
      <c r="D1617" s="20" t="s">
        <v>3387</v>
      </c>
      <c r="E1617" s="21"/>
      <c r="F1617" s="21"/>
      <c r="G1617" s="21">
        <v>12</v>
      </c>
      <c r="H1617" s="21"/>
      <c r="I1617" s="22">
        <f t="shared" si="25"/>
        <v>12</v>
      </c>
      <c r="J1617" t="e">
        <f>VLOOKUP(B1617,'[1]KT 광점퍼코드(수익률)'!$A$4:$P$243,16,0)</f>
        <v>#N/A</v>
      </c>
    </row>
    <row r="1618" spans="1:10" ht="15.75" hidden="1" customHeight="1">
      <c r="A1618" s="23">
        <v>1615</v>
      </c>
      <c r="B1618" s="24" t="s">
        <v>1924</v>
      </c>
      <c r="C1618" s="24" t="s">
        <v>1925</v>
      </c>
      <c r="D1618" s="24" t="s">
        <v>1911</v>
      </c>
      <c r="E1618" s="25">
        <v>10</v>
      </c>
      <c r="F1618" s="25">
        <v>17</v>
      </c>
      <c r="G1618" s="25"/>
      <c r="H1618" s="25"/>
      <c r="I1618" s="22">
        <f t="shared" si="25"/>
        <v>27</v>
      </c>
      <c r="J1618" t="e">
        <f>VLOOKUP(B1618,'[1]KT 광점퍼코드(수익률)'!$A$4:$P$243,16,0)</f>
        <v>#N/A</v>
      </c>
    </row>
    <row r="1619" spans="1:10" ht="15.75" hidden="1" customHeight="1">
      <c r="A1619" s="19">
        <v>1616</v>
      </c>
      <c r="B1619" s="20" t="s">
        <v>1926</v>
      </c>
      <c r="C1619" s="20" t="s">
        <v>362</v>
      </c>
      <c r="D1619" s="20" t="s">
        <v>1927</v>
      </c>
      <c r="E1619" s="21">
        <v>5</v>
      </c>
      <c r="F1619" s="21">
        <v>20</v>
      </c>
      <c r="G1619" s="21"/>
      <c r="H1619" s="21"/>
      <c r="I1619" s="22">
        <f t="shared" si="25"/>
        <v>25</v>
      </c>
      <c r="J1619" t="e">
        <f>VLOOKUP(B1619,'[1]KT 광점퍼코드(수익률)'!$A$4:$P$243,16,0)</f>
        <v>#N/A</v>
      </c>
    </row>
    <row r="1620" spans="1:10" ht="15.75" hidden="1" customHeight="1">
      <c r="A1620" s="23">
        <v>1617</v>
      </c>
      <c r="B1620" s="24" t="s">
        <v>1928</v>
      </c>
      <c r="C1620" s="24" t="s">
        <v>1929</v>
      </c>
      <c r="D1620" s="24" t="s">
        <v>1913</v>
      </c>
      <c r="E1620" s="25">
        <v>10</v>
      </c>
      <c r="F1620" s="25">
        <v>26</v>
      </c>
      <c r="G1620" s="25">
        <v>20</v>
      </c>
      <c r="H1620" s="25"/>
      <c r="I1620" s="22">
        <f t="shared" si="25"/>
        <v>56</v>
      </c>
      <c r="J1620" t="e">
        <f>VLOOKUP(B1620,'[1]KT 광점퍼코드(수익률)'!$A$4:$P$243,16,0)</f>
        <v>#N/A</v>
      </c>
    </row>
    <row r="1621" spans="1:10" ht="15.75" hidden="1" customHeight="1">
      <c r="A1621" s="19">
        <v>1618</v>
      </c>
      <c r="B1621" s="20" t="s">
        <v>1930</v>
      </c>
      <c r="C1621" s="20" t="s">
        <v>1929</v>
      </c>
      <c r="D1621" s="20" t="s">
        <v>1911</v>
      </c>
      <c r="E1621" s="21">
        <v>10</v>
      </c>
      <c r="F1621" s="21">
        <v>20</v>
      </c>
      <c r="G1621" s="21">
        <v>5</v>
      </c>
      <c r="H1621" s="21"/>
      <c r="I1621" s="22">
        <f t="shared" si="25"/>
        <v>35</v>
      </c>
      <c r="J1621" t="e">
        <f>VLOOKUP(B1621,'[1]KT 광점퍼코드(수익률)'!$A$4:$P$243,16,0)</f>
        <v>#N/A</v>
      </c>
    </row>
    <row r="1622" spans="1:10" ht="15.75" hidden="1" customHeight="1">
      <c r="A1622" s="23">
        <v>1619</v>
      </c>
      <c r="B1622" s="24" t="s">
        <v>1931</v>
      </c>
      <c r="C1622" s="24" t="s">
        <v>362</v>
      </c>
      <c r="D1622" s="24" t="s">
        <v>1932</v>
      </c>
      <c r="E1622" s="25">
        <v>141</v>
      </c>
      <c r="F1622" s="25">
        <v>504</v>
      </c>
      <c r="G1622" s="25">
        <v>112</v>
      </c>
      <c r="H1622" s="25"/>
      <c r="I1622" s="22">
        <f t="shared" si="25"/>
        <v>757</v>
      </c>
      <c r="J1622" t="e">
        <f>VLOOKUP(B1622,'[1]KT 광점퍼코드(수익률)'!$A$4:$P$243,16,0)</f>
        <v>#N/A</v>
      </c>
    </row>
    <row r="1623" spans="1:10" ht="15.75" hidden="1" customHeight="1">
      <c r="A1623" s="19">
        <v>1620</v>
      </c>
      <c r="B1623" s="20" t="s">
        <v>2874</v>
      </c>
      <c r="C1623" s="20" t="s">
        <v>362</v>
      </c>
      <c r="D1623" s="20" t="s">
        <v>2875</v>
      </c>
      <c r="E1623" s="21"/>
      <c r="F1623" s="21">
        <v>38</v>
      </c>
      <c r="G1623" s="21"/>
      <c r="H1623" s="21"/>
      <c r="I1623" s="22">
        <f t="shared" si="25"/>
        <v>38</v>
      </c>
      <c r="J1623" t="e">
        <f>VLOOKUP(B1623,'[1]KT 광점퍼코드(수익률)'!$A$4:$P$243,16,0)</f>
        <v>#N/A</v>
      </c>
    </row>
    <row r="1624" spans="1:10" ht="15.75" hidden="1" customHeight="1">
      <c r="A1624" s="23">
        <v>1621</v>
      </c>
      <c r="B1624" s="24" t="s">
        <v>2876</v>
      </c>
      <c r="C1624" s="24" t="s">
        <v>362</v>
      </c>
      <c r="D1624" s="24" t="s">
        <v>1700</v>
      </c>
      <c r="E1624" s="25"/>
      <c r="F1624" s="25">
        <v>30</v>
      </c>
      <c r="G1624" s="25"/>
      <c r="H1624" s="25"/>
      <c r="I1624" s="22">
        <f t="shared" si="25"/>
        <v>30</v>
      </c>
      <c r="J1624" t="e">
        <f>VLOOKUP(B1624,'[1]KT 광점퍼코드(수익률)'!$A$4:$P$243,16,0)</f>
        <v>#N/A</v>
      </c>
    </row>
    <row r="1625" spans="1:10" ht="15.75" hidden="1" customHeight="1">
      <c r="A1625" s="19">
        <v>1622</v>
      </c>
      <c r="B1625" s="20" t="s">
        <v>1933</v>
      </c>
      <c r="C1625" s="20" t="s">
        <v>1925</v>
      </c>
      <c r="D1625" s="20" t="s">
        <v>1909</v>
      </c>
      <c r="E1625" s="21">
        <v>10</v>
      </c>
      <c r="F1625" s="21">
        <v>15</v>
      </c>
      <c r="G1625" s="21"/>
      <c r="H1625" s="21"/>
      <c r="I1625" s="22">
        <f t="shared" si="25"/>
        <v>25</v>
      </c>
      <c r="J1625" t="e">
        <f>VLOOKUP(B1625,'[1]KT 광점퍼코드(수익률)'!$A$4:$P$243,16,0)</f>
        <v>#N/A</v>
      </c>
    </row>
    <row r="1626" spans="1:10" ht="15.75" hidden="1" customHeight="1">
      <c r="A1626" s="23">
        <v>1623</v>
      </c>
      <c r="B1626" s="24" t="s">
        <v>2877</v>
      </c>
      <c r="C1626" s="24" t="s">
        <v>1925</v>
      </c>
      <c r="D1626" s="24" t="s">
        <v>1913</v>
      </c>
      <c r="E1626" s="25"/>
      <c r="F1626" s="25">
        <v>36</v>
      </c>
      <c r="G1626" s="25">
        <v>45</v>
      </c>
      <c r="H1626" s="25"/>
      <c r="I1626" s="22">
        <f t="shared" si="25"/>
        <v>81</v>
      </c>
      <c r="J1626" t="e">
        <f>VLOOKUP(B1626,'[1]KT 광점퍼코드(수익률)'!$A$4:$P$243,16,0)</f>
        <v>#N/A</v>
      </c>
    </row>
    <row r="1627" spans="1:10" ht="15.75" hidden="1" customHeight="1">
      <c r="A1627" s="19">
        <v>1624</v>
      </c>
      <c r="B1627" s="20" t="s">
        <v>2878</v>
      </c>
      <c r="C1627" s="20" t="s">
        <v>362</v>
      </c>
      <c r="D1627" s="20" t="s">
        <v>2302</v>
      </c>
      <c r="E1627" s="21"/>
      <c r="F1627" s="21">
        <v>5</v>
      </c>
      <c r="G1627" s="21"/>
      <c r="H1627" s="21"/>
      <c r="I1627" s="22">
        <f t="shared" si="25"/>
        <v>5</v>
      </c>
      <c r="J1627" t="e">
        <f>VLOOKUP(B1627,'[1]KT 광점퍼코드(수익률)'!$A$4:$P$243,16,0)</f>
        <v>#N/A</v>
      </c>
    </row>
    <row r="1628" spans="1:10" ht="15.75" hidden="1" customHeight="1">
      <c r="A1628" s="23">
        <v>1625</v>
      </c>
      <c r="B1628" s="24" t="s">
        <v>1934</v>
      </c>
      <c r="C1628" s="24" t="s">
        <v>362</v>
      </c>
      <c r="D1628" s="24" t="s">
        <v>1935</v>
      </c>
      <c r="E1628" s="25">
        <v>20</v>
      </c>
      <c r="F1628" s="25">
        <v>20</v>
      </c>
      <c r="G1628" s="25"/>
      <c r="H1628" s="25">
        <v>50</v>
      </c>
      <c r="I1628" s="22">
        <f t="shared" si="25"/>
        <v>90</v>
      </c>
      <c r="J1628" t="e">
        <f>VLOOKUP(B1628,'[1]KT 광점퍼코드(수익률)'!$A$4:$P$243,16,0)</f>
        <v>#N/A</v>
      </c>
    </row>
    <row r="1629" spans="1:10" ht="15.75" hidden="1" customHeight="1">
      <c r="A1629" s="19">
        <v>1626</v>
      </c>
      <c r="B1629" s="20" t="s">
        <v>1936</v>
      </c>
      <c r="C1629" s="20" t="s">
        <v>1937</v>
      </c>
      <c r="D1629" s="20" t="s">
        <v>1911</v>
      </c>
      <c r="E1629" s="21">
        <v>5</v>
      </c>
      <c r="F1629" s="21">
        <v>10</v>
      </c>
      <c r="G1629" s="21"/>
      <c r="H1629" s="21"/>
      <c r="I1629" s="22">
        <f t="shared" si="25"/>
        <v>15</v>
      </c>
      <c r="J1629" t="e">
        <f>VLOOKUP(B1629,'[1]KT 광점퍼코드(수익률)'!$A$4:$P$243,16,0)</f>
        <v>#N/A</v>
      </c>
    </row>
    <row r="1630" spans="1:10" ht="15.75" hidden="1" customHeight="1">
      <c r="A1630" s="23">
        <v>1627</v>
      </c>
      <c r="B1630" s="24" t="s">
        <v>1938</v>
      </c>
      <c r="C1630" s="24" t="s">
        <v>1929</v>
      </c>
      <c r="D1630" s="24" t="s">
        <v>1909</v>
      </c>
      <c r="E1630" s="25">
        <v>5</v>
      </c>
      <c r="F1630" s="25">
        <v>3</v>
      </c>
      <c r="G1630" s="25"/>
      <c r="H1630" s="25"/>
      <c r="I1630" s="22">
        <f t="shared" si="25"/>
        <v>8</v>
      </c>
      <c r="J1630" t="e">
        <f>VLOOKUP(B1630,'[1]KT 광점퍼코드(수익률)'!$A$4:$P$243,16,0)</f>
        <v>#N/A</v>
      </c>
    </row>
    <row r="1631" spans="1:10" ht="15.75" hidden="1" customHeight="1">
      <c r="A1631" s="19">
        <v>1628</v>
      </c>
      <c r="B1631" s="20" t="s">
        <v>1939</v>
      </c>
      <c r="C1631" s="20" t="s">
        <v>362</v>
      </c>
      <c r="D1631" s="20" t="s">
        <v>1940</v>
      </c>
      <c r="E1631" s="21">
        <v>50</v>
      </c>
      <c r="F1631" s="21">
        <v>302</v>
      </c>
      <c r="G1631" s="21">
        <v>2</v>
      </c>
      <c r="H1631" s="21"/>
      <c r="I1631" s="22">
        <f t="shared" si="25"/>
        <v>354</v>
      </c>
      <c r="J1631" t="e">
        <f>VLOOKUP(B1631,'[1]KT 광점퍼코드(수익률)'!$A$4:$P$243,16,0)</f>
        <v>#N/A</v>
      </c>
    </row>
    <row r="1632" spans="1:10" ht="15.75" hidden="1" customHeight="1">
      <c r="A1632" s="23">
        <v>1629</v>
      </c>
      <c r="B1632" s="24" t="s">
        <v>1941</v>
      </c>
      <c r="C1632" s="24" t="s">
        <v>1908</v>
      </c>
      <c r="D1632" s="24" t="s">
        <v>45</v>
      </c>
      <c r="E1632" s="25">
        <v>10</v>
      </c>
      <c r="F1632" s="25"/>
      <c r="G1632" s="25">
        <v>5</v>
      </c>
      <c r="H1632" s="25"/>
      <c r="I1632" s="22">
        <f t="shared" si="25"/>
        <v>15</v>
      </c>
      <c r="J1632" t="e">
        <f>VLOOKUP(B1632,'[1]KT 광점퍼코드(수익률)'!$A$4:$P$243,16,0)</f>
        <v>#N/A</v>
      </c>
    </row>
    <row r="1633" spans="1:10" ht="15.75" hidden="1" customHeight="1">
      <c r="A1633" s="19">
        <v>1630</v>
      </c>
      <c r="B1633" s="20" t="s">
        <v>1942</v>
      </c>
      <c r="C1633" s="20" t="s">
        <v>1943</v>
      </c>
      <c r="D1633" s="20" t="s">
        <v>45</v>
      </c>
      <c r="E1633" s="21">
        <v>10</v>
      </c>
      <c r="F1633" s="21">
        <v>20</v>
      </c>
      <c r="G1633" s="21"/>
      <c r="H1633" s="21"/>
      <c r="I1633" s="22">
        <f t="shared" si="25"/>
        <v>30</v>
      </c>
      <c r="J1633" t="e">
        <f>VLOOKUP(B1633,'[1]KT 광점퍼코드(수익률)'!$A$4:$P$243,16,0)</f>
        <v>#N/A</v>
      </c>
    </row>
    <row r="1634" spans="1:10" ht="15.75" hidden="1" customHeight="1">
      <c r="A1634" s="23">
        <v>1631</v>
      </c>
      <c r="B1634" s="24" t="s">
        <v>1944</v>
      </c>
      <c r="C1634" s="24" t="s">
        <v>1943</v>
      </c>
      <c r="D1634" s="24" t="s">
        <v>1909</v>
      </c>
      <c r="E1634" s="25">
        <v>5</v>
      </c>
      <c r="F1634" s="25">
        <v>1</v>
      </c>
      <c r="G1634" s="25"/>
      <c r="H1634" s="25"/>
      <c r="I1634" s="22">
        <f t="shared" si="25"/>
        <v>6</v>
      </c>
      <c r="J1634" t="e">
        <f>VLOOKUP(B1634,'[1]KT 광점퍼코드(수익률)'!$A$4:$P$243,16,0)</f>
        <v>#N/A</v>
      </c>
    </row>
    <row r="1635" spans="1:10" ht="15.75" hidden="1" customHeight="1">
      <c r="A1635" s="19">
        <v>1632</v>
      </c>
      <c r="B1635" s="20" t="s">
        <v>1945</v>
      </c>
      <c r="C1635" s="20" t="s">
        <v>362</v>
      </c>
      <c r="D1635" s="20" t="s">
        <v>1946</v>
      </c>
      <c r="E1635" s="21">
        <v>130</v>
      </c>
      <c r="F1635" s="21"/>
      <c r="G1635" s="21"/>
      <c r="H1635" s="21"/>
      <c r="I1635" s="22">
        <f t="shared" si="25"/>
        <v>130</v>
      </c>
      <c r="J1635" t="e">
        <f>VLOOKUP(B1635,'[1]KT 광점퍼코드(수익률)'!$A$4:$P$243,16,0)</f>
        <v>#N/A</v>
      </c>
    </row>
    <row r="1636" spans="1:10" ht="15.75" hidden="1" customHeight="1">
      <c r="A1636" s="23">
        <v>1633</v>
      </c>
      <c r="B1636" s="24" t="s">
        <v>1947</v>
      </c>
      <c r="C1636" s="24" t="s">
        <v>1937</v>
      </c>
      <c r="D1636" s="24" t="s">
        <v>45</v>
      </c>
      <c r="E1636" s="25">
        <v>10</v>
      </c>
      <c r="F1636" s="25"/>
      <c r="G1636" s="25"/>
      <c r="H1636" s="25"/>
      <c r="I1636" s="22">
        <f t="shared" si="25"/>
        <v>10</v>
      </c>
      <c r="J1636" t="e">
        <f>VLOOKUP(B1636,'[1]KT 광점퍼코드(수익률)'!$A$4:$P$243,16,0)</f>
        <v>#N/A</v>
      </c>
    </row>
    <row r="1637" spans="1:10" ht="15.75" hidden="1" customHeight="1">
      <c r="A1637" s="19">
        <v>1634</v>
      </c>
      <c r="B1637" s="20" t="s">
        <v>1948</v>
      </c>
      <c r="C1637" s="20" t="s">
        <v>1937</v>
      </c>
      <c r="D1637" s="20" t="s">
        <v>1949</v>
      </c>
      <c r="E1637" s="21">
        <v>30</v>
      </c>
      <c r="F1637" s="21"/>
      <c r="G1637" s="21"/>
      <c r="H1637" s="21"/>
      <c r="I1637" s="22">
        <f t="shared" si="25"/>
        <v>30</v>
      </c>
      <c r="J1637" t="e">
        <f>VLOOKUP(B1637,'[1]KT 광점퍼코드(수익률)'!$A$4:$P$243,16,0)</f>
        <v>#N/A</v>
      </c>
    </row>
    <row r="1638" spans="1:10" ht="15.75" hidden="1" customHeight="1">
      <c r="A1638" s="23">
        <v>1635</v>
      </c>
      <c r="B1638" s="24" t="s">
        <v>1950</v>
      </c>
      <c r="C1638" s="24" t="s">
        <v>244</v>
      </c>
      <c r="D1638" s="24" t="s">
        <v>1689</v>
      </c>
      <c r="E1638" s="25">
        <v>1</v>
      </c>
      <c r="F1638" s="25"/>
      <c r="G1638" s="25"/>
      <c r="H1638" s="25"/>
      <c r="I1638" s="22">
        <f t="shared" si="25"/>
        <v>1</v>
      </c>
      <c r="J1638" t="e">
        <f>VLOOKUP(B1638,'[1]KT 광점퍼코드(수익률)'!$A$4:$P$243,16,0)</f>
        <v>#N/A</v>
      </c>
    </row>
    <row r="1639" spans="1:10" ht="15.75" hidden="1" customHeight="1">
      <c r="A1639" s="19">
        <v>1636</v>
      </c>
      <c r="B1639" s="20" t="s">
        <v>1951</v>
      </c>
      <c r="C1639" s="20" t="s">
        <v>263</v>
      </c>
      <c r="D1639" s="20" t="s">
        <v>1689</v>
      </c>
      <c r="E1639" s="21">
        <v>1</v>
      </c>
      <c r="F1639" s="21">
        <v>3</v>
      </c>
      <c r="G1639" s="21"/>
      <c r="H1639" s="21"/>
      <c r="I1639" s="22">
        <f t="shared" si="25"/>
        <v>4</v>
      </c>
      <c r="J1639" t="e">
        <f>VLOOKUP(B1639,'[1]KT 광점퍼코드(수익률)'!$A$4:$P$243,16,0)</f>
        <v>#N/A</v>
      </c>
    </row>
    <row r="1640" spans="1:10" ht="15.75" hidden="1" customHeight="1">
      <c r="A1640" s="23">
        <v>1637</v>
      </c>
      <c r="B1640" s="24" t="s">
        <v>2879</v>
      </c>
      <c r="C1640" s="24" t="s">
        <v>1943</v>
      </c>
      <c r="D1640" s="24" t="s">
        <v>1913</v>
      </c>
      <c r="E1640" s="25"/>
      <c r="F1640" s="25">
        <v>6</v>
      </c>
      <c r="G1640" s="25"/>
      <c r="H1640" s="25"/>
      <c r="I1640" s="22">
        <f t="shared" si="25"/>
        <v>6</v>
      </c>
      <c r="J1640" t="e">
        <f>VLOOKUP(B1640,'[1]KT 광점퍼코드(수익률)'!$A$4:$P$243,16,0)</f>
        <v>#N/A</v>
      </c>
    </row>
    <row r="1641" spans="1:10" ht="15.75" hidden="1" customHeight="1">
      <c r="A1641" s="19">
        <v>1638</v>
      </c>
      <c r="B1641" s="20" t="s">
        <v>1952</v>
      </c>
      <c r="C1641" s="20" t="s">
        <v>1937</v>
      </c>
      <c r="D1641" s="20" t="s">
        <v>1953</v>
      </c>
      <c r="E1641" s="21">
        <v>10</v>
      </c>
      <c r="F1641" s="21"/>
      <c r="G1641" s="21"/>
      <c r="H1641" s="21"/>
      <c r="I1641" s="22">
        <f t="shared" si="25"/>
        <v>10</v>
      </c>
      <c r="J1641" t="e">
        <f>VLOOKUP(B1641,'[1]KT 광점퍼코드(수익률)'!$A$4:$P$243,16,0)</f>
        <v>#N/A</v>
      </c>
    </row>
    <row r="1642" spans="1:10" ht="15.75" hidden="1" customHeight="1">
      <c r="A1642" s="23">
        <v>1639</v>
      </c>
      <c r="B1642" s="24" t="s">
        <v>2880</v>
      </c>
      <c r="C1642" s="24" t="s">
        <v>1929</v>
      </c>
      <c r="D1642" s="24" t="s">
        <v>1904</v>
      </c>
      <c r="E1642" s="25"/>
      <c r="F1642" s="25">
        <v>5</v>
      </c>
      <c r="G1642" s="25"/>
      <c r="H1642" s="25"/>
      <c r="I1642" s="22">
        <f t="shared" si="25"/>
        <v>5</v>
      </c>
      <c r="J1642" t="e">
        <f>VLOOKUP(B1642,'[1]KT 광점퍼코드(수익률)'!$A$4:$P$243,16,0)</f>
        <v>#N/A</v>
      </c>
    </row>
    <row r="1643" spans="1:10" ht="15.75" hidden="1" customHeight="1">
      <c r="A1643" s="19">
        <v>1640</v>
      </c>
      <c r="B1643" s="20" t="s">
        <v>2881</v>
      </c>
      <c r="C1643" s="20" t="s">
        <v>1350</v>
      </c>
      <c r="D1643" s="20" t="s">
        <v>2882</v>
      </c>
      <c r="E1643" s="21"/>
      <c r="F1643" s="21">
        <v>10</v>
      </c>
      <c r="G1643" s="21">
        <v>7</v>
      </c>
      <c r="H1643" s="21"/>
      <c r="I1643" s="22">
        <f t="shared" si="25"/>
        <v>17</v>
      </c>
      <c r="J1643" t="e">
        <f>VLOOKUP(B1643,'[1]KT 광점퍼코드(수익률)'!$A$4:$P$243,16,0)</f>
        <v>#N/A</v>
      </c>
    </row>
    <row r="1644" spans="1:10" ht="15.75" hidden="1" customHeight="1">
      <c r="A1644" s="23">
        <v>1641</v>
      </c>
      <c r="B1644" s="24" t="s">
        <v>3388</v>
      </c>
      <c r="C1644" s="24" t="s">
        <v>1350</v>
      </c>
      <c r="D1644" s="24" t="s">
        <v>3389</v>
      </c>
      <c r="E1644" s="25"/>
      <c r="F1644" s="25"/>
      <c r="G1644" s="25">
        <v>30</v>
      </c>
      <c r="H1644" s="25"/>
      <c r="I1644" s="22">
        <f t="shared" si="25"/>
        <v>30</v>
      </c>
      <c r="J1644" t="e">
        <f>VLOOKUP(B1644,'[1]KT 광점퍼코드(수익률)'!$A$4:$P$243,16,0)</f>
        <v>#N/A</v>
      </c>
    </row>
    <row r="1645" spans="1:10" ht="15.75" hidden="1" customHeight="1">
      <c r="A1645" s="19">
        <v>1642</v>
      </c>
      <c r="B1645" s="20" t="s">
        <v>2883</v>
      </c>
      <c r="C1645" s="20" t="s">
        <v>1350</v>
      </c>
      <c r="D1645" s="20" t="s">
        <v>2884</v>
      </c>
      <c r="E1645" s="21"/>
      <c r="F1645" s="21">
        <v>2</v>
      </c>
      <c r="G1645" s="21">
        <v>6</v>
      </c>
      <c r="H1645" s="21"/>
      <c r="I1645" s="22">
        <f t="shared" si="25"/>
        <v>8</v>
      </c>
      <c r="J1645" t="e">
        <f>VLOOKUP(B1645,'[1]KT 광점퍼코드(수익률)'!$A$4:$P$243,16,0)</f>
        <v>#N/A</v>
      </c>
    </row>
    <row r="1646" spans="1:10" ht="15.75" hidden="1" customHeight="1">
      <c r="A1646" s="23">
        <v>1643</v>
      </c>
      <c r="B1646" s="24" t="s">
        <v>1954</v>
      </c>
      <c r="C1646" s="24" t="s">
        <v>1955</v>
      </c>
      <c r="D1646" s="24" t="s">
        <v>1956</v>
      </c>
      <c r="E1646" s="25">
        <v>4</v>
      </c>
      <c r="F1646" s="25"/>
      <c r="G1646" s="25"/>
      <c r="H1646" s="25"/>
      <c r="I1646" s="22">
        <f t="shared" si="25"/>
        <v>4</v>
      </c>
      <c r="J1646" t="e">
        <f>VLOOKUP(B1646,'[1]KT 광점퍼코드(수익률)'!$A$4:$P$243,16,0)</f>
        <v>#N/A</v>
      </c>
    </row>
    <row r="1647" spans="1:10" ht="15.75" hidden="1" customHeight="1">
      <c r="A1647" s="19">
        <v>1644</v>
      </c>
      <c r="B1647" s="20" t="s">
        <v>1957</v>
      </c>
      <c r="C1647" s="20" t="s">
        <v>1955</v>
      </c>
      <c r="D1647" s="20" t="s">
        <v>1958</v>
      </c>
      <c r="E1647" s="21">
        <v>2</v>
      </c>
      <c r="F1647" s="21">
        <v>4</v>
      </c>
      <c r="G1647" s="21"/>
      <c r="H1647" s="21"/>
      <c r="I1647" s="22">
        <f t="shared" si="25"/>
        <v>6</v>
      </c>
      <c r="J1647" t="e">
        <f>VLOOKUP(B1647,'[1]KT 광점퍼코드(수익률)'!$A$4:$P$243,16,0)</f>
        <v>#N/A</v>
      </c>
    </row>
    <row r="1648" spans="1:10" ht="15.75" hidden="1" customHeight="1">
      <c r="A1648" s="23">
        <v>1645</v>
      </c>
      <c r="B1648" s="24" t="s">
        <v>3390</v>
      </c>
      <c r="C1648" s="24" t="s">
        <v>3391</v>
      </c>
      <c r="D1648" s="24" t="s">
        <v>3392</v>
      </c>
      <c r="E1648" s="25"/>
      <c r="F1648" s="25"/>
      <c r="G1648" s="25">
        <v>1</v>
      </c>
      <c r="H1648" s="25"/>
      <c r="I1648" s="22">
        <f t="shared" si="25"/>
        <v>1</v>
      </c>
      <c r="J1648" t="e">
        <f>VLOOKUP(B1648,'[1]KT 광점퍼코드(수익률)'!$A$4:$P$243,16,0)</f>
        <v>#N/A</v>
      </c>
    </row>
    <row r="1649" spans="1:10" ht="15.75" hidden="1" customHeight="1">
      <c r="A1649" s="19">
        <v>1646</v>
      </c>
      <c r="B1649" s="20" t="s">
        <v>2885</v>
      </c>
      <c r="C1649" s="20" t="s">
        <v>2886</v>
      </c>
      <c r="D1649" s="20" t="s">
        <v>2887</v>
      </c>
      <c r="E1649" s="21"/>
      <c r="F1649" s="21">
        <v>3</v>
      </c>
      <c r="G1649" s="21"/>
      <c r="H1649" s="21"/>
      <c r="I1649" s="22">
        <f t="shared" si="25"/>
        <v>3</v>
      </c>
      <c r="J1649" t="e">
        <f>VLOOKUP(B1649,'[1]KT 광점퍼코드(수익률)'!$A$4:$P$243,16,0)</f>
        <v>#N/A</v>
      </c>
    </row>
    <row r="1650" spans="1:10" ht="15.75" hidden="1" customHeight="1">
      <c r="A1650" s="23">
        <v>1647</v>
      </c>
      <c r="B1650" s="24" t="s">
        <v>1959</v>
      </c>
      <c r="C1650" s="24" t="s">
        <v>1370</v>
      </c>
      <c r="D1650" s="24" t="s">
        <v>1960</v>
      </c>
      <c r="E1650" s="25">
        <v>1</v>
      </c>
      <c r="F1650" s="25"/>
      <c r="G1650" s="25"/>
      <c r="H1650" s="25"/>
      <c r="I1650" s="22">
        <f t="shared" si="25"/>
        <v>1</v>
      </c>
      <c r="J1650" t="e">
        <f>VLOOKUP(B1650,'[1]KT 광점퍼코드(수익률)'!$A$4:$P$243,16,0)</f>
        <v>#N/A</v>
      </c>
    </row>
    <row r="1651" spans="1:10" ht="15.75" hidden="1" customHeight="1">
      <c r="A1651" s="19">
        <v>1648</v>
      </c>
      <c r="B1651" s="20" t="s">
        <v>1961</v>
      </c>
      <c r="C1651" s="20" t="s">
        <v>1370</v>
      </c>
      <c r="D1651" s="20" t="s">
        <v>1962</v>
      </c>
      <c r="E1651" s="21">
        <v>12</v>
      </c>
      <c r="F1651" s="21"/>
      <c r="G1651" s="21"/>
      <c r="H1651" s="21"/>
      <c r="I1651" s="22">
        <f t="shared" si="25"/>
        <v>12</v>
      </c>
      <c r="J1651" t="e">
        <f>VLOOKUP(B1651,'[1]KT 광점퍼코드(수익률)'!$A$4:$P$243,16,0)</f>
        <v>#N/A</v>
      </c>
    </row>
    <row r="1652" spans="1:10" ht="15.75" hidden="1" customHeight="1">
      <c r="A1652" s="23">
        <v>1649</v>
      </c>
      <c r="B1652" s="24" t="s">
        <v>1963</v>
      </c>
      <c r="C1652" s="24" t="s">
        <v>1370</v>
      </c>
      <c r="D1652" s="24" t="s">
        <v>1964</v>
      </c>
      <c r="E1652" s="25">
        <v>7</v>
      </c>
      <c r="F1652" s="25">
        <v>11</v>
      </c>
      <c r="G1652" s="25"/>
      <c r="H1652" s="25"/>
      <c r="I1652" s="22">
        <f t="shared" si="25"/>
        <v>18</v>
      </c>
      <c r="J1652" t="e">
        <f>VLOOKUP(B1652,'[1]KT 광점퍼코드(수익률)'!$A$4:$P$243,16,0)</f>
        <v>#N/A</v>
      </c>
    </row>
    <row r="1653" spans="1:10" ht="15.75" hidden="1" customHeight="1">
      <c r="A1653" s="19">
        <v>1650</v>
      </c>
      <c r="B1653" s="20" t="s">
        <v>1965</v>
      </c>
      <c r="C1653" s="20" t="s">
        <v>1370</v>
      </c>
      <c r="D1653" s="20" t="s">
        <v>1966</v>
      </c>
      <c r="E1653" s="21">
        <v>3</v>
      </c>
      <c r="F1653" s="21"/>
      <c r="G1653" s="21"/>
      <c r="H1653" s="21"/>
      <c r="I1653" s="22">
        <f t="shared" si="25"/>
        <v>3</v>
      </c>
      <c r="J1653" t="e">
        <f>VLOOKUP(B1653,'[1]KT 광점퍼코드(수익률)'!$A$4:$P$243,16,0)</f>
        <v>#N/A</v>
      </c>
    </row>
    <row r="1654" spans="1:10" ht="15.75" hidden="1" customHeight="1">
      <c r="A1654" s="23">
        <v>1651</v>
      </c>
      <c r="B1654" s="24" t="s">
        <v>2888</v>
      </c>
      <c r="C1654" s="24" t="s">
        <v>2889</v>
      </c>
      <c r="D1654" s="24" t="s">
        <v>2890</v>
      </c>
      <c r="E1654" s="25"/>
      <c r="F1654" s="25">
        <v>4</v>
      </c>
      <c r="G1654" s="25"/>
      <c r="H1654" s="25"/>
      <c r="I1654" s="22">
        <f t="shared" si="25"/>
        <v>4</v>
      </c>
      <c r="J1654" t="e">
        <f>VLOOKUP(B1654,'[1]KT 광점퍼코드(수익률)'!$A$4:$P$243,16,0)</f>
        <v>#N/A</v>
      </c>
    </row>
    <row r="1655" spans="1:10" ht="15.75" hidden="1" customHeight="1">
      <c r="A1655" s="19">
        <v>1652</v>
      </c>
      <c r="B1655" s="20" t="s">
        <v>2891</v>
      </c>
      <c r="C1655" s="20" t="s">
        <v>2892</v>
      </c>
      <c r="D1655" s="20" t="s">
        <v>2893</v>
      </c>
      <c r="E1655" s="21"/>
      <c r="F1655" s="21">
        <v>2</v>
      </c>
      <c r="G1655" s="21"/>
      <c r="H1655" s="21"/>
      <c r="I1655" s="22">
        <f t="shared" si="25"/>
        <v>2</v>
      </c>
      <c r="J1655" t="e">
        <f>VLOOKUP(B1655,'[1]KT 광점퍼코드(수익률)'!$A$4:$P$243,16,0)</f>
        <v>#N/A</v>
      </c>
    </row>
    <row r="1656" spans="1:10" ht="15.75" hidden="1" customHeight="1">
      <c r="A1656" s="23">
        <v>1653</v>
      </c>
      <c r="B1656" s="24" t="s">
        <v>3525</v>
      </c>
      <c r="C1656" s="24" t="s">
        <v>1355</v>
      </c>
      <c r="D1656" s="24" t="s">
        <v>3526</v>
      </c>
      <c r="E1656" s="25"/>
      <c r="F1656" s="25"/>
      <c r="G1656" s="25"/>
      <c r="H1656" s="25">
        <v>7</v>
      </c>
      <c r="I1656" s="22">
        <f t="shared" si="25"/>
        <v>7</v>
      </c>
      <c r="J1656" t="e">
        <f>VLOOKUP(B1656,'[1]KT 광점퍼코드(수익률)'!$A$4:$P$243,16,0)</f>
        <v>#N/A</v>
      </c>
    </row>
    <row r="1657" spans="1:10" ht="15.75" hidden="1" customHeight="1">
      <c r="A1657" s="19">
        <v>1654</v>
      </c>
      <c r="B1657" s="20" t="s">
        <v>1967</v>
      </c>
      <c r="C1657" s="20" t="s">
        <v>1355</v>
      </c>
      <c r="D1657" s="20" t="s">
        <v>1968</v>
      </c>
      <c r="E1657" s="21">
        <v>3</v>
      </c>
      <c r="F1657" s="21"/>
      <c r="G1657" s="21"/>
      <c r="H1657" s="21"/>
      <c r="I1657" s="22">
        <f t="shared" si="25"/>
        <v>3</v>
      </c>
      <c r="J1657" t="e">
        <f>VLOOKUP(B1657,'[1]KT 광점퍼코드(수익률)'!$A$4:$P$243,16,0)</f>
        <v>#N/A</v>
      </c>
    </row>
    <row r="1658" spans="1:10" ht="15.75" hidden="1" customHeight="1">
      <c r="A1658" s="23">
        <v>1655</v>
      </c>
      <c r="B1658" s="24" t="s">
        <v>1969</v>
      </c>
      <c r="C1658" s="24" t="s">
        <v>1357</v>
      </c>
      <c r="D1658" s="24" t="s">
        <v>1970</v>
      </c>
      <c r="E1658" s="25">
        <v>17</v>
      </c>
      <c r="F1658" s="25">
        <v>81</v>
      </c>
      <c r="G1658" s="25">
        <v>277</v>
      </c>
      <c r="H1658" s="25"/>
      <c r="I1658" s="22">
        <f t="shared" si="25"/>
        <v>375</v>
      </c>
      <c r="J1658" t="e">
        <f>VLOOKUP(B1658,'[1]KT 광점퍼코드(수익률)'!$A$4:$P$243,16,0)</f>
        <v>#N/A</v>
      </c>
    </row>
    <row r="1659" spans="1:10" ht="15.75" hidden="1" customHeight="1">
      <c r="A1659" s="19">
        <v>1656</v>
      </c>
      <c r="B1659" s="20" t="s">
        <v>1971</v>
      </c>
      <c r="C1659" s="20" t="s">
        <v>1357</v>
      </c>
      <c r="D1659" s="20" t="s">
        <v>1972</v>
      </c>
      <c r="E1659" s="21">
        <v>60</v>
      </c>
      <c r="F1659" s="21">
        <v>75</v>
      </c>
      <c r="G1659" s="21">
        <v>107</v>
      </c>
      <c r="H1659" s="21"/>
      <c r="I1659" s="22">
        <f t="shared" si="25"/>
        <v>242</v>
      </c>
      <c r="J1659" t="e">
        <f>VLOOKUP(B1659,'[1]KT 광점퍼코드(수익률)'!$A$4:$P$243,16,0)</f>
        <v>#N/A</v>
      </c>
    </row>
    <row r="1660" spans="1:10" ht="15.75" hidden="1" customHeight="1">
      <c r="A1660" s="23">
        <v>1657</v>
      </c>
      <c r="B1660" s="24" t="s">
        <v>1973</v>
      </c>
      <c r="C1660" s="24" t="s">
        <v>1357</v>
      </c>
      <c r="D1660" s="24" t="s">
        <v>1974</v>
      </c>
      <c r="E1660" s="25">
        <v>45</v>
      </c>
      <c r="F1660" s="25">
        <v>145</v>
      </c>
      <c r="G1660" s="25">
        <v>103</v>
      </c>
      <c r="H1660" s="25"/>
      <c r="I1660" s="22">
        <f t="shared" si="25"/>
        <v>293</v>
      </c>
      <c r="J1660" t="e">
        <f>VLOOKUP(B1660,'[1]KT 광점퍼코드(수익률)'!$A$4:$P$243,16,0)</f>
        <v>#N/A</v>
      </c>
    </row>
    <row r="1661" spans="1:10" ht="15.75" hidden="1" customHeight="1">
      <c r="A1661" s="19">
        <v>1658</v>
      </c>
      <c r="B1661" s="20" t="s">
        <v>1975</v>
      </c>
      <c r="C1661" s="20" t="s">
        <v>1357</v>
      </c>
      <c r="D1661" s="20" t="s">
        <v>1976</v>
      </c>
      <c r="E1661" s="21">
        <v>71</v>
      </c>
      <c r="F1661" s="21">
        <v>146</v>
      </c>
      <c r="G1661" s="21">
        <v>92</v>
      </c>
      <c r="H1661" s="21"/>
      <c r="I1661" s="22">
        <f t="shared" si="25"/>
        <v>309</v>
      </c>
      <c r="J1661" t="e">
        <f>VLOOKUP(B1661,'[1]KT 광점퍼코드(수익률)'!$A$4:$P$243,16,0)</f>
        <v>#N/A</v>
      </c>
    </row>
    <row r="1662" spans="1:10" ht="15.75" hidden="1" customHeight="1">
      <c r="A1662" s="23">
        <v>1659</v>
      </c>
      <c r="B1662" s="24" t="s">
        <v>1977</v>
      </c>
      <c r="C1662" s="24" t="s">
        <v>1357</v>
      </c>
      <c r="D1662" s="24" t="s">
        <v>1978</v>
      </c>
      <c r="E1662" s="25">
        <v>64</v>
      </c>
      <c r="F1662" s="25">
        <v>76</v>
      </c>
      <c r="G1662" s="25">
        <v>226</v>
      </c>
      <c r="H1662" s="25">
        <v>24</v>
      </c>
      <c r="I1662" s="22">
        <f t="shared" si="25"/>
        <v>390</v>
      </c>
      <c r="J1662" t="e">
        <f>VLOOKUP(B1662,'[1]KT 광점퍼코드(수익률)'!$A$4:$P$243,16,0)</f>
        <v>#N/A</v>
      </c>
    </row>
    <row r="1663" spans="1:10" ht="15.75" hidden="1" customHeight="1">
      <c r="A1663" s="19">
        <v>1660</v>
      </c>
      <c r="B1663" s="20" t="s">
        <v>1979</v>
      </c>
      <c r="C1663" s="20" t="s">
        <v>1357</v>
      </c>
      <c r="D1663" s="20" t="s">
        <v>1980</v>
      </c>
      <c r="E1663" s="21">
        <v>208</v>
      </c>
      <c r="F1663" s="21">
        <v>302</v>
      </c>
      <c r="G1663" s="21">
        <v>210</v>
      </c>
      <c r="H1663" s="21">
        <v>15</v>
      </c>
      <c r="I1663" s="22">
        <f t="shared" si="25"/>
        <v>735</v>
      </c>
      <c r="J1663" t="e">
        <f>VLOOKUP(B1663,'[1]KT 광점퍼코드(수익률)'!$A$4:$P$243,16,0)</f>
        <v>#N/A</v>
      </c>
    </row>
    <row r="1664" spans="1:10" ht="15.75" hidden="1" customHeight="1">
      <c r="A1664" s="23">
        <v>1661</v>
      </c>
      <c r="B1664" s="24" t="s">
        <v>2894</v>
      </c>
      <c r="C1664" s="24" t="s">
        <v>1357</v>
      </c>
      <c r="D1664" s="24" t="s">
        <v>2895</v>
      </c>
      <c r="E1664" s="25"/>
      <c r="F1664" s="25">
        <v>36</v>
      </c>
      <c r="G1664" s="25"/>
      <c r="H1664" s="25"/>
      <c r="I1664" s="22">
        <f t="shared" si="25"/>
        <v>36</v>
      </c>
      <c r="J1664" t="e">
        <f>VLOOKUP(B1664,'[1]KT 광점퍼코드(수익률)'!$A$4:$P$243,16,0)</f>
        <v>#N/A</v>
      </c>
    </row>
    <row r="1665" spans="1:10" ht="15.75" hidden="1" customHeight="1">
      <c r="A1665" s="19">
        <v>1662</v>
      </c>
      <c r="B1665" s="20" t="s">
        <v>1981</v>
      </c>
      <c r="C1665" s="20" t="s">
        <v>1357</v>
      </c>
      <c r="D1665" s="20" t="s">
        <v>1982</v>
      </c>
      <c r="E1665" s="21">
        <v>56</v>
      </c>
      <c r="F1665" s="21">
        <v>44</v>
      </c>
      <c r="G1665" s="21">
        <v>41</v>
      </c>
      <c r="H1665" s="21">
        <v>15</v>
      </c>
      <c r="I1665" s="22">
        <f t="shared" si="25"/>
        <v>156</v>
      </c>
      <c r="J1665" t="e">
        <f>VLOOKUP(B1665,'[1]KT 광점퍼코드(수익률)'!$A$4:$P$243,16,0)</f>
        <v>#N/A</v>
      </c>
    </row>
    <row r="1666" spans="1:10" ht="15.75" hidden="1" customHeight="1">
      <c r="A1666" s="23">
        <v>1663</v>
      </c>
      <c r="B1666" s="24" t="s">
        <v>1983</v>
      </c>
      <c r="C1666" s="24" t="s">
        <v>1357</v>
      </c>
      <c r="D1666" s="24" t="s">
        <v>1984</v>
      </c>
      <c r="E1666" s="25">
        <v>45</v>
      </c>
      <c r="F1666" s="25">
        <v>52</v>
      </c>
      <c r="G1666" s="25">
        <v>143</v>
      </c>
      <c r="H1666" s="25">
        <v>15</v>
      </c>
      <c r="I1666" s="22">
        <f t="shared" si="25"/>
        <v>255</v>
      </c>
      <c r="J1666" t="e">
        <f>VLOOKUP(B1666,'[1]KT 광점퍼코드(수익률)'!$A$4:$P$243,16,0)</f>
        <v>#N/A</v>
      </c>
    </row>
    <row r="1667" spans="1:10" ht="15.75" hidden="1" customHeight="1">
      <c r="A1667" s="19">
        <v>1664</v>
      </c>
      <c r="B1667" s="20" t="s">
        <v>1985</v>
      </c>
      <c r="C1667" s="20" t="s">
        <v>1357</v>
      </c>
      <c r="D1667" s="20" t="s">
        <v>1986</v>
      </c>
      <c r="E1667" s="21">
        <v>3</v>
      </c>
      <c r="F1667" s="21">
        <v>20</v>
      </c>
      <c r="G1667" s="21">
        <v>23</v>
      </c>
      <c r="H1667" s="21"/>
      <c r="I1667" s="22">
        <f t="shared" si="25"/>
        <v>46</v>
      </c>
      <c r="J1667" t="e">
        <f>VLOOKUP(B1667,'[1]KT 광점퍼코드(수익률)'!$A$4:$P$243,16,0)</f>
        <v>#N/A</v>
      </c>
    </row>
    <row r="1668" spans="1:10" ht="15.75" hidden="1" customHeight="1">
      <c r="A1668" s="23">
        <v>1665</v>
      </c>
      <c r="B1668" s="24" t="s">
        <v>1987</v>
      </c>
      <c r="C1668" s="24" t="s">
        <v>1390</v>
      </c>
      <c r="D1668" s="24" t="s">
        <v>1988</v>
      </c>
      <c r="E1668" s="25">
        <v>10</v>
      </c>
      <c r="F1668" s="25"/>
      <c r="G1668" s="25">
        <v>3</v>
      </c>
      <c r="H1668" s="25"/>
      <c r="I1668" s="22">
        <f t="shared" ref="I1668:I1731" si="26">SUM(E1668:H1668)</f>
        <v>13</v>
      </c>
      <c r="J1668" t="e">
        <f>VLOOKUP(B1668,'[1]KT 광점퍼코드(수익률)'!$A$4:$P$243,16,0)</f>
        <v>#N/A</v>
      </c>
    </row>
    <row r="1669" spans="1:10" ht="15.75" hidden="1" customHeight="1">
      <c r="A1669" s="19">
        <v>1666</v>
      </c>
      <c r="B1669" s="20" t="s">
        <v>2896</v>
      </c>
      <c r="C1669" s="20" t="s">
        <v>1363</v>
      </c>
      <c r="D1669" s="20" t="s">
        <v>2897</v>
      </c>
      <c r="E1669" s="21"/>
      <c r="F1669" s="21">
        <v>36</v>
      </c>
      <c r="G1669" s="21">
        <v>77</v>
      </c>
      <c r="H1669" s="21"/>
      <c r="I1669" s="22">
        <f t="shared" si="26"/>
        <v>113</v>
      </c>
      <c r="J1669" t="e">
        <f>VLOOKUP(B1669,'[1]KT 광점퍼코드(수익률)'!$A$4:$P$243,16,0)</f>
        <v>#N/A</v>
      </c>
    </row>
    <row r="1670" spans="1:10" ht="15.75" hidden="1" customHeight="1">
      <c r="A1670" s="23">
        <v>1667</v>
      </c>
      <c r="B1670" s="24" t="s">
        <v>1989</v>
      </c>
      <c r="C1670" s="24" t="s">
        <v>1363</v>
      </c>
      <c r="D1670" s="24" t="s">
        <v>1990</v>
      </c>
      <c r="E1670" s="25">
        <v>18</v>
      </c>
      <c r="F1670" s="25">
        <v>3</v>
      </c>
      <c r="G1670" s="25">
        <v>36</v>
      </c>
      <c r="H1670" s="25"/>
      <c r="I1670" s="22">
        <f t="shared" si="26"/>
        <v>57</v>
      </c>
      <c r="J1670" t="e">
        <f>VLOOKUP(B1670,'[1]KT 광점퍼코드(수익률)'!$A$4:$P$243,16,0)</f>
        <v>#N/A</v>
      </c>
    </row>
    <row r="1671" spans="1:10" ht="15.75" hidden="1" customHeight="1">
      <c r="A1671" s="19">
        <v>1668</v>
      </c>
      <c r="B1671" s="20" t="s">
        <v>2898</v>
      </c>
      <c r="C1671" s="20" t="s">
        <v>1363</v>
      </c>
      <c r="D1671" s="20" t="s">
        <v>2899</v>
      </c>
      <c r="E1671" s="21"/>
      <c r="F1671" s="21">
        <v>68</v>
      </c>
      <c r="G1671" s="21">
        <v>255</v>
      </c>
      <c r="H1671" s="21"/>
      <c r="I1671" s="22">
        <f t="shared" si="26"/>
        <v>323</v>
      </c>
      <c r="J1671" t="e">
        <f>VLOOKUP(B1671,'[1]KT 광점퍼코드(수익률)'!$A$4:$P$243,16,0)</f>
        <v>#N/A</v>
      </c>
    </row>
    <row r="1672" spans="1:10" ht="15.75" hidden="1" customHeight="1">
      <c r="A1672" s="23">
        <v>1669</v>
      </c>
      <c r="B1672" s="24" t="s">
        <v>2900</v>
      </c>
      <c r="C1672" s="24" t="s">
        <v>1363</v>
      </c>
      <c r="D1672" s="24" t="s">
        <v>2901</v>
      </c>
      <c r="E1672" s="25"/>
      <c r="F1672" s="25">
        <v>4</v>
      </c>
      <c r="G1672" s="25">
        <v>68</v>
      </c>
      <c r="H1672" s="25">
        <v>8</v>
      </c>
      <c r="I1672" s="22">
        <f t="shared" si="26"/>
        <v>80</v>
      </c>
      <c r="J1672" t="e">
        <f>VLOOKUP(B1672,'[1]KT 광점퍼코드(수익률)'!$A$4:$P$243,16,0)</f>
        <v>#N/A</v>
      </c>
    </row>
    <row r="1673" spans="1:10" ht="15.75" hidden="1" customHeight="1">
      <c r="A1673" s="19">
        <v>1670</v>
      </c>
      <c r="B1673" s="20" t="s">
        <v>1991</v>
      </c>
      <c r="C1673" s="20" t="s">
        <v>1363</v>
      </c>
      <c r="D1673" s="20" t="s">
        <v>1992</v>
      </c>
      <c r="E1673" s="21">
        <v>74</v>
      </c>
      <c r="F1673" s="21">
        <v>57</v>
      </c>
      <c r="G1673" s="21">
        <v>95</v>
      </c>
      <c r="H1673" s="21"/>
      <c r="I1673" s="22">
        <f t="shared" si="26"/>
        <v>226</v>
      </c>
      <c r="J1673" t="e">
        <f>VLOOKUP(B1673,'[1]KT 광점퍼코드(수익률)'!$A$4:$P$243,16,0)</f>
        <v>#N/A</v>
      </c>
    </row>
    <row r="1674" spans="1:10" ht="15.75" hidden="1" customHeight="1">
      <c r="A1674" s="23">
        <v>1671</v>
      </c>
      <c r="B1674" s="24" t="s">
        <v>1993</v>
      </c>
      <c r="C1674" s="24" t="s">
        <v>1363</v>
      </c>
      <c r="D1674" s="24" t="s">
        <v>1994</v>
      </c>
      <c r="E1674" s="25">
        <v>55</v>
      </c>
      <c r="F1674" s="25">
        <v>117</v>
      </c>
      <c r="G1674" s="25">
        <v>190</v>
      </c>
      <c r="H1674" s="25">
        <v>1</v>
      </c>
      <c r="I1674" s="22">
        <f t="shared" si="26"/>
        <v>363</v>
      </c>
      <c r="J1674" t="e">
        <f>VLOOKUP(B1674,'[1]KT 광점퍼코드(수익률)'!$A$4:$P$243,16,0)</f>
        <v>#N/A</v>
      </c>
    </row>
    <row r="1675" spans="1:10" ht="15.75" hidden="1" customHeight="1">
      <c r="A1675" s="19">
        <v>1672</v>
      </c>
      <c r="B1675" s="20" t="s">
        <v>1995</v>
      </c>
      <c r="C1675" s="20" t="s">
        <v>1363</v>
      </c>
      <c r="D1675" s="20" t="s">
        <v>1996</v>
      </c>
      <c r="E1675" s="21">
        <v>25</v>
      </c>
      <c r="F1675" s="21">
        <v>5</v>
      </c>
      <c r="G1675" s="21">
        <v>28</v>
      </c>
      <c r="H1675" s="21"/>
      <c r="I1675" s="22">
        <f t="shared" si="26"/>
        <v>58</v>
      </c>
      <c r="J1675" t="e">
        <f>VLOOKUP(B1675,'[1]KT 광점퍼코드(수익률)'!$A$4:$P$243,16,0)</f>
        <v>#N/A</v>
      </c>
    </row>
    <row r="1676" spans="1:10" ht="15.75" hidden="1" customHeight="1">
      <c r="A1676" s="23">
        <v>1673</v>
      </c>
      <c r="B1676" s="24" t="s">
        <v>1997</v>
      </c>
      <c r="C1676" s="24" t="s">
        <v>1363</v>
      </c>
      <c r="D1676" s="24" t="s">
        <v>1998</v>
      </c>
      <c r="E1676" s="25">
        <v>10</v>
      </c>
      <c r="F1676" s="25"/>
      <c r="G1676" s="25"/>
      <c r="H1676" s="25"/>
      <c r="I1676" s="22">
        <f t="shared" si="26"/>
        <v>10</v>
      </c>
      <c r="J1676" t="e">
        <f>VLOOKUP(B1676,'[1]KT 광점퍼코드(수익률)'!$A$4:$P$243,16,0)</f>
        <v>#N/A</v>
      </c>
    </row>
    <row r="1677" spans="1:10" ht="15.75" hidden="1" customHeight="1">
      <c r="A1677" s="19">
        <v>1674</v>
      </c>
      <c r="B1677" s="20" t="s">
        <v>1999</v>
      </c>
      <c r="C1677" s="20" t="s">
        <v>1363</v>
      </c>
      <c r="D1677" s="20" t="s">
        <v>2000</v>
      </c>
      <c r="E1677" s="21">
        <v>10</v>
      </c>
      <c r="F1677" s="21"/>
      <c r="G1677" s="21"/>
      <c r="H1677" s="21"/>
      <c r="I1677" s="22">
        <f t="shared" si="26"/>
        <v>10</v>
      </c>
      <c r="J1677" t="e">
        <f>VLOOKUP(B1677,'[1]KT 광점퍼코드(수익률)'!$A$4:$P$243,16,0)</f>
        <v>#N/A</v>
      </c>
    </row>
    <row r="1678" spans="1:10" ht="15.75" hidden="1" customHeight="1">
      <c r="A1678" s="23">
        <v>1675</v>
      </c>
      <c r="B1678" s="24" t="s">
        <v>2001</v>
      </c>
      <c r="C1678" s="24" t="s">
        <v>1363</v>
      </c>
      <c r="D1678" s="24" t="s">
        <v>2002</v>
      </c>
      <c r="E1678" s="25">
        <v>50</v>
      </c>
      <c r="F1678" s="25">
        <v>18</v>
      </c>
      <c r="G1678" s="25">
        <v>96</v>
      </c>
      <c r="H1678" s="25"/>
      <c r="I1678" s="22">
        <f t="shared" si="26"/>
        <v>164</v>
      </c>
      <c r="J1678" t="e">
        <f>VLOOKUP(B1678,'[1]KT 광점퍼코드(수익률)'!$A$4:$P$243,16,0)</f>
        <v>#N/A</v>
      </c>
    </row>
    <row r="1679" spans="1:10" ht="15.75" hidden="1" customHeight="1">
      <c r="A1679" s="19">
        <v>1676</v>
      </c>
      <c r="B1679" s="20" t="s">
        <v>2003</v>
      </c>
      <c r="C1679" s="20" t="s">
        <v>1357</v>
      </c>
      <c r="D1679" s="20" t="s">
        <v>2004</v>
      </c>
      <c r="E1679" s="21">
        <v>160</v>
      </c>
      <c r="F1679" s="21">
        <v>302</v>
      </c>
      <c r="G1679" s="21">
        <v>327</v>
      </c>
      <c r="H1679" s="21">
        <v>92</v>
      </c>
      <c r="I1679" s="22">
        <f t="shared" si="26"/>
        <v>881</v>
      </c>
      <c r="J1679" t="e">
        <f>VLOOKUP(B1679,'[1]KT 광점퍼코드(수익률)'!$A$4:$P$243,16,0)</f>
        <v>#N/A</v>
      </c>
    </row>
    <row r="1680" spans="1:10" ht="15.75" hidden="1" customHeight="1">
      <c r="A1680" s="23">
        <v>1677</v>
      </c>
      <c r="B1680" s="24" t="s">
        <v>2005</v>
      </c>
      <c r="C1680" s="24" t="s">
        <v>1363</v>
      </c>
      <c r="D1680" s="24" t="s">
        <v>2006</v>
      </c>
      <c r="E1680" s="25">
        <v>15</v>
      </c>
      <c r="F1680" s="25">
        <v>5</v>
      </c>
      <c r="G1680" s="25">
        <v>15</v>
      </c>
      <c r="H1680" s="25"/>
      <c r="I1680" s="22">
        <f t="shared" si="26"/>
        <v>35</v>
      </c>
      <c r="J1680" t="e">
        <f>VLOOKUP(B1680,'[1]KT 광점퍼코드(수익률)'!$A$4:$P$243,16,0)</f>
        <v>#N/A</v>
      </c>
    </row>
    <row r="1681" spans="1:10" ht="15.75" hidden="1" customHeight="1">
      <c r="A1681" s="19">
        <v>1678</v>
      </c>
      <c r="B1681" s="20" t="s">
        <v>2902</v>
      </c>
      <c r="C1681" s="20" t="s">
        <v>2008</v>
      </c>
      <c r="D1681" s="20" t="s">
        <v>2903</v>
      </c>
      <c r="E1681" s="21"/>
      <c r="F1681" s="21">
        <v>10</v>
      </c>
      <c r="G1681" s="21"/>
      <c r="H1681" s="21"/>
      <c r="I1681" s="22">
        <f t="shared" si="26"/>
        <v>10</v>
      </c>
      <c r="J1681" t="e">
        <f>VLOOKUP(B1681,'[1]KT 광점퍼코드(수익률)'!$A$4:$P$243,16,0)</f>
        <v>#N/A</v>
      </c>
    </row>
    <row r="1682" spans="1:10" ht="15.75" hidden="1" customHeight="1">
      <c r="A1682" s="23">
        <v>1679</v>
      </c>
      <c r="B1682" s="24" t="s">
        <v>2007</v>
      </c>
      <c r="C1682" s="24" t="s">
        <v>2008</v>
      </c>
      <c r="D1682" s="24" t="s">
        <v>2009</v>
      </c>
      <c r="E1682" s="25">
        <v>3</v>
      </c>
      <c r="F1682" s="25"/>
      <c r="G1682" s="25"/>
      <c r="H1682" s="25"/>
      <c r="I1682" s="22">
        <f t="shared" si="26"/>
        <v>3</v>
      </c>
      <c r="J1682" t="e">
        <f>VLOOKUP(B1682,'[1]KT 광점퍼코드(수익률)'!$A$4:$P$243,16,0)</f>
        <v>#N/A</v>
      </c>
    </row>
    <row r="1683" spans="1:10" ht="15.75" hidden="1" customHeight="1">
      <c r="A1683" s="19">
        <v>1680</v>
      </c>
      <c r="B1683" s="20" t="s">
        <v>2010</v>
      </c>
      <c r="C1683" s="20" t="s">
        <v>2008</v>
      </c>
      <c r="D1683" s="20" t="s">
        <v>2011</v>
      </c>
      <c r="E1683" s="21">
        <v>2</v>
      </c>
      <c r="F1683" s="21"/>
      <c r="G1683" s="21"/>
      <c r="H1683" s="21"/>
      <c r="I1683" s="22">
        <f t="shared" si="26"/>
        <v>2</v>
      </c>
      <c r="J1683" t="e">
        <f>VLOOKUP(B1683,'[1]KT 광점퍼코드(수익률)'!$A$4:$P$243,16,0)</f>
        <v>#N/A</v>
      </c>
    </row>
    <row r="1684" spans="1:10" ht="15.75" hidden="1" customHeight="1">
      <c r="A1684" s="23">
        <v>1681</v>
      </c>
      <c r="B1684" s="24" t="s">
        <v>2012</v>
      </c>
      <c r="C1684" s="24" t="s">
        <v>2013</v>
      </c>
      <c r="D1684" s="24" t="s">
        <v>2014</v>
      </c>
      <c r="E1684" s="25">
        <v>2</v>
      </c>
      <c r="F1684" s="25"/>
      <c r="G1684" s="25"/>
      <c r="H1684" s="25"/>
      <c r="I1684" s="22">
        <f t="shared" si="26"/>
        <v>2</v>
      </c>
      <c r="J1684" t="e">
        <f>VLOOKUP(B1684,'[1]KT 광점퍼코드(수익률)'!$A$4:$P$243,16,0)</f>
        <v>#N/A</v>
      </c>
    </row>
    <row r="1685" spans="1:10" ht="15.75" hidden="1" customHeight="1">
      <c r="A1685" s="19">
        <v>1682</v>
      </c>
      <c r="B1685" s="20" t="s">
        <v>2015</v>
      </c>
      <c r="C1685" s="20" t="s">
        <v>2013</v>
      </c>
      <c r="D1685" s="20" t="s">
        <v>2016</v>
      </c>
      <c r="E1685" s="21">
        <v>50</v>
      </c>
      <c r="F1685" s="21"/>
      <c r="G1685" s="21"/>
      <c r="H1685" s="21"/>
      <c r="I1685" s="22">
        <f t="shared" si="26"/>
        <v>50</v>
      </c>
      <c r="J1685" t="e">
        <f>VLOOKUP(B1685,'[1]KT 광점퍼코드(수익률)'!$A$4:$P$243,16,0)</f>
        <v>#N/A</v>
      </c>
    </row>
    <row r="1686" spans="1:10" ht="15.75" hidden="1" customHeight="1">
      <c r="A1686" s="23">
        <v>1683</v>
      </c>
      <c r="B1686" s="24" t="s">
        <v>2017</v>
      </c>
      <c r="C1686" s="24" t="s">
        <v>1460</v>
      </c>
      <c r="D1686" s="24" t="s">
        <v>2018</v>
      </c>
      <c r="E1686" s="25">
        <v>35</v>
      </c>
      <c r="F1686" s="25">
        <v>30</v>
      </c>
      <c r="G1686" s="25">
        <v>40</v>
      </c>
      <c r="H1686" s="25"/>
      <c r="I1686" s="22">
        <f t="shared" si="26"/>
        <v>105</v>
      </c>
      <c r="J1686" t="e">
        <f>VLOOKUP(B1686,'[1]KT 광점퍼코드(수익률)'!$A$4:$P$243,16,0)</f>
        <v>#N/A</v>
      </c>
    </row>
    <row r="1687" spans="1:10" ht="15.75" hidden="1" customHeight="1">
      <c r="A1687" s="19">
        <v>1684</v>
      </c>
      <c r="B1687" s="20" t="s">
        <v>2904</v>
      </c>
      <c r="C1687" s="20" t="s">
        <v>1460</v>
      </c>
      <c r="D1687" s="20" t="s">
        <v>2905</v>
      </c>
      <c r="E1687" s="21"/>
      <c r="F1687" s="21">
        <v>75</v>
      </c>
      <c r="G1687" s="21"/>
      <c r="H1687" s="21"/>
      <c r="I1687" s="22">
        <f t="shared" si="26"/>
        <v>75</v>
      </c>
      <c r="J1687" t="e">
        <f>VLOOKUP(B1687,'[1]KT 광점퍼코드(수익률)'!$A$4:$P$243,16,0)</f>
        <v>#N/A</v>
      </c>
    </row>
    <row r="1688" spans="1:10" ht="15.75" hidden="1" customHeight="1">
      <c r="A1688" s="23">
        <v>1685</v>
      </c>
      <c r="B1688" s="24" t="s">
        <v>2906</v>
      </c>
      <c r="C1688" s="24" t="s">
        <v>1460</v>
      </c>
      <c r="D1688" s="24" t="s">
        <v>2907</v>
      </c>
      <c r="E1688" s="25"/>
      <c r="F1688" s="25">
        <v>25</v>
      </c>
      <c r="G1688" s="25">
        <v>10</v>
      </c>
      <c r="H1688" s="25"/>
      <c r="I1688" s="22">
        <f t="shared" si="26"/>
        <v>35</v>
      </c>
      <c r="J1688" t="e">
        <f>VLOOKUP(B1688,'[1]KT 광점퍼코드(수익률)'!$A$4:$P$243,16,0)</f>
        <v>#N/A</v>
      </c>
    </row>
    <row r="1689" spans="1:10" ht="15.75" hidden="1" customHeight="1">
      <c r="A1689" s="19">
        <v>1686</v>
      </c>
      <c r="B1689" s="20" t="s">
        <v>2019</v>
      </c>
      <c r="C1689" s="20" t="s">
        <v>1460</v>
      </c>
      <c r="D1689" s="20" t="s">
        <v>2020</v>
      </c>
      <c r="E1689" s="21">
        <v>70</v>
      </c>
      <c r="F1689" s="21"/>
      <c r="G1689" s="21"/>
      <c r="H1689" s="21"/>
      <c r="I1689" s="22">
        <f t="shared" si="26"/>
        <v>70</v>
      </c>
      <c r="J1689" t="e">
        <f>VLOOKUP(B1689,'[1]KT 광점퍼코드(수익률)'!$A$4:$P$243,16,0)</f>
        <v>#N/A</v>
      </c>
    </row>
    <row r="1690" spans="1:10" ht="15.75" hidden="1" customHeight="1">
      <c r="A1690" s="23">
        <v>1687</v>
      </c>
      <c r="B1690" s="24" t="s">
        <v>2021</v>
      </c>
      <c r="C1690" s="24" t="s">
        <v>1460</v>
      </c>
      <c r="D1690" s="24" t="s">
        <v>2022</v>
      </c>
      <c r="E1690" s="25">
        <v>5</v>
      </c>
      <c r="F1690" s="25"/>
      <c r="G1690" s="25"/>
      <c r="H1690" s="25"/>
      <c r="I1690" s="22">
        <f t="shared" si="26"/>
        <v>5</v>
      </c>
      <c r="J1690" t="e">
        <f>VLOOKUP(B1690,'[1]KT 광점퍼코드(수익률)'!$A$4:$P$243,16,0)</f>
        <v>#N/A</v>
      </c>
    </row>
    <row r="1691" spans="1:10" ht="15.75" hidden="1" customHeight="1">
      <c r="A1691" s="19">
        <v>1688</v>
      </c>
      <c r="B1691" s="20" t="s">
        <v>2023</v>
      </c>
      <c r="C1691" s="20" t="s">
        <v>1460</v>
      </c>
      <c r="D1691" s="20" t="s">
        <v>2024</v>
      </c>
      <c r="E1691" s="21">
        <v>10</v>
      </c>
      <c r="F1691" s="21"/>
      <c r="G1691" s="21">
        <v>20</v>
      </c>
      <c r="H1691" s="21"/>
      <c r="I1691" s="22">
        <f t="shared" si="26"/>
        <v>30</v>
      </c>
      <c r="J1691" t="e">
        <f>VLOOKUP(B1691,'[1]KT 광점퍼코드(수익률)'!$A$4:$P$243,16,0)</f>
        <v>#N/A</v>
      </c>
    </row>
    <row r="1692" spans="1:10" ht="15.75" hidden="1" customHeight="1">
      <c r="A1692" s="23">
        <v>1689</v>
      </c>
      <c r="B1692" s="24" t="s">
        <v>2025</v>
      </c>
      <c r="C1692" s="24" t="s">
        <v>1460</v>
      </c>
      <c r="D1692" s="24" t="s">
        <v>2026</v>
      </c>
      <c r="E1692" s="25">
        <v>10</v>
      </c>
      <c r="F1692" s="25"/>
      <c r="G1692" s="25"/>
      <c r="H1692" s="25"/>
      <c r="I1692" s="22">
        <f t="shared" si="26"/>
        <v>10</v>
      </c>
      <c r="J1692" t="e">
        <f>VLOOKUP(B1692,'[1]KT 광점퍼코드(수익률)'!$A$4:$P$243,16,0)</f>
        <v>#N/A</v>
      </c>
    </row>
    <row r="1693" spans="1:10" ht="15.75" hidden="1" customHeight="1">
      <c r="A1693" s="19">
        <v>1690</v>
      </c>
      <c r="B1693" s="20" t="s">
        <v>2027</v>
      </c>
      <c r="C1693" s="20" t="s">
        <v>1463</v>
      </c>
      <c r="D1693" s="20" t="s">
        <v>2028</v>
      </c>
      <c r="E1693" s="21">
        <v>20</v>
      </c>
      <c r="F1693" s="21">
        <v>5</v>
      </c>
      <c r="G1693" s="21">
        <v>30</v>
      </c>
      <c r="H1693" s="21"/>
      <c r="I1693" s="22">
        <f t="shared" si="26"/>
        <v>55</v>
      </c>
      <c r="J1693" t="e">
        <f>VLOOKUP(B1693,'[1]KT 광점퍼코드(수익률)'!$A$4:$P$243,16,0)</f>
        <v>#N/A</v>
      </c>
    </row>
    <row r="1694" spans="1:10" ht="15.75" hidden="1" customHeight="1">
      <c r="A1694" s="23">
        <v>1691</v>
      </c>
      <c r="B1694" s="24" t="s">
        <v>2029</v>
      </c>
      <c r="C1694" s="24" t="s">
        <v>1463</v>
      </c>
      <c r="D1694" s="24" t="s">
        <v>2030</v>
      </c>
      <c r="E1694" s="25">
        <v>20</v>
      </c>
      <c r="F1694" s="25"/>
      <c r="G1694" s="25"/>
      <c r="H1694" s="25"/>
      <c r="I1694" s="22">
        <f t="shared" si="26"/>
        <v>20</v>
      </c>
      <c r="J1694" t="e">
        <f>VLOOKUP(B1694,'[1]KT 광점퍼코드(수익률)'!$A$4:$P$243,16,0)</f>
        <v>#N/A</v>
      </c>
    </row>
    <row r="1695" spans="1:10" ht="15.75" hidden="1" customHeight="1">
      <c r="A1695" s="19">
        <v>1692</v>
      </c>
      <c r="B1695" s="20" t="s">
        <v>2031</v>
      </c>
      <c r="C1695" s="20" t="s">
        <v>1463</v>
      </c>
      <c r="D1695" s="20" t="s">
        <v>2032</v>
      </c>
      <c r="E1695" s="21">
        <v>3</v>
      </c>
      <c r="F1695" s="21">
        <v>15</v>
      </c>
      <c r="G1695" s="21">
        <v>30</v>
      </c>
      <c r="H1695" s="21"/>
      <c r="I1695" s="22">
        <f t="shared" si="26"/>
        <v>48</v>
      </c>
      <c r="J1695" t="e">
        <f>VLOOKUP(B1695,'[1]KT 광점퍼코드(수익률)'!$A$4:$P$243,16,0)</f>
        <v>#N/A</v>
      </c>
    </row>
    <row r="1696" spans="1:10" ht="15.75" hidden="1" customHeight="1">
      <c r="A1696" s="23">
        <v>1693</v>
      </c>
      <c r="B1696" s="24" t="s">
        <v>2908</v>
      </c>
      <c r="C1696" s="24" t="s">
        <v>1463</v>
      </c>
      <c r="D1696" s="24" t="s">
        <v>2909</v>
      </c>
      <c r="E1696" s="25"/>
      <c r="F1696" s="25">
        <v>35</v>
      </c>
      <c r="G1696" s="25"/>
      <c r="H1696" s="25"/>
      <c r="I1696" s="22">
        <f t="shared" si="26"/>
        <v>35</v>
      </c>
      <c r="J1696" t="e">
        <f>VLOOKUP(B1696,'[1]KT 광점퍼코드(수익률)'!$A$4:$P$243,16,0)</f>
        <v>#N/A</v>
      </c>
    </row>
    <row r="1697" spans="1:10" ht="15.75" hidden="1" customHeight="1">
      <c r="A1697" s="19">
        <v>1694</v>
      </c>
      <c r="B1697" s="20" t="s">
        <v>2033</v>
      </c>
      <c r="C1697" s="20" t="s">
        <v>1463</v>
      </c>
      <c r="D1697" s="20" t="s">
        <v>2034</v>
      </c>
      <c r="E1697" s="21">
        <v>20</v>
      </c>
      <c r="F1697" s="21"/>
      <c r="G1697" s="21">
        <v>30</v>
      </c>
      <c r="H1697" s="21"/>
      <c r="I1697" s="22">
        <f t="shared" si="26"/>
        <v>50</v>
      </c>
      <c r="J1697" t="e">
        <f>VLOOKUP(B1697,'[1]KT 광점퍼코드(수익률)'!$A$4:$P$243,16,0)</f>
        <v>#N/A</v>
      </c>
    </row>
    <row r="1698" spans="1:10" ht="15.75" hidden="1" customHeight="1">
      <c r="A1698" s="23">
        <v>1695</v>
      </c>
      <c r="B1698" s="24" t="s">
        <v>2035</v>
      </c>
      <c r="C1698" s="24" t="s">
        <v>1466</v>
      </c>
      <c r="D1698" s="24" t="s">
        <v>2036</v>
      </c>
      <c r="E1698" s="25">
        <v>30</v>
      </c>
      <c r="F1698" s="25"/>
      <c r="G1698" s="25"/>
      <c r="H1698" s="25"/>
      <c r="I1698" s="22">
        <f t="shared" si="26"/>
        <v>30</v>
      </c>
      <c r="J1698" t="e">
        <f>VLOOKUP(B1698,'[1]KT 광점퍼코드(수익률)'!$A$4:$P$243,16,0)</f>
        <v>#N/A</v>
      </c>
    </row>
    <row r="1699" spans="1:10" ht="15.75" hidden="1" customHeight="1">
      <c r="A1699" s="19">
        <v>1696</v>
      </c>
      <c r="B1699" s="20" t="s">
        <v>3527</v>
      </c>
      <c r="C1699" s="20" t="s">
        <v>1466</v>
      </c>
      <c r="D1699" s="20" t="s">
        <v>3528</v>
      </c>
      <c r="E1699" s="21"/>
      <c r="F1699" s="21"/>
      <c r="G1699" s="21"/>
      <c r="H1699" s="21">
        <v>20</v>
      </c>
      <c r="I1699" s="22">
        <f t="shared" si="26"/>
        <v>20</v>
      </c>
      <c r="J1699" t="e">
        <f>VLOOKUP(B1699,'[1]KT 광점퍼코드(수익률)'!$A$4:$P$243,16,0)</f>
        <v>#N/A</v>
      </c>
    </row>
    <row r="1700" spans="1:10" ht="15.75" hidden="1" customHeight="1">
      <c r="A1700" s="23">
        <v>1697</v>
      </c>
      <c r="B1700" s="24" t="s">
        <v>3393</v>
      </c>
      <c r="C1700" s="24" t="s">
        <v>2038</v>
      </c>
      <c r="D1700" s="24" t="s">
        <v>3394</v>
      </c>
      <c r="E1700" s="25"/>
      <c r="F1700" s="25"/>
      <c r="G1700" s="25">
        <v>5</v>
      </c>
      <c r="H1700" s="25"/>
      <c r="I1700" s="22">
        <f t="shared" si="26"/>
        <v>5</v>
      </c>
      <c r="J1700" t="e">
        <f>VLOOKUP(B1700,'[1]KT 광점퍼코드(수익률)'!$A$4:$P$243,16,0)</f>
        <v>#N/A</v>
      </c>
    </row>
    <row r="1701" spans="1:10" ht="15.75" hidden="1" customHeight="1">
      <c r="A1701" s="19">
        <v>1698</v>
      </c>
      <c r="B1701" s="20" t="s">
        <v>3395</v>
      </c>
      <c r="C1701" s="20" t="s">
        <v>2038</v>
      </c>
      <c r="D1701" s="20" t="s">
        <v>3396</v>
      </c>
      <c r="E1701" s="21"/>
      <c r="F1701" s="21"/>
      <c r="G1701" s="21">
        <v>5</v>
      </c>
      <c r="H1701" s="21"/>
      <c r="I1701" s="22">
        <f t="shared" si="26"/>
        <v>5</v>
      </c>
      <c r="J1701" t="e">
        <f>VLOOKUP(B1701,'[1]KT 광점퍼코드(수익률)'!$A$4:$P$243,16,0)</f>
        <v>#N/A</v>
      </c>
    </row>
    <row r="1702" spans="1:10" ht="15.75" hidden="1" customHeight="1">
      <c r="A1702" s="23">
        <v>1699</v>
      </c>
      <c r="B1702" s="24" t="s">
        <v>2037</v>
      </c>
      <c r="C1702" s="24" t="s">
        <v>2038</v>
      </c>
      <c r="D1702" s="24" t="s">
        <v>2039</v>
      </c>
      <c r="E1702" s="25">
        <v>5</v>
      </c>
      <c r="F1702" s="25"/>
      <c r="G1702" s="25"/>
      <c r="H1702" s="25"/>
      <c r="I1702" s="22">
        <f t="shared" si="26"/>
        <v>5</v>
      </c>
      <c r="J1702" t="e">
        <f>VLOOKUP(B1702,'[1]KT 광점퍼코드(수익률)'!$A$4:$P$243,16,0)</f>
        <v>#N/A</v>
      </c>
    </row>
    <row r="1703" spans="1:10" ht="15.75" hidden="1" customHeight="1">
      <c r="A1703" s="19">
        <v>1700</v>
      </c>
      <c r="B1703" s="20" t="s">
        <v>3397</v>
      </c>
      <c r="C1703" s="20" t="s">
        <v>2038</v>
      </c>
      <c r="D1703" s="20" t="s">
        <v>3398</v>
      </c>
      <c r="E1703" s="21"/>
      <c r="F1703" s="21"/>
      <c r="G1703" s="21">
        <v>3</v>
      </c>
      <c r="H1703" s="21"/>
      <c r="I1703" s="22">
        <f t="shared" si="26"/>
        <v>3</v>
      </c>
      <c r="J1703" t="e">
        <f>VLOOKUP(B1703,'[1]KT 광점퍼코드(수익률)'!$A$4:$P$243,16,0)</f>
        <v>#N/A</v>
      </c>
    </row>
    <row r="1704" spans="1:10" ht="15.75" hidden="1" customHeight="1">
      <c r="A1704" s="23">
        <v>1701</v>
      </c>
      <c r="B1704" s="24" t="s">
        <v>3399</v>
      </c>
      <c r="C1704" s="24" t="s">
        <v>1475</v>
      </c>
      <c r="D1704" s="24" t="s">
        <v>3400</v>
      </c>
      <c r="E1704" s="25"/>
      <c r="F1704" s="25"/>
      <c r="G1704" s="25">
        <v>78</v>
      </c>
      <c r="H1704" s="25"/>
      <c r="I1704" s="22">
        <f t="shared" si="26"/>
        <v>78</v>
      </c>
      <c r="J1704" t="e">
        <f>VLOOKUP(B1704,'[1]KT 광점퍼코드(수익률)'!$A$4:$P$243,16,0)</f>
        <v>#N/A</v>
      </c>
    </row>
    <row r="1705" spans="1:10" ht="15.75" hidden="1" customHeight="1">
      <c r="A1705" s="19">
        <v>1702</v>
      </c>
      <c r="B1705" s="20" t="s">
        <v>3401</v>
      </c>
      <c r="C1705" s="20" t="s">
        <v>1475</v>
      </c>
      <c r="D1705" s="20" t="s">
        <v>3402</v>
      </c>
      <c r="E1705" s="21"/>
      <c r="F1705" s="21"/>
      <c r="G1705" s="21">
        <v>300</v>
      </c>
      <c r="H1705" s="21"/>
      <c r="I1705" s="22">
        <f t="shared" si="26"/>
        <v>300</v>
      </c>
      <c r="J1705" t="e">
        <f>VLOOKUP(B1705,'[1]KT 광점퍼코드(수익률)'!$A$4:$P$243,16,0)</f>
        <v>#N/A</v>
      </c>
    </row>
    <row r="1706" spans="1:10" ht="15.75" hidden="1" customHeight="1">
      <c r="A1706" s="23">
        <v>1703</v>
      </c>
      <c r="B1706" s="24" t="s">
        <v>3403</v>
      </c>
      <c r="C1706" s="24" t="s">
        <v>2041</v>
      </c>
      <c r="D1706" s="24" t="s">
        <v>3404</v>
      </c>
      <c r="E1706" s="25"/>
      <c r="F1706" s="25"/>
      <c r="G1706" s="25">
        <v>15</v>
      </c>
      <c r="H1706" s="25"/>
      <c r="I1706" s="22">
        <f t="shared" si="26"/>
        <v>15</v>
      </c>
      <c r="J1706" t="e">
        <f>VLOOKUP(B1706,'[1]KT 광점퍼코드(수익률)'!$A$4:$P$243,16,0)</f>
        <v>#N/A</v>
      </c>
    </row>
    <row r="1707" spans="1:10" ht="15.75" hidden="1" customHeight="1">
      <c r="A1707" s="19">
        <v>1704</v>
      </c>
      <c r="B1707" s="20" t="s">
        <v>2040</v>
      </c>
      <c r="C1707" s="20" t="s">
        <v>2041</v>
      </c>
      <c r="D1707" s="20" t="s">
        <v>2042</v>
      </c>
      <c r="E1707" s="21">
        <v>16</v>
      </c>
      <c r="F1707" s="21">
        <v>24</v>
      </c>
      <c r="G1707" s="21"/>
      <c r="H1707" s="21"/>
      <c r="I1707" s="22">
        <f t="shared" si="26"/>
        <v>40</v>
      </c>
      <c r="J1707" t="e">
        <f>VLOOKUP(B1707,'[1]KT 광점퍼코드(수익률)'!$A$4:$P$243,16,0)</f>
        <v>#N/A</v>
      </c>
    </row>
    <row r="1708" spans="1:10" ht="15.75" hidden="1" customHeight="1">
      <c r="A1708" s="23">
        <v>1705</v>
      </c>
      <c r="B1708" s="24" t="s">
        <v>2043</v>
      </c>
      <c r="C1708" s="24" t="s">
        <v>2041</v>
      </c>
      <c r="D1708" s="24" t="s">
        <v>2044</v>
      </c>
      <c r="E1708" s="25">
        <v>45</v>
      </c>
      <c r="F1708" s="25"/>
      <c r="G1708" s="25">
        <v>10</v>
      </c>
      <c r="H1708" s="25"/>
      <c r="I1708" s="22">
        <f t="shared" si="26"/>
        <v>55</v>
      </c>
      <c r="J1708" t="e">
        <f>VLOOKUP(B1708,'[1]KT 광점퍼코드(수익률)'!$A$4:$P$243,16,0)</f>
        <v>#N/A</v>
      </c>
    </row>
    <row r="1709" spans="1:10" ht="15.75" hidden="1" customHeight="1">
      <c r="A1709" s="19">
        <v>1706</v>
      </c>
      <c r="B1709" s="20" t="s">
        <v>2910</v>
      </c>
      <c r="C1709" s="20" t="s">
        <v>2041</v>
      </c>
      <c r="D1709" s="20" t="s">
        <v>2911</v>
      </c>
      <c r="E1709" s="21"/>
      <c r="F1709" s="21">
        <v>10</v>
      </c>
      <c r="G1709" s="21">
        <v>100</v>
      </c>
      <c r="H1709" s="21"/>
      <c r="I1709" s="22">
        <f t="shared" si="26"/>
        <v>110</v>
      </c>
      <c r="J1709" t="e">
        <f>VLOOKUP(B1709,'[1]KT 광점퍼코드(수익률)'!$A$4:$P$243,16,0)</f>
        <v>#N/A</v>
      </c>
    </row>
    <row r="1710" spans="1:10" ht="15.75" hidden="1" customHeight="1">
      <c r="A1710" s="23">
        <v>1707</v>
      </c>
      <c r="B1710" s="24" t="s">
        <v>3529</v>
      </c>
      <c r="C1710" s="24" t="s">
        <v>2041</v>
      </c>
      <c r="D1710" s="24" t="s">
        <v>3530</v>
      </c>
      <c r="E1710" s="25"/>
      <c r="F1710" s="25"/>
      <c r="G1710" s="25"/>
      <c r="H1710" s="25">
        <v>10</v>
      </c>
      <c r="I1710" s="22">
        <f t="shared" si="26"/>
        <v>10</v>
      </c>
      <c r="J1710" t="e">
        <f>VLOOKUP(B1710,'[1]KT 광점퍼코드(수익률)'!$A$4:$P$243,16,0)</f>
        <v>#N/A</v>
      </c>
    </row>
    <row r="1711" spans="1:10" ht="15.75" hidden="1" customHeight="1">
      <c r="A1711" s="19">
        <v>1708</v>
      </c>
      <c r="B1711" s="20" t="s">
        <v>2912</v>
      </c>
      <c r="C1711" s="20" t="s">
        <v>2041</v>
      </c>
      <c r="D1711" s="20" t="s">
        <v>2913</v>
      </c>
      <c r="E1711" s="21"/>
      <c r="F1711" s="21">
        <v>20</v>
      </c>
      <c r="G1711" s="21"/>
      <c r="H1711" s="21"/>
      <c r="I1711" s="22">
        <f t="shared" si="26"/>
        <v>20</v>
      </c>
      <c r="J1711" t="e">
        <f>VLOOKUP(B1711,'[1]KT 광점퍼코드(수익률)'!$A$4:$P$243,16,0)</f>
        <v>#N/A</v>
      </c>
    </row>
    <row r="1712" spans="1:10" ht="15.75" hidden="1" customHeight="1">
      <c r="A1712" s="23">
        <v>1709</v>
      </c>
      <c r="B1712" s="24" t="s">
        <v>2045</v>
      </c>
      <c r="C1712" s="24" t="s">
        <v>2041</v>
      </c>
      <c r="D1712" s="24" t="s">
        <v>2046</v>
      </c>
      <c r="E1712" s="25">
        <v>2</v>
      </c>
      <c r="F1712" s="25">
        <v>5</v>
      </c>
      <c r="G1712" s="25"/>
      <c r="H1712" s="25"/>
      <c r="I1712" s="22">
        <f t="shared" si="26"/>
        <v>7</v>
      </c>
      <c r="J1712" t="e">
        <f>VLOOKUP(B1712,'[1]KT 광점퍼코드(수익률)'!$A$4:$P$243,16,0)</f>
        <v>#N/A</v>
      </c>
    </row>
    <row r="1713" spans="1:10" ht="15.75" hidden="1" customHeight="1">
      <c r="A1713" s="19">
        <v>1710</v>
      </c>
      <c r="B1713" s="20" t="s">
        <v>2047</v>
      </c>
      <c r="C1713" s="20" t="s">
        <v>2041</v>
      </c>
      <c r="D1713" s="20" t="s">
        <v>2048</v>
      </c>
      <c r="E1713" s="21">
        <v>7</v>
      </c>
      <c r="F1713" s="21"/>
      <c r="G1713" s="21"/>
      <c r="H1713" s="21"/>
      <c r="I1713" s="22">
        <f t="shared" si="26"/>
        <v>7</v>
      </c>
      <c r="J1713" t="e">
        <f>VLOOKUP(B1713,'[1]KT 광점퍼코드(수익률)'!$A$4:$P$243,16,0)</f>
        <v>#N/A</v>
      </c>
    </row>
    <row r="1714" spans="1:10" ht="15.75" hidden="1" customHeight="1">
      <c r="A1714" s="23">
        <v>1711</v>
      </c>
      <c r="B1714" s="24" t="s">
        <v>3531</v>
      </c>
      <c r="C1714" s="24" t="s">
        <v>3532</v>
      </c>
      <c r="D1714" s="24" t="s">
        <v>3533</v>
      </c>
      <c r="E1714" s="25"/>
      <c r="F1714" s="25"/>
      <c r="G1714" s="25"/>
      <c r="H1714" s="25">
        <v>50</v>
      </c>
      <c r="I1714" s="22">
        <f t="shared" si="26"/>
        <v>50</v>
      </c>
      <c r="J1714" t="e">
        <f>VLOOKUP(B1714,'[1]KT 광점퍼코드(수익률)'!$A$4:$P$243,16,0)</f>
        <v>#N/A</v>
      </c>
    </row>
    <row r="1715" spans="1:10" ht="15.75" hidden="1" customHeight="1">
      <c r="A1715" s="19">
        <v>1712</v>
      </c>
      <c r="B1715" s="20" t="s">
        <v>2049</v>
      </c>
      <c r="C1715" s="20" t="s">
        <v>1481</v>
      </c>
      <c r="D1715" s="20" t="s">
        <v>2050</v>
      </c>
      <c r="E1715" s="21">
        <v>10</v>
      </c>
      <c r="F1715" s="21"/>
      <c r="G1715" s="21"/>
      <c r="H1715" s="21"/>
      <c r="I1715" s="22">
        <f t="shared" si="26"/>
        <v>10</v>
      </c>
      <c r="J1715" t="e">
        <f>VLOOKUP(B1715,'[1]KT 광점퍼코드(수익률)'!$A$4:$P$243,16,0)</f>
        <v>#N/A</v>
      </c>
    </row>
    <row r="1716" spans="1:10" ht="15.75" hidden="1" customHeight="1">
      <c r="A1716" s="23">
        <v>1713</v>
      </c>
      <c r="B1716" s="24" t="s">
        <v>2051</v>
      </c>
      <c r="C1716" s="24" t="s">
        <v>1481</v>
      </c>
      <c r="D1716" s="24" t="s">
        <v>2052</v>
      </c>
      <c r="E1716" s="25">
        <v>25</v>
      </c>
      <c r="F1716" s="25"/>
      <c r="G1716" s="25"/>
      <c r="H1716" s="25"/>
      <c r="I1716" s="22">
        <f t="shared" si="26"/>
        <v>25</v>
      </c>
      <c r="J1716" t="e">
        <f>VLOOKUP(B1716,'[1]KT 광점퍼코드(수익률)'!$A$4:$P$243,16,0)</f>
        <v>#N/A</v>
      </c>
    </row>
    <row r="1717" spans="1:10" ht="15.75" hidden="1" customHeight="1">
      <c r="A1717" s="19">
        <v>1714</v>
      </c>
      <c r="B1717" s="20" t="s">
        <v>2053</v>
      </c>
      <c r="C1717" s="20" t="s">
        <v>1481</v>
      </c>
      <c r="D1717" s="20" t="s">
        <v>2054</v>
      </c>
      <c r="E1717" s="21">
        <v>200</v>
      </c>
      <c r="F1717" s="21"/>
      <c r="G1717" s="21"/>
      <c r="H1717" s="21"/>
      <c r="I1717" s="22">
        <f t="shared" si="26"/>
        <v>200</v>
      </c>
      <c r="J1717" t="e">
        <f>VLOOKUP(B1717,'[1]KT 광점퍼코드(수익률)'!$A$4:$P$243,16,0)</f>
        <v>#N/A</v>
      </c>
    </row>
    <row r="1718" spans="1:10" ht="15.75" hidden="1" customHeight="1">
      <c r="A1718" s="23">
        <v>1715</v>
      </c>
      <c r="B1718" s="24" t="s">
        <v>3405</v>
      </c>
      <c r="C1718" s="24" t="s">
        <v>1481</v>
      </c>
      <c r="D1718" s="24" t="s">
        <v>3406</v>
      </c>
      <c r="E1718" s="25"/>
      <c r="F1718" s="25"/>
      <c r="G1718" s="25">
        <v>5</v>
      </c>
      <c r="H1718" s="25"/>
      <c r="I1718" s="22">
        <f t="shared" si="26"/>
        <v>5</v>
      </c>
      <c r="J1718" t="e">
        <f>VLOOKUP(B1718,'[1]KT 광점퍼코드(수익률)'!$A$4:$P$243,16,0)</f>
        <v>#N/A</v>
      </c>
    </row>
    <row r="1719" spans="1:10" ht="15.75" hidden="1" customHeight="1">
      <c r="A1719" s="19">
        <v>1716</v>
      </c>
      <c r="B1719" s="20" t="s">
        <v>2055</v>
      </c>
      <c r="C1719" s="20" t="s">
        <v>1481</v>
      </c>
      <c r="D1719" s="20" t="s">
        <v>2056</v>
      </c>
      <c r="E1719" s="21">
        <v>16</v>
      </c>
      <c r="F1719" s="21"/>
      <c r="G1719" s="21"/>
      <c r="H1719" s="21"/>
      <c r="I1719" s="22">
        <f t="shared" si="26"/>
        <v>16</v>
      </c>
      <c r="J1719" t="e">
        <f>VLOOKUP(B1719,'[1]KT 광점퍼코드(수익률)'!$A$4:$P$243,16,0)</f>
        <v>#N/A</v>
      </c>
    </row>
    <row r="1720" spans="1:10" ht="15.75" hidden="1" customHeight="1">
      <c r="A1720" s="23">
        <v>1717</v>
      </c>
      <c r="B1720" s="24" t="s">
        <v>2914</v>
      </c>
      <c r="C1720" s="24" t="s">
        <v>1489</v>
      </c>
      <c r="D1720" s="24" t="s">
        <v>2915</v>
      </c>
      <c r="E1720" s="25"/>
      <c r="F1720" s="25">
        <v>30</v>
      </c>
      <c r="G1720" s="25"/>
      <c r="H1720" s="25">
        <v>10</v>
      </c>
      <c r="I1720" s="22">
        <f t="shared" si="26"/>
        <v>40</v>
      </c>
      <c r="J1720" t="e">
        <f>VLOOKUP(B1720,'[1]KT 광점퍼코드(수익률)'!$A$4:$P$243,16,0)</f>
        <v>#N/A</v>
      </c>
    </row>
    <row r="1721" spans="1:10" ht="15.75" hidden="1" customHeight="1">
      <c r="A1721" s="19">
        <v>1718</v>
      </c>
      <c r="B1721" s="20" t="s">
        <v>2057</v>
      </c>
      <c r="C1721" s="20" t="s">
        <v>1489</v>
      </c>
      <c r="D1721" s="20" t="s">
        <v>2058</v>
      </c>
      <c r="E1721" s="21">
        <v>25</v>
      </c>
      <c r="F1721" s="21">
        <v>10</v>
      </c>
      <c r="G1721" s="21">
        <v>20</v>
      </c>
      <c r="H1721" s="21">
        <v>12</v>
      </c>
      <c r="I1721" s="22">
        <f t="shared" si="26"/>
        <v>67</v>
      </c>
      <c r="J1721" t="e">
        <f>VLOOKUP(B1721,'[1]KT 광점퍼코드(수익률)'!$A$4:$P$243,16,0)</f>
        <v>#N/A</v>
      </c>
    </row>
    <row r="1722" spans="1:10" ht="15.75" hidden="1" customHeight="1">
      <c r="A1722" s="23">
        <v>1719</v>
      </c>
      <c r="B1722" s="24" t="s">
        <v>3407</v>
      </c>
      <c r="C1722" s="24" t="s">
        <v>1489</v>
      </c>
      <c r="D1722" s="24" t="s">
        <v>3408</v>
      </c>
      <c r="E1722" s="25"/>
      <c r="F1722" s="25"/>
      <c r="G1722" s="25">
        <v>10</v>
      </c>
      <c r="H1722" s="25"/>
      <c r="I1722" s="22">
        <f t="shared" si="26"/>
        <v>10</v>
      </c>
      <c r="J1722" t="e">
        <f>VLOOKUP(B1722,'[1]KT 광점퍼코드(수익률)'!$A$4:$P$243,16,0)</f>
        <v>#N/A</v>
      </c>
    </row>
    <row r="1723" spans="1:10" ht="15.75" hidden="1" customHeight="1">
      <c r="A1723" s="19">
        <v>1720</v>
      </c>
      <c r="B1723" s="20" t="s">
        <v>3534</v>
      </c>
      <c r="C1723" s="20" t="s">
        <v>1489</v>
      </c>
      <c r="D1723" s="20" t="s">
        <v>3535</v>
      </c>
      <c r="E1723" s="21"/>
      <c r="F1723" s="21"/>
      <c r="G1723" s="21"/>
      <c r="H1723" s="21">
        <v>10</v>
      </c>
      <c r="I1723" s="22">
        <f t="shared" si="26"/>
        <v>10</v>
      </c>
      <c r="J1723" t="e">
        <f>VLOOKUP(B1723,'[1]KT 광점퍼코드(수익률)'!$A$4:$P$243,16,0)</f>
        <v>#N/A</v>
      </c>
    </row>
    <row r="1724" spans="1:10" ht="15.75" hidden="1" customHeight="1">
      <c r="A1724" s="23">
        <v>1721</v>
      </c>
      <c r="B1724" s="24" t="s">
        <v>3409</v>
      </c>
      <c r="C1724" s="24" t="s">
        <v>3410</v>
      </c>
      <c r="D1724" s="24" t="s">
        <v>3411</v>
      </c>
      <c r="E1724" s="25"/>
      <c r="F1724" s="25"/>
      <c r="G1724" s="25">
        <v>3</v>
      </c>
      <c r="H1724" s="25"/>
      <c r="I1724" s="22">
        <f t="shared" si="26"/>
        <v>3</v>
      </c>
      <c r="J1724" t="e">
        <f>VLOOKUP(B1724,'[1]KT 광점퍼코드(수익률)'!$A$4:$P$243,16,0)</f>
        <v>#N/A</v>
      </c>
    </row>
    <row r="1725" spans="1:10" ht="15.75" hidden="1" customHeight="1">
      <c r="A1725" s="19">
        <v>1722</v>
      </c>
      <c r="B1725" s="20" t="s">
        <v>3412</v>
      </c>
      <c r="C1725" s="20" t="s">
        <v>1491</v>
      </c>
      <c r="D1725" s="20" t="s">
        <v>3413</v>
      </c>
      <c r="E1725" s="21"/>
      <c r="F1725" s="21"/>
      <c r="G1725" s="21">
        <v>3</v>
      </c>
      <c r="H1725" s="21"/>
      <c r="I1725" s="22">
        <f t="shared" si="26"/>
        <v>3</v>
      </c>
      <c r="J1725" t="e">
        <f>VLOOKUP(B1725,'[1]KT 광점퍼코드(수익률)'!$A$4:$P$243,16,0)</f>
        <v>#N/A</v>
      </c>
    </row>
    <row r="1726" spans="1:10" ht="15.75" hidden="1" customHeight="1">
      <c r="A1726" s="23">
        <v>1723</v>
      </c>
      <c r="B1726" s="24" t="s">
        <v>2059</v>
      </c>
      <c r="C1726" s="24" t="s">
        <v>1491</v>
      </c>
      <c r="D1726" s="24" t="s">
        <v>2060</v>
      </c>
      <c r="E1726" s="25">
        <v>10</v>
      </c>
      <c r="F1726" s="25">
        <v>8</v>
      </c>
      <c r="G1726" s="25"/>
      <c r="H1726" s="25">
        <v>8</v>
      </c>
      <c r="I1726" s="22">
        <f t="shared" si="26"/>
        <v>26</v>
      </c>
      <c r="J1726" t="e">
        <f>VLOOKUP(B1726,'[1]KT 광점퍼코드(수익률)'!$A$4:$P$243,16,0)</f>
        <v>#N/A</v>
      </c>
    </row>
    <row r="1727" spans="1:10" ht="15.75" hidden="1" customHeight="1">
      <c r="A1727" s="19">
        <v>1724</v>
      </c>
      <c r="B1727" s="20" t="s">
        <v>2916</v>
      </c>
      <c r="C1727" s="20" t="s">
        <v>1491</v>
      </c>
      <c r="D1727" s="20" t="s">
        <v>2917</v>
      </c>
      <c r="E1727" s="21"/>
      <c r="F1727" s="21">
        <v>1</v>
      </c>
      <c r="G1727" s="21">
        <v>50</v>
      </c>
      <c r="H1727" s="21"/>
      <c r="I1727" s="22">
        <f t="shared" si="26"/>
        <v>51</v>
      </c>
      <c r="J1727" t="e">
        <f>VLOOKUP(B1727,'[1]KT 광점퍼코드(수익률)'!$A$4:$P$243,16,0)</f>
        <v>#N/A</v>
      </c>
    </row>
    <row r="1728" spans="1:10" ht="15.75" hidden="1" customHeight="1">
      <c r="A1728" s="23">
        <v>1725</v>
      </c>
      <c r="B1728" s="24" t="s">
        <v>2918</v>
      </c>
      <c r="C1728" s="24" t="s">
        <v>1491</v>
      </c>
      <c r="D1728" s="24" t="s">
        <v>2919</v>
      </c>
      <c r="E1728" s="25"/>
      <c r="F1728" s="25">
        <v>25</v>
      </c>
      <c r="G1728" s="25"/>
      <c r="H1728" s="25"/>
      <c r="I1728" s="22">
        <f t="shared" si="26"/>
        <v>25</v>
      </c>
      <c r="J1728" t="e">
        <f>VLOOKUP(B1728,'[1]KT 광점퍼코드(수익률)'!$A$4:$P$243,16,0)</f>
        <v>#N/A</v>
      </c>
    </row>
    <row r="1729" spans="1:10" ht="15.75" hidden="1" customHeight="1">
      <c r="A1729" s="19">
        <v>1726</v>
      </c>
      <c r="B1729" s="20" t="s">
        <v>2061</v>
      </c>
      <c r="C1729" s="20" t="s">
        <v>1493</v>
      </c>
      <c r="D1729" s="20" t="s">
        <v>2062</v>
      </c>
      <c r="E1729" s="21">
        <v>10</v>
      </c>
      <c r="F1729" s="21">
        <v>9</v>
      </c>
      <c r="G1729" s="21"/>
      <c r="H1729" s="21"/>
      <c r="I1729" s="22">
        <f t="shared" si="26"/>
        <v>19</v>
      </c>
      <c r="J1729" t="e">
        <f>VLOOKUP(B1729,'[1]KT 광점퍼코드(수익률)'!$A$4:$P$243,16,0)</f>
        <v>#N/A</v>
      </c>
    </row>
    <row r="1730" spans="1:10" ht="15.75" hidden="1" customHeight="1">
      <c r="A1730" s="23">
        <v>1727</v>
      </c>
      <c r="B1730" s="24" t="s">
        <v>2063</v>
      </c>
      <c r="C1730" s="24" t="s">
        <v>1493</v>
      </c>
      <c r="D1730" s="24" t="s">
        <v>2064</v>
      </c>
      <c r="E1730" s="25">
        <v>50</v>
      </c>
      <c r="F1730" s="25"/>
      <c r="G1730" s="25"/>
      <c r="H1730" s="25">
        <v>10</v>
      </c>
      <c r="I1730" s="22">
        <f t="shared" si="26"/>
        <v>60</v>
      </c>
      <c r="J1730" t="e">
        <f>VLOOKUP(B1730,'[1]KT 광점퍼코드(수익률)'!$A$4:$P$243,16,0)</f>
        <v>#N/A</v>
      </c>
    </row>
    <row r="1731" spans="1:10" ht="15.75" hidden="1" customHeight="1">
      <c r="A1731" s="19">
        <v>1728</v>
      </c>
      <c r="B1731" s="20" t="s">
        <v>2065</v>
      </c>
      <c r="C1731" s="20" t="s">
        <v>1493</v>
      </c>
      <c r="D1731" s="20" t="s">
        <v>2066</v>
      </c>
      <c r="E1731" s="21">
        <v>830</v>
      </c>
      <c r="F1731" s="21">
        <v>12</v>
      </c>
      <c r="G1731" s="21"/>
      <c r="H1731" s="21"/>
      <c r="I1731" s="22">
        <f t="shared" si="26"/>
        <v>842</v>
      </c>
      <c r="J1731" t="e">
        <f>VLOOKUP(B1731,'[1]KT 광점퍼코드(수익률)'!$A$4:$P$243,16,0)</f>
        <v>#N/A</v>
      </c>
    </row>
    <row r="1732" spans="1:10" ht="15.75" hidden="1" customHeight="1">
      <c r="A1732" s="23">
        <v>1729</v>
      </c>
      <c r="B1732" s="24" t="s">
        <v>3414</v>
      </c>
      <c r="C1732" s="24" t="s">
        <v>1493</v>
      </c>
      <c r="D1732" s="24" t="s">
        <v>3415</v>
      </c>
      <c r="E1732" s="25"/>
      <c r="F1732" s="25"/>
      <c r="G1732" s="25">
        <v>40</v>
      </c>
      <c r="H1732" s="25"/>
      <c r="I1732" s="22">
        <f t="shared" ref="I1732:I1795" si="27">SUM(E1732:H1732)</f>
        <v>40</v>
      </c>
      <c r="J1732" t="e">
        <f>VLOOKUP(B1732,'[1]KT 광점퍼코드(수익률)'!$A$4:$P$243,16,0)</f>
        <v>#N/A</v>
      </c>
    </row>
    <row r="1733" spans="1:10" ht="15.75" hidden="1" customHeight="1">
      <c r="A1733" s="19">
        <v>1730</v>
      </c>
      <c r="B1733" s="20" t="s">
        <v>3416</v>
      </c>
      <c r="C1733" s="20" t="s">
        <v>1493</v>
      </c>
      <c r="D1733" s="20" t="s">
        <v>3417</v>
      </c>
      <c r="E1733" s="21"/>
      <c r="F1733" s="21"/>
      <c r="G1733" s="21">
        <v>15</v>
      </c>
      <c r="H1733" s="21">
        <v>50</v>
      </c>
      <c r="I1733" s="22">
        <f t="shared" si="27"/>
        <v>65</v>
      </c>
      <c r="J1733" t="e">
        <f>VLOOKUP(B1733,'[1]KT 광점퍼코드(수익률)'!$A$4:$P$243,16,0)</f>
        <v>#N/A</v>
      </c>
    </row>
    <row r="1734" spans="1:10" ht="15.75" hidden="1" customHeight="1">
      <c r="A1734" s="23">
        <v>1731</v>
      </c>
      <c r="B1734" s="24" t="s">
        <v>2920</v>
      </c>
      <c r="C1734" s="24" t="s">
        <v>2068</v>
      </c>
      <c r="D1734" s="24" t="s">
        <v>2921</v>
      </c>
      <c r="E1734" s="25"/>
      <c r="F1734" s="25">
        <v>12</v>
      </c>
      <c r="G1734" s="25"/>
      <c r="H1734" s="25"/>
      <c r="I1734" s="22">
        <f t="shared" si="27"/>
        <v>12</v>
      </c>
      <c r="J1734" t="e">
        <f>VLOOKUP(B1734,'[1]KT 광점퍼코드(수익률)'!$A$4:$P$243,16,0)</f>
        <v>#N/A</v>
      </c>
    </row>
    <row r="1735" spans="1:10" ht="15.75" hidden="1" customHeight="1">
      <c r="A1735" s="19">
        <v>1732</v>
      </c>
      <c r="B1735" s="20" t="s">
        <v>2067</v>
      </c>
      <c r="C1735" s="20" t="s">
        <v>2068</v>
      </c>
      <c r="D1735" s="20" t="s">
        <v>2069</v>
      </c>
      <c r="E1735" s="21">
        <v>40</v>
      </c>
      <c r="F1735" s="21">
        <v>25</v>
      </c>
      <c r="G1735" s="21">
        <v>3</v>
      </c>
      <c r="H1735" s="21"/>
      <c r="I1735" s="22">
        <f t="shared" si="27"/>
        <v>68</v>
      </c>
      <c r="J1735" t="e">
        <f>VLOOKUP(B1735,'[1]KT 광점퍼코드(수익률)'!$A$4:$P$243,16,0)</f>
        <v>#N/A</v>
      </c>
    </row>
    <row r="1736" spans="1:10" ht="15.75" hidden="1" customHeight="1">
      <c r="A1736" s="23">
        <v>1733</v>
      </c>
      <c r="B1736" s="24" t="s">
        <v>2922</v>
      </c>
      <c r="C1736" s="24" t="s">
        <v>2068</v>
      </c>
      <c r="D1736" s="24" t="s">
        <v>2923</v>
      </c>
      <c r="E1736" s="25"/>
      <c r="F1736" s="25">
        <v>25</v>
      </c>
      <c r="G1736" s="25"/>
      <c r="H1736" s="25"/>
      <c r="I1736" s="22">
        <f t="shared" si="27"/>
        <v>25</v>
      </c>
      <c r="J1736" t="e">
        <f>VLOOKUP(B1736,'[1]KT 광점퍼코드(수익률)'!$A$4:$P$243,16,0)</f>
        <v>#N/A</v>
      </c>
    </row>
    <row r="1737" spans="1:10" ht="15.75" hidden="1" customHeight="1">
      <c r="A1737" s="19">
        <v>1734</v>
      </c>
      <c r="B1737" s="20" t="s">
        <v>2924</v>
      </c>
      <c r="C1737" s="20" t="s">
        <v>2068</v>
      </c>
      <c r="D1737" s="20" t="s">
        <v>2925</v>
      </c>
      <c r="E1737" s="21"/>
      <c r="F1737" s="21">
        <v>10</v>
      </c>
      <c r="G1737" s="21"/>
      <c r="H1737" s="21"/>
      <c r="I1737" s="22">
        <f t="shared" si="27"/>
        <v>10</v>
      </c>
      <c r="J1737" t="e">
        <f>VLOOKUP(B1737,'[1]KT 광점퍼코드(수익률)'!$A$4:$P$243,16,0)</f>
        <v>#N/A</v>
      </c>
    </row>
    <row r="1738" spans="1:10" ht="15.75" hidden="1" customHeight="1">
      <c r="A1738" s="23">
        <v>1735</v>
      </c>
      <c r="B1738" s="24" t="s">
        <v>2926</v>
      </c>
      <c r="C1738" s="24" t="s">
        <v>2068</v>
      </c>
      <c r="D1738" s="24" t="s">
        <v>2927</v>
      </c>
      <c r="E1738" s="25"/>
      <c r="F1738" s="25">
        <v>10</v>
      </c>
      <c r="G1738" s="25"/>
      <c r="H1738" s="25"/>
      <c r="I1738" s="22">
        <f t="shared" si="27"/>
        <v>10</v>
      </c>
      <c r="J1738" t="e">
        <f>VLOOKUP(B1738,'[1]KT 광점퍼코드(수익률)'!$A$4:$P$243,16,0)</f>
        <v>#N/A</v>
      </c>
    </row>
    <row r="1739" spans="1:10" ht="15.75" hidden="1" customHeight="1">
      <c r="A1739" s="19">
        <v>1736</v>
      </c>
      <c r="B1739" s="20" t="s">
        <v>2070</v>
      </c>
      <c r="C1739" s="20" t="s">
        <v>1504</v>
      </c>
      <c r="D1739" s="20" t="s">
        <v>2071</v>
      </c>
      <c r="E1739" s="21">
        <v>14</v>
      </c>
      <c r="F1739" s="21"/>
      <c r="G1739" s="21">
        <v>11</v>
      </c>
      <c r="H1739" s="21"/>
      <c r="I1739" s="22">
        <f t="shared" si="27"/>
        <v>25</v>
      </c>
      <c r="J1739" t="e">
        <f>VLOOKUP(B1739,'[1]KT 광점퍼코드(수익률)'!$A$4:$P$243,16,0)</f>
        <v>#N/A</v>
      </c>
    </row>
    <row r="1740" spans="1:10" ht="15.75" hidden="1" customHeight="1">
      <c r="A1740" s="23">
        <v>1737</v>
      </c>
      <c r="B1740" s="24" t="s">
        <v>2072</v>
      </c>
      <c r="C1740" s="24" t="s">
        <v>2068</v>
      </c>
      <c r="D1740" s="24" t="s">
        <v>2073</v>
      </c>
      <c r="E1740" s="25">
        <v>30</v>
      </c>
      <c r="F1740" s="25">
        <v>2</v>
      </c>
      <c r="G1740" s="25"/>
      <c r="H1740" s="25"/>
      <c r="I1740" s="22">
        <f t="shared" si="27"/>
        <v>32</v>
      </c>
      <c r="J1740" t="e">
        <f>VLOOKUP(B1740,'[1]KT 광점퍼코드(수익률)'!$A$4:$P$243,16,0)</f>
        <v>#N/A</v>
      </c>
    </row>
    <row r="1741" spans="1:10" ht="15.75" hidden="1" customHeight="1">
      <c r="A1741" s="19">
        <v>1738</v>
      </c>
      <c r="B1741" s="20" t="s">
        <v>2074</v>
      </c>
      <c r="C1741" s="20" t="s">
        <v>1460</v>
      </c>
      <c r="D1741" s="20" t="s">
        <v>324</v>
      </c>
      <c r="E1741" s="21">
        <v>50</v>
      </c>
      <c r="F1741" s="21"/>
      <c r="G1741" s="21"/>
      <c r="H1741" s="21"/>
      <c r="I1741" s="22">
        <f t="shared" si="27"/>
        <v>50</v>
      </c>
      <c r="J1741" t="e">
        <f>VLOOKUP(B1741,'[1]KT 광점퍼코드(수익률)'!$A$4:$P$243,16,0)</f>
        <v>#N/A</v>
      </c>
    </row>
    <row r="1742" spans="1:10" ht="15.75" hidden="1" customHeight="1">
      <c r="A1742" s="23">
        <v>1739</v>
      </c>
      <c r="B1742" s="24" t="s">
        <v>2075</v>
      </c>
      <c r="C1742" s="24" t="s">
        <v>2068</v>
      </c>
      <c r="D1742" s="24" t="s">
        <v>2076</v>
      </c>
      <c r="E1742" s="25">
        <v>15</v>
      </c>
      <c r="F1742" s="25">
        <v>10</v>
      </c>
      <c r="G1742" s="25">
        <v>200</v>
      </c>
      <c r="H1742" s="25"/>
      <c r="I1742" s="22">
        <f t="shared" si="27"/>
        <v>225</v>
      </c>
      <c r="J1742" t="e">
        <f>VLOOKUP(B1742,'[1]KT 광점퍼코드(수익률)'!$A$4:$P$243,16,0)</f>
        <v>#N/A</v>
      </c>
    </row>
    <row r="1743" spans="1:10" ht="15.75" hidden="1" customHeight="1">
      <c r="A1743" s="19">
        <v>1740</v>
      </c>
      <c r="B1743" s="20" t="s">
        <v>2077</v>
      </c>
      <c r="C1743" s="20" t="s">
        <v>2008</v>
      </c>
      <c r="D1743" s="20" t="s">
        <v>2078</v>
      </c>
      <c r="E1743" s="21">
        <v>91</v>
      </c>
      <c r="F1743" s="21"/>
      <c r="G1743" s="21">
        <v>10</v>
      </c>
      <c r="H1743" s="21"/>
      <c r="I1743" s="22">
        <f t="shared" si="27"/>
        <v>101</v>
      </c>
      <c r="J1743" t="e">
        <f>VLOOKUP(B1743,'[1]KT 광점퍼코드(수익률)'!$A$4:$P$243,16,0)</f>
        <v>#N/A</v>
      </c>
    </row>
    <row r="1744" spans="1:10" ht="15.75" hidden="1" customHeight="1">
      <c r="A1744" s="23">
        <v>1741</v>
      </c>
      <c r="B1744" s="24" t="s">
        <v>2079</v>
      </c>
      <c r="C1744" s="24" t="s">
        <v>2008</v>
      </c>
      <c r="D1744" s="24" t="s">
        <v>2080</v>
      </c>
      <c r="E1744" s="25">
        <v>45</v>
      </c>
      <c r="F1744" s="25"/>
      <c r="G1744" s="25">
        <v>10</v>
      </c>
      <c r="H1744" s="25"/>
      <c r="I1744" s="22">
        <f t="shared" si="27"/>
        <v>55</v>
      </c>
      <c r="J1744" t="e">
        <f>VLOOKUP(B1744,'[1]KT 광점퍼코드(수익률)'!$A$4:$P$243,16,0)</f>
        <v>#N/A</v>
      </c>
    </row>
    <row r="1745" spans="1:10" ht="15.75" hidden="1" customHeight="1">
      <c r="A1745" s="19">
        <v>1742</v>
      </c>
      <c r="B1745" s="20" t="s">
        <v>2081</v>
      </c>
      <c r="C1745" s="20" t="s">
        <v>1523</v>
      </c>
      <c r="D1745" s="20" t="s">
        <v>1949</v>
      </c>
      <c r="E1745" s="21">
        <v>1</v>
      </c>
      <c r="F1745" s="21"/>
      <c r="G1745" s="21"/>
      <c r="H1745" s="21"/>
      <c r="I1745" s="22">
        <f t="shared" si="27"/>
        <v>1</v>
      </c>
      <c r="J1745" t="e">
        <f>VLOOKUP(B1745,'[1]KT 광점퍼코드(수익률)'!$A$4:$P$243,16,0)</f>
        <v>#N/A</v>
      </c>
    </row>
    <row r="1746" spans="1:10" ht="15.75" hidden="1" customHeight="1">
      <c r="A1746" s="23">
        <v>1743</v>
      </c>
      <c r="B1746" s="24" t="s">
        <v>2082</v>
      </c>
      <c r="C1746" s="24" t="s">
        <v>1460</v>
      </c>
      <c r="D1746" s="24" t="s">
        <v>2083</v>
      </c>
      <c r="E1746" s="25">
        <v>274</v>
      </c>
      <c r="F1746" s="25">
        <v>260</v>
      </c>
      <c r="G1746" s="25">
        <v>220</v>
      </c>
      <c r="H1746" s="25">
        <v>93</v>
      </c>
      <c r="I1746" s="22">
        <f t="shared" si="27"/>
        <v>847</v>
      </c>
      <c r="J1746" t="e">
        <f>VLOOKUP(B1746,'[1]KT 광점퍼코드(수익률)'!$A$4:$P$243,16,0)</f>
        <v>#N/A</v>
      </c>
    </row>
    <row r="1747" spans="1:10" ht="15.75" hidden="1" customHeight="1">
      <c r="A1747" s="19">
        <v>1744</v>
      </c>
      <c r="B1747" s="20" t="s">
        <v>2084</v>
      </c>
      <c r="C1747" s="20" t="s">
        <v>1460</v>
      </c>
      <c r="D1747" s="20" t="s">
        <v>1668</v>
      </c>
      <c r="E1747" s="21">
        <v>5</v>
      </c>
      <c r="F1747" s="21"/>
      <c r="G1747" s="21"/>
      <c r="H1747" s="21"/>
      <c r="I1747" s="22">
        <f t="shared" si="27"/>
        <v>5</v>
      </c>
      <c r="J1747" t="e">
        <f>VLOOKUP(B1747,'[1]KT 광점퍼코드(수익률)'!$A$4:$P$243,16,0)</f>
        <v>#N/A</v>
      </c>
    </row>
    <row r="1748" spans="1:10" ht="15.75" hidden="1" customHeight="1">
      <c r="A1748" s="23">
        <v>1745</v>
      </c>
      <c r="B1748" s="24" t="s">
        <v>2085</v>
      </c>
      <c r="C1748" s="24" t="s">
        <v>1460</v>
      </c>
      <c r="D1748" s="24" t="s">
        <v>1700</v>
      </c>
      <c r="E1748" s="25">
        <v>10</v>
      </c>
      <c r="F1748" s="25"/>
      <c r="G1748" s="25">
        <v>30</v>
      </c>
      <c r="H1748" s="25"/>
      <c r="I1748" s="22">
        <f t="shared" si="27"/>
        <v>40</v>
      </c>
      <c r="J1748" t="e">
        <f>VLOOKUP(B1748,'[1]KT 광점퍼코드(수익률)'!$A$4:$P$243,16,0)</f>
        <v>#N/A</v>
      </c>
    </row>
    <row r="1749" spans="1:10" ht="15.75" hidden="1" customHeight="1">
      <c r="A1749" s="19">
        <v>1746</v>
      </c>
      <c r="B1749" s="20" t="s">
        <v>2086</v>
      </c>
      <c r="C1749" s="20" t="s">
        <v>1460</v>
      </c>
      <c r="D1749" s="20" t="s">
        <v>2087</v>
      </c>
      <c r="E1749" s="21">
        <v>556</v>
      </c>
      <c r="F1749" s="21">
        <v>282</v>
      </c>
      <c r="G1749" s="21">
        <v>469</v>
      </c>
      <c r="H1749" s="21">
        <v>100</v>
      </c>
      <c r="I1749" s="22">
        <f t="shared" si="27"/>
        <v>1407</v>
      </c>
      <c r="J1749" t="e">
        <f>VLOOKUP(B1749,'[1]KT 광점퍼코드(수익률)'!$A$4:$P$243,16,0)</f>
        <v>#N/A</v>
      </c>
    </row>
    <row r="1750" spans="1:10" ht="15.75" hidden="1" customHeight="1">
      <c r="A1750" s="23">
        <v>1747</v>
      </c>
      <c r="B1750" s="24" t="s">
        <v>2088</v>
      </c>
      <c r="C1750" s="24" t="s">
        <v>1460</v>
      </c>
      <c r="D1750" s="24" t="s">
        <v>2089</v>
      </c>
      <c r="E1750" s="25">
        <v>330</v>
      </c>
      <c r="F1750" s="25">
        <v>201</v>
      </c>
      <c r="G1750" s="25">
        <v>305</v>
      </c>
      <c r="H1750" s="25">
        <v>10</v>
      </c>
      <c r="I1750" s="22">
        <f t="shared" si="27"/>
        <v>846</v>
      </c>
      <c r="J1750" t="e">
        <f>VLOOKUP(B1750,'[1]KT 광점퍼코드(수익률)'!$A$4:$P$243,16,0)</f>
        <v>#N/A</v>
      </c>
    </row>
    <row r="1751" spans="1:10" ht="15.75" hidden="1" customHeight="1">
      <c r="A1751" s="19">
        <v>1748</v>
      </c>
      <c r="B1751" s="20" t="s">
        <v>2090</v>
      </c>
      <c r="C1751" s="20" t="s">
        <v>1460</v>
      </c>
      <c r="D1751" s="20" t="s">
        <v>2091</v>
      </c>
      <c r="E1751" s="21">
        <v>61</v>
      </c>
      <c r="F1751" s="21">
        <v>38</v>
      </c>
      <c r="G1751" s="21"/>
      <c r="H1751" s="21"/>
      <c r="I1751" s="22">
        <f t="shared" si="27"/>
        <v>99</v>
      </c>
      <c r="J1751" t="e">
        <f>VLOOKUP(B1751,'[1]KT 광점퍼코드(수익률)'!$A$4:$P$243,16,0)</f>
        <v>#N/A</v>
      </c>
    </row>
    <row r="1752" spans="1:10" ht="15.75" hidden="1" customHeight="1">
      <c r="A1752" s="23">
        <v>1749</v>
      </c>
      <c r="B1752" s="24" t="s">
        <v>2092</v>
      </c>
      <c r="C1752" s="24" t="s">
        <v>1460</v>
      </c>
      <c r="D1752" s="24" t="s">
        <v>2093</v>
      </c>
      <c r="E1752" s="25">
        <v>52</v>
      </c>
      <c r="F1752" s="25">
        <v>20</v>
      </c>
      <c r="G1752" s="25">
        <v>1</v>
      </c>
      <c r="H1752" s="25"/>
      <c r="I1752" s="22">
        <f t="shared" si="27"/>
        <v>73</v>
      </c>
      <c r="J1752" t="e">
        <f>VLOOKUP(B1752,'[1]KT 광점퍼코드(수익률)'!$A$4:$P$243,16,0)</f>
        <v>#N/A</v>
      </c>
    </row>
    <row r="1753" spans="1:10" ht="15.75" hidden="1" customHeight="1">
      <c r="A1753" s="19">
        <v>1750</v>
      </c>
      <c r="B1753" s="20" t="s">
        <v>2094</v>
      </c>
      <c r="C1753" s="20" t="s">
        <v>1460</v>
      </c>
      <c r="D1753" s="20" t="s">
        <v>2095</v>
      </c>
      <c r="E1753" s="21">
        <v>35</v>
      </c>
      <c r="F1753" s="21"/>
      <c r="G1753" s="21"/>
      <c r="H1753" s="21"/>
      <c r="I1753" s="22">
        <f t="shared" si="27"/>
        <v>35</v>
      </c>
      <c r="J1753" t="e">
        <f>VLOOKUP(B1753,'[1]KT 광점퍼코드(수익률)'!$A$4:$P$243,16,0)</f>
        <v>#N/A</v>
      </c>
    </row>
    <row r="1754" spans="1:10" ht="15.75" hidden="1" customHeight="1">
      <c r="A1754" s="23">
        <v>1751</v>
      </c>
      <c r="B1754" s="24" t="s">
        <v>2096</v>
      </c>
      <c r="C1754" s="24" t="s">
        <v>1463</v>
      </c>
      <c r="D1754" s="24" t="s">
        <v>2097</v>
      </c>
      <c r="E1754" s="25">
        <v>140</v>
      </c>
      <c r="F1754" s="25">
        <v>57</v>
      </c>
      <c r="G1754" s="25">
        <v>30</v>
      </c>
      <c r="H1754" s="25"/>
      <c r="I1754" s="22">
        <f t="shared" si="27"/>
        <v>227</v>
      </c>
      <c r="J1754" t="e">
        <f>VLOOKUP(B1754,'[1]KT 광점퍼코드(수익률)'!$A$4:$P$243,16,0)</f>
        <v>#N/A</v>
      </c>
    </row>
    <row r="1755" spans="1:10" ht="15.75" hidden="1" customHeight="1">
      <c r="A1755" s="19">
        <v>1752</v>
      </c>
      <c r="B1755" s="20" t="s">
        <v>2098</v>
      </c>
      <c r="C1755" s="20" t="s">
        <v>1463</v>
      </c>
      <c r="D1755" s="20" t="s">
        <v>2099</v>
      </c>
      <c r="E1755" s="21">
        <v>303</v>
      </c>
      <c r="F1755" s="21">
        <v>123</v>
      </c>
      <c r="G1755" s="21">
        <v>70</v>
      </c>
      <c r="H1755" s="21"/>
      <c r="I1755" s="22">
        <f t="shared" si="27"/>
        <v>496</v>
      </c>
      <c r="J1755" t="e">
        <f>VLOOKUP(B1755,'[1]KT 광점퍼코드(수익률)'!$A$4:$P$243,16,0)</f>
        <v>#N/A</v>
      </c>
    </row>
    <row r="1756" spans="1:10" ht="15.75" hidden="1" customHeight="1">
      <c r="A1756" s="23">
        <v>1753</v>
      </c>
      <c r="B1756" s="24" t="s">
        <v>2100</v>
      </c>
      <c r="C1756" s="24" t="s">
        <v>1463</v>
      </c>
      <c r="D1756" s="24" t="s">
        <v>2101</v>
      </c>
      <c r="E1756" s="25">
        <v>228</v>
      </c>
      <c r="F1756" s="25">
        <v>117</v>
      </c>
      <c r="G1756" s="25">
        <v>90</v>
      </c>
      <c r="H1756" s="25">
        <v>20</v>
      </c>
      <c r="I1756" s="22">
        <f t="shared" si="27"/>
        <v>455</v>
      </c>
      <c r="J1756" t="e">
        <f>VLOOKUP(B1756,'[1]KT 광점퍼코드(수익률)'!$A$4:$P$243,16,0)</f>
        <v>#N/A</v>
      </c>
    </row>
    <row r="1757" spans="1:10" ht="15.75" hidden="1" customHeight="1">
      <c r="A1757" s="19">
        <v>1754</v>
      </c>
      <c r="B1757" s="20" t="s">
        <v>2102</v>
      </c>
      <c r="C1757" s="20" t="s">
        <v>1463</v>
      </c>
      <c r="D1757" s="20" t="s">
        <v>2103</v>
      </c>
      <c r="E1757" s="21">
        <v>16</v>
      </c>
      <c r="F1757" s="21">
        <v>7</v>
      </c>
      <c r="G1757" s="21">
        <v>3</v>
      </c>
      <c r="H1757" s="21">
        <v>30</v>
      </c>
      <c r="I1757" s="22">
        <f t="shared" si="27"/>
        <v>56</v>
      </c>
      <c r="J1757" t="e">
        <f>VLOOKUP(B1757,'[1]KT 광점퍼코드(수익률)'!$A$4:$P$243,16,0)</f>
        <v>#N/A</v>
      </c>
    </row>
    <row r="1758" spans="1:10" ht="15.75" hidden="1" customHeight="1">
      <c r="A1758" s="23">
        <v>1755</v>
      </c>
      <c r="B1758" s="24" t="s">
        <v>2928</v>
      </c>
      <c r="C1758" s="24" t="s">
        <v>2929</v>
      </c>
      <c r="D1758" s="24" t="s">
        <v>1911</v>
      </c>
      <c r="E1758" s="25"/>
      <c r="F1758" s="25">
        <v>35</v>
      </c>
      <c r="G1758" s="25">
        <v>48</v>
      </c>
      <c r="H1758" s="25">
        <v>19</v>
      </c>
      <c r="I1758" s="22">
        <f t="shared" si="27"/>
        <v>102</v>
      </c>
      <c r="J1758" t="e">
        <f>VLOOKUP(B1758,'[1]KT 광점퍼코드(수익률)'!$A$4:$P$243,16,0)</f>
        <v>#N/A</v>
      </c>
    </row>
    <row r="1759" spans="1:10" ht="15.75" hidden="1" customHeight="1">
      <c r="A1759" s="19">
        <v>1756</v>
      </c>
      <c r="B1759" s="20" t="s">
        <v>2930</v>
      </c>
      <c r="C1759" s="20" t="s">
        <v>2929</v>
      </c>
      <c r="D1759" s="20" t="s">
        <v>1913</v>
      </c>
      <c r="E1759" s="21"/>
      <c r="F1759" s="21">
        <v>42</v>
      </c>
      <c r="G1759" s="21">
        <v>39</v>
      </c>
      <c r="H1759" s="21">
        <v>11</v>
      </c>
      <c r="I1759" s="22">
        <f t="shared" si="27"/>
        <v>92</v>
      </c>
      <c r="J1759" t="e">
        <f>VLOOKUP(B1759,'[1]KT 광점퍼코드(수익률)'!$A$4:$P$243,16,0)</f>
        <v>#N/A</v>
      </c>
    </row>
    <row r="1760" spans="1:10" ht="15.75" hidden="1" customHeight="1">
      <c r="A1760" s="23">
        <v>1757</v>
      </c>
      <c r="B1760" s="24" t="s">
        <v>2931</v>
      </c>
      <c r="C1760" s="24" t="s">
        <v>2929</v>
      </c>
      <c r="D1760" s="24" t="s">
        <v>1904</v>
      </c>
      <c r="E1760" s="25"/>
      <c r="F1760" s="25">
        <v>15</v>
      </c>
      <c r="G1760" s="25">
        <v>11</v>
      </c>
      <c r="H1760" s="25">
        <v>10</v>
      </c>
      <c r="I1760" s="22">
        <f t="shared" si="27"/>
        <v>36</v>
      </c>
      <c r="J1760" t="e">
        <f>VLOOKUP(B1760,'[1]KT 광점퍼코드(수익률)'!$A$4:$P$243,16,0)</f>
        <v>#N/A</v>
      </c>
    </row>
    <row r="1761" spans="1:10" ht="15.75" hidden="1" customHeight="1">
      <c r="A1761" s="19">
        <v>1758</v>
      </c>
      <c r="B1761" s="20" t="s">
        <v>2104</v>
      </c>
      <c r="C1761" s="20" t="s">
        <v>1466</v>
      </c>
      <c r="D1761" s="20" t="s">
        <v>2105</v>
      </c>
      <c r="E1761" s="21">
        <v>2467</v>
      </c>
      <c r="F1761" s="21">
        <v>1988</v>
      </c>
      <c r="G1761" s="21">
        <v>1775</v>
      </c>
      <c r="H1761" s="21">
        <v>675</v>
      </c>
      <c r="I1761" s="22">
        <f t="shared" si="27"/>
        <v>6905</v>
      </c>
      <c r="J1761" t="e">
        <f>VLOOKUP(B1761,'[1]KT 광점퍼코드(수익률)'!$A$4:$P$243,16,0)</f>
        <v>#N/A</v>
      </c>
    </row>
    <row r="1762" spans="1:10" ht="15.75" hidden="1" customHeight="1">
      <c r="A1762" s="23">
        <v>1759</v>
      </c>
      <c r="B1762" s="24" t="s">
        <v>2106</v>
      </c>
      <c r="C1762" s="24" t="s">
        <v>1466</v>
      </c>
      <c r="D1762" s="24" t="s">
        <v>1668</v>
      </c>
      <c r="E1762" s="25">
        <v>33</v>
      </c>
      <c r="F1762" s="25">
        <v>170</v>
      </c>
      <c r="G1762" s="25"/>
      <c r="H1762" s="25"/>
      <c r="I1762" s="22">
        <f t="shared" si="27"/>
        <v>203</v>
      </c>
      <c r="J1762" t="e">
        <f>VLOOKUP(B1762,'[1]KT 광점퍼코드(수익률)'!$A$4:$P$243,16,0)</f>
        <v>#N/A</v>
      </c>
    </row>
    <row r="1763" spans="1:10" ht="15.75" hidden="1" customHeight="1">
      <c r="A1763" s="19">
        <v>1760</v>
      </c>
      <c r="B1763" s="20" t="s">
        <v>2932</v>
      </c>
      <c r="C1763" s="20" t="s">
        <v>1466</v>
      </c>
      <c r="D1763" s="20" t="s">
        <v>1700</v>
      </c>
      <c r="E1763" s="21"/>
      <c r="F1763" s="21">
        <v>110</v>
      </c>
      <c r="G1763" s="21">
        <v>20</v>
      </c>
      <c r="H1763" s="21">
        <v>10</v>
      </c>
      <c r="I1763" s="22">
        <f t="shared" si="27"/>
        <v>140</v>
      </c>
      <c r="J1763" t="e">
        <f>VLOOKUP(B1763,'[1]KT 광점퍼코드(수익률)'!$A$4:$P$243,16,0)</f>
        <v>#N/A</v>
      </c>
    </row>
    <row r="1764" spans="1:10" ht="15.75" hidden="1" customHeight="1">
      <c r="A1764" s="23">
        <v>1761</v>
      </c>
      <c r="B1764" s="24" t="s">
        <v>2107</v>
      </c>
      <c r="C1764" s="24" t="s">
        <v>1466</v>
      </c>
      <c r="D1764" s="24" t="s">
        <v>2108</v>
      </c>
      <c r="E1764" s="25">
        <v>2793</v>
      </c>
      <c r="F1764" s="25">
        <v>2454</v>
      </c>
      <c r="G1764" s="25">
        <v>2137</v>
      </c>
      <c r="H1764" s="25">
        <v>295</v>
      </c>
      <c r="I1764" s="22">
        <f t="shared" si="27"/>
        <v>7679</v>
      </c>
      <c r="J1764" t="e">
        <f>VLOOKUP(B1764,'[1]KT 광점퍼코드(수익률)'!$A$4:$P$243,16,0)</f>
        <v>#N/A</v>
      </c>
    </row>
    <row r="1765" spans="1:10" ht="15.75" hidden="1" customHeight="1">
      <c r="A1765" s="19">
        <v>1762</v>
      </c>
      <c r="B1765" s="20" t="s">
        <v>2109</v>
      </c>
      <c r="C1765" s="20" t="s">
        <v>1466</v>
      </c>
      <c r="D1765" s="20" t="s">
        <v>2110</v>
      </c>
      <c r="E1765" s="21">
        <v>2</v>
      </c>
      <c r="F1765" s="21"/>
      <c r="G1765" s="21"/>
      <c r="H1765" s="21">
        <v>10</v>
      </c>
      <c r="I1765" s="22">
        <f t="shared" si="27"/>
        <v>12</v>
      </c>
      <c r="J1765" t="e">
        <f>VLOOKUP(B1765,'[1]KT 광점퍼코드(수익률)'!$A$4:$P$243,16,0)</f>
        <v>#N/A</v>
      </c>
    </row>
    <row r="1766" spans="1:10" ht="15.75" hidden="1" customHeight="1">
      <c r="A1766" s="23">
        <v>1763</v>
      </c>
      <c r="B1766" s="24" t="s">
        <v>2111</v>
      </c>
      <c r="C1766" s="24" t="s">
        <v>1466</v>
      </c>
      <c r="D1766" s="24" t="s">
        <v>1783</v>
      </c>
      <c r="E1766" s="25">
        <v>6</v>
      </c>
      <c r="F1766" s="25"/>
      <c r="G1766" s="25"/>
      <c r="H1766" s="25">
        <v>10</v>
      </c>
      <c r="I1766" s="22">
        <f t="shared" si="27"/>
        <v>16</v>
      </c>
      <c r="J1766" t="e">
        <f>VLOOKUP(B1766,'[1]KT 광점퍼코드(수익률)'!$A$4:$P$243,16,0)</f>
        <v>#N/A</v>
      </c>
    </row>
    <row r="1767" spans="1:10" ht="15.75" hidden="1" customHeight="1">
      <c r="A1767" s="19">
        <v>1764</v>
      </c>
      <c r="B1767" s="20" t="s">
        <v>2112</v>
      </c>
      <c r="C1767" s="20" t="s">
        <v>1466</v>
      </c>
      <c r="D1767" s="20" t="s">
        <v>1722</v>
      </c>
      <c r="E1767" s="21">
        <v>6</v>
      </c>
      <c r="F1767" s="21">
        <v>20</v>
      </c>
      <c r="G1767" s="21">
        <v>60</v>
      </c>
      <c r="H1767" s="21">
        <v>10</v>
      </c>
      <c r="I1767" s="22">
        <f t="shared" si="27"/>
        <v>96</v>
      </c>
      <c r="J1767" t="e">
        <f>VLOOKUP(B1767,'[1]KT 광점퍼코드(수익률)'!$A$4:$P$243,16,0)</f>
        <v>#N/A</v>
      </c>
    </row>
    <row r="1768" spans="1:10" ht="15.75" hidden="1" customHeight="1">
      <c r="A1768" s="23">
        <v>1765</v>
      </c>
      <c r="B1768" s="24" t="s">
        <v>2113</v>
      </c>
      <c r="C1768" s="24" t="s">
        <v>1466</v>
      </c>
      <c r="D1768" s="24" t="s">
        <v>2114</v>
      </c>
      <c r="E1768" s="25">
        <v>85</v>
      </c>
      <c r="F1768" s="25">
        <v>175</v>
      </c>
      <c r="G1768" s="25">
        <v>218</v>
      </c>
      <c r="H1768" s="25">
        <v>250</v>
      </c>
      <c r="I1768" s="22">
        <f t="shared" si="27"/>
        <v>728</v>
      </c>
      <c r="J1768" t="e">
        <f>VLOOKUP(B1768,'[1]KT 광점퍼코드(수익률)'!$A$4:$P$243,16,0)</f>
        <v>#N/A</v>
      </c>
    </row>
    <row r="1769" spans="1:10" ht="15.75" hidden="1" customHeight="1">
      <c r="A1769" s="19">
        <v>1766</v>
      </c>
      <c r="B1769" s="20" t="s">
        <v>2115</v>
      </c>
      <c r="C1769" s="20" t="s">
        <v>1466</v>
      </c>
      <c r="D1769" s="20" t="s">
        <v>2116</v>
      </c>
      <c r="E1769" s="21">
        <v>1493</v>
      </c>
      <c r="F1769" s="21">
        <v>1149</v>
      </c>
      <c r="G1769" s="21">
        <v>835</v>
      </c>
      <c r="H1769" s="21">
        <v>135</v>
      </c>
      <c r="I1769" s="22">
        <f t="shared" si="27"/>
        <v>3612</v>
      </c>
      <c r="J1769" t="e">
        <f>VLOOKUP(B1769,'[1]KT 광점퍼코드(수익률)'!$A$4:$P$243,16,0)</f>
        <v>#N/A</v>
      </c>
    </row>
    <row r="1770" spans="1:10" ht="15.75" hidden="1" customHeight="1">
      <c r="A1770" s="23">
        <v>1767</v>
      </c>
      <c r="B1770" s="24" t="s">
        <v>2117</v>
      </c>
      <c r="C1770" s="24" t="s">
        <v>1466</v>
      </c>
      <c r="D1770" s="24" t="s">
        <v>2118</v>
      </c>
      <c r="E1770" s="25">
        <v>2</v>
      </c>
      <c r="F1770" s="25"/>
      <c r="G1770" s="25"/>
      <c r="H1770" s="25"/>
      <c r="I1770" s="22">
        <f t="shared" si="27"/>
        <v>2</v>
      </c>
      <c r="J1770" t="e">
        <f>VLOOKUP(B1770,'[1]KT 광점퍼코드(수익률)'!$A$4:$P$243,16,0)</f>
        <v>#N/A</v>
      </c>
    </row>
    <row r="1771" spans="1:10" ht="15.75" hidden="1" customHeight="1">
      <c r="A1771" s="19">
        <v>1768</v>
      </c>
      <c r="B1771" s="20" t="s">
        <v>2119</v>
      </c>
      <c r="C1771" s="20" t="s">
        <v>1466</v>
      </c>
      <c r="D1771" s="20" t="s">
        <v>2120</v>
      </c>
      <c r="E1771" s="21">
        <v>79</v>
      </c>
      <c r="F1771" s="21">
        <v>92</v>
      </c>
      <c r="G1771" s="21">
        <v>189</v>
      </c>
      <c r="H1771" s="21">
        <v>23</v>
      </c>
      <c r="I1771" s="22">
        <f t="shared" si="27"/>
        <v>383</v>
      </c>
      <c r="J1771" t="e">
        <f>VLOOKUP(B1771,'[1]KT 광점퍼코드(수익률)'!$A$4:$P$243,16,0)</f>
        <v>#N/A</v>
      </c>
    </row>
    <row r="1772" spans="1:10" ht="15.75" hidden="1" customHeight="1">
      <c r="A1772" s="23">
        <v>1769</v>
      </c>
      <c r="B1772" s="24" t="s">
        <v>2121</v>
      </c>
      <c r="C1772" s="24" t="s">
        <v>1466</v>
      </c>
      <c r="D1772" s="24" t="s">
        <v>2122</v>
      </c>
      <c r="E1772" s="25">
        <v>208</v>
      </c>
      <c r="F1772" s="25">
        <v>28</v>
      </c>
      <c r="G1772" s="25">
        <v>50</v>
      </c>
      <c r="H1772" s="25"/>
      <c r="I1772" s="22">
        <f t="shared" si="27"/>
        <v>286</v>
      </c>
      <c r="J1772" t="e">
        <f>VLOOKUP(B1772,'[1]KT 광점퍼코드(수익률)'!$A$4:$P$243,16,0)</f>
        <v>#N/A</v>
      </c>
    </row>
    <row r="1773" spans="1:10" ht="15.75" hidden="1" customHeight="1">
      <c r="A1773" s="19">
        <v>1770</v>
      </c>
      <c r="B1773" s="20" t="s">
        <v>2123</v>
      </c>
      <c r="C1773" s="20" t="s">
        <v>1466</v>
      </c>
      <c r="D1773" s="20" t="s">
        <v>2124</v>
      </c>
      <c r="E1773" s="21">
        <v>203</v>
      </c>
      <c r="F1773" s="21">
        <v>30</v>
      </c>
      <c r="G1773" s="21">
        <v>72</v>
      </c>
      <c r="H1773" s="21"/>
      <c r="I1773" s="22">
        <f t="shared" si="27"/>
        <v>305</v>
      </c>
      <c r="J1773" t="e">
        <f>VLOOKUP(B1773,'[1]KT 광점퍼코드(수익률)'!$A$4:$P$243,16,0)</f>
        <v>#N/A</v>
      </c>
    </row>
    <row r="1774" spans="1:10" ht="15.75" hidden="1" customHeight="1">
      <c r="A1774" s="23">
        <v>1771</v>
      </c>
      <c r="B1774" s="24" t="s">
        <v>2125</v>
      </c>
      <c r="C1774" s="24" t="s">
        <v>1466</v>
      </c>
      <c r="D1774" s="24" t="s">
        <v>2126</v>
      </c>
      <c r="E1774" s="25">
        <v>2182</v>
      </c>
      <c r="F1774" s="25">
        <v>1570</v>
      </c>
      <c r="G1774" s="25">
        <v>867</v>
      </c>
      <c r="H1774" s="25">
        <v>70</v>
      </c>
      <c r="I1774" s="22">
        <f t="shared" si="27"/>
        <v>4689</v>
      </c>
      <c r="J1774" t="e">
        <f>VLOOKUP(B1774,'[1]KT 광점퍼코드(수익률)'!$A$4:$P$243,16,0)</f>
        <v>#N/A</v>
      </c>
    </row>
    <row r="1775" spans="1:10" ht="15.75" hidden="1" customHeight="1">
      <c r="A1775" s="19">
        <v>1772</v>
      </c>
      <c r="B1775" s="20" t="s">
        <v>3536</v>
      </c>
      <c r="C1775" s="20" t="s">
        <v>1466</v>
      </c>
      <c r="D1775" s="20" t="s">
        <v>3537</v>
      </c>
      <c r="E1775" s="21"/>
      <c r="F1775" s="21"/>
      <c r="G1775" s="21"/>
      <c r="H1775" s="21">
        <v>1</v>
      </c>
      <c r="I1775" s="22">
        <f t="shared" si="27"/>
        <v>1</v>
      </c>
      <c r="J1775" t="e">
        <f>VLOOKUP(B1775,'[1]KT 광점퍼코드(수익률)'!$A$4:$P$243,16,0)</f>
        <v>#N/A</v>
      </c>
    </row>
    <row r="1776" spans="1:10" ht="15.75" hidden="1" customHeight="1">
      <c r="A1776" s="23">
        <v>1773</v>
      </c>
      <c r="B1776" s="24" t="s">
        <v>2127</v>
      </c>
      <c r="C1776" s="24" t="s">
        <v>1466</v>
      </c>
      <c r="D1776" s="24" t="s">
        <v>2128</v>
      </c>
      <c r="E1776" s="25">
        <v>153</v>
      </c>
      <c r="F1776" s="25">
        <v>429</v>
      </c>
      <c r="G1776" s="25">
        <v>320</v>
      </c>
      <c r="H1776" s="25">
        <v>30</v>
      </c>
      <c r="I1776" s="22">
        <f t="shared" si="27"/>
        <v>932</v>
      </c>
      <c r="J1776" t="e">
        <f>VLOOKUP(B1776,'[1]KT 광점퍼코드(수익률)'!$A$4:$P$243,16,0)</f>
        <v>#N/A</v>
      </c>
    </row>
    <row r="1777" spans="1:10" ht="15.75" hidden="1" customHeight="1">
      <c r="A1777" s="19">
        <v>1774</v>
      </c>
      <c r="B1777" s="20" t="s">
        <v>2129</v>
      </c>
      <c r="C1777" s="20" t="s">
        <v>1466</v>
      </c>
      <c r="D1777" s="20" t="s">
        <v>2130</v>
      </c>
      <c r="E1777" s="21">
        <v>60</v>
      </c>
      <c r="F1777" s="21">
        <v>3</v>
      </c>
      <c r="G1777" s="21">
        <v>20</v>
      </c>
      <c r="H1777" s="21">
        <v>20</v>
      </c>
      <c r="I1777" s="22">
        <f t="shared" si="27"/>
        <v>103</v>
      </c>
      <c r="J1777" t="e">
        <f>VLOOKUP(B1777,'[1]KT 광점퍼코드(수익률)'!$A$4:$P$243,16,0)</f>
        <v>#N/A</v>
      </c>
    </row>
    <row r="1778" spans="1:10" ht="15.75" hidden="1" customHeight="1">
      <c r="A1778" s="23">
        <v>1775</v>
      </c>
      <c r="B1778" s="24" t="s">
        <v>2131</v>
      </c>
      <c r="C1778" s="24" t="s">
        <v>1466</v>
      </c>
      <c r="D1778" s="24" t="s">
        <v>2132</v>
      </c>
      <c r="E1778" s="25">
        <v>160</v>
      </c>
      <c r="F1778" s="25">
        <v>345</v>
      </c>
      <c r="G1778" s="25">
        <v>250</v>
      </c>
      <c r="H1778" s="25">
        <v>22</v>
      </c>
      <c r="I1778" s="22">
        <f t="shared" si="27"/>
        <v>777</v>
      </c>
      <c r="J1778" t="e">
        <f>VLOOKUP(B1778,'[1]KT 광점퍼코드(수익률)'!$A$4:$P$243,16,0)</f>
        <v>#N/A</v>
      </c>
    </row>
    <row r="1779" spans="1:10" ht="15.75" hidden="1" customHeight="1">
      <c r="A1779" s="19">
        <v>1776</v>
      </c>
      <c r="B1779" s="20" t="s">
        <v>2133</v>
      </c>
      <c r="C1779" s="20" t="s">
        <v>1466</v>
      </c>
      <c r="D1779" s="20" t="s">
        <v>2134</v>
      </c>
      <c r="E1779" s="21">
        <v>50</v>
      </c>
      <c r="F1779" s="21">
        <v>80</v>
      </c>
      <c r="G1779" s="21"/>
      <c r="H1779" s="21">
        <v>20</v>
      </c>
      <c r="I1779" s="22">
        <f t="shared" si="27"/>
        <v>150</v>
      </c>
      <c r="J1779" t="e">
        <f>VLOOKUP(B1779,'[1]KT 광점퍼코드(수익률)'!$A$4:$P$243,16,0)</f>
        <v>#N/A</v>
      </c>
    </row>
    <row r="1780" spans="1:10" ht="15.75" hidden="1" customHeight="1">
      <c r="A1780" s="23">
        <v>1777</v>
      </c>
      <c r="B1780" s="24" t="s">
        <v>2933</v>
      </c>
      <c r="C1780" s="24" t="s">
        <v>1466</v>
      </c>
      <c r="D1780" s="24" t="s">
        <v>1946</v>
      </c>
      <c r="E1780" s="25"/>
      <c r="F1780" s="25">
        <v>30</v>
      </c>
      <c r="G1780" s="25"/>
      <c r="H1780" s="25"/>
      <c r="I1780" s="22">
        <f t="shared" si="27"/>
        <v>30</v>
      </c>
      <c r="J1780" t="e">
        <f>VLOOKUP(B1780,'[1]KT 광점퍼코드(수익률)'!$A$4:$P$243,16,0)</f>
        <v>#N/A</v>
      </c>
    </row>
    <row r="1781" spans="1:10" ht="15.75" hidden="1" customHeight="1">
      <c r="A1781" s="19">
        <v>1778</v>
      </c>
      <c r="B1781" s="20" t="s">
        <v>2934</v>
      </c>
      <c r="C1781" s="20" t="s">
        <v>1475</v>
      </c>
      <c r="D1781" s="20" t="s">
        <v>1946</v>
      </c>
      <c r="E1781" s="21"/>
      <c r="F1781" s="21">
        <v>20</v>
      </c>
      <c r="G1781" s="21"/>
      <c r="H1781" s="21"/>
      <c r="I1781" s="22">
        <f t="shared" si="27"/>
        <v>20</v>
      </c>
      <c r="J1781" t="e">
        <f>VLOOKUP(B1781,'[1]KT 광점퍼코드(수익률)'!$A$4:$P$243,16,0)</f>
        <v>#N/A</v>
      </c>
    </row>
    <row r="1782" spans="1:10" ht="15.75" hidden="1" customHeight="1">
      <c r="A1782" s="23">
        <v>1779</v>
      </c>
      <c r="B1782" s="24" t="s">
        <v>2135</v>
      </c>
      <c r="C1782" s="24" t="s">
        <v>1471</v>
      </c>
      <c r="D1782" s="24" t="s">
        <v>2136</v>
      </c>
      <c r="E1782" s="25">
        <v>294</v>
      </c>
      <c r="F1782" s="25">
        <v>101</v>
      </c>
      <c r="G1782" s="25">
        <v>49</v>
      </c>
      <c r="H1782" s="25">
        <v>20</v>
      </c>
      <c r="I1782" s="22">
        <f t="shared" si="27"/>
        <v>464</v>
      </c>
      <c r="J1782" t="e">
        <f>VLOOKUP(B1782,'[1]KT 광점퍼코드(수익률)'!$A$4:$P$243,16,0)</f>
        <v>#N/A</v>
      </c>
    </row>
    <row r="1783" spans="1:10" ht="15.75" hidden="1" customHeight="1">
      <c r="A1783" s="19">
        <v>1780</v>
      </c>
      <c r="B1783" s="20" t="s">
        <v>2137</v>
      </c>
      <c r="C1783" s="20" t="s">
        <v>1471</v>
      </c>
      <c r="D1783" s="20" t="s">
        <v>2138</v>
      </c>
      <c r="E1783" s="21">
        <v>325</v>
      </c>
      <c r="F1783" s="21">
        <v>180</v>
      </c>
      <c r="G1783" s="21">
        <v>180</v>
      </c>
      <c r="H1783" s="21">
        <v>30</v>
      </c>
      <c r="I1783" s="22">
        <f t="shared" si="27"/>
        <v>715</v>
      </c>
      <c r="J1783" t="e">
        <f>VLOOKUP(B1783,'[1]KT 광점퍼코드(수익률)'!$A$4:$P$243,16,0)</f>
        <v>#N/A</v>
      </c>
    </row>
    <row r="1784" spans="1:10" ht="15.75" hidden="1" customHeight="1">
      <c r="A1784" s="23">
        <v>1781</v>
      </c>
      <c r="B1784" s="24" t="s">
        <v>2139</v>
      </c>
      <c r="C1784" s="24" t="s">
        <v>1471</v>
      </c>
      <c r="D1784" s="24" t="s">
        <v>2140</v>
      </c>
      <c r="E1784" s="25">
        <v>250</v>
      </c>
      <c r="F1784" s="25">
        <v>35</v>
      </c>
      <c r="G1784" s="25">
        <v>8</v>
      </c>
      <c r="H1784" s="25">
        <v>20</v>
      </c>
      <c r="I1784" s="22">
        <f t="shared" si="27"/>
        <v>313</v>
      </c>
      <c r="J1784" t="e">
        <f>VLOOKUP(B1784,'[1]KT 광점퍼코드(수익률)'!$A$4:$P$243,16,0)</f>
        <v>#N/A</v>
      </c>
    </row>
    <row r="1785" spans="1:10" ht="15.75" hidden="1" customHeight="1">
      <c r="A1785" s="19">
        <v>1782</v>
      </c>
      <c r="B1785" s="20" t="s">
        <v>2141</v>
      </c>
      <c r="C1785" s="20" t="s">
        <v>1471</v>
      </c>
      <c r="D1785" s="20" t="s">
        <v>2142</v>
      </c>
      <c r="E1785" s="21">
        <v>40</v>
      </c>
      <c r="F1785" s="21">
        <v>66</v>
      </c>
      <c r="G1785" s="21">
        <v>84</v>
      </c>
      <c r="H1785" s="21"/>
      <c r="I1785" s="22">
        <f t="shared" si="27"/>
        <v>190</v>
      </c>
      <c r="J1785" t="e">
        <f>VLOOKUP(B1785,'[1]KT 광점퍼코드(수익률)'!$A$4:$P$243,16,0)</f>
        <v>#N/A</v>
      </c>
    </row>
    <row r="1786" spans="1:10" ht="15.75" hidden="1" customHeight="1">
      <c r="A1786" s="23">
        <v>1783</v>
      </c>
      <c r="B1786" s="24" t="s">
        <v>2143</v>
      </c>
      <c r="C1786" s="24" t="s">
        <v>1471</v>
      </c>
      <c r="D1786" s="24" t="s">
        <v>2144</v>
      </c>
      <c r="E1786" s="25">
        <v>45</v>
      </c>
      <c r="F1786" s="25"/>
      <c r="G1786" s="25"/>
      <c r="H1786" s="25"/>
      <c r="I1786" s="22">
        <f t="shared" si="27"/>
        <v>45</v>
      </c>
      <c r="J1786" t="e">
        <f>VLOOKUP(B1786,'[1]KT 광점퍼코드(수익률)'!$A$4:$P$243,16,0)</f>
        <v>#N/A</v>
      </c>
    </row>
    <row r="1787" spans="1:10" ht="15.75" hidden="1" customHeight="1">
      <c r="A1787" s="19">
        <v>1784</v>
      </c>
      <c r="B1787" s="20" t="s">
        <v>2145</v>
      </c>
      <c r="C1787" s="20" t="s">
        <v>1471</v>
      </c>
      <c r="D1787" s="20" t="s">
        <v>2146</v>
      </c>
      <c r="E1787" s="21">
        <v>88</v>
      </c>
      <c r="F1787" s="21">
        <v>20</v>
      </c>
      <c r="G1787" s="21"/>
      <c r="H1787" s="21"/>
      <c r="I1787" s="22">
        <f t="shared" si="27"/>
        <v>108</v>
      </c>
      <c r="J1787" t="e">
        <f>VLOOKUP(B1787,'[1]KT 광점퍼코드(수익률)'!$A$4:$P$243,16,0)</f>
        <v>#N/A</v>
      </c>
    </row>
    <row r="1788" spans="1:10" ht="15.75" hidden="1" customHeight="1">
      <c r="A1788" s="23">
        <v>1785</v>
      </c>
      <c r="B1788" s="24" t="s">
        <v>2147</v>
      </c>
      <c r="C1788" s="24" t="s">
        <v>1471</v>
      </c>
      <c r="D1788" s="24" t="s">
        <v>2148</v>
      </c>
      <c r="E1788" s="25">
        <v>17</v>
      </c>
      <c r="F1788" s="25">
        <v>57</v>
      </c>
      <c r="G1788" s="25">
        <v>131</v>
      </c>
      <c r="H1788" s="25"/>
      <c r="I1788" s="22">
        <f t="shared" si="27"/>
        <v>205</v>
      </c>
      <c r="J1788" t="e">
        <f>VLOOKUP(B1788,'[1]KT 광점퍼코드(수익률)'!$A$4:$P$243,16,0)</f>
        <v>#N/A</v>
      </c>
    </row>
    <row r="1789" spans="1:10" ht="15.75" hidden="1" customHeight="1">
      <c r="A1789" s="19">
        <v>1786</v>
      </c>
      <c r="B1789" s="20" t="s">
        <v>2149</v>
      </c>
      <c r="C1789" s="20" t="s">
        <v>1471</v>
      </c>
      <c r="D1789" s="20" t="s">
        <v>2150</v>
      </c>
      <c r="E1789" s="21">
        <v>350</v>
      </c>
      <c r="F1789" s="21">
        <v>155</v>
      </c>
      <c r="G1789" s="21">
        <v>95</v>
      </c>
      <c r="H1789" s="21">
        <v>10</v>
      </c>
      <c r="I1789" s="22">
        <f t="shared" si="27"/>
        <v>610</v>
      </c>
      <c r="J1789" t="e">
        <f>VLOOKUP(B1789,'[1]KT 광점퍼코드(수익률)'!$A$4:$P$243,16,0)</f>
        <v>#N/A</v>
      </c>
    </row>
    <row r="1790" spans="1:10" ht="15.75" hidden="1" customHeight="1">
      <c r="A1790" s="23">
        <v>1787</v>
      </c>
      <c r="B1790" s="24" t="s">
        <v>2151</v>
      </c>
      <c r="C1790" s="24" t="s">
        <v>1471</v>
      </c>
      <c r="D1790" s="24" t="s">
        <v>2152</v>
      </c>
      <c r="E1790" s="25">
        <v>70</v>
      </c>
      <c r="F1790" s="25">
        <v>30</v>
      </c>
      <c r="G1790" s="25"/>
      <c r="H1790" s="25"/>
      <c r="I1790" s="22">
        <f t="shared" si="27"/>
        <v>100</v>
      </c>
      <c r="J1790" t="e">
        <f>VLOOKUP(B1790,'[1]KT 광점퍼코드(수익률)'!$A$4:$P$243,16,0)</f>
        <v>#N/A</v>
      </c>
    </row>
    <row r="1791" spans="1:10" ht="15.75" hidden="1" customHeight="1">
      <c r="A1791" s="19">
        <v>1788</v>
      </c>
      <c r="B1791" s="20" t="s">
        <v>2935</v>
      </c>
      <c r="C1791" s="20" t="s">
        <v>1471</v>
      </c>
      <c r="D1791" s="20" t="s">
        <v>2936</v>
      </c>
      <c r="E1791" s="21"/>
      <c r="F1791" s="21">
        <v>15</v>
      </c>
      <c r="G1791" s="21"/>
      <c r="H1791" s="21"/>
      <c r="I1791" s="22">
        <f t="shared" si="27"/>
        <v>15</v>
      </c>
      <c r="J1791" t="e">
        <f>VLOOKUP(B1791,'[1]KT 광점퍼코드(수익률)'!$A$4:$P$243,16,0)</f>
        <v>#N/A</v>
      </c>
    </row>
    <row r="1792" spans="1:10" ht="15.75" hidden="1" customHeight="1">
      <c r="A1792" s="23">
        <v>1789</v>
      </c>
      <c r="B1792" s="24" t="s">
        <v>2153</v>
      </c>
      <c r="C1792" s="24" t="s">
        <v>1475</v>
      </c>
      <c r="D1792" s="24" t="s">
        <v>2154</v>
      </c>
      <c r="E1792" s="25">
        <v>1887</v>
      </c>
      <c r="F1792" s="25">
        <v>1278</v>
      </c>
      <c r="G1792" s="25">
        <v>1741</v>
      </c>
      <c r="H1792" s="25">
        <v>824</v>
      </c>
      <c r="I1792" s="22">
        <f t="shared" si="27"/>
        <v>5730</v>
      </c>
      <c r="J1792" t="e">
        <f>VLOOKUP(B1792,'[1]KT 광점퍼코드(수익률)'!$A$4:$P$243,16,0)</f>
        <v>#N/A</v>
      </c>
    </row>
    <row r="1793" spans="1:10" ht="15.75" hidden="1" customHeight="1">
      <c r="A1793" s="19">
        <v>1790</v>
      </c>
      <c r="B1793" s="20" t="s">
        <v>2155</v>
      </c>
      <c r="C1793" s="20" t="s">
        <v>1475</v>
      </c>
      <c r="D1793" s="20" t="s">
        <v>1668</v>
      </c>
      <c r="E1793" s="21">
        <v>60</v>
      </c>
      <c r="F1793" s="21">
        <v>10</v>
      </c>
      <c r="G1793" s="21">
        <v>25</v>
      </c>
      <c r="H1793" s="21">
        <v>20</v>
      </c>
      <c r="I1793" s="22">
        <f t="shared" si="27"/>
        <v>115</v>
      </c>
      <c r="J1793" t="e">
        <f>VLOOKUP(B1793,'[1]KT 광점퍼코드(수익률)'!$A$4:$P$243,16,0)</f>
        <v>#N/A</v>
      </c>
    </row>
    <row r="1794" spans="1:10" ht="15.75" hidden="1" customHeight="1">
      <c r="A1794" s="23">
        <v>1791</v>
      </c>
      <c r="B1794" s="24" t="s">
        <v>2156</v>
      </c>
      <c r="C1794" s="24" t="s">
        <v>1475</v>
      </c>
      <c r="D1794" s="24" t="s">
        <v>1911</v>
      </c>
      <c r="E1794" s="25">
        <v>3223</v>
      </c>
      <c r="F1794" s="25">
        <v>2109</v>
      </c>
      <c r="G1794" s="25">
        <v>1689</v>
      </c>
      <c r="H1794" s="25">
        <v>619</v>
      </c>
      <c r="I1794" s="22">
        <f t="shared" si="27"/>
        <v>7640</v>
      </c>
      <c r="J1794" t="e">
        <f>VLOOKUP(B1794,'[1]KT 광점퍼코드(수익률)'!$A$4:$P$243,16,0)</f>
        <v>#N/A</v>
      </c>
    </row>
    <row r="1795" spans="1:10" ht="15.75" hidden="1" customHeight="1">
      <c r="A1795" s="19">
        <v>1792</v>
      </c>
      <c r="B1795" s="20" t="s">
        <v>2157</v>
      </c>
      <c r="C1795" s="20" t="s">
        <v>1475</v>
      </c>
      <c r="D1795" s="20" t="s">
        <v>1783</v>
      </c>
      <c r="E1795" s="21">
        <v>8</v>
      </c>
      <c r="F1795" s="21"/>
      <c r="G1795" s="21"/>
      <c r="H1795" s="21"/>
      <c r="I1795" s="22">
        <f t="shared" si="27"/>
        <v>8</v>
      </c>
      <c r="J1795" t="e">
        <f>VLOOKUP(B1795,'[1]KT 광점퍼코드(수익률)'!$A$4:$P$243,16,0)</f>
        <v>#N/A</v>
      </c>
    </row>
    <row r="1796" spans="1:10" ht="15.75" hidden="1" customHeight="1">
      <c r="A1796" s="23">
        <v>1793</v>
      </c>
      <c r="B1796" s="24" t="s">
        <v>2158</v>
      </c>
      <c r="C1796" s="24" t="s">
        <v>1475</v>
      </c>
      <c r="D1796" s="24" t="s">
        <v>2159</v>
      </c>
      <c r="E1796" s="25">
        <v>144</v>
      </c>
      <c r="F1796" s="25">
        <v>386</v>
      </c>
      <c r="G1796" s="25">
        <v>419</v>
      </c>
      <c r="H1796" s="25"/>
      <c r="I1796" s="22">
        <f t="shared" ref="I1796:I1859" si="28">SUM(E1796:H1796)</f>
        <v>949</v>
      </c>
      <c r="J1796" t="e">
        <f>VLOOKUP(B1796,'[1]KT 광점퍼코드(수익률)'!$A$4:$P$243,16,0)</f>
        <v>#N/A</v>
      </c>
    </row>
    <row r="1797" spans="1:10" ht="15.75" hidden="1" customHeight="1">
      <c r="A1797" s="19">
        <v>1794</v>
      </c>
      <c r="B1797" s="20" t="s">
        <v>2160</v>
      </c>
      <c r="C1797" s="20" t="s">
        <v>1475</v>
      </c>
      <c r="D1797" s="20" t="s">
        <v>2161</v>
      </c>
      <c r="E1797" s="21">
        <v>1151</v>
      </c>
      <c r="F1797" s="21">
        <v>1055</v>
      </c>
      <c r="G1797" s="21">
        <v>597</v>
      </c>
      <c r="H1797" s="21">
        <v>404</v>
      </c>
      <c r="I1797" s="22">
        <f t="shared" si="28"/>
        <v>3207</v>
      </c>
      <c r="J1797" t="e">
        <f>VLOOKUP(B1797,'[1]KT 광점퍼코드(수익률)'!$A$4:$P$243,16,0)</f>
        <v>#N/A</v>
      </c>
    </row>
    <row r="1798" spans="1:10" ht="15.75" hidden="1" customHeight="1">
      <c r="A1798" s="23">
        <v>1795</v>
      </c>
      <c r="B1798" s="24" t="s">
        <v>2162</v>
      </c>
      <c r="C1798" s="24" t="s">
        <v>1475</v>
      </c>
      <c r="D1798" s="24" t="s">
        <v>2163</v>
      </c>
      <c r="E1798" s="25">
        <v>282</v>
      </c>
      <c r="F1798" s="25">
        <v>241</v>
      </c>
      <c r="G1798" s="25">
        <v>120</v>
      </c>
      <c r="H1798" s="25">
        <v>133</v>
      </c>
      <c r="I1798" s="22">
        <f t="shared" si="28"/>
        <v>776</v>
      </c>
      <c r="J1798" t="e">
        <f>VLOOKUP(B1798,'[1]KT 광점퍼코드(수익률)'!$A$4:$P$243,16,0)</f>
        <v>#N/A</v>
      </c>
    </row>
    <row r="1799" spans="1:10" ht="15.75" hidden="1" customHeight="1">
      <c r="A1799" s="19">
        <v>1796</v>
      </c>
      <c r="B1799" s="20" t="s">
        <v>2164</v>
      </c>
      <c r="C1799" s="20" t="s">
        <v>1475</v>
      </c>
      <c r="D1799" s="20" t="s">
        <v>2165</v>
      </c>
      <c r="E1799" s="21">
        <v>168</v>
      </c>
      <c r="F1799" s="21">
        <v>183</v>
      </c>
      <c r="G1799" s="21">
        <v>160</v>
      </c>
      <c r="H1799" s="21">
        <v>10</v>
      </c>
      <c r="I1799" s="22">
        <f t="shared" si="28"/>
        <v>521</v>
      </c>
      <c r="J1799" t="e">
        <f>VLOOKUP(B1799,'[1]KT 광점퍼코드(수익률)'!$A$4:$P$243,16,0)</f>
        <v>#N/A</v>
      </c>
    </row>
    <row r="1800" spans="1:10" ht="15.75" hidden="1" customHeight="1">
      <c r="A1800" s="23">
        <v>1797</v>
      </c>
      <c r="B1800" s="24" t="s">
        <v>2166</v>
      </c>
      <c r="C1800" s="24" t="s">
        <v>1475</v>
      </c>
      <c r="D1800" s="24" t="s">
        <v>2167</v>
      </c>
      <c r="E1800" s="25">
        <v>59</v>
      </c>
      <c r="F1800" s="25">
        <v>52</v>
      </c>
      <c r="G1800" s="25">
        <v>42</v>
      </c>
      <c r="H1800" s="25">
        <v>32</v>
      </c>
      <c r="I1800" s="22">
        <f t="shared" si="28"/>
        <v>185</v>
      </c>
      <c r="J1800" t="e">
        <f>VLOOKUP(B1800,'[1]KT 광점퍼코드(수익률)'!$A$4:$P$243,16,0)</f>
        <v>#N/A</v>
      </c>
    </row>
    <row r="1801" spans="1:10" ht="15.75" hidden="1" customHeight="1">
      <c r="A1801" s="19">
        <v>1798</v>
      </c>
      <c r="B1801" s="20" t="s">
        <v>2168</v>
      </c>
      <c r="C1801" s="20" t="s">
        <v>1475</v>
      </c>
      <c r="D1801" s="20" t="s">
        <v>2169</v>
      </c>
      <c r="E1801" s="21">
        <v>982</v>
      </c>
      <c r="F1801" s="21">
        <v>1110</v>
      </c>
      <c r="G1801" s="21">
        <v>718</v>
      </c>
      <c r="H1801" s="21">
        <v>270</v>
      </c>
      <c r="I1801" s="22">
        <f t="shared" si="28"/>
        <v>3080</v>
      </c>
      <c r="J1801" t="e">
        <f>VLOOKUP(B1801,'[1]KT 광점퍼코드(수익률)'!$A$4:$P$243,16,0)</f>
        <v>#N/A</v>
      </c>
    </row>
    <row r="1802" spans="1:10" ht="15.75" hidden="1" customHeight="1">
      <c r="A1802" s="23">
        <v>1799</v>
      </c>
      <c r="B1802" s="24" t="s">
        <v>2170</v>
      </c>
      <c r="C1802" s="24" t="s">
        <v>1475</v>
      </c>
      <c r="D1802" s="24" t="s">
        <v>2171</v>
      </c>
      <c r="E1802" s="25">
        <v>310</v>
      </c>
      <c r="F1802" s="25">
        <v>687</v>
      </c>
      <c r="G1802" s="25">
        <v>264</v>
      </c>
      <c r="H1802" s="25">
        <v>150</v>
      </c>
      <c r="I1802" s="22">
        <f t="shared" si="28"/>
        <v>1411</v>
      </c>
      <c r="J1802" t="e">
        <f>VLOOKUP(B1802,'[1]KT 광점퍼코드(수익률)'!$A$4:$P$243,16,0)</f>
        <v>#N/A</v>
      </c>
    </row>
    <row r="1803" spans="1:10" ht="15.75" hidden="1" customHeight="1">
      <c r="A1803" s="19">
        <v>1800</v>
      </c>
      <c r="B1803" s="20" t="s">
        <v>2172</v>
      </c>
      <c r="C1803" s="20" t="s">
        <v>1475</v>
      </c>
      <c r="D1803" s="20" t="s">
        <v>2173</v>
      </c>
      <c r="E1803" s="21">
        <v>125</v>
      </c>
      <c r="F1803" s="21">
        <v>28</v>
      </c>
      <c r="G1803" s="21">
        <v>50</v>
      </c>
      <c r="H1803" s="21">
        <v>10</v>
      </c>
      <c r="I1803" s="22">
        <f t="shared" si="28"/>
        <v>213</v>
      </c>
      <c r="J1803" t="e">
        <f>VLOOKUP(B1803,'[1]KT 광점퍼코드(수익률)'!$A$4:$P$243,16,0)</f>
        <v>#N/A</v>
      </c>
    </row>
    <row r="1804" spans="1:10" ht="15.75" hidden="1" customHeight="1">
      <c r="A1804" s="23">
        <v>1801</v>
      </c>
      <c r="B1804" s="24" t="s">
        <v>2174</v>
      </c>
      <c r="C1804" s="24" t="s">
        <v>1475</v>
      </c>
      <c r="D1804" s="24" t="s">
        <v>2175</v>
      </c>
      <c r="E1804" s="25">
        <v>169</v>
      </c>
      <c r="F1804" s="25">
        <v>120</v>
      </c>
      <c r="G1804" s="25">
        <v>212</v>
      </c>
      <c r="H1804" s="25">
        <v>130</v>
      </c>
      <c r="I1804" s="22">
        <f t="shared" si="28"/>
        <v>631</v>
      </c>
      <c r="J1804" t="e">
        <f>VLOOKUP(B1804,'[1]KT 광점퍼코드(수익률)'!$A$4:$P$243,16,0)</f>
        <v>#N/A</v>
      </c>
    </row>
    <row r="1805" spans="1:10" ht="15.75" hidden="1" customHeight="1">
      <c r="A1805" s="19">
        <v>1802</v>
      </c>
      <c r="B1805" s="20" t="s">
        <v>2176</v>
      </c>
      <c r="C1805" s="20" t="s">
        <v>1475</v>
      </c>
      <c r="D1805" s="20" t="s">
        <v>2177</v>
      </c>
      <c r="E1805" s="21">
        <v>162</v>
      </c>
      <c r="F1805" s="21">
        <v>138</v>
      </c>
      <c r="G1805" s="21">
        <v>140</v>
      </c>
      <c r="H1805" s="21">
        <v>40</v>
      </c>
      <c r="I1805" s="22">
        <f t="shared" si="28"/>
        <v>480</v>
      </c>
      <c r="J1805" t="e">
        <f>VLOOKUP(B1805,'[1]KT 광점퍼코드(수익률)'!$A$4:$P$243,16,0)</f>
        <v>#N/A</v>
      </c>
    </row>
    <row r="1806" spans="1:10" ht="15.75" hidden="1" customHeight="1">
      <c r="A1806" s="23">
        <v>1803</v>
      </c>
      <c r="B1806" s="24" t="s">
        <v>2178</v>
      </c>
      <c r="C1806" s="24" t="s">
        <v>1475</v>
      </c>
      <c r="D1806" s="24" t="s">
        <v>2179</v>
      </c>
      <c r="E1806" s="25">
        <v>10</v>
      </c>
      <c r="F1806" s="25"/>
      <c r="G1806" s="25">
        <v>120</v>
      </c>
      <c r="H1806" s="25">
        <v>20</v>
      </c>
      <c r="I1806" s="22">
        <f t="shared" si="28"/>
        <v>150</v>
      </c>
      <c r="J1806" t="e">
        <f>VLOOKUP(B1806,'[1]KT 광점퍼코드(수익률)'!$A$4:$P$243,16,0)</f>
        <v>#N/A</v>
      </c>
    </row>
    <row r="1807" spans="1:10" ht="15.75" hidden="1" customHeight="1">
      <c r="A1807" s="19">
        <v>1804</v>
      </c>
      <c r="B1807" s="20" t="s">
        <v>3418</v>
      </c>
      <c r="C1807" s="20" t="s">
        <v>1475</v>
      </c>
      <c r="D1807" s="20" t="s">
        <v>1678</v>
      </c>
      <c r="E1807" s="21"/>
      <c r="F1807" s="21"/>
      <c r="G1807" s="21">
        <v>58</v>
      </c>
      <c r="H1807" s="21"/>
      <c r="I1807" s="22">
        <f t="shared" si="28"/>
        <v>58</v>
      </c>
      <c r="J1807" t="e">
        <f>VLOOKUP(B1807,'[1]KT 광점퍼코드(수익률)'!$A$4:$P$243,16,0)</f>
        <v>#N/A</v>
      </c>
    </row>
    <row r="1808" spans="1:10" ht="15.75" hidden="1" customHeight="1">
      <c r="A1808" s="23">
        <v>1805</v>
      </c>
      <c r="B1808" s="24" t="s">
        <v>3419</v>
      </c>
      <c r="C1808" s="24" t="s">
        <v>1475</v>
      </c>
      <c r="D1808" s="24" t="s">
        <v>2280</v>
      </c>
      <c r="E1808" s="25"/>
      <c r="F1808" s="25"/>
      <c r="G1808" s="25">
        <v>50</v>
      </c>
      <c r="H1808" s="25"/>
      <c r="I1808" s="22">
        <f t="shared" si="28"/>
        <v>50</v>
      </c>
      <c r="J1808" t="e">
        <f>VLOOKUP(B1808,'[1]KT 광점퍼코드(수익률)'!$A$4:$P$243,16,0)</f>
        <v>#N/A</v>
      </c>
    </row>
    <row r="1809" spans="1:10" ht="15.75" hidden="1" customHeight="1">
      <c r="A1809" s="19">
        <v>1806</v>
      </c>
      <c r="B1809" s="20" t="s">
        <v>3420</v>
      </c>
      <c r="C1809" s="20" t="s">
        <v>1475</v>
      </c>
      <c r="D1809" s="20" t="s">
        <v>1700</v>
      </c>
      <c r="E1809" s="21"/>
      <c r="F1809" s="21"/>
      <c r="G1809" s="21">
        <v>30</v>
      </c>
      <c r="H1809" s="21"/>
      <c r="I1809" s="22">
        <f t="shared" si="28"/>
        <v>30</v>
      </c>
      <c r="J1809" t="e">
        <f>VLOOKUP(B1809,'[1]KT 광점퍼코드(수익률)'!$A$4:$P$243,16,0)</f>
        <v>#N/A</v>
      </c>
    </row>
    <row r="1810" spans="1:10" ht="15.75" hidden="1" customHeight="1">
      <c r="A1810" s="23">
        <v>1807</v>
      </c>
      <c r="B1810" s="24" t="s">
        <v>2180</v>
      </c>
      <c r="C1810" s="24" t="s">
        <v>1481</v>
      </c>
      <c r="D1810" s="24" t="s">
        <v>1946</v>
      </c>
      <c r="E1810" s="25">
        <v>300</v>
      </c>
      <c r="F1810" s="25"/>
      <c r="G1810" s="25"/>
      <c r="H1810" s="25"/>
      <c r="I1810" s="22">
        <f t="shared" si="28"/>
        <v>300</v>
      </c>
      <c r="J1810" t="e">
        <f>VLOOKUP(B1810,'[1]KT 광점퍼코드(수익률)'!$A$4:$P$243,16,0)</f>
        <v>#N/A</v>
      </c>
    </row>
    <row r="1811" spans="1:10" ht="15.75" hidden="1" customHeight="1">
      <c r="A1811" s="19">
        <v>1808</v>
      </c>
      <c r="B1811" s="20" t="s">
        <v>2181</v>
      </c>
      <c r="C1811" s="20" t="s">
        <v>1481</v>
      </c>
      <c r="D1811" s="20" t="s">
        <v>2182</v>
      </c>
      <c r="E1811" s="21">
        <v>60</v>
      </c>
      <c r="F1811" s="21">
        <v>353</v>
      </c>
      <c r="G1811" s="21">
        <v>72</v>
      </c>
      <c r="H1811" s="21">
        <v>30</v>
      </c>
      <c r="I1811" s="22">
        <f t="shared" si="28"/>
        <v>515</v>
      </c>
      <c r="J1811" t="e">
        <f>VLOOKUP(B1811,'[1]KT 광점퍼코드(수익률)'!$A$4:$P$243,16,0)</f>
        <v>#N/A</v>
      </c>
    </row>
    <row r="1812" spans="1:10" ht="15.75" hidden="1" customHeight="1">
      <c r="A1812" s="23">
        <v>1809</v>
      </c>
      <c r="B1812" s="24" t="s">
        <v>2183</v>
      </c>
      <c r="C1812" s="24" t="s">
        <v>1481</v>
      </c>
      <c r="D1812" s="24" t="s">
        <v>1668</v>
      </c>
      <c r="E1812" s="25">
        <v>7</v>
      </c>
      <c r="F1812" s="25">
        <v>12</v>
      </c>
      <c r="G1812" s="25"/>
      <c r="H1812" s="25"/>
      <c r="I1812" s="22">
        <f t="shared" si="28"/>
        <v>19</v>
      </c>
      <c r="J1812" t="e">
        <f>VLOOKUP(B1812,'[1]KT 광점퍼코드(수익률)'!$A$4:$P$243,16,0)</f>
        <v>#N/A</v>
      </c>
    </row>
    <row r="1813" spans="1:10" ht="15.75" hidden="1" customHeight="1">
      <c r="A1813" s="19">
        <v>1810</v>
      </c>
      <c r="B1813" s="20" t="s">
        <v>2184</v>
      </c>
      <c r="C1813" s="20" t="s">
        <v>1481</v>
      </c>
      <c r="D1813" s="20" t="s">
        <v>2185</v>
      </c>
      <c r="E1813" s="21">
        <v>110</v>
      </c>
      <c r="F1813" s="21">
        <v>65</v>
      </c>
      <c r="G1813" s="21">
        <v>45</v>
      </c>
      <c r="H1813" s="21"/>
      <c r="I1813" s="22">
        <f t="shared" si="28"/>
        <v>220</v>
      </c>
      <c r="J1813" t="e">
        <f>VLOOKUP(B1813,'[1]KT 광점퍼코드(수익률)'!$A$4:$P$243,16,0)</f>
        <v>#N/A</v>
      </c>
    </row>
    <row r="1814" spans="1:10" ht="15.75" hidden="1" customHeight="1">
      <c r="A1814" s="23">
        <v>1811</v>
      </c>
      <c r="B1814" s="24" t="s">
        <v>2186</v>
      </c>
      <c r="C1814" s="24" t="s">
        <v>1481</v>
      </c>
      <c r="D1814" s="24" t="s">
        <v>2187</v>
      </c>
      <c r="E1814" s="25">
        <v>51</v>
      </c>
      <c r="F1814" s="25">
        <v>5</v>
      </c>
      <c r="G1814" s="25">
        <v>20</v>
      </c>
      <c r="H1814" s="25">
        <v>20</v>
      </c>
      <c r="I1814" s="22">
        <f t="shared" si="28"/>
        <v>96</v>
      </c>
      <c r="J1814" t="e">
        <f>VLOOKUP(B1814,'[1]KT 광점퍼코드(수익률)'!$A$4:$P$243,16,0)</f>
        <v>#N/A</v>
      </c>
    </row>
    <row r="1815" spans="1:10" ht="15.75" hidden="1" customHeight="1">
      <c r="A1815" s="19">
        <v>1812</v>
      </c>
      <c r="B1815" s="20" t="s">
        <v>2188</v>
      </c>
      <c r="C1815" s="20" t="s">
        <v>1481</v>
      </c>
      <c r="D1815" s="20" t="s">
        <v>2189</v>
      </c>
      <c r="E1815" s="21">
        <v>40</v>
      </c>
      <c r="F1815" s="21"/>
      <c r="G1815" s="21"/>
      <c r="H1815" s="21"/>
      <c r="I1815" s="22">
        <f t="shared" si="28"/>
        <v>40</v>
      </c>
      <c r="J1815" t="e">
        <f>VLOOKUP(B1815,'[1]KT 광점퍼코드(수익률)'!$A$4:$P$243,16,0)</f>
        <v>#N/A</v>
      </c>
    </row>
    <row r="1816" spans="1:10" ht="15.75" hidden="1" customHeight="1">
      <c r="A1816" s="23">
        <v>1813</v>
      </c>
      <c r="B1816" s="24" t="s">
        <v>2190</v>
      </c>
      <c r="C1816" s="24" t="s">
        <v>1481</v>
      </c>
      <c r="D1816" s="24" t="s">
        <v>2191</v>
      </c>
      <c r="E1816" s="25">
        <v>108</v>
      </c>
      <c r="F1816" s="25">
        <v>211</v>
      </c>
      <c r="G1816" s="25"/>
      <c r="H1816" s="25"/>
      <c r="I1816" s="22">
        <f t="shared" si="28"/>
        <v>319</v>
      </c>
      <c r="J1816" t="e">
        <f>VLOOKUP(B1816,'[1]KT 광점퍼코드(수익률)'!$A$4:$P$243,16,0)</f>
        <v>#N/A</v>
      </c>
    </row>
    <row r="1817" spans="1:10" ht="15.75" hidden="1" customHeight="1">
      <c r="A1817" s="19">
        <v>1814</v>
      </c>
      <c r="B1817" s="20" t="s">
        <v>2192</v>
      </c>
      <c r="C1817" s="20" t="s">
        <v>1481</v>
      </c>
      <c r="D1817" s="20" t="s">
        <v>2193</v>
      </c>
      <c r="E1817" s="21">
        <v>2274</v>
      </c>
      <c r="F1817" s="21">
        <v>1830</v>
      </c>
      <c r="G1817" s="21">
        <v>2015</v>
      </c>
      <c r="H1817" s="21">
        <v>480</v>
      </c>
      <c r="I1817" s="22">
        <f t="shared" si="28"/>
        <v>6599</v>
      </c>
      <c r="J1817" t="e">
        <f>VLOOKUP(B1817,'[1]KT 광점퍼코드(수익률)'!$A$4:$P$243,16,0)</f>
        <v>#N/A</v>
      </c>
    </row>
    <row r="1818" spans="1:10" ht="15.75" hidden="1" customHeight="1">
      <c r="A1818" s="23">
        <v>1815</v>
      </c>
      <c r="B1818" s="24" t="s">
        <v>2194</v>
      </c>
      <c r="C1818" s="24" t="s">
        <v>1481</v>
      </c>
      <c r="D1818" s="24" t="s">
        <v>2195</v>
      </c>
      <c r="E1818" s="25">
        <v>50</v>
      </c>
      <c r="F1818" s="25">
        <v>65</v>
      </c>
      <c r="G1818" s="25">
        <v>20</v>
      </c>
      <c r="H1818" s="25"/>
      <c r="I1818" s="22">
        <f t="shared" si="28"/>
        <v>135</v>
      </c>
      <c r="J1818" t="e">
        <f>VLOOKUP(B1818,'[1]KT 광점퍼코드(수익률)'!$A$4:$P$243,16,0)</f>
        <v>#N/A</v>
      </c>
    </row>
    <row r="1819" spans="1:10" ht="15.75" hidden="1" customHeight="1">
      <c r="A1819" s="19">
        <v>1816</v>
      </c>
      <c r="B1819" s="20" t="s">
        <v>2196</v>
      </c>
      <c r="C1819" s="20" t="s">
        <v>1489</v>
      </c>
      <c r="D1819" s="20" t="s">
        <v>2197</v>
      </c>
      <c r="E1819" s="21">
        <v>235</v>
      </c>
      <c r="F1819" s="21">
        <v>292</v>
      </c>
      <c r="G1819" s="21">
        <v>316</v>
      </c>
      <c r="H1819" s="21">
        <v>345</v>
      </c>
      <c r="I1819" s="22">
        <f t="shared" si="28"/>
        <v>1188</v>
      </c>
      <c r="J1819" t="e">
        <f>VLOOKUP(B1819,'[1]KT 광점퍼코드(수익률)'!$A$4:$P$243,16,0)</f>
        <v>#N/A</v>
      </c>
    </row>
    <row r="1820" spans="1:10" ht="15.75" hidden="1" customHeight="1">
      <c r="A1820" s="23">
        <v>1817</v>
      </c>
      <c r="B1820" s="24" t="s">
        <v>2198</v>
      </c>
      <c r="C1820" s="24" t="s">
        <v>1489</v>
      </c>
      <c r="D1820" s="24" t="s">
        <v>2199</v>
      </c>
      <c r="E1820" s="25">
        <v>440</v>
      </c>
      <c r="F1820" s="25">
        <v>345</v>
      </c>
      <c r="G1820" s="25">
        <v>558</v>
      </c>
      <c r="H1820" s="25">
        <v>453</v>
      </c>
      <c r="I1820" s="22">
        <f t="shared" si="28"/>
        <v>1796</v>
      </c>
      <c r="J1820" t="e">
        <f>VLOOKUP(B1820,'[1]KT 광점퍼코드(수익률)'!$A$4:$P$243,16,0)</f>
        <v>#N/A</v>
      </c>
    </row>
    <row r="1821" spans="1:10" ht="15.75" hidden="1" customHeight="1">
      <c r="A1821" s="19">
        <v>1818</v>
      </c>
      <c r="B1821" s="20" t="s">
        <v>2200</v>
      </c>
      <c r="C1821" s="20" t="s">
        <v>1489</v>
      </c>
      <c r="D1821" s="20" t="s">
        <v>2201</v>
      </c>
      <c r="E1821" s="21">
        <v>152</v>
      </c>
      <c r="F1821" s="21">
        <v>205</v>
      </c>
      <c r="G1821" s="21">
        <v>270</v>
      </c>
      <c r="H1821" s="21">
        <v>159</v>
      </c>
      <c r="I1821" s="22">
        <f t="shared" si="28"/>
        <v>786</v>
      </c>
      <c r="J1821" t="e">
        <f>VLOOKUP(B1821,'[1]KT 광점퍼코드(수익률)'!$A$4:$P$243,16,0)</f>
        <v>#N/A</v>
      </c>
    </row>
    <row r="1822" spans="1:10" ht="15.75" hidden="1" customHeight="1">
      <c r="A1822" s="23">
        <v>1819</v>
      </c>
      <c r="B1822" s="24" t="s">
        <v>2202</v>
      </c>
      <c r="C1822" s="24" t="s">
        <v>1489</v>
      </c>
      <c r="D1822" s="24" t="s">
        <v>2203</v>
      </c>
      <c r="E1822" s="25">
        <v>38</v>
      </c>
      <c r="F1822" s="25">
        <v>16</v>
      </c>
      <c r="G1822" s="25">
        <v>84</v>
      </c>
      <c r="H1822" s="25">
        <v>129</v>
      </c>
      <c r="I1822" s="22">
        <f t="shared" si="28"/>
        <v>267</v>
      </c>
      <c r="J1822" t="e">
        <f>VLOOKUP(B1822,'[1]KT 광점퍼코드(수익률)'!$A$4:$P$243,16,0)</f>
        <v>#N/A</v>
      </c>
    </row>
    <row r="1823" spans="1:10" ht="15.75" hidden="1" customHeight="1">
      <c r="A1823" s="19">
        <v>1820</v>
      </c>
      <c r="B1823" s="20" t="s">
        <v>3538</v>
      </c>
      <c r="C1823" s="20" t="s">
        <v>1489</v>
      </c>
      <c r="D1823" s="20" t="s">
        <v>1678</v>
      </c>
      <c r="E1823" s="21"/>
      <c r="F1823" s="21"/>
      <c r="G1823" s="21"/>
      <c r="H1823" s="21">
        <v>10</v>
      </c>
      <c r="I1823" s="22">
        <f t="shared" si="28"/>
        <v>10</v>
      </c>
      <c r="J1823" t="e">
        <f>VLOOKUP(B1823,'[1]KT 광점퍼코드(수익률)'!$A$4:$P$243,16,0)</f>
        <v>#N/A</v>
      </c>
    </row>
    <row r="1824" spans="1:10" ht="15.75" hidden="1" customHeight="1">
      <c r="A1824" s="23">
        <v>1821</v>
      </c>
      <c r="B1824" s="24" t="s">
        <v>2204</v>
      </c>
      <c r="C1824" s="24" t="s">
        <v>1489</v>
      </c>
      <c r="D1824" s="24" t="s">
        <v>2205</v>
      </c>
      <c r="E1824" s="25">
        <v>55</v>
      </c>
      <c r="F1824" s="25">
        <v>156</v>
      </c>
      <c r="G1824" s="25">
        <v>67</v>
      </c>
      <c r="H1824" s="25">
        <v>150</v>
      </c>
      <c r="I1824" s="22">
        <f t="shared" si="28"/>
        <v>428</v>
      </c>
      <c r="J1824" t="e">
        <f>VLOOKUP(B1824,'[1]KT 광점퍼코드(수익률)'!$A$4:$P$243,16,0)</f>
        <v>#N/A</v>
      </c>
    </row>
    <row r="1825" spans="1:10" ht="15.75" hidden="1" customHeight="1">
      <c r="A1825" s="19">
        <v>1822</v>
      </c>
      <c r="B1825" s="20" t="s">
        <v>2206</v>
      </c>
      <c r="C1825" s="20" t="s">
        <v>1489</v>
      </c>
      <c r="D1825" s="20" t="s">
        <v>2207</v>
      </c>
      <c r="E1825" s="21">
        <v>30</v>
      </c>
      <c r="F1825" s="21">
        <v>20</v>
      </c>
      <c r="G1825" s="21">
        <v>55</v>
      </c>
      <c r="H1825" s="21">
        <v>60</v>
      </c>
      <c r="I1825" s="22">
        <f t="shared" si="28"/>
        <v>165</v>
      </c>
      <c r="J1825" t="e">
        <f>VLOOKUP(B1825,'[1]KT 광점퍼코드(수익률)'!$A$4:$P$243,16,0)</f>
        <v>#N/A</v>
      </c>
    </row>
    <row r="1826" spans="1:10" ht="15.75" hidden="1" customHeight="1">
      <c r="A1826" s="23">
        <v>1823</v>
      </c>
      <c r="B1826" s="24" t="s">
        <v>2208</v>
      </c>
      <c r="C1826" s="24" t="s">
        <v>1489</v>
      </c>
      <c r="D1826" s="24" t="s">
        <v>2209</v>
      </c>
      <c r="E1826" s="25">
        <v>25</v>
      </c>
      <c r="F1826" s="25"/>
      <c r="G1826" s="25"/>
      <c r="H1826" s="25"/>
      <c r="I1826" s="22">
        <f t="shared" si="28"/>
        <v>25</v>
      </c>
      <c r="J1826" t="e">
        <f>VLOOKUP(B1826,'[1]KT 광점퍼코드(수익률)'!$A$4:$P$243,16,0)</f>
        <v>#N/A</v>
      </c>
    </row>
    <row r="1827" spans="1:10" ht="15.75" hidden="1" customHeight="1">
      <c r="A1827" s="19">
        <v>1824</v>
      </c>
      <c r="B1827" s="20" t="s">
        <v>2210</v>
      </c>
      <c r="C1827" s="20" t="s">
        <v>1491</v>
      </c>
      <c r="D1827" s="20" t="s">
        <v>2211</v>
      </c>
      <c r="E1827" s="21">
        <v>65</v>
      </c>
      <c r="F1827" s="21">
        <v>50</v>
      </c>
      <c r="G1827" s="21">
        <v>135</v>
      </c>
      <c r="H1827" s="21">
        <v>70</v>
      </c>
      <c r="I1827" s="22">
        <f t="shared" si="28"/>
        <v>320</v>
      </c>
      <c r="J1827" t="e">
        <f>VLOOKUP(B1827,'[1]KT 광점퍼코드(수익률)'!$A$4:$P$243,16,0)</f>
        <v>#N/A</v>
      </c>
    </row>
    <row r="1828" spans="1:10" ht="15.75" hidden="1" customHeight="1">
      <c r="A1828" s="23">
        <v>1825</v>
      </c>
      <c r="B1828" s="24" t="s">
        <v>2212</v>
      </c>
      <c r="C1828" s="24" t="s">
        <v>1491</v>
      </c>
      <c r="D1828" s="24" t="s">
        <v>1700</v>
      </c>
      <c r="E1828" s="25">
        <v>20</v>
      </c>
      <c r="F1828" s="25"/>
      <c r="G1828" s="25"/>
      <c r="H1828" s="25"/>
      <c r="I1828" s="22">
        <f t="shared" si="28"/>
        <v>20</v>
      </c>
      <c r="J1828" t="e">
        <f>VLOOKUP(B1828,'[1]KT 광점퍼코드(수익률)'!$A$4:$P$243,16,0)</f>
        <v>#N/A</v>
      </c>
    </row>
    <row r="1829" spans="1:10" ht="15.75" hidden="1" customHeight="1">
      <c r="A1829" s="19">
        <v>1826</v>
      </c>
      <c r="B1829" s="20" t="s">
        <v>2213</v>
      </c>
      <c r="C1829" s="20" t="s">
        <v>1491</v>
      </c>
      <c r="D1829" s="20" t="s">
        <v>2214</v>
      </c>
      <c r="E1829" s="21">
        <v>141</v>
      </c>
      <c r="F1829" s="21">
        <v>80</v>
      </c>
      <c r="G1829" s="21">
        <v>259</v>
      </c>
      <c r="H1829" s="21">
        <v>40</v>
      </c>
      <c r="I1829" s="22">
        <f t="shared" si="28"/>
        <v>520</v>
      </c>
      <c r="J1829" t="e">
        <f>VLOOKUP(B1829,'[1]KT 광점퍼코드(수익률)'!$A$4:$P$243,16,0)</f>
        <v>#N/A</v>
      </c>
    </row>
    <row r="1830" spans="1:10" ht="15.75" hidden="1" customHeight="1">
      <c r="A1830" s="23">
        <v>1827</v>
      </c>
      <c r="B1830" s="24" t="s">
        <v>2215</v>
      </c>
      <c r="C1830" s="24" t="s">
        <v>1491</v>
      </c>
      <c r="D1830" s="24" t="s">
        <v>2216</v>
      </c>
      <c r="E1830" s="25">
        <v>105</v>
      </c>
      <c r="F1830" s="25">
        <v>60</v>
      </c>
      <c r="G1830" s="25">
        <v>133</v>
      </c>
      <c r="H1830" s="25">
        <v>65</v>
      </c>
      <c r="I1830" s="22">
        <f t="shared" si="28"/>
        <v>363</v>
      </c>
      <c r="J1830" t="e">
        <f>VLOOKUP(B1830,'[1]KT 광점퍼코드(수익률)'!$A$4:$P$243,16,0)</f>
        <v>#N/A</v>
      </c>
    </row>
    <row r="1831" spans="1:10" ht="15.75" hidden="1" customHeight="1">
      <c r="A1831" s="19">
        <v>1828</v>
      </c>
      <c r="B1831" s="20" t="s">
        <v>2217</v>
      </c>
      <c r="C1831" s="20" t="s">
        <v>1491</v>
      </c>
      <c r="D1831" s="20" t="s">
        <v>2218</v>
      </c>
      <c r="E1831" s="21">
        <v>74</v>
      </c>
      <c r="F1831" s="21">
        <v>73</v>
      </c>
      <c r="G1831" s="21">
        <v>40</v>
      </c>
      <c r="H1831" s="21">
        <v>75</v>
      </c>
      <c r="I1831" s="22">
        <f t="shared" si="28"/>
        <v>262</v>
      </c>
      <c r="J1831" t="e">
        <f>VLOOKUP(B1831,'[1]KT 광점퍼코드(수익률)'!$A$4:$P$243,16,0)</f>
        <v>#N/A</v>
      </c>
    </row>
    <row r="1832" spans="1:10" ht="15.75" hidden="1" customHeight="1">
      <c r="A1832" s="23">
        <v>1829</v>
      </c>
      <c r="B1832" s="24" t="s">
        <v>2219</v>
      </c>
      <c r="C1832" s="24" t="s">
        <v>1493</v>
      </c>
      <c r="D1832" s="24" t="s">
        <v>2220</v>
      </c>
      <c r="E1832" s="25">
        <v>1285</v>
      </c>
      <c r="F1832" s="25">
        <v>2320</v>
      </c>
      <c r="G1832" s="25"/>
      <c r="H1832" s="25"/>
      <c r="I1832" s="22">
        <f t="shared" si="28"/>
        <v>3605</v>
      </c>
      <c r="J1832" t="e">
        <f>VLOOKUP(B1832,'[1]KT 광점퍼코드(수익률)'!$A$4:$P$243,16,0)</f>
        <v>#N/A</v>
      </c>
    </row>
    <row r="1833" spans="1:10" ht="15.75" hidden="1" customHeight="1">
      <c r="A1833" s="19">
        <v>1830</v>
      </c>
      <c r="B1833" s="20" t="s">
        <v>2221</v>
      </c>
      <c r="C1833" s="20" t="s">
        <v>1493</v>
      </c>
      <c r="D1833" s="20" t="s">
        <v>2222</v>
      </c>
      <c r="E1833" s="21">
        <v>700</v>
      </c>
      <c r="F1833" s="21"/>
      <c r="G1833" s="21"/>
      <c r="H1833" s="21"/>
      <c r="I1833" s="22">
        <f t="shared" si="28"/>
        <v>700</v>
      </c>
      <c r="J1833" t="e">
        <f>VLOOKUP(B1833,'[1]KT 광점퍼코드(수익률)'!$A$4:$P$243,16,0)</f>
        <v>#N/A</v>
      </c>
    </row>
    <row r="1834" spans="1:10" ht="15.75" hidden="1" customHeight="1">
      <c r="A1834" s="23">
        <v>1831</v>
      </c>
      <c r="B1834" s="24" t="s">
        <v>2223</v>
      </c>
      <c r="C1834" s="24" t="s">
        <v>1493</v>
      </c>
      <c r="D1834" s="24" t="s">
        <v>2224</v>
      </c>
      <c r="E1834" s="25">
        <v>825</v>
      </c>
      <c r="F1834" s="25">
        <v>135</v>
      </c>
      <c r="G1834" s="25">
        <v>36</v>
      </c>
      <c r="H1834" s="25">
        <v>180</v>
      </c>
      <c r="I1834" s="22">
        <f t="shared" si="28"/>
        <v>1176</v>
      </c>
      <c r="J1834" t="e">
        <f>VLOOKUP(B1834,'[1]KT 광점퍼코드(수익률)'!$A$4:$P$243,16,0)</f>
        <v>#N/A</v>
      </c>
    </row>
    <row r="1835" spans="1:10" ht="15.75" hidden="1" customHeight="1">
      <c r="A1835" s="19">
        <v>1832</v>
      </c>
      <c r="B1835" s="20" t="s">
        <v>2225</v>
      </c>
      <c r="C1835" s="20" t="s">
        <v>1493</v>
      </c>
      <c r="D1835" s="20" t="s">
        <v>2226</v>
      </c>
      <c r="E1835" s="21">
        <v>596</v>
      </c>
      <c r="F1835" s="21">
        <v>232</v>
      </c>
      <c r="G1835" s="21">
        <v>149</v>
      </c>
      <c r="H1835" s="21">
        <v>50</v>
      </c>
      <c r="I1835" s="22">
        <f t="shared" si="28"/>
        <v>1027</v>
      </c>
      <c r="J1835" t="e">
        <f>VLOOKUP(B1835,'[1]KT 광점퍼코드(수익률)'!$A$4:$P$243,16,0)</f>
        <v>#N/A</v>
      </c>
    </row>
    <row r="1836" spans="1:10" ht="15.75" hidden="1" customHeight="1">
      <c r="A1836" s="23">
        <v>1833</v>
      </c>
      <c r="B1836" s="24" t="s">
        <v>2227</v>
      </c>
      <c r="C1836" s="24" t="s">
        <v>1493</v>
      </c>
      <c r="D1836" s="24" t="s">
        <v>2228</v>
      </c>
      <c r="E1836" s="25">
        <v>2460</v>
      </c>
      <c r="F1836" s="25">
        <v>1315</v>
      </c>
      <c r="G1836" s="25">
        <v>1323</v>
      </c>
      <c r="H1836" s="25">
        <v>180</v>
      </c>
      <c r="I1836" s="22">
        <f t="shared" si="28"/>
        <v>5278</v>
      </c>
      <c r="J1836" t="e">
        <f>VLOOKUP(B1836,'[1]KT 광점퍼코드(수익률)'!$A$4:$P$243,16,0)</f>
        <v>#N/A</v>
      </c>
    </row>
    <row r="1837" spans="1:10" ht="15.75" hidden="1" customHeight="1">
      <c r="A1837" s="19">
        <v>1834</v>
      </c>
      <c r="B1837" s="20" t="s">
        <v>2229</v>
      </c>
      <c r="C1837" s="20" t="s">
        <v>1493</v>
      </c>
      <c r="D1837" s="20" t="s">
        <v>2230</v>
      </c>
      <c r="E1837" s="21">
        <v>123</v>
      </c>
      <c r="F1837" s="21">
        <v>38</v>
      </c>
      <c r="G1837" s="21">
        <v>34</v>
      </c>
      <c r="H1837" s="21"/>
      <c r="I1837" s="22">
        <f t="shared" si="28"/>
        <v>195</v>
      </c>
      <c r="J1837" t="e">
        <f>VLOOKUP(B1837,'[1]KT 광점퍼코드(수익률)'!$A$4:$P$243,16,0)</f>
        <v>#N/A</v>
      </c>
    </row>
    <row r="1838" spans="1:10" ht="15.75" hidden="1" customHeight="1">
      <c r="A1838" s="23">
        <v>1835</v>
      </c>
      <c r="B1838" s="24" t="s">
        <v>2231</v>
      </c>
      <c r="C1838" s="24" t="s">
        <v>1493</v>
      </c>
      <c r="D1838" s="24" t="s">
        <v>2232</v>
      </c>
      <c r="E1838" s="25">
        <v>2458</v>
      </c>
      <c r="F1838" s="25">
        <v>2471</v>
      </c>
      <c r="G1838" s="25">
        <v>1090</v>
      </c>
      <c r="H1838" s="25">
        <v>1150</v>
      </c>
      <c r="I1838" s="22">
        <f t="shared" si="28"/>
        <v>7169</v>
      </c>
      <c r="J1838" t="e">
        <f>VLOOKUP(B1838,'[1]KT 광점퍼코드(수익률)'!$A$4:$P$243,16,0)</f>
        <v>#N/A</v>
      </c>
    </row>
    <row r="1839" spans="1:10" ht="15.75" hidden="1" customHeight="1">
      <c r="A1839" s="19">
        <v>1836</v>
      </c>
      <c r="B1839" s="20" t="s">
        <v>2233</v>
      </c>
      <c r="C1839" s="20" t="s">
        <v>1493</v>
      </c>
      <c r="D1839" s="20" t="s">
        <v>2234</v>
      </c>
      <c r="E1839" s="21">
        <v>7785</v>
      </c>
      <c r="F1839" s="21">
        <v>5769</v>
      </c>
      <c r="G1839" s="21">
        <v>8230</v>
      </c>
      <c r="H1839" s="21">
        <v>6710</v>
      </c>
      <c r="I1839" s="22">
        <f t="shared" si="28"/>
        <v>28494</v>
      </c>
      <c r="J1839" t="e">
        <f>VLOOKUP(B1839,'[1]KT 광점퍼코드(수익률)'!$A$4:$P$243,16,0)</f>
        <v>#N/A</v>
      </c>
    </row>
    <row r="1840" spans="1:10" ht="15.75" hidden="1" customHeight="1">
      <c r="A1840" s="23">
        <v>1837</v>
      </c>
      <c r="B1840" s="24" t="s">
        <v>2235</v>
      </c>
      <c r="C1840" s="24" t="s">
        <v>1493</v>
      </c>
      <c r="D1840" s="24" t="s">
        <v>2236</v>
      </c>
      <c r="E1840" s="25">
        <v>250</v>
      </c>
      <c r="F1840" s="25">
        <v>91</v>
      </c>
      <c r="G1840" s="25">
        <v>60</v>
      </c>
      <c r="H1840" s="25">
        <v>40</v>
      </c>
      <c r="I1840" s="22">
        <f t="shared" si="28"/>
        <v>441</v>
      </c>
      <c r="J1840" t="e">
        <f>VLOOKUP(B1840,'[1]KT 광점퍼코드(수익률)'!$A$4:$P$243,16,0)</f>
        <v>#N/A</v>
      </c>
    </row>
    <row r="1841" spans="1:10" ht="15.75" hidden="1" customHeight="1">
      <c r="A1841" s="19">
        <v>1838</v>
      </c>
      <c r="B1841" s="20" t="s">
        <v>2237</v>
      </c>
      <c r="C1841" s="20" t="s">
        <v>1493</v>
      </c>
      <c r="D1841" s="20" t="s">
        <v>2238</v>
      </c>
      <c r="E1841" s="21">
        <v>150</v>
      </c>
      <c r="F1841" s="21">
        <v>30</v>
      </c>
      <c r="G1841" s="21"/>
      <c r="H1841" s="21"/>
      <c r="I1841" s="22">
        <f t="shared" si="28"/>
        <v>180</v>
      </c>
      <c r="J1841" t="e">
        <f>VLOOKUP(B1841,'[1]KT 광점퍼코드(수익률)'!$A$4:$P$243,16,0)</f>
        <v>#N/A</v>
      </c>
    </row>
    <row r="1842" spans="1:10" ht="15.75" hidden="1" customHeight="1">
      <c r="A1842" s="23">
        <v>1839</v>
      </c>
      <c r="B1842" s="24" t="s">
        <v>2937</v>
      </c>
      <c r="C1842" s="24" t="s">
        <v>1504</v>
      </c>
      <c r="D1842" s="24" t="s">
        <v>1946</v>
      </c>
      <c r="E1842" s="25"/>
      <c r="F1842" s="25">
        <v>50</v>
      </c>
      <c r="G1842" s="25"/>
      <c r="H1842" s="25"/>
      <c r="I1842" s="22">
        <f t="shared" si="28"/>
        <v>50</v>
      </c>
      <c r="J1842" t="e">
        <f>VLOOKUP(B1842,'[1]KT 광점퍼코드(수익률)'!$A$4:$P$243,16,0)</f>
        <v>#N/A</v>
      </c>
    </row>
    <row r="1843" spans="1:10" ht="15.75" hidden="1" customHeight="1">
      <c r="A1843" s="19">
        <v>1840</v>
      </c>
      <c r="B1843" s="20" t="s">
        <v>2239</v>
      </c>
      <c r="C1843" s="20" t="s">
        <v>1504</v>
      </c>
      <c r="D1843" s="20" t="s">
        <v>2240</v>
      </c>
      <c r="E1843" s="21">
        <v>5647</v>
      </c>
      <c r="F1843" s="21">
        <v>4649</v>
      </c>
      <c r="G1843" s="21">
        <v>3008</v>
      </c>
      <c r="H1843" s="21">
        <v>1140</v>
      </c>
      <c r="I1843" s="22">
        <f t="shared" si="28"/>
        <v>14444</v>
      </c>
      <c r="J1843" t="e">
        <f>VLOOKUP(B1843,'[1]KT 광점퍼코드(수익률)'!$A$4:$P$243,16,0)</f>
        <v>#N/A</v>
      </c>
    </row>
    <row r="1844" spans="1:10" ht="15.75" hidden="1" customHeight="1">
      <c r="A1844" s="23">
        <v>1841</v>
      </c>
      <c r="B1844" s="24" t="s">
        <v>2241</v>
      </c>
      <c r="C1844" s="24" t="s">
        <v>1504</v>
      </c>
      <c r="D1844" s="24" t="s">
        <v>1668</v>
      </c>
      <c r="E1844" s="25">
        <v>240</v>
      </c>
      <c r="F1844" s="25">
        <v>200</v>
      </c>
      <c r="G1844" s="25"/>
      <c r="H1844" s="25">
        <v>100</v>
      </c>
      <c r="I1844" s="22">
        <f t="shared" si="28"/>
        <v>540</v>
      </c>
      <c r="J1844" t="e">
        <f>VLOOKUP(B1844,'[1]KT 광점퍼코드(수익률)'!$A$4:$P$243,16,0)</f>
        <v>#N/A</v>
      </c>
    </row>
    <row r="1845" spans="1:10" ht="15.75" hidden="1" customHeight="1">
      <c r="A1845" s="19">
        <v>1842</v>
      </c>
      <c r="B1845" s="20" t="s">
        <v>2242</v>
      </c>
      <c r="C1845" s="20" t="s">
        <v>1504</v>
      </c>
      <c r="D1845" s="20" t="s">
        <v>2243</v>
      </c>
      <c r="E1845" s="21">
        <v>1964</v>
      </c>
      <c r="F1845" s="21">
        <v>1355</v>
      </c>
      <c r="G1845" s="21">
        <v>813</v>
      </c>
      <c r="H1845" s="21">
        <v>164</v>
      </c>
      <c r="I1845" s="22">
        <f t="shared" si="28"/>
        <v>4296</v>
      </c>
      <c r="J1845" t="e">
        <f>VLOOKUP(B1845,'[1]KT 광점퍼코드(수익률)'!$A$4:$P$243,16,0)</f>
        <v>#N/A</v>
      </c>
    </row>
    <row r="1846" spans="1:10" ht="15.75" hidden="1" customHeight="1">
      <c r="A1846" s="23">
        <v>1843</v>
      </c>
      <c r="B1846" s="24" t="s">
        <v>2244</v>
      </c>
      <c r="C1846" s="24" t="s">
        <v>1504</v>
      </c>
      <c r="D1846" s="24" t="s">
        <v>2245</v>
      </c>
      <c r="E1846" s="25">
        <v>75461</v>
      </c>
      <c r="F1846" s="25">
        <v>53445</v>
      </c>
      <c r="G1846" s="25">
        <v>22164</v>
      </c>
      <c r="H1846" s="25">
        <v>18240</v>
      </c>
      <c r="I1846" s="22">
        <f t="shared" si="28"/>
        <v>169310</v>
      </c>
      <c r="J1846" t="e">
        <f>VLOOKUP(B1846,'[1]KT 광점퍼코드(수익률)'!$A$4:$P$243,16,0)</f>
        <v>#N/A</v>
      </c>
    </row>
    <row r="1847" spans="1:10" ht="15.75" hidden="1" customHeight="1">
      <c r="A1847" s="19">
        <v>1844</v>
      </c>
      <c r="B1847" s="20" t="s">
        <v>2246</v>
      </c>
      <c r="C1847" s="20" t="s">
        <v>1504</v>
      </c>
      <c r="D1847" s="20" t="s">
        <v>2247</v>
      </c>
      <c r="E1847" s="21">
        <v>372</v>
      </c>
      <c r="F1847" s="21">
        <v>167</v>
      </c>
      <c r="G1847" s="21">
        <v>112</v>
      </c>
      <c r="H1847" s="21">
        <v>56</v>
      </c>
      <c r="I1847" s="22">
        <f t="shared" si="28"/>
        <v>707</v>
      </c>
      <c r="J1847" t="e">
        <f>VLOOKUP(B1847,'[1]KT 광점퍼코드(수익률)'!$A$4:$P$243,16,0)</f>
        <v>#N/A</v>
      </c>
    </row>
    <row r="1848" spans="1:10" ht="15.75" hidden="1" customHeight="1">
      <c r="A1848" s="23">
        <v>1845</v>
      </c>
      <c r="B1848" s="24" t="s">
        <v>2248</v>
      </c>
      <c r="C1848" s="24" t="s">
        <v>1504</v>
      </c>
      <c r="D1848" s="24" t="s">
        <v>2249</v>
      </c>
      <c r="E1848" s="25">
        <v>68</v>
      </c>
      <c r="F1848" s="25">
        <v>109</v>
      </c>
      <c r="G1848" s="25">
        <v>20</v>
      </c>
      <c r="H1848" s="25">
        <v>30</v>
      </c>
      <c r="I1848" s="22">
        <f t="shared" si="28"/>
        <v>227</v>
      </c>
      <c r="J1848" t="e">
        <f>VLOOKUP(B1848,'[1]KT 광점퍼코드(수익률)'!$A$4:$P$243,16,0)</f>
        <v>#N/A</v>
      </c>
    </row>
    <row r="1849" spans="1:10" ht="15.75" hidden="1" customHeight="1">
      <c r="A1849" s="19">
        <v>1846</v>
      </c>
      <c r="B1849" s="20" t="s">
        <v>2250</v>
      </c>
      <c r="C1849" s="20" t="s">
        <v>1504</v>
      </c>
      <c r="D1849" s="20" t="s">
        <v>2251</v>
      </c>
      <c r="E1849" s="21">
        <v>23860</v>
      </c>
      <c r="F1849" s="21">
        <v>6440</v>
      </c>
      <c r="G1849" s="21">
        <v>2585</v>
      </c>
      <c r="H1849" s="21">
        <v>3640</v>
      </c>
      <c r="I1849" s="22">
        <f t="shared" si="28"/>
        <v>36525</v>
      </c>
      <c r="J1849" t="e">
        <f>VLOOKUP(B1849,'[1]KT 광점퍼코드(수익률)'!$A$4:$P$243,16,0)</f>
        <v>#N/A</v>
      </c>
    </row>
    <row r="1850" spans="1:10" ht="15.75" hidden="1" customHeight="1">
      <c r="A1850" s="23">
        <v>1847</v>
      </c>
      <c r="B1850" s="24" t="s">
        <v>2252</v>
      </c>
      <c r="C1850" s="24" t="s">
        <v>1504</v>
      </c>
      <c r="D1850" s="24" t="s">
        <v>2253</v>
      </c>
      <c r="E1850" s="25">
        <v>78291</v>
      </c>
      <c r="F1850" s="25">
        <v>37812</v>
      </c>
      <c r="G1850" s="25">
        <v>23006</v>
      </c>
      <c r="H1850" s="25">
        <v>14030</v>
      </c>
      <c r="I1850" s="22">
        <f t="shared" si="28"/>
        <v>153139</v>
      </c>
      <c r="J1850" t="e">
        <f>VLOOKUP(B1850,'[1]KT 광점퍼코드(수익률)'!$A$4:$P$243,16,0)</f>
        <v>#N/A</v>
      </c>
    </row>
    <row r="1851" spans="1:10" ht="15.75" hidden="1" customHeight="1">
      <c r="A1851" s="19">
        <v>1848</v>
      </c>
      <c r="B1851" s="20" t="s">
        <v>2254</v>
      </c>
      <c r="C1851" s="20" t="s">
        <v>1504</v>
      </c>
      <c r="D1851" s="20" t="s">
        <v>2255</v>
      </c>
      <c r="E1851" s="21">
        <v>550</v>
      </c>
      <c r="F1851" s="21">
        <v>805</v>
      </c>
      <c r="G1851" s="21">
        <v>490</v>
      </c>
      <c r="H1851" s="21"/>
      <c r="I1851" s="22">
        <f t="shared" si="28"/>
        <v>1845</v>
      </c>
      <c r="J1851" t="e">
        <f>VLOOKUP(B1851,'[1]KT 광점퍼코드(수익률)'!$A$4:$P$243,16,0)</f>
        <v>#N/A</v>
      </c>
    </row>
    <row r="1852" spans="1:10" ht="15.75" hidden="1" customHeight="1">
      <c r="A1852" s="23">
        <v>1849</v>
      </c>
      <c r="B1852" s="24" t="s">
        <v>2256</v>
      </c>
      <c r="C1852" s="24" t="s">
        <v>1504</v>
      </c>
      <c r="D1852" s="24" t="s">
        <v>2257</v>
      </c>
      <c r="E1852" s="25">
        <v>12335</v>
      </c>
      <c r="F1852" s="25">
        <v>6115</v>
      </c>
      <c r="G1852" s="25">
        <v>2437</v>
      </c>
      <c r="H1852" s="25">
        <v>2411</v>
      </c>
      <c r="I1852" s="22">
        <f t="shared" si="28"/>
        <v>23298</v>
      </c>
      <c r="J1852" t="e">
        <f>VLOOKUP(B1852,'[1]KT 광점퍼코드(수익률)'!$A$4:$P$243,16,0)</f>
        <v>#N/A</v>
      </c>
    </row>
    <row r="1853" spans="1:10" ht="15.75" hidden="1" customHeight="1">
      <c r="A1853" s="19">
        <v>1850</v>
      </c>
      <c r="B1853" s="20" t="s">
        <v>2258</v>
      </c>
      <c r="C1853" s="20" t="s">
        <v>1504</v>
      </c>
      <c r="D1853" s="20" t="s">
        <v>2259</v>
      </c>
      <c r="E1853" s="21">
        <v>890</v>
      </c>
      <c r="F1853" s="21">
        <v>660</v>
      </c>
      <c r="G1853" s="21">
        <v>746</v>
      </c>
      <c r="H1853" s="21">
        <v>94</v>
      </c>
      <c r="I1853" s="22">
        <f t="shared" si="28"/>
        <v>2390</v>
      </c>
      <c r="J1853" t="e">
        <f>VLOOKUP(B1853,'[1]KT 광점퍼코드(수익률)'!$A$4:$P$243,16,0)</f>
        <v>#N/A</v>
      </c>
    </row>
    <row r="1854" spans="1:10" ht="15.75" hidden="1" customHeight="1">
      <c r="A1854" s="23">
        <v>1851</v>
      </c>
      <c r="B1854" s="24" t="s">
        <v>2260</v>
      </c>
      <c r="C1854" s="24" t="s">
        <v>1504</v>
      </c>
      <c r="D1854" s="24" t="s">
        <v>2261</v>
      </c>
      <c r="E1854" s="25">
        <v>1198</v>
      </c>
      <c r="F1854" s="25">
        <v>390</v>
      </c>
      <c r="G1854" s="25">
        <v>290</v>
      </c>
      <c r="H1854" s="25"/>
      <c r="I1854" s="22">
        <f t="shared" si="28"/>
        <v>1878</v>
      </c>
      <c r="J1854" t="e">
        <f>VLOOKUP(B1854,'[1]KT 광점퍼코드(수익률)'!$A$4:$P$243,16,0)</f>
        <v>#N/A</v>
      </c>
    </row>
    <row r="1855" spans="1:10" ht="15.75" hidden="1" customHeight="1">
      <c r="A1855" s="19">
        <v>1852</v>
      </c>
      <c r="B1855" s="20" t="s">
        <v>2262</v>
      </c>
      <c r="C1855" s="20" t="s">
        <v>1504</v>
      </c>
      <c r="D1855" s="20" t="s">
        <v>2263</v>
      </c>
      <c r="E1855" s="21">
        <v>10</v>
      </c>
      <c r="F1855" s="21"/>
      <c r="G1855" s="21"/>
      <c r="H1855" s="21"/>
      <c r="I1855" s="22">
        <f t="shared" si="28"/>
        <v>10</v>
      </c>
      <c r="J1855" t="e">
        <f>VLOOKUP(B1855,'[1]KT 광점퍼코드(수익률)'!$A$4:$P$243,16,0)</f>
        <v>#N/A</v>
      </c>
    </row>
    <row r="1856" spans="1:10" ht="15.75" hidden="1" customHeight="1">
      <c r="A1856" s="23">
        <v>1853</v>
      </c>
      <c r="B1856" s="24" t="s">
        <v>2264</v>
      </c>
      <c r="C1856" s="24" t="s">
        <v>1504</v>
      </c>
      <c r="D1856" s="24" t="s">
        <v>2265</v>
      </c>
      <c r="E1856" s="25">
        <v>105</v>
      </c>
      <c r="F1856" s="25">
        <v>215</v>
      </c>
      <c r="G1856" s="25">
        <v>204</v>
      </c>
      <c r="H1856" s="25"/>
      <c r="I1856" s="22">
        <f t="shared" si="28"/>
        <v>524</v>
      </c>
      <c r="J1856" t="e">
        <f>VLOOKUP(B1856,'[1]KT 광점퍼코드(수익률)'!$A$4:$P$243,16,0)</f>
        <v>#N/A</v>
      </c>
    </row>
    <row r="1857" spans="1:10" ht="15.75" hidden="1" customHeight="1">
      <c r="A1857" s="19">
        <v>1854</v>
      </c>
      <c r="B1857" s="20" t="s">
        <v>2938</v>
      </c>
      <c r="C1857" s="20" t="s">
        <v>1523</v>
      </c>
      <c r="D1857" s="20" t="s">
        <v>2267</v>
      </c>
      <c r="E1857" s="21"/>
      <c r="F1857" s="21">
        <v>30</v>
      </c>
      <c r="G1857" s="21"/>
      <c r="H1857" s="21"/>
      <c r="I1857" s="22">
        <f t="shared" si="28"/>
        <v>30</v>
      </c>
      <c r="J1857" t="e">
        <f>VLOOKUP(B1857,'[1]KT 광점퍼코드(수익률)'!$A$4:$P$243,16,0)</f>
        <v>#N/A</v>
      </c>
    </row>
    <row r="1858" spans="1:10" ht="15.75" hidden="1" customHeight="1">
      <c r="A1858" s="23">
        <v>1855</v>
      </c>
      <c r="B1858" s="24" t="s">
        <v>2939</v>
      </c>
      <c r="C1858" s="24" t="s">
        <v>2273</v>
      </c>
      <c r="D1858" s="24" t="s">
        <v>1913</v>
      </c>
      <c r="E1858" s="25"/>
      <c r="F1858" s="25">
        <v>20</v>
      </c>
      <c r="G1858" s="25">
        <v>17</v>
      </c>
      <c r="H1858" s="25"/>
      <c r="I1858" s="22">
        <f t="shared" si="28"/>
        <v>37</v>
      </c>
      <c r="J1858" t="e">
        <f>VLOOKUP(B1858,'[1]KT 광점퍼코드(수익률)'!$A$4:$P$243,16,0)</f>
        <v>#N/A</v>
      </c>
    </row>
    <row r="1859" spans="1:10" ht="15.75" hidden="1" customHeight="1">
      <c r="A1859" s="19">
        <v>1856</v>
      </c>
      <c r="B1859" s="20" t="s">
        <v>2266</v>
      </c>
      <c r="C1859" s="20" t="s">
        <v>1510</v>
      </c>
      <c r="D1859" s="20" t="s">
        <v>2267</v>
      </c>
      <c r="E1859" s="21">
        <v>68</v>
      </c>
      <c r="F1859" s="21">
        <v>16</v>
      </c>
      <c r="G1859" s="21"/>
      <c r="H1859" s="21"/>
      <c r="I1859" s="22">
        <f t="shared" si="28"/>
        <v>84</v>
      </c>
      <c r="J1859" t="e">
        <f>VLOOKUP(B1859,'[1]KT 광점퍼코드(수익률)'!$A$4:$P$243,16,0)</f>
        <v>#N/A</v>
      </c>
    </row>
    <row r="1860" spans="1:10" ht="15.75" hidden="1" customHeight="1">
      <c r="A1860" s="23">
        <v>1857</v>
      </c>
      <c r="B1860" s="24" t="s">
        <v>2940</v>
      </c>
      <c r="C1860" s="24" t="s">
        <v>1475</v>
      </c>
      <c r="D1860" s="24" t="s">
        <v>2941</v>
      </c>
      <c r="E1860" s="25"/>
      <c r="F1860" s="25">
        <v>5</v>
      </c>
      <c r="G1860" s="25"/>
      <c r="H1860" s="25"/>
      <c r="I1860" s="22">
        <f t="shared" ref="I1860:I1923" si="29">SUM(E1860:H1860)</f>
        <v>5</v>
      </c>
      <c r="J1860" t="e">
        <f>VLOOKUP(B1860,'[1]KT 광점퍼코드(수익률)'!$A$4:$P$243,16,0)</f>
        <v>#N/A</v>
      </c>
    </row>
    <row r="1861" spans="1:10" ht="15.75" hidden="1" customHeight="1">
      <c r="A1861" s="19">
        <v>1858</v>
      </c>
      <c r="B1861" s="20" t="s">
        <v>2268</v>
      </c>
      <c r="C1861" s="20" t="s">
        <v>2008</v>
      </c>
      <c r="D1861" s="20" t="s">
        <v>1668</v>
      </c>
      <c r="E1861" s="21">
        <v>4</v>
      </c>
      <c r="F1861" s="21"/>
      <c r="G1861" s="21"/>
      <c r="H1861" s="21"/>
      <c r="I1861" s="22">
        <f t="shared" si="29"/>
        <v>4</v>
      </c>
      <c r="J1861" t="e">
        <f>VLOOKUP(B1861,'[1]KT 광점퍼코드(수익률)'!$A$4:$P$243,16,0)</f>
        <v>#N/A</v>
      </c>
    </row>
    <row r="1862" spans="1:10" ht="15.75" hidden="1" customHeight="1">
      <c r="A1862" s="23">
        <v>1859</v>
      </c>
      <c r="B1862" s="24" t="s">
        <v>2269</v>
      </c>
      <c r="C1862" s="24" t="s">
        <v>1475</v>
      </c>
      <c r="D1862" s="24" t="s">
        <v>1906</v>
      </c>
      <c r="E1862" s="25">
        <v>65</v>
      </c>
      <c r="F1862" s="25"/>
      <c r="G1862" s="25"/>
      <c r="H1862" s="25"/>
      <c r="I1862" s="22">
        <f t="shared" si="29"/>
        <v>65</v>
      </c>
      <c r="J1862" t="e">
        <f>VLOOKUP(B1862,'[1]KT 광점퍼코드(수익률)'!$A$4:$P$243,16,0)</f>
        <v>#N/A</v>
      </c>
    </row>
    <row r="1863" spans="1:10" ht="15.75" hidden="1" customHeight="1">
      <c r="A1863" s="19">
        <v>1860</v>
      </c>
      <c r="B1863" s="20" t="s">
        <v>2270</v>
      </c>
      <c r="C1863" s="20" t="s">
        <v>1510</v>
      </c>
      <c r="D1863" s="20" t="s">
        <v>1909</v>
      </c>
      <c r="E1863" s="21">
        <v>199</v>
      </c>
      <c r="F1863" s="21"/>
      <c r="G1863" s="21"/>
      <c r="H1863" s="21"/>
      <c r="I1863" s="22">
        <f t="shared" si="29"/>
        <v>199</v>
      </c>
      <c r="J1863" t="e">
        <f>VLOOKUP(B1863,'[1]KT 광점퍼코드(수익률)'!$A$4:$P$243,16,0)</f>
        <v>#N/A</v>
      </c>
    </row>
    <row r="1864" spans="1:10" ht="15.75" hidden="1" customHeight="1">
      <c r="A1864" s="23">
        <v>1861</v>
      </c>
      <c r="B1864" s="24" t="s">
        <v>2271</v>
      </c>
      <c r="C1864" s="24" t="s">
        <v>1523</v>
      </c>
      <c r="D1864" s="24" t="s">
        <v>1909</v>
      </c>
      <c r="E1864" s="25">
        <v>1</v>
      </c>
      <c r="F1864" s="25">
        <v>25</v>
      </c>
      <c r="G1864" s="25">
        <v>20</v>
      </c>
      <c r="H1864" s="25"/>
      <c r="I1864" s="22">
        <f t="shared" si="29"/>
        <v>46</v>
      </c>
      <c r="J1864" t="e">
        <f>VLOOKUP(B1864,'[1]KT 광점퍼코드(수익률)'!$A$4:$P$243,16,0)</f>
        <v>#N/A</v>
      </c>
    </row>
    <row r="1865" spans="1:10" ht="15.75" hidden="1" customHeight="1">
      <c r="A1865" s="19">
        <v>1862</v>
      </c>
      <c r="B1865" s="20" t="s">
        <v>2272</v>
      </c>
      <c r="C1865" s="20" t="s">
        <v>2273</v>
      </c>
      <c r="D1865" s="20" t="s">
        <v>1909</v>
      </c>
      <c r="E1865" s="21">
        <v>120</v>
      </c>
      <c r="F1865" s="21">
        <v>22</v>
      </c>
      <c r="G1865" s="21">
        <v>15</v>
      </c>
      <c r="H1865" s="21">
        <v>1</v>
      </c>
      <c r="I1865" s="22">
        <f t="shared" si="29"/>
        <v>158</v>
      </c>
      <c r="J1865" t="e">
        <f>VLOOKUP(B1865,'[1]KT 광점퍼코드(수익률)'!$A$4:$P$243,16,0)</f>
        <v>#N/A</v>
      </c>
    </row>
    <row r="1866" spans="1:10" ht="15.75" hidden="1" customHeight="1">
      <c r="A1866" s="23">
        <v>1863</v>
      </c>
      <c r="B1866" s="24" t="s">
        <v>2274</v>
      </c>
      <c r="C1866" s="24" t="s">
        <v>1510</v>
      </c>
      <c r="D1866" s="24" t="s">
        <v>1922</v>
      </c>
      <c r="E1866" s="25">
        <v>85</v>
      </c>
      <c r="F1866" s="25"/>
      <c r="G1866" s="25"/>
      <c r="H1866" s="25"/>
      <c r="I1866" s="22">
        <f t="shared" si="29"/>
        <v>85</v>
      </c>
      <c r="J1866" t="e">
        <f>VLOOKUP(B1866,'[1]KT 광점퍼코드(수익률)'!$A$4:$P$243,16,0)</f>
        <v>#N/A</v>
      </c>
    </row>
    <row r="1867" spans="1:10" ht="15.75" hidden="1" customHeight="1">
      <c r="A1867" s="19">
        <v>1864</v>
      </c>
      <c r="B1867" s="20" t="s">
        <v>2942</v>
      </c>
      <c r="C1867" s="20" t="s">
        <v>1471</v>
      </c>
      <c r="D1867" s="20" t="s">
        <v>2941</v>
      </c>
      <c r="E1867" s="21"/>
      <c r="F1867" s="21">
        <v>50</v>
      </c>
      <c r="G1867" s="21"/>
      <c r="H1867" s="21"/>
      <c r="I1867" s="22">
        <f t="shared" si="29"/>
        <v>50</v>
      </c>
      <c r="J1867" t="e">
        <f>VLOOKUP(B1867,'[1]KT 광점퍼코드(수익률)'!$A$4:$P$243,16,0)</f>
        <v>#N/A</v>
      </c>
    </row>
    <row r="1868" spans="1:10" ht="15.75" hidden="1" customHeight="1">
      <c r="A1868" s="23">
        <v>1865</v>
      </c>
      <c r="B1868" s="24" t="s">
        <v>2275</v>
      </c>
      <c r="C1868" s="24" t="s">
        <v>1475</v>
      </c>
      <c r="D1868" s="24" t="s">
        <v>2276</v>
      </c>
      <c r="E1868" s="25">
        <v>16</v>
      </c>
      <c r="F1868" s="25"/>
      <c r="G1868" s="25"/>
      <c r="H1868" s="25"/>
      <c r="I1868" s="22">
        <f t="shared" si="29"/>
        <v>16</v>
      </c>
      <c r="J1868" t="e">
        <f>VLOOKUP(B1868,'[1]KT 광점퍼코드(수익률)'!$A$4:$P$243,16,0)</f>
        <v>#N/A</v>
      </c>
    </row>
    <row r="1869" spans="1:10" ht="15.75" hidden="1" customHeight="1">
      <c r="A1869" s="19">
        <v>1866</v>
      </c>
      <c r="B1869" s="20" t="s">
        <v>2277</v>
      </c>
      <c r="C1869" s="20" t="s">
        <v>1523</v>
      </c>
      <c r="D1869" s="20" t="s">
        <v>2278</v>
      </c>
      <c r="E1869" s="21">
        <v>1</v>
      </c>
      <c r="F1869" s="21">
        <v>5</v>
      </c>
      <c r="G1869" s="21"/>
      <c r="H1869" s="21">
        <v>50</v>
      </c>
      <c r="I1869" s="22">
        <f t="shared" si="29"/>
        <v>56</v>
      </c>
      <c r="J1869" t="e">
        <f>VLOOKUP(B1869,'[1]KT 광점퍼코드(수익률)'!$A$4:$P$243,16,0)</f>
        <v>#N/A</v>
      </c>
    </row>
    <row r="1870" spans="1:10" ht="15.75" hidden="1" customHeight="1">
      <c r="A1870" s="23">
        <v>1867</v>
      </c>
      <c r="B1870" s="24" t="s">
        <v>3421</v>
      </c>
      <c r="C1870" s="24" t="s">
        <v>2301</v>
      </c>
      <c r="D1870" s="24" t="s">
        <v>2873</v>
      </c>
      <c r="E1870" s="25"/>
      <c r="F1870" s="25"/>
      <c r="G1870" s="25">
        <v>10</v>
      </c>
      <c r="H1870" s="25"/>
      <c r="I1870" s="22">
        <f t="shared" si="29"/>
        <v>10</v>
      </c>
      <c r="J1870" t="e">
        <f>VLOOKUP(B1870,'[1]KT 광점퍼코드(수익률)'!$A$4:$P$243,16,0)</f>
        <v>#N/A</v>
      </c>
    </row>
    <row r="1871" spans="1:10" ht="15.75" hidden="1" customHeight="1">
      <c r="A1871" s="19">
        <v>1868</v>
      </c>
      <c r="B1871" s="20" t="s">
        <v>2943</v>
      </c>
      <c r="C1871" s="20" t="s">
        <v>2301</v>
      </c>
      <c r="D1871" s="20" t="s">
        <v>1909</v>
      </c>
      <c r="E1871" s="21"/>
      <c r="F1871" s="21">
        <v>1</v>
      </c>
      <c r="G1871" s="21"/>
      <c r="H1871" s="21"/>
      <c r="I1871" s="22">
        <f t="shared" si="29"/>
        <v>1</v>
      </c>
      <c r="J1871" t="e">
        <f>VLOOKUP(B1871,'[1]KT 광점퍼코드(수익률)'!$A$4:$P$243,16,0)</f>
        <v>#N/A</v>
      </c>
    </row>
    <row r="1872" spans="1:10" ht="15.75" hidden="1" customHeight="1">
      <c r="A1872" s="23">
        <v>1869</v>
      </c>
      <c r="B1872" s="24" t="s">
        <v>2944</v>
      </c>
      <c r="C1872" s="24" t="s">
        <v>2301</v>
      </c>
      <c r="D1872" s="24" t="s">
        <v>1911</v>
      </c>
      <c r="E1872" s="25"/>
      <c r="F1872" s="25">
        <v>3</v>
      </c>
      <c r="G1872" s="25"/>
      <c r="H1872" s="25"/>
      <c r="I1872" s="22">
        <f t="shared" si="29"/>
        <v>3</v>
      </c>
      <c r="J1872" t="e">
        <f>VLOOKUP(B1872,'[1]KT 광점퍼코드(수익률)'!$A$4:$P$243,16,0)</f>
        <v>#N/A</v>
      </c>
    </row>
    <row r="1873" spans="1:10" ht="15.75" hidden="1" customHeight="1">
      <c r="A1873" s="19">
        <v>1870</v>
      </c>
      <c r="B1873" s="20" t="s">
        <v>2279</v>
      </c>
      <c r="C1873" s="20" t="s">
        <v>1466</v>
      </c>
      <c r="D1873" s="20" t="s">
        <v>2280</v>
      </c>
      <c r="E1873" s="21">
        <v>30</v>
      </c>
      <c r="F1873" s="21"/>
      <c r="G1873" s="21">
        <v>10</v>
      </c>
      <c r="H1873" s="21"/>
      <c r="I1873" s="22">
        <f t="shared" si="29"/>
        <v>40</v>
      </c>
      <c r="J1873" t="e">
        <f>VLOOKUP(B1873,'[1]KT 광점퍼코드(수익률)'!$A$4:$P$243,16,0)</f>
        <v>#N/A</v>
      </c>
    </row>
    <row r="1874" spans="1:10" ht="15.75" hidden="1" customHeight="1">
      <c r="A1874" s="23">
        <v>1871</v>
      </c>
      <c r="B1874" s="24" t="s">
        <v>2281</v>
      </c>
      <c r="C1874" s="24" t="s">
        <v>1466</v>
      </c>
      <c r="D1874" s="24" t="s">
        <v>2282</v>
      </c>
      <c r="E1874" s="25">
        <v>2</v>
      </c>
      <c r="F1874" s="25"/>
      <c r="G1874" s="25"/>
      <c r="H1874" s="25">
        <v>10</v>
      </c>
      <c r="I1874" s="22">
        <f t="shared" si="29"/>
        <v>12</v>
      </c>
      <c r="J1874" t="e">
        <f>VLOOKUP(B1874,'[1]KT 광점퍼코드(수익률)'!$A$4:$P$243,16,0)</f>
        <v>#N/A</v>
      </c>
    </row>
    <row r="1875" spans="1:10" ht="15.75" hidden="1" customHeight="1">
      <c r="A1875" s="19">
        <v>1872</v>
      </c>
      <c r="B1875" s="20" t="s">
        <v>2283</v>
      </c>
      <c r="C1875" s="20" t="s">
        <v>1466</v>
      </c>
      <c r="D1875" s="20" t="s">
        <v>2284</v>
      </c>
      <c r="E1875" s="21">
        <v>2</v>
      </c>
      <c r="F1875" s="21">
        <v>3</v>
      </c>
      <c r="G1875" s="21"/>
      <c r="H1875" s="21"/>
      <c r="I1875" s="22">
        <f t="shared" si="29"/>
        <v>5</v>
      </c>
      <c r="J1875" t="e">
        <f>VLOOKUP(B1875,'[1]KT 광점퍼코드(수익률)'!$A$4:$P$243,16,0)</f>
        <v>#N/A</v>
      </c>
    </row>
    <row r="1876" spans="1:10" ht="15.75" hidden="1" customHeight="1">
      <c r="A1876" s="23">
        <v>1873</v>
      </c>
      <c r="B1876" s="24" t="s">
        <v>2285</v>
      </c>
      <c r="C1876" s="24" t="s">
        <v>1463</v>
      </c>
      <c r="D1876" s="24" t="s">
        <v>1700</v>
      </c>
      <c r="E1876" s="25">
        <v>20</v>
      </c>
      <c r="F1876" s="25"/>
      <c r="G1876" s="25">
        <v>10</v>
      </c>
      <c r="H1876" s="25"/>
      <c r="I1876" s="22">
        <f t="shared" si="29"/>
        <v>30</v>
      </c>
      <c r="J1876" t="e">
        <f>VLOOKUP(B1876,'[1]KT 광점퍼코드(수익률)'!$A$4:$P$243,16,0)</f>
        <v>#N/A</v>
      </c>
    </row>
    <row r="1877" spans="1:10" ht="15.75" hidden="1" customHeight="1">
      <c r="A1877" s="19">
        <v>1874</v>
      </c>
      <c r="B1877" s="20" t="s">
        <v>2286</v>
      </c>
      <c r="C1877" s="20" t="s">
        <v>1463</v>
      </c>
      <c r="D1877" s="20" t="s">
        <v>2110</v>
      </c>
      <c r="E1877" s="21">
        <v>2</v>
      </c>
      <c r="F1877" s="21"/>
      <c r="G1877" s="21"/>
      <c r="H1877" s="21"/>
      <c r="I1877" s="22">
        <f t="shared" si="29"/>
        <v>2</v>
      </c>
      <c r="J1877" t="e">
        <f>VLOOKUP(B1877,'[1]KT 광점퍼코드(수익률)'!$A$4:$P$243,16,0)</f>
        <v>#N/A</v>
      </c>
    </row>
    <row r="1878" spans="1:10" ht="15.75" hidden="1" customHeight="1">
      <c r="A1878" s="23">
        <v>1875</v>
      </c>
      <c r="B1878" s="24" t="s">
        <v>2945</v>
      </c>
      <c r="C1878" s="24" t="s">
        <v>2929</v>
      </c>
      <c r="D1878" s="24" t="s">
        <v>2946</v>
      </c>
      <c r="E1878" s="25"/>
      <c r="F1878" s="25">
        <v>5</v>
      </c>
      <c r="G1878" s="25"/>
      <c r="H1878" s="25">
        <v>7</v>
      </c>
      <c r="I1878" s="22">
        <f t="shared" si="29"/>
        <v>12</v>
      </c>
      <c r="J1878" t="e">
        <f>VLOOKUP(B1878,'[1]KT 광점퍼코드(수익률)'!$A$4:$P$243,16,0)</f>
        <v>#N/A</v>
      </c>
    </row>
    <row r="1879" spans="1:10" ht="15.75" hidden="1" customHeight="1">
      <c r="A1879" s="19">
        <v>1876</v>
      </c>
      <c r="B1879" s="20" t="s">
        <v>2287</v>
      </c>
      <c r="C1879" s="20" t="s">
        <v>1466</v>
      </c>
      <c r="D1879" s="20" t="s">
        <v>2276</v>
      </c>
      <c r="E1879" s="21">
        <v>25</v>
      </c>
      <c r="F1879" s="21"/>
      <c r="G1879" s="21"/>
      <c r="H1879" s="21"/>
      <c r="I1879" s="22">
        <f t="shared" si="29"/>
        <v>25</v>
      </c>
      <c r="J1879" t="e">
        <f>VLOOKUP(B1879,'[1]KT 광점퍼코드(수익률)'!$A$4:$P$243,16,0)</f>
        <v>#N/A</v>
      </c>
    </row>
    <row r="1880" spans="1:10" ht="15.75" hidden="1" customHeight="1">
      <c r="A1880" s="23">
        <v>1877</v>
      </c>
      <c r="B1880" s="24" t="s">
        <v>2288</v>
      </c>
      <c r="C1880" s="24" t="s">
        <v>1466</v>
      </c>
      <c r="D1880" s="24" t="s">
        <v>2289</v>
      </c>
      <c r="E1880" s="25">
        <v>6</v>
      </c>
      <c r="F1880" s="25"/>
      <c r="G1880" s="25"/>
      <c r="H1880" s="25"/>
      <c r="I1880" s="22">
        <f t="shared" si="29"/>
        <v>6</v>
      </c>
      <c r="J1880" t="e">
        <f>VLOOKUP(B1880,'[1]KT 광점퍼코드(수익률)'!$A$4:$P$243,16,0)</f>
        <v>#N/A</v>
      </c>
    </row>
    <row r="1881" spans="1:10" ht="15.75" hidden="1" customHeight="1">
      <c r="A1881" s="19">
        <v>1878</v>
      </c>
      <c r="B1881" s="20" t="s">
        <v>3422</v>
      </c>
      <c r="C1881" s="20" t="s">
        <v>1466</v>
      </c>
      <c r="D1881" s="20" t="s">
        <v>3423</v>
      </c>
      <c r="E1881" s="21"/>
      <c r="F1881" s="21"/>
      <c r="G1881" s="21">
        <v>4</v>
      </c>
      <c r="H1881" s="21"/>
      <c r="I1881" s="22">
        <f t="shared" si="29"/>
        <v>4</v>
      </c>
      <c r="J1881" t="e">
        <f>VLOOKUP(B1881,'[1]KT 광점퍼코드(수익률)'!$A$4:$P$243,16,0)</f>
        <v>#N/A</v>
      </c>
    </row>
    <row r="1882" spans="1:10" ht="15.75" hidden="1" customHeight="1">
      <c r="A1882" s="23">
        <v>1879</v>
      </c>
      <c r="B1882" s="24" t="s">
        <v>2290</v>
      </c>
      <c r="C1882" s="24" t="s">
        <v>1504</v>
      </c>
      <c r="D1882" s="24" t="s">
        <v>1722</v>
      </c>
      <c r="E1882" s="25">
        <v>5</v>
      </c>
      <c r="F1882" s="25"/>
      <c r="G1882" s="25"/>
      <c r="H1882" s="25"/>
      <c r="I1882" s="22">
        <f t="shared" si="29"/>
        <v>5</v>
      </c>
      <c r="J1882" t="e">
        <f>VLOOKUP(B1882,'[1]KT 광점퍼코드(수익률)'!$A$4:$P$243,16,0)</f>
        <v>#N/A</v>
      </c>
    </row>
    <row r="1883" spans="1:10" ht="15.75" hidden="1" customHeight="1">
      <c r="A1883" s="19">
        <v>1880</v>
      </c>
      <c r="B1883" s="20" t="s">
        <v>2291</v>
      </c>
      <c r="C1883" s="20" t="s">
        <v>1493</v>
      </c>
      <c r="D1883" s="20" t="s">
        <v>1916</v>
      </c>
      <c r="E1883" s="21">
        <v>650</v>
      </c>
      <c r="F1883" s="21"/>
      <c r="G1883" s="21"/>
      <c r="H1883" s="21"/>
      <c r="I1883" s="22">
        <f t="shared" si="29"/>
        <v>650</v>
      </c>
      <c r="J1883" t="e">
        <f>VLOOKUP(B1883,'[1]KT 광점퍼코드(수익률)'!$A$4:$P$243,16,0)</f>
        <v>#N/A</v>
      </c>
    </row>
    <row r="1884" spans="1:10" ht="15.75" hidden="1" customHeight="1">
      <c r="A1884" s="23">
        <v>1881</v>
      </c>
      <c r="B1884" s="24" t="s">
        <v>2947</v>
      </c>
      <c r="C1884" s="24" t="s">
        <v>1463</v>
      </c>
      <c r="D1884" s="24" t="s">
        <v>1668</v>
      </c>
      <c r="E1884" s="25"/>
      <c r="F1884" s="25">
        <v>3</v>
      </c>
      <c r="G1884" s="25"/>
      <c r="H1884" s="25"/>
      <c r="I1884" s="22">
        <f t="shared" si="29"/>
        <v>3</v>
      </c>
      <c r="J1884" t="e">
        <f>VLOOKUP(B1884,'[1]KT 광점퍼코드(수익률)'!$A$4:$P$243,16,0)</f>
        <v>#N/A</v>
      </c>
    </row>
    <row r="1885" spans="1:10" ht="15.75" hidden="1" customHeight="1">
      <c r="A1885" s="19">
        <v>1882</v>
      </c>
      <c r="B1885" s="20" t="s">
        <v>2948</v>
      </c>
      <c r="C1885" s="20" t="s">
        <v>1466</v>
      </c>
      <c r="D1885" s="20" t="s">
        <v>1578</v>
      </c>
      <c r="E1885" s="21"/>
      <c r="F1885" s="21">
        <v>15</v>
      </c>
      <c r="G1885" s="21"/>
      <c r="H1885" s="21"/>
      <c r="I1885" s="22">
        <f t="shared" si="29"/>
        <v>15</v>
      </c>
      <c r="J1885" t="e">
        <f>VLOOKUP(B1885,'[1]KT 광점퍼코드(수익률)'!$A$4:$P$243,16,0)</f>
        <v>#N/A</v>
      </c>
    </row>
    <row r="1886" spans="1:10" ht="15.75" hidden="1" customHeight="1">
      <c r="A1886" s="23">
        <v>1883</v>
      </c>
      <c r="B1886" s="24" t="s">
        <v>2292</v>
      </c>
      <c r="C1886" s="24" t="s">
        <v>2273</v>
      </c>
      <c r="D1886" s="24" t="s">
        <v>1911</v>
      </c>
      <c r="E1886" s="25">
        <v>60</v>
      </c>
      <c r="F1886" s="25">
        <v>51</v>
      </c>
      <c r="G1886" s="25">
        <v>27</v>
      </c>
      <c r="H1886" s="25">
        <v>6</v>
      </c>
      <c r="I1886" s="22">
        <f t="shared" si="29"/>
        <v>144</v>
      </c>
      <c r="J1886" t="e">
        <f>VLOOKUP(B1886,'[1]KT 광점퍼코드(수익률)'!$A$4:$P$243,16,0)</f>
        <v>#N/A</v>
      </c>
    </row>
    <row r="1887" spans="1:10" ht="15.75" hidden="1" customHeight="1">
      <c r="A1887" s="19">
        <v>1884</v>
      </c>
      <c r="B1887" s="20" t="s">
        <v>2293</v>
      </c>
      <c r="C1887" s="20" t="s">
        <v>2294</v>
      </c>
      <c r="D1887" s="20" t="s">
        <v>1911</v>
      </c>
      <c r="E1887" s="21">
        <v>15</v>
      </c>
      <c r="F1887" s="21">
        <v>3</v>
      </c>
      <c r="G1887" s="21"/>
      <c r="H1887" s="21"/>
      <c r="I1887" s="22">
        <f t="shared" si="29"/>
        <v>18</v>
      </c>
      <c r="J1887" t="e">
        <f>VLOOKUP(B1887,'[1]KT 광점퍼코드(수익률)'!$A$4:$P$243,16,0)</f>
        <v>#N/A</v>
      </c>
    </row>
    <row r="1888" spans="1:10" ht="15.75" hidden="1" customHeight="1">
      <c r="A1888" s="23">
        <v>1885</v>
      </c>
      <c r="B1888" s="24" t="s">
        <v>2295</v>
      </c>
      <c r="C1888" s="24" t="s">
        <v>2294</v>
      </c>
      <c r="D1888" s="24" t="s">
        <v>1913</v>
      </c>
      <c r="E1888" s="25">
        <v>5</v>
      </c>
      <c r="F1888" s="25">
        <v>2</v>
      </c>
      <c r="G1888" s="25">
        <v>1</v>
      </c>
      <c r="H1888" s="25"/>
      <c r="I1888" s="22">
        <f t="shared" si="29"/>
        <v>8</v>
      </c>
      <c r="J1888" t="e">
        <f>VLOOKUP(B1888,'[1]KT 광점퍼코드(수익률)'!$A$4:$P$243,16,0)</f>
        <v>#N/A</v>
      </c>
    </row>
    <row r="1889" spans="1:10" ht="15.75" hidden="1" customHeight="1">
      <c r="A1889" s="19">
        <v>1886</v>
      </c>
      <c r="B1889" s="20" t="s">
        <v>2296</v>
      </c>
      <c r="C1889" s="20" t="s">
        <v>1523</v>
      </c>
      <c r="D1889" s="20" t="s">
        <v>1911</v>
      </c>
      <c r="E1889" s="21">
        <v>100</v>
      </c>
      <c r="F1889" s="21">
        <v>20</v>
      </c>
      <c r="G1889" s="21">
        <v>20</v>
      </c>
      <c r="H1889" s="21"/>
      <c r="I1889" s="22">
        <f t="shared" si="29"/>
        <v>140</v>
      </c>
      <c r="J1889" t="e">
        <f>VLOOKUP(B1889,'[1]KT 광점퍼코드(수익률)'!$A$4:$P$243,16,0)</f>
        <v>#N/A</v>
      </c>
    </row>
    <row r="1890" spans="1:10" ht="15.75" hidden="1" customHeight="1">
      <c r="A1890" s="23">
        <v>1887</v>
      </c>
      <c r="B1890" s="24" t="s">
        <v>2949</v>
      </c>
      <c r="C1890" s="24" t="s">
        <v>2929</v>
      </c>
      <c r="D1890" s="24" t="s">
        <v>1909</v>
      </c>
      <c r="E1890" s="25"/>
      <c r="F1890" s="25">
        <v>21</v>
      </c>
      <c r="G1890" s="25">
        <v>33</v>
      </c>
      <c r="H1890" s="25">
        <v>17</v>
      </c>
      <c r="I1890" s="22">
        <f t="shared" si="29"/>
        <v>71</v>
      </c>
      <c r="J1890" t="e">
        <f>VLOOKUP(B1890,'[1]KT 광점퍼코드(수익률)'!$A$4:$P$243,16,0)</f>
        <v>#N/A</v>
      </c>
    </row>
    <row r="1891" spans="1:10" ht="15.75" hidden="1" customHeight="1">
      <c r="A1891" s="19">
        <v>1888</v>
      </c>
      <c r="B1891" s="20" t="s">
        <v>2297</v>
      </c>
      <c r="C1891" s="20" t="s">
        <v>1510</v>
      </c>
      <c r="D1891" s="20" t="s">
        <v>1927</v>
      </c>
      <c r="E1891" s="21">
        <v>18</v>
      </c>
      <c r="F1891" s="21"/>
      <c r="G1891" s="21"/>
      <c r="H1891" s="21"/>
      <c r="I1891" s="22">
        <f t="shared" si="29"/>
        <v>18</v>
      </c>
      <c r="J1891" t="e">
        <f>VLOOKUP(B1891,'[1]KT 광점퍼코드(수익률)'!$A$4:$P$243,16,0)</f>
        <v>#N/A</v>
      </c>
    </row>
    <row r="1892" spans="1:10" ht="15.75" hidden="1" customHeight="1">
      <c r="A1892" s="23">
        <v>1889</v>
      </c>
      <c r="B1892" s="24" t="s">
        <v>2950</v>
      </c>
      <c r="C1892" s="24" t="s">
        <v>2929</v>
      </c>
      <c r="D1892" s="24" t="s">
        <v>1927</v>
      </c>
      <c r="E1892" s="25"/>
      <c r="F1892" s="25">
        <v>10</v>
      </c>
      <c r="G1892" s="25"/>
      <c r="H1892" s="25"/>
      <c r="I1892" s="22">
        <f t="shared" si="29"/>
        <v>10</v>
      </c>
      <c r="J1892" t="e">
        <f>VLOOKUP(B1892,'[1]KT 광점퍼코드(수익률)'!$A$4:$P$243,16,0)</f>
        <v>#N/A</v>
      </c>
    </row>
    <row r="1893" spans="1:10" ht="15.75" hidden="1" customHeight="1">
      <c r="A1893" s="19">
        <v>1890</v>
      </c>
      <c r="B1893" s="20" t="s">
        <v>2951</v>
      </c>
      <c r="C1893" s="20" t="s">
        <v>2294</v>
      </c>
      <c r="D1893" s="20" t="s">
        <v>1909</v>
      </c>
      <c r="E1893" s="21"/>
      <c r="F1893" s="21">
        <v>2</v>
      </c>
      <c r="G1893" s="21"/>
      <c r="H1893" s="21"/>
      <c r="I1893" s="22">
        <f t="shared" si="29"/>
        <v>2</v>
      </c>
      <c r="J1893" t="e">
        <f>VLOOKUP(B1893,'[1]KT 광점퍼코드(수익률)'!$A$4:$P$243,16,0)</f>
        <v>#N/A</v>
      </c>
    </row>
    <row r="1894" spans="1:10" ht="15.75" hidden="1" customHeight="1">
      <c r="A1894" s="23">
        <v>1891</v>
      </c>
      <c r="B1894" s="24" t="s">
        <v>2952</v>
      </c>
      <c r="C1894" s="24" t="s">
        <v>1523</v>
      </c>
      <c r="D1894" s="24" t="s">
        <v>1913</v>
      </c>
      <c r="E1894" s="25"/>
      <c r="F1894" s="25">
        <v>16</v>
      </c>
      <c r="G1894" s="25"/>
      <c r="H1894" s="25"/>
      <c r="I1894" s="22">
        <f t="shared" si="29"/>
        <v>16</v>
      </c>
      <c r="J1894" t="e">
        <f>VLOOKUP(B1894,'[1]KT 광점퍼코드(수익률)'!$A$4:$P$243,16,0)</f>
        <v>#N/A</v>
      </c>
    </row>
    <row r="1895" spans="1:10" ht="15.75" hidden="1" customHeight="1">
      <c r="A1895" s="19">
        <v>1892</v>
      </c>
      <c r="B1895" s="20" t="s">
        <v>2953</v>
      </c>
      <c r="C1895" s="20" t="s">
        <v>2301</v>
      </c>
      <c r="D1895" s="20" t="s">
        <v>1913</v>
      </c>
      <c r="E1895" s="21"/>
      <c r="F1895" s="21">
        <v>1</v>
      </c>
      <c r="G1895" s="21"/>
      <c r="H1895" s="21"/>
      <c r="I1895" s="22">
        <f t="shared" si="29"/>
        <v>1</v>
      </c>
      <c r="J1895" t="e">
        <f>VLOOKUP(B1895,'[1]KT 광점퍼코드(수익률)'!$A$4:$P$243,16,0)</f>
        <v>#N/A</v>
      </c>
    </row>
    <row r="1896" spans="1:10" ht="15.75" hidden="1" customHeight="1">
      <c r="A1896" s="23">
        <v>1893</v>
      </c>
      <c r="B1896" s="24" t="s">
        <v>3424</v>
      </c>
      <c r="C1896" s="24" t="s">
        <v>1471</v>
      </c>
      <c r="D1896" s="24" t="s">
        <v>1678</v>
      </c>
      <c r="E1896" s="25"/>
      <c r="F1896" s="25"/>
      <c r="G1896" s="25">
        <v>30</v>
      </c>
      <c r="H1896" s="25"/>
      <c r="I1896" s="22">
        <f t="shared" si="29"/>
        <v>30</v>
      </c>
      <c r="J1896" t="e">
        <f>VLOOKUP(B1896,'[1]KT 광점퍼코드(수익률)'!$A$4:$P$243,16,0)</f>
        <v>#N/A</v>
      </c>
    </row>
    <row r="1897" spans="1:10" ht="15.75" hidden="1" customHeight="1">
      <c r="A1897" s="19">
        <v>1894</v>
      </c>
      <c r="B1897" s="20" t="s">
        <v>2954</v>
      </c>
      <c r="C1897" s="20" t="s">
        <v>2929</v>
      </c>
      <c r="D1897" s="20" t="s">
        <v>2955</v>
      </c>
      <c r="E1897" s="21"/>
      <c r="F1897" s="21">
        <v>16</v>
      </c>
      <c r="G1897" s="21"/>
      <c r="H1897" s="21">
        <v>5</v>
      </c>
      <c r="I1897" s="22">
        <f t="shared" si="29"/>
        <v>21</v>
      </c>
      <c r="J1897" t="e">
        <f>VLOOKUP(B1897,'[1]KT 광점퍼코드(수익률)'!$A$4:$P$243,16,0)</f>
        <v>#N/A</v>
      </c>
    </row>
    <row r="1898" spans="1:10" ht="15.75" hidden="1" customHeight="1">
      <c r="A1898" s="23">
        <v>1895</v>
      </c>
      <c r="B1898" s="24" t="s">
        <v>2956</v>
      </c>
      <c r="C1898" s="24" t="s">
        <v>1523</v>
      </c>
      <c r="D1898" s="24" t="s">
        <v>1904</v>
      </c>
      <c r="E1898" s="25"/>
      <c r="F1898" s="25">
        <v>1</v>
      </c>
      <c r="G1898" s="25"/>
      <c r="H1898" s="25"/>
      <c r="I1898" s="22">
        <f t="shared" si="29"/>
        <v>1</v>
      </c>
      <c r="J1898" t="e">
        <f>VLOOKUP(B1898,'[1]KT 광점퍼코드(수익률)'!$A$4:$P$243,16,0)</f>
        <v>#N/A</v>
      </c>
    </row>
    <row r="1899" spans="1:10" ht="15.75" hidden="1" customHeight="1">
      <c r="A1899" s="19">
        <v>1896</v>
      </c>
      <c r="B1899" s="20" t="s">
        <v>2957</v>
      </c>
      <c r="C1899" s="20" t="s">
        <v>2958</v>
      </c>
      <c r="D1899" s="20" t="s">
        <v>1927</v>
      </c>
      <c r="E1899" s="21"/>
      <c r="F1899" s="21">
        <v>10</v>
      </c>
      <c r="G1899" s="21"/>
      <c r="H1899" s="21"/>
      <c r="I1899" s="22">
        <f t="shared" si="29"/>
        <v>10</v>
      </c>
      <c r="J1899" t="e">
        <f>VLOOKUP(B1899,'[1]KT 광점퍼코드(수익률)'!$A$4:$P$243,16,0)</f>
        <v>#N/A</v>
      </c>
    </row>
    <row r="1900" spans="1:10" ht="15.75" hidden="1" customHeight="1">
      <c r="A1900" s="23">
        <v>1897</v>
      </c>
      <c r="B1900" s="24" t="s">
        <v>2959</v>
      </c>
      <c r="C1900" s="24" t="s">
        <v>2958</v>
      </c>
      <c r="D1900" s="24" t="s">
        <v>2960</v>
      </c>
      <c r="E1900" s="25"/>
      <c r="F1900" s="25">
        <v>8</v>
      </c>
      <c r="G1900" s="25"/>
      <c r="H1900" s="25"/>
      <c r="I1900" s="22">
        <f t="shared" si="29"/>
        <v>8</v>
      </c>
      <c r="J1900" t="e">
        <f>VLOOKUP(B1900,'[1]KT 광점퍼코드(수익률)'!$A$4:$P$243,16,0)</f>
        <v>#N/A</v>
      </c>
    </row>
    <row r="1901" spans="1:10" ht="15.75" hidden="1" customHeight="1">
      <c r="A1901" s="19">
        <v>1898</v>
      </c>
      <c r="B1901" s="20" t="s">
        <v>2961</v>
      </c>
      <c r="C1901" s="20" t="s">
        <v>1466</v>
      </c>
      <c r="D1901" s="20" t="s">
        <v>2962</v>
      </c>
      <c r="E1901" s="21"/>
      <c r="F1901" s="21">
        <v>105</v>
      </c>
      <c r="G1901" s="21"/>
      <c r="H1901" s="21"/>
      <c r="I1901" s="22">
        <f t="shared" si="29"/>
        <v>105</v>
      </c>
      <c r="J1901" t="e">
        <f>VLOOKUP(B1901,'[1]KT 광점퍼코드(수익률)'!$A$4:$P$243,16,0)</f>
        <v>#N/A</v>
      </c>
    </row>
    <row r="1902" spans="1:10" ht="15.75" hidden="1" customHeight="1">
      <c r="A1902" s="23">
        <v>1899</v>
      </c>
      <c r="B1902" s="24" t="s">
        <v>2963</v>
      </c>
      <c r="C1902" s="24" t="s">
        <v>362</v>
      </c>
      <c r="D1902" s="24" t="s">
        <v>1685</v>
      </c>
      <c r="E1902" s="25"/>
      <c r="F1902" s="25">
        <v>60</v>
      </c>
      <c r="G1902" s="25"/>
      <c r="H1902" s="25"/>
      <c r="I1902" s="22">
        <f t="shared" si="29"/>
        <v>60</v>
      </c>
      <c r="J1902" t="e">
        <f>VLOOKUP(B1902,'[1]KT 광점퍼코드(수익률)'!$A$4:$P$243,16,0)</f>
        <v>#N/A</v>
      </c>
    </row>
    <row r="1903" spans="1:10" ht="15.75" hidden="1" customHeight="1">
      <c r="A1903" s="19">
        <v>1900</v>
      </c>
      <c r="B1903" s="20" t="s">
        <v>2964</v>
      </c>
      <c r="C1903" s="20" t="s">
        <v>1925</v>
      </c>
      <c r="D1903" s="20" t="s">
        <v>2284</v>
      </c>
      <c r="E1903" s="21"/>
      <c r="F1903" s="21">
        <v>2</v>
      </c>
      <c r="G1903" s="21"/>
      <c r="H1903" s="21"/>
      <c r="I1903" s="22">
        <f t="shared" si="29"/>
        <v>2</v>
      </c>
      <c r="J1903" t="e">
        <f>VLOOKUP(B1903,'[1]KT 광점퍼코드(수익률)'!$A$4:$P$243,16,0)</f>
        <v>#N/A</v>
      </c>
    </row>
    <row r="1904" spans="1:10" ht="15.75" hidden="1" customHeight="1">
      <c r="A1904" s="23">
        <v>1901</v>
      </c>
      <c r="B1904" s="24" t="s">
        <v>2965</v>
      </c>
      <c r="C1904" s="24" t="s">
        <v>362</v>
      </c>
      <c r="D1904" s="24" t="s">
        <v>2110</v>
      </c>
      <c r="E1904" s="25"/>
      <c r="F1904" s="25">
        <v>63</v>
      </c>
      <c r="G1904" s="25"/>
      <c r="H1904" s="25"/>
      <c r="I1904" s="22">
        <f t="shared" si="29"/>
        <v>63</v>
      </c>
      <c r="J1904" t="e">
        <f>VLOOKUP(B1904,'[1]KT 광점퍼코드(수익률)'!$A$4:$P$243,16,0)</f>
        <v>#N/A</v>
      </c>
    </row>
    <row r="1905" spans="1:10" ht="15.75" hidden="1" customHeight="1">
      <c r="A1905" s="19">
        <v>1902</v>
      </c>
      <c r="B1905" s="20" t="s">
        <v>2966</v>
      </c>
      <c r="C1905" s="20" t="s">
        <v>1481</v>
      </c>
      <c r="D1905" s="20" t="s">
        <v>2967</v>
      </c>
      <c r="E1905" s="21"/>
      <c r="F1905" s="21">
        <v>2840</v>
      </c>
      <c r="G1905" s="21"/>
      <c r="H1905" s="21"/>
      <c r="I1905" s="22">
        <f t="shared" si="29"/>
        <v>2840</v>
      </c>
      <c r="J1905" t="e">
        <f>VLOOKUP(B1905,'[1]KT 광점퍼코드(수익률)'!$A$4:$P$243,16,0)</f>
        <v>#N/A</v>
      </c>
    </row>
    <row r="1906" spans="1:10" ht="15.75" hidden="1" customHeight="1">
      <c r="A1906" s="23">
        <v>1903</v>
      </c>
      <c r="B1906" s="24" t="s">
        <v>3425</v>
      </c>
      <c r="C1906" s="24" t="s">
        <v>2929</v>
      </c>
      <c r="D1906" s="24" t="s">
        <v>3426</v>
      </c>
      <c r="E1906" s="25"/>
      <c r="F1906" s="25"/>
      <c r="G1906" s="25">
        <v>20</v>
      </c>
      <c r="H1906" s="25"/>
      <c r="I1906" s="22">
        <f t="shared" si="29"/>
        <v>20</v>
      </c>
      <c r="J1906" t="e">
        <f>VLOOKUP(B1906,'[1]KT 광점퍼코드(수익률)'!$A$4:$P$243,16,0)</f>
        <v>#N/A</v>
      </c>
    </row>
    <row r="1907" spans="1:10" ht="15.75" hidden="1" customHeight="1">
      <c r="A1907" s="19">
        <v>1904</v>
      </c>
      <c r="B1907" s="20" t="s">
        <v>2968</v>
      </c>
      <c r="C1907" s="20" t="s">
        <v>2929</v>
      </c>
      <c r="D1907" s="20" t="s">
        <v>1668</v>
      </c>
      <c r="E1907" s="21"/>
      <c r="F1907" s="21">
        <v>2</v>
      </c>
      <c r="G1907" s="21"/>
      <c r="H1907" s="21"/>
      <c r="I1907" s="22">
        <f t="shared" si="29"/>
        <v>2</v>
      </c>
      <c r="J1907" t="e">
        <f>VLOOKUP(B1907,'[1]KT 광점퍼코드(수익률)'!$A$4:$P$243,16,0)</f>
        <v>#N/A</v>
      </c>
    </row>
    <row r="1908" spans="1:10" ht="15.75" hidden="1" customHeight="1">
      <c r="A1908" s="23">
        <v>1905</v>
      </c>
      <c r="B1908" s="24" t="s">
        <v>3539</v>
      </c>
      <c r="C1908" s="24" t="s">
        <v>2929</v>
      </c>
      <c r="D1908" s="24" t="s">
        <v>1949</v>
      </c>
      <c r="E1908" s="25"/>
      <c r="F1908" s="25"/>
      <c r="G1908" s="25"/>
      <c r="H1908" s="25">
        <v>8</v>
      </c>
      <c r="I1908" s="22">
        <f t="shared" si="29"/>
        <v>8</v>
      </c>
      <c r="J1908" t="e">
        <f>VLOOKUP(B1908,'[1]KT 광점퍼코드(수익률)'!$A$4:$P$243,16,0)</f>
        <v>#N/A</v>
      </c>
    </row>
    <row r="1909" spans="1:10" ht="15.75" hidden="1" customHeight="1">
      <c r="A1909" s="19">
        <v>1906</v>
      </c>
      <c r="B1909" s="20" t="s">
        <v>2969</v>
      </c>
      <c r="C1909" s="20" t="s">
        <v>1489</v>
      </c>
      <c r="D1909" s="20" t="s">
        <v>1783</v>
      </c>
      <c r="E1909" s="21"/>
      <c r="F1909" s="21">
        <v>21</v>
      </c>
      <c r="G1909" s="21"/>
      <c r="H1909" s="21"/>
      <c r="I1909" s="22">
        <f t="shared" si="29"/>
        <v>21</v>
      </c>
      <c r="J1909" t="e">
        <f>VLOOKUP(B1909,'[1]KT 광점퍼코드(수익률)'!$A$4:$P$243,16,0)</f>
        <v>#N/A</v>
      </c>
    </row>
    <row r="1910" spans="1:10" ht="15.75" hidden="1" customHeight="1">
      <c r="A1910" s="23">
        <v>1907</v>
      </c>
      <c r="B1910" s="24" t="s">
        <v>3427</v>
      </c>
      <c r="C1910" s="24" t="s">
        <v>1504</v>
      </c>
      <c r="D1910" s="24" t="s">
        <v>1916</v>
      </c>
      <c r="E1910" s="25"/>
      <c r="F1910" s="25"/>
      <c r="G1910" s="25">
        <v>250</v>
      </c>
      <c r="H1910" s="25"/>
      <c r="I1910" s="22">
        <f t="shared" si="29"/>
        <v>250</v>
      </c>
      <c r="J1910" t="e">
        <f>VLOOKUP(B1910,'[1]KT 광점퍼코드(수익률)'!$A$4:$P$243,16,0)</f>
        <v>#N/A</v>
      </c>
    </row>
    <row r="1911" spans="1:10" ht="15.75" hidden="1" customHeight="1">
      <c r="A1911" s="19">
        <v>1908</v>
      </c>
      <c r="B1911" s="20" t="s">
        <v>3540</v>
      </c>
      <c r="C1911" s="20" t="s">
        <v>1504</v>
      </c>
      <c r="D1911" s="20" t="s">
        <v>3432</v>
      </c>
      <c r="E1911" s="21"/>
      <c r="F1911" s="21"/>
      <c r="G1911" s="21"/>
      <c r="H1911" s="21">
        <v>100</v>
      </c>
      <c r="I1911" s="22">
        <f t="shared" si="29"/>
        <v>100</v>
      </c>
      <c r="J1911" t="e">
        <f>VLOOKUP(B1911,'[1]KT 광점퍼코드(수익률)'!$A$4:$P$243,16,0)</f>
        <v>#N/A</v>
      </c>
    </row>
    <row r="1912" spans="1:10" ht="15.75" hidden="1" customHeight="1">
      <c r="A1912" s="23">
        <v>1909</v>
      </c>
      <c r="B1912" s="24" t="s">
        <v>3428</v>
      </c>
      <c r="C1912" s="24" t="s">
        <v>2273</v>
      </c>
      <c r="D1912" s="24" t="s">
        <v>1678</v>
      </c>
      <c r="E1912" s="25"/>
      <c r="F1912" s="25"/>
      <c r="G1912" s="25">
        <v>2</v>
      </c>
      <c r="H1912" s="25"/>
      <c r="I1912" s="22">
        <f t="shared" si="29"/>
        <v>2</v>
      </c>
      <c r="J1912" t="e">
        <f>VLOOKUP(B1912,'[1]KT 광점퍼코드(수익률)'!$A$4:$P$243,16,0)</f>
        <v>#N/A</v>
      </c>
    </row>
    <row r="1913" spans="1:10" ht="15.75" hidden="1" customHeight="1">
      <c r="A1913" s="19">
        <v>1910</v>
      </c>
      <c r="B1913" s="20" t="s">
        <v>3428</v>
      </c>
      <c r="C1913" s="20" t="s">
        <v>2958</v>
      </c>
      <c r="D1913" s="20" t="s">
        <v>1678</v>
      </c>
      <c r="E1913" s="21"/>
      <c r="F1913" s="21"/>
      <c r="G1913" s="21">
        <v>10</v>
      </c>
      <c r="H1913" s="21"/>
      <c r="I1913" s="22">
        <f t="shared" si="29"/>
        <v>10</v>
      </c>
      <c r="J1913" t="e">
        <f>VLOOKUP(B1913,'[1]KT 광점퍼코드(수익률)'!$A$4:$P$243,16,0)</f>
        <v>#N/A</v>
      </c>
    </row>
    <row r="1914" spans="1:10" ht="15.75" hidden="1" customHeight="1">
      <c r="A1914" s="23">
        <v>1911</v>
      </c>
      <c r="B1914" s="24" t="s">
        <v>3429</v>
      </c>
      <c r="C1914" s="24" t="s">
        <v>2958</v>
      </c>
      <c r="D1914" s="24" t="s">
        <v>1682</v>
      </c>
      <c r="E1914" s="25"/>
      <c r="F1914" s="25"/>
      <c r="G1914" s="25">
        <v>10</v>
      </c>
      <c r="H1914" s="25"/>
      <c r="I1914" s="22">
        <f t="shared" si="29"/>
        <v>10</v>
      </c>
      <c r="J1914" t="e">
        <f>VLOOKUP(B1914,'[1]KT 광점퍼코드(수익률)'!$A$4:$P$243,16,0)</f>
        <v>#N/A</v>
      </c>
    </row>
    <row r="1915" spans="1:10" ht="15.75" hidden="1" customHeight="1">
      <c r="A1915" s="19">
        <v>1912</v>
      </c>
      <c r="B1915" s="20" t="s">
        <v>3430</v>
      </c>
      <c r="C1915" s="20" t="s">
        <v>3431</v>
      </c>
      <c r="D1915" s="20" t="s">
        <v>3432</v>
      </c>
      <c r="E1915" s="21"/>
      <c r="F1915" s="21"/>
      <c r="G1915" s="21">
        <v>2</v>
      </c>
      <c r="H1915" s="21"/>
      <c r="I1915" s="22">
        <f t="shared" si="29"/>
        <v>2</v>
      </c>
      <c r="J1915" t="e">
        <f>VLOOKUP(B1915,'[1]KT 광점퍼코드(수익률)'!$A$4:$P$243,16,0)</f>
        <v>#N/A</v>
      </c>
    </row>
    <row r="1916" spans="1:10" ht="15.75" hidden="1" customHeight="1">
      <c r="A1916" s="23">
        <v>1913</v>
      </c>
      <c r="B1916" s="24" t="s">
        <v>3541</v>
      </c>
      <c r="C1916" s="24" t="s">
        <v>2273</v>
      </c>
      <c r="D1916" s="24" t="s">
        <v>2870</v>
      </c>
      <c r="E1916" s="25"/>
      <c r="F1916" s="25"/>
      <c r="G1916" s="25"/>
      <c r="H1916" s="25">
        <v>5</v>
      </c>
      <c r="I1916" s="22">
        <f t="shared" si="29"/>
        <v>5</v>
      </c>
      <c r="J1916" t="e">
        <f>VLOOKUP(B1916,'[1]KT 광점퍼코드(수익률)'!$A$4:$P$243,16,0)</f>
        <v>#N/A</v>
      </c>
    </row>
    <row r="1917" spans="1:10" ht="15.75" hidden="1" customHeight="1">
      <c r="A1917" s="19">
        <v>1914</v>
      </c>
      <c r="B1917" s="20" t="s">
        <v>3542</v>
      </c>
      <c r="C1917" s="20" t="s">
        <v>1489</v>
      </c>
      <c r="D1917" s="20" t="s">
        <v>1685</v>
      </c>
      <c r="E1917" s="21"/>
      <c r="F1917" s="21"/>
      <c r="G1917" s="21"/>
      <c r="H1917" s="21">
        <v>1</v>
      </c>
      <c r="I1917" s="22">
        <f t="shared" si="29"/>
        <v>1</v>
      </c>
      <c r="J1917" t="e">
        <f>VLOOKUP(B1917,'[1]KT 광점퍼코드(수익률)'!$A$4:$P$243,16,0)</f>
        <v>#N/A</v>
      </c>
    </row>
    <row r="1918" spans="1:10" ht="15.75" hidden="1" customHeight="1">
      <c r="A1918" s="23">
        <v>1915</v>
      </c>
      <c r="B1918" s="24" t="s">
        <v>2298</v>
      </c>
      <c r="C1918" s="24" t="s">
        <v>1460</v>
      </c>
      <c r="D1918" s="24" t="s">
        <v>2118</v>
      </c>
      <c r="E1918" s="25">
        <v>15</v>
      </c>
      <c r="F1918" s="25"/>
      <c r="G1918" s="25"/>
      <c r="H1918" s="25"/>
      <c r="I1918" s="22">
        <f t="shared" si="29"/>
        <v>15</v>
      </c>
      <c r="J1918" t="e">
        <f>VLOOKUP(B1918,'[1]KT 광점퍼코드(수익률)'!$A$4:$P$243,16,0)</f>
        <v>#N/A</v>
      </c>
    </row>
    <row r="1919" spans="1:10" ht="15.75" hidden="1" customHeight="1">
      <c r="A1919" s="19">
        <v>1916</v>
      </c>
      <c r="B1919" s="20" t="s">
        <v>2299</v>
      </c>
      <c r="C1919" s="20" t="s">
        <v>1523</v>
      </c>
      <c r="D1919" s="20" t="s">
        <v>1700</v>
      </c>
      <c r="E1919" s="21">
        <v>100</v>
      </c>
      <c r="F1919" s="21"/>
      <c r="G1919" s="21"/>
      <c r="H1919" s="21"/>
      <c r="I1919" s="22">
        <f t="shared" si="29"/>
        <v>100</v>
      </c>
      <c r="J1919" t="e">
        <f>VLOOKUP(B1919,'[1]KT 광점퍼코드(수익률)'!$A$4:$P$243,16,0)</f>
        <v>#N/A</v>
      </c>
    </row>
    <row r="1920" spans="1:10" ht="15.75" hidden="1" customHeight="1">
      <c r="A1920" s="23">
        <v>1917</v>
      </c>
      <c r="B1920" s="24" t="s">
        <v>2300</v>
      </c>
      <c r="C1920" s="24" t="s">
        <v>2301</v>
      </c>
      <c r="D1920" s="24" t="s">
        <v>2302</v>
      </c>
      <c r="E1920" s="25">
        <v>12</v>
      </c>
      <c r="F1920" s="25"/>
      <c r="G1920" s="25"/>
      <c r="H1920" s="25"/>
      <c r="I1920" s="22">
        <f t="shared" si="29"/>
        <v>12</v>
      </c>
      <c r="J1920" t="e">
        <f>VLOOKUP(B1920,'[1]KT 광점퍼코드(수익률)'!$A$4:$P$243,16,0)</f>
        <v>#N/A</v>
      </c>
    </row>
    <row r="1921" spans="1:10" ht="15.75" hidden="1" customHeight="1">
      <c r="A1921" s="19">
        <v>1918</v>
      </c>
      <c r="B1921" s="20" t="s">
        <v>3433</v>
      </c>
      <c r="C1921" s="20" t="s">
        <v>1510</v>
      </c>
      <c r="D1921" s="20" t="s">
        <v>1913</v>
      </c>
      <c r="E1921" s="21"/>
      <c r="F1921" s="21"/>
      <c r="G1921" s="21">
        <v>10</v>
      </c>
      <c r="H1921" s="21"/>
      <c r="I1921" s="22">
        <f t="shared" si="29"/>
        <v>10</v>
      </c>
      <c r="J1921" t="e">
        <f>VLOOKUP(B1921,'[1]KT 광점퍼코드(수익률)'!$A$4:$P$243,16,0)</f>
        <v>#N/A</v>
      </c>
    </row>
    <row r="1922" spans="1:10" ht="15.75" hidden="1" customHeight="1">
      <c r="A1922" s="23">
        <v>1919</v>
      </c>
      <c r="B1922" s="24" t="s">
        <v>2303</v>
      </c>
      <c r="C1922" s="24" t="s">
        <v>1504</v>
      </c>
      <c r="D1922" s="24" t="s">
        <v>2304</v>
      </c>
      <c r="E1922" s="25">
        <v>1</v>
      </c>
      <c r="F1922" s="25"/>
      <c r="G1922" s="25">
        <v>7</v>
      </c>
      <c r="H1922" s="25">
        <v>10</v>
      </c>
      <c r="I1922" s="22">
        <f t="shared" si="29"/>
        <v>18</v>
      </c>
      <c r="J1922" t="e">
        <f>VLOOKUP(B1922,'[1]KT 광점퍼코드(수익률)'!$A$4:$P$243,16,0)</f>
        <v>#N/A</v>
      </c>
    </row>
    <row r="1923" spans="1:10" ht="15.75" hidden="1" customHeight="1">
      <c r="A1923" s="19">
        <v>1920</v>
      </c>
      <c r="B1923" s="20" t="s">
        <v>2305</v>
      </c>
      <c r="C1923" s="20" t="s">
        <v>1481</v>
      </c>
      <c r="D1923" s="20" t="s">
        <v>20</v>
      </c>
      <c r="E1923" s="21">
        <v>3</v>
      </c>
      <c r="F1923" s="21"/>
      <c r="G1923" s="21">
        <v>2</v>
      </c>
      <c r="H1923" s="21">
        <v>10</v>
      </c>
      <c r="I1923" s="22">
        <f t="shared" si="29"/>
        <v>15</v>
      </c>
      <c r="J1923" t="e">
        <f>VLOOKUP(B1923,'[1]KT 광점퍼코드(수익률)'!$A$4:$P$243,16,0)</f>
        <v>#N/A</v>
      </c>
    </row>
    <row r="1924" spans="1:10" ht="15.75" hidden="1" customHeight="1">
      <c r="A1924" s="23">
        <v>1921</v>
      </c>
      <c r="B1924" s="24" t="s">
        <v>2306</v>
      </c>
      <c r="C1924" s="24" t="s">
        <v>1504</v>
      </c>
      <c r="D1924" s="24" t="s">
        <v>24</v>
      </c>
      <c r="E1924" s="25">
        <v>43</v>
      </c>
      <c r="F1924" s="25">
        <v>13</v>
      </c>
      <c r="G1924" s="25">
        <v>10</v>
      </c>
      <c r="H1924" s="25"/>
      <c r="I1924" s="22">
        <f t="shared" ref="I1924:I1987" si="30">SUM(E1924:H1924)</f>
        <v>66</v>
      </c>
      <c r="J1924" t="e">
        <f>VLOOKUP(B1924,'[1]KT 광점퍼코드(수익률)'!$A$4:$P$243,16,0)</f>
        <v>#N/A</v>
      </c>
    </row>
    <row r="1925" spans="1:10" ht="15.75" hidden="1" customHeight="1">
      <c r="A1925" s="19">
        <v>1922</v>
      </c>
      <c r="B1925" s="20" t="s">
        <v>3543</v>
      </c>
      <c r="C1925" s="20" t="s">
        <v>77</v>
      </c>
      <c r="D1925" s="20" t="s">
        <v>3544</v>
      </c>
      <c r="E1925" s="21"/>
      <c r="F1925" s="21"/>
      <c r="G1925" s="21"/>
      <c r="H1925" s="21">
        <v>100</v>
      </c>
      <c r="I1925" s="22">
        <f t="shared" si="30"/>
        <v>100</v>
      </c>
      <c r="J1925" t="e">
        <f>VLOOKUP(B1925,'[1]KT 광점퍼코드(수익률)'!$A$4:$P$243,16,0)</f>
        <v>#N/A</v>
      </c>
    </row>
    <row r="1926" spans="1:10" ht="15.75" hidden="1" customHeight="1">
      <c r="A1926" s="23">
        <v>1923</v>
      </c>
      <c r="B1926" s="24" t="s">
        <v>3545</v>
      </c>
      <c r="C1926" s="24" t="s">
        <v>93</v>
      </c>
      <c r="D1926" s="24" t="s">
        <v>3544</v>
      </c>
      <c r="E1926" s="25"/>
      <c r="F1926" s="25"/>
      <c r="G1926" s="25"/>
      <c r="H1926" s="25">
        <v>70</v>
      </c>
      <c r="I1926" s="22">
        <f t="shared" si="30"/>
        <v>70</v>
      </c>
      <c r="J1926" t="e">
        <f>VLOOKUP(B1926,'[1]KT 광점퍼코드(수익률)'!$A$4:$P$243,16,0)</f>
        <v>#N/A</v>
      </c>
    </row>
  </sheetData>
  <autoFilter ref="A3:J1926" xr:uid="{00000000-0001-0000-0400-000000000000}">
    <filterColumn colId="9">
      <filters>
        <filter val="10070"/>
        <filter val="10293"/>
        <filter val="10963"/>
        <filter val="11124"/>
        <filter val="1121"/>
        <filter val="1138"/>
        <filter val="1142"/>
        <filter val="1218"/>
        <filter val="1304"/>
        <filter val="1310"/>
        <filter val="1344"/>
        <filter val="1373"/>
        <filter val="1394"/>
        <filter val="1413"/>
        <filter val="1469"/>
        <filter val="1480"/>
        <filter val="15116"/>
        <filter val="1540"/>
        <filter val="1554"/>
        <filter val="1574"/>
        <filter val="1625"/>
        <filter val="1637"/>
        <filter val="1708"/>
        <filter val="1765"/>
        <filter val="1792"/>
        <filter val="1805"/>
        <filter val="1818"/>
        <filter val="1897"/>
        <filter val="1904"/>
        <filter val="1930"/>
        <filter val="1960"/>
        <filter val="1986"/>
        <filter val="20110"/>
        <filter val="2028"/>
        <filter val="2039"/>
        <filter val="2122"/>
        <filter val="2154"/>
        <filter val="2203"/>
        <filter val="2220"/>
        <filter val="2221"/>
        <filter val="2223"/>
        <filter val="2224"/>
        <filter val="2256"/>
        <filter val="2285"/>
        <filter val="2295"/>
        <filter val="2306"/>
        <filter val="2364"/>
        <filter val="2390"/>
        <filter val="24472"/>
        <filter val="2513"/>
        <filter val="2525"/>
        <filter val="2561"/>
        <filter val="2564"/>
        <filter val="2605"/>
        <filter val="2623"/>
        <filter val="2641"/>
        <filter val="2687"/>
        <filter val="2711"/>
        <filter val="2805"/>
        <filter val="2831"/>
        <filter val="2898"/>
        <filter val="2920"/>
        <filter val="2938"/>
        <filter val="2940"/>
        <filter val="2946"/>
        <filter val="2952"/>
        <filter val="2969"/>
        <filter val="2970"/>
        <filter val="3000"/>
        <filter val="3030"/>
        <filter val="3074"/>
        <filter val="3083"/>
        <filter val="3086"/>
        <filter val="3114"/>
        <filter val="3128"/>
        <filter val="3130"/>
        <filter val="3138"/>
        <filter val="31547"/>
        <filter val="3168"/>
        <filter val="3176"/>
        <filter val="3197"/>
        <filter val="3213"/>
        <filter val="3229"/>
        <filter val="3289"/>
        <filter val="3332"/>
        <filter val="3337"/>
        <filter val="3374"/>
        <filter val="3394"/>
        <filter val="3398"/>
        <filter val="3403"/>
        <filter val="3425"/>
        <filter val="3456"/>
        <filter val="3476"/>
        <filter val="3521"/>
        <filter val="3662"/>
        <filter val="3672"/>
        <filter val="37395"/>
        <filter val="3748"/>
        <filter val="3779"/>
        <filter val="3782"/>
        <filter val="3805"/>
        <filter val="3829"/>
        <filter val="3877"/>
        <filter val="4036"/>
        <filter val="4068"/>
        <filter val="4105"/>
        <filter val="4143"/>
        <filter val="4172"/>
        <filter val="4208"/>
        <filter val="4227"/>
        <filter val="4324"/>
        <filter val="4337"/>
        <filter val="44575"/>
        <filter val="4478"/>
        <filter val="4512"/>
        <filter val="4528"/>
        <filter val="4559"/>
        <filter val="4608"/>
        <filter val="4620"/>
        <filter val="4683"/>
        <filter val="4784"/>
        <filter val="4896"/>
        <filter val="4922"/>
        <filter val="4950"/>
        <filter val="4999"/>
        <filter val="5011"/>
        <filter val="5143"/>
        <filter val="5153"/>
        <filter val="51757"/>
        <filter val="5239"/>
        <filter val="5348"/>
        <filter val="5457"/>
        <filter val="5607"/>
        <filter val="5686"/>
        <filter val="5689"/>
        <filter val="5737"/>
        <filter val="5827"/>
        <filter val="5908"/>
        <filter val="6110"/>
        <filter val="6191"/>
        <filter val="6361"/>
        <filter val="6470"/>
        <filter val="6502"/>
        <filter val="6564"/>
        <filter val="6838"/>
        <filter val="6896"/>
        <filter val="7028"/>
        <filter val="7033"/>
        <filter val="7057"/>
        <filter val="7177"/>
        <filter val="7494"/>
        <filter val="7600"/>
        <filter val="7708"/>
        <filter val="7851"/>
        <filter val="7863"/>
        <filter val="7868"/>
        <filter val="8366"/>
        <filter val="8384"/>
        <filter val="8386"/>
        <filter val="8545"/>
        <filter val="8619"/>
        <filter val="8949"/>
        <filter val="9134"/>
        <filter val="9310"/>
        <filter val="9770"/>
      </filters>
    </filterColumn>
  </autoFilter>
  <mergeCells count="1">
    <mergeCell ref="A1:I1"/>
  </mergeCells>
  <phoneticPr fontId="3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57D8-BC2B-44E7-9284-7FF0BDBAB599}">
  <sheetPr codeName="Sheet6">
    <pageSetUpPr fitToPage="1"/>
  </sheetPr>
  <dimension ref="A1:S167"/>
  <sheetViews>
    <sheetView tabSelected="1" workbookViewId="0">
      <pane ySplit="1" topLeftCell="A2" activePane="bottomLeft" state="frozen"/>
      <selection pane="bottomLeft" activeCell="K13" sqref="K13"/>
    </sheetView>
  </sheetViews>
  <sheetFormatPr defaultRowHeight="14.4"/>
  <cols>
    <col min="1" max="1" width="10.6640625" bestFit="1" customWidth="1"/>
    <col min="2" max="2" width="15.6640625" bestFit="1" customWidth="1"/>
    <col min="3" max="3" width="51" bestFit="1" customWidth="1"/>
    <col min="4" max="4" width="23" bestFit="1" customWidth="1"/>
    <col min="5" max="8" width="12.33203125" bestFit="1" customWidth="1"/>
    <col min="9" max="9" width="13" bestFit="1" customWidth="1"/>
    <col min="10" max="10" width="21.109375" customWidth="1"/>
    <col min="11" max="11" width="15.77734375" bestFit="1" customWidth="1"/>
    <col min="12" max="12" width="15.6640625" hidden="1" customWidth="1"/>
    <col min="13" max="13" width="13.44140625" bestFit="1" customWidth="1"/>
    <col min="14" max="14" width="12.5546875" customWidth="1"/>
    <col min="15" max="16" width="12.5546875" hidden="1" customWidth="1"/>
    <col min="17" max="17" width="16.6640625" hidden="1" customWidth="1"/>
    <col min="18" max="18" width="11.33203125" hidden="1" customWidth="1"/>
    <col min="19" max="19" width="18.5546875" bestFit="1" customWidth="1"/>
  </cols>
  <sheetData>
    <row r="1" spans="1:19" ht="26.4">
      <c r="A1" s="155" t="s">
        <v>1</v>
      </c>
      <c r="B1" s="155" t="s">
        <v>2</v>
      </c>
      <c r="C1" s="155" t="s">
        <v>3</v>
      </c>
      <c r="D1" s="155" t="s">
        <v>4</v>
      </c>
      <c r="E1" s="155" t="s">
        <v>3953</v>
      </c>
      <c r="F1" s="155" t="s">
        <v>3954</v>
      </c>
      <c r="G1" s="155" t="s">
        <v>3955</v>
      </c>
      <c r="H1" s="155" t="s">
        <v>3956</v>
      </c>
      <c r="I1" s="155" t="s">
        <v>17</v>
      </c>
      <c r="J1" s="155" t="s">
        <v>3964</v>
      </c>
      <c r="K1" s="155" t="s">
        <v>3958</v>
      </c>
      <c r="L1" s="155" t="s">
        <v>3965</v>
      </c>
      <c r="M1" s="155" t="s">
        <v>3959</v>
      </c>
      <c r="N1" s="155" t="s">
        <v>3960</v>
      </c>
      <c r="O1" s="155" t="s">
        <v>3966</v>
      </c>
      <c r="P1" s="155" t="s">
        <v>3961</v>
      </c>
      <c r="Q1" s="155" t="s">
        <v>3962</v>
      </c>
      <c r="R1" s="155" t="s">
        <v>3963</v>
      </c>
      <c r="S1" s="155" t="s">
        <v>3962</v>
      </c>
    </row>
    <row r="2" spans="1:19">
      <c r="A2" s="156">
        <v>126</v>
      </c>
      <c r="B2" s="157" t="s">
        <v>868</v>
      </c>
      <c r="C2" s="157" t="s">
        <v>869</v>
      </c>
      <c r="D2" s="157" t="s">
        <v>870</v>
      </c>
      <c r="E2" s="158">
        <v>18322</v>
      </c>
      <c r="F2" s="158">
        <v>40364</v>
      </c>
      <c r="G2" s="158">
        <v>21752</v>
      </c>
      <c r="H2" s="158">
        <v>32036</v>
      </c>
      <c r="I2" s="159">
        <v>112474</v>
      </c>
      <c r="J2" s="160">
        <v>1394</v>
      </c>
      <c r="K2" s="160">
        <v>1874</v>
      </c>
      <c r="L2" s="160">
        <v>1664</v>
      </c>
      <c r="M2" s="160">
        <f>J2-K2</f>
        <v>-480</v>
      </c>
      <c r="N2" s="161">
        <f>(J2-K2)/K2</f>
        <v>-0.25613660618996797</v>
      </c>
      <c r="O2" s="162">
        <f>J2-L2</f>
        <v>-270</v>
      </c>
      <c r="P2" s="161">
        <f>(J2-L2)/L2</f>
        <v>-0.16225961538461539</v>
      </c>
      <c r="Q2" s="166">
        <f>L2-K2</f>
        <v>-210</v>
      </c>
      <c r="R2" s="163" t="str">
        <f>IF(Q2&gt;0,"맥산 유리","수입 유리")</f>
        <v>수입 유리</v>
      </c>
      <c r="S2" s="163" t="str">
        <f>Q2&amp;"원"&amp;" "&amp;R2</f>
        <v>-210원 수입 유리</v>
      </c>
    </row>
    <row r="3" spans="1:19">
      <c r="A3" s="156">
        <v>122</v>
      </c>
      <c r="B3" s="157" t="s">
        <v>859</v>
      </c>
      <c r="C3" s="157" t="s">
        <v>860</v>
      </c>
      <c r="D3" s="157" t="s">
        <v>861</v>
      </c>
      <c r="E3" s="158">
        <v>6324</v>
      </c>
      <c r="F3" s="158">
        <v>7548</v>
      </c>
      <c r="G3" s="158">
        <v>5558</v>
      </c>
      <c r="H3" s="158">
        <v>1140</v>
      </c>
      <c r="I3" s="159">
        <v>20570</v>
      </c>
      <c r="J3" s="160">
        <v>1413</v>
      </c>
      <c r="K3" s="160">
        <v>2025</v>
      </c>
      <c r="L3" s="160">
        <v>1728</v>
      </c>
      <c r="M3" s="160">
        <f>J3-K3</f>
        <v>-612</v>
      </c>
      <c r="N3" s="161">
        <f>(J3-K3)/K3</f>
        <v>-0.30222222222222223</v>
      </c>
      <c r="O3" s="162">
        <f>J3-L3</f>
        <v>-315</v>
      </c>
      <c r="P3" s="161">
        <f>(J3-L3)/L3</f>
        <v>-0.18229166666666666</v>
      </c>
      <c r="Q3" s="166">
        <f>L3-K3</f>
        <v>-297</v>
      </c>
      <c r="R3" s="163" t="str">
        <f>IF(Q3&gt;0,"맥산 유리","수입 유리")</f>
        <v>수입 유리</v>
      </c>
      <c r="S3" s="163" t="str">
        <f>Q3&amp;"원"&amp;" "&amp;R3</f>
        <v>-297원 수입 유리</v>
      </c>
    </row>
    <row r="4" spans="1:19">
      <c r="A4" s="156">
        <v>47</v>
      </c>
      <c r="B4" s="157" t="s">
        <v>663</v>
      </c>
      <c r="C4" s="157" t="s">
        <v>367</v>
      </c>
      <c r="D4" s="157" t="s">
        <v>664</v>
      </c>
      <c r="E4" s="158">
        <v>3282</v>
      </c>
      <c r="F4" s="158">
        <v>6947</v>
      </c>
      <c r="G4" s="158">
        <v>3073</v>
      </c>
      <c r="H4" s="158">
        <v>751</v>
      </c>
      <c r="I4" s="159">
        <v>14053</v>
      </c>
      <c r="J4" s="160">
        <v>4784</v>
      </c>
      <c r="K4" s="160">
        <v>5452</v>
      </c>
      <c r="L4" s="160">
        <v>5342</v>
      </c>
      <c r="M4" s="160">
        <f>J4-K4</f>
        <v>-668</v>
      </c>
      <c r="N4" s="161">
        <f>(J4-K4)/K4</f>
        <v>-0.12252384446074835</v>
      </c>
      <c r="O4" s="162">
        <f>J4-L4</f>
        <v>-558</v>
      </c>
      <c r="P4" s="161">
        <f>(J4-L4)/L4</f>
        <v>-0.10445526020217147</v>
      </c>
      <c r="Q4" s="166">
        <f>L4-K4</f>
        <v>-110</v>
      </c>
      <c r="R4" s="163" t="str">
        <f>IF(Q4&gt;0,"맥산 유리","수입 유리")</f>
        <v>수입 유리</v>
      </c>
      <c r="S4" s="163" t="str">
        <f>Q4&amp;"원"&amp;" "&amp;R4</f>
        <v>-110원 수입 유리</v>
      </c>
    </row>
    <row r="5" spans="1:19">
      <c r="A5" s="156">
        <v>83</v>
      </c>
      <c r="B5" s="157" t="s">
        <v>778</v>
      </c>
      <c r="C5" s="157" t="s">
        <v>779</v>
      </c>
      <c r="D5" s="157" t="s">
        <v>780</v>
      </c>
      <c r="E5" s="158">
        <v>5287</v>
      </c>
      <c r="F5" s="158">
        <v>2124</v>
      </c>
      <c r="G5" s="158">
        <v>5527</v>
      </c>
      <c r="H5" s="158">
        <v>956</v>
      </c>
      <c r="I5" s="159">
        <v>13894</v>
      </c>
      <c r="J5" s="160">
        <v>2028</v>
      </c>
      <c r="K5" s="160">
        <v>2777</v>
      </c>
      <c r="L5" s="160">
        <v>2640</v>
      </c>
      <c r="M5" s="160">
        <f>J5-K5</f>
        <v>-749</v>
      </c>
      <c r="N5" s="161">
        <f>(J5-K5)/K5</f>
        <v>-0.26971552034569679</v>
      </c>
      <c r="O5" s="162">
        <f>J5-L5</f>
        <v>-612</v>
      </c>
      <c r="P5" s="161">
        <f>(J5-L5)/L5</f>
        <v>-0.23181818181818181</v>
      </c>
      <c r="Q5" s="166">
        <f>L5-K5</f>
        <v>-137</v>
      </c>
      <c r="R5" s="163" t="str">
        <f>IF(Q5&gt;0,"맥산 유리","수입 유리")</f>
        <v>수입 유리</v>
      </c>
      <c r="S5" s="163" t="str">
        <f>Q5&amp;"원"&amp;" "&amp;R5</f>
        <v>-137원 수입 유리</v>
      </c>
    </row>
    <row r="6" spans="1:19">
      <c r="A6" s="156">
        <v>59</v>
      </c>
      <c r="B6" s="164" t="s">
        <v>699</v>
      </c>
      <c r="C6" s="164" t="s">
        <v>700</v>
      </c>
      <c r="D6" s="164" t="s">
        <v>701</v>
      </c>
      <c r="E6" s="165">
        <v>2739</v>
      </c>
      <c r="F6" s="165">
        <v>6251</v>
      </c>
      <c r="G6" s="165">
        <v>2799</v>
      </c>
      <c r="H6" s="165">
        <v>775</v>
      </c>
      <c r="I6" s="159">
        <v>12564</v>
      </c>
      <c r="J6" s="160">
        <v>3332</v>
      </c>
      <c r="K6" s="160">
        <v>3663</v>
      </c>
      <c r="L6" s="160">
        <v>3111</v>
      </c>
      <c r="M6" s="160">
        <f>J6-K6</f>
        <v>-331</v>
      </c>
      <c r="N6" s="161">
        <f>(J6-K6)/K6</f>
        <v>-9.0363090363090356E-2</v>
      </c>
      <c r="O6" s="162">
        <f>J6-L6</f>
        <v>221</v>
      </c>
      <c r="P6" s="161">
        <f>(J6-L6)/L6</f>
        <v>7.1038251366120214E-2</v>
      </c>
      <c r="Q6" s="166">
        <f>L6-K6</f>
        <v>-552</v>
      </c>
      <c r="R6" s="163" t="str">
        <f>IF(Q6&gt;0,"맥산 유리","수입 유리")</f>
        <v>수입 유리</v>
      </c>
      <c r="S6" s="163" t="str">
        <f>Q6&amp;"원"&amp;" "&amp;R6</f>
        <v>-552원 수입 유리</v>
      </c>
    </row>
    <row r="7" spans="1:19">
      <c r="A7" s="156">
        <v>53</v>
      </c>
      <c r="B7" s="157" t="s">
        <v>683</v>
      </c>
      <c r="C7" s="157" t="s">
        <v>684</v>
      </c>
      <c r="D7" s="157" t="s">
        <v>685</v>
      </c>
      <c r="E7" s="158">
        <v>3093</v>
      </c>
      <c r="F7" s="158">
        <v>3422</v>
      </c>
      <c r="G7" s="158">
        <v>4546</v>
      </c>
      <c r="H7" s="158">
        <v>1178</v>
      </c>
      <c r="I7" s="159">
        <v>12239</v>
      </c>
      <c r="J7" s="160">
        <v>1469</v>
      </c>
      <c r="K7" s="160">
        <v>1770</v>
      </c>
      <c r="L7" s="160">
        <v>1417</v>
      </c>
      <c r="M7" s="160">
        <f>J7-K7</f>
        <v>-301</v>
      </c>
      <c r="N7" s="161">
        <f>(J7-K7)/K7</f>
        <v>-0.17005649717514124</v>
      </c>
      <c r="O7" s="162">
        <f>J7-L7</f>
        <v>52</v>
      </c>
      <c r="P7" s="161">
        <f>(J7-L7)/L7</f>
        <v>3.669724770642202E-2</v>
      </c>
      <c r="Q7" s="166">
        <f>L7-K7</f>
        <v>-353</v>
      </c>
      <c r="R7" s="163" t="str">
        <f>IF(Q7&gt;0,"맥산 유리","수입 유리")</f>
        <v>수입 유리</v>
      </c>
      <c r="S7" s="163" t="str">
        <f>Q7&amp;"원"&amp;" "&amp;R7</f>
        <v>-353원 수입 유리</v>
      </c>
    </row>
    <row r="8" spans="1:19">
      <c r="A8" s="156">
        <v>92</v>
      </c>
      <c r="B8" s="157" t="s">
        <v>801</v>
      </c>
      <c r="C8" s="157" t="s">
        <v>802</v>
      </c>
      <c r="D8" s="157" t="s">
        <v>803</v>
      </c>
      <c r="E8" s="158">
        <v>5373</v>
      </c>
      <c r="F8" s="158">
        <v>2585</v>
      </c>
      <c r="G8" s="158">
        <v>3687</v>
      </c>
      <c r="H8" s="158">
        <v>558</v>
      </c>
      <c r="I8" s="159">
        <v>12203</v>
      </c>
      <c r="J8" s="160">
        <v>2285</v>
      </c>
      <c r="K8" s="160">
        <v>3463</v>
      </c>
      <c r="L8" s="160">
        <v>3338</v>
      </c>
      <c r="M8" s="160">
        <f>J8-K8</f>
        <v>-1178</v>
      </c>
      <c r="N8" s="161">
        <f>(J8-K8)/K8</f>
        <v>-0.34016748483973436</v>
      </c>
      <c r="O8" s="162">
        <f>J8-L8</f>
        <v>-1053</v>
      </c>
      <c r="P8" s="161">
        <f>(J8-L8)/L8</f>
        <v>-0.31545835829838226</v>
      </c>
      <c r="Q8" s="166">
        <f>L8-K8</f>
        <v>-125</v>
      </c>
      <c r="R8" s="163" t="str">
        <f>IF(Q8&gt;0,"맥산 유리","수입 유리")</f>
        <v>수입 유리</v>
      </c>
      <c r="S8" s="163" t="str">
        <f>Q8&amp;"원"&amp;" "&amp;R8</f>
        <v>-125원 수입 유리</v>
      </c>
    </row>
    <row r="9" spans="1:19">
      <c r="A9" s="156">
        <v>104</v>
      </c>
      <c r="B9" s="157" t="s">
        <v>822</v>
      </c>
      <c r="C9" s="157" t="s">
        <v>823</v>
      </c>
      <c r="D9" s="157" t="s">
        <v>824</v>
      </c>
      <c r="E9" s="158">
        <v>4099</v>
      </c>
      <c r="F9" s="158">
        <v>2341</v>
      </c>
      <c r="G9" s="158">
        <v>3087</v>
      </c>
      <c r="H9" s="158">
        <v>521</v>
      </c>
      <c r="I9" s="159">
        <v>10048</v>
      </c>
      <c r="J9" s="160">
        <v>2687</v>
      </c>
      <c r="K9" s="160">
        <v>4077</v>
      </c>
      <c r="L9" s="160">
        <v>4034</v>
      </c>
      <c r="M9" s="160">
        <f>J9-K9</f>
        <v>-1390</v>
      </c>
      <c r="N9" s="161">
        <f>(J9-K9)/K9</f>
        <v>-0.34093696345351976</v>
      </c>
      <c r="O9" s="162">
        <f>J9-L9</f>
        <v>-1347</v>
      </c>
      <c r="P9" s="161">
        <f>(J9-L9)/L9</f>
        <v>-0.33391175012394647</v>
      </c>
      <c r="Q9" s="166">
        <f>L9-K9</f>
        <v>-43</v>
      </c>
      <c r="R9" s="163" t="str">
        <f>IF(Q9&gt;0,"맥산 유리","수입 유리")</f>
        <v>수입 유리</v>
      </c>
      <c r="S9" s="163" t="str">
        <f>Q9&amp;"원"&amp;" "&amp;R9</f>
        <v>-43원 수입 유리</v>
      </c>
    </row>
    <row r="10" spans="1:19">
      <c r="A10" s="156">
        <v>50</v>
      </c>
      <c r="B10" s="157" t="s">
        <v>675</v>
      </c>
      <c r="C10" s="157" t="s">
        <v>370</v>
      </c>
      <c r="D10" s="157" t="s">
        <v>676</v>
      </c>
      <c r="E10" s="158">
        <v>2747</v>
      </c>
      <c r="F10" s="158">
        <v>5507</v>
      </c>
      <c r="G10" s="158">
        <v>897</v>
      </c>
      <c r="H10" s="158">
        <v>384</v>
      </c>
      <c r="I10" s="159">
        <v>9535</v>
      </c>
      <c r="J10" s="160">
        <v>5689</v>
      </c>
      <c r="K10" s="160">
        <v>6624</v>
      </c>
      <c r="L10" s="160">
        <v>6738</v>
      </c>
      <c r="M10" s="160">
        <f>J10-K10</f>
        <v>-935</v>
      </c>
      <c r="N10" s="161">
        <f>(J10-K10)/K10</f>
        <v>-0.14115338164251207</v>
      </c>
      <c r="O10" s="162">
        <f>J10-L10</f>
        <v>-1049</v>
      </c>
      <c r="P10" s="161">
        <f>(J10-L10)/L10</f>
        <v>-0.15568417928168596</v>
      </c>
      <c r="Q10" s="166">
        <f>L10-K10</f>
        <v>114</v>
      </c>
      <c r="R10" s="163" t="str">
        <f>IF(Q10&gt;0,"맥산 유리","수입 유리")</f>
        <v>맥산 유리</v>
      </c>
      <c r="S10" s="163" t="str">
        <f>Q10&amp;"원"&amp;" "&amp;R10</f>
        <v>114원 맥산 유리</v>
      </c>
    </row>
    <row r="11" spans="1:19">
      <c r="A11" s="156">
        <v>82</v>
      </c>
      <c r="B11" s="164" t="s">
        <v>775</v>
      </c>
      <c r="C11" s="164" t="s">
        <v>776</v>
      </c>
      <c r="D11" s="164" t="s">
        <v>777</v>
      </c>
      <c r="E11" s="165">
        <v>4124</v>
      </c>
      <c r="F11" s="165">
        <v>1918</v>
      </c>
      <c r="G11" s="165">
        <v>1611</v>
      </c>
      <c r="H11" s="165">
        <v>1092</v>
      </c>
      <c r="I11" s="159">
        <v>8745</v>
      </c>
      <c r="J11" s="160">
        <v>4036</v>
      </c>
      <c r="K11" s="160">
        <v>5226</v>
      </c>
      <c r="L11" s="160">
        <v>5278</v>
      </c>
      <c r="M11" s="160">
        <f>J11-K11</f>
        <v>-1190</v>
      </c>
      <c r="N11" s="161">
        <f>(J11-K11)/K11</f>
        <v>-0.22770761576731727</v>
      </c>
      <c r="O11" s="162">
        <f>J11-L11</f>
        <v>-1242</v>
      </c>
      <c r="P11" s="161">
        <f>(J11-L11)/L11</f>
        <v>-0.23531640773020082</v>
      </c>
      <c r="Q11" s="166">
        <f>L11-K11</f>
        <v>52</v>
      </c>
      <c r="R11" s="163" t="str">
        <f>IF(Q11&gt;0,"맥산 유리","수입 유리")</f>
        <v>맥산 유리</v>
      </c>
      <c r="S11" s="163" t="str">
        <f>Q11&amp;"원"&amp;" "&amp;R11</f>
        <v>52원 맥산 유리</v>
      </c>
    </row>
    <row r="12" spans="1:19">
      <c r="A12" s="156">
        <v>13</v>
      </c>
      <c r="B12" s="164" t="s">
        <v>557</v>
      </c>
      <c r="C12" s="164" t="s">
        <v>558</v>
      </c>
      <c r="D12" s="164" t="s">
        <v>559</v>
      </c>
      <c r="E12" s="165">
        <v>3770</v>
      </c>
      <c r="F12" s="165">
        <v>1651</v>
      </c>
      <c r="G12" s="165">
        <v>2622</v>
      </c>
      <c r="H12" s="165">
        <v>249</v>
      </c>
      <c r="I12" s="159">
        <v>8292</v>
      </c>
      <c r="J12" s="160">
        <v>4512</v>
      </c>
      <c r="K12" s="160">
        <v>5535</v>
      </c>
      <c r="L12" s="160">
        <v>5408</v>
      </c>
      <c r="M12" s="160">
        <f>J12-K12</f>
        <v>-1023</v>
      </c>
      <c r="N12" s="161">
        <f>(J12-K12)/K12</f>
        <v>-0.18482384823848239</v>
      </c>
      <c r="O12" s="162">
        <f>J12-L12</f>
        <v>-896</v>
      </c>
      <c r="P12" s="161">
        <f>(J12-L12)/L12</f>
        <v>-0.16568047337278108</v>
      </c>
      <c r="Q12" s="166">
        <f>L12-K12</f>
        <v>-127</v>
      </c>
      <c r="R12" s="163" t="str">
        <f>IF(Q12&gt;0,"맥산 유리","수입 유리")</f>
        <v>수입 유리</v>
      </c>
      <c r="S12" s="163" t="str">
        <f>Q12&amp;"원"&amp;" "&amp;R12</f>
        <v>-127원 수입 유리</v>
      </c>
    </row>
    <row r="13" spans="1:19">
      <c r="A13" s="156">
        <v>55</v>
      </c>
      <c r="B13" s="164" t="s">
        <v>689</v>
      </c>
      <c r="C13" s="164" t="s">
        <v>351</v>
      </c>
      <c r="D13" s="164" t="s">
        <v>690</v>
      </c>
      <c r="E13" s="165">
        <v>2536</v>
      </c>
      <c r="F13" s="165">
        <v>2431</v>
      </c>
      <c r="G13" s="165">
        <v>2486</v>
      </c>
      <c r="H13" s="165">
        <v>655</v>
      </c>
      <c r="I13" s="159">
        <v>8108</v>
      </c>
      <c r="J13" s="160">
        <v>6110</v>
      </c>
      <c r="K13" s="160">
        <v>7724</v>
      </c>
      <c r="L13" s="160">
        <v>8132</v>
      </c>
      <c r="M13" s="160">
        <f>J13-K13</f>
        <v>-1614</v>
      </c>
      <c r="N13" s="161">
        <f>(J13-K13)/K13</f>
        <v>-0.20895908855515277</v>
      </c>
      <c r="O13" s="162">
        <f>J13-L13</f>
        <v>-2022</v>
      </c>
      <c r="P13" s="161">
        <f>(J13-L13)/L13</f>
        <v>-0.24864731923266109</v>
      </c>
      <c r="Q13" s="166">
        <f>L13-K13</f>
        <v>408</v>
      </c>
      <c r="R13" s="163" t="str">
        <f>IF(Q13&gt;0,"맥산 유리","수입 유리")</f>
        <v>맥산 유리</v>
      </c>
      <c r="S13" s="163" t="str">
        <f>Q13&amp;"원"&amp;" "&amp;R13</f>
        <v>408원 맥산 유리</v>
      </c>
    </row>
    <row r="14" spans="1:19">
      <c r="A14" s="156">
        <v>15</v>
      </c>
      <c r="B14" s="157" t="s">
        <v>567</v>
      </c>
      <c r="C14" s="157" t="s">
        <v>568</v>
      </c>
      <c r="D14" s="157" t="s">
        <v>569</v>
      </c>
      <c r="E14" s="158">
        <v>3372</v>
      </c>
      <c r="F14" s="158">
        <v>1542</v>
      </c>
      <c r="G14" s="158">
        <v>2807</v>
      </c>
      <c r="H14" s="158">
        <v>249</v>
      </c>
      <c r="I14" s="159">
        <v>7970</v>
      </c>
      <c r="J14" s="160">
        <v>5348</v>
      </c>
      <c r="K14" s="160">
        <v>6707</v>
      </c>
      <c r="L14" s="160">
        <v>6802</v>
      </c>
      <c r="M14" s="160">
        <f>J14-K14</f>
        <v>-1359</v>
      </c>
      <c r="N14" s="161">
        <f>(J14-K14)/K14</f>
        <v>-0.20262412404950053</v>
      </c>
      <c r="O14" s="162">
        <f>J14-L14</f>
        <v>-1454</v>
      </c>
      <c r="P14" s="161">
        <f>(J14-L14)/L14</f>
        <v>-0.21376065862981475</v>
      </c>
      <c r="Q14" s="166">
        <f>L14-K14</f>
        <v>95</v>
      </c>
      <c r="R14" s="163" t="str">
        <f>IF(Q14&gt;0,"맥산 유리","수입 유리")</f>
        <v>맥산 유리</v>
      </c>
      <c r="S14" s="163" t="str">
        <f>Q14&amp;"원"&amp;" "&amp;R14</f>
        <v>95원 맥산 유리</v>
      </c>
    </row>
    <row r="15" spans="1:19">
      <c r="A15" s="156">
        <v>91</v>
      </c>
      <c r="B15" s="164" t="s">
        <v>798</v>
      </c>
      <c r="C15" s="164" t="s">
        <v>799</v>
      </c>
      <c r="D15" s="164" t="s">
        <v>800</v>
      </c>
      <c r="E15" s="165">
        <v>4368</v>
      </c>
      <c r="F15" s="165">
        <v>1080</v>
      </c>
      <c r="G15" s="165">
        <v>782</v>
      </c>
      <c r="H15" s="165">
        <v>710</v>
      </c>
      <c r="I15" s="159">
        <v>6940</v>
      </c>
      <c r="J15" s="160">
        <v>4896</v>
      </c>
      <c r="K15" s="160">
        <v>6398</v>
      </c>
      <c r="L15" s="160">
        <v>6672</v>
      </c>
      <c r="M15" s="160">
        <f>J15-K15</f>
        <v>-1502</v>
      </c>
      <c r="N15" s="161">
        <f>(J15-K15)/K15</f>
        <v>-0.2347608627696155</v>
      </c>
      <c r="O15" s="162">
        <f>J15-L15</f>
        <v>-1776</v>
      </c>
      <c r="P15" s="161">
        <f>(J15-L15)/L15</f>
        <v>-0.26618705035971224</v>
      </c>
      <c r="Q15" s="166">
        <f>L15-K15</f>
        <v>274</v>
      </c>
      <c r="R15" s="163" t="str">
        <f>IF(Q15&gt;0,"맥산 유리","수입 유리")</f>
        <v>맥산 유리</v>
      </c>
      <c r="S15" s="163" t="str">
        <f>Q15&amp;"원"&amp;" "&amp;R15</f>
        <v>274원 맥산 유리</v>
      </c>
    </row>
    <row r="16" spans="1:19">
      <c r="A16" s="156">
        <v>100</v>
      </c>
      <c r="B16" s="157" t="s">
        <v>813</v>
      </c>
      <c r="C16" s="157" t="s">
        <v>814</v>
      </c>
      <c r="D16" s="157" t="s">
        <v>815</v>
      </c>
      <c r="E16" s="158">
        <v>4815</v>
      </c>
      <c r="F16" s="158">
        <v>275</v>
      </c>
      <c r="G16" s="158">
        <v>1071</v>
      </c>
      <c r="H16" s="158">
        <v>764</v>
      </c>
      <c r="I16" s="159">
        <v>6925</v>
      </c>
      <c r="J16" s="160">
        <v>1121</v>
      </c>
      <c r="K16" s="160">
        <v>1657</v>
      </c>
      <c r="L16" s="160">
        <v>1385</v>
      </c>
      <c r="M16" s="160">
        <f>J16-K16</f>
        <v>-536</v>
      </c>
      <c r="N16" s="161">
        <f>(J16-K16)/K16</f>
        <v>-0.32347616173808086</v>
      </c>
      <c r="O16" s="162">
        <f>J16-L16</f>
        <v>-264</v>
      </c>
      <c r="P16" s="161">
        <f>(J16-L16)/L16</f>
        <v>-0.19061371841155234</v>
      </c>
      <c r="Q16" s="166">
        <f>L16-K16</f>
        <v>-272</v>
      </c>
      <c r="R16" s="163" t="str">
        <f>IF(Q16&gt;0,"맥산 유리","수입 유리")</f>
        <v>수입 유리</v>
      </c>
      <c r="S16" s="163" t="str">
        <f>Q16&amp;"원"&amp;" "&amp;R16</f>
        <v>-272원 수입 유리</v>
      </c>
    </row>
    <row r="17" spans="1:19">
      <c r="A17" s="156">
        <v>74</v>
      </c>
      <c r="B17" s="157" t="s">
        <v>743</v>
      </c>
      <c r="C17" s="157" t="s">
        <v>744</v>
      </c>
      <c r="D17" s="157" t="s">
        <v>745</v>
      </c>
      <c r="E17" s="158">
        <v>1542</v>
      </c>
      <c r="F17" s="158">
        <v>1240</v>
      </c>
      <c r="G17" s="158">
        <v>2734</v>
      </c>
      <c r="H17" s="158">
        <v>864</v>
      </c>
      <c r="I17" s="159">
        <v>6380</v>
      </c>
      <c r="J17" s="160">
        <v>3877</v>
      </c>
      <c r="K17" s="160">
        <v>4280</v>
      </c>
      <c r="L17" s="160">
        <v>3948</v>
      </c>
      <c r="M17" s="160">
        <f>J17-K17</f>
        <v>-403</v>
      </c>
      <c r="N17" s="161">
        <f>(J17-K17)/K17</f>
        <v>-9.4158878504672902E-2</v>
      </c>
      <c r="O17" s="162">
        <f>J17-L17</f>
        <v>-71</v>
      </c>
      <c r="P17" s="161">
        <f>(J17-L17)/L17</f>
        <v>-1.7983789260385005E-2</v>
      </c>
      <c r="Q17" s="166">
        <f>L17-K17</f>
        <v>-332</v>
      </c>
      <c r="R17" s="163" t="str">
        <f>IF(Q17&gt;0,"맥산 유리","수입 유리")</f>
        <v>수입 유리</v>
      </c>
      <c r="S17" s="163" t="str">
        <f>Q17&amp;"원"&amp;" "&amp;R17</f>
        <v>-332원 수입 유리</v>
      </c>
    </row>
    <row r="18" spans="1:19">
      <c r="A18" s="156">
        <v>19</v>
      </c>
      <c r="B18" s="164" t="s">
        <v>576</v>
      </c>
      <c r="C18" s="164" t="s">
        <v>354</v>
      </c>
      <c r="D18" s="164" t="s">
        <v>577</v>
      </c>
      <c r="E18" s="165">
        <v>2090</v>
      </c>
      <c r="F18" s="165">
        <v>1687</v>
      </c>
      <c r="G18" s="165">
        <v>1562</v>
      </c>
      <c r="H18" s="165">
        <v>60</v>
      </c>
      <c r="I18" s="159">
        <v>5399</v>
      </c>
      <c r="J18" s="160">
        <v>6191</v>
      </c>
      <c r="K18" s="160">
        <v>7807</v>
      </c>
      <c r="L18" s="160">
        <v>8196</v>
      </c>
      <c r="M18" s="160">
        <f>J18-K18</f>
        <v>-1616</v>
      </c>
      <c r="N18" s="161">
        <f>(J18-K18)/K18</f>
        <v>-0.20699372358140131</v>
      </c>
      <c r="O18" s="162">
        <f>J18-L18</f>
        <v>-2005</v>
      </c>
      <c r="P18" s="161">
        <f>(J18-L18)/L18</f>
        <v>-0.24463152757442655</v>
      </c>
      <c r="Q18" s="166">
        <f>L18-K18</f>
        <v>389</v>
      </c>
      <c r="R18" s="163" t="str">
        <f>IF(Q18&gt;0,"맥산 유리","수입 유리")</f>
        <v>맥산 유리</v>
      </c>
      <c r="S18" s="163" t="str">
        <f>Q18&amp;"원"&amp;" "&amp;R18</f>
        <v>389원 맥산 유리</v>
      </c>
    </row>
    <row r="19" spans="1:19">
      <c r="A19" s="156">
        <v>52</v>
      </c>
      <c r="B19" s="164" t="s">
        <v>680</v>
      </c>
      <c r="C19" s="164" t="s">
        <v>681</v>
      </c>
      <c r="D19" s="164" t="s">
        <v>682</v>
      </c>
      <c r="E19" s="165">
        <v>2101</v>
      </c>
      <c r="F19" s="165">
        <v>1300</v>
      </c>
      <c r="G19" s="165">
        <v>1235</v>
      </c>
      <c r="H19" s="165">
        <v>671</v>
      </c>
      <c r="I19" s="159">
        <v>5307</v>
      </c>
      <c r="J19" s="160">
        <v>2920</v>
      </c>
      <c r="K19" s="160">
        <v>3457</v>
      </c>
      <c r="L19" s="160">
        <v>2833</v>
      </c>
      <c r="M19" s="160">
        <f>J19-K19</f>
        <v>-537</v>
      </c>
      <c r="N19" s="161">
        <f>(J19-K19)/K19</f>
        <v>-0.15533699739658663</v>
      </c>
      <c r="O19" s="162">
        <f>J19-L19</f>
        <v>87</v>
      </c>
      <c r="P19" s="161">
        <f>(J19-L19)/L19</f>
        <v>3.0709495234733496E-2</v>
      </c>
      <c r="Q19" s="166">
        <f>L19-K19</f>
        <v>-624</v>
      </c>
      <c r="R19" s="163" t="str">
        <f>IF(Q19&gt;0,"맥산 유리","수입 유리")</f>
        <v>수입 유리</v>
      </c>
      <c r="S19" s="163" t="str">
        <f>Q19&amp;"원"&amp;" "&amp;R19</f>
        <v>-624원 수입 유리</v>
      </c>
    </row>
    <row r="20" spans="1:19">
      <c r="A20" s="156">
        <v>103</v>
      </c>
      <c r="B20" s="164" t="s">
        <v>819</v>
      </c>
      <c r="C20" s="164" t="s">
        <v>820</v>
      </c>
      <c r="D20" s="164" t="s">
        <v>821</v>
      </c>
      <c r="E20" s="165">
        <v>2234</v>
      </c>
      <c r="F20" s="165">
        <v>1406</v>
      </c>
      <c r="G20" s="165">
        <v>901</v>
      </c>
      <c r="H20" s="165">
        <v>755</v>
      </c>
      <c r="I20" s="159">
        <v>5296</v>
      </c>
      <c r="J20" s="160">
        <v>5737</v>
      </c>
      <c r="K20" s="160">
        <v>7498</v>
      </c>
      <c r="L20" s="160">
        <v>8068</v>
      </c>
      <c r="M20" s="160">
        <f>J20-K20</f>
        <v>-1761</v>
      </c>
      <c r="N20" s="161">
        <f>(J20-K20)/K20</f>
        <v>-0.23486263003467592</v>
      </c>
      <c r="O20" s="162">
        <f>J20-L20</f>
        <v>-2331</v>
      </c>
      <c r="P20" s="161">
        <f>(J20-L20)/L20</f>
        <v>-0.28891918691125434</v>
      </c>
      <c r="Q20" s="166">
        <f>L20-K20</f>
        <v>570</v>
      </c>
      <c r="R20" s="163" t="str">
        <f>IF(Q20&gt;0,"맥산 유리","수입 유리")</f>
        <v>맥산 유리</v>
      </c>
      <c r="S20" s="163" t="str">
        <f>Q20&amp;"원"&amp;" "&amp;R20</f>
        <v>570원 맥산 유리</v>
      </c>
    </row>
    <row r="21" spans="1:19">
      <c r="A21" s="156">
        <v>58</v>
      </c>
      <c r="B21" s="164" t="s">
        <v>696</v>
      </c>
      <c r="C21" s="164" t="s">
        <v>697</v>
      </c>
      <c r="D21" s="164" t="s">
        <v>698</v>
      </c>
      <c r="E21" s="165">
        <v>1851</v>
      </c>
      <c r="F21" s="165">
        <v>2333</v>
      </c>
      <c r="G21" s="165">
        <v>802</v>
      </c>
      <c r="H21" s="165">
        <v>128</v>
      </c>
      <c r="I21" s="159">
        <v>5114</v>
      </c>
      <c r="J21" s="160">
        <v>3403</v>
      </c>
      <c r="K21" s="160">
        <v>4876</v>
      </c>
      <c r="L21" s="160">
        <v>4764</v>
      </c>
      <c r="M21" s="160">
        <f>J21-K21</f>
        <v>-1473</v>
      </c>
      <c r="N21" s="161">
        <f>(J21-K21)/K21</f>
        <v>-0.30209187858900738</v>
      </c>
      <c r="O21" s="162">
        <f>J21-L21</f>
        <v>-1361</v>
      </c>
      <c r="P21" s="161">
        <f>(J21-L21)/L21</f>
        <v>-0.28568429890848029</v>
      </c>
      <c r="Q21" s="166">
        <f>L21-K21</f>
        <v>-112</v>
      </c>
      <c r="R21" s="163" t="str">
        <f>IF(Q21&gt;0,"맥산 유리","수입 유리")</f>
        <v>수입 유리</v>
      </c>
      <c r="S21" s="163" t="str">
        <f>Q21&amp;"원"&amp;" "&amp;R21</f>
        <v>-112원 수입 유리</v>
      </c>
    </row>
    <row r="22" spans="1:19">
      <c r="A22" s="156">
        <v>138</v>
      </c>
      <c r="B22" s="164" t="s">
        <v>898</v>
      </c>
      <c r="C22" s="164" t="s">
        <v>899</v>
      </c>
      <c r="D22" s="164" t="s">
        <v>900</v>
      </c>
      <c r="E22" s="165">
        <v>1125</v>
      </c>
      <c r="F22" s="165">
        <v>1586</v>
      </c>
      <c r="G22" s="165">
        <v>1815</v>
      </c>
      <c r="H22" s="165">
        <v>518</v>
      </c>
      <c r="I22" s="159">
        <v>5044</v>
      </c>
      <c r="J22" s="160">
        <v>1574</v>
      </c>
      <c r="K22" s="160">
        <v>2091</v>
      </c>
      <c r="L22" s="160">
        <v>1942</v>
      </c>
      <c r="M22" s="160">
        <f>J22-K22</f>
        <v>-517</v>
      </c>
      <c r="N22" s="161">
        <f>(J22-K22)/K22</f>
        <v>-0.24725011956001913</v>
      </c>
      <c r="O22" s="162">
        <f>J22-L22</f>
        <v>-368</v>
      </c>
      <c r="P22" s="161">
        <f>(J22-L22)/L22</f>
        <v>-0.18949536560247168</v>
      </c>
      <c r="Q22" s="166">
        <f>L22-K22</f>
        <v>-149</v>
      </c>
      <c r="R22" s="163" t="str">
        <f>IF(Q22&gt;0,"맥산 유리","수입 유리")</f>
        <v>수입 유리</v>
      </c>
      <c r="S22" s="163" t="str">
        <f>Q22&amp;"원"&amp;" "&amp;R22</f>
        <v>-149원 수입 유리</v>
      </c>
    </row>
    <row r="23" spans="1:19">
      <c r="A23" s="156">
        <v>51</v>
      </c>
      <c r="B23" s="164" t="s">
        <v>677</v>
      </c>
      <c r="C23" s="164" t="s">
        <v>678</v>
      </c>
      <c r="D23" s="164" t="s">
        <v>679</v>
      </c>
      <c r="E23" s="165">
        <v>979</v>
      </c>
      <c r="F23" s="165">
        <v>900</v>
      </c>
      <c r="G23" s="165">
        <v>2582</v>
      </c>
      <c r="H23" s="165">
        <v>384</v>
      </c>
      <c r="I23" s="159">
        <v>4845</v>
      </c>
      <c r="J23" s="160">
        <v>2623</v>
      </c>
      <c r="K23" s="160">
        <v>3576</v>
      </c>
      <c r="L23" s="160">
        <v>3370</v>
      </c>
      <c r="M23" s="160">
        <f>J23-K23</f>
        <v>-953</v>
      </c>
      <c r="N23" s="161">
        <f>(J23-K23)/K23</f>
        <v>-0.26649888143176736</v>
      </c>
      <c r="O23" s="162">
        <f>J23-L23</f>
        <v>-747</v>
      </c>
      <c r="P23" s="161">
        <f>(J23-L23)/L23</f>
        <v>-0.22166172106824925</v>
      </c>
      <c r="Q23" s="166">
        <f>L23-K23</f>
        <v>-206</v>
      </c>
      <c r="R23" s="163" t="str">
        <f>IF(Q23&gt;0,"맥산 유리","수입 유리")</f>
        <v>수입 유리</v>
      </c>
      <c r="S23" s="163" t="str">
        <f>Q23&amp;"원"&amp;" "&amp;R23</f>
        <v>-206원 수입 유리</v>
      </c>
    </row>
    <row r="24" spans="1:19">
      <c r="A24" s="156">
        <v>57</v>
      </c>
      <c r="B24" s="157" t="s">
        <v>694</v>
      </c>
      <c r="C24" s="157" t="s">
        <v>357</v>
      </c>
      <c r="D24" s="157" t="s">
        <v>695</v>
      </c>
      <c r="E24" s="158">
        <v>1545</v>
      </c>
      <c r="F24" s="158">
        <v>1499</v>
      </c>
      <c r="G24" s="158">
        <v>1425</v>
      </c>
      <c r="H24" s="158">
        <v>302</v>
      </c>
      <c r="I24" s="159">
        <v>4771</v>
      </c>
      <c r="J24" s="160">
        <v>7494</v>
      </c>
      <c r="K24" s="160">
        <v>8896</v>
      </c>
      <c r="L24" s="160">
        <v>9526</v>
      </c>
      <c r="M24" s="160">
        <f>J24-K24</f>
        <v>-1402</v>
      </c>
      <c r="N24" s="161">
        <f>(J24-K24)/K24</f>
        <v>-0.15759892086330934</v>
      </c>
      <c r="O24" s="162">
        <f>J24-L24</f>
        <v>-2032</v>
      </c>
      <c r="P24" s="161">
        <f>(J24-L24)/L24</f>
        <v>-0.21331093848414864</v>
      </c>
      <c r="Q24" s="166">
        <f>L24-K24</f>
        <v>630</v>
      </c>
      <c r="R24" s="163" t="str">
        <f>IF(Q24&gt;0,"맥산 유리","수입 유리")</f>
        <v>맥산 유리</v>
      </c>
      <c r="S24" s="163" t="str">
        <f>Q24&amp;"원"&amp;" "&amp;R24</f>
        <v>630원 맥산 유리</v>
      </c>
    </row>
    <row r="25" spans="1:19">
      <c r="A25" s="156">
        <v>48</v>
      </c>
      <c r="B25" s="164" t="s">
        <v>665</v>
      </c>
      <c r="C25" s="164" t="s">
        <v>666</v>
      </c>
      <c r="D25" s="164" t="s">
        <v>667</v>
      </c>
      <c r="E25" s="165">
        <v>951</v>
      </c>
      <c r="F25" s="165">
        <v>771</v>
      </c>
      <c r="G25" s="165">
        <v>1814</v>
      </c>
      <c r="H25" s="165">
        <v>795</v>
      </c>
      <c r="I25" s="159">
        <v>4331</v>
      </c>
      <c r="J25" s="160">
        <v>2220</v>
      </c>
      <c r="K25" s="160">
        <v>2890</v>
      </c>
      <c r="L25" s="160">
        <v>2672</v>
      </c>
      <c r="M25" s="160">
        <f>J25-K25</f>
        <v>-670</v>
      </c>
      <c r="N25" s="161">
        <f>(J25-K25)/K25</f>
        <v>-0.23183391003460208</v>
      </c>
      <c r="O25" s="162">
        <f>J25-L25</f>
        <v>-452</v>
      </c>
      <c r="P25" s="161">
        <f>(J25-L25)/L25</f>
        <v>-0.16916167664670659</v>
      </c>
      <c r="Q25" s="166">
        <f>L25-K25</f>
        <v>-218</v>
      </c>
      <c r="R25" s="163" t="str">
        <f>IF(Q25&gt;0,"맥산 유리","수입 유리")</f>
        <v>수입 유리</v>
      </c>
      <c r="S25" s="163" t="str">
        <f>Q25&amp;"원"&amp;" "&amp;R25</f>
        <v>-218원 수입 유리</v>
      </c>
    </row>
    <row r="26" spans="1:19">
      <c r="A26" s="156">
        <v>56</v>
      </c>
      <c r="B26" s="157" t="s">
        <v>691</v>
      </c>
      <c r="C26" s="157" t="s">
        <v>692</v>
      </c>
      <c r="D26" s="157" t="s">
        <v>693</v>
      </c>
      <c r="E26" s="158">
        <v>909</v>
      </c>
      <c r="F26" s="158">
        <v>1309</v>
      </c>
      <c r="G26" s="158">
        <v>1462</v>
      </c>
      <c r="H26" s="158">
        <v>319</v>
      </c>
      <c r="I26" s="159">
        <v>3999</v>
      </c>
      <c r="J26" s="160">
        <v>3030</v>
      </c>
      <c r="K26" s="160">
        <v>4190</v>
      </c>
      <c r="L26" s="160">
        <v>4066</v>
      </c>
      <c r="M26" s="160">
        <f>J26-K26</f>
        <v>-1160</v>
      </c>
      <c r="N26" s="161">
        <f>(J26-K26)/K26</f>
        <v>-0.27684964200477324</v>
      </c>
      <c r="O26" s="162">
        <f>J26-L26</f>
        <v>-1036</v>
      </c>
      <c r="P26" s="161">
        <f>(J26-L26)/L26</f>
        <v>-0.25479586817511068</v>
      </c>
      <c r="Q26" s="166">
        <f>L26-K26</f>
        <v>-124</v>
      </c>
      <c r="R26" s="163" t="str">
        <f>IF(Q26&gt;0,"맥산 유리","수입 유리")</f>
        <v>수입 유리</v>
      </c>
      <c r="S26" s="163" t="str">
        <f>Q26&amp;"원"&amp;" "&amp;R26</f>
        <v>-124원 수입 유리</v>
      </c>
    </row>
    <row r="27" spans="1:19">
      <c r="A27" s="156">
        <v>110</v>
      </c>
      <c r="B27" s="164" t="s">
        <v>834</v>
      </c>
      <c r="C27" s="164" t="s">
        <v>835</v>
      </c>
      <c r="D27" s="164" t="s">
        <v>836</v>
      </c>
      <c r="E27" s="165">
        <v>2032</v>
      </c>
      <c r="F27" s="165">
        <v>478</v>
      </c>
      <c r="G27" s="165">
        <v>1302</v>
      </c>
      <c r="H27" s="165">
        <v>182</v>
      </c>
      <c r="I27" s="159">
        <v>3994</v>
      </c>
      <c r="J27" s="160">
        <v>3086</v>
      </c>
      <c r="K27" s="160">
        <v>4763</v>
      </c>
      <c r="L27" s="160">
        <v>4732</v>
      </c>
      <c r="M27" s="160">
        <f>J27-K27</f>
        <v>-1677</v>
      </c>
      <c r="N27" s="161">
        <f>(J27-K27)/K27</f>
        <v>-0.35208901952550914</v>
      </c>
      <c r="O27" s="162">
        <f>J27-L27</f>
        <v>-1646</v>
      </c>
      <c r="P27" s="161">
        <f>(J27-L27)/L27</f>
        <v>-0.34784446322907864</v>
      </c>
      <c r="Q27" s="166">
        <f>L27-K27</f>
        <v>-31</v>
      </c>
      <c r="R27" s="163" t="str">
        <f>IF(Q27&gt;0,"맥산 유리","수입 유리")</f>
        <v>수입 유리</v>
      </c>
      <c r="S27" s="163" t="str">
        <f>Q27&amp;"원"&amp;" "&amp;R27</f>
        <v>-31원 수입 유리</v>
      </c>
    </row>
    <row r="28" spans="1:19">
      <c r="A28" s="156">
        <v>137</v>
      </c>
      <c r="B28" s="157" t="s">
        <v>895</v>
      </c>
      <c r="C28" s="157" t="s">
        <v>896</v>
      </c>
      <c r="D28" s="157" t="s">
        <v>897</v>
      </c>
      <c r="E28" s="158">
        <v>1653</v>
      </c>
      <c r="F28" s="158">
        <v>646</v>
      </c>
      <c r="G28" s="158">
        <v>463</v>
      </c>
      <c r="H28" s="158">
        <v>790</v>
      </c>
      <c r="I28" s="159">
        <v>3552</v>
      </c>
      <c r="J28" s="160">
        <v>3128</v>
      </c>
      <c r="K28" s="160">
        <v>4055</v>
      </c>
      <c r="L28" s="160">
        <v>3884</v>
      </c>
      <c r="M28" s="160">
        <f>J28-K28</f>
        <v>-927</v>
      </c>
      <c r="N28" s="161">
        <f>(J28-K28)/K28</f>
        <v>-0.22860665844636252</v>
      </c>
      <c r="O28" s="162">
        <f>J28-L28</f>
        <v>-756</v>
      </c>
      <c r="P28" s="161">
        <f>(J28-L28)/L28</f>
        <v>-0.19464469618949537</v>
      </c>
      <c r="Q28" s="166">
        <f>L28-K28</f>
        <v>-171</v>
      </c>
      <c r="R28" s="163" t="str">
        <f>IF(Q28&gt;0,"맥산 유리","수입 유리")</f>
        <v>수입 유리</v>
      </c>
      <c r="S28" s="163" t="str">
        <f>Q28&amp;"원"&amp;" "&amp;R28</f>
        <v>-171원 수입 유리</v>
      </c>
    </row>
    <row r="29" spans="1:19">
      <c r="A29" s="156">
        <v>34</v>
      </c>
      <c r="B29" s="164" t="s">
        <v>619</v>
      </c>
      <c r="C29" s="164" t="s">
        <v>620</v>
      </c>
      <c r="D29" s="164" t="s">
        <v>621</v>
      </c>
      <c r="E29" s="165">
        <v>809</v>
      </c>
      <c r="F29" s="165">
        <v>1272</v>
      </c>
      <c r="G29" s="165">
        <v>852</v>
      </c>
      <c r="H29" s="165">
        <v>349</v>
      </c>
      <c r="I29" s="159">
        <v>3282</v>
      </c>
      <c r="J29" s="160">
        <v>3672</v>
      </c>
      <c r="K29" s="160">
        <v>4363</v>
      </c>
      <c r="L29" s="160">
        <v>4013</v>
      </c>
      <c r="M29" s="160">
        <f>J29-K29</f>
        <v>-691</v>
      </c>
      <c r="N29" s="161">
        <f>(J29-K29)/K29</f>
        <v>-0.15837726335090535</v>
      </c>
      <c r="O29" s="162">
        <f>J29-L29</f>
        <v>-341</v>
      </c>
      <c r="P29" s="161">
        <f>(J29-L29)/L29</f>
        <v>-8.4973835036132567E-2</v>
      </c>
      <c r="Q29" s="166">
        <f>L29-K29</f>
        <v>-350</v>
      </c>
      <c r="R29" s="163" t="str">
        <f>IF(Q29&gt;0,"맥산 유리","수입 유리")</f>
        <v>수입 유리</v>
      </c>
      <c r="S29" s="163" t="str">
        <f>Q29&amp;"원"&amp;" "&amp;R29</f>
        <v>-350원 수입 유리</v>
      </c>
    </row>
    <row r="30" spans="1:19">
      <c r="A30" s="156">
        <v>109</v>
      </c>
      <c r="B30" s="157" t="s">
        <v>831</v>
      </c>
      <c r="C30" s="157" t="s">
        <v>832</v>
      </c>
      <c r="D30" s="157" t="s">
        <v>833</v>
      </c>
      <c r="E30" s="158">
        <v>1495</v>
      </c>
      <c r="F30" s="158">
        <v>401</v>
      </c>
      <c r="G30" s="158">
        <v>706</v>
      </c>
      <c r="H30" s="158">
        <v>455</v>
      </c>
      <c r="I30" s="159">
        <v>3057</v>
      </c>
      <c r="J30" s="160">
        <v>6564</v>
      </c>
      <c r="K30" s="160">
        <v>8670</v>
      </c>
      <c r="L30" s="160">
        <v>9462</v>
      </c>
      <c r="M30" s="160">
        <f>J30-K30</f>
        <v>-2106</v>
      </c>
      <c r="N30" s="161">
        <f>(J30-K30)/K30</f>
        <v>-0.24290657439446367</v>
      </c>
      <c r="O30" s="162">
        <f>J30-L30</f>
        <v>-2898</v>
      </c>
      <c r="P30" s="161">
        <f>(J30-L30)/L30</f>
        <v>-0.30627774254914392</v>
      </c>
      <c r="Q30" s="166">
        <f>L30-K30</f>
        <v>792</v>
      </c>
      <c r="R30" s="163" t="str">
        <f>IF(Q30&gt;0,"맥산 유리","수입 유리")</f>
        <v>맥산 유리</v>
      </c>
      <c r="S30" s="163" t="str">
        <f>Q30&amp;"원"&amp;" "&amp;R30</f>
        <v>792원 맥산 유리</v>
      </c>
    </row>
    <row r="31" spans="1:19">
      <c r="A31" s="156">
        <v>27</v>
      </c>
      <c r="B31" s="164" t="s">
        <v>599</v>
      </c>
      <c r="C31" s="164" t="s">
        <v>600</v>
      </c>
      <c r="D31" s="164" t="s">
        <v>601</v>
      </c>
      <c r="E31" s="165">
        <v>742</v>
      </c>
      <c r="F31" s="165">
        <v>621</v>
      </c>
      <c r="G31" s="165">
        <v>1368</v>
      </c>
      <c r="H31" s="165">
        <v>324</v>
      </c>
      <c r="I31" s="159">
        <v>3055</v>
      </c>
      <c r="J31" s="160">
        <v>3337</v>
      </c>
      <c r="K31" s="160">
        <v>3952</v>
      </c>
      <c r="L31" s="160">
        <v>3455</v>
      </c>
      <c r="M31" s="160">
        <f>J31-K31</f>
        <v>-615</v>
      </c>
      <c r="N31" s="161">
        <f>(J31-K31)/K31</f>
        <v>-0.15561740890688258</v>
      </c>
      <c r="O31" s="162">
        <f>J31-L31</f>
        <v>-118</v>
      </c>
      <c r="P31" s="161">
        <f>(J31-L31)/L31</f>
        <v>-3.4153400868306802E-2</v>
      </c>
      <c r="Q31" s="166">
        <f>L31-K31</f>
        <v>-497</v>
      </c>
      <c r="R31" s="163" t="str">
        <f>IF(Q31&gt;0,"맥산 유리","수입 유리")</f>
        <v>수입 유리</v>
      </c>
      <c r="S31" s="163" t="str">
        <f>Q31&amp;"원"&amp;" "&amp;R31</f>
        <v>-497원 수입 유리</v>
      </c>
    </row>
    <row r="32" spans="1:19">
      <c r="A32" s="156">
        <v>125</v>
      </c>
      <c r="B32" s="164" t="s">
        <v>865</v>
      </c>
      <c r="C32" s="164" t="s">
        <v>866</v>
      </c>
      <c r="D32" s="164" t="s">
        <v>867</v>
      </c>
      <c r="E32" s="165">
        <v>1073</v>
      </c>
      <c r="F32" s="165">
        <v>834</v>
      </c>
      <c r="G32" s="165">
        <v>795</v>
      </c>
      <c r="H32" s="165">
        <v>350</v>
      </c>
      <c r="I32" s="159">
        <v>3052</v>
      </c>
      <c r="J32" s="160">
        <v>2561</v>
      </c>
      <c r="K32" s="160">
        <v>3643</v>
      </c>
      <c r="L32" s="160">
        <v>3327</v>
      </c>
      <c r="M32" s="160">
        <f>J32-K32</f>
        <v>-1082</v>
      </c>
      <c r="N32" s="161">
        <f>(J32-K32)/K32</f>
        <v>-0.29700796047213834</v>
      </c>
      <c r="O32" s="162">
        <f>J32-L32</f>
        <v>-766</v>
      </c>
      <c r="P32" s="161">
        <f>(J32-L32)/L32</f>
        <v>-0.23023745115719868</v>
      </c>
      <c r="Q32" s="166">
        <f>L32-K32</f>
        <v>-316</v>
      </c>
      <c r="R32" s="163" t="str">
        <f>IF(Q32&gt;0,"맥산 유리","수입 유리")</f>
        <v>수입 유리</v>
      </c>
      <c r="S32" s="163" t="str">
        <f>Q32&amp;"원"&amp;" "&amp;R32</f>
        <v>-316원 수입 유리</v>
      </c>
    </row>
    <row r="33" spans="1:19">
      <c r="A33" s="156">
        <v>66</v>
      </c>
      <c r="B33" s="164" t="s">
        <v>722</v>
      </c>
      <c r="C33" s="164" t="s">
        <v>723</v>
      </c>
      <c r="D33" s="164" t="s">
        <v>724</v>
      </c>
      <c r="E33" s="165">
        <v>439</v>
      </c>
      <c r="F33" s="165">
        <v>1304</v>
      </c>
      <c r="G33" s="165">
        <v>908</v>
      </c>
      <c r="H33" s="165">
        <v>372</v>
      </c>
      <c r="I33" s="159">
        <v>3023</v>
      </c>
      <c r="J33" s="160">
        <v>1765</v>
      </c>
      <c r="K33" s="160">
        <v>1987</v>
      </c>
      <c r="L33" s="160">
        <v>1696</v>
      </c>
      <c r="M33" s="160">
        <f>J33-K33</f>
        <v>-222</v>
      </c>
      <c r="N33" s="161">
        <f>(J33-K33)/K33</f>
        <v>-0.11172622043281329</v>
      </c>
      <c r="O33" s="162">
        <f>J33-L33</f>
        <v>69</v>
      </c>
      <c r="P33" s="161">
        <f>(J33-L33)/L33</f>
        <v>4.0683962264150941E-2</v>
      </c>
      <c r="Q33" s="166">
        <f>L33-K33</f>
        <v>-291</v>
      </c>
      <c r="R33" s="163" t="str">
        <f>IF(Q33&gt;0,"맥산 유리","수입 유리")</f>
        <v>수입 유리</v>
      </c>
      <c r="S33" s="163" t="str">
        <f>Q33&amp;"원"&amp;" "&amp;R33</f>
        <v>-291원 수입 유리</v>
      </c>
    </row>
    <row r="34" spans="1:19">
      <c r="A34" s="156">
        <v>115</v>
      </c>
      <c r="B34" s="164" t="s">
        <v>840</v>
      </c>
      <c r="C34" s="164" t="s">
        <v>841</v>
      </c>
      <c r="D34" s="164" t="s">
        <v>842</v>
      </c>
      <c r="E34" s="165">
        <v>1028</v>
      </c>
      <c r="F34" s="165">
        <v>1419</v>
      </c>
      <c r="G34" s="165">
        <v>328</v>
      </c>
      <c r="H34" s="165">
        <v>134</v>
      </c>
      <c r="I34" s="159">
        <v>2909</v>
      </c>
      <c r="J34" s="160">
        <v>1304</v>
      </c>
      <c r="K34" s="160">
        <v>1765</v>
      </c>
      <c r="L34" s="160">
        <v>1524</v>
      </c>
      <c r="M34" s="160">
        <f>J34-K34</f>
        <v>-461</v>
      </c>
      <c r="N34" s="161">
        <f>(J34-K34)/K34</f>
        <v>-0.26118980169971673</v>
      </c>
      <c r="O34" s="162">
        <f>J34-L34</f>
        <v>-220</v>
      </c>
      <c r="P34" s="161">
        <f>(J34-L34)/L34</f>
        <v>-0.14435695538057744</v>
      </c>
      <c r="Q34" s="166">
        <f>L34-K34</f>
        <v>-241</v>
      </c>
      <c r="R34" s="163" t="str">
        <f>IF(Q34&gt;0,"맥산 유리","수입 유리")</f>
        <v>수입 유리</v>
      </c>
      <c r="S34" s="163" t="str">
        <f>Q34&amp;"원"&amp;" "&amp;R34</f>
        <v>-241원 수입 유리</v>
      </c>
    </row>
    <row r="35" spans="1:19">
      <c r="A35" s="156">
        <v>119</v>
      </c>
      <c r="B35" s="157" t="s">
        <v>848</v>
      </c>
      <c r="C35" s="157" t="s">
        <v>849</v>
      </c>
      <c r="D35" s="157" t="s">
        <v>850</v>
      </c>
      <c r="E35" s="158">
        <v>1499</v>
      </c>
      <c r="F35" s="158">
        <v>258</v>
      </c>
      <c r="G35" s="158">
        <v>816</v>
      </c>
      <c r="H35" s="158">
        <v>110</v>
      </c>
      <c r="I35" s="159">
        <v>2683</v>
      </c>
      <c r="J35" s="160">
        <v>3476</v>
      </c>
      <c r="K35" s="160">
        <v>5449</v>
      </c>
      <c r="L35" s="160">
        <v>5428</v>
      </c>
      <c r="M35" s="160">
        <f>J35-K35</f>
        <v>-1973</v>
      </c>
      <c r="N35" s="161">
        <f>(J35-K35)/K35</f>
        <v>-0.36208478619930262</v>
      </c>
      <c r="O35" s="162">
        <f>J35-L35</f>
        <v>-1952</v>
      </c>
      <c r="P35" s="161">
        <f>(J35-L35)/L35</f>
        <v>-0.35961680176860722</v>
      </c>
      <c r="Q35" s="166">
        <f>L35-K35</f>
        <v>-21</v>
      </c>
      <c r="R35" s="163" t="str">
        <f>IF(Q35&gt;0,"맥산 유리","수입 유리")</f>
        <v>수입 유리</v>
      </c>
      <c r="S35" s="163" t="str">
        <f>Q35&amp;"원"&amp;" "&amp;R35</f>
        <v>-21원 수입 유리</v>
      </c>
    </row>
    <row r="36" spans="1:19">
      <c r="A36" s="156">
        <v>23</v>
      </c>
      <c r="B36" s="164" t="s">
        <v>587</v>
      </c>
      <c r="C36" s="164" t="s">
        <v>588</v>
      </c>
      <c r="D36" s="164" t="s">
        <v>589</v>
      </c>
      <c r="E36" s="165">
        <v>859</v>
      </c>
      <c r="F36" s="165">
        <v>1017</v>
      </c>
      <c r="G36" s="165">
        <v>712</v>
      </c>
      <c r="H36" s="165">
        <v>60</v>
      </c>
      <c r="I36" s="159">
        <v>2648</v>
      </c>
      <c r="J36" s="160">
        <v>3168</v>
      </c>
      <c r="K36" s="160">
        <v>3746</v>
      </c>
      <c r="L36" s="160">
        <v>3177</v>
      </c>
      <c r="M36" s="160">
        <f>J36-K36</f>
        <v>-578</v>
      </c>
      <c r="N36" s="161">
        <f>(J36-K36)/K36</f>
        <v>-0.15429791777896423</v>
      </c>
      <c r="O36" s="162">
        <f>J36-L36</f>
        <v>-9</v>
      </c>
      <c r="P36" s="161">
        <f>(J36-L36)/L36</f>
        <v>-2.8328611898016999E-3</v>
      </c>
      <c r="Q36" s="166">
        <f>L36-K36</f>
        <v>-569</v>
      </c>
      <c r="R36" s="163" t="str">
        <f>IF(Q36&gt;0,"맥산 유리","수입 유리")</f>
        <v>수입 유리</v>
      </c>
      <c r="S36" s="163" t="str">
        <f>Q36&amp;"원"&amp;" "&amp;R36</f>
        <v>-569원 수입 유리</v>
      </c>
    </row>
    <row r="37" spans="1:19">
      <c r="A37" s="156">
        <v>21</v>
      </c>
      <c r="B37" s="164" t="s">
        <v>581</v>
      </c>
      <c r="C37" s="164" t="s">
        <v>582</v>
      </c>
      <c r="D37" s="164" t="s">
        <v>583</v>
      </c>
      <c r="E37" s="165">
        <v>1023</v>
      </c>
      <c r="F37" s="165">
        <v>569</v>
      </c>
      <c r="G37" s="165">
        <v>890</v>
      </c>
      <c r="H37" s="165">
        <v>82</v>
      </c>
      <c r="I37" s="159">
        <v>2564</v>
      </c>
      <c r="J37" s="160">
        <v>7028</v>
      </c>
      <c r="K37" s="160">
        <v>8979</v>
      </c>
      <c r="L37" s="160">
        <v>9590</v>
      </c>
      <c r="M37" s="160">
        <f>J37-K37</f>
        <v>-1951</v>
      </c>
      <c r="N37" s="161">
        <f>(J37-K37)/K37</f>
        <v>-0.21728477558748191</v>
      </c>
      <c r="O37" s="162">
        <f>J37-L37</f>
        <v>-2562</v>
      </c>
      <c r="P37" s="161">
        <f>(J37-L37)/L37</f>
        <v>-0.26715328467153282</v>
      </c>
      <c r="Q37" s="166">
        <f>L37-K37</f>
        <v>611</v>
      </c>
      <c r="R37" s="163" t="str">
        <f>IF(Q37&gt;0,"맥산 유리","수입 유리")</f>
        <v>맥산 유리</v>
      </c>
      <c r="S37" s="163" t="str">
        <f>Q37&amp;"원"&amp;" "&amp;R37</f>
        <v>611원 맥산 유리</v>
      </c>
    </row>
    <row r="38" spans="1:19">
      <c r="A38" s="156">
        <v>24</v>
      </c>
      <c r="B38" s="157" t="s">
        <v>590</v>
      </c>
      <c r="C38" s="157" t="s">
        <v>591</v>
      </c>
      <c r="D38" s="157" t="s">
        <v>592</v>
      </c>
      <c r="E38" s="158">
        <v>985</v>
      </c>
      <c r="F38" s="158">
        <v>379</v>
      </c>
      <c r="G38" s="158">
        <v>907</v>
      </c>
      <c r="H38" s="158">
        <v>9</v>
      </c>
      <c r="I38" s="159">
        <v>2280</v>
      </c>
      <c r="J38" s="160">
        <v>7868</v>
      </c>
      <c r="K38" s="160">
        <v>10151</v>
      </c>
      <c r="L38" s="160">
        <v>10986</v>
      </c>
      <c r="M38" s="160">
        <f>J38-K38</f>
        <v>-2283</v>
      </c>
      <c r="N38" s="161">
        <f>(J38-K38)/K38</f>
        <v>-0.22490395034971924</v>
      </c>
      <c r="O38" s="162">
        <f>J38-L38</f>
        <v>-3118</v>
      </c>
      <c r="P38" s="161">
        <f>(J38-L38)/L38</f>
        <v>-0.28381576551975241</v>
      </c>
      <c r="Q38" s="166">
        <f>L38-K38</f>
        <v>835</v>
      </c>
      <c r="R38" s="163" t="str">
        <f>IF(Q38&gt;0,"맥산 유리","수입 유리")</f>
        <v>맥산 유리</v>
      </c>
      <c r="S38" s="163" t="str">
        <f>Q38&amp;"원"&amp;" "&amp;R38</f>
        <v>835원 맥산 유리</v>
      </c>
    </row>
    <row r="39" spans="1:19">
      <c r="A39" s="156">
        <v>60</v>
      </c>
      <c r="B39" s="157" t="s">
        <v>702</v>
      </c>
      <c r="C39" s="157" t="s">
        <v>703</v>
      </c>
      <c r="D39" s="157" t="s">
        <v>704</v>
      </c>
      <c r="E39" s="158">
        <v>1191</v>
      </c>
      <c r="F39" s="158">
        <v>510</v>
      </c>
      <c r="G39" s="158">
        <v>542</v>
      </c>
      <c r="H39" s="158">
        <v>20</v>
      </c>
      <c r="I39" s="159">
        <v>2263</v>
      </c>
      <c r="J39" s="160">
        <v>1554</v>
      </c>
      <c r="K39" s="160">
        <v>1878</v>
      </c>
      <c r="L39" s="160">
        <v>1557</v>
      </c>
      <c r="M39" s="160">
        <f>J39-K39</f>
        <v>-324</v>
      </c>
      <c r="N39" s="161">
        <f>(J39-K39)/K39</f>
        <v>-0.17252396166134185</v>
      </c>
      <c r="O39" s="162">
        <f>J39-L39</f>
        <v>-3</v>
      </c>
      <c r="P39" s="161">
        <f>(J39-L39)/L39</f>
        <v>-1.9267822736030828E-3</v>
      </c>
      <c r="Q39" s="166">
        <f>L39-K39</f>
        <v>-321</v>
      </c>
      <c r="R39" s="163" t="str">
        <f>IF(Q39&gt;0,"맥산 유리","수입 유리")</f>
        <v>수입 유리</v>
      </c>
      <c r="S39" s="163" t="str">
        <f>Q39&amp;"원"&amp;" "&amp;R39</f>
        <v>-321원 수입 유리</v>
      </c>
    </row>
    <row r="40" spans="1:19">
      <c r="A40" s="156">
        <v>118</v>
      </c>
      <c r="B40" s="164" t="s">
        <v>845</v>
      </c>
      <c r="C40" s="164" t="s">
        <v>846</v>
      </c>
      <c r="D40" s="164" t="s">
        <v>847</v>
      </c>
      <c r="E40" s="165">
        <v>771</v>
      </c>
      <c r="F40" s="165">
        <v>153</v>
      </c>
      <c r="G40" s="165">
        <v>951</v>
      </c>
      <c r="H40" s="165">
        <v>308</v>
      </c>
      <c r="I40" s="159">
        <v>2183</v>
      </c>
      <c r="J40" s="160">
        <v>6838</v>
      </c>
      <c r="K40" s="160">
        <v>9842</v>
      </c>
      <c r="L40" s="160">
        <v>10856</v>
      </c>
      <c r="M40" s="160">
        <f>J40-K40</f>
        <v>-3004</v>
      </c>
      <c r="N40" s="161">
        <f>(J40-K40)/K40</f>
        <v>-0.30522251574883152</v>
      </c>
      <c r="O40" s="162">
        <f>J40-L40</f>
        <v>-4018</v>
      </c>
      <c r="P40" s="161">
        <f>(J40-L40)/L40</f>
        <v>-0.37011790714812087</v>
      </c>
      <c r="Q40" s="166">
        <f>L40-K40</f>
        <v>1014</v>
      </c>
      <c r="R40" s="163" t="str">
        <f>IF(Q40&gt;0,"맥산 유리","수입 유리")</f>
        <v>맥산 유리</v>
      </c>
      <c r="S40" s="163" t="str">
        <f>Q40&amp;"원"&amp;" "&amp;R40</f>
        <v>1014원 맥산 유리</v>
      </c>
    </row>
    <row r="41" spans="1:19">
      <c r="A41" s="156">
        <v>17</v>
      </c>
      <c r="B41" s="164" t="s">
        <v>573</v>
      </c>
      <c r="C41" s="164" t="s">
        <v>574</v>
      </c>
      <c r="D41" s="164" t="s">
        <v>575</v>
      </c>
      <c r="E41" s="165">
        <v>596</v>
      </c>
      <c r="F41" s="165">
        <v>1006</v>
      </c>
      <c r="G41" s="165">
        <v>140</v>
      </c>
      <c r="H41" s="165">
        <v>340</v>
      </c>
      <c r="I41" s="159">
        <v>2082</v>
      </c>
      <c r="J41" s="160">
        <v>3000</v>
      </c>
      <c r="K41" s="160">
        <v>3540</v>
      </c>
      <c r="L41" s="160">
        <v>2897</v>
      </c>
      <c r="M41" s="160">
        <f>J41-K41</f>
        <v>-540</v>
      </c>
      <c r="N41" s="161">
        <f>(J41-K41)/K41</f>
        <v>-0.15254237288135594</v>
      </c>
      <c r="O41" s="162">
        <f>J41-L41</f>
        <v>103</v>
      </c>
      <c r="P41" s="161">
        <f>(J41-L41)/L41</f>
        <v>3.5554021401449774E-2</v>
      </c>
      <c r="Q41" s="166">
        <f>L41-K41</f>
        <v>-643</v>
      </c>
      <c r="R41" s="163" t="str">
        <f>IF(Q41&gt;0,"맥산 유리","수입 유리")</f>
        <v>수입 유리</v>
      </c>
      <c r="S41" s="163" t="str">
        <f>Q41&amp;"원"&amp;" "&amp;R41</f>
        <v>-643원 수입 유리</v>
      </c>
    </row>
    <row r="42" spans="1:19">
      <c r="A42" s="156">
        <v>61</v>
      </c>
      <c r="B42" s="164" t="s">
        <v>705</v>
      </c>
      <c r="C42" s="164" t="s">
        <v>480</v>
      </c>
      <c r="D42" s="164" t="s">
        <v>706</v>
      </c>
      <c r="E42" s="165">
        <v>137</v>
      </c>
      <c r="F42" s="165">
        <v>668</v>
      </c>
      <c r="G42" s="165">
        <v>692</v>
      </c>
      <c r="H42" s="165">
        <v>336</v>
      </c>
      <c r="I42" s="159">
        <v>1833</v>
      </c>
      <c r="J42" s="160">
        <v>8386</v>
      </c>
      <c r="K42" s="160">
        <v>10068</v>
      </c>
      <c r="L42" s="160">
        <v>10920</v>
      </c>
      <c r="M42" s="160">
        <f>J42-K42</f>
        <v>-1682</v>
      </c>
      <c r="N42" s="161">
        <f>(J42-K42)/K42</f>
        <v>-0.16706396503774334</v>
      </c>
      <c r="O42" s="162">
        <f>J42-L42</f>
        <v>-2534</v>
      </c>
      <c r="P42" s="161">
        <f>(J42-L42)/L42</f>
        <v>-0.23205128205128206</v>
      </c>
      <c r="Q42" s="166">
        <f>L42-K42</f>
        <v>852</v>
      </c>
      <c r="R42" s="163" t="str">
        <f>IF(Q42&gt;0,"맥산 유리","수입 유리")</f>
        <v>맥산 유리</v>
      </c>
      <c r="S42" s="163" t="str">
        <f>Q42&amp;"원"&amp;" "&amp;R42</f>
        <v>852원 맥산 유리</v>
      </c>
    </row>
    <row r="43" spans="1:19">
      <c r="A43" s="156">
        <v>124</v>
      </c>
      <c r="B43" s="157" t="s">
        <v>862</v>
      </c>
      <c r="C43" s="157" t="s">
        <v>863</v>
      </c>
      <c r="D43" s="157" t="s">
        <v>864</v>
      </c>
      <c r="E43" s="158">
        <v>797</v>
      </c>
      <c r="F43" s="158">
        <v>642</v>
      </c>
      <c r="G43" s="158">
        <v>12</v>
      </c>
      <c r="H43" s="158">
        <v>330</v>
      </c>
      <c r="I43" s="159">
        <v>1781</v>
      </c>
      <c r="J43" s="160">
        <v>1310</v>
      </c>
      <c r="K43" s="160">
        <v>1950</v>
      </c>
      <c r="L43" s="160">
        <v>1696</v>
      </c>
      <c r="M43" s="160">
        <f>J43-K43</f>
        <v>-640</v>
      </c>
      <c r="N43" s="161">
        <f>(J43-K43)/K43</f>
        <v>-0.3282051282051282</v>
      </c>
      <c r="O43" s="162">
        <f>J43-L43</f>
        <v>-386</v>
      </c>
      <c r="P43" s="161">
        <f>(J43-L43)/L43</f>
        <v>-0.2275943396226415</v>
      </c>
      <c r="Q43" s="166">
        <f>L43-K43</f>
        <v>-254</v>
      </c>
      <c r="R43" s="163" t="str">
        <f>IF(Q43&gt;0,"맥산 유리","수입 유리")</f>
        <v>수입 유리</v>
      </c>
      <c r="S43" s="163" t="str">
        <f>Q43&amp;"원"&amp;" "&amp;R43</f>
        <v>-254원 수입 유리</v>
      </c>
    </row>
    <row r="44" spans="1:19">
      <c r="A44" s="156">
        <v>71</v>
      </c>
      <c r="B44" s="157" t="s">
        <v>737</v>
      </c>
      <c r="C44" s="157" t="s">
        <v>738</v>
      </c>
      <c r="D44" s="157" t="s">
        <v>739</v>
      </c>
      <c r="E44" s="158">
        <v>1020</v>
      </c>
      <c r="F44" s="158">
        <v>210</v>
      </c>
      <c r="G44" s="158">
        <v>220</v>
      </c>
      <c r="H44" s="158">
        <v>300</v>
      </c>
      <c r="I44" s="159">
        <v>1750</v>
      </c>
      <c r="J44" s="160">
        <v>3425</v>
      </c>
      <c r="K44" s="160">
        <v>4075</v>
      </c>
      <c r="L44" s="160">
        <v>3670</v>
      </c>
      <c r="M44" s="160">
        <f>J44-K44</f>
        <v>-650</v>
      </c>
      <c r="N44" s="161">
        <f>(J44-K44)/K44</f>
        <v>-0.15950920245398773</v>
      </c>
      <c r="O44" s="162">
        <f>J44-L44</f>
        <v>-245</v>
      </c>
      <c r="P44" s="161">
        <f>(J44-L44)/L44</f>
        <v>-6.67574931880109E-2</v>
      </c>
      <c r="Q44" s="166">
        <f>L44-K44</f>
        <v>-405</v>
      </c>
      <c r="R44" s="163" t="str">
        <f>IF(Q44&gt;0,"맥산 유리","수입 유리")</f>
        <v>수입 유리</v>
      </c>
      <c r="S44" s="163" t="str">
        <f>Q44&amp;"원"&amp;" "&amp;R44</f>
        <v>-405원 수입 유리</v>
      </c>
    </row>
    <row r="45" spans="1:19">
      <c r="A45" s="156">
        <v>114</v>
      </c>
      <c r="B45" s="157" t="s">
        <v>837</v>
      </c>
      <c r="C45" s="157" t="s">
        <v>838</v>
      </c>
      <c r="D45" s="157" t="s">
        <v>839</v>
      </c>
      <c r="E45" s="158">
        <v>1269</v>
      </c>
      <c r="F45" s="158">
        <v>153</v>
      </c>
      <c r="G45" s="158">
        <v>204</v>
      </c>
      <c r="H45" s="158"/>
      <c r="I45" s="159">
        <v>1626</v>
      </c>
      <c r="J45" s="160">
        <v>2390</v>
      </c>
      <c r="K45" s="160">
        <v>3437</v>
      </c>
      <c r="L45" s="160">
        <v>3047</v>
      </c>
      <c r="M45" s="160">
        <f>J45-K45</f>
        <v>-1047</v>
      </c>
      <c r="N45" s="161">
        <f>(J45-K45)/K45</f>
        <v>-0.30462612743671807</v>
      </c>
      <c r="O45" s="162">
        <f>J45-L45</f>
        <v>-657</v>
      </c>
      <c r="P45" s="161">
        <f>(J45-L45)/L45</f>
        <v>-0.21562192320315063</v>
      </c>
      <c r="Q45" s="166">
        <f>L45-K45</f>
        <v>-390</v>
      </c>
      <c r="R45" s="163" t="str">
        <f>IF(Q45&gt;0,"맥산 유리","수입 유리")</f>
        <v>수입 유리</v>
      </c>
      <c r="S45" s="163" t="str">
        <f>Q45&amp;"원"&amp;" "&amp;R45</f>
        <v>-390원 수입 유리</v>
      </c>
    </row>
    <row r="46" spans="1:19">
      <c r="A46" s="156">
        <v>147</v>
      </c>
      <c r="B46" s="157" t="s">
        <v>942</v>
      </c>
      <c r="C46" s="157" t="s">
        <v>943</v>
      </c>
      <c r="D46" s="157" t="s">
        <v>932</v>
      </c>
      <c r="E46" s="158">
        <v>1380</v>
      </c>
      <c r="F46" s="158">
        <v>100</v>
      </c>
      <c r="G46" s="158"/>
      <c r="H46" s="158"/>
      <c r="I46" s="159">
        <v>1480</v>
      </c>
      <c r="J46" s="160">
        <v>20110</v>
      </c>
      <c r="K46" s="160">
        <v>38848</v>
      </c>
      <c r="L46" s="160">
        <v>1335</v>
      </c>
      <c r="M46" s="160">
        <f>J46-K46</f>
        <v>-18738</v>
      </c>
      <c r="N46" s="161">
        <f>(J46-K46)/K46</f>
        <v>-0.48234143327841844</v>
      </c>
      <c r="O46" s="162">
        <f>J46-L46</f>
        <v>18775</v>
      </c>
      <c r="P46" s="161">
        <f>(J46-L46)/L46</f>
        <v>14.063670411985019</v>
      </c>
      <c r="Q46" s="166">
        <f>L46-K46</f>
        <v>-37513</v>
      </c>
      <c r="R46" s="163" t="str">
        <f>IF(Q46&gt;0,"맥산 유리","수입 유리")</f>
        <v>수입 유리</v>
      </c>
      <c r="S46" s="163" t="str">
        <f>Q46&amp;"원"&amp;" "&amp;R46</f>
        <v>-37513원 수입 유리</v>
      </c>
    </row>
    <row r="47" spans="1:19">
      <c r="A47" s="156">
        <v>99</v>
      </c>
      <c r="B47" s="164" t="s">
        <v>810</v>
      </c>
      <c r="C47" s="164" t="s">
        <v>811</v>
      </c>
      <c r="D47" s="164" t="s">
        <v>812</v>
      </c>
      <c r="E47" s="165">
        <v>550</v>
      </c>
      <c r="F47" s="165">
        <v>348</v>
      </c>
      <c r="G47" s="165">
        <v>413</v>
      </c>
      <c r="H47" s="165">
        <v>150</v>
      </c>
      <c r="I47" s="159">
        <v>1461</v>
      </c>
      <c r="J47" s="160">
        <v>2223</v>
      </c>
      <c r="K47" s="160">
        <v>3231</v>
      </c>
      <c r="L47" s="160">
        <v>2768</v>
      </c>
      <c r="M47" s="160">
        <f>J47-K47</f>
        <v>-1008</v>
      </c>
      <c r="N47" s="161">
        <f>(J47-K47)/K47</f>
        <v>-0.31197771587743733</v>
      </c>
      <c r="O47" s="162">
        <f>J47-L47</f>
        <v>-545</v>
      </c>
      <c r="P47" s="161">
        <f>(J47-L47)/L47</f>
        <v>-0.19689306358381503</v>
      </c>
      <c r="Q47" s="166">
        <f>L47-K47</f>
        <v>-463</v>
      </c>
      <c r="R47" s="163" t="str">
        <f>IF(Q47&gt;0,"맥산 유리","수입 유리")</f>
        <v>수입 유리</v>
      </c>
      <c r="S47" s="163" t="str">
        <f>Q47&amp;"원"&amp;" "&amp;R47</f>
        <v>-463원 수입 유리</v>
      </c>
    </row>
    <row r="48" spans="1:19">
      <c r="A48" s="156">
        <v>4</v>
      </c>
      <c r="B48" s="164" t="s">
        <v>515</v>
      </c>
      <c r="C48" s="164" t="s">
        <v>516</v>
      </c>
      <c r="D48" s="164" t="s">
        <v>517</v>
      </c>
      <c r="E48" s="165">
        <v>249</v>
      </c>
      <c r="F48" s="165">
        <v>1025</v>
      </c>
      <c r="G48" s="165">
        <v>108</v>
      </c>
      <c r="H48" s="165"/>
      <c r="I48" s="159">
        <v>1382</v>
      </c>
      <c r="J48" s="160">
        <v>5686</v>
      </c>
      <c r="K48" s="160">
        <v>9452</v>
      </c>
      <c r="L48" s="160">
        <v>7595</v>
      </c>
      <c r="M48" s="160">
        <f>J48-K48</f>
        <v>-3766</v>
      </c>
      <c r="N48" s="161">
        <f>(J48-K48)/K48</f>
        <v>-0.39843419382141348</v>
      </c>
      <c r="O48" s="162">
        <f>J48-L48</f>
        <v>-1909</v>
      </c>
      <c r="P48" s="161">
        <f>(J48-L48)/L48</f>
        <v>-0.25134957208689929</v>
      </c>
      <c r="Q48" s="166">
        <f>L48-K48</f>
        <v>-1857</v>
      </c>
      <c r="R48" s="163" t="str">
        <f>IF(Q48&gt;0,"맥산 유리","수입 유리")</f>
        <v>수입 유리</v>
      </c>
      <c r="S48" s="163" t="str">
        <f>Q48&amp;"원"&amp;" "&amp;R48</f>
        <v>-1857원 수입 유리</v>
      </c>
    </row>
    <row r="49" spans="1:19">
      <c r="A49" s="156">
        <v>62</v>
      </c>
      <c r="B49" s="157" t="s">
        <v>707</v>
      </c>
      <c r="C49" s="157" t="s">
        <v>708</v>
      </c>
      <c r="D49" s="157" t="s">
        <v>709</v>
      </c>
      <c r="E49" s="158">
        <v>339</v>
      </c>
      <c r="F49" s="158">
        <v>170</v>
      </c>
      <c r="G49" s="158">
        <v>584</v>
      </c>
      <c r="H49" s="158">
        <v>110</v>
      </c>
      <c r="I49" s="159">
        <v>1203</v>
      </c>
      <c r="J49" s="160">
        <v>3805</v>
      </c>
      <c r="K49" s="160">
        <v>5562</v>
      </c>
      <c r="L49" s="160">
        <v>5460</v>
      </c>
      <c r="M49" s="160">
        <f>J49-K49</f>
        <v>-1757</v>
      </c>
      <c r="N49" s="161">
        <f>(J49-K49)/K49</f>
        <v>-0.31589356346637898</v>
      </c>
      <c r="O49" s="162">
        <f>J49-L49</f>
        <v>-1655</v>
      </c>
      <c r="P49" s="161">
        <f>(J49-L49)/L49</f>
        <v>-0.30311355311355309</v>
      </c>
      <c r="Q49" s="166">
        <f>L49-K49</f>
        <v>-102</v>
      </c>
      <c r="R49" s="163" t="str">
        <f>IF(Q49&gt;0,"맥산 유리","수입 유리")</f>
        <v>수입 유리</v>
      </c>
      <c r="S49" s="163" t="str">
        <f>Q49&amp;"원"&amp;" "&amp;R49</f>
        <v>-102원 수입 유리</v>
      </c>
    </row>
    <row r="50" spans="1:19">
      <c r="A50" s="156">
        <v>1</v>
      </c>
      <c r="B50" s="164" t="s">
        <v>500</v>
      </c>
      <c r="C50" s="164" t="s">
        <v>501</v>
      </c>
      <c r="D50" s="164" t="s">
        <v>502</v>
      </c>
      <c r="E50" s="165">
        <v>577</v>
      </c>
      <c r="F50" s="165">
        <v>298</v>
      </c>
      <c r="G50" s="165">
        <v>321</v>
      </c>
      <c r="H50" s="165"/>
      <c r="I50" s="159">
        <v>1196</v>
      </c>
      <c r="J50" s="160">
        <v>4337</v>
      </c>
      <c r="K50" s="160">
        <v>6365</v>
      </c>
      <c r="L50" s="160">
        <v>5064</v>
      </c>
      <c r="M50" s="160">
        <f>J50-K50</f>
        <v>-2028</v>
      </c>
      <c r="N50" s="161">
        <f>(J50-K50)/K50</f>
        <v>-0.31861743912018853</v>
      </c>
      <c r="O50" s="162">
        <f>J50-L50</f>
        <v>-727</v>
      </c>
      <c r="P50" s="161">
        <f>(J50-L50)/L50</f>
        <v>-0.14356240126382305</v>
      </c>
      <c r="Q50" s="166">
        <f>L50-K50</f>
        <v>-1301</v>
      </c>
      <c r="R50" s="163" t="str">
        <f>IF(Q50&gt;0,"맥산 유리","수입 유리")</f>
        <v>수입 유리</v>
      </c>
      <c r="S50" s="163" t="str">
        <f>Q50&amp;"원"&amp;" "&amp;R50</f>
        <v>-1301원 수입 유리</v>
      </c>
    </row>
    <row r="51" spans="1:19">
      <c r="A51" s="156">
        <v>63</v>
      </c>
      <c r="B51" s="157" t="s">
        <v>710</v>
      </c>
      <c r="C51" s="157" t="s">
        <v>711</v>
      </c>
      <c r="D51" s="157" t="s">
        <v>712</v>
      </c>
      <c r="E51" s="158">
        <v>269</v>
      </c>
      <c r="F51" s="158">
        <v>278</v>
      </c>
      <c r="G51" s="158">
        <v>356</v>
      </c>
      <c r="H51" s="158">
        <v>200</v>
      </c>
      <c r="I51" s="159">
        <v>1103</v>
      </c>
      <c r="J51" s="160">
        <v>8545</v>
      </c>
      <c r="K51" s="160">
        <v>11168</v>
      </c>
      <c r="L51" s="160">
        <v>12315</v>
      </c>
      <c r="M51" s="160">
        <f>J51-K51</f>
        <v>-2623</v>
      </c>
      <c r="N51" s="161">
        <f>(J51-K51)/K51</f>
        <v>-0.23486747851002865</v>
      </c>
      <c r="O51" s="162">
        <f>J51-L51</f>
        <v>-3770</v>
      </c>
      <c r="P51" s="161">
        <f>(J51-L51)/L51</f>
        <v>-0.30613073487616727</v>
      </c>
      <c r="Q51" s="166">
        <f>L51-K51</f>
        <v>1147</v>
      </c>
      <c r="R51" s="163" t="str">
        <f>IF(Q51&gt;0,"맥산 유리","수입 유리")</f>
        <v>맥산 유리</v>
      </c>
      <c r="S51" s="163" t="str">
        <f>Q51&amp;"원"&amp;" "&amp;R51</f>
        <v>1147원 맥산 유리</v>
      </c>
    </row>
    <row r="52" spans="1:19">
      <c r="A52" s="156">
        <v>16</v>
      </c>
      <c r="B52" s="157" t="s">
        <v>570</v>
      </c>
      <c r="C52" s="157" t="s">
        <v>571</v>
      </c>
      <c r="D52" s="157" t="s">
        <v>572</v>
      </c>
      <c r="E52" s="158">
        <v>192</v>
      </c>
      <c r="F52" s="158">
        <v>15</v>
      </c>
      <c r="G52" s="158">
        <v>794</v>
      </c>
      <c r="H52" s="158"/>
      <c r="I52" s="159">
        <v>1001</v>
      </c>
      <c r="J52" s="160">
        <v>2969</v>
      </c>
      <c r="K52" s="160">
        <v>3617</v>
      </c>
      <c r="L52" s="160">
        <v>3402</v>
      </c>
      <c r="M52" s="160">
        <f>J52-K52</f>
        <v>-648</v>
      </c>
      <c r="N52" s="161">
        <f>(J52-K52)/K52</f>
        <v>-0.17915399502350013</v>
      </c>
      <c r="O52" s="162">
        <f>J52-L52</f>
        <v>-433</v>
      </c>
      <c r="P52" s="161">
        <f>(J52-L52)/L52</f>
        <v>-0.12727807172251618</v>
      </c>
      <c r="Q52" s="166">
        <f>L52-K52</f>
        <v>-215</v>
      </c>
      <c r="R52" s="163" t="str">
        <f>IF(Q52&gt;0,"맥산 유리","수입 유리")</f>
        <v>수입 유리</v>
      </c>
      <c r="S52" s="163" t="str">
        <f>Q52&amp;"원"&amp;" "&amp;R52</f>
        <v>-215원 수입 유리</v>
      </c>
    </row>
    <row r="53" spans="1:19">
      <c r="A53" s="156">
        <v>121</v>
      </c>
      <c r="B53" s="157" t="s">
        <v>854</v>
      </c>
      <c r="C53" s="157" t="s">
        <v>855</v>
      </c>
      <c r="D53" s="157" t="s">
        <v>856</v>
      </c>
      <c r="E53" s="158">
        <v>530</v>
      </c>
      <c r="F53" s="158">
        <v>80</v>
      </c>
      <c r="G53" s="158">
        <v>315</v>
      </c>
      <c r="H53" s="158"/>
      <c r="I53" s="159">
        <v>925</v>
      </c>
      <c r="J53" s="160">
        <v>3829</v>
      </c>
      <c r="K53" s="160">
        <v>6064</v>
      </c>
      <c r="L53" s="160">
        <v>6126</v>
      </c>
      <c r="M53" s="160">
        <f>J53-K53</f>
        <v>-2235</v>
      </c>
      <c r="N53" s="161">
        <f>(J53-K53)/K53</f>
        <v>-0.36856860158311344</v>
      </c>
      <c r="O53" s="162">
        <f>J53-L53</f>
        <v>-2297</v>
      </c>
      <c r="P53" s="161">
        <f>(J53-L53)/L53</f>
        <v>-0.37495919033627162</v>
      </c>
      <c r="Q53" s="166">
        <f>L53-K53</f>
        <v>62</v>
      </c>
      <c r="R53" s="163" t="str">
        <f>IF(Q53&gt;0,"맥산 유리","수입 유리")</f>
        <v>맥산 유리</v>
      </c>
      <c r="S53" s="163" t="str">
        <f>Q53&amp;"원"&amp;" "&amp;R53</f>
        <v>62원 맥산 유리</v>
      </c>
    </row>
    <row r="54" spans="1:19">
      <c r="A54" s="156">
        <v>75</v>
      </c>
      <c r="B54" s="164" t="s">
        <v>746</v>
      </c>
      <c r="C54" s="164" t="s">
        <v>747</v>
      </c>
      <c r="D54" s="164" t="s">
        <v>748</v>
      </c>
      <c r="E54" s="165">
        <v>202</v>
      </c>
      <c r="F54" s="165">
        <v>135</v>
      </c>
      <c r="G54" s="165">
        <v>518</v>
      </c>
      <c r="H54" s="165">
        <v>47</v>
      </c>
      <c r="I54" s="159">
        <v>902</v>
      </c>
      <c r="J54" s="160">
        <v>1805</v>
      </c>
      <c r="K54" s="160">
        <v>2204</v>
      </c>
      <c r="L54" s="160">
        <v>1974</v>
      </c>
      <c r="M54" s="160">
        <f>J54-K54</f>
        <v>-399</v>
      </c>
      <c r="N54" s="161">
        <f>(J54-K54)/K54</f>
        <v>-0.18103448275862069</v>
      </c>
      <c r="O54" s="162">
        <f>J54-L54</f>
        <v>-169</v>
      </c>
      <c r="P54" s="161">
        <f>(J54-L54)/L54</f>
        <v>-8.5612968591691999E-2</v>
      </c>
      <c r="Q54" s="166">
        <f>L54-K54</f>
        <v>-230</v>
      </c>
      <c r="R54" s="163" t="str">
        <f>IF(Q54&gt;0,"맥산 유리","수입 유리")</f>
        <v>수입 유리</v>
      </c>
      <c r="S54" s="163" t="str">
        <f>Q54&amp;"원"&amp;" "&amp;R54</f>
        <v>-230원 수입 유리</v>
      </c>
    </row>
    <row r="55" spans="1:19">
      <c r="A55" s="156">
        <v>67</v>
      </c>
      <c r="B55" s="157" t="s">
        <v>725</v>
      </c>
      <c r="C55" s="157" t="s">
        <v>726</v>
      </c>
      <c r="D55" s="157" t="s">
        <v>727</v>
      </c>
      <c r="E55" s="158">
        <v>282</v>
      </c>
      <c r="F55" s="158">
        <v>185</v>
      </c>
      <c r="G55" s="158">
        <v>289</v>
      </c>
      <c r="H55" s="158">
        <v>70</v>
      </c>
      <c r="I55" s="159">
        <v>826</v>
      </c>
      <c r="J55" s="160">
        <v>9310</v>
      </c>
      <c r="K55" s="160">
        <v>12340</v>
      </c>
      <c r="L55" s="160">
        <v>13710</v>
      </c>
      <c r="M55" s="160">
        <f>J55-K55</f>
        <v>-3030</v>
      </c>
      <c r="N55" s="161">
        <f>(J55-K55)/K55</f>
        <v>-0.24554294975688817</v>
      </c>
      <c r="O55" s="162">
        <f>J55-L55</f>
        <v>-4400</v>
      </c>
      <c r="P55" s="161">
        <f>(J55-L55)/L55</f>
        <v>-0.32093362509117435</v>
      </c>
      <c r="Q55" s="166">
        <f>L55-K55</f>
        <v>1370</v>
      </c>
      <c r="R55" s="163" t="str">
        <f>IF(Q55&gt;0,"맥산 유리","수입 유리")</f>
        <v>맥산 유리</v>
      </c>
      <c r="S55" s="163" t="str">
        <f>Q55&amp;"원"&amp;" "&amp;R55</f>
        <v>1370원 맥산 유리</v>
      </c>
    </row>
    <row r="56" spans="1:19">
      <c r="A56" s="156">
        <v>120</v>
      </c>
      <c r="B56" s="164" t="s">
        <v>851</v>
      </c>
      <c r="C56" s="164" t="s">
        <v>852</v>
      </c>
      <c r="D56" s="164" t="s">
        <v>853</v>
      </c>
      <c r="E56" s="165">
        <v>463</v>
      </c>
      <c r="F56" s="165">
        <v>104</v>
      </c>
      <c r="G56" s="165">
        <v>155</v>
      </c>
      <c r="H56" s="165">
        <v>100</v>
      </c>
      <c r="I56" s="159">
        <v>822</v>
      </c>
      <c r="J56" s="160">
        <v>7600</v>
      </c>
      <c r="K56" s="160">
        <v>10942</v>
      </c>
      <c r="L56" s="160">
        <v>12251</v>
      </c>
      <c r="M56" s="160">
        <f>J56-K56</f>
        <v>-3342</v>
      </c>
      <c r="N56" s="161">
        <f>(J56-K56)/K56</f>
        <v>-0.3054286236519832</v>
      </c>
      <c r="O56" s="162">
        <f>J56-L56</f>
        <v>-4651</v>
      </c>
      <c r="P56" s="161">
        <f>(J56-L56)/L56</f>
        <v>-0.37964247816504776</v>
      </c>
      <c r="Q56" s="166">
        <f>L56-K56</f>
        <v>1309</v>
      </c>
      <c r="R56" s="163" t="str">
        <f>IF(Q56&gt;0,"맥산 유리","수입 유리")</f>
        <v>맥산 유리</v>
      </c>
      <c r="S56" s="163" t="str">
        <f>Q56&amp;"원"&amp;" "&amp;R56</f>
        <v>1309원 맥산 유리</v>
      </c>
    </row>
    <row r="57" spans="1:19">
      <c r="A57" s="156">
        <v>141</v>
      </c>
      <c r="B57" s="164" t="s">
        <v>909</v>
      </c>
      <c r="C57" s="164" t="s">
        <v>910</v>
      </c>
      <c r="D57" s="164" t="s">
        <v>911</v>
      </c>
      <c r="E57" s="165">
        <v>700</v>
      </c>
      <c r="F57" s="165">
        <v>60</v>
      </c>
      <c r="G57" s="165">
        <v>55</v>
      </c>
      <c r="H57" s="165"/>
      <c r="I57" s="159">
        <v>815</v>
      </c>
      <c r="J57" s="160">
        <v>1625</v>
      </c>
      <c r="K57" s="160">
        <v>2380</v>
      </c>
      <c r="L57" s="160">
        <v>2222</v>
      </c>
      <c r="M57" s="160">
        <f>J57-K57</f>
        <v>-755</v>
      </c>
      <c r="N57" s="161">
        <f>(J57-K57)/K57</f>
        <v>-0.3172268907563025</v>
      </c>
      <c r="O57" s="162">
        <f>J57-L57</f>
        <v>-597</v>
      </c>
      <c r="P57" s="161">
        <f>(J57-L57)/L57</f>
        <v>-0.26867686768676868</v>
      </c>
      <c r="Q57" s="166">
        <f>L57-K57</f>
        <v>-158</v>
      </c>
      <c r="R57" s="163" t="str">
        <f>IF(Q57&gt;0,"맥산 유리","수입 유리")</f>
        <v>수입 유리</v>
      </c>
      <c r="S57" s="163" t="str">
        <f>Q57&amp;"원"&amp;" "&amp;R57</f>
        <v>-158원 수입 유리</v>
      </c>
    </row>
    <row r="58" spans="1:19">
      <c r="A58" s="156">
        <v>81</v>
      </c>
      <c r="B58" s="157" t="s">
        <v>772</v>
      </c>
      <c r="C58" s="157" t="s">
        <v>773</v>
      </c>
      <c r="D58" s="157" t="s">
        <v>774</v>
      </c>
      <c r="E58" s="158">
        <v>432</v>
      </c>
      <c r="F58" s="158">
        <v>367</v>
      </c>
      <c r="G58" s="158">
        <v>10</v>
      </c>
      <c r="H58" s="158">
        <v>6</v>
      </c>
      <c r="I58" s="159">
        <v>815</v>
      </c>
      <c r="J58" s="160">
        <v>1897</v>
      </c>
      <c r="K58" s="160">
        <v>2853</v>
      </c>
      <c r="L58" s="160">
        <v>2672</v>
      </c>
      <c r="M58" s="160">
        <f>J58-K58</f>
        <v>-956</v>
      </c>
      <c r="N58" s="161">
        <f>(J58-K58)/K58</f>
        <v>-0.33508587451805116</v>
      </c>
      <c r="O58" s="162">
        <f>J58-L58</f>
        <v>-775</v>
      </c>
      <c r="P58" s="161">
        <f>(J58-L58)/L58</f>
        <v>-0.29004491017964074</v>
      </c>
      <c r="Q58" s="166">
        <f>L58-K58</f>
        <v>-181</v>
      </c>
      <c r="R58" s="163" t="str">
        <f>IF(Q58&gt;0,"맥산 유리","수입 유리")</f>
        <v>수입 유리</v>
      </c>
      <c r="S58" s="163" t="str">
        <f>Q58&amp;"원"&amp;" "&amp;R58</f>
        <v>-181원 수입 유리</v>
      </c>
    </row>
    <row r="59" spans="1:19">
      <c r="A59" s="156">
        <v>2</v>
      </c>
      <c r="B59" s="164" t="s">
        <v>506</v>
      </c>
      <c r="C59" s="164" t="s">
        <v>507</v>
      </c>
      <c r="D59" s="164" t="s">
        <v>508</v>
      </c>
      <c r="E59" s="165">
        <v>545</v>
      </c>
      <c r="F59" s="165">
        <v>61</v>
      </c>
      <c r="G59" s="165">
        <v>85</v>
      </c>
      <c r="H59" s="165">
        <v>70</v>
      </c>
      <c r="I59" s="159">
        <v>761</v>
      </c>
      <c r="J59" s="160">
        <v>5011</v>
      </c>
      <c r="K59" s="160">
        <v>7944</v>
      </c>
      <c r="L59" s="160">
        <v>6329</v>
      </c>
      <c r="M59" s="160">
        <f>J59-K59</f>
        <v>-2933</v>
      </c>
      <c r="N59" s="161">
        <f>(J59-K59)/K59</f>
        <v>-0.36920946626384693</v>
      </c>
      <c r="O59" s="162">
        <f>J59-L59</f>
        <v>-1318</v>
      </c>
      <c r="P59" s="161">
        <f>(J59-L59)/L59</f>
        <v>-0.20824774845947228</v>
      </c>
      <c r="Q59" s="166">
        <f>L59-K59</f>
        <v>-1615</v>
      </c>
      <c r="R59" s="163" t="str">
        <f>IF(Q59&gt;0,"맥산 유리","수입 유리")</f>
        <v>수입 유리</v>
      </c>
      <c r="S59" s="163" t="str">
        <f>Q59&amp;"원"&amp;" "&amp;R59</f>
        <v>-1615원 수입 유리</v>
      </c>
    </row>
    <row r="60" spans="1:19">
      <c r="A60" s="156">
        <v>14</v>
      </c>
      <c r="B60" s="164" t="s">
        <v>560</v>
      </c>
      <c r="C60" s="164" t="s">
        <v>561</v>
      </c>
      <c r="D60" s="164" t="s">
        <v>562</v>
      </c>
      <c r="E60" s="165">
        <v>590</v>
      </c>
      <c r="F60" s="165">
        <v>60</v>
      </c>
      <c r="G60" s="165">
        <v>99</v>
      </c>
      <c r="H60" s="165"/>
      <c r="I60" s="159">
        <v>749</v>
      </c>
      <c r="J60" s="160">
        <v>2564</v>
      </c>
      <c r="K60" s="160">
        <v>2931</v>
      </c>
      <c r="L60" s="160">
        <v>2704</v>
      </c>
      <c r="M60" s="160">
        <f>J60-K60</f>
        <v>-367</v>
      </c>
      <c r="N60" s="161">
        <f>(J60-K60)/K60</f>
        <v>-0.12521323780279767</v>
      </c>
      <c r="O60" s="162">
        <f>J60-L60</f>
        <v>-140</v>
      </c>
      <c r="P60" s="161">
        <f>(J60-L60)/L60</f>
        <v>-5.1775147928994084E-2</v>
      </c>
      <c r="Q60" s="166">
        <f>L60-K60</f>
        <v>-227</v>
      </c>
      <c r="R60" s="163" t="str">
        <f>IF(Q60&gt;0,"맥산 유리","수입 유리")</f>
        <v>수입 유리</v>
      </c>
      <c r="S60" s="163" t="str">
        <f>Q60&amp;"원"&amp;" "&amp;R60</f>
        <v>-227원 수입 유리</v>
      </c>
    </row>
    <row r="61" spans="1:19">
      <c r="A61" s="156">
        <v>132</v>
      </c>
      <c r="B61" s="157" t="s">
        <v>883</v>
      </c>
      <c r="C61" s="157" t="s">
        <v>884</v>
      </c>
      <c r="D61" s="157" t="s">
        <v>885</v>
      </c>
      <c r="E61" s="158">
        <v>490</v>
      </c>
      <c r="F61" s="158">
        <v>200</v>
      </c>
      <c r="G61" s="158"/>
      <c r="H61" s="158"/>
      <c r="I61" s="159">
        <v>690</v>
      </c>
      <c r="J61" s="160">
        <v>1373</v>
      </c>
      <c r="K61" s="160">
        <v>1983</v>
      </c>
      <c r="L61" s="160">
        <v>1803</v>
      </c>
      <c r="M61" s="160">
        <f>J61-K61</f>
        <v>-610</v>
      </c>
      <c r="N61" s="161">
        <f>(J61-K61)/K61</f>
        <v>-0.3076147251638931</v>
      </c>
      <c r="O61" s="162">
        <f>J61-L61</f>
        <v>-430</v>
      </c>
      <c r="P61" s="161">
        <f>(J61-L61)/L61</f>
        <v>-0.2384914032168608</v>
      </c>
      <c r="Q61" s="166">
        <f>L61-K61</f>
        <v>-180</v>
      </c>
      <c r="R61" s="163" t="str">
        <f>IF(Q61&gt;0,"맥산 유리","수입 유리")</f>
        <v>수입 유리</v>
      </c>
      <c r="S61" s="163" t="str">
        <f>Q61&amp;"원"&amp;" "&amp;R61</f>
        <v>-180원 수입 유리</v>
      </c>
    </row>
    <row r="62" spans="1:19">
      <c r="A62" s="156">
        <v>149</v>
      </c>
      <c r="B62" s="157" t="s">
        <v>947</v>
      </c>
      <c r="C62" s="157" t="s">
        <v>948</v>
      </c>
      <c r="D62" s="157" t="s">
        <v>935</v>
      </c>
      <c r="E62" s="158">
        <v>619</v>
      </c>
      <c r="F62" s="158"/>
      <c r="G62" s="158">
        <v>70</v>
      </c>
      <c r="H62" s="158"/>
      <c r="I62" s="159">
        <v>689</v>
      </c>
      <c r="J62" s="160">
        <v>10963</v>
      </c>
      <c r="K62" s="160">
        <v>19481</v>
      </c>
      <c r="L62" s="160">
        <v>1335</v>
      </c>
      <c r="M62" s="160">
        <f>J62-K62</f>
        <v>-8518</v>
      </c>
      <c r="N62" s="161">
        <f>(J62-K62)/K62</f>
        <v>-0.43724654791848466</v>
      </c>
      <c r="O62" s="162">
        <f>J62-L62</f>
        <v>9628</v>
      </c>
      <c r="P62" s="161">
        <f>(J62-L62)/L62</f>
        <v>7.2119850187265921</v>
      </c>
      <c r="Q62" s="166">
        <f>L62-K62</f>
        <v>-18146</v>
      </c>
      <c r="R62" s="163" t="str">
        <f>IF(Q62&gt;0,"맥산 유리","수입 유리")</f>
        <v>수입 유리</v>
      </c>
      <c r="S62" s="163" t="str">
        <f>Q62&amp;"원"&amp;" "&amp;R62</f>
        <v>-18146원 수입 유리</v>
      </c>
    </row>
    <row r="63" spans="1:19">
      <c r="A63" s="156">
        <v>162</v>
      </c>
      <c r="B63" s="164" t="s">
        <v>1137</v>
      </c>
      <c r="C63" s="164" t="s">
        <v>1138</v>
      </c>
      <c r="D63" s="164" t="s">
        <v>1139</v>
      </c>
      <c r="E63" s="165">
        <v>6</v>
      </c>
      <c r="F63" s="165">
        <v>680</v>
      </c>
      <c r="G63" s="165"/>
      <c r="H63" s="165"/>
      <c r="I63" s="159">
        <v>686</v>
      </c>
      <c r="J63" s="160">
        <v>2641</v>
      </c>
      <c r="K63" s="160">
        <v>3609</v>
      </c>
      <c r="L63" s="160">
        <v>2897</v>
      </c>
      <c r="M63" s="160">
        <f>J63-K63</f>
        <v>-968</v>
      </c>
      <c r="N63" s="161">
        <f>(J63-K63)/K63</f>
        <v>-0.26821834303131059</v>
      </c>
      <c r="O63" s="162">
        <f>J63-L63</f>
        <v>-256</v>
      </c>
      <c r="P63" s="161">
        <f>(J63-L63)/L63</f>
        <v>-8.836727649292371E-2</v>
      </c>
      <c r="Q63" s="166">
        <f>L63-K63</f>
        <v>-712</v>
      </c>
      <c r="R63" s="163" t="str">
        <f>IF(Q63&gt;0,"맥산 유리","수입 유리")</f>
        <v>수입 유리</v>
      </c>
      <c r="S63" s="163" t="str">
        <f>Q63&amp;"원"&amp;" "&amp;R63</f>
        <v>-712원 수입 유리</v>
      </c>
    </row>
    <row r="64" spans="1:19">
      <c r="A64" s="156">
        <v>140</v>
      </c>
      <c r="B64" s="157" t="s">
        <v>906</v>
      </c>
      <c r="C64" s="157" t="s">
        <v>907</v>
      </c>
      <c r="D64" s="157" t="s">
        <v>908</v>
      </c>
      <c r="E64" s="158">
        <v>604</v>
      </c>
      <c r="F64" s="158">
        <v>56</v>
      </c>
      <c r="G64" s="158">
        <v>14</v>
      </c>
      <c r="H64" s="158">
        <v>10</v>
      </c>
      <c r="I64" s="159">
        <v>684</v>
      </c>
      <c r="J64" s="160">
        <v>3229</v>
      </c>
      <c r="K64" s="160">
        <v>4538</v>
      </c>
      <c r="L64" s="160">
        <v>4442</v>
      </c>
      <c r="M64" s="160">
        <f>J64-K64</f>
        <v>-1309</v>
      </c>
      <c r="N64" s="161">
        <f>(J64-K64)/K64</f>
        <v>-0.28845306302335832</v>
      </c>
      <c r="O64" s="162">
        <f>J64-L64</f>
        <v>-1213</v>
      </c>
      <c r="P64" s="161">
        <f>(J64-L64)/L64</f>
        <v>-0.27307519135524538</v>
      </c>
      <c r="Q64" s="166">
        <f>L64-K64</f>
        <v>-96</v>
      </c>
      <c r="R64" s="163" t="str">
        <f>IF(Q64&gt;0,"맥산 유리","수입 유리")</f>
        <v>수입 유리</v>
      </c>
      <c r="S64" s="163" t="str">
        <f>Q64&amp;"원"&amp;" "&amp;R64</f>
        <v>-96원 수입 유리</v>
      </c>
    </row>
    <row r="65" spans="1:19">
      <c r="A65" s="156">
        <v>72</v>
      </c>
      <c r="B65" s="164" t="s">
        <v>740</v>
      </c>
      <c r="C65" s="164" t="s">
        <v>741</v>
      </c>
      <c r="D65" s="164" t="s">
        <v>742</v>
      </c>
      <c r="E65" s="165">
        <v>172</v>
      </c>
      <c r="F65" s="165">
        <v>198</v>
      </c>
      <c r="G65" s="165">
        <v>228</v>
      </c>
      <c r="H65" s="165">
        <v>58</v>
      </c>
      <c r="I65" s="159">
        <v>656</v>
      </c>
      <c r="J65" s="160">
        <v>9770</v>
      </c>
      <c r="K65" s="160">
        <v>14612</v>
      </c>
      <c r="L65" s="160">
        <v>16498</v>
      </c>
      <c r="M65" s="160">
        <f>J65-K65</f>
        <v>-4842</v>
      </c>
      <c r="N65" s="161">
        <f>(J65-K65)/K65</f>
        <v>-0.3313714754995894</v>
      </c>
      <c r="O65" s="162">
        <f>J65-L65</f>
        <v>-6728</v>
      </c>
      <c r="P65" s="161">
        <f>(J65-L65)/L65</f>
        <v>-0.40780700690992849</v>
      </c>
      <c r="Q65" s="166">
        <f>L65-K65</f>
        <v>1886</v>
      </c>
      <c r="R65" s="163" t="str">
        <f>IF(Q65&gt;0,"맥산 유리","수입 유리")</f>
        <v>맥산 유리</v>
      </c>
      <c r="S65" s="163" t="str">
        <f>Q65&amp;"원"&amp;" "&amp;R65</f>
        <v>1886원 맥산 유리</v>
      </c>
    </row>
    <row r="66" spans="1:19">
      <c r="A66" s="156">
        <v>127</v>
      </c>
      <c r="B66" s="164" t="s">
        <v>871</v>
      </c>
      <c r="C66" s="164" t="s">
        <v>872</v>
      </c>
      <c r="D66" s="164" t="s">
        <v>873</v>
      </c>
      <c r="E66" s="165">
        <v>253</v>
      </c>
      <c r="F66" s="165">
        <v>48</v>
      </c>
      <c r="G66" s="165">
        <v>275</v>
      </c>
      <c r="H66" s="165">
        <v>50</v>
      </c>
      <c r="I66" s="159">
        <v>626</v>
      </c>
      <c r="J66" s="160">
        <v>8366</v>
      </c>
      <c r="K66" s="160">
        <v>12114</v>
      </c>
      <c r="L66" s="160">
        <v>13645</v>
      </c>
      <c r="M66" s="160">
        <f>J66-K66</f>
        <v>-3748</v>
      </c>
      <c r="N66" s="161">
        <f>(J66-K66)/K66</f>
        <v>-0.30939408948324254</v>
      </c>
      <c r="O66" s="162">
        <f>J66-L66</f>
        <v>-5279</v>
      </c>
      <c r="P66" s="161">
        <f>(J66-L66)/L66</f>
        <v>-0.38688164162696959</v>
      </c>
      <c r="Q66" s="166">
        <f>L66-K66</f>
        <v>1531</v>
      </c>
      <c r="R66" s="163" t="str">
        <f>IF(Q66&gt;0,"맥산 유리","수입 유리")</f>
        <v>맥산 유리</v>
      </c>
      <c r="S66" s="163" t="str">
        <f>Q66&amp;"원"&amp;" "&amp;R66</f>
        <v>1531원 맥산 유리</v>
      </c>
    </row>
    <row r="67" spans="1:19">
      <c r="A67" s="156">
        <v>10</v>
      </c>
      <c r="B67" s="164" t="s">
        <v>532</v>
      </c>
      <c r="C67" s="164" t="s">
        <v>533</v>
      </c>
      <c r="D67" s="164" t="s">
        <v>534</v>
      </c>
      <c r="E67" s="165">
        <v>361</v>
      </c>
      <c r="F67" s="165">
        <v>103</v>
      </c>
      <c r="G67" s="165">
        <v>137</v>
      </c>
      <c r="H67" s="165"/>
      <c r="I67" s="159">
        <v>601</v>
      </c>
      <c r="J67" s="160">
        <v>3074</v>
      </c>
      <c r="K67" s="160">
        <v>4212</v>
      </c>
      <c r="L67" s="160">
        <v>3292</v>
      </c>
      <c r="M67" s="160">
        <f>J67-K67</f>
        <v>-1138</v>
      </c>
      <c r="N67" s="161">
        <f>(J67-K67)/K67</f>
        <v>-0.27018043684710352</v>
      </c>
      <c r="O67" s="162">
        <f>J67-L67</f>
        <v>-218</v>
      </c>
      <c r="P67" s="161">
        <f>(J67-L67)/L67</f>
        <v>-6.6221142162818949E-2</v>
      </c>
      <c r="Q67" s="166">
        <f>L67-K67</f>
        <v>-920</v>
      </c>
      <c r="R67" s="163" t="str">
        <f>IF(Q67&gt;0,"맥산 유리","수입 유리")</f>
        <v>수입 유리</v>
      </c>
      <c r="S67" s="163" t="str">
        <f>Q67&amp;"원"&amp;" "&amp;R67</f>
        <v>-920원 수입 유리</v>
      </c>
    </row>
    <row r="68" spans="1:19">
      <c r="A68" s="156">
        <v>28</v>
      </c>
      <c r="B68" s="157" t="s">
        <v>602</v>
      </c>
      <c r="C68" s="157" t="s">
        <v>603</v>
      </c>
      <c r="D68" s="157" t="s">
        <v>604</v>
      </c>
      <c r="E68" s="158">
        <v>100</v>
      </c>
      <c r="F68" s="158">
        <v>250</v>
      </c>
      <c r="G68" s="158">
        <v>240</v>
      </c>
      <c r="H68" s="158"/>
      <c r="I68" s="159">
        <v>590</v>
      </c>
      <c r="J68" s="160">
        <v>1986</v>
      </c>
      <c r="K68" s="160">
        <v>2028</v>
      </c>
      <c r="L68" s="160">
        <v>1728</v>
      </c>
      <c r="M68" s="160">
        <f>J68-K68</f>
        <v>-42</v>
      </c>
      <c r="N68" s="161">
        <f>(J68-K68)/K68</f>
        <v>-2.0710059171597635E-2</v>
      </c>
      <c r="O68" s="162">
        <f>J68-L68</f>
        <v>258</v>
      </c>
      <c r="P68" s="161">
        <f>(J68-L68)/L68</f>
        <v>0.14930555555555555</v>
      </c>
      <c r="Q68" s="166">
        <f>L68-K68</f>
        <v>-300</v>
      </c>
      <c r="R68" s="163" t="str">
        <f>IF(Q68&gt;0,"맥산 유리","수입 유리")</f>
        <v>수입 유리</v>
      </c>
      <c r="S68" s="163" t="str">
        <f>Q68&amp;"원"&amp;" "&amp;R68</f>
        <v>-300원 수입 유리</v>
      </c>
    </row>
    <row r="69" spans="1:19">
      <c r="A69" s="156">
        <v>12</v>
      </c>
      <c r="B69" s="164" t="s">
        <v>547</v>
      </c>
      <c r="C69" s="164" t="s">
        <v>548</v>
      </c>
      <c r="D69" s="164" t="s">
        <v>549</v>
      </c>
      <c r="E69" s="165">
        <v>212</v>
      </c>
      <c r="F69" s="165">
        <v>91</v>
      </c>
      <c r="G69" s="165">
        <v>287</v>
      </c>
      <c r="H69" s="165"/>
      <c r="I69" s="159">
        <v>590</v>
      </c>
      <c r="J69" s="160">
        <v>3662</v>
      </c>
      <c r="K69" s="160">
        <v>4786</v>
      </c>
      <c r="L69" s="160">
        <v>3798</v>
      </c>
      <c r="M69" s="160">
        <f>J69-K69</f>
        <v>-1124</v>
      </c>
      <c r="N69" s="161">
        <f>(J69-K69)/K69</f>
        <v>-0.23485165064772254</v>
      </c>
      <c r="O69" s="162">
        <f>J69-L69</f>
        <v>-136</v>
      </c>
      <c r="P69" s="161">
        <f>(J69-L69)/L69</f>
        <v>-3.5808320168509739E-2</v>
      </c>
      <c r="Q69" s="166">
        <f>L69-K69</f>
        <v>-988</v>
      </c>
      <c r="R69" s="163" t="str">
        <f>IF(Q69&gt;0,"맥산 유리","수입 유리")</f>
        <v>수입 유리</v>
      </c>
      <c r="S69" s="163" t="str">
        <f>Q69&amp;"원"&amp;" "&amp;R69</f>
        <v>-988원 수입 유리</v>
      </c>
    </row>
    <row r="70" spans="1:19">
      <c r="A70" s="156">
        <v>7</v>
      </c>
      <c r="B70" s="157" t="s">
        <v>523</v>
      </c>
      <c r="C70" s="157" t="s">
        <v>524</v>
      </c>
      <c r="D70" s="157" t="s">
        <v>525</v>
      </c>
      <c r="E70" s="158">
        <v>415</v>
      </c>
      <c r="F70" s="158">
        <v>111</v>
      </c>
      <c r="G70" s="158">
        <v>38</v>
      </c>
      <c r="H70" s="158"/>
      <c r="I70" s="159">
        <v>564</v>
      </c>
      <c r="J70" s="160">
        <v>2952</v>
      </c>
      <c r="K70" s="160">
        <v>3925</v>
      </c>
      <c r="L70" s="160">
        <v>3039</v>
      </c>
      <c r="M70" s="160">
        <f>J70-K70</f>
        <v>-973</v>
      </c>
      <c r="N70" s="161">
        <f>(J70-K70)/K70</f>
        <v>-0.24789808917197453</v>
      </c>
      <c r="O70" s="162">
        <f>J70-L70</f>
        <v>-87</v>
      </c>
      <c r="P70" s="161">
        <f>(J70-L70)/L70</f>
        <v>-2.8627838104639685E-2</v>
      </c>
      <c r="Q70" s="166">
        <f>L70-K70</f>
        <v>-886</v>
      </c>
      <c r="R70" s="163" t="str">
        <f>IF(Q70&gt;0,"맥산 유리","수입 유리")</f>
        <v>수입 유리</v>
      </c>
      <c r="S70" s="163" t="str">
        <f>Q70&amp;"원"&amp;" "&amp;R70</f>
        <v>-886원 수입 유리</v>
      </c>
    </row>
    <row r="71" spans="1:19">
      <c r="A71" s="156">
        <v>90</v>
      </c>
      <c r="B71" s="157" t="s">
        <v>795</v>
      </c>
      <c r="C71" s="157" t="s">
        <v>796</v>
      </c>
      <c r="D71" s="157" t="s">
        <v>797</v>
      </c>
      <c r="E71" s="158">
        <v>184</v>
      </c>
      <c r="F71" s="158">
        <v>36</v>
      </c>
      <c r="G71" s="158">
        <v>300</v>
      </c>
      <c r="H71" s="158">
        <v>2</v>
      </c>
      <c r="I71" s="159">
        <v>522</v>
      </c>
      <c r="J71" s="160">
        <v>2306</v>
      </c>
      <c r="K71" s="160">
        <v>3539</v>
      </c>
      <c r="L71" s="160">
        <v>3370</v>
      </c>
      <c r="M71" s="160">
        <f>J71-K71</f>
        <v>-1233</v>
      </c>
      <c r="N71" s="161">
        <f>(J71-K71)/K71</f>
        <v>-0.34840350381463692</v>
      </c>
      <c r="O71" s="162">
        <f>J71-L71</f>
        <v>-1064</v>
      </c>
      <c r="P71" s="161">
        <f>(J71-L71)/L71</f>
        <v>-0.31572700296735906</v>
      </c>
      <c r="Q71" s="166">
        <f>L71-K71</f>
        <v>-169</v>
      </c>
      <c r="R71" s="163" t="str">
        <f>IF(Q71&gt;0,"맥산 유리","수입 유리")</f>
        <v>수입 유리</v>
      </c>
      <c r="S71" s="163" t="str">
        <f>Q71&amp;"원"&amp;" "&amp;R71</f>
        <v>-169원 수입 유리</v>
      </c>
    </row>
    <row r="72" spans="1:19">
      <c r="A72" s="156">
        <v>29</v>
      </c>
      <c r="B72" s="164" t="s">
        <v>605</v>
      </c>
      <c r="C72" s="164" t="s">
        <v>606</v>
      </c>
      <c r="D72" s="164" t="s">
        <v>607</v>
      </c>
      <c r="E72" s="165">
        <v>77</v>
      </c>
      <c r="F72" s="165">
        <v>69</v>
      </c>
      <c r="G72" s="165">
        <v>374</v>
      </c>
      <c r="H72" s="165"/>
      <c r="I72" s="159">
        <v>520</v>
      </c>
      <c r="J72" s="160">
        <v>8619</v>
      </c>
      <c r="K72" s="160">
        <v>12423</v>
      </c>
      <c r="L72" s="160">
        <v>13774</v>
      </c>
      <c r="M72" s="160">
        <f>J72-K72</f>
        <v>-3804</v>
      </c>
      <c r="N72" s="161">
        <f>(J72-K72)/K72</f>
        <v>-0.30620623037913547</v>
      </c>
      <c r="O72" s="162">
        <f>J72-L72</f>
        <v>-5155</v>
      </c>
      <c r="P72" s="161">
        <f>(J72-L72)/L72</f>
        <v>-0.374255844344417</v>
      </c>
      <c r="Q72" s="166">
        <f>L72-K72</f>
        <v>1351</v>
      </c>
      <c r="R72" s="163" t="str">
        <f>IF(Q72&gt;0,"맥산 유리","수입 유리")</f>
        <v>맥산 유리</v>
      </c>
      <c r="S72" s="163" t="str">
        <f>Q72&amp;"원"&amp;" "&amp;R72</f>
        <v>1351원 맥산 유리</v>
      </c>
    </row>
    <row r="73" spans="1:19">
      <c r="A73" s="156">
        <v>97</v>
      </c>
      <c r="B73" s="164" t="s">
        <v>804</v>
      </c>
      <c r="C73" s="164" t="s">
        <v>805</v>
      </c>
      <c r="D73" s="164" t="s">
        <v>806</v>
      </c>
      <c r="E73" s="165">
        <v>301</v>
      </c>
      <c r="F73" s="165">
        <v>150</v>
      </c>
      <c r="G73" s="165">
        <v>50</v>
      </c>
      <c r="H73" s="165"/>
      <c r="I73" s="159">
        <v>501</v>
      </c>
      <c r="J73" s="160">
        <v>1138</v>
      </c>
      <c r="K73" s="160">
        <v>1808</v>
      </c>
      <c r="L73" s="160">
        <v>1449</v>
      </c>
      <c r="M73" s="160">
        <f>J73-K73</f>
        <v>-670</v>
      </c>
      <c r="N73" s="161">
        <f>(J73-K73)/K73</f>
        <v>-0.37057522123893805</v>
      </c>
      <c r="O73" s="162">
        <f>J73-L73</f>
        <v>-311</v>
      </c>
      <c r="P73" s="161">
        <f>(J73-L73)/L73</f>
        <v>-0.21463077984817117</v>
      </c>
      <c r="Q73" s="166">
        <f>L73-K73</f>
        <v>-359</v>
      </c>
      <c r="R73" s="163" t="str">
        <f>IF(Q73&gt;0,"맥산 유리","수입 유리")</f>
        <v>수입 유리</v>
      </c>
      <c r="S73" s="163" t="str">
        <f>Q73&amp;"원"&amp;" "&amp;R73</f>
        <v>-359원 수입 유리</v>
      </c>
    </row>
    <row r="74" spans="1:19">
      <c r="A74" s="156">
        <v>26</v>
      </c>
      <c r="B74" s="157" t="s">
        <v>596</v>
      </c>
      <c r="C74" s="157" t="s">
        <v>597</v>
      </c>
      <c r="D74" s="157" t="s">
        <v>598</v>
      </c>
      <c r="E74" s="158">
        <v>164</v>
      </c>
      <c r="F74" s="158">
        <v>62</v>
      </c>
      <c r="G74" s="158">
        <v>222</v>
      </c>
      <c r="H74" s="158">
        <v>5</v>
      </c>
      <c r="I74" s="159">
        <v>453</v>
      </c>
      <c r="J74" s="160">
        <v>7863</v>
      </c>
      <c r="K74" s="160">
        <v>11251</v>
      </c>
      <c r="L74" s="160">
        <v>12380</v>
      </c>
      <c r="M74" s="160">
        <f>J74-K74</f>
        <v>-3388</v>
      </c>
      <c r="N74" s="161">
        <f>(J74-K74)/K74</f>
        <v>-0.30112878855212871</v>
      </c>
      <c r="O74" s="162">
        <f>J74-L74</f>
        <v>-4517</v>
      </c>
      <c r="P74" s="161">
        <f>(J74-L74)/L74</f>
        <v>-0.36486268174474962</v>
      </c>
      <c r="Q74" s="166">
        <f>L74-K74</f>
        <v>1129</v>
      </c>
      <c r="R74" s="163" t="str">
        <f>IF(Q74&gt;0,"맥산 유리","수입 유리")</f>
        <v>맥산 유리</v>
      </c>
      <c r="S74" s="163" t="str">
        <f>Q74&amp;"원"&amp;" "&amp;R74</f>
        <v>1129원 맥산 유리</v>
      </c>
    </row>
    <row r="75" spans="1:19">
      <c r="A75" s="156">
        <v>98</v>
      </c>
      <c r="B75" s="157" t="s">
        <v>807</v>
      </c>
      <c r="C75" s="157" t="s">
        <v>808</v>
      </c>
      <c r="D75" s="157" t="s">
        <v>809</v>
      </c>
      <c r="E75" s="158">
        <v>56</v>
      </c>
      <c r="F75" s="158">
        <v>330</v>
      </c>
      <c r="G75" s="158">
        <v>50</v>
      </c>
      <c r="H75" s="158"/>
      <c r="I75" s="159">
        <v>436</v>
      </c>
      <c r="J75" s="160">
        <v>1142</v>
      </c>
      <c r="K75" s="160">
        <v>1732</v>
      </c>
      <c r="L75" s="160">
        <v>1417</v>
      </c>
      <c r="M75" s="160">
        <f>J75-K75</f>
        <v>-590</v>
      </c>
      <c r="N75" s="161">
        <f>(J75-K75)/K75</f>
        <v>-0.34064665127020788</v>
      </c>
      <c r="O75" s="162">
        <f>J75-L75</f>
        <v>-275</v>
      </c>
      <c r="P75" s="161">
        <f>(J75-L75)/L75</f>
        <v>-0.19407198306280876</v>
      </c>
      <c r="Q75" s="166">
        <f>L75-K75</f>
        <v>-315</v>
      </c>
      <c r="R75" s="163" t="str">
        <f>IF(Q75&gt;0,"맥산 유리","수입 유리")</f>
        <v>수입 유리</v>
      </c>
      <c r="S75" s="163" t="str">
        <f>Q75&amp;"원"&amp;" "&amp;R75</f>
        <v>-315원 수입 유리</v>
      </c>
    </row>
    <row r="76" spans="1:19">
      <c r="A76" s="156">
        <v>143</v>
      </c>
      <c r="B76" s="157" t="s">
        <v>2535</v>
      </c>
      <c r="C76" s="157" t="s">
        <v>2536</v>
      </c>
      <c r="D76" s="157" t="s">
        <v>2537</v>
      </c>
      <c r="E76" s="158"/>
      <c r="F76" s="158">
        <v>100</v>
      </c>
      <c r="G76" s="158">
        <v>320</v>
      </c>
      <c r="H76" s="158"/>
      <c r="I76" s="159">
        <v>420</v>
      </c>
      <c r="J76" s="160">
        <v>1708</v>
      </c>
      <c r="K76" s="160">
        <v>2488</v>
      </c>
      <c r="L76" s="160">
        <v>2361</v>
      </c>
      <c r="M76" s="160">
        <f>J76-K76</f>
        <v>-780</v>
      </c>
      <c r="N76" s="161">
        <f>(J76-K76)/K76</f>
        <v>-0.31350482315112538</v>
      </c>
      <c r="O76" s="162">
        <f>J76-L76</f>
        <v>-653</v>
      </c>
      <c r="P76" s="161">
        <f>(J76-L76)/L76</f>
        <v>-0.27657772130453195</v>
      </c>
      <c r="Q76" s="166">
        <f>L76-K76</f>
        <v>-127</v>
      </c>
      <c r="R76" s="163" t="str">
        <f>IF(Q76&gt;0,"맥산 유리","수입 유리")</f>
        <v>수입 유리</v>
      </c>
      <c r="S76" s="163" t="str">
        <f>Q76&amp;"원"&amp;" "&amp;R76</f>
        <v>-127원 수입 유리</v>
      </c>
    </row>
    <row r="77" spans="1:19">
      <c r="A77" s="156">
        <v>20</v>
      </c>
      <c r="B77" s="157" t="s">
        <v>578</v>
      </c>
      <c r="C77" s="157" t="s">
        <v>579</v>
      </c>
      <c r="D77" s="157" t="s">
        <v>580</v>
      </c>
      <c r="E77" s="158">
        <v>219</v>
      </c>
      <c r="F77" s="158">
        <v>10</v>
      </c>
      <c r="G77" s="158">
        <v>180</v>
      </c>
      <c r="H77" s="158"/>
      <c r="I77" s="159">
        <v>409</v>
      </c>
      <c r="J77" s="160">
        <v>3374</v>
      </c>
      <c r="K77" s="160">
        <v>4232</v>
      </c>
      <c r="L77" s="160">
        <v>4098</v>
      </c>
      <c r="M77" s="160">
        <f>J77-K77</f>
        <v>-858</v>
      </c>
      <c r="N77" s="161">
        <f>(J77-K77)/K77</f>
        <v>-0.20274102079395084</v>
      </c>
      <c r="O77" s="162">
        <f>J77-L77</f>
        <v>-724</v>
      </c>
      <c r="P77" s="161">
        <f>(J77-L77)/L77</f>
        <v>-0.17667154709614447</v>
      </c>
      <c r="Q77" s="166">
        <f>L77-K77</f>
        <v>-134</v>
      </c>
      <c r="R77" s="163" t="str">
        <f>IF(Q77&gt;0,"맥산 유리","수입 유리")</f>
        <v>수입 유리</v>
      </c>
      <c r="S77" s="163" t="str">
        <f>Q77&amp;"원"&amp;" "&amp;R77</f>
        <v>-134원 수입 유리</v>
      </c>
    </row>
    <row r="78" spans="1:19">
      <c r="A78" s="156">
        <v>6</v>
      </c>
      <c r="B78" s="164" t="s">
        <v>518</v>
      </c>
      <c r="C78" s="164" t="s">
        <v>519</v>
      </c>
      <c r="D78" s="164" t="s">
        <v>520</v>
      </c>
      <c r="E78" s="165">
        <v>225</v>
      </c>
      <c r="F78" s="165">
        <v>88</v>
      </c>
      <c r="G78" s="165">
        <v>84</v>
      </c>
      <c r="H78" s="165"/>
      <c r="I78" s="159">
        <v>397</v>
      </c>
      <c r="J78" s="160">
        <v>6361</v>
      </c>
      <c r="K78" s="160">
        <v>11031</v>
      </c>
      <c r="L78" s="160">
        <v>8862</v>
      </c>
      <c r="M78" s="160">
        <f>J78-K78</f>
        <v>-4670</v>
      </c>
      <c r="N78" s="161">
        <f>(J78-K78)/K78</f>
        <v>-0.42335237059196806</v>
      </c>
      <c r="O78" s="162">
        <f>J78-L78</f>
        <v>-2501</v>
      </c>
      <c r="P78" s="161">
        <f>(J78-L78)/L78</f>
        <v>-0.28221620401715186</v>
      </c>
      <c r="Q78" s="166">
        <f>L78-K78</f>
        <v>-2169</v>
      </c>
      <c r="R78" s="163" t="str">
        <f>IF(Q78&gt;0,"맥산 유리","수입 유리")</f>
        <v>수입 유리</v>
      </c>
      <c r="S78" s="163" t="str">
        <f>Q78&amp;"원"&amp;" "&amp;R78</f>
        <v>-2169원 수입 유리</v>
      </c>
    </row>
    <row r="79" spans="1:19">
      <c r="A79" s="156">
        <v>32</v>
      </c>
      <c r="B79" s="157" t="s">
        <v>611</v>
      </c>
      <c r="C79" s="157" t="s">
        <v>612</v>
      </c>
      <c r="D79" s="157" t="s">
        <v>613</v>
      </c>
      <c r="E79" s="158">
        <v>64</v>
      </c>
      <c r="F79" s="158">
        <v>86</v>
      </c>
      <c r="G79" s="158">
        <v>235</v>
      </c>
      <c r="H79" s="158"/>
      <c r="I79" s="159">
        <v>385</v>
      </c>
      <c r="J79" s="160">
        <v>11124</v>
      </c>
      <c r="K79" s="160">
        <v>14695</v>
      </c>
      <c r="L79" s="160">
        <v>16562</v>
      </c>
      <c r="M79" s="160">
        <f>J79-K79</f>
        <v>-3571</v>
      </c>
      <c r="N79" s="161">
        <f>(J79-K79)/K79</f>
        <v>-0.2430078257910854</v>
      </c>
      <c r="O79" s="162">
        <f>J79-L79</f>
        <v>-5438</v>
      </c>
      <c r="P79" s="161">
        <f>(J79-L79)/L79</f>
        <v>-0.328341987682647</v>
      </c>
      <c r="Q79" s="166">
        <f>L79-K79</f>
        <v>1867</v>
      </c>
      <c r="R79" s="163" t="str">
        <f>IF(Q79&gt;0,"맥산 유리","수입 유리")</f>
        <v>맥산 유리</v>
      </c>
      <c r="S79" s="163" t="str">
        <f>Q79&amp;"원"&amp;" "&amp;R79</f>
        <v>1867원 맥산 유리</v>
      </c>
    </row>
    <row r="80" spans="1:19">
      <c r="A80" s="156">
        <v>139</v>
      </c>
      <c r="B80" s="157" t="s">
        <v>903</v>
      </c>
      <c r="C80" s="157" t="s">
        <v>904</v>
      </c>
      <c r="D80" s="157" t="s">
        <v>905</v>
      </c>
      <c r="E80" s="158">
        <v>300</v>
      </c>
      <c r="F80" s="158">
        <v>32</v>
      </c>
      <c r="G80" s="158"/>
      <c r="H80" s="158"/>
      <c r="I80" s="159">
        <v>332</v>
      </c>
      <c r="J80" s="160">
        <v>1540</v>
      </c>
      <c r="K80" s="160">
        <v>2271</v>
      </c>
      <c r="L80" s="160">
        <v>2083</v>
      </c>
      <c r="M80" s="160">
        <f>J80-K80</f>
        <v>-731</v>
      </c>
      <c r="N80" s="161">
        <f>(J80-K80)/K80</f>
        <v>-0.32188463232056364</v>
      </c>
      <c r="O80" s="162">
        <f>J80-L80</f>
        <v>-543</v>
      </c>
      <c r="P80" s="161">
        <f>(J80-L80)/L80</f>
        <v>-0.26068170907345173</v>
      </c>
      <c r="Q80" s="166">
        <f>L80-K80</f>
        <v>-188</v>
      </c>
      <c r="R80" s="163" t="str">
        <f>IF(Q80&gt;0,"맥산 유리","수입 유리")</f>
        <v>수입 유리</v>
      </c>
      <c r="S80" s="163" t="str">
        <f>Q80&amp;"원"&amp;" "&amp;R80</f>
        <v>-188원 수입 유리</v>
      </c>
    </row>
    <row r="81" spans="1:19">
      <c r="A81" s="156">
        <v>43</v>
      </c>
      <c r="B81" s="164" t="s">
        <v>652</v>
      </c>
      <c r="C81" s="164" t="s">
        <v>653</v>
      </c>
      <c r="D81" s="164" t="s">
        <v>654</v>
      </c>
      <c r="E81" s="165">
        <v>135</v>
      </c>
      <c r="F81" s="165">
        <v>184</v>
      </c>
      <c r="G81" s="165">
        <v>4</v>
      </c>
      <c r="H81" s="165"/>
      <c r="I81" s="159">
        <v>323</v>
      </c>
      <c r="J81" s="160">
        <v>3083</v>
      </c>
      <c r="K81" s="160">
        <v>4129</v>
      </c>
      <c r="L81" s="160">
        <v>3228</v>
      </c>
      <c r="M81" s="160">
        <f>J81-K81</f>
        <v>-1046</v>
      </c>
      <c r="N81" s="161">
        <f>(J81-K81)/K81</f>
        <v>-0.25333010414143858</v>
      </c>
      <c r="O81" s="162">
        <f>J81-L81</f>
        <v>-145</v>
      </c>
      <c r="P81" s="161">
        <f>(J81-L81)/L81</f>
        <v>-4.4919454770755887E-2</v>
      </c>
      <c r="Q81" s="166">
        <f>L81-K81</f>
        <v>-901</v>
      </c>
      <c r="R81" s="163" t="str">
        <f>IF(Q81&gt;0,"맥산 유리","수입 유리")</f>
        <v>수입 유리</v>
      </c>
      <c r="S81" s="163" t="str">
        <f>Q81&amp;"원"&amp;" "&amp;R81</f>
        <v>-901원 수입 유리</v>
      </c>
    </row>
    <row r="82" spans="1:19">
      <c r="A82" s="156">
        <v>128</v>
      </c>
      <c r="B82" s="157" t="s">
        <v>874</v>
      </c>
      <c r="C82" s="157" t="s">
        <v>875</v>
      </c>
      <c r="D82" s="157" t="s">
        <v>876</v>
      </c>
      <c r="E82" s="158">
        <v>49</v>
      </c>
      <c r="F82" s="158">
        <v>191</v>
      </c>
      <c r="G82" s="158">
        <v>73</v>
      </c>
      <c r="H82" s="158">
        <v>6</v>
      </c>
      <c r="I82" s="159">
        <v>319</v>
      </c>
      <c r="J82" s="160">
        <v>3829</v>
      </c>
      <c r="K82" s="160">
        <v>6750</v>
      </c>
      <c r="L82" s="160">
        <v>6823</v>
      </c>
      <c r="M82" s="160">
        <f>J82-K82</f>
        <v>-2921</v>
      </c>
      <c r="N82" s="161">
        <f>(J82-K82)/K82</f>
        <v>-0.43274074074074076</v>
      </c>
      <c r="O82" s="162">
        <f>J82-L82</f>
        <v>-2994</v>
      </c>
      <c r="P82" s="161">
        <f>(J82-L82)/L82</f>
        <v>-0.43880990766524991</v>
      </c>
      <c r="Q82" s="166">
        <f>L82-K82</f>
        <v>73</v>
      </c>
      <c r="R82" s="163" t="str">
        <f>IF(Q82&gt;0,"맥산 유리","수입 유리")</f>
        <v>맥산 유리</v>
      </c>
      <c r="S82" s="163" t="str">
        <f>Q82&amp;"원"&amp;" "&amp;R82</f>
        <v>73원 맥산 유리</v>
      </c>
    </row>
    <row r="83" spans="1:19">
      <c r="A83" s="156">
        <v>69</v>
      </c>
      <c r="B83" s="157" t="s">
        <v>731</v>
      </c>
      <c r="C83" s="157" t="s">
        <v>732</v>
      </c>
      <c r="D83" s="157" t="s">
        <v>733</v>
      </c>
      <c r="E83" s="158">
        <v>165</v>
      </c>
      <c r="F83" s="158">
        <v>15</v>
      </c>
      <c r="G83" s="158">
        <v>80</v>
      </c>
      <c r="H83" s="158">
        <v>20</v>
      </c>
      <c r="I83" s="159">
        <v>280</v>
      </c>
      <c r="J83" s="160">
        <v>10070</v>
      </c>
      <c r="K83" s="160">
        <v>13512</v>
      </c>
      <c r="L83" s="160">
        <v>15104</v>
      </c>
      <c r="M83" s="160">
        <f>J83-K83</f>
        <v>-3442</v>
      </c>
      <c r="N83" s="161">
        <f>(J83-K83)/K83</f>
        <v>-0.25473653049141504</v>
      </c>
      <c r="O83" s="162">
        <f>J83-L83</f>
        <v>-5034</v>
      </c>
      <c r="P83" s="161">
        <f>(J83-L83)/L83</f>
        <v>-0.33328919491525422</v>
      </c>
      <c r="Q83" s="166">
        <f>L83-K83</f>
        <v>1592</v>
      </c>
      <c r="R83" s="163" t="str">
        <f>IF(Q83&gt;0,"맥산 유리","수입 유리")</f>
        <v>맥산 유리</v>
      </c>
      <c r="S83" s="163" t="str">
        <f>Q83&amp;"원"&amp;" "&amp;R83</f>
        <v>1592원 맥산 유리</v>
      </c>
    </row>
    <row r="84" spans="1:19">
      <c r="A84" s="156">
        <v>40</v>
      </c>
      <c r="B84" s="157" t="s">
        <v>643</v>
      </c>
      <c r="C84" s="157" t="s">
        <v>644</v>
      </c>
      <c r="D84" s="157" t="s">
        <v>645</v>
      </c>
      <c r="E84" s="158">
        <v>12</v>
      </c>
      <c r="F84" s="158">
        <v>128</v>
      </c>
      <c r="G84" s="158">
        <v>100</v>
      </c>
      <c r="H84" s="158"/>
      <c r="I84" s="159">
        <v>240</v>
      </c>
      <c r="J84" s="160">
        <v>2938</v>
      </c>
      <c r="K84" s="160">
        <v>3842</v>
      </c>
      <c r="L84" s="160">
        <v>2975</v>
      </c>
      <c r="M84" s="160">
        <f>J84-K84</f>
        <v>-904</v>
      </c>
      <c r="N84" s="161">
        <f>(J84-K84)/K84</f>
        <v>-0.23529411764705882</v>
      </c>
      <c r="O84" s="162">
        <f>J84-L84</f>
        <v>-37</v>
      </c>
      <c r="P84" s="161">
        <f>(J84-L84)/L84</f>
        <v>-1.2436974789915966E-2</v>
      </c>
      <c r="Q84" s="166">
        <f>L84-K84</f>
        <v>-867</v>
      </c>
      <c r="R84" s="163" t="str">
        <f>IF(Q84&gt;0,"맥산 유리","수입 유리")</f>
        <v>수입 유리</v>
      </c>
      <c r="S84" s="163" t="str">
        <f>Q84&amp;"원"&amp;" "&amp;R84</f>
        <v>-867원 수입 유리</v>
      </c>
    </row>
    <row r="85" spans="1:19">
      <c r="A85" s="156">
        <v>64</v>
      </c>
      <c r="B85" s="164" t="s">
        <v>713</v>
      </c>
      <c r="C85" s="164" t="s">
        <v>714</v>
      </c>
      <c r="D85" s="164" t="s">
        <v>715</v>
      </c>
      <c r="E85" s="165">
        <v>62</v>
      </c>
      <c r="F85" s="165">
        <v>64</v>
      </c>
      <c r="G85" s="165">
        <v>107</v>
      </c>
      <c r="H85" s="165"/>
      <c r="I85" s="159">
        <v>233</v>
      </c>
      <c r="J85" s="160">
        <v>4208</v>
      </c>
      <c r="K85" s="160">
        <v>6177</v>
      </c>
      <c r="L85" s="160">
        <v>6158</v>
      </c>
      <c r="M85" s="160">
        <f>J85-K85</f>
        <v>-1969</v>
      </c>
      <c r="N85" s="161">
        <f>(J85-K85)/K85</f>
        <v>-0.3187631536344504</v>
      </c>
      <c r="O85" s="162">
        <f>J85-L85</f>
        <v>-1950</v>
      </c>
      <c r="P85" s="161">
        <f>(J85-L85)/L85</f>
        <v>-0.31666125365378367</v>
      </c>
      <c r="Q85" s="166">
        <f>L85-K85</f>
        <v>-19</v>
      </c>
      <c r="R85" s="163" t="str">
        <f>IF(Q85&gt;0,"맥산 유리","수입 유리")</f>
        <v>수입 유리</v>
      </c>
      <c r="S85" s="163" t="str">
        <f>Q85&amp;"원"&amp;" "&amp;R85</f>
        <v>-19원 수입 유리</v>
      </c>
    </row>
    <row r="86" spans="1:19">
      <c r="A86" s="156">
        <v>142</v>
      </c>
      <c r="B86" s="164" t="s">
        <v>912</v>
      </c>
      <c r="C86" s="164" t="s">
        <v>913</v>
      </c>
      <c r="D86" s="164" t="s">
        <v>914</v>
      </c>
      <c r="E86" s="165">
        <v>200</v>
      </c>
      <c r="F86" s="165"/>
      <c r="G86" s="165">
        <v>30</v>
      </c>
      <c r="H86" s="165"/>
      <c r="I86" s="159">
        <v>230</v>
      </c>
      <c r="J86" s="160">
        <v>3398</v>
      </c>
      <c r="K86" s="160">
        <v>4743</v>
      </c>
      <c r="L86" s="160">
        <v>4721</v>
      </c>
      <c r="M86" s="160">
        <f>J86-K86</f>
        <v>-1345</v>
      </c>
      <c r="N86" s="161">
        <f>(J86-K86)/K86</f>
        <v>-0.28357579590976173</v>
      </c>
      <c r="O86" s="162">
        <f>J86-L86</f>
        <v>-1323</v>
      </c>
      <c r="P86" s="161">
        <f>(J86-L86)/L86</f>
        <v>-0.28023723787333193</v>
      </c>
      <c r="Q86" s="166">
        <f>L86-K86</f>
        <v>-22</v>
      </c>
      <c r="R86" s="163" t="str">
        <f>IF(Q86&gt;0,"맥산 유리","수입 유리")</f>
        <v>수입 유리</v>
      </c>
      <c r="S86" s="163" t="str">
        <f>Q86&amp;"원"&amp;" "&amp;R86</f>
        <v>-22원 수입 유리</v>
      </c>
    </row>
    <row r="87" spans="1:19">
      <c r="A87" s="156">
        <v>22</v>
      </c>
      <c r="B87" s="157" t="s">
        <v>584</v>
      </c>
      <c r="C87" s="157" t="s">
        <v>585</v>
      </c>
      <c r="D87" s="157" t="s">
        <v>586</v>
      </c>
      <c r="E87" s="158">
        <v>5</v>
      </c>
      <c r="F87" s="158"/>
      <c r="G87" s="158">
        <v>221</v>
      </c>
      <c r="H87" s="158"/>
      <c r="I87" s="159">
        <v>226</v>
      </c>
      <c r="J87" s="160">
        <v>3748</v>
      </c>
      <c r="K87" s="160">
        <v>4918</v>
      </c>
      <c r="L87" s="160">
        <v>4796</v>
      </c>
      <c r="M87" s="160">
        <f>J87-K87</f>
        <v>-1170</v>
      </c>
      <c r="N87" s="161">
        <f>(J87-K87)/K87</f>
        <v>-0.2379015860105734</v>
      </c>
      <c r="O87" s="162">
        <f>J87-L87</f>
        <v>-1048</v>
      </c>
      <c r="P87" s="161">
        <f>(J87-L87)/L87</f>
        <v>-0.21851542952460384</v>
      </c>
      <c r="Q87" s="166">
        <f>L87-K87</f>
        <v>-122</v>
      </c>
      <c r="R87" s="163" t="str">
        <f>IF(Q87&gt;0,"맥산 유리","수입 유리")</f>
        <v>수입 유리</v>
      </c>
      <c r="S87" s="163" t="str">
        <f>Q87&amp;"원"&amp;" "&amp;R87</f>
        <v>-122원 수입 유리</v>
      </c>
    </row>
    <row r="88" spans="1:19">
      <c r="A88" s="156">
        <v>136</v>
      </c>
      <c r="B88" s="164" t="s">
        <v>892</v>
      </c>
      <c r="C88" s="164" t="s">
        <v>893</v>
      </c>
      <c r="D88" s="164" t="s">
        <v>894</v>
      </c>
      <c r="E88" s="165">
        <v>149</v>
      </c>
      <c r="F88" s="165">
        <v>54</v>
      </c>
      <c r="G88" s="165">
        <v>14</v>
      </c>
      <c r="H88" s="165"/>
      <c r="I88" s="159">
        <v>217</v>
      </c>
      <c r="J88" s="160">
        <v>1480</v>
      </c>
      <c r="K88" s="160">
        <v>2167</v>
      </c>
      <c r="L88" s="160">
        <v>1974</v>
      </c>
      <c r="M88" s="160">
        <f>J88-K88</f>
        <v>-687</v>
      </c>
      <c r="N88" s="161">
        <f>(J88-K88)/K88</f>
        <v>-0.31702814951545916</v>
      </c>
      <c r="O88" s="162">
        <f>J88-L88</f>
        <v>-494</v>
      </c>
      <c r="P88" s="161">
        <f>(J88-L88)/L88</f>
        <v>-0.25025329280648428</v>
      </c>
      <c r="Q88" s="166">
        <f>L88-K88</f>
        <v>-193</v>
      </c>
      <c r="R88" s="163" t="str">
        <f>IF(Q88&gt;0,"맥산 유리","수입 유리")</f>
        <v>수입 유리</v>
      </c>
      <c r="S88" s="163" t="str">
        <f>Q88&amp;"원"&amp;" "&amp;R88</f>
        <v>-193원 수입 유리</v>
      </c>
    </row>
    <row r="89" spans="1:19">
      <c r="A89" s="156">
        <v>11</v>
      </c>
      <c r="B89" s="164" t="s">
        <v>538</v>
      </c>
      <c r="C89" s="164" t="s">
        <v>539</v>
      </c>
      <c r="D89" s="164" t="s">
        <v>540</v>
      </c>
      <c r="E89" s="165">
        <v>64</v>
      </c>
      <c r="F89" s="165">
        <v>5</v>
      </c>
      <c r="G89" s="165">
        <v>140</v>
      </c>
      <c r="H89" s="165"/>
      <c r="I89" s="159">
        <v>209</v>
      </c>
      <c r="J89" s="160">
        <v>8384</v>
      </c>
      <c r="K89" s="160">
        <v>15697</v>
      </c>
      <c r="L89" s="160">
        <v>12658</v>
      </c>
      <c r="M89" s="160">
        <f>J89-K89</f>
        <v>-7313</v>
      </c>
      <c r="N89" s="161">
        <f>(J89-K89)/K89</f>
        <v>-0.46588520099382047</v>
      </c>
      <c r="O89" s="162">
        <f>J89-L89</f>
        <v>-4274</v>
      </c>
      <c r="P89" s="161">
        <f>(J89-L89)/L89</f>
        <v>-0.33765207773739925</v>
      </c>
      <c r="Q89" s="166">
        <f>L89-K89</f>
        <v>-3039</v>
      </c>
      <c r="R89" s="163" t="str">
        <f>IF(Q89&gt;0,"맥산 유리","수입 유리")</f>
        <v>수입 유리</v>
      </c>
      <c r="S89" s="163" t="str">
        <f>Q89&amp;"원"&amp;" "&amp;R89</f>
        <v>-3039원 수입 유리</v>
      </c>
    </row>
    <row r="90" spans="1:19">
      <c r="A90" s="156">
        <v>35</v>
      </c>
      <c r="B90" s="157" t="s">
        <v>622</v>
      </c>
      <c r="C90" s="157" t="s">
        <v>623</v>
      </c>
      <c r="D90" s="157" t="s">
        <v>624</v>
      </c>
      <c r="E90" s="158">
        <v>100</v>
      </c>
      <c r="F90" s="158">
        <v>10</v>
      </c>
      <c r="G90" s="158">
        <v>98</v>
      </c>
      <c r="H90" s="158"/>
      <c r="I90" s="159">
        <v>208</v>
      </c>
      <c r="J90" s="160">
        <v>2154</v>
      </c>
      <c r="K90" s="160">
        <v>2245</v>
      </c>
      <c r="L90" s="160">
        <v>2008</v>
      </c>
      <c r="M90" s="160">
        <f>J90-K90</f>
        <v>-91</v>
      </c>
      <c r="N90" s="161">
        <f>(J90-K90)/K90</f>
        <v>-4.0534521158129173E-2</v>
      </c>
      <c r="O90" s="162">
        <f>J90-L90</f>
        <v>146</v>
      </c>
      <c r="P90" s="161">
        <f>(J90-L90)/L90</f>
        <v>7.2709163346613551E-2</v>
      </c>
      <c r="Q90" s="166">
        <f>L90-K90</f>
        <v>-237</v>
      </c>
      <c r="R90" s="163" t="str">
        <f>IF(Q90&gt;0,"맥산 유리","수입 유리")</f>
        <v>수입 유리</v>
      </c>
      <c r="S90" s="163" t="str">
        <f>Q90&amp;"원"&amp;" "&amp;R90</f>
        <v>-237원 수입 유리</v>
      </c>
    </row>
    <row r="91" spans="1:19">
      <c r="A91" s="156">
        <v>87</v>
      </c>
      <c r="B91" s="157" t="s">
        <v>787</v>
      </c>
      <c r="C91" s="157" t="s">
        <v>788</v>
      </c>
      <c r="D91" s="157" t="s">
        <v>789</v>
      </c>
      <c r="E91" s="158">
        <v>100</v>
      </c>
      <c r="F91" s="158"/>
      <c r="G91" s="158">
        <v>101</v>
      </c>
      <c r="H91" s="158"/>
      <c r="I91" s="159">
        <v>201</v>
      </c>
      <c r="J91" s="160">
        <v>2122</v>
      </c>
      <c r="K91" s="160">
        <v>3174</v>
      </c>
      <c r="L91" s="160">
        <v>3058</v>
      </c>
      <c r="M91" s="160">
        <f>J91-K91</f>
        <v>-1052</v>
      </c>
      <c r="N91" s="161">
        <f>(J91-K91)/K91</f>
        <v>-0.33144297416509139</v>
      </c>
      <c r="O91" s="162">
        <f>J91-L91</f>
        <v>-936</v>
      </c>
      <c r="P91" s="161">
        <f>(J91-L91)/L91</f>
        <v>-0.30608240680183124</v>
      </c>
      <c r="Q91" s="166">
        <f>L91-K91</f>
        <v>-116</v>
      </c>
      <c r="R91" s="163" t="str">
        <f>IF(Q91&gt;0,"맥산 유리","수입 유리")</f>
        <v>수입 유리</v>
      </c>
      <c r="S91" s="163" t="str">
        <f>Q91&amp;"원"&amp;" "&amp;R91</f>
        <v>-116원 수입 유리</v>
      </c>
    </row>
    <row r="92" spans="1:19">
      <c r="A92" s="156">
        <v>86</v>
      </c>
      <c r="B92" s="164" t="s">
        <v>784</v>
      </c>
      <c r="C92" s="164" t="s">
        <v>785</v>
      </c>
      <c r="D92" s="164" t="s">
        <v>786</v>
      </c>
      <c r="E92" s="165">
        <v>200</v>
      </c>
      <c r="F92" s="165"/>
      <c r="G92" s="165"/>
      <c r="H92" s="165"/>
      <c r="I92" s="159">
        <v>200</v>
      </c>
      <c r="J92" s="160">
        <v>4227</v>
      </c>
      <c r="K92" s="160">
        <v>5915</v>
      </c>
      <c r="L92" s="160">
        <v>6115</v>
      </c>
      <c r="M92" s="160">
        <f>J92-K92</f>
        <v>-1688</v>
      </c>
      <c r="N92" s="161">
        <f>(J92-K92)/K92</f>
        <v>-0.28537616229923923</v>
      </c>
      <c r="O92" s="162">
        <f>J92-L92</f>
        <v>-1888</v>
      </c>
      <c r="P92" s="161">
        <f>(J92-L92)/L92</f>
        <v>-0.30874897792313982</v>
      </c>
      <c r="Q92" s="166">
        <f>L92-K92</f>
        <v>200</v>
      </c>
      <c r="R92" s="163" t="str">
        <f>IF(Q92&gt;0,"맥산 유리","수입 유리")</f>
        <v>맥산 유리</v>
      </c>
      <c r="S92" s="163" t="str">
        <f>Q92&amp;"원"&amp;" "&amp;R92</f>
        <v>200원 맥산 유리</v>
      </c>
    </row>
    <row r="93" spans="1:19">
      <c r="A93" s="156">
        <v>163</v>
      </c>
      <c r="B93" s="157" t="s">
        <v>1140</v>
      </c>
      <c r="C93" s="157" t="s">
        <v>1141</v>
      </c>
      <c r="D93" s="157" t="s">
        <v>1142</v>
      </c>
      <c r="E93" s="158">
        <v>200</v>
      </c>
      <c r="F93" s="158"/>
      <c r="G93" s="158"/>
      <c r="H93" s="158"/>
      <c r="I93" s="159">
        <v>200</v>
      </c>
      <c r="J93" s="160">
        <v>6896</v>
      </c>
      <c r="K93" s="160">
        <v>9811</v>
      </c>
      <c r="L93" s="160">
        <v>1335</v>
      </c>
      <c r="M93" s="160">
        <f>J93-K93</f>
        <v>-2915</v>
      </c>
      <c r="N93" s="161">
        <f>(J93-K93)/K93</f>
        <v>-0.29711548262154724</v>
      </c>
      <c r="O93" s="162">
        <f>J93-L93</f>
        <v>5561</v>
      </c>
      <c r="P93" s="161">
        <f>(J93-L93)/L93</f>
        <v>4.165543071161049</v>
      </c>
      <c r="Q93" s="166">
        <f>L93-K93</f>
        <v>-8476</v>
      </c>
      <c r="R93" s="163" t="str">
        <f>IF(Q93&gt;0,"맥산 유리","수입 유리")</f>
        <v>수입 유리</v>
      </c>
      <c r="S93" s="163" t="str">
        <f>Q93&amp;"원"&amp;" "&amp;R93</f>
        <v>-8476원 수입 유리</v>
      </c>
    </row>
    <row r="94" spans="1:19">
      <c r="A94" s="156">
        <v>155</v>
      </c>
      <c r="B94" s="164" t="s">
        <v>975</v>
      </c>
      <c r="C94" s="164" t="s">
        <v>976</v>
      </c>
      <c r="D94" s="164" t="s">
        <v>977</v>
      </c>
      <c r="E94" s="165">
        <v>100</v>
      </c>
      <c r="F94" s="165"/>
      <c r="G94" s="165">
        <v>100</v>
      </c>
      <c r="H94" s="165"/>
      <c r="I94" s="159">
        <v>200</v>
      </c>
      <c r="J94" s="160">
        <v>1960</v>
      </c>
      <c r="K94" s="160">
        <v>2886</v>
      </c>
      <c r="L94" s="160">
        <v>2779</v>
      </c>
      <c r="M94" s="160">
        <f>J94-K94</f>
        <v>-926</v>
      </c>
      <c r="N94" s="161">
        <f>(J94-K94)/K94</f>
        <v>-0.32085932085932084</v>
      </c>
      <c r="O94" s="162">
        <f>J94-L94</f>
        <v>-819</v>
      </c>
      <c r="P94" s="161">
        <f>(J94-L94)/L94</f>
        <v>-0.29471032745591941</v>
      </c>
      <c r="Q94" s="166">
        <f>L94-K94</f>
        <v>-107</v>
      </c>
      <c r="R94" s="163" t="str">
        <f>IF(Q94&gt;0,"맥산 유리","수입 유리")</f>
        <v>수입 유리</v>
      </c>
      <c r="S94" s="163" t="str">
        <f>Q94&amp;"원"&amp;" "&amp;R94</f>
        <v>-107원 수입 유리</v>
      </c>
    </row>
    <row r="95" spans="1:19">
      <c r="A95" s="156">
        <v>134</v>
      </c>
      <c r="B95" s="157" t="s">
        <v>889</v>
      </c>
      <c r="C95" s="157" t="s">
        <v>890</v>
      </c>
      <c r="D95" s="157" t="s">
        <v>891</v>
      </c>
      <c r="E95" s="158">
        <v>145</v>
      </c>
      <c r="F95" s="158">
        <v>50</v>
      </c>
      <c r="G95" s="158"/>
      <c r="H95" s="158"/>
      <c r="I95" s="159">
        <v>195</v>
      </c>
      <c r="J95" s="160">
        <v>4528</v>
      </c>
      <c r="K95" s="160">
        <v>8050</v>
      </c>
      <c r="L95" s="160">
        <v>8218</v>
      </c>
      <c r="M95" s="160">
        <f>J95-K95</f>
        <v>-3522</v>
      </c>
      <c r="N95" s="161">
        <f>(J95-K95)/K95</f>
        <v>-0.43751552795031057</v>
      </c>
      <c r="O95" s="162">
        <f>J95-L95</f>
        <v>-3690</v>
      </c>
      <c r="P95" s="161">
        <f>(J95-L95)/L95</f>
        <v>-0.44901435872475054</v>
      </c>
      <c r="Q95" s="166">
        <f>L95-K95</f>
        <v>168</v>
      </c>
      <c r="R95" s="163" t="str">
        <f>IF(Q95&gt;0,"맥산 유리","수입 유리")</f>
        <v>맥산 유리</v>
      </c>
      <c r="S95" s="163" t="str">
        <f>Q95&amp;"원"&amp;" "&amp;R95</f>
        <v>168원 맥산 유리</v>
      </c>
    </row>
    <row r="96" spans="1:19">
      <c r="A96" s="156">
        <v>8</v>
      </c>
      <c r="B96" s="164" t="s">
        <v>526</v>
      </c>
      <c r="C96" s="164" t="s">
        <v>527</v>
      </c>
      <c r="D96" s="164" t="s">
        <v>528</v>
      </c>
      <c r="E96" s="165">
        <v>55</v>
      </c>
      <c r="F96" s="165">
        <v>95</v>
      </c>
      <c r="G96" s="165">
        <v>35</v>
      </c>
      <c r="H96" s="165"/>
      <c r="I96" s="159">
        <v>185</v>
      </c>
      <c r="J96" s="160">
        <v>7033</v>
      </c>
      <c r="K96" s="160">
        <v>12610</v>
      </c>
      <c r="L96" s="160">
        <v>10127</v>
      </c>
      <c r="M96" s="160">
        <f>J96-K96</f>
        <v>-5577</v>
      </c>
      <c r="N96" s="161">
        <f>(J96-K96)/K96</f>
        <v>-0.44226804123711339</v>
      </c>
      <c r="O96" s="162">
        <f>J96-L96</f>
        <v>-3094</v>
      </c>
      <c r="P96" s="161">
        <f>(J96-L96)/L96</f>
        <v>-0.30551989730423618</v>
      </c>
      <c r="Q96" s="166">
        <f>L96-K96</f>
        <v>-2483</v>
      </c>
      <c r="R96" s="163" t="str">
        <f>IF(Q96&gt;0,"맥산 유리","수입 유리")</f>
        <v>수입 유리</v>
      </c>
      <c r="S96" s="163" t="str">
        <f>Q96&amp;"원"&amp;" "&amp;R96</f>
        <v>-2483원 수입 유리</v>
      </c>
    </row>
    <row r="97" spans="1:19">
      <c r="A97" s="156">
        <v>102</v>
      </c>
      <c r="B97" s="157" t="s">
        <v>816</v>
      </c>
      <c r="C97" s="157" t="s">
        <v>817</v>
      </c>
      <c r="D97" s="157" t="s">
        <v>818</v>
      </c>
      <c r="E97" s="158">
        <v>115</v>
      </c>
      <c r="F97" s="158">
        <v>9</v>
      </c>
      <c r="G97" s="158">
        <v>60</v>
      </c>
      <c r="H97" s="158"/>
      <c r="I97" s="159">
        <v>184</v>
      </c>
      <c r="J97" s="160">
        <v>2711</v>
      </c>
      <c r="K97" s="160">
        <v>4153</v>
      </c>
      <c r="L97" s="160">
        <v>4066</v>
      </c>
      <c r="M97" s="160">
        <f>J97-K97</f>
        <v>-1442</v>
      </c>
      <c r="N97" s="161">
        <f>(J97-K97)/K97</f>
        <v>-0.34721887791957623</v>
      </c>
      <c r="O97" s="162">
        <f>J97-L97</f>
        <v>-1355</v>
      </c>
      <c r="P97" s="161">
        <f>(J97-L97)/L97</f>
        <v>-0.33325135268076733</v>
      </c>
      <c r="Q97" s="166">
        <f>L97-K97</f>
        <v>-87</v>
      </c>
      <c r="R97" s="163" t="str">
        <f>IF(Q97&gt;0,"맥산 유리","수입 유리")</f>
        <v>수입 유리</v>
      </c>
      <c r="S97" s="163" t="str">
        <f>Q97&amp;"원"&amp;" "&amp;R97</f>
        <v>-87원 수입 유리</v>
      </c>
    </row>
    <row r="98" spans="1:19">
      <c r="A98" s="156">
        <v>25</v>
      </c>
      <c r="B98" s="164" t="s">
        <v>593</v>
      </c>
      <c r="C98" s="164" t="s">
        <v>594</v>
      </c>
      <c r="D98" s="164" t="s">
        <v>595</v>
      </c>
      <c r="E98" s="165">
        <v>8</v>
      </c>
      <c r="F98" s="165">
        <v>10</v>
      </c>
      <c r="G98" s="165">
        <v>161</v>
      </c>
      <c r="H98" s="165"/>
      <c r="I98" s="159">
        <v>179</v>
      </c>
      <c r="J98" s="160">
        <v>3779</v>
      </c>
      <c r="K98" s="160">
        <v>5604</v>
      </c>
      <c r="L98" s="160">
        <v>5494</v>
      </c>
      <c r="M98" s="160">
        <f>J98-K98</f>
        <v>-1825</v>
      </c>
      <c r="N98" s="161">
        <f>(J98-K98)/K98</f>
        <v>-0.32566024268379729</v>
      </c>
      <c r="O98" s="162">
        <f>J98-L98</f>
        <v>-1715</v>
      </c>
      <c r="P98" s="161">
        <f>(J98-L98)/L98</f>
        <v>-0.31215871860211142</v>
      </c>
      <c r="Q98" s="166">
        <f>L98-K98</f>
        <v>-110</v>
      </c>
      <c r="R98" s="163" t="str">
        <f>IF(Q98&gt;0,"맥산 유리","수입 유리")</f>
        <v>수입 유리</v>
      </c>
      <c r="S98" s="163" t="str">
        <f>Q98&amp;"원"&amp;" "&amp;R98</f>
        <v>-110원 수입 유리</v>
      </c>
    </row>
    <row r="99" spans="1:19">
      <c r="A99" s="156">
        <v>36</v>
      </c>
      <c r="B99" s="157" t="s">
        <v>631</v>
      </c>
      <c r="C99" s="157" t="s">
        <v>632</v>
      </c>
      <c r="D99" s="157" t="s">
        <v>633</v>
      </c>
      <c r="E99" s="158">
        <v>28</v>
      </c>
      <c r="F99" s="158">
        <v>50</v>
      </c>
      <c r="G99" s="158">
        <v>100</v>
      </c>
      <c r="H99" s="158"/>
      <c r="I99" s="159">
        <v>178</v>
      </c>
      <c r="J99" s="160">
        <v>4105</v>
      </c>
      <c r="K99" s="160">
        <v>6282</v>
      </c>
      <c r="L99" s="160">
        <v>5000</v>
      </c>
      <c r="M99" s="160">
        <f>J99-K99</f>
        <v>-2177</v>
      </c>
      <c r="N99" s="161">
        <f>(J99-K99)/K99</f>
        <v>-0.34654568608723335</v>
      </c>
      <c r="O99" s="162">
        <f>J99-L99</f>
        <v>-895</v>
      </c>
      <c r="P99" s="161">
        <f>(J99-L99)/L99</f>
        <v>-0.17899999999999999</v>
      </c>
      <c r="Q99" s="166">
        <f>L99-K99</f>
        <v>-1282</v>
      </c>
      <c r="R99" s="163" t="str">
        <f>IF(Q99&gt;0,"맥산 유리","수입 유리")</f>
        <v>수입 유리</v>
      </c>
      <c r="S99" s="163" t="str">
        <f>Q99&amp;"원"&amp;" "&amp;R99</f>
        <v>-1282원 수입 유리</v>
      </c>
    </row>
    <row r="100" spans="1:19">
      <c r="A100" s="156">
        <v>148</v>
      </c>
      <c r="B100" s="164" t="s">
        <v>944</v>
      </c>
      <c r="C100" s="164" t="s">
        <v>945</v>
      </c>
      <c r="D100" s="164" t="s">
        <v>946</v>
      </c>
      <c r="E100" s="165">
        <v>154</v>
      </c>
      <c r="F100" s="165">
        <v>6</v>
      </c>
      <c r="G100" s="165"/>
      <c r="H100" s="165"/>
      <c r="I100" s="159">
        <v>160</v>
      </c>
      <c r="J100" s="160">
        <v>24472</v>
      </c>
      <c r="K100" s="160">
        <v>48462</v>
      </c>
      <c r="L100" s="160">
        <v>1335</v>
      </c>
      <c r="M100" s="160">
        <f>J100-K100</f>
        <v>-23990</v>
      </c>
      <c r="N100" s="161">
        <f>(J100-K100)/K100</f>
        <v>-0.49502703148858901</v>
      </c>
      <c r="O100" s="162">
        <f>J100-L100</f>
        <v>23137</v>
      </c>
      <c r="P100" s="161">
        <f>(J100-L100)/L100</f>
        <v>17.331086142322096</v>
      </c>
      <c r="Q100" s="166">
        <f>L100-K100</f>
        <v>-47127</v>
      </c>
      <c r="R100" s="163" t="str">
        <f>IF(Q100&gt;0,"맥산 유리","수입 유리")</f>
        <v>수입 유리</v>
      </c>
      <c r="S100" s="163" t="str">
        <f>Q100&amp;"원"&amp;" "&amp;R100</f>
        <v>-47127원 수입 유리</v>
      </c>
    </row>
    <row r="101" spans="1:19">
      <c r="A101" s="156">
        <v>68</v>
      </c>
      <c r="B101" s="164" t="s">
        <v>728</v>
      </c>
      <c r="C101" s="164" t="s">
        <v>729</v>
      </c>
      <c r="D101" s="164" t="s">
        <v>730</v>
      </c>
      <c r="E101" s="165">
        <v>38</v>
      </c>
      <c r="F101" s="165">
        <v>84</v>
      </c>
      <c r="G101" s="165">
        <v>35</v>
      </c>
      <c r="H101" s="165"/>
      <c r="I101" s="159">
        <v>157</v>
      </c>
      <c r="J101" s="160">
        <v>4608</v>
      </c>
      <c r="K101" s="160">
        <v>6863</v>
      </c>
      <c r="L101" s="160">
        <v>6856</v>
      </c>
      <c r="M101" s="160">
        <f>J101-K101</f>
        <v>-2255</v>
      </c>
      <c r="N101" s="161">
        <f>(J101-K101)/K101</f>
        <v>-0.32857351012676672</v>
      </c>
      <c r="O101" s="162">
        <f>J101-L101</f>
        <v>-2248</v>
      </c>
      <c r="P101" s="161">
        <f>(J101-L101)/L101</f>
        <v>-0.32788798133022168</v>
      </c>
      <c r="Q101" s="166">
        <f>L101-K101</f>
        <v>-7</v>
      </c>
      <c r="R101" s="163" t="str">
        <f>IF(Q101&gt;0,"맥산 유리","수입 유리")</f>
        <v>수입 유리</v>
      </c>
      <c r="S101" s="163" t="str">
        <f>Q101&amp;"원"&amp;" "&amp;R101</f>
        <v>-7원 수입 유리</v>
      </c>
    </row>
    <row r="102" spans="1:19">
      <c r="A102" s="156">
        <v>133</v>
      </c>
      <c r="B102" s="164" t="s">
        <v>886</v>
      </c>
      <c r="C102" s="164" t="s">
        <v>887</v>
      </c>
      <c r="D102" s="164" t="s">
        <v>888</v>
      </c>
      <c r="E102" s="165">
        <v>32</v>
      </c>
      <c r="F102" s="165">
        <v>2</v>
      </c>
      <c r="G102" s="165">
        <v>54</v>
      </c>
      <c r="H102" s="165">
        <v>53</v>
      </c>
      <c r="I102" s="159">
        <v>141</v>
      </c>
      <c r="J102" s="160">
        <v>8949</v>
      </c>
      <c r="K102" s="160">
        <v>14386</v>
      </c>
      <c r="L102" s="160">
        <v>16434</v>
      </c>
      <c r="M102" s="160">
        <f>J102-K102</f>
        <v>-5437</v>
      </c>
      <c r="N102" s="161">
        <f>(J102-K102)/K102</f>
        <v>-0.377936883080773</v>
      </c>
      <c r="O102" s="162">
        <f>J102-L102</f>
        <v>-7485</v>
      </c>
      <c r="P102" s="161">
        <f>(J102-L102)/L102</f>
        <v>-0.45545819642205182</v>
      </c>
      <c r="Q102" s="166">
        <f>L102-K102</f>
        <v>2048</v>
      </c>
      <c r="R102" s="163" t="str">
        <f>IF(Q102&gt;0,"맥산 유리","수입 유리")</f>
        <v>맥산 유리</v>
      </c>
      <c r="S102" s="163" t="str">
        <f>Q102&amp;"원"&amp;" "&amp;R102</f>
        <v>2048원 맥산 유리</v>
      </c>
    </row>
    <row r="103" spans="1:19">
      <c r="A103" s="156">
        <v>37</v>
      </c>
      <c r="B103" s="164" t="s">
        <v>634</v>
      </c>
      <c r="C103" s="164" t="s">
        <v>635</v>
      </c>
      <c r="D103" s="164" t="s">
        <v>636</v>
      </c>
      <c r="E103" s="165">
        <v>60</v>
      </c>
      <c r="F103" s="165"/>
      <c r="G103" s="165">
        <v>80</v>
      </c>
      <c r="H103" s="165"/>
      <c r="I103" s="159">
        <v>140</v>
      </c>
      <c r="J103" s="160">
        <v>4478</v>
      </c>
      <c r="K103" s="160">
        <v>7861</v>
      </c>
      <c r="L103" s="160">
        <v>6265</v>
      </c>
      <c r="M103" s="160">
        <f>J103-K103</f>
        <v>-3383</v>
      </c>
      <c r="N103" s="161">
        <f>(J103-K103)/K103</f>
        <v>-0.43035237247169572</v>
      </c>
      <c r="O103" s="162">
        <f>J103-L103</f>
        <v>-1787</v>
      </c>
      <c r="P103" s="161">
        <f>(J103-L103)/L103</f>
        <v>-0.28523543495610537</v>
      </c>
      <c r="Q103" s="166">
        <f>L103-K103</f>
        <v>-1596</v>
      </c>
      <c r="R103" s="163" t="str">
        <f>IF(Q103&gt;0,"맥산 유리","수입 유리")</f>
        <v>수입 유리</v>
      </c>
      <c r="S103" s="163" t="str">
        <f>Q103&amp;"원"&amp;" "&amp;R103</f>
        <v>-1596원 수입 유리</v>
      </c>
    </row>
    <row r="104" spans="1:19">
      <c r="A104" s="156">
        <v>117</v>
      </c>
      <c r="B104" s="157" t="s">
        <v>2522</v>
      </c>
      <c r="C104" s="157" t="s">
        <v>1287</v>
      </c>
      <c r="D104" s="157" t="s">
        <v>2523</v>
      </c>
      <c r="E104" s="158"/>
      <c r="F104" s="158">
        <v>34</v>
      </c>
      <c r="G104" s="158">
        <v>55</v>
      </c>
      <c r="H104" s="158">
        <v>50</v>
      </c>
      <c r="I104" s="159">
        <v>139</v>
      </c>
      <c r="J104" s="160">
        <v>3521</v>
      </c>
      <c r="K104" s="160">
        <v>5525</v>
      </c>
      <c r="L104" s="160">
        <v>5460</v>
      </c>
      <c r="M104" s="160">
        <f>J104-K104</f>
        <v>-2004</v>
      </c>
      <c r="N104" s="161">
        <f>(J104-K104)/K104</f>
        <v>-0.36271493212669681</v>
      </c>
      <c r="O104" s="162">
        <f>J104-L104</f>
        <v>-1939</v>
      </c>
      <c r="P104" s="161">
        <f>(J104-L104)/L104</f>
        <v>-0.35512820512820514</v>
      </c>
      <c r="Q104" s="166">
        <f>L104-K104</f>
        <v>-65</v>
      </c>
      <c r="R104" s="163" t="str">
        <f>IF(Q104&gt;0,"맥산 유리","수입 유리")</f>
        <v>수입 유리</v>
      </c>
      <c r="S104" s="163" t="str">
        <f>Q104&amp;"원"&amp;" "&amp;R104</f>
        <v>-65원 수입 유리</v>
      </c>
    </row>
    <row r="105" spans="1:19">
      <c r="A105" s="156">
        <v>130</v>
      </c>
      <c r="B105" s="157" t="s">
        <v>880</v>
      </c>
      <c r="C105" s="157" t="s">
        <v>881</v>
      </c>
      <c r="D105" s="157" t="s">
        <v>3957</v>
      </c>
      <c r="E105" s="158">
        <v>95</v>
      </c>
      <c r="F105" s="158">
        <v>30</v>
      </c>
      <c r="G105" s="158">
        <v>10</v>
      </c>
      <c r="H105" s="158"/>
      <c r="I105" s="159">
        <v>135</v>
      </c>
      <c r="J105" s="160">
        <v>4172</v>
      </c>
      <c r="K105" s="160">
        <v>7436</v>
      </c>
      <c r="L105" s="160">
        <v>7520</v>
      </c>
      <c r="M105" s="160">
        <f>J105-K105</f>
        <v>-3264</v>
      </c>
      <c r="N105" s="161">
        <f>(J105-K105)/K105</f>
        <v>-0.43894566971490051</v>
      </c>
      <c r="O105" s="162">
        <f>J105-L105</f>
        <v>-3348</v>
      </c>
      <c r="P105" s="161">
        <f>(J105-L105)/L105</f>
        <v>-0.4452127659574468</v>
      </c>
      <c r="Q105" s="166">
        <f>L105-K105</f>
        <v>84</v>
      </c>
      <c r="R105" s="163" t="str">
        <f>IF(Q105&gt;0,"맥산 유리","수입 유리")</f>
        <v>맥산 유리</v>
      </c>
      <c r="S105" s="163" t="str">
        <f>Q105&amp;"원"&amp;" "&amp;R105</f>
        <v>84원 맥산 유리</v>
      </c>
    </row>
    <row r="106" spans="1:19">
      <c r="A106" s="156">
        <v>85</v>
      </c>
      <c r="B106" s="157" t="s">
        <v>781</v>
      </c>
      <c r="C106" s="157" t="s">
        <v>782</v>
      </c>
      <c r="D106" s="157" t="s">
        <v>783</v>
      </c>
      <c r="E106" s="158">
        <v>15</v>
      </c>
      <c r="F106" s="158"/>
      <c r="G106" s="158">
        <v>120</v>
      </c>
      <c r="H106" s="158"/>
      <c r="I106" s="159">
        <v>135</v>
      </c>
      <c r="J106" s="160">
        <v>2039</v>
      </c>
      <c r="K106" s="160">
        <v>3066</v>
      </c>
      <c r="L106" s="160">
        <v>2918</v>
      </c>
      <c r="M106" s="160">
        <f>J106-K106</f>
        <v>-1027</v>
      </c>
      <c r="N106" s="161">
        <f>(J106-K106)/K106</f>
        <v>-0.33496412263535552</v>
      </c>
      <c r="O106" s="162">
        <f>J106-L106</f>
        <v>-879</v>
      </c>
      <c r="P106" s="161">
        <f>(J106-L106)/L106</f>
        <v>-0.30123372172721041</v>
      </c>
      <c r="Q106" s="166">
        <f>L106-K106</f>
        <v>-148</v>
      </c>
      <c r="R106" s="163" t="str">
        <f>IF(Q106&gt;0,"맥산 유리","수입 유리")</f>
        <v>수입 유리</v>
      </c>
      <c r="S106" s="163" t="str">
        <f>Q106&amp;"원"&amp;" "&amp;R106</f>
        <v>-148원 수입 유리</v>
      </c>
    </row>
    <row r="107" spans="1:19">
      <c r="A107" s="156">
        <v>70</v>
      </c>
      <c r="B107" s="164" t="s">
        <v>734</v>
      </c>
      <c r="C107" s="164" t="s">
        <v>735</v>
      </c>
      <c r="D107" s="164" t="s">
        <v>736</v>
      </c>
      <c r="E107" s="165">
        <v>65</v>
      </c>
      <c r="F107" s="165"/>
      <c r="G107" s="165">
        <v>67</v>
      </c>
      <c r="H107" s="165"/>
      <c r="I107" s="159">
        <v>132</v>
      </c>
      <c r="J107" s="160">
        <v>4559</v>
      </c>
      <c r="K107" s="160">
        <v>7548</v>
      </c>
      <c r="L107" s="160">
        <v>7552</v>
      </c>
      <c r="M107" s="160">
        <f>J107-K107</f>
        <v>-2989</v>
      </c>
      <c r="N107" s="161">
        <f>(J107-K107)/K107</f>
        <v>-0.39599894011658715</v>
      </c>
      <c r="O107" s="162">
        <f>J107-L107</f>
        <v>-2993</v>
      </c>
      <c r="P107" s="161">
        <f>(J107-L107)/L107</f>
        <v>-0.3963188559322034</v>
      </c>
      <c r="Q107" s="166">
        <f>L107-K107</f>
        <v>4</v>
      </c>
      <c r="R107" s="163" t="str">
        <f>IF(Q107&gt;0,"맥산 유리","수입 유리")</f>
        <v>맥산 유리</v>
      </c>
      <c r="S107" s="163" t="str">
        <f>Q107&amp;"원"&amp;" "&amp;R107</f>
        <v>4원 맥산 유리</v>
      </c>
    </row>
    <row r="108" spans="1:19">
      <c r="A108" s="156">
        <v>30</v>
      </c>
      <c r="B108" s="157" t="s">
        <v>608</v>
      </c>
      <c r="C108" s="157" t="s">
        <v>609</v>
      </c>
      <c r="D108" s="157" t="s">
        <v>610</v>
      </c>
      <c r="E108" s="158">
        <v>32</v>
      </c>
      <c r="F108" s="158">
        <v>16</v>
      </c>
      <c r="G108" s="158">
        <v>78</v>
      </c>
      <c r="H108" s="158"/>
      <c r="I108" s="159">
        <v>126</v>
      </c>
      <c r="J108" s="160">
        <v>10293</v>
      </c>
      <c r="K108" s="160">
        <v>13595</v>
      </c>
      <c r="L108" s="160">
        <v>15168</v>
      </c>
      <c r="M108" s="160">
        <f>J108-K108</f>
        <v>-3302</v>
      </c>
      <c r="N108" s="161">
        <f>(J108-K108)/K108</f>
        <v>-0.24288341301949246</v>
      </c>
      <c r="O108" s="162">
        <f>J108-L108</f>
        <v>-4875</v>
      </c>
      <c r="P108" s="161">
        <f>(J108-L108)/L108</f>
        <v>-0.32140031645569622</v>
      </c>
      <c r="Q108" s="166">
        <f>L108-K108</f>
        <v>1573</v>
      </c>
      <c r="R108" s="163" t="str">
        <f>IF(Q108&gt;0,"맥산 유리","수입 유리")</f>
        <v>맥산 유리</v>
      </c>
      <c r="S108" s="163" t="str">
        <f>Q108&amp;"원"&amp;" "&amp;R108</f>
        <v>1573원 맥산 유리</v>
      </c>
    </row>
    <row r="109" spans="1:19">
      <c r="A109" s="156">
        <v>152</v>
      </c>
      <c r="B109" s="157" t="s">
        <v>3115</v>
      </c>
      <c r="C109" s="157" t="s">
        <v>3116</v>
      </c>
      <c r="D109" s="157" t="s">
        <v>3117</v>
      </c>
      <c r="E109" s="158"/>
      <c r="F109" s="158"/>
      <c r="G109" s="158">
        <v>120</v>
      </c>
      <c r="H109" s="158"/>
      <c r="I109" s="159">
        <v>120</v>
      </c>
      <c r="J109" s="160">
        <v>2203</v>
      </c>
      <c r="K109" s="160">
        <v>3283</v>
      </c>
      <c r="L109" s="160">
        <v>3197</v>
      </c>
      <c r="M109" s="160">
        <f>J109-K109</f>
        <v>-1080</v>
      </c>
      <c r="N109" s="161">
        <f>(J109-K109)/K109</f>
        <v>-0.32896740785866585</v>
      </c>
      <c r="O109" s="162">
        <f>J109-L109</f>
        <v>-994</v>
      </c>
      <c r="P109" s="161">
        <f>(J109-L109)/L109</f>
        <v>-0.31091648420394119</v>
      </c>
      <c r="Q109" s="166">
        <f>L109-K109</f>
        <v>-86</v>
      </c>
      <c r="R109" s="163" t="str">
        <f>IF(Q109&gt;0,"맥산 유리","수입 유리")</f>
        <v>수입 유리</v>
      </c>
      <c r="S109" s="163" t="str">
        <f>Q109&amp;"원"&amp;" "&amp;R109</f>
        <v>-86원 수입 유리</v>
      </c>
    </row>
    <row r="110" spans="1:19">
      <c r="A110" s="156">
        <v>89</v>
      </c>
      <c r="B110" s="164" t="s">
        <v>792</v>
      </c>
      <c r="C110" s="164" t="s">
        <v>793</v>
      </c>
      <c r="D110" s="164" t="s">
        <v>794</v>
      </c>
      <c r="E110" s="165">
        <v>100</v>
      </c>
      <c r="F110" s="165"/>
      <c r="G110" s="165">
        <v>4</v>
      </c>
      <c r="H110" s="165"/>
      <c r="I110" s="159">
        <v>104</v>
      </c>
      <c r="J110" s="160">
        <v>4620</v>
      </c>
      <c r="K110" s="160">
        <v>6550</v>
      </c>
      <c r="L110" s="160">
        <v>6738</v>
      </c>
      <c r="M110" s="160">
        <f>J110-K110</f>
        <v>-1930</v>
      </c>
      <c r="N110" s="161">
        <f>(J110-K110)/K110</f>
        <v>-0.29465648854961835</v>
      </c>
      <c r="O110" s="162">
        <f>J110-L110</f>
        <v>-2118</v>
      </c>
      <c r="P110" s="161">
        <f>(J110-L110)/L110</f>
        <v>-0.3143365983971505</v>
      </c>
      <c r="Q110" s="166">
        <f>L110-K110</f>
        <v>188</v>
      </c>
      <c r="R110" s="163" t="str">
        <f>IF(Q110&gt;0,"맥산 유리","수입 유리")</f>
        <v>맥산 유리</v>
      </c>
      <c r="S110" s="163" t="str">
        <f>Q110&amp;"원"&amp;" "&amp;R110</f>
        <v>188원 맥산 유리</v>
      </c>
    </row>
    <row r="111" spans="1:19">
      <c r="A111" s="156">
        <v>154</v>
      </c>
      <c r="B111" s="157" t="s">
        <v>972</v>
      </c>
      <c r="C111" s="157" t="s">
        <v>973</v>
      </c>
      <c r="D111" s="157" t="s">
        <v>974</v>
      </c>
      <c r="E111" s="158">
        <v>100</v>
      </c>
      <c r="F111" s="158"/>
      <c r="G111" s="158"/>
      <c r="H111" s="158"/>
      <c r="I111" s="159">
        <v>100</v>
      </c>
      <c r="J111" s="160">
        <v>1792</v>
      </c>
      <c r="K111" s="160">
        <v>2668</v>
      </c>
      <c r="L111" s="160">
        <v>2501</v>
      </c>
      <c r="M111" s="160">
        <f>J111-K111</f>
        <v>-876</v>
      </c>
      <c r="N111" s="161">
        <f>(J111-K111)/K111</f>
        <v>-0.328335832083958</v>
      </c>
      <c r="O111" s="162">
        <f>J111-L111</f>
        <v>-709</v>
      </c>
      <c r="P111" s="161">
        <f>(J111-L111)/L111</f>
        <v>-0.28348660535785686</v>
      </c>
      <c r="Q111" s="166">
        <f>L111-K111</f>
        <v>-167</v>
      </c>
      <c r="R111" s="163" t="str">
        <f>IF(Q111&gt;0,"맥산 유리","수입 유리")</f>
        <v>수입 유리</v>
      </c>
      <c r="S111" s="163" t="str">
        <f>Q111&amp;"원"&amp;" "&amp;R111</f>
        <v>-167원 수입 유리</v>
      </c>
    </row>
    <row r="112" spans="1:19">
      <c r="A112" s="156">
        <v>39</v>
      </c>
      <c r="B112" s="164" t="s">
        <v>640</v>
      </c>
      <c r="C112" s="164" t="s">
        <v>641</v>
      </c>
      <c r="D112" s="164" t="s">
        <v>642</v>
      </c>
      <c r="E112" s="165">
        <v>47</v>
      </c>
      <c r="F112" s="165">
        <v>50</v>
      </c>
      <c r="G112" s="165"/>
      <c r="H112" s="165"/>
      <c r="I112" s="159">
        <v>97</v>
      </c>
      <c r="J112" s="160">
        <v>5827</v>
      </c>
      <c r="K112" s="160">
        <v>10948</v>
      </c>
      <c r="L112" s="160">
        <v>8796</v>
      </c>
      <c r="M112" s="160">
        <f>J112-K112</f>
        <v>-5121</v>
      </c>
      <c r="N112" s="161">
        <f>(J112-K112)/K112</f>
        <v>-0.46775666788454512</v>
      </c>
      <c r="O112" s="162">
        <f>J112-L112</f>
        <v>-2969</v>
      </c>
      <c r="P112" s="161">
        <f>(J112-L112)/L112</f>
        <v>-0.33753979081400637</v>
      </c>
      <c r="Q112" s="166">
        <f>L112-K112</f>
        <v>-2152</v>
      </c>
      <c r="R112" s="163" t="str">
        <f>IF(Q112&gt;0,"맥산 유리","수입 유리")</f>
        <v>수입 유리</v>
      </c>
      <c r="S112" s="163" t="str">
        <f>Q112&amp;"원"&amp;" "&amp;R112</f>
        <v>-2152원 수입 유리</v>
      </c>
    </row>
    <row r="113" spans="1:19">
      <c r="A113" s="156">
        <v>18</v>
      </c>
      <c r="B113" s="157" t="s">
        <v>2461</v>
      </c>
      <c r="C113" s="157" t="s">
        <v>2462</v>
      </c>
      <c r="D113" s="157" t="s">
        <v>2463</v>
      </c>
      <c r="E113" s="158"/>
      <c r="F113" s="158">
        <v>15</v>
      </c>
      <c r="G113" s="158">
        <v>70</v>
      </c>
      <c r="H113" s="158"/>
      <c r="I113" s="159">
        <v>85</v>
      </c>
      <c r="J113" s="160">
        <v>1818</v>
      </c>
      <c r="K113" s="160">
        <v>1811</v>
      </c>
      <c r="L113" s="160">
        <v>1449</v>
      </c>
      <c r="M113" s="160">
        <f>J113-K113</f>
        <v>7</v>
      </c>
      <c r="N113" s="161">
        <f>(J113-K113)/K113</f>
        <v>3.865267807840972E-3</v>
      </c>
      <c r="O113" s="162">
        <f>J113-L113</f>
        <v>369</v>
      </c>
      <c r="P113" s="161">
        <f>(J113-L113)/L113</f>
        <v>0.25465838509316768</v>
      </c>
      <c r="Q113" s="166">
        <f>L113-K113</f>
        <v>-362</v>
      </c>
      <c r="R113" s="163" t="str">
        <f>IF(Q113&gt;0,"맥산 유리","수입 유리")</f>
        <v>수입 유리</v>
      </c>
      <c r="S113" s="163" t="str">
        <f>Q113&amp;"원"&amp;" "&amp;R113</f>
        <v>-362원 수입 유리</v>
      </c>
    </row>
    <row r="114" spans="1:19">
      <c r="A114" s="156">
        <v>95</v>
      </c>
      <c r="B114" s="164" t="s">
        <v>3060</v>
      </c>
      <c r="C114" s="164" t="s">
        <v>3061</v>
      </c>
      <c r="D114" s="164" t="s">
        <v>3062</v>
      </c>
      <c r="E114" s="165"/>
      <c r="F114" s="165"/>
      <c r="G114" s="165">
        <v>80</v>
      </c>
      <c r="H114" s="165"/>
      <c r="I114" s="159">
        <v>80</v>
      </c>
      <c r="J114" s="160">
        <v>4999</v>
      </c>
      <c r="K114" s="160">
        <v>7087</v>
      </c>
      <c r="L114" s="160">
        <v>7509</v>
      </c>
      <c r="M114" s="160">
        <f>J114-K114</f>
        <v>-2088</v>
      </c>
      <c r="N114" s="161">
        <f>(J114-K114)/K114</f>
        <v>-0.29462395936221253</v>
      </c>
      <c r="O114" s="162">
        <f>J114-L114</f>
        <v>-2510</v>
      </c>
      <c r="P114" s="161">
        <f>(J114-L114)/L114</f>
        <v>-0.33426554800905578</v>
      </c>
      <c r="Q114" s="166">
        <f>L114-K114</f>
        <v>422</v>
      </c>
      <c r="R114" s="163" t="str">
        <f>IF(Q114&gt;0,"맥산 유리","수입 유리")</f>
        <v>맥산 유리</v>
      </c>
      <c r="S114" s="163" t="str">
        <f>Q114&amp;"원"&amp;" "&amp;R114</f>
        <v>422원 맥산 유리</v>
      </c>
    </row>
    <row r="115" spans="1:19">
      <c r="A115" s="156">
        <v>105</v>
      </c>
      <c r="B115" s="164" t="s">
        <v>3068</v>
      </c>
      <c r="C115" s="164" t="s">
        <v>3069</v>
      </c>
      <c r="D115" s="164" t="s">
        <v>3070</v>
      </c>
      <c r="E115" s="165"/>
      <c r="F115" s="165"/>
      <c r="G115" s="165">
        <v>80</v>
      </c>
      <c r="H115" s="165"/>
      <c r="I115" s="159">
        <v>80</v>
      </c>
      <c r="J115" s="160">
        <v>5607</v>
      </c>
      <c r="K115" s="160">
        <v>7981</v>
      </c>
      <c r="L115" s="160">
        <v>8625</v>
      </c>
      <c r="M115" s="160">
        <f>J115-K115</f>
        <v>-2374</v>
      </c>
      <c r="N115" s="161">
        <f>(J115-K115)/K115</f>
        <v>-0.29745645909033958</v>
      </c>
      <c r="O115" s="162">
        <f>J115-L115</f>
        <v>-3018</v>
      </c>
      <c r="P115" s="161">
        <f>(J115-L115)/L115</f>
        <v>-0.34991304347826085</v>
      </c>
      <c r="Q115" s="166">
        <f>L115-K115</f>
        <v>644</v>
      </c>
      <c r="R115" s="163" t="str">
        <f>IF(Q115&gt;0,"맥산 유리","수입 유리")</f>
        <v>맥산 유리</v>
      </c>
      <c r="S115" s="163" t="str">
        <f>Q115&amp;"원"&amp;" "&amp;R115</f>
        <v>644원 맥산 유리</v>
      </c>
    </row>
    <row r="116" spans="1:19">
      <c r="A116" s="156">
        <v>38</v>
      </c>
      <c r="B116" s="157" t="s">
        <v>637</v>
      </c>
      <c r="C116" s="157" t="s">
        <v>638</v>
      </c>
      <c r="D116" s="157" t="s">
        <v>639</v>
      </c>
      <c r="E116" s="158">
        <v>22</v>
      </c>
      <c r="F116" s="158">
        <v>50</v>
      </c>
      <c r="G116" s="158"/>
      <c r="H116" s="158"/>
      <c r="I116" s="159">
        <v>72</v>
      </c>
      <c r="J116" s="160">
        <v>5153</v>
      </c>
      <c r="K116" s="160">
        <v>9369</v>
      </c>
      <c r="L116" s="160">
        <v>7532</v>
      </c>
      <c r="M116" s="160">
        <f>J116-K116</f>
        <v>-4216</v>
      </c>
      <c r="N116" s="161">
        <f>(J116-K116)/K116</f>
        <v>-0.4499946632511474</v>
      </c>
      <c r="O116" s="162">
        <f>J116-L116</f>
        <v>-2379</v>
      </c>
      <c r="P116" s="161">
        <f>(J116-L116)/L116</f>
        <v>-0.31585236325013277</v>
      </c>
      <c r="Q116" s="166">
        <f>L116-K116</f>
        <v>-1837</v>
      </c>
      <c r="R116" s="163" t="str">
        <f>IF(Q116&gt;0,"맥산 유리","수입 유리")</f>
        <v>수입 유리</v>
      </c>
      <c r="S116" s="163" t="str">
        <f>Q116&amp;"원"&amp;" "&amp;R116</f>
        <v>-1837원 수입 유리</v>
      </c>
    </row>
    <row r="117" spans="1:19">
      <c r="A117" s="156">
        <v>151</v>
      </c>
      <c r="B117" s="157" t="s">
        <v>2566</v>
      </c>
      <c r="C117" s="157" t="s">
        <v>2567</v>
      </c>
      <c r="D117" s="157" t="s">
        <v>2568</v>
      </c>
      <c r="E117" s="158"/>
      <c r="F117" s="158">
        <v>15</v>
      </c>
      <c r="G117" s="158">
        <v>52</v>
      </c>
      <c r="H117" s="158"/>
      <c r="I117" s="159">
        <v>67</v>
      </c>
      <c r="J117" s="160">
        <v>1904</v>
      </c>
      <c r="K117" s="160">
        <v>1920</v>
      </c>
      <c r="L117" s="160">
        <v>1589</v>
      </c>
      <c r="M117" s="160">
        <f>J117-K117</f>
        <v>-16</v>
      </c>
      <c r="N117" s="161">
        <f>(J117-K117)/K117</f>
        <v>-8.3333333333333332E-3</v>
      </c>
      <c r="O117" s="162">
        <f>J117-L117</f>
        <v>315</v>
      </c>
      <c r="P117" s="161">
        <f>(J117-L117)/L117</f>
        <v>0.19823788546255505</v>
      </c>
      <c r="Q117" s="166">
        <f>L117-K117</f>
        <v>-331</v>
      </c>
      <c r="R117" s="163" t="str">
        <f>IF(Q117&gt;0,"맥산 유리","수입 유리")</f>
        <v>수입 유리</v>
      </c>
      <c r="S117" s="163" t="str">
        <f>Q117&amp;"원"&amp;" "&amp;R117</f>
        <v>-331원 수입 유리</v>
      </c>
    </row>
    <row r="118" spans="1:19">
      <c r="A118" s="156">
        <v>73</v>
      </c>
      <c r="B118" s="157" t="s">
        <v>2494</v>
      </c>
      <c r="C118" s="157" t="s">
        <v>2495</v>
      </c>
      <c r="D118" s="157" t="s">
        <v>2496</v>
      </c>
      <c r="E118" s="158"/>
      <c r="F118" s="158">
        <v>50</v>
      </c>
      <c r="G118" s="158">
        <v>10</v>
      </c>
      <c r="H118" s="158"/>
      <c r="I118" s="159">
        <v>60</v>
      </c>
      <c r="J118" s="160">
        <v>4922</v>
      </c>
      <c r="K118" s="160">
        <v>8163</v>
      </c>
      <c r="L118" s="160">
        <v>8250</v>
      </c>
      <c r="M118" s="160">
        <f>J118-K118</f>
        <v>-3241</v>
      </c>
      <c r="N118" s="161">
        <f>(J118-K118)/K118</f>
        <v>-0.39703540365061862</v>
      </c>
      <c r="O118" s="162">
        <f>J118-L118</f>
        <v>-3328</v>
      </c>
      <c r="P118" s="161">
        <f>(J118-L118)/L118</f>
        <v>-0.40339393939393942</v>
      </c>
      <c r="Q118" s="166">
        <f>L118-K118</f>
        <v>87</v>
      </c>
      <c r="R118" s="163" t="str">
        <f>IF(Q118&gt;0,"맥산 유리","수입 유리")</f>
        <v>맥산 유리</v>
      </c>
      <c r="S118" s="163" t="str">
        <f>Q118&amp;"원"&amp;" "&amp;R118</f>
        <v>87원 맥산 유리</v>
      </c>
    </row>
    <row r="119" spans="1:19">
      <c r="A119" s="156">
        <v>49</v>
      </c>
      <c r="B119" s="164" t="s">
        <v>672</v>
      </c>
      <c r="C119" s="164" t="s">
        <v>673</v>
      </c>
      <c r="D119" s="164" t="s">
        <v>674</v>
      </c>
      <c r="E119" s="165">
        <v>60</v>
      </c>
      <c r="F119" s="165"/>
      <c r="G119" s="165"/>
      <c r="H119" s="165"/>
      <c r="I119" s="159">
        <v>60</v>
      </c>
      <c r="J119" s="160">
        <v>1930</v>
      </c>
      <c r="K119" s="160">
        <v>3576</v>
      </c>
      <c r="L119" s="160">
        <v>3402</v>
      </c>
      <c r="M119" s="160">
        <f>J119-K119</f>
        <v>-1646</v>
      </c>
      <c r="N119" s="161">
        <f>(J119-K119)/K119</f>
        <v>-0.46029082774049218</v>
      </c>
      <c r="O119" s="162">
        <f>J119-L119</f>
        <v>-1472</v>
      </c>
      <c r="P119" s="161">
        <f>(J119-L119)/L119</f>
        <v>-0.43268665490887714</v>
      </c>
      <c r="Q119" s="166">
        <f>L119-K119</f>
        <v>-174</v>
      </c>
      <c r="R119" s="163" t="str">
        <f>IF(Q119&gt;0,"맥산 유리","수입 유리")</f>
        <v>수입 유리</v>
      </c>
      <c r="S119" s="163" t="str">
        <f>Q119&amp;"원"&amp;" "&amp;R119</f>
        <v>-174원 수입 유리</v>
      </c>
    </row>
    <row r="120" spans="1:19">
      <c r="A120" s="156">
        <v>123</v>
      </c>
      <c r="B120" s="164" t="s">
        <v>3083</v>
      </c>
      <c r="C120" s="164" t="s">
        <v>3084</v>
      </c>
      <c r="D120" s="164" t="s">
        <v>3085</v>
      </c>
      <c r="E120" s="165"/>
      <c r="F120" s="165"/>
      <c r="G120" s="165">
        <v>59</v>
      </c>
      <c r="H120" s="165"/>
      <c r="I120" s="159">
        <v>59</v>
      </c>
      <c r="J120" s="160">
        <v>2605</v>
      </c>
      <c r="K120" s="160">
        <v>3794</v>
      </c>
      <c r="L120" s="160">
        <v>3391</v>
      </c>
      <c r="M120" s="160">
        <f>J120-K120</f>
        <v>-1189</v>
      </c>
      <c r="N120" s="161">
        <f>(J120-K120)/K120</f>
        <v>-0.31338956246705324</v>
      </c>
      <c r="O120" s="162">
        <f>J120-L120</f>
        <v>-786</v>
      </c>
      <c r="P120" s="161">
        <f>(J120-L120)/L120</f>
        <v>-0.23179003243880861</v>
      </c>
      <c r="Q120" s="166">
        <f>L120-K120</f>
        <v>-403</v>
      </c>
      <c r="R120" s="163" t="str">
        <f>IF(Q120&gt;0,"맥산 유리","수입 유리")</f>
        <v>수입 유리</v>
      </c>
      <c r="S120" s="163" t="str">
        <f>Q120&amp;"원"&amp;" "&amp;R120</f>
        <v>-403원 수입 유리</v>
      </c>
    </row>
    <row r="121" spans="1:19">
      <c r="A121" s="156">
        <v>42</v>
      </c>
      <c r="B121" s="157" t="s">
        <v>649</v>
      </c>
      <c r="C121" s="157" t="s">
        <v>650</v>
      </c>
      <c r="D121" s="157" t="s">
        <v>651</v>
      </c>
      <c r="E121" s="158">
        <v>36</v>
      </c>
      <c r="F121" s="158"/>
      <c r="G121" s="158">
        <v>20</v>
      </c>
      <c r="H121" s="158"/>
      <c r="I121" s="159">
        <v>56</v>
      </c>
      <c r="J121" s="160">
        <v>7177</v>
      </c>
      <c r="K121" s="160">
        <v>14035</v>
      </c>
      <c r="L121" s="160">
        <v>11328</v>
      </c>
      <c r="M121" s="160">
        <f>J121-K121</f>
        <v>-6858</v>
      </c>
      <c r="N121" s="161">
        <f>(J121-K121)/K121</f>
        <v>-0.48863555397221231</v>
      </c>
      <c r="O121" s="162">
        <f>J121-L121</f>
        <v>-4151</v>
      </c>
      <c r="P121" s="161">
        <f>(J121-L121)/L121</f>
        <v>-0.36643714689265539</v>
      </c>
      <c r="Q121" s="166">
        <f>L121-K121</f>
        <v>-2707</v>
      </c>
      <c r="R121" s="163" t="str">
        <f>IF(Q121&gt;0,"맥산 유리","수입 유리")</f>
        <v>수입 유리</v>
      </c>
      <c r="S121" s="163" t="str">
        <f>Q121&amp;"원"&amp;" "&amp;R121</f>
        <v>-2707원 수입 유리</v>
      </c>
    </row>
    <row r="122" spans="1:19">
      <c r="A122" s="156">
        <v>129</v>
      </c>
      <c r="B122" s="164" t="s">
        <v>877</v>
      </c>
      <c r="C122" s="164" t="s">
        <v>878</v>
      </c>
      <c r="D122" s="164" t="s">
        <v>879</v>
      </c>
      <c r="E122" s="165">
        <v>35</v>
      </c>
      <c r="F122" s="165">
        <v>5</v>
      </c>
      <c r="G122" s="165">
        <v>4</v>
      </c>
      <c r="H122" s="165">
        <v>10</v>
      </c>
      <c r="I122" s="159">
        <v>54</v>
      </c>
      <c r="J122" s="160">
        <v>9134</v>
      </c>
      <c r="K122" s="160">
        <v>13286</v>
      </c>
      <c r="L122" s="160">
        <v>15039</v>
      </c>
      <c r="M122" s="160">
        <f>J122-K122</f>
        <v>-4152</v>
      </c>
      <c r="N122" s="161">
        <f>(J122-K122)/K122</f>
        <v>-0.31250940839981933</v>
      </c>
      <c r="O122" s="162">
        <f>J122-L122</f>
        <v>-5905</v>
      </c>
      <c r="P122" s="161">
        <f>(J122-L122)/L122</f>
        <v>-0.39264578761885766</v>
      </c>
      <c r="Q122" s="166">
        <f>L122-K122</f>
        <v>1753</v>
      </c>
      <c r="R122" s="163" t="str">
        <f>IF(Q122&gt;0,"맥산 유리","수입 유리")</f>
        <v>맥산 유리</v>
      </c>
      <c r="S122" s="163" t="str">
        <f>Q122&amp;"원"&amp;" "&amp;R122</f>
        <v>1753원 맥산 유리</v>
      </c>
    </row>
    <row r="123" spans="1:19">
      <c r="A123" s="156">
        <v>88</v>
      </c>
      <c r="B123" s="164" t="s">
        <v>3051</v>
      </c>
      <c r="C123" s="164" t="s">
        <v>3052</v>
      </c>
      <c r="D123" s="164" t="s">
        <v>3053</v>
      </c>
      <c r="E123" s="165"/>
      <c r="F123" s="165"/>
      <c r="G123" s="165">
        <v>50</v>
      </c>
      <c r="H123" s="165"/>
      <c r="I123" s="159">
        <v>50</v>
      </c>
      <c r="J123" s="160">
        <v>4324</v>
      </c>
      <c r="K123" s="160">
        <v>6121</v>
      </c>
      <c r="L123" s="160">
        <v>6394</v>
      </c>
      <c r="M123" s="160">
        <f>J123-K123</f>
        <v>-1797</v>
      </c>
      <c r="N123" s="161">
        <f>(J123-K123)/K123</f>
        <v>-0.29357948047704624</v>
      </c>
      <c r="O123" s="162">
        <f>J123-L123</f>
        <v>-2070</v>
      </c>
      <c r="P123" s="161">
        <f>(J123-L123)/L123</f>
        <v>-0.32374100719424459</v>
      </c>
      <c r="Q123" s="166">
        <f>L123-K123</f>
        <v>273</v>
      </c>
      <c r="R123" s="163" t="str">
        <f>IF(Q123&gt;0,"맥산 유리","수입 유리")</f>
        <v>맥산 유리</v>
      </c>
      <c r="S123" s="163" t="str">
        <f>Q123&amp;"원"&amp;" "&amp;R123</f>
        <v>273원 맥산 유리</v>
      </c>
    </row>
    <row r="124" spans="1:19">
      <c r="A124" s="156">
        <v>112</v>
      </c>
      <c r="B124" s="164" t="s">
        <v>3077</v>
      </c>
      <c r="C124" s="164" t="s">
        <v>3078</v>
      </c>
      <c r="D124" s="164" t="s">
        <v>3079</v>
      </c>
      <c r="E124" s="165"/>
      <c r="F124" s="165"/>
      <c r="G124" s="165">
        <v>50</v>
      </c>
      <c r="H124" s="165"/>
      <c r="I124" s="159">
        <v>50</v>
      </c>
      <c r="J124" s="160">
        <v>6470</v>
      </c>
      <c r="K124" s="160">
        <v>9359</v>
      </c>
      <c r="L124" s="160">
        <v>10299</v>
      </c>
      <c r="M124" s="160">
        <f>J124-K124</f>
        <v>-2889</v>
      </c>
      <c r="N124" s="161">
        <f>(J124-K124)/K124</f>
        <v>-0.30868682551554655</v>
      </c>
      <c r="O124" s="162">
        <f>J124-L124</f>
        <v>-3829</v>
      </c>
      <c r="P124" s="161">
        <f>(J124-L124)/L124</f>
        <v>-0.37178366831731235</v>
      </c>
      <c r="Q124" s="166">
        <f>L124-K124</f>
        <v>940</v>
      </c>
      <c r="R124" s="163" t="str">
        <f>IF(Q124&gt;0,"맥산 유리","수입 유리")</f>
        <v>맥산 유리</v>
      </c>
      <c r="S124" s="163" t="str">
        <f>Q124&amp;"원"&amp;" "&amp;R124</f>
        <v>940원 맥산 유리</v>
      </c>
    </row>
    <row r="125" spans="1:19">
      <c r="A125" s="156">
        <v>131</v>
      </c>
      <c r="B125" s="164" t="s">
        <v>3086</v>
      </c>
      <c r="C125" s="164" t="s">
        <v>3087</v>
      </c>
      <c r="D125" s="164" t="s">
        <v>3088</v>
      </c>
      <c r="E125" s="165"/>
      <c r="F125" s="165"/>
      <c r="G125" s="165">
        <v>50</v>
      </c>
      <c r="H125" s="165"/>
      <c r="I125" s="159">
        <v>50</v>
      </c>
      <c r="J125" s="160">
        <v>2946</v>
      </c>
      <c r="K125" s="160">
        <v>3849</v>
      </c>
      <c r="L125" s="160">
        <v>3605</v>
      </c>
      <c r="M125" s="160">
        <f>J125-K125</f>
        <v>-903</v>
      </c>
      <c r="N125" s="161">
        <f>(J125-K125)/K125</f>
        <v>-0.23460639127045985</v>
      </c>
      <c r="O125" s="162">
        <f>J125-L125</f>
        <v>-659</v>
      </c>
      <c r="P125" s="161">
        <f>(J125-L125)/L125</f>
        <v>-0.18280166435506243</v>
      </c>
      <c r="Q125" s="166">
        <f>L125-K125</f>
        <v>-244</v>
      </c>
      <c r="R125" s="163" t="str">
        <f>IF(Q125&gt;0,"맥산 유리","수입 유리")</f>
        <v>수입 유리</v>
      </c>
      <c r="S125" s="163" t="str">
        <f>Q125&amp;"원"&amp;" "&amp;R125</f>
        <v>-244원 수입 유리</v>
      </c>
    </row>
    <row r="126" spans="1:19">
      <c r="A126" s="156">
        <v>106</v>
      </c>
      <c r="B126" s="157" t="s">
        <v>825</v>
      </c>
      <c r="C126" s="157" t="s">
        <v>826</v>
      </c>
      <c r="D126" s="157" t="s">
        <v>827</v>
      </c>
      <c r="E126" s="158">
        <v>50</v>
      </c>
      <c r="F126" s="158"/>
      <c r="G126" s="158"/>
      <c r="H126" s="158"/>
      <c r="I126" s="159">
        <v>50</v>
      </c>
      <c r="J126" s="160">
        <v>2898</v>
      </c>
      <c r="K126" s="160">
        <v>4475</v>
      </c>
      <c r="L126" s="160">
        <v>4453</v>
      </c>
      <c r="M126" s="160">
        <f>J126-K126</f>
        <v>-1577</v>
      </c>
      <c r="N126" s="161">
        <f>(J126-K126)/K126</f>
        <v>-0.35240223463687148</v>
      </c>
      <c r="O126" s="162">
        <f>J126-L126</f>
        <v>-1555</v>
      </c>
      <c r="P126" s="161">
        <f>(J126-L126)/L126</f>
        <v>-0.34920278463956883</v>
      </c>
      <c r="Q126" s="166">
        <f>L126-K126</f>
        <v>-22</v>
      </c>
      <c r="R126" s="163" t="str">
        <f>IF(Q126&gt;0,"맥산 유리","수입 유리")</f>
        <v>수입 유리</v>
      </c>
      <c r="S126" s="163" t="str">
        <f>Q126&amp;"원"&amp;" "&amp;R126</f>
        <v>-22원 수입 유리</v>
      </c>
    </row>
    <row r="127" spans="1:19">
      <c r="A127" s="156">
        <v>54</v>
      </c>
      <c r="B127" s="157" t="s">
        <v>686</v>
      </c>
      <c r="C127" s="157" t="s">
        <v>687</v>
      </c>
      <c r="D127" s="157" t="s">
        <v>688</v>
      </c>
      <c r="E127" s="158">
        <v>50</v>
      </c>
      <c r="F127" s="158"/>
      <c r="G127" s="158"/>
      <c r="H127" s="158"/>
      <c r="I127" s="159">
        <v>50</v>
      </c>
      <c r="J127" s="160">
        <v>2221</v>
      </c>
      <c r="K127" s="160">
        <v>4190</v>
      </c>
      <c r="L127" s="160">
        <v>4098</v>
      </c>
      <c r="M127" s="160">
        <f>J127-K127</f>
        <v>-1969</v>
      </c>
      <c r="N127" s="161">
        <f>(J127-K127)/K127</f>
        <v>-0.46992840095465394</v>
      </c>
      <c r="O127" s="162">
        <f>J127-L127</f>
        <v>-1877</v>
      </c>
      <c r="P127" s="161">
        <f>(J127-L127)/L127</f>
        <v>-0.4580283064909712</v>
      </c>
      <c r="Q127" s="166">
        <f>L127-K127</f>
        <v>-92</v>
      </c>
      <c r="R127" s="163" t="str">
        <f>IF(Q127&gt;0,"맥산 유리","수입 유리")</f>
        <v>수입 유리</v>
      </c>
      <c r="S127" s="163" t="str">
        <f>Q127&amp;"원"&amp;" "&amp;R127</f>
        <v>-92원 수입 유리</v>
      </c>
    </row>
    <row r="128" spans="1:19">
      <c r="A128" s="156">
        <v>158</v>
      </c>
      <c r="B128" s="157" t="s">
        <v>1078</v>
      </c>
      <c r="C128" s="157" t="s">
        <v>1079</v>
      </c>
      <c r="D128" s="157" t="s">
        <v>1080</v>
      </c>
      <c r="E128" s="158">
        <v>50</v>
      </c>
      <c r="F128" s="158"/>
      <c r="G128" s="158"/>
      <c r="H128" s="158"/>
      <c r="I128" s="159">
        <v>50</v>
      </c>
      <c r="J128" s="160">
        <v>2513</v>
      </c>
      <c r="K128" s="160">
        <v>4876</v>
      </c>
      <c r="L128" s="160">
        <v>4796</v>
      </c>
      <c r="M128" s="160">
        <f>J128-K128</f>
        <v>-2363</v>
      </c>
      <c r="N128" s="161">
        <f>(J128-K128)/K128</f>
        <v>-0.48461853978671043</v>
      </c>
      <c r="O128" s="162">
        <f>J128-L128</f>
        <v>-2283</v>
      </c>
      <c r="P128" s="161">
        <f>(J128-L128)/L128</f>
        <v>-0.47602168473728107</v>
      </c>
      <c r="Q128" s="166">
        <f>L128-K128</f>
        <v>-80</v>
      </c>
      <c r="R128" s="163" t="str">
        <f>IF(Q128&gt;0,"맥산 유리","수입 유리")</f>
        <v>수입 유리</v>
      </c>
      <c r="S128" s="163" t="str">
        <f>Q128&amp;"원"&amp;" "&amp;R128</f>
        <v>-80원 수입 유리</v>
      </c>
    </row>
    <row r="129" spans="1:19">
      <c r="A129" s="156">
        <v>78</v>
      </c>
      <c r="B129" s="164" t="s">
        <v>759</v>
      </c>
      <c r="C129" s="164" t="s">
        <v>760</v>
      </c>
      <c r="D129" s="164" t="s">
        <v>761</v>
      </c>
      <c r="E129" s="165">
        <v>40</v>
      </c>
      <c r="F129" s="165">
        <v>8</v>
      </c>
      <c r="G129" s="165"/>
      <c r="H129" s="165"/>
      <c r="I129" s="159">
        <v>48</v>
      </c>
      <c r="J129" s="160">
        <v>2295</v>
      </c>
      <c r="K129" s="160">
        <v>3616</v>
      </c>
      <c r="L129" s="160">
        <v>2910</v>
      </c>
      <c r="M129" s="160">
        <f>J129-K129</f>
        <v>-1321</v>
      </c>
      <c r="N129" s="161">
        <f>(J129-K129)/K129</f>
        <v>-0.36532079646017701</v>
      </c>
      <c r="O129" s="162">
        <f>J129-L129</f>
        <v>-615</v>
      </c>
      <c r="P129" s="161">
        <f>(J129-L129)/L129</f>
        <v>-0.21134020618556701</v>
      </c>
      <c r="Q129" s="166">
        <f>L129-K129</f>
        <v>-706</v>
      </c>
      <c r="R129" s="163" t="str">
        <f>IF(Q129&gt;0,"맥산 유리","수입 유리")</f>
        <v>수입 유리</v>
      </c>
      <c r="S129" s="163" t="str">
        <f>Q129&amp;"원"&amp;" "&amp;R129</f>
        <v>-706원 수입 유리</v>
      </c>
    </row>
    <row r="130" spans="1:19">
      <c r="A130" s="156">
        <v>80</v>
      </c>
      <c r="B130" s="164" t="s">
        <v>769</v>
      </c>
      <c r="C130" s="164" t="s">
        <v>770</v>
      </c>
      <c r="D130" s="164" t="s">
        <v>771</v>
      </c>
      <c r="E130" s="165">
        <v>2</v>
      </c>
      <c r="F130" s="165">
        <v>3</v>
      </c>
      <c r="G130" s="165">
        <v>40</v>
      </c>
      <c r="H130" s="165"/>
      <c r="I130" s="159">
        <v>45</v>
      </c>
      <c r="J130" s="160">
        <v>3782</v>
      </c>
      <c r="K130" s="160">
        <v>5378</v>
      </c>
      <c r="L130" s="160">
        <v>5342</v>
      </c>
      <c r="M130" s="160">
        <f>J130-K130</f>
        <v>-1596</v>
      </c>
      <c r="N130" s="161">
        <f>(J130-K130)/K130</f>
        <v>-0.29676459650427667</v>
      </c>
      <c r="O130" s="162">
        <f>J130-L130</f>
        <v>-1560</v>
      </c>
      <c r="P130" s="161">
        <f>(J130-L130)/L130</f>
        <v>-0.29202545862972668</v>
      </c>
      <c r="Q130" s="166">
        <f>L130-K130</f>
        <v>-36</v>
      </c>
      <c r="R130" s="163" t="str">
        <f>IF(Q130&gt;0,"맥산 유리","수입 유리")</f>
        <v>수입 유리</v>
      </c>
      <c r="S130" s="163" t="str">
        <f>Q130&amp;"원"&amp;" "&amp;R130</f>
        <v>-36원 수입 유리</v>
      </c>
    </row>
    <row r="131" spans="1:19">
      <c r="A131" s="156">
        <v>9</v>
      </c>
      <c r="B131" s="157" t="s">
        <v>529</v>
      </c>
      <c r="C131" s="157" t="s">
        <v>530</v>
      </c>
      <c r="D131" s="157" t="s">
        <v>531</v>
      </c>
      <c r="E131" s="158">
        <v>28</v>
      </c>
      <c r="F131" s="158">
        <v>13</v>
      </c>
      <c r="G131" s="158">
        <v>4</v>
      </c>
      <c r="H131" s="158"/>
      <c r="I131" s="159">
        <v>45</v>
      </c>
      <c r="J131" s="160">
        <v>7708</v>
      </c>
      <c r="K131" s="160">
        <v>14118</v>
      </c>
      <c r="L131" s="160">
        <v>11393</v>
      </c>
      <c r="M131" s="160">
        <f>J131-K131</f>
        <v>-6410</v>
      </c>
      <c r="N131" s="161">
        <f>(J131-K131)/K131</f>
        <v>-0.45403031590876897</v>
      </c>
      <c r="O131" s="162">
        <f>J131-L131</f>
        <v>-3685</v>
      </c>
      <c r="P131" s="161">
        <f>(J131-L131)/L131</f>
        <v>-0.32344422013517071</v>
      </c>
      <c r="Q131" s="166">
        <f>L131-K131</f>
        <v>-2725</v>
      </c>
      <c r="R131" s="163" t="str">
        <f>IF(Q131&gt;0,"맥산 유리","수입 유리")</f>
        <v>수입 유리</v>
      </c>
      <c r="S131" s="163" t="str">
        <f>Q131&amp;"원"&amp;" "&amp;R131</f>
        <v>-2725원 수입 유리</v>
      </c>
    </row>
    <row r="132" spans="1:19">
      <c r="A132" s="156">
        <v>166</v>
      </c>
      <c r="B132" s="157" t="s">
        <v>2807</v>
      </c>
      <c r="C132" s="157" t="s">
        <v>2808</v>
      </c>
      <c r="D132" s="157"/>
      <c r="E132" s="158"/>
      <c r="F132" s="158">
        <v>44</v>
      </c>
      <c r="G132" s="158"/>
      <c r="H132" s="158"/>
      <c r="I132" s="159">
        <v>44</v>
      </c>
      <c r="J132" s="160">
        <v>1344</v>
      </c>
      <c r="K132" s="160">
        <v>1954</v>
      </c>
      <c r="L132" s="160">
        <v>1589</v>
      </c>
      <c r="M132" s="160">
        <f>J132-K132</f>
        <v>-610</v>
      </c>
      <c r="N132" s="161">
        <f>(J132-K132)/K132</f>
        <v>-0.31218014329580346</v>
      </c>
      <c r="O132" s="162">
        <f>J132-L132</f>
        <v>-245</v>
      </c>
      <c r="P132" s="161">
        <f>(J132-L132)/L132</f>
        <v>-0.15418502202643172</v>
      </c>
      <c r="Q132" s="166">
        <f>L132-K132</f>
        <v>-365</v>
      </c>
      <c r="R132" s="163" t="str">
        <f>IF(Q132&gt;0,"맥산 유리","수입 유리")</f>
        <v>수입 유리</v>
      </c>
      <c r="S132" s="163" t="str">
        <f>Q132&amp;"원"&amp;" "&amp;R132</f>
        <v>-365원 수입 유리</v>
      </c>
    </row>
    <row r="133" spans="1:19">
      <c r="A133" s="156">
        <v>76</v>
      </c>
      <c r="B133" s="164" t="s">
        <v>756</v>
      </c>
      <c r="C133" s="164" t="s">
        <v>757</v>
      </c>
      <c r="D133" s="164" t="s">
        <v>758</v>
      </c>
      <c r="E133" s="165">
        <v>40</v>
      </c>
      <c r="F133" s="165"/>
      <c r="G133" s="165"/>
      <c r="H133" s="165"/>
      <c r="I133" s="159">
        <v>40</v>
      </c>
      <c r="J133" s="160">
        <v>3456</v>
      </c>
      <c r="K133" s="160">
        <v>6057</v>
      </c>
      <c r="L133" s="160">
        <v>4935</v>
      </c>
      <c r="M133" s="160">
        <f>J133-K133</f>
        <v>-2601</v>
      </c>
      <c r="N133" s="161">
        <f>(J133-K133)/K133</f>
        <v>-0.42942050520059433</v>
      </c>
      <c r="O133" s="162">
        <f>J133-L133</f>
        <v>-1479</v>
      </c>
      <c r="P133" s="161">
        <f>(J133-L133)/L133</f>
        <v>-0.29969604863221883</v>
      </c>
      <c r="Q133" s="166">
        <f>L133-K133</f>
        <v>-1122</v>
      </c>
      <c r="R133" s="163" t="str">
        <f>IF(Q133&gt;0,"맥산 유리","수입 유리")</f>
        <v>수입 유리</v>
      </c>
      <c r="S133" s="163" t="str">
        <f>Q133&amp;"원"&amp;" "&amp;R133</f>
        <v>-1122원 수입 유리</v>
      </c>
    </row>
    <row r="134" spans="1:19">
      <c r="A134" s="156">
        <v>161</v>
      </c>
      <c r="B134" s="157" t="s">
        <v>3175</v>
      </c>
      <c r="C134" s="157" t="s">
        <v>3176</v>
      </c>
      <c r="D134" s="157" t="s">
        <v>3177</v>
      </c>
      <c r="E134" s="158"/>
      <c r="F134" s="158"/>
      <c r="G134" s="158">
        <v>33</v>
      </c>
      <c r="H134" s="158"/>
      <c r="I134" s="159">
        <v>33</v>
      </c>
      <c r="J134" s="160">
        <v>4950</v>
      </c>
      <c r="K134" s="160">
        <v>6904</v>
      </c>
      <c r="L134" s="160">
        <v>6888</v>
      </c>
      <c r="M134" s="160">
        <f>J134-K134</f>
        <v>-1954</v>
      </c>
      <c r="N134" s="161">
        <f>(J134-K134)/K134</f>
        <v>-0.28302433371958285</v>
      </c>
      <c r="O134" s="162">
        <f>J134-L134</f>
        <v>-1938</v>
      </c>
      <c r="P134" s="161">
        <f>(J134-L134)/L134</f>
        <v>-0.28135888501742162</v>
      </c>
      <c r="Q134" s="166">
        <f>L134-K134</f>
        <v>-16</v>
      </c>
      <c r="R134" s="163" t="str">
        <f>IF(Q134&gt;0,"맥산 유리","수입 유리")</f>
        <v>수입 유리</v>
      </c>
      <c r="S134" s="163" t="str">
        <f>Q134&amp;"원"&amp;" "&amp;R134</f>
        <v>-16원 수입 유리</v>
      </c>
    </row>
    <row r="135" spans="1:19">
      <c r="A135" s="156">
        <v>46</v>
      </c>
      <c r="B135" s="164" t="s">
        <v>660</v>
      </c>
      <c r="C135" s="164" t="s">
        <v>661</v>
      </c>
      <c r="D135" s="164" t="s">
        <v>662</v>
      </c>
      <c r="E135" s="165">
        <v>11</v>
      </c>
      <c r="F135" s="165">
        <v>12</v>
      </c>
      <c r="G135" s="165">
        <v>8</v>
      </c>
      <c r="H135" s="165"/>
      <c r="I135" s="159">
        <v>31</v>
      </c>
      <c r="J135" s="160">
        <v>1637</v>
      </c>
      <c r="K135" s="160">
        <v>2890</v>
      </c>
      <c r="L135" s="160">
        <v>2704</v>
      </c>
      <c r="M135" s="160">
        <f>J135-K135</f>
        <v>-1253</v>
      </c>
      <c r="N135" s="161">
        <f>(J135-K135)/K135</f>
        <v>-0.43356401384083043</v>
      </c>
      <c r="O135" s="162">
        <f>J135-L135</f>
        <v>-1067</v>
      </c>
      <c r="P135" s="161">
        <f>(J135-L135)/L135</f>
        <v>-0.39460059171597633</v>
      </c>
      <c r="Q135" s="166">
        <f>L135-K135</f>
        <v>-186</v>
      </c>
      <c r="R135" s="163" t="str">
        <f>IF(Q135&gt;0,"맥산 유리","수입 유리")</f>
        <v>수입 유리</v>
      </c>
      <c r="S135" s="163" t="str">
        <f>Q135&amp;"원"&amp;" "&amp;R135</f>
        <v>-186원 수입 유리</v>
      </c>
    </row>
    <row r="136" spans="1:19">
      <c r="A136" s="156">
        <v>84</v>
      </c>
      <c r="B136" s="164" t="s">
        <v>3048</v>
      </c>
      <c r="C136" s="164" t="s">
        <v>3049</v>
      </c>
      <c r="D136" s="164" t="s">
        <v>3050</v>
      </c>
      <c r="E136" s="165"/>
      <c r="F136" s="165"/>
      <c r="G136" s="165">
        <v>30</v>
      </c>
      <c r="H136" s="165"/>
      <c r="I136" s="159">
        <v>30</v>
      </c>
      <c r="J136" s="160">
        <v>4068</v>
      </c>
      <c r="K136" s="160">
        <v>5709</v>
      </c>
      <c r="L136" s="160">
        <v>5836</v>
      </c>
      <c r="M136" s="160">
        <f>J136-K136</f>
        <v>-1641</v>
      </c>
      <c r="N136" s="161">
        <f>(J136-K136)/K136</f>
        <v>-0.28744088281660535</v>
      </c>
      <c r="O136" s="162">
        <f>J136-L136</f>
        <v>-1768</v>
      </c>
      <c r="P136" s="161">
        <f>(J136-L136)/L136</f>
        <v>-0.3029472241261138</v>
      </c>
      <c r="Q136" s="166">
        <f>L136-K136</f>
        <v>127</v>
      </c>
      <c r="R136" s="163" t="str">
        <f>IF(Q136&gt;0,"맥산 유리","수입 유리")</f>
        <v>맥산 유리</v>
      </c>
      <c r="S136" s="163" t="str">
        <f>Q136&amp;"원"&amp;" "&amp;R136</f>
        <v>127원 맥산 유리</v>
      </c>
    </row>
    <row r="137" spans="1:19">
      <c r="A137" s="156">
        <v>93</v>
      </c>
      <c r="B137" s="164" t="s">
        <v>3054</v>
      </c>
      <c r="C137" s="164" t="s">
        <v>3055</v>
      </c>
      <c r="D137" s="164" t="s">
        <v>3056</v>
      </c>
      <c r="E137" s="165"/>
      <c r="F137" s="165"/>
      <c r="G137" s="165">
        <v>30</v>
      </c>
      <c r="H137" s="165"/>
      <c r="I137" s="159">
        <v>30</v>
      </c>
      <c r="J137" s="160">
        <v>4683</v>
      </c>
      <c r="K137" s="160">
        <v>6604</v>
      </c>
      <c r="L137" s="160">
        <v>6952</v>
      </c>
      <c r="M137" s="160">
        <f>J137-K137</f>
        <v>-1921</v>
      </c>
      <c r="N137" s="161">
        <f>(J137-K137)/K137</f>
        <v>-0.29088431253785585</v>
      </c>
      <c r="O137" s="162">
        <f>J137-L137</f>
        <v>-2269</v>
      </c>
      <c r="P137" s="161">
        <f>(J137-L137)/L137</f>
        <v>-0.32638089758342925</v>
      </c>
      <c r="Q137" s="166">
        <f>L137-K137</f>
        <v>348</v>
      </c>
      <c r="R137" s="163" t="str">
        <f>IF(Q137&gt;0,"맥산 유리","수입 유리")</f>
        <v>맥산 유리</v>
      </c>
      <c r="S137" s="163" t="str">
        <f>Q137&amp;"원"&amp;" "&amp;R137</f>
        <v>348원 맥산 유리</v>
      </c>
    </row>
    <row r="138" spans="1:19">
      <c r="A138" s="156">
        <v>107</v>
      </c>
      <c r="B138" s="164" t="s">
        <v>3071</v>
      </c>
      <c r="C138" s="164" t="s">
        <v>3072</v>
      </c>
      <c r="D138" s="164" t="s">
        <v>3073</v>
      </c>
      <c r="E138" s="165"/>
      <c r="F138" s="165"/>
      <c r="G138" s="165">
        <v>30</v>
      </c>
      <c r="H138" s="165"/>
      <c r="I138" s="159">
        <v>30</v>
      </c>
      <c r="J138" s="160">
        <v>5908</v>
      </c>
      <c r="K138" s="160">
        <v>8464</v>
      </c>
      <c r="L138" s="160">
        <v>9183</v>
      </c>
      <c r="M138" s="160">
        <f>J138-K138</f>
        <v>-2556</v>
      </c>
      <c r="N138" s="161">
        <f>(J138-K138)/K138</f>
        <v>-0.30198487712665406</v>
      </c>
      <c r="O138" s="162">
        <f>J138-L138</f>
        <v>-3275</v>
      </c>
      <c r="P138" s="161">
        <f>(J138-L138)/L138</f>
        <v>-0.35663726451050853</v>
      </c>
      <c r="Q138" s="166">
        <f>L138-K138</f>
        <v>719</v>
      </c>
      <c r="R138" s="163" t="str">
        <f>IF(Q138&gt;0,"맥산 유리","수입 유리")</f>
        <v>맥산 유리</v>
      </c>
      <c r="S138" s="163" t="str">
        <f>Q138&amp;"원"&amp;" "&amp;R138</f>
        <v>719원 맥산 유리</v>
      </c>
    </row>
    <row r="139" spans="1:19">
      <c r="A139" s="156">
        <v>165</v>
      </c>
      <c r="B139" s="164" t="s">
        <v>1165</v>
      </c>
      <c r="C139" s="164" t="s">
        <v>1166</v>
      </c>
      <c r="D139" s="164" t="s">
        <v>1167</v>
      </c>
      <c r="E139" s="165">
        <v>30</v>
      </c>
      <c r="F139" s="165"/>
      <c r="G139" s="165"/>
      <c r="H139" s="165"/>
      <c r="I139" s="159">
        <v>30</v>
      </c>
      <c r="J139" s="160">
        <v>2805</v>
      </c>
      <c r="K139" s="160">
        <v>5562</v>
      </c>
      <c r="L139" s="160">
        <v>5494</v>
      </c>
      <c r="M139" s="160">
        <f>J139-K139</f>
        <v>-2757</v>
      </c>
      <c r="N139" s="161">
        <f>(J139-K139)/K139</f>
        <v>-0.49568500539374327</v>
      </c>
      <c r="O139" s="162">
        <f>J139-L139</f>
        <v>-2689</v>
      </c>
      <c r="P139" s="161">
        <f>(J139-L139)/L139</f>
        <v>-0.48944302875864582</v>
      </c>
      <c r="Q139" s="166">
        <f>L139-K139</f>
        <v>-68</v>
      </c>
      <c r="R139" s="163" t="str">
        <f>IF(Q139&gt;0,"맥산 유리","수입 유리")</f>
        <v>수입 유리</v>
      </c>
      <c r="S139" s="163" t="str">
        <f>Q139&amp;"원"&amp;" "&amp;R139</f>
        <v>-68원 수입 유리</v>
      </c>
    </row>
    <row r="140" spans="1:19">
      <c r="A140" s="156">
        <v>3</v>
      </c>
      <c r="B140" s="157" t="s">
        <v>512</v>
      </c>
      <c r="C140" s="157" t="s">
        <v>513</v>
      </c>
      <c r="D140" s="157" t="s">
        <v>514</v>
      </c>
      <c r="E140" s="158">
        <v>18</v>
      </c>
      <c r="F140" s="158"/>
      <c r="G140" s="158">
        <v>10</v>
      </c>
      <c r="H140" s="158"/>
      <c r="I140" s="159">
        <v>28</v>
      </c>
      <c r="J140" s="160">
        <v>2831</v>
      </c>
      <c r="K140" s="160">
        <v>3637</v>
      </c>
      <c r="L140" s="160">
        <v>2786</v>
      </c>
      <c r="M140" s="160">
        <f>J140-K140</f>
        <v>-806</v>
      </c>
      <c r="N140" s="161">
        <f>(J140-K140)/K140</f>
        <v>-0.22161121803684355</v>
      </c>
      <c r="O140" s="162">
        <f>J140-L140</f>
        <v>45</v>
      </c>
      <c r="P140" s="161">
        <f>(J140-L140)/L140</f>
        <v>1.6152189519023689E-2</v>
      </c>
      <c r="Q140" s="166">
        <f>L140-K140</f>
        <v>-851</v>
      </c>
      <c r="R140" s="163" t="str">
        <f>IF(Q140&gt;0,"맥산 유리","수입 유리")</f>
        <v>수입 유리</v>
      </c>
      <c r="S140" s="163" t="str">
        <f>Q140&amp;"원"&amp;" "&amp;R140</f>
        <v>-851원 수입 유리</v>
      </c>
    </row>
    <row r="141" spans="1:19">
      <c r="A141" s="156">
        <v>159</v>
      </c>
      <c r="B141" s="157" t="s">
        <v>2629</v>
      </c>
      <c r="C141" s="157" t="s">
        <v>2630</v>
      </c>
      <c r="D141" s="157" t="s">
        <v>2631</v>
      </c>
      <c r="E141" s="158"/>
      <c r="F141" s="158">
        <v>10</v>
      </c>
      <c r="G141" s="158">
        <v>10</v>
      </c>
      <c r="H141" s="158"/>
      <c r="I141" s="159">
        <v>20</v>
      </c>
      <c r="J141" s="160">
        <v>4143</v>
      </c>
      <c r="K141" s="160">
        <v>6218</v>
      </c>
      <c r="L141" s="160">
        <v>6190</v>
      </c>
      <c r="M141" s="160">
        <f>J141-K141</f>
        <v>-2075</v>
      </c>
      <c r="N141" s="161">
        <f>(J141-K141)/K141</f>
        <v>-0.33370858797040848</v>
      </c>
      <c r="O141" s="162">
        <f>J141-L141</f>
        <v>-2047</v>
      </c>
      <c r="P141" s="161">
        <f>(J141-L141)/L141</f>
        <v>-0.33069466882067849</v>
      </c>
      <c r="Q141" s="166">
        <f>L141-K141</f>
        <v>-28</v>
      </c>
      <c r="R141" s="163" t="str">
        <f>IF(Q141&gt;0,"맥산 유리","수입 유리")</f>
        <v>수입 유리</v>
      </c>
      <c r="S141" s="163" t="str">
        <f>Q141&amp;"원"&amp;" "&amp;R141</f>
        <v>-28원 수입 유리</v>
      </c>
    </row>
    <row r="142" spans="1:19">
      <c r="A142" s="156">
        <v>94</v>
      </c>
      <c r="B142" s="157" t="s">
        <v>3057</v>
      </c>
      <c r="C142" s="157" t="s">
        <v>3058</v>
      </c>
      <c r="D142" s="157" t="s">
        <v>3059</v>
      </c>
      <c r="E142" s="158"/>
      <c r="F142" s="158"/>
      <c r="G142" s="158">
        <v>20</v>
      </c>
      <c r="H142" s="158"/>
      <c r="I142" s="159">
        <v>20</v>
      </c>
      <c r="J142" s="160">
        <v>2364</v>
      </c>
      <c r="K142" s="160">
        <v>3572</v>
      </c>
      <c r="L142" s="160">
        <v>3477</v>
      </c>
      <c r="M142" s="160">
        <f>J142-K142</f>
        <v>-1208</v>
      </c>
      <c r="N142" s="161">
        <f>(J142-K142)/K142</f>
        <v>-0.3381858902575588</v>
      </c>
      <c r="O142" s="162">
        <f>J142-L142</f>
        <v>-1113</v>
      </c>
      <c r="P142" s="161">
        <f>(J142-L142)/L142</f>
        <v>-0.32010353753235549</v>
      </c>
      <c r="Q142" s="166">
        <f>L142-K142</f>
        <v>-95</v>
      </c>
      <c r="R142" s="163" t="str">
        <f>IF(Q142&gt;0,"맥산 유리","수입 유리")</f>
        <v>수입 유리</v>
      </c>
      <c r="S142" s="163" t="str">
        <f>Q142&amp;"원"&amp;" "&amp;R142</f>
        <v>-95원 수입 유리</v>
      </c>
    </row>
    <row r="143" spans="1:19">
      <c r="A143" s="156">
        <v>96</v>
      </c>
      <c r="B143" s="157" t="s">
        <v>3063</v>
      </c>
      <c r="C143" s="157" t="s">
        <v>3064</v>
      </c>
      <c r="D143" s="157" t="s">
        <v>3065</v>
      </c>
      <c r="E143" s="158"/>
      <c r="F143" s="158"/>
      <c r="G143" s="158">
        <v>20</v>
      </c>
      <c r="H143" s="158"/>
      <c r="I143" s="159">
        <v>20</v>
      </c>
      <c r="J143" s="160">
        <v>2525</v>
      </c>
      <c r="K143" s="160">
        <v>3860</v>
      </c>
      <c r="L143" s="160">
        <v>3755</v>
      </c>
      <c r="M143" s="160">
        <f>J143-K143</f>
        <v>-1335</v>
      </c>
      <c r="N143" s="161">
        <f>(J143-K143)/K143</f>
        <v>-0.34585492227979275</v>
      </c>
      <c r="O143" s="162">
        <f>J143-L143</f>
        <v>-1230</v>
      </c>
      <c r="P143" s="161">
        <f>(J143-L143)/L143</f>
        <v>-0.32756324900133155</v>
      </c>
      <c r="Q143" s="166">
        <f>L143-K143</f>
        <v>-105</v>
      </c>
      <c r="R143" s="163" t="str">
        <f>IF(Q143&gt;0,"맥산 유리","수입 유리")</f>
        <v>수입 유리</v>
      </c>
      <c r="S143" s="163" t="str">
        <f>Q143&amp;"원"&amp;" "&amp;R143</f>
        <v>-105원 수입 유리</v>
      </c>
    </row>
    <row r="144" spans="1:19">
      <c r="A144" s="156">
        <v>144</v>
      </c>
      <c r="B144" s="164" t="s">
        <v>2538</v>
      </c>
      <c r="C144" s="164" t="s">
        <v>1245</v>
      </c>
      <c r="D144" s="164" t="s">
        <v>2539</v>
      </c>
      <c r="E144" s="165"/>
      <c r="F144" s="165">
        <v>20</v>
      </c>
      <c r="G144" s="165"/>
      <c r="H144" s="165"/>
      <c r="I144" s="159">
        <v>20</v>
      </c>
      <c r="J144" s="160">
        <v>37395</v>
      </c>
      <c r="K144" s="160">
        <v>59021</v>
      </c>
      <c r="L144" s="160">
        <v>2147</v>
      </c>
      <c r="M144" s="160">
        <f>J144-K144</f>
        <v>-21626</v>
      </c>
      <c r="N144" s="161">
        <f>(J144-K144)/K144</f>
        <v>-0.3664119550668406</v>
      </c>
      <c r="O144" s="162">
        <f>J144-L144</f>
        <v>35248</v>
      </c>
      <c r="P144" s="161">
        <f>(J144-L144)/L144</f>
        <v>16.417326502095946</v>
      </c>
      <c r="Q144" s="166">
        <f>L144-K144</f>
        <v>-56874</v>
      </c>
      <c r="R144" s="163" t="str">
        <f>IF(Q144&gt;0,"맥산 유리","수입 유리")</f>
        <v>수입 유리</v>
      </c>
      <c r="S144" s="163" t="str">
        <f>Q144&amp;"원"&amp;" "&amp;R144</f>
        <v>-56874원 수입 유리</v>
      </c>
    </row>
    <row r="145" spans="1:19">
      <c r="A145" s="156">
        <v>65</v>
      </c>
      <c r="B145" s="164" t="s">
        <v>716</v>
      </c>
      <c r="C145" s="164" t="s">
        <v>717</v>
      </c>
      <c r="D145" s="164" t="s">
        <v>718</v>
      </c>
      <c r="E145" s="165">
        <v>20</v>
      </c>
      <c r="F145" s="165"/>
      <c r="G145" s="165"/>
      <c r="H145" s="165"/>
      <c r="I145" s="159">
        <v>20</v>
      </c>
      <c r="J145" s="160">
        <v>1218</v>
      </c>
      <c r="K145" s="160">
        <v>1987</v>
      </c>
      <c r="L145" s="160">
        <v>1728</v>
      </c>
      <c r="M145" s="160">
        <f>J145-K145</f>
        <v>-769</v>
      </c>
      <c r="N145" s="161">
        <f>(J145-K145)/K145</f>
        <v>-0.38701560140915953</v>
      </c>
      <c r="O145" s="162">
        <f>J145-L145</f>
        <v>-510</v>
      </c>
      <c r="P145" s="161">
        <f>(J145-L145)/L145</f>
        <v>-0.2951388888888889</v>
      </c>
      <c r="Q145" s="166">
        <f>L145-K145</f>
        <v>-259</v>
      </c>
      <c r="R145" s="163" t="str">
        <f>IF(Q145&gt;0,"맥산 유리","수입 유리")</f>
        <v>수입 유리</v>
      </c>
      <c r="S145" s="163" t="str">
        <f>Q145&amp;"원"&amp;" "&amp;R145</f>
        <v>-259원 수입 유리</v>
      </c>
    </row>
    <row r="146" spans="1:19">
      <c r="A146" s="156">
        <v>45</v>
      </c>
      <c r="B146" s="164" t="s">
        <v>2471</v>
      </c>
      <c r="C146" s="164" t="s">
        <v>2472</v>
      </c>
      <c r="D146" s="164" t="s">
        <v>2473</v>
      </c>
      <c r="E146" s="165"/>
      <c r="F146" s="165">
        <v>16</v>
      </c>
      <c r="G146" s="165">
        <v>2</v>
      </c>
      <c r="H146" s="165"/>
      <c r="I146" s="159">
        <v>18</v>
      </c>
      <c r="J146" s="160">
        <v>3130</v>
      </c>
      <c r="K146" s="160">
        <v>4703</v>
      </c>
      <c r="L146" s="160">
        <v>3734</v>
      </c>
      <c r="M146" s="160">
        <f>J146-K146</f>
        <v>-1573</v>
      </c>
      <c r="N146" s="161">
        <f>(J146-K146)/K146</f>
        <v>-0.33446736125877102</v>
      </c>
      <c r="O146" s="162">
        <f>J146-L146</f>
        <v>-604</v>
      </c>
      <c r="P146" s="161">
        <f>(J146-L146)/L146</f>
        <v>-0.16175682913765399</v>
      </c>
      <c r="Q146" s="166">
        <f>L146-K146</f>
        <v>-969</v>
      </c>
      <c r="R146" s="163" t="str">
        <f>IF(Q146&gt;0,"맥산 유리","수입 유리")</f>
        <v>수입 유리</v>
      </c>
      <c r="S146" s="163" t="str">
        <f>Q146&amp;"원"&amp;" "&amp;R146</f>
        <v>-969원 수입 유리</v>
      </c>
    </row>
    <row r="147" spans="1:19">
      <c r="A147" s="156">
        <v>31</v>
      </c>
      <c r="B147" s="164" t="s">
        <v>3026</v>
      </c>
      <c r="C147" s="164" t="s">
        <v>3027</v>
      </c>
      <c r="D147" s="164" t="s">
        <v>3028</v>
      </c>
      <c r="E147" s="165"/>
      <c r="F147" s="165"/>
      <c r="G147" s="165">
        <v>15</v>
      </c>
      <c r="H147" s="165"/>
      <c r="I147" s="159">
        <v>15</v>
      </c>
      <c r="J147" s="160">
        <v>3176</v>
      </c>
      <c r="K147" s="160">
        <v>4157</v>
      </c>
      <c r="L147" s="160">
        <v>3734</v>
      </c>
      <c r="M147" s="160">
        <f>J147-K147</f>
        <v>-981</v>
      </c>
      <c r="N147" s="161">
        <f>(J147-K147)/K147</f>
        <v>-0.23598749097907146</v>
      </c>
      <c r="O147" s="162">
        <f>J147-L147</f>
        <v>-558</v>
      </c>
      <c r="P147" s="161">
        <f>(J147-L147)/L147</f>
        <v>-0.14943760042849491</v>
      </c>
      <c r="Q147" s="166">
        <f>L147-K147</f>
        <v>-423</v>
      </c>
      <c r="R147" s="163" t="str">
        <f>IF(Q147&gt;0,"맥산 유리","수입 유리")</f>
        <v>수입 유리</v>
      </c>
      <c r="S147" s="163" t="str">
        <f>Q147&amp;"원"&amp;" "&amp;R147</f>
        <v>-423원 수입 유리</v>
      </c>
    </row>
    <row r="148" spans="1:19">
      <c r="A148" s="156">
        <v>108</v>
      </c>
      <c r="B148" s="164" t="s">
        <v>828</v>
      </c>
      <c r="C148" s="164" t="s">
        <v>829</v>
      </c>
      <c r="D148" s="164" t="s">
        <v>830</v>
      </c>
      <c r="E148" s="165">
        <v>5</v>
      </c>
      <c r="F148" s="165"/>
      <c r="G148" s="165">
        <v>10</v>
      </c>
      <c r="H148" s="165"/>
      <c r="I148" s="159">
        <v>15</v>
      </c>
      <c r="J148" s="160">
        <v>3114</v>
      </c>
      <c r="K148" s="160">
        <v>4839</v>
      </c>
      <c r="L148" s="160">
        <v>4764</v>
      </c>
      <c r="M148" s="160">
        <f>J148-K148</f>
        <v>-1725</v>
      </c>
      <c r="N148" s="161">
        <f>(J148-K148)/K148</f>
        <v>-0.35647861128332298</v>
      </c>
      <c r="O148" s="162">
        <f>J148-L148</f>
        <v>-1650</v>
      </c>
      <c r="P148" s="161">
        <f>(J148-L148)/L148</f>
        <v>-0.34634760705289674</v>
      </c>
      <c r="Q148" s="166">
        <f>L148-K148</f>
        <v>-75</v>
      </c>
      <c r="R148" s="163" t="str">
        <f>IF(Q148&gt;0,"맥산 유리","수입 유리")</f>
        <v>수입 유리</v>
      </c>
      <c r="S148" s="163" t="str">
        <f>Q148&amp;"원"&amp;" "&amp;R148</f>
        <v>-75원 수입 유리</v>
      </c>
    </row>
    <row r="149" spans="1:19">
      <c r="A149" s="156">
        <v>41</v>
      </c>
      <c r="B149" s="164" t="s">
        <v>646</v>
      </c>
      <c r="C149" s="164" t="s">
        <v>647</v>
      </c>
      <c r="D149" s="164" t="s">
        <v>648</v>
      </c>
      <c r="E149" s="165">
        <v>10</v>
      </c>
      <c r="F149" s="165"/>
      <c r="G149" s="165">
        <v>2</v>
      </c>
      <c r="H149" s="165"/>
      <c r="I149" s="159">
        <v>12</v>
      </c>
      <c r="J149" s="160">
        <v>6502</v>
      </c>
      <c r="K149" s="160">
        <v>12527</v>
      </c>
      <c r="L149" s="160">
        <v>10063</v>
      </c>
      <c r="M149" s="160">
        <f>J149-K149</f>
        <v>-6025</v>
      </c>
      <c r="N149" s="161">
        <f>(J149-K149)/K149</f>
        <v>-0.48096112397222002</v>
      </c>
      <c r="O149" s="162">
        <f>J149-L149</f>
        <v>-3561</v>
      </c>
      <c r="P149" s="161">
        <f>(J149-L149)/L149</f>
        <v>-0.35387061512471429</v>
      </c>
      <c r="Q149" s="166">
        <f>L149-K149</f>
        <v>-2464</v>
      </c>
      <c r="R149" s="163" t="str">
        <f>IF(Q149&gt;0,"맥산 유리","수입 유리")</f>
        <v>수입 유리</v>
      </c>
      <c r="S149" s="163" t="str">
        <f>Q149&amp;"원"&amp;" "&amp;R149</f>
        <v>-2464원 수입 유리</v>
      </c>
    </row>
    <row r="150" spans="1:19">
      <c r="A150" s="156">
        <v>113</v>
      </c>
      <c r="B150" s="157" t="s">
        <v>3080</v>
      </c>
      <c r="C150" s="157" t="s">
        <v>3081</v>
      </c>
      <c r="D150" s="157" t="s">
        <v>3082</v>
      </c>
      <c r="E150" s="158"/>
      <c r="F150" s="158"/>
      <c r="G150" s="158">
        <v>10</v>
      </c>
      <c r="H150" s="158"/>
      <c r="I150" s="159">
        <v>10</v>
      </c>
      <c r="J150" s="160">
        <v>3394</v>
      </c>
      <c r="K150" s="160">
        <v>5269</v>
      </c>
      <c r="L150" s="160">
        <v>5289</v>
      </c>
      <c r="M150" s="160">
        <f>J150-K150</f>
        <v>-1875</v>
      </c>
      <c r="N150" s="161">
        <f>(J150-K150)/K150</f>
        <v>-0.35585500094894668</v>
      </c>
      <c r="O150" s="162">
        <f>J150-L150</f>
        <v>-1895</v>
      </c>
      <c r="P150" s="161">
        <f>(J150-L150)/L150</f>
        <v>-0.35829079221024768</v>
      </c>
      <c r="Q150" s="166">
        <f>L150-K150</f>
        <v>20</v>
      </c>
      <c r="R150" s="163" t="str">
        <f>IF(Q150&gt;0,"맥산 유리","수입 유리")</f>
        <v>맥산 유리</v>
      </c>
      <c r="S150" s="163" t="str">
        <f>Q150&amp;"원"&amp;" "&amp;R150</f>
        <v>20원 맥산 유리</v>
      </c>
    </row>
    <row r="151" spans="1:19">
      <c r="A151" s="156">
        <v>135</v>
      </c>
      <c r="B151" s="157" t="s">
        <v>2526</v>
      </c>
      <c r="C151" s="157" t="s">
        <v>2527</v>
      </c>
      <c r="D151" s="157" t="s">
        <v>2528</v>
      </c>
      <c r="E151" s="158"/>
      <c r="F151" s="158">
        <v>2</v>
      </c>
      <c r="G151" s="158">
        <v>8</v>
      </c>
      <c r="H151" s="158"/>
      <c r="I151" s="159">
        <v>10</v>
      </c>
      <c r="J151" s="160">
        <v>2940</v>
      </c>
      <c r="K151" s="160">
        <v>4206</v>
      </c>
      <c r="L151" s="160">
        <v>3948</v>
      </c>
      <c r="M151" s="160">
        <f>J151-K151</f>
        <v>-1266</v>
      </c>
      <c r="N151" s="161">
        <f>(J151-K151)/K151</f>
        <v>-0.30099857346647646</v>
      </c>
      <c r="O151" s="162">
        <f>J151-L151</f>
        <v>-1008</v>
      </c>
      <c r="P151" s="161">
        <f>(J151-L151)/L151</f>
        <v>-0.25531914893617019</v>
      </c>
      <c r="Q151" s="166">
        <f>L151-K151</f>
        <v>-258</v>
      </c>
      <c r="R151" s="163" t="str">
        <f>IF(Q151&gt;0,"맥산 유리","수입 유리")</f>
        <v>수입 유리</v>
      </c>
      <c r="S151" s="163" t="str">
        <f>Q151&amp;"원"&amp;" "&amp;R151</f>
        <v>-258원 수입 유리</v>
      </c>
    </row>
    <row r="152" spans="1:19">
      <c r="A152" s="156">
        <v>145</v>
      </c>
      <c r="B152" s="164" t="s">
        <v>2545</v>
      </c>
      <c r="C152" s="164" t="s">
        <v>1304</v>
      </c>
      <c r="D152" s="164" t="s">
        <v>2546</v>
      </c>
      <c r="E152" s="165"/>
      <c r="F152" s="165">
        <v>10</v>
      </c>
      <c r="G152" s="165"/>
      <c r="H152" s="165"/>
      <c r="I152" s="159">
        <v>10</v>
      </c>
      <c r="J152" s="160">
        <v>44575</v>
      </c>
      <c r="K152" s="160">
        <v>64887</v>
      </c>
      <c r="L152" s="160">
        <v>2597</v>
      </c>
      <c r="M152" s="160">
        <f>J152-K152</f>
        <v>-20312</v>
      </c>
      <c r="N152" s="161">
        <f>(J152-K152)/K152</f>
        <v>-0.31303650962442398</v>
      </c>
      <c r="O152" s="162">
        <f>J152-L152</f>
        <v>41978</v>
      </c>
      <c r="P152" s="161">
        <f>(J152-L152)/L152</f>
        <v>16.164035425490951</v>
      </c>
      <c r="Q152" s="166">
        <f>L152-K152</f>
        <v>-62290</v>
      </c>
      <c r="R152" s="163" t="str">
        <f>IF(Q152&gt;0,"맥산 유리","수입 유리")</f>
        <v>수입 유리</v>
      </c>
      <c r="S152" s="163" t="str">
        <f>Q152&amp;"원"&amp;" "&amp;R152</f>
        <v>-62290원 수입 유리</v>
      </c>
    </row>
    <row r="153" spans="1:19">
      <c r="A153" s="156">
        <v>156</v>
      </c>
      <c r="B153" s="157" t="s">
        <v>3134</v>
      </c>
      <c r="C153" s="157" t="s">
        <v>3135</v>
      </c>
      <c r="D153" s="157" t="s">
        <v>3136</v>
      </c>
      <c r="E153" s="158"/>
      <c r="F153" s="158"/>
      <c r="G153" s="158">
        <v>10</v>
      </c>
      <c r="H153" s="158"/>
      <c r="I153" s="159">
        <v>10</v>
      </c>
      <c r="J153" s="160">
        <v>3138</v>
      </c>
      <c r="K153" s="160">
        <v>4872</v>
      </c>
      <c r="L153" s="160">
        <v>4871</v>
      </c>
      <c r="M153" s="160">
        <f>J153-K153</f>
        <v>-1734</v>
      </c>
      <c r="N153" s="161">
        <f>(J153-K153)/K153</f>
        <v>-0.35591133004926107</v>
      </c>
      <c r="O153" s="162">
        <f>J153-L153</f>
        <v>-1733</v>
      </c>
      <c r="P153" s="161">
        <f>(J153-L153)/L153</f>
        <v>-0.35577910080065694</v>
      </c>
      <c r="Q153" s="166">
        <f>L153-K153</f>
        <v>-1</v>
      </c>
      <c r="R153" s="163" t="str">
        <f>IF(Q153&gt;0,"맥산 유리","수입 유리")</f>
        <v>수입 유리</v>
      </c>
      <c r="S153" s="163" t="str">
        <f>Q153&amp;"원"&amp;" "&amp;R153</f>
        <v>-1원 수입 유리</v>
      </c>
    </row>
    <row r="154" spans="1:19">
      <c r="A154" s="156">
        <v>157</v>
      </c>
      <c r="B154" s="157" t="s">
        <v>3156</v>
      </c>
      <c r="C154" s="157" t="s">
        <v>3157</v>
      </c>
      <c r="D154" s="157" t="s">
        <v>3158</v>
      </c>
      <c r="E154" s="158"/>
      <c r="F154" s="158"/>
      <c r="G154" s="158">
        <v>10</v>
      </c>
      <c r="H154" s="158"/>
      <c r="I154" s="159">
        <v>10</v>
      </c>
      <c r="J154" s="160">
        <v>3289</v>
      </c>
      <c r="K154" s="160">
        <v>5161</v>
      </c>
      <c r="L154" s="160">
        <v>5150</v>
      </c>
      <c r="M154" s="160">
        <f>J154-K154</f>
        <v>-1872</v>
      </c>
      <c r="N154" s="161">
        <f>(J154-K154)/K154</f>
        <v>-0.36272040302267</v>
      </c>
      <c r="O154" s="162">
        <f>J154-L154</f>
        <v>-1861</v>
      </c>
      <c r="P154" s="161">
        <f>(J154-L154)/L154</f>
        <v>-0.36135922330097087</v>
      </c>
      <c r="Q154" s="166">
        <f>L154-K154</f>
        <v>-11</v>
      </c>
      <c r="R154" s="163" t="str">
        <f>IF(Q154&gt;0,"맥산 유리","수입 유리")</f>
        <v>수입 유리</v>
      </c>
      <c r="S154" s="163" t="str">
        <f>Q154&amp;"원"&amp;" "&amp;R154</f>
        <v>-11원 수입 유리</v>
      </c>
    </row>
    <row r="155" spans="1:19">
      <c r="A155" s="156">
        <v>111</v>
      </c>
      <c r="B155" s="157" t="s">
        <v>3074</v>
      </c>
      <c r="C155" s="157" t="s">
        <v>3075</v>
      </c>
      <c r="D155" s="157" t="s">
        <v>3076</v>
      </c>
      <c r="E155" s="158"/>
      <c r="F155" s="158"/>
      <c r="G155" s="158">
        <v>10</v>
      </c>
      <c r="H155" s="158"/>
      <c r="I155" s="159">
        <v>10</v>
      </c>
      <c r="J155" s="160">
        <v>3213</v>
      </c>
      <c r="K155" s="160">
        <v>5052</v>
      </c>
      <c r="L155" s="160">
        <v>5010</v>
      </c>
      <c r="M155" s="160">
        <f>J155-K155</f>
        <v>-1839</v>
      </c>
      <c r="N155" s="161">
        <f>(J155-K155)/K155</f>
        <v>-0.36401425178147268</v>
      </c>
      <c r="O155" s="162">
        <f>J155-L155</f>
        <v>-1797</v>
      </c>
      <c r="P155" s="161">
        <f>(J155-L155)/L155</f>
        <v>-0.35868263473053891</v>
      </c>
      <c r="Q155" s="166">
        <f>L155-K155</f>
        <v>-42</v>
      </c>
      <c r="R155" s="163" t="str">
        <f>IF(Q155&gt;0,"맥산 유리","수입 유리")</f>
        <v>수입 유리</v>
      </c>
      <c r="S155" s="163" t="str">
        <f>Q155&amp;"원"&amp;" "&amp;R155</f>
        <v>-42원 수입 유리</v>
      </c>
    </row>
    <row r="156" spans="1:19">
      <c r="A156" s="156">
        <v>79</v>
      </c>
      <c r="B156" s="157" t="s">
        <v>762</v>
      </c>
      <c r="C156" s="157" t="s">
        <v>763</v>
      </c>
      <c r="D156" s="157" t="s">
        <v>764</v>
      </c>
      <c r="E156" s="158">
        <v>10</v>
      </c>
      <c r="F156" s="158"/>
      <c r="G156" s="158"/>
      <c r="H156" s="158"/>
      <c r="I156" s="159">
        <v>10</v>
      </c>
      <c r="J156" s="160">
        <v>2256</v>
      </c>
      <c r="K156" s="160">
        <v>3903</v>
      </c>
      <c r="L156" s="160">
        <v>3163</v>
      </c>
      <c r="M156" s="160">
        <f>J156-K156</f>
        <v>-1647</v>
      </c>
      <c r="N156" s="161">
        <f>(J156-K156)/K156</f>
        <v>-0.42198308993082245</v>
      </c>
      <c r="O156" s="162">
        <f>J156-L156</f>
        <v>-907</v>
      </c>
      <c r="P156" s="161">
        <f>(J156-L156)/L156</f>
        <v>-0.28675308251659815</v>
      </c>
      <c r="Q156" s="166">
        <f>L156-K156</f>
        <v>-740</v>
      </c>
      <c r="R156" s="163" t="str">
        <f>IF(Q156&gt;0,"맥산 유리","수입 유리")</f>
        <v>수입 유리</v>
      </c>
      <c r="S156" s="163" t="str">
        <f>Q156&amp;"원"&amp;" "&amp;R156</f>
        <v>-740원 수입 유리</v>
      </c>
    </row>
    <row r="157" spans="1:19">
      <c r="A157" s="156">
        <v>146</v>
      </c>
      <c r="B157" s="164" t="s">
        <v>940</v>
      </c>
      <c r="C157" s="164" t="s">
        <v>941</v>
      </c>
      <c r="D157" s="164" t="s">
        <v>929</v>
      </c>
      <c r="E157" s="165">
        <v>10</v>
      </c>
      <c r="F157" s="165"/>
      <c r="G157" s="165"/>
      <c r="H157" s="165"/>
      <c r="I157" s="159">
        <v>10</v>
      </c>
      <c r="J157" s="160">
        <v>15116</v>
      </c>
      <c r="K157" s="160">
        <v>29154</v>
      </c>
      <c r="L157" s="160">
        <v>1335</v>
      </c>
      <c r="M157" s="160">
        <f>J157-K157</f>
        <v>-14038</v>
      </c>
      <c r="N157" s="161">
        <f>(J157-K157)/K157</f>
        <v>-0.48151197091308223</v>
      </c>
      <c r="O157" s="162">
        <f>J157-L157</f>
        <v>13781</v>
      </c>
      <c r="P157" s="161">
        <f>(J157-L157)/L157</f>
        <v>10.322846441947565</v>
      </c>
      <c r="Q157" s="166">
        <f>L157-K157</f>
        <v>-27819</v>
      </c>
      <c r="R157" s="163" t="str">
        <f>IF(Q157&gt;0,"맥산 유리","수입 유리")</f>
        <v>수입 유리</v>
      </c>
      <c r="S157" s="163" t="str">
        <f>Q157&amp;"원"&amp;" "&amp;R157</f>
        <v>-27819원 수입 유리</v>
      </c>
    </row>
    <row r="158" spans="1:19">
      <c r="A158" s="156">
        <v>44</v>
      </c>
      <c r="B158" s="157" t="s">
        <v>655</v>
      </c>
      <c r="C158" s="157" t="s">
        <v>656</v>
      </c>
      <c r="D158" s="157" t="s">
        <v>657</v>
      </c>
      <c r="E158" s="158">
        <v>8</v>
      </c>
      <c r="F158" s="158"/>
      <c r="G158" s="158"/>
      <c r="H158" s="158"/>
      <c r="I158" s="159">
        <v>8</v>
      </c>
      <c r="J158" s="160">
        <v>7851</v>
      </c>
      <c r="K158" s="160">
        <v>15614</v>
      </c>
      <c r="L158" s="160">
        <v>12594</v>
      </c>
      <c r="M158" s="160">
        <f>J158-K158</f>
        <v>-7763</v>
      </c>
      <c r="N158" s="161">
        <f>(J158-K158)/K158</f>
        <v>-0.49718201613936214</v>
      </c>
      <c r="O158" s="162">
        <f>J158-L158</f>
        <v>-4743</v>
      </c>
      <c r="P158" s="161">
        <f>(J158-L158)/L158</f>
        <v>-0.37660790852787041</v>
      </c>
      <c r="Q158" s="166">
        <f>L158-K158</f>
        <v>-3020</v>
      </c>
      <c r="R158" s="163" t="str">
        <f>IF(Q158&gt;0,"맥산 유리","수입 유리")</f>
        <v>수입 유리</v>
      </c>
      <c r="S158" s="163" t="str">
        <f>Q158&amp;"원"&amp;" "&amp;R158</f>
        <v>-3020원 수입 유리</v>
      </c>
    </row>
    <row r="159" spans="1:19">
      <c r="A159" s="156">
        <v>116</v>
      </c>
      <c r="B159" s="164" t="s">
        <v>843</v>
      </c>
      <c r="C159" s="164" t="s">
        <v>844</v>
      </c>
      <c r="D159" s="164"/>
      <c r="E159" s="165">
        <v>3</v>
      </c>
      <c r="F159" s="165">
        <v>2</v>
      </c>
      <c r="G159" s="165"/>
      <c r="H159" s="165">
        <v>1</v>
      </c>
      <c r="I159" s="159">
        <v>6</v>
      </c>
      <c r="J159" s="160">
        <v>7057</v>
      </c>
      <c r="K159" s="160">
        <v>9993</v>
      </c>
      <c r="L159" s="160">
        <v>10920</v>
      </c>
      <c r="M159" s="160">
        <f>J159-K159</f>
        <v>-2936</v>
      </c>
      <c r="N159" s="161">
        <f>(J159-K159)/K159</f>
        <v>-0.29380566396477537</v>
      </c>
      <c r="O159" s="162">
        <f>J159-L159</f>
        <v>-3863</v>
      </c>
      <c r="P159" s="161">
        <f>(J159-L159)/L159</f>
        <v>-0.35375457875457877</v>
      </c>
      <c r="Q159" s="166">
        <f>L159-K159</f>
        <v>927</v>
      </c>
      <c r="R159" s="163" t="str">
        <f>IF(Q159&gt;0,"맥산 유리","수입 유리")</f>
        <v>맥산 유리</v>
      </c>
      <c r="S159" s="163" t="str">
        <f>Q159&amp;"원"&amp;" "&amp;R159</f>
        <v>927원 맥산 유리</v>
      </c>
    </row>
    <row r="160" spans="1:19">
      <c r="A160" s="156">
        <v>164</v>
      </c>
      <c r="B160" s="164" t="s">
        <v>3199</v>
      </c>
      <c r="C160" s="164" t="s">
        <v>3200</v>
      </c>
      <c r="D160" s="164" t="s">
        <v>3201</v>
      </c>
      <c r="E160" s="165"/>
      <c r="F160" s="165"/>
      <c r="G160" s="165">
        <v>5</v>
      </c>
      <c r="H160" s="165"/>
      <c r="I160" s="159">
        <v>5</v>
      </c>
      <c r="J160" s="160">
        <v>2224</v>
      </c>
      <c r="K160" s="160">
        <v>3534</v>
      </c>
      <c r="L160" s="160">
        <v>2897</v>
      </c>
      <c r="M160" s="160">
        <f>J160-K160</f>
        <v>-1310</v>
      </c>
      <c r="N160" s="161">
        <f>(J160-K160)/K160</f>
        <v>-0.37068477645727221</v>
      </c>
      <c r="O160" s="162">
        <f>J160-L160</f>
        <v>-673</v>
      </c>
      <c r="P160" s="161">
        <f>(J160-L160)/L160</f>
        <v>-0.23230928546772522</v>
      </c>
      <c r="Q160" s="166">
        <f>L160-K160</f>
        <v>-637</v>
      </c>
      <c r="R160" s="163" t="str">
        <f>IF(Q160&gt;0,"맥산 유리","수입 유리")</f>
        <v>수입 유리</v>
      </c>
      <c r="S160" s="163" t="str">
        <f>Q160&amp;"원"&amp;" "&amp;R160</f>
        <v>-637원 수입 유리</v>
      </c>
    </row>
    <row r="161" spans="1:19">
      <c r="A161" s="156">
        <v>77</v>
      </c>
      <c r="B161" s="157" t="s">
        <v>3042</v>
      </c>
      <c r="C161" s="157" t="s">
        <v>3043</v>
      </c>
      <c r="D161" s="157"/>
      <c r="E161" s="158"/>
      <c r="F161" s="158"/>
      <c r="G161" s="158">
        <v>4</v>
      </c>
      <c r="H161" s="158"/>
      <c r="I161" s="159">
        <v>4</v>
      </c>
      <c r="J161" s="160">
        <v>5143</v>
      </c>
      <c r="K161" s="160">
        <v>10722</v>
      </c>
      <c r="L161" s="160">
        <v>8732</v>
      </c>
      <c r="M161" s="160">
        <f>J161-K161</f>
        <v>-5579</v>
      </c>
      <c r="N161" s="161">
        <f>(J161-K161)/K161</f>
        <v>-0.52033202760678976</v>
      </c>
      <c r="O161" s="162">
        <f>J161-L161</f>
        <v>-3589</v>
      </c>
      <c r="P161" s="161">
        <f>(J161-L161)/L161</f>
        <v>-0.41101694915254239</v>
      </c>
      <c r="Q161" s="166">
        <f>L161-K161</f>
        <v>-1990</v>
      </c>
      <c r="R161" s="163" t="str">
        <f>IF(Q161&gt;0,"맥산 유리","수입 유리")</f>
        <v>수입 유리</v>
      </c>
      <c r="S161" s="163" t="str">
        <f>Q161&amp;"원"&amp;" "&amp;R161</f>
        <v>-1990원 수입 유리</v>
      </c>
    </row>
    <row r="162" spans="1:19">
      <c r="A162" s="156">
        <v>153</v>
      </c>
      <c r="B162" s="164" t="s">
        <v>2573</v>
      </c>
      <c r="C162" s="164" t="s">
        <v>2574</v>
      </c>
      <c r="D162" s="164" t="s">
        <v>2575</v>
      </c>
      <c r="E162" s="165"/>
      <c r="F162" s="165">
        <v>3</v>
      </c>
      <c r="G162" s="165"/>
      <c r="H162" s="165"/>
      <c r="I162" s="159">
        <v>3</v>
      </c>
      <c r="J162" s="160">
        <v>3197</v>
      </c>
      <c r="K162" s="160">
        <v>4499</v>
      </c>
      <c r="L162" s="160">
        <v>3545</v>
      </c>
      <c r="M162" s="160">
        <f>J162-K162</f>
        <v>-1302</v>
      </c>
      <c r="N162" s="161">
        <f>(J162-K162)/K162</f>
        <v>-0.28939764392087131</v>
      </c>
      <c r="O162" s="162">
        <f>J162-L162</f>
        <v>-348</v>
      </c>
      <c r="P162" s="161">
        <f>(J162-L162)/L162</f>
        <v>-9.8166431593794082E-2</v>
      </c>
      <c r="Q162" s="166">
        <f>L162-K162</f>
        <v>-954</v>
      </c>
      <c r="R162" s="163" t="str">
        <f>IF(Q162&gt;0,"맥산 유리","수입 유리")</f>
        <v>수입 유리</v>
      </c>
      <c r="S162" s="163" t="str">
        <f>Q162&amp;"원"&amp;" "&amp;R162</f>
        <v>-954원 수입 유리</v>
      </c>
    </row>
    <row r="163" spans="1:19">
      <c r="A163" s="156">
        <v>5</v>
      </c>
      <c r="B163" s="157" t="s">
        <v>2450</v>
      </c>
      <c r="C163" s="157" t="s">
        <v>2451</v>
      </c>
      <c r="D163" s="157" t="s">
        <v>2452</v>
      </c>
      <c r="E163" s="158"/>
      <c r="F163" s="158">
        <v>3</v>
      </c>
      <c r="G163" s="158"/>
      <c r="H163" s="158"/>
      <c r="I163" s="159">
        <v>3</v>
      </c>
      <c r="J163" s="160">
        <v>2970</v>
      </c>
      <c r="K163" s="160">
        <v>5242</v>
      </c>
      <c r="L163" s="160">
        <v>3798</v>
      </c>
      <c r="M163" s="160">
        <f>J163-K163</f>
        <v>-2272</v>
      </c>
      <c r="N163" s="161">
        <f>(J163-K163)/K163</f>
        <v>-0.43342235787867228</v>
      </c>
      <c r="O163" s="162">
        <f>J163-L163</f>
        <v>-828</v>
      </c>
      <c r="P163" s="161">
        <f>(J163-L163)/L163</f>
        <v>-0.21800947867298578</v>
      </c>
      <c r="Q163" s="166">
        <f>L163-K163</f>
        <v>-1444</v>
      </c>
      <c r="R163" s="163" t="str">
        <f>IF(Q163&gt;0,"맥산 유리","수입 유리")</f>
        <v>수입 유리</v>
      </c>
      <c r="S163" s="163" t="str">
        <f>Q163&amp;"원"&amp;" "&amp;R163</f>
        <v>-1444원 수입 유리</v>
      </c>
    </row>
    <row r="164" spans="1:19">
      <c r="A164" s="156">
        <v>101</v>
      </c>
      <c r="B164" s="164" t="s">
        <v>2513</v>
      </c>
      <c r="C164" s="164" t="s">
        <v>2514</v>
      </c>
      <c r="D164" s="164" t="s">
        <v>2515</v>
      </c>
      <c r="E164" s="165"/>
      <c r="F164" s="165">
        <v>2</v>
      </c>
      <c r="G164" s="165"/>
      <c r="H164" s="165"/>
      <c r="I164" s="159">
        <v>2</v>
      </c>
      <c r="J164" s="160">
        <v>5457</v>
      </c>
      <c r="K164" s="160">
        <v>7650</v>
      </c>
      <c r="L164" s="160">
        <v>8132</v>
      </c>
      <c r="M164" s="160">
        <f>J164-K164</f>
        <v>-2193</v>
      </c>
      <c r="N164" s="161">
        <f>(J164-K164)/K164</f>
        <v>-0.28666666666666668</v>
      </c>
      <c r="O164" s="162">
        <f>J164-L164</f>
        <v>-2675</v>
      </c>
      <c r="P164" s="161">
        <f>(J164-L164)/L164</f>
        <v>-0.32894736842105265</v>
      </c>
      <c r="Q164" s="166">
        <f>L164-K164</f>
        <v>482</v>
      </c>
      <c r="R164" s="163" t="str">
        <f>IF(Q164&gt;0,"맥산 유리","수입 유리")</f>
        <v>맥산 유리</v>
      </c>
      <c r="S164" s="163" t="str">
        <f>Q164&amp;"원"&amp;" "&amp;R164</f>
        <v>482원 맥산 유리</v>
      </c>
    </row>
    <row r="165" spans="1:19">
      <c r="A165" s="156">
        <v>160</v>
      </c>
      <c r="B165" s="164" t="s">
        <v>2632</v>
      </c>
      <c r="C165" s="164" t="s">
        <v>2633</v>
      </c>
      <c r="D165" s="164" t="s">
        <v>922</v>
      </c>
      <c r="E165" s="165"/>
      <c r="F165" s="165">
        <v>2</v>
      </c>
      <c r="G165" s="165"/>
      <c r="H165" s="165"/>
      <c r="I165" s="159">
        <v>2</v>
      </c>
      <c r="J165" s="160">
        <v>31547</v>
      </c>
      <c r="K165" s="160">
        <v>50720</v>
      </c>
      <c r="L165" s="160">
        <v>1368</v>
      </c>
      <c r="M165" s="160">
        <f>J165-K165</f>
        <v>-19173</v>
      </c>
      <c r="N165" s="161">
        <f>(J165-K165)/K165</f>
        <v>-0.3780165615141956</v>
      </c>
      <c r="O165" s="162">
        <f>J165-L165</f>
        <v>30179</v>
      </c>
      <c r="P165" s="161">
        <f>(J165-L165)/L165</f>
        <v>22.060672514619885</v>
      </c>
      <c r="Q165" s="166">
        <f>L165-K165</f>
        <v>-49352</v>
      </c>
      <c r="R165" s="163" t="str">
        <f>IF(Q165&gt;0,"맥산 유리","수입 유리")</f>
        <v>수입 유리</v>
      </c>
      <c r="S165" s="163" t="str">
        <f>Q165&amp;"원"&amp;" "&amp;R165</f>
        <v>-49352원 수입 유리</v>
      </c>
    </row>
    <row r="166" spans="1:19">
      <c r="A166" s="156">
        <v>33</v>
      </c>
      <c r="B166" s="164" t="s">
        <v>614</v>
      </c>
      <c r="C166" s="164" t="s">
        <v>615</v>
      </c>
      <c r="D166" s="164" t="s">
        <v>616</v>
      </c>
      <c r="E166" s="165">
        <v>1</v>
      </c>
      <c r="F166" s="165"/>
      <c r="G166" s="165"/>
      <c r="H166" s="165"/>
      <c r="I166" s="159">
        <v>1</v>
      </c>
      <c r="J166" s="160">
        <v>5239</v>
      </c>
      <c r="K166" s="160">
        <v>8204</v>
      </c>
      <c r="L166" s="160">
        <v>8282</v>
      </c>
      <c r="M166" s="160">
        <f>J166-K166</f>
        <v>-2965</v>
      </c>
      <c r="N166" s="161">
        <f>(J166-K166)/K166</f>
        <v>-0.36140906874695272</v>
      </c>
      <c r="O166" s="162">
        <f>J166-L166</f>
        <v>-3043</v>
      </c>
      <c r="P166" s="161">
        <f>(J166-L166)/L166</f>
        <v>-0.36742332769862351</v>
      </c>
      <c r="Q166" s="166">
        <f>L166-K166</f>
        <v>78</v>
      </c>
      <c r="R166" s="163" t="str">
        <f>IF(Q166&gt;0,"맥산 유리","수입 유리")</f>
        <v>맥산 유리</v>
      </c>
      <c r="S166" s="163" t="str">
        <f>Q166&amp;"원"&amp;" "&amp;R166</f>
        <v>78원 맥산 유리</v>
      </c>
    </row>
    <row r="167" spans="1:19">
      <c r="A167" s="156">
        <v>150</v>
      </c>
      <c r="B167" s="157" t="s">
        <v>949</v>
      </c>
      <c r="C167" s="157" t="s">
        <v>950</v>
      </c>
      <c r="D167" s="157" t="s">
        <v>951</v>
      </c>
      <c r="E167" s="158">
        <v>1</v>
      </c>
      <c r="F167" s="158"/>
      <c r="G167" s="158"/>
      <c r="H167" s="158"/>
      <c r="I167" s="159">
        <v>1</v>
      </c>
      <c r="J167" s="160">
        <v>51757</v>
      </c>
      <c r="K167" s="160">
        <v>70753</v>
      </c>
      <c r="L167" s="160">
        <v>3047</v>
      </c>
      <c r="M167" s="160">
        <f>J167-K167</f>
        <v>-18996</v>
      </c>
      <c r="N167" s="161">
        <f>(J167-K167)/K167</f>
        <v>-0.26848331519511542</v>
      </c>
      <c r="O167" s="162">
        <f>J167-L167</f>
        <v>48710</v>
      </c>
      <c r="P167" s="161">
        <f>(J167-L167)/L167</f>
        <v>15.986215950114866</v>
      </c>
      <c r="Q167" s="166">
        <f>L167-K167</f>
        <v>-67706</v>
      </c>
      <c r="R167" s="163" t="str">
        <f>IF(Q167&gt;0,"맥산 유리","수입 유리")</f>
        <v>수입 유리</v>
      </c>
      <c r="S167" s="163" t="str">
        <f>Q167&amp;"원"&amp;" "&amp;R167</f>
        <v>-67706원 수입 유리</v>
      </c>
    </row>
  </sheetData>
  <autoFilter ref="A1:S167" xr:uid="{91D157D8-BC2B-44E7-9284-7FF0BDBAB599}"/>
  <sortState xmlns:xlrd2="http://schemas.microsoft.com/office/spreadsheetml/2017/richdata2" ref="A2:N167">
    <sortCondition descending="1" ref="N2:N167"/>
    <sortCondition descending="1" ref="I2:I167"/>
  </sortState>
  <phoneticPr fontId="37" type="noConversion"/>
  <conditionalFormatting sqref="M1:M1048576">
    <cfRule type="cellIs" dxfId="2" priority="4" operator="greaterThan">
      <formula>0</formula>
    </cfRule>
  </conditionalFormatting>
  <conditionalFormatting sqref="N2:P167">
    <cfRule type="cellIs" dxfId="1" priority="2" operator="greaterThan">
      <formula>0</formula>
    </cfRule>
  </conditionalFormatting>
  <conditionalFormatting sqref="S1:S1048576">
    <cfRule type="containsText" dxfId="0" priority="1" operator="containsText" text="맥산 유리">
      <formula>NOT(ISERROR(SEARCH("맥산 유리",S1)))</formula>
    </cfRule>
  </conditionalFormatting>
  <pageMargins left="0.70866141732283472" right="0.70866141732283472" top="0.74803149606299213" bottom="0.74803149606299213" header="0.31496062992125984" footer="0.31496062992125984"/>
  <pageSetup paperSize="9" scale="35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I15"/>
  <sheetViews>
    <sheetView showGridLines="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I1"/>
    </sheetView>
  </sheetViews>
  <sheetFormatPr defaultColWidth="8.6640625" defaultRowHeight="14.4"/>
  <cols>
    <col min="1" max="1" width="5" customWidth="1"/>
    <col min="2" max="2" width="16" customWidth="1"/>
    <col min="3" max="3" width="38" customWidth="1"/>
    <col min="4" max="4" width="22" customWidth="1"/>
    <col min="5" max="9" width="12" customWidth="1"/>
  </cols>
  <sheetData>
    <row r="1" spans="1:9" ht="24" customHeight="1">
      <c r="A1" s="13" t="s">
        <v>3551</v>
      </c>
      <c r="B1" s="13"/>
      <c r="C1" s="13"/>
      <c r="D1" s="13"/>
      <c r="E1" s="13"/>
      <c r="F1" s="13"/>
      <c r="G1" s="13"/>
      <c r="H1" s="13"/>
      <c r="I1" s="13"/>
    </row>
    <row r="2" spans="1:9" ht="36" customHeight="1">
      <c r="A2" s="38" t="s">
        <v>1</v>
      </c>
      <c r="B2" s="18" t="s">
        <v>2</v>
      </c>
      <c r="C2" s="18" t="s">
        <v>3</v>
      </c>
      <c r="D2" s="18" t="s">
        <v>4</v>
      </c>
      <c r="E2" s="38" t="s">
        <v>3547</v>
      </c>
      <c r="F2" s="38" t="s">
        <v>3548</v>
      </c>
      <c r="G2" s="38" t="s">
        <v>3549</v>
      </c>
      <c r="H2" s="38" t="s">
        <v>3550</v>
      </c>
      <c r="I2" s="18" t="s">
        <v>17</v>
      </c>
    </row>
    <row r="3" spans="1:9" ht="15.75" customHeight="1">
      <c r="A3" s="19">
        <v>1</v>
      </c>
      <c r="B3" s="20" t="s">
        <v>3552</v>
      </c>
      <c r="C3" s="20" t="s">
        <v>3553</v>
      </c>
      <c r="D3" s="20"/>
      <c r="E3" s="21">
        <v>20000</v>
      </c>
      <c r="F3" s="21">
        <v>20000</v>
      </c>
      <c r="G3" s="21"/>
      <c r="H3" s="21"/>
      <c r="I3" s="22">
        <f t="shared" ref="I3:I15" si="0">SUM(E3:H3)</f>
        <v>40000</v>
      </c>
    </row>
    <row r="4" spans="1:9" ht="15.75" customHeight="1">
      <c r="A4" s="23">
        <v>2</v>
      </c>
      <c r="B4" s="24" t="s">
        <v>3554</v>
      </c>
      <c r="C4" s="24" t="s">
        <v>3555</v>
      </c>
      <c r="D4" s="24" t="s">
        <v>3556</v>
      </c>
      <c r="E4" s="25">
        <v>2000</v>
      </c>
      <c r="F4" s="25">
        <v>10000</v>
      </c>
      <c r="G4" s="25"/>
      <c r="H4" s="25"/>
      <c r="I4" s="22">
        <f t="shared" si="0"/>
        <v>12000</v>
      </c>
    </row>
    <row r="5" spans="1:9" ht="15.75" customHeight="1">
      <c r="A5" s="19">
        <v>3</v>
      </c>
      <c r="B5" s="20" t="s">
        <v>3557</v>
      </c>
      <c r="C5" s="20" t="s">
        <v>3558</v>
      </c>
      <c r="D5" s="20" t="s">
        <v>3556</v>
      </c>
      <c r="E5" s="21"/>
      <c r="F5" s="21">
        <v>7000</v>
      </c>
      <c r="G5" s="21"/>
      <c r="H5" s="21"/>
      <c r="I5" s="22">
        <f t="shared" si="0"/>
        <v>7000</v>
      </c>
    </row>
    <row r="6" spans="1:9" ht="15.75" customHeight="1">
      <c r="A6" s="23">
        <v>4</v>
      </c>
      <c r="B6" s="24" t="s">
        <v>3559</v>
      </c>
      <c r="C6" s="24" t="s">
        <v>3560</v>
      </c>
      <c r="D6" s="24"/>
      <c r="E6" s="25">
        <v>20000</v>
      </c>
      <c r="F6" s="25">
        <v>20000</v>
      </c>
      <c r="G6" s="25"/>
      <c r="H6" s="25"/>
      <c r="I6" s="22">
        <f t="shared" si="0"/>
        <v>40000</v>
      </c>
    </row>
    <row r="7" spans="1:9" ht="15.75" customHeight="1">
      <c r="A7" s="19">
        <v>5</v>
      </c>
      <c r="B7" s="20" t="s">
        <v>3561</v>
      </c>
      <c r="C7" s="20" t="s">
        <v>3562</v>
      </c>
      <c r="D7" s="20" t="s">
        <v>3563</v>
      </c>
      <c r="E7" s="21"/>
      <c r="F7" s="21">
        <v>6000</v>
      </c>
      <c r="G7" s="21">
        <v>30000</v>
      </c>
      <c r="H7" s="21"/>
      <c r="I7" s="22">
        <f t="shared" si="0"/>
        <v>36000</v>
      </c>
    </row>
    <row r="8" spans="1:9" ht="15.75" customHeight="1">
      <c r="A8" s="23">
        <v>6</v>
      </c>
      <c r="B8" s="24" t="s">
        <v>3564</v>
      </c>
      <c r="C8" s="24" t="s">
        <v>3565</v>
      </c>
      <c r="D8" s="24"/>
      <c r="E8" s="25">
        <v>20000</v>
      </c>
      <c r="F8" s="25">
        <v>20000</v>
      </c>
      <c r="G8" s="25"/>
      <c r="H8" s="25"/>
      <c r="I8" s="22">
        <f t="shared" si="0"/>
        <v>40000</v>
      </c>
    </row>
    <row r="9" spans="1:9" ht="15.75" customHeight="1">
      <c r="A9" s="19">
        <v>7</v>
      </c>
      <c r="B9" s="20" t="s">
        <v>3566</v>
      </c>
      <c r="C9" s="20" t="s">
        <v>3567</v>
      </c>
      <c r="D9" s="20"/>
      <c r="E9" s="21">
        <v>71000</v>
      </c>
      <c r="F9" s="21"/>
      <c r="G9" s="21"/>
      <c r="H9" s="21"/>
      <c r="I9" s="22">
        <f t="shared" si="0"/>
        <v>71000</v>
      </c>
    </row>
    <row r="10" spans="1:9" ht="15.75" customHeight="1">
      <c r="A10" s="23">
        <v>8</v>
      </c>
      <c r="B10" s="24" t="s">
        <v>3568</v>
      </c>
      <c r="C10" s="24" t="s">
        <v>3569</v>
      </c>
      <c r="D10" s="24"/>
      <c r="E10" s="25"/>
      <c r="F10" s="25">
        <v>10000</v>
      </c>
      <c r="G10" s="25"/>
      <c r="H10" s="25"/>
      <c r="I10" s="22">
        <f t="shared" si="0"/>
        <v>10000</v>
      </c>
    </row>
    <row r="11" spans="1:9" ht="15.75" customHeight="1">
      <c r="A11" s="19">
        <v>9</v>
      </c>
      <c r="B11" s="20" t="s">
        <v>3570</v>
      </c>
      <c r="C11" s="20" t="s">
        <v>3571</v>
      </c>
      <c r="D11" s="20"/>
      <c r="E11" s="21">
        <v>10000</v>
      </c>
      <c r="F11" s="21">
        <v>25000</v>
      </c>
      <c r="G11" s="21"/>
      <c r="H11" s="21"/>
      <c r="I11" s="22">
        <f t="shared" si="0"/>
        <v>35000</v>
      </c>
    </row>
    <row r="12" spans="1:9" ht="15.75" customHeight="1">
      <c r="A12" s="23">
        <v>10</v>
      </c>
      <c r="B12" s="24" t="s">
        <v>3572</v>
      </c>
      <c r="C12" s="24" t="s">
        <v>3573</v>
      </c>
      <c r="D12" s="24"/>
      <c r="E12" s="25">
        <v>30000</v>
      </c>
      <c r="F12" s="25">
        <v>56100</v>
      </c>
      <c r="G12" s="25"/>
      <c r="H12" s="25"/>
      <c r="I12" s="22">
        <f t="shared" si="0"/>
        <v>86100</v>
      </c>
    </row>
    <row r="13" spans="1:9" ht="15.75" customHeight="1">
      <c r="A13" s="19">
        <v>11</v>
      </c>
      <c r="B13" s="20" t="s">
        <v>3574</v>
      </c>
      <c r="C13" s="20" t="s">
        <v>3575</v>
      </c>
      <c r="D13" s="20"/>
      <c r="E13" s="21"/>
      <c r="F13" s="21">
        <v>5000</v>
      </c>
      <c r="G13" s="21"/>
      <c r="H13" s="21"/>
      <c r="I13" s="22">
        <f t="shared" si="0"/>
        <v>5000</v>
      </c>
    </row>
    <row r="14" spans="1:9" ht="15.75" customHeight="1">
      <c r="A14" s="23">
        <v>12</v>
      </c>
      <c r="B14" s="24" t="s">
        <v>3576</v>
      </c>
      <c r="C14" s="24" t="s">
        <v>3577</v>
      </c>
      <c r="D14" s="24"/>
      <c r="E14" s="25">
        <v>30000</v>
      </c>
      <c r="F14" s="25">
        <v>12000</v>
      </c>
      <c r="G14" s="25"/>
      <c r="H14" s="25"/>
      <c r="I14" s="22">
        <f t="shared" si="0"/>
        <v>42000</v>
      </c>
    </row>
    <row r="15" spans="1:9" ht="15.75" customHeight="1">
      <c r="A15" s="19">
        <v>13</v>
      </c>
      <c r="B15" s="20" t="s">
        <v>3578</v>
      </c>
      <c r="C15" s="20" t="s">
        <v>3579</v>
      </c>
      <c r="D15" s="20" t="s">
        <v>3580</v>
      </c>
      <c r="E15" s="21">
        <v>30000</v>
      </c>
      <c r="F15" s="21">
        <v>8000</v>
      </c>
      <c r="G15" s="21"/>
      <c r="H15" s="21"/>
      <c r="I15" s="22">
        <f t="shared" si="0"/>
        <v>38000</v>
      </c>
    </row>
  </sheetData>
  <mergeCells count="1">
    <mergeCell ref="A1:I1"/>
  </mergeCells>
  <phoneticPr fontId="3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I2"/>
  <sheetViews>
    <sheetView showGridLines="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ColWidth="8.6640625" defaultRowHeight="14.4"/>
  <cols>
    <col min="1" max="1" width="5" customWidth="1"/>
    <col min="2" max="2" width="16" customWidth="1"/>
    <col min="3" max="3" width="38" customWidth="1"/>
    <col min="4" max="4" width="22" customWidth="1"/>
    <col min="5" max="9" width="12" customWidth="1"/>
  </cols>
  <sheetData>
    <row r="1" spans="1:9" ht="24" customHeight="1">
      <c r="A1" s="13" t="s">
        <v>3581</v>
      </c>
      <c r="B1" s="13"/>
      <c r="C1" s="13"/>
      <c r="D1" s="13"/>
      <c r="E1" s="13"/>
      <c r="F1" s="13"/>
      <c r="G1" s="13"/>
      <c r="H1" s="13"/>
      <c r="I1" s="13"/>
    </row>
    <row r="2" spans="1:9" ht="36" customHeight="1">
      <c r="A2" s="38" t="s">
        <v>1</v>
      </c>
      <c r="B2" s="18" t="s">
        <v>2</v>
      </c>
      <c r="C2" s="18" t="s">
        <v>3</v>
      </c>
      <c r="D2" s="18" t="s">
        <v>4</v>
      </c>
      <c r="E2" s="38" t="s">
        <v>3547</v>
      </c>
      <c r="F2" s="38" t="s">
        <v>3548</v>
      </c>
      <c r="G2" s="38" t="s">
        <v>3549</v>
      </c>
      <c r="H2" s="38" t="s">
        <v>3550</v>
      </c>
      <c r="I2" s="18" t="s">
        <v>17</v>
      </c>
    </row>
  </sheetData>
  <mergeCells count="1">
    <mergeCell ref="A1:I1"/>
  </mergeCells>
  <phoneticPr fontId="3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H1926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8.6640625" defaultRowHeight="14.4"/>
  <cols>
    <col min="1" max="1" width="16" customWidth="1"/>
    <col min="2" max="2" width="38" customWidth="1"/>
    <col min="3" max="3" width="22" customWidth="1"/>
    <col min="4" max="8" width="12" customWidth="1"/>
  </cols>
  <sheetData>
    <row r="1" spans="1:8" ht="21.75" customHeight="1">
      <c r="A1" s="13" t="s">
        <v>3582</v>
      </c>
      <c r="B1" s="13"/>
      <c r="C1" s="13"/>
      <c r="D1" s="13"/>
      <c r="E1" s="13"/>
      <c r="F1" s="13"/>
      <c r="G1" s="13"/>
      <c r="H1" s="13"/>
    </row>
    <row r="2" spans="1:8" ht="18" customHeight="1">
      <c r="A2" s="33"/>
      <c r="B2" s="33"/>
      <c r="C2" s="33"/>
      <c r="D2" s="34" t="s">
        <v>3547</v>
      </c>
      <c r="E2" s="35" t="s">
        <v>3548</v>
      </c>
      <c r="F2" s="36" t="s">
        <v>3549</v>
      </c>
      <c r="G2" s="37" t="s">
        <v>3550</v>
      </c>
      <c r="H2" s="28" t="s">
        <v>17</v>
      </c>
    </row>
    <row r="3" spans="1:8" ht="27.75" customHeight="1">
      <c r="A3" s="18" t="s">
        <v>2</v>
      </c>
      <c r="B3" s="18" t="s">
        <v>3</v>
      </c>
      <c r="C3" s="18" t="s">
        <v>4</v>
      </c>
      <c r="D3" s="38" t="s">
        <v>3547</v>
      </c>
      <c r="E3" s="38" t="s">
        <v>3548</v>
      </c>
      <c r="F3" s="38" t="s">
        <v>3549</v>
      </c>
      <c r="G3" s="38" t="s">
        <v>3550</v>
      </c>
      <c r="H3" s="18" t="s">
        <v>17</v>
      </c>
    </row>
    <row r="4" spans="1:8" ht="15.75" customHeight="1">
      <c r="A4" s="24" t="s">
        <v>18</v>
      </c>
      <c r="B4" s="24" t="s">
        <v>19</v>
      </c>
      <c r="C4" s="24" t="s">
        <v>20</v>
      </c>
      <c r="D4" s="25">
        <v>525</v>
      </c>
      <c r="E4" s="25">
        <v>360</v>
      </c>
      <c r="F4" s="25">
        <v>30</v>
      </c>
      <c r="G4" s="25"/>
      <c r="H4" s="22">
        <f t="shared" ref="H4:H67" si="0">SUM(D4:G4)</f>
        <v>915</v>
      </c>
    </row>
    <row r="5" spans="1:8" ht="15.75" customHeight="1">
      <c r="A5" s="20" t="s">
        <v>21</v>
      </c>
      <c r="B5" s="20" t="s">
        <v>19</v>
      </c>
      <c r="C5" s="20" t="s">
        <v>22</v>
      </c>
      <c r="D5" s="21">
        <v>175</v>
      </c>
      <c r="E5" s="21">
        <v>230</v>
      </c>
      <c r="F5" s="21"/>
      <c r="G5" s="21"/>
      <c r="H5" s="22">
        <f t="shared" si="0"/>
        <v>405</v>
      </c>
    </row>
    <row r="6" spans="1:8" ht="15.75" customHeight="1">
      <c r="A6" s="24" t="s">
        <v>23</v>
      </c>
      <c r="B6" s="24" t="s">
        <v>19</v>
      </c>
      <c r="C6" s="24" t="s">
        <v>24</v>
      </c>
      <c r="D6" s="25">
        <v>1550</v>
      </c>
      <c r="E6" s="25">
        <v>880</v>
      </c>
      <c r="F6" s="25">
        <v>650</v>
      </c>
      <c r="G6" s="25">
        <v>50</v>
      </c>
      <c r="H6" s="22">
        <f t="shared" si="0"/>
        <v>3130</v>
      </c>
    </row>
    <row r="7" spans="1:8" ht="15.75" customHeight="1">
      <c r="A7" s="20" t="s">
        <v>25</v>
      </c>
      <c r="B7" s="20" t="s">
        <v>19</v>
      </c>
      <c r="C7" s="20" t="s">
        <v>26</v>
      </c>
      <c r="D7" s="21">
        <v>587</v>
      </c>
      <c r="E7" s="21">
        <v>480</v>
      </c>
      <c r="F7" s="21">
        <v>275</v>
      </c>
      <c r="G7" s="21">
        <v>10</v>
      </c>
      <c r="H7" s="22">
        <f t="shared" si="0"/>
        <v>1352</v>
      </c>
    </row>
    <row r="8" spans="1:8" ht="15.75" customHeight="1">
      <c r="A8" s="24" t="s">
        <v>27</v>
      </c>
      <c r="B8" s="24" t="s">
        <v>28</v>
      </c>
      <c r="C8" s="24" t="s">
        <v>20</v>
      </c>
      <c r="D8" s="25">
        <v>5</v>
      </c>
      <c r="E8" s="25">
        <v>130</v>
      </c>
      <c r="F8" s="25">
        <v>10</v>
      </c>
      <c r="G8" s="25">
        <v>120</v>
      </c>
      <c r="H8" s="22">
        <f t="shared" si="0"/>
        <v>265</v>
      </c>
    </row>
    <row r="9" spans="1:8" ht="15.75" customHeight="1">
      <c r="A9" s="20" t="s">
        <v>2309</v>
      </c>
      <c r="B9" s="20" t="s">
        <v>28</v>
      </c>
      <c r="C9" s="20" t="s">
        <v>22</v>
      </c>
      <c r="D9" s="21"/>
      <c r="E9" s="21">
        <v>30</v>
      </c>
      <c r="F9" s="21">
        <v>50</v>
      </c>
      <c r="G9" s="21">
        <v>10</v>
      </c>
      <c r="H9" s="22">
        <f t="shared" si="0"/>
        <v>90</v>
      </c>
    </row>
    <row r="10" spans="1:8" ht="15.75" customHeight="1">
      <c r="A10" s="24" t="s">
        <v>29</v>
      </c>
      <c r="B10" s="24" t="s">
        <v>30</v>
      </c>
      <c r="C10" s="24" t="s">
        <v>20</v>
      </c>
      <c r="D10" s="25">
        <v>216</v>
      </c>
      <c r="E10" s="25">
        <v>65</v>
      </c>
      <c r="F10" s="25">
        <v>70</v>
      </c>
      <c r="G10" s="25">
        <v>5</v>
      </c>
      <c r="H10" s="22">
        <f t="shared" si="0"/>
        <v>356</v>
      </c>
    </row>
    <row r="11" spans="1:8" ht="15.75" customHeight="1">
      <c r="A11" s="20" t="s">
        <v>31</v>
      </c>
      <c r="B11" s="20" t="s">
        <v>30</v>
      </c>
      <c r="C11" s="20" t="s">
        <v>32</v>
      </c>
      <c r="D11" s="21">
        <v>133</v>
      </c>
      <c r="E11" s="21"/>
      <c r="F11" s="21">
        <v>64</v>
      </c>
      <c r="G11" s="21"/>
      <c r="H11" s="22">
        <f t="shared" si="0"/>
        <v>197</v>
      </c>
    </row>
    <row r="12" spans="1:8" ht="15.75" customHeight="1">
      <c r="A12" s="24" t="s">
        <v>33</v>
      </c>
      <c r="B12" s="24" t="s">
        <v>30</v>
      </c>
      <c r="C12" s="24" t="s">
        <v>22</v>
      </c>
      <c r="D12" s="25">
        <v>7</v>
      </c>
      <c r="E12" s="25"/>
      <c r="F12" s="25">
        <v>30</v>
      </c>
      <c r="G12" s="25"/>
      <c r="H12" s="22">
        <f t="shared" si="0"/>
        <v>37</v>
      </c>
    </row>
    <row r="13" spans="1:8" ht="15.75" customHeight="1">
      <c r="A13" s="20" t="s">
        <v>2310</v>
      </c>
      <c r="B13" s="20" t="s">
        <v>30</v>
      </c>
      <c r="C13" s="20" t="s">
        <v>121</v>
      </c>
      <c r="D13" s="21"/>
      <c r="E13" s="21">
        <v>5</v>
      </c>
      <c r="F13" s="21"/>
      <c r="G13" s="21"/>
      <c r="H13" s="22">
        <f t="shared" si="0"/>
        <v>5</v>
      </c>
    </row>
    <row r="14" spans="1:8" ht="15.75" customHeight="1">
      <c r="A14" s="24" t="s">
        <v>34</v>
      </c>
      <c r="B14" s="24" t="s">
        <v>30</v>
      </c>
      <c r="C14" s="24" t="s">
        <v>35</v>
      </c>
      <c r="D14" s="25">
        <v>10</v>
      </c>
      <c r="E14" s="25"/>
      <c r="F14" s="25"/>
      <c r="G14" s="25"/>
      <c r="H14" s="22">
        <f t="shared" si="0"/>
        <v>10</v>
      </c>
    </row>
    <row r="15" spans="1:8" ht="15.75" customHeight="1">
      <c r="A15" s="20" t="s">
        <v>2971</v>
      </c>
      <c r="B15" s="20" t="s">
        <v>30</v>
      </c>
      <c r="C15" s="20" t="s">
        <v>50</v>
      </c>
      <c r="D15" s="21"/>
      <c r="E15" s="21"/>
      <c r="F15" s="21">
        <v>10</v>
      </c>
      <c r="G15" s="21">
        <v>1</v>
      </c>
      <c r="H15" s="22">
        <f t="shared" si="0"/>
        <v>11</v>
      </c>
    </row>
    <row r="16" spans="1:8" ht="15.75" customHeight="1">
      <c r="A16" s="24" t="s">
        <v>36</v>
      </c>
      <c r="B16" s="24" t="s">
        <v>30</v>
      </c>
      <c r="C16" s="24" t="s">
        <v>26</v>
      </c>
      <c r="D16" s="25">
        <v>290</v>
      </c>
      <c r="E16" s="25">
        <v>391</v>
      </c>
      <c r="F16" s="25">
        <v>150</v>
      </c>
      <c r="G16" s="25">
        <v>50</v>
      </c>
      <c r="H16" s="22">
        <f t="shared" si="0"/>
        <v>881</v>
      </c>
    </row>
    <row r="17" spans="1:8" ht="15.75" customHeight="1">
      <c r="A17" s="20" t="s">
        <v>2311</v>
      </c>
      <c r="B17" s="20" t="s">
        <v>30</v>
      </c>
      <c r="C17" s="20" t="s">
        <v>55</v>
      </c>
      <c r="D17" s="21"/>
      <c r="E17" s="21">
        <v>7</v>
      </c>
      <c r="F17" s="21"/>
      <c r="G17" s="21"/>
      <c r="H17" s="22">
        <f t="shared" si="0"/>
        <v>7</v>
      </c>
    </row>
    <row r="18" spans="1:8" ht="15.75" customHeight="1">
      <c r="A18" s="24" t="s">
        <v>37</v>
      </c>
      <c r="B18" s="24" t="s">
        <v>38</v>
      </c>
      <c r="C18" s="24" t="s">
        <v>39</v>
      </c>
      <c r="D18" s="25">
        <v>19</v>
      </c>
      <c r="E18" s="25">
        <v>10</v>
      </c>
      <c r="F18" s="25"/>
      <c r="G18" s="25"/>
      <c r="H18" s="22">
        <f t="shared" si="0"/>
        <v>29</v>
      </c>
    </row>
    <row r="19" spans="1:8" ht="15.75" customHeight="1">
      <c r="A19" s="20" t="s">
        <v>40</v>
      </c>
      <c r="B19" s="20" t="s">
        <v>38</v>
      </c>
      <c r="C19" s="20" t="s">
        <v>32</v>
      </c>
      <c r="D19" s="21">
        <v>103</v>
      </c>
      <c r="E19" s="21"/>
      <c r="F19" s="21"/>
      <c r="G19" s="21"/>
      <c r="H19" s="22">
        <f t="shared" si="0"/>
        <v>103</v>
      </c>
    </row>
    <row r="20" spans="1:8" ht="15.75" customHeight="1">
      <c r="A20" s="24" t="s">
        <v>41</v>
      </c>
      <c r="B20" s="24" t="s">
        <v>38</v>
      </c>
      <c r="C20" s="24" t="s">
        <v>42</v>
      </c>
      <c r="D20" s="25">
        <v>120</v>
      </c>
      <c r="E20" s="25">
        <v>510</v>
      </c>
      <c r="F20" s="25">
        <v>110</v>
      </c>
      <c r="G20" s="25"/>
      <c r="H20" s="22">
        <f t="shared" si="0"/>
        <v>740</v>
      </c>
    </row>
    <row r="21" spans="1:8" ht="15.75" customHeight="1">
      <c r="A21" s="20" t="s">
        <v>43</v>
      </c>
      <c r="B21" s="20" t="s">
        <v>38</v>
      </c>
      <c r="C21" s="20" t="s">
        <v>22</v>
      </c>
      <c r="D21" s="21">
        <v>200</v>
      </c>
      <c r="E21" s="21"/>
      <c r="F21" s="21"/>
      <c r="G21" s="21"/>
      <c r="H21" s="22">
        <f t="shared" si="0"/>
        <v>200</v>
      </c>
    </row>
    <row r="22" spans="1:8" ht="15.75" customHeight="1">
      <c r="A22" s="24" t="s">
        <v>44</v>
      </c>
      <c r="B22" s="24" t="s">
        <v>38</v>
      </c>
      <c r="C22" s="24" t="s">
        <v>45</v>
      </c>
      <c r="D22" s="25">
        <v>5</v>
      </c>
      <c r="E22" s="25"/>
      <c r="F22" s="25">
        <v>80</v>
      </c>
      <c r="G22" s="25"/>
      <c r="H22" s="22">
        <f t="shared" si="0"/>
        <v>85</v>
      </c>
    </row>
    <row r="23" spans="1:8" ht="15.75" customHeight="1">
      <c r="A23" s="20" t="s">
        <v>46</v>
      </c>
      <c r="B23" s="20" t="s">
        <v>38</v>
      </c>
      <c r="C23" s="20" t="s">
        <v>47</v>
      </c>
      <c r="D23" s="21">
        <v>90</v>
      </c>
      <c r="E23" s="21">
        <v>2</v>
      </c>
      <c r="F23" s="21"/>
      <c r="G23" s="21"/>
      <c r="H23" s="22">
        <f t="shared" si="0"/>
        <v>92</v>
      </c>
    </row>
    <row r="24" spans="1:8" ht="15.75" customHeight="1">
      <c r="A24" s="24" t="s">
        <v>48</v>
      </c>
      <c r="B24" s="24" t="s">
        <v>38</v>
      </c>
      <c r="C24" s="24" t="s">
        <v>24</v>
      </c>
      <c r="D24" s="25">
        <v>30</v>
      </c>
      <c r="E24" s="25">
        <v>30</v>
      </c>
      <c r="F24" s="25">
        <v>10</v>
      </c>
      <c r="G24" s="25">
        <v>20</v>
      </c>
      <c r="H24" s="22">
        <f t="shared" si="0"/>
        <v>90</v>
      </c>
    </row>
    <row r="25" spans="1:8" ht="15.75" customHeight="1">
      <c r="A25" s="20" t="s">
        <v>49</v>
      </c>
      <c r="B25" s="20" t="s">
        <v>38</v>
      </c>
      <c r="C25" s="20" t="s">
        <v>50</v>
      </c>
      <c r="D25" s="21">
        <v>115</v>
      </c>
      <c r="E25" s="21">
        <v>21</v>
      </c>
      <c r="F25" s="21"/>
      <c r="G25" s="21"/>
      <c r="H25" s="22">
        <f t="shared" si="0"/>
        <v>136</v>
      </c>
    </row>
    <row r="26" spans="1:8" ht="15.75" customHeight="1">
      <c r="A26" s="24" t="s">
        <v>51</v>
      </c>
      <c r="B26" s="24" t="s">
        <v>38</v>
      </c>
      <c r="C26" s="24" t="s">
        <v>26</v>
      </c>
      <c r="D26" s="25">
        <v>204</v>
      </c>
      <c r="E26" s="25"/>
      <c r="F26" s="25">
        <v>5</v>
      </c>
      <c r="G26" s="25"/>
      <c r="H26" s="22">
        <f t="shared" si="0"/>
        <v>209</v>
      </c>
    </row>
    <row r="27" spans="1:8" ht="15.75" customHeight="1">
      <c r="A27" s="20" t="s">
        <v>52</v>
      </c>
      <c r="B27" s="20" t="s">
        <v>38</v>
      </c>
      <c r="C27" s="20" t="s">
        <v>53</v>
      </c>
      <c r="D27" s="21">
        <v>60</v>
      </c>
      <c r="E27" s="21">
        <v>20</v>
      </c>
      <c r="F27" s="21"/>
      <c r="G27" s="21"/>
      <c r="H27" s="22">
        <f t="shared" si="0"/>
        <v>80</v>
      </c>
    </row>
    <row r="28" spans="1:8" ht="15.75" customHeight="1">
      <c r="A28" s="24" t="s">
        <v>54</v>
      </c>
      <c r="B28" s="24" t="s">
        <v>38</v>
      </c>
      <c r="C28" s="24" t="s">
        <v>55</v>
      </c>
      <c r="D28" s="25">
        <v>60</v>
      </c>
      <c r="E28" s="25">
        <v>30</v>
      </c>
      <c r="F28" s="25"/>
      <c r="G28" s="25"/>
      <c r="H28" s="22">
        <f t="shared" si="0"/>
        <v>90</v>
      </c>
    </row>
    <row r="29" spans="1:8" ht="15.75" customHeight="1">
      <c r="A29" s="20" t="s">
        <v>56</v>
      </c>
      <c r="B29" s="20" t="s">
        <v>38</v>
      </c>
      <c r="C29" s="20" t="s">
        <v>57</v>
      </c>
      <c r="D29" s="21">
        <v>500</v>
      </c>
      <c r="E29" s="21">
        <v>500</v>
      </c>
      <c r="F29" s="21">
        <v>240</v>
      </c>
      <c r="G29" s="21"/>
      <c r="H29" s="22">
        <f t="shared" si="0"/>
        <v>1240</v>
      </c>
    </row>
    <row r="30" spans="1:8" ht="15.75" customHeight="1">
      <c r="A30" s="24" t="s">
        <v>58</v>
      </c>
      <c r="B30" s="24" t="s">
        <v>38</v>
      </c>
      <c r="C30" s="24" t="s">
        <v>59</v>
      </c>
      <c r="D30" s="25">
        <v>90</v>
      </c>
      <c r="E30" s="25">
        <v>20</v>
      </c>
      <c r="F30" s="25"/>
      <c r="G30" s="25"/>
      <c r="H30" s="22">
        <f t="shared" si="0"/>
        <v>110</v>
      </c>
    </row>
    <row r="31" spans="1:8" ht="15.75" customHeight="1">
      <c r="A31" s="20" t="s">
        <v>60</v>
      </c>
      <c r="B31" s="20" t="s">
        <v>38</v>
      </c>
      <c r="C31" s="20" t="s">
        <v>61</v>
      </c>
      <c r="D31" s="21">
        <v>19</v>
      </c>
      <c r="E31" s="21">
        <v>20</v>
      </c>
      <c r="F31" s="21"/>
      <c r="G31" s="21"/>
      <c r="H31" s="22">
        <f t="shared" si="0"/>
        <v>39</v>
      </c>
    </row>
    <row r="32" spans="1:8" ht="15.75" customHeight="1">
      <c r="A32" s="24" t="s">
        <v>2972</v>
      </c>
      <c r="B32" s="24" t="s">
        <v>63</v>
      </c>
      <c r="C32" s="24" t="s">
        <v>121</v>
      </c>
      <c r="D32" s="25"/>
      <c r="E32" s="25"/>
      <c r="F32" s="25">
        <v>30</v>
      </c>
      <c r="G32" s="25"/>
      <c r="H32" s="22">
        <f t="shared" si="0"/>
        <v>30</v>
      </c>
    </row>
    <row r="33" spans="1:8" ht="15.75" customHeight="1">
      <c r="A33" s="20" t="s">
        <v>2973</v>
      </c>
      <c r="B33" s="20" t="s">
        <v>63</v>
      </c>
      <c r="C33" s="20" t="s">
        <v>47</v>
      </c>
      <c r="D33" s="21"/>
      <c r="E33" s="21"/>
      <c r="F33" s="21">
        <v>20</v>
      </c>
      <c r="G33" s="21"/>
      <c r="H33" s="22">
        <f t="shared" si="0"/>
        <v>20</v>
      </c>
    </row>
    <row r="34" spans="1:8" ht="15.75" customHeight="1">
      <c r="A34" s="24" t="s">
        <v>2312</v>
      </c>
      <c r="B34" s="24" t="s">
        <v>63</v>
      </c>
      <c r="C34" s="24" t="s">
        <v>87</v>
      </c>
      <c r="D34" s="25"/>
      <c r="E34" s="25">
        <v>4</v>
      </c>
      <c r="F34" s="25"/>
      <c r="G34" s="25"/>
      <c r="H34" s="22">
        <f t="shared" si="0"/>
        <v>4</v>
      </c>
    </row>
    <row r="35" spans="1:8" ht="15.75" customHeight="1">
      <c r="A35" s="20" t="s">
        <v>62</v>
      </c>
      <c r="B35" s="20" t="s">
        <v>63</v>
      </c>
      <c r="C35" s="20" t="s">
        <v>50</v>
      </c>
      <c r="D35" s="21">
        <v>25</v>
      </c>
      <c r="E35" s="21"/>
      <c r="F35" s="21"/>
      <c r="G35" s="21"/>
      <c r="H35" s="22">
        <f t="shared" si="0"/>
        <v>25</v>
      </c>
    </row>
    <row r="36" spans="1:8" ht="15.75" customHeight="1">
      <c r="A36" s="24" t="s">
        <v>64</v>
      </c>
      <c r="B36" s="24" t="s">
        <v>63</v>
      </c>
      <c r="C36" s="24" t="s">
        <v>53</v>
      </c>
      <c r="D36" s="25">
        <v>10</v>
      </c>
      <c r="E36" s="25"/>
      <c r="F36" s="25"/>
      <c r="G36" s="25"/>
      <c r="H36" s="22">
        <f t="shared" si="0"/>
        <v>10</v>
      </c>
    </row>
    <row r="37" spans="1:8" ht="15.75" customHeight="1">
      <c r="A37" s="20" t="s">
        <v>65</v>
      </c>
      <c r="B37" s="20" t="s">
        <v>63</v>
      </c>
      <c r="C37" s="20" t="s">
        <v>55</v>
      </c>
      <c r="D37" s="21">
        <v>20</v>
      </c>
      <c r="E37" s="21"/>
      <c r="F37" s="21"/>
      <c r="G37" s="21"/>
      <c r="H37" s="22">
        <f t="shared" si="0"/>
        <v>20</v>
      </c>
    </row>
    <row r="38" spans="1:8" ht="15.75" customHeight="1">
      <c r="A38" s="24" t="s">
        <v>66</v>
      </c>
      <c r="B38" s="24" t="s">
        <v>30</v>
      </c>
      <c r="C38" s="24" t="s">
        <v>24</v>
      </c>
      <c r="D38" s="25">
        <v>200</v>
      </c>
      <c r="E38" s="25">
        <v>240</v>
      </c>
      <c r="F38" s="25"/>
      <c r="G38" s="25"/>
      <c r="H38" s="22">
        <f t="shared" si="0"/>
        <v>440</v>
      </c>
    </row>
    <row r="39" spans="1:8" ht="15.75" customHeight="1">
      <c r="A39" s="20" t="s">
        <v>2313</v>
      </c>
      <c r="B39" s="20" t="s">
        <v>30</v>
      </c>
      <c r="C39" s="20" t="s">
        <v>24</v>
      </c>
      <c r="D39" s="21"/>
      <c r="E39" s="21">
        <v>200</v>
      </c>
      <c r="F39" s="21"/>
      <c r="G39" s="21"/>
      <c r="H39" s="22">
        <f t="shared" si="0"/>
        <v>200</v>
      </c>
    </row>
    <row r="40" spans="1:8" ht="15.75" customHeight="1">
      <c r="A40" s="24" t="s">
        <v>67</v>
      </c>
      <c r="B40" s="24" t="s">
        <v>30</v>
      </c>
      <c r="C40" s="24" t="s">
        <v>57</v>
      </c>
      <c r="D40" s="25">
        <v>200</v>
      </c>
      <c r="E40" s="25">
        <v>80</v>
      </c>
      <c r="F40" s="25">
        <v>120</v>
      </c>
      <c r="G40" s="25">
        <v>20</v>
      </c>
      <c r="H40" s="22">
        <f t="shared" si="0"/>
        <v>420</v>
      </c>
    </row>
    <row r="41" spans="1:8" ht="15.75" customHeight="1">
      <c r="A41" s="20" t="s">
        <v>2314</v>
      </c>
      <c r="B41" s="20" t="s">
        <v>30</v>
      </c>
      <c r="C41" s="20" t="s">
        <v>170</v>
      </c>
      <c r="D41" s="21"/>
      <c r="E41" s="21">
        <v>13</v>
      </c>
      <c r="F41" s="21"/>
      <c r="G41" s="21"/>
      <c r="H41" s="22">
        <f t="shared" si="0"/>
        <v>13</v>
      </c>
    </row>
    <row r="42" spans="1:8" ht="15.75" customHeight="1">
      <c r="A42" s="24" t="s">
        <v>3435</v>
      </c>
      <c r="B42" s="24" t="s">
        <v>63</v>
      </c>
      <c r="C42" s="24" t="s">
        <v>26</v>
      </c>
      <c r="D42" s="25"/>
      <c r="E42" s="25"/>
      <c r="F42" s="25"/>
      <c r="G42" s="25">
        <v>10</v>
      </c>
      <c r="H42" s="22">
        <f t="shared" si="0"/>
        <v>10</v>
      </c>
    </row>
    <row r="43" spans="1:8" ht="15.75" customHeight="1">
      <c r="A43" s="20" t="s">
        <v>2974</v>
      </c>
      <c r="B43" s="20" t="s">
        <v>63</v>
      </c>
      <c r="C43" s="20" t="s">
        <v>20</v>
      </c>
      <c r="D43" s="21"/>
      <c r="E43" s="21"/>
      <c r="F43" s="21">
        <v>20</v>
      </c>
      <c r="G43" s="21"/>
      <c r="H43" s="22">
        <f t="shared" si="0"/>
        <v>20</v>
      </c>
    </row>
    <row r="44" spans="1:8" ht="15.75" customHeight="1">
      <c r="A44" s="24" t="s">
        <v>2975</v>
      </c>
      <c r="B44" s="24" t="s">
        <v>63</v>
      </c>
      <c r="C44" s="24" t="s">
        <v>32</v>
      </c>
      <c r="D44" s="25"/>
      <c r="E44" s="25"/>
      <c r="F44" s="25">
        <v>20</v>
      </c>
      <c r="G44" s="25"/>
      <c r="H44" s="22">
        <f t="shared" si="0"/>
        <v>20</v>
      </c>
    </row>
    <row r="45" spans="1:8" ht="15.75" customHeight="1">
      <c r="A45" s="20" t="s">
        <v>68</v>
      </c>
      <c r="B45" s="20" t="s">
        <v>69</v>
      </c>
      <c r="C45" s="20" t="s">
        <v>20</v>
      </c>
      <c r="D45" s="21">
        <v>11</v>
      </c>
      <c r="E45" s="21"/>
      <c r="F45" s="21"/>
      <c r="G45" s="21"/>
      <c r="H45" s="22">
        <f t="shared" si="0"/>
        <v>11</v>
      </c>
    </row>
    <row r="46" spans="1:8" ht="15.75" customHeight="1">
      <c r="A46" s="24" t="s">
        <v>2315</v>
      </c>
      <c r="B46" s="24" t="s">
        <v>75</v>
      </c>
      <c r="C46" s="24" t="s">
        <v>24</v>
      </c>
      <c r="D46" s="25"/>
      <c r="E46" s="25">
        <v>30</v>
      </c>
      <c r="F46" s="25"/>
      <c r="G46" s="25"/>
      <c r="H46" s="22">
        <f t="shared" si="0"/>
        <v>30</v>
      </c>
    </row>
    <row r="47" spans="1:8" ht="15.75" customHeight="1">
      <c r="A47" s="20" t="s">
        <v>2976</v>
      </c>
      <c r="B47" s="20" t="s">
        <v>75</v>
      </c>
      <c r="C47" s="20" t="s">
        <v>42</v>
      </c>
      <c r="D47" s="21"/>
      <c r="E47" s="21"/>
      <c r="F47" s="21">
        <v>10</v>
      </c>
      <c r="G47" s="21"/>
      <c r="H47" s="22">
        <f t="shared" si="0"/>
        <v>10</v>
      </c>
    </row>
    <row r="48" spans="1:8" ht="15.75" customHeight="1">
      <c r="A48" s="24" t="s">
        <v>2977</v>
      </c>
      <c r="B48" s="24" t="s">
        <v>75</v>
      </c>
      <c r="C48" s="24" t="s">
        <v>45</v>
      </c>
      <c r="D48" s="25"/>
      <c r="E48" s="25"/>
      <c r="F48" s="25">
        <v>10</v>
      </c>
      <c r="G48" s="25"/>
      <c r="H48" s="22">
        <f t="shared" si="0"/>
        <v>10</v>
      </c>
    </row>
    <row r="49" spans="1:8" ht="15.75" customHeight="1">
      <c r="A49" s="20" t="s">
        <v>2316</v>
      </c>
      <c r="B49" s="20" t="s">
        <v>75</v>
      </c>
      <c r="C49" s="20" t="s">
        <v>240</v>
      </c>
      <c r="D49" s="21"/>
      <c r="E49" s="21">
        <v>60</v>
      </c>
      <c r="F49" s="21"/>
      <c r="G49" s="21"/>
      <c r="H49" s="22">
        <f t="shared" si="0"/>
        <v>60</v>
      </c>
    </row>
    <row r="50" spans="1:8" ht="15.75" customHeight="1">
      <c r="A50" s="24" t="s">
        <v>2317</v>
      </c>
      <c r="B50" s="24" t="s">
        <v>19</v>
      </c>
      <c r="C50" s="24" t="s">
        <v>42</v>
      </c>
      <c r="D50" s="25"/>
      <c r="E50" s="25">
        <v>450</v>
      </c>
      <c r="F50" s="25"/>
      <c r="G50" s="25"/>
      <c r="H50" s="22">
        <f t="shared" si="0"/>
        <v>450</v>
      </c>
    </row>
    <row r="51" spans="1:8" ht="15.75" customHeight="1">
      <c r="A51" s="20" t="s">
        <v>2318</v>
      </c>
      <c r="B51" s="20" t="s">
        <v>30</v>
      </c>
      <c r="C51" s="20" t="s">
        <v>259</v>
      </c>
      <c r="D51" s="21"/>
      <c r="E51" s="21">
        <v>2</v>
      </c>
      <c r="F51" s="21"/>
      <c r="G51" s="21"/>
      <c r="H51" s="22">
        <f t="shared" si="0"/>
        <v>2</v>
      </c>
    </row>
    <row r="52" spans="1:8" ht="15.75" customHeight="1">
      <c r="A52" s="24" t="s">
        <v>70</v>
      </c>
      <c r="B52" s="24" t="s">
        <v>28</v>
      </c>
      <c r="C52" s="24" t="s">
        <v>32</v>
      </c>
      <c r="D52" s="25">
        <v>96</v>
      </c>
      <c r="E52" s="25">
        <v>10</v>
      </c>
      <c r="F52" s="25">
        <v>5</v>
      </c>
      <c r="G52" s="25">
        <v>120</v>
      </c>
      <c r="H52" s="22">
        <f t="shared" si="0"/>
        <v>231</v>
      </c>
    </row>
    <row r="53" spans="1:8" ht="15.75" customHeight="1">
      <c r="A53" s="20" t="s">
        <v>71</v>
      </c>
      <c r="B53" s="20" t="s">
        <v>19</v>
      </c>
      <c r="C53" s="20" t="s">
        <v>32</v>
      </c>
      <c r="D53" s="21">
        <v>273</v>
      </c>
      <c r="E53" s="21">
        <v>260</v>
      </c>
      <c r="F53" s="21">
        <v>100</v>
      </c>
      <c r="G53" s="21"/>
      <c r="H53" s="22">
        <f t="shared" si="0"/>
        <v>633</v>
      </c>
    </row>
    <row r="54" spans="1:8" ht="15.75" customHeight="1">
      <c r="A54" s="24" t="s">
        <v>2319</v>
      </c>
      <c r="B54" s="24" t="s">
        <v>69</v>
      </c>
      <c r="C54" s="24" t="s">
        <v>26</v>
      </c>
      <c r="D54" s="25"/>
      <c r="E54" s="25">
        <v>10</v>
      </c>
      <c r="F54" s="25">
        <v>5</v>
      </c>
      <c r="G54" s="25"/>
      <c r="H54" s="22">
        <f t="shared" si="0"/>
        <v>15</v>
      </c>
    </row>
    <row r="55" spans="1:8" ht="15.75" customHeight="1">
      <c r="A55" s="20" t="s">
        <v>2320</v>
      </c>
      <c r="B55" s="20" t="s">
        <v>69</v>
      </c>
      <c r="C55" s="20" t="s">
        <v>47</v>
      </c>
      <c r="D55" s="21"/>
      <c r="E55" s="21">
        <v>8</v>
      </c>
      <c r="F55" s="21"/>
      <c r="G55" s="21"/>
      <c r="H55" s="22">
        <f t="shared" si="0"/>
        <v>8</v>
      </c>
    </row>
    <row r="56" spans="1:8" ht="15.75" customHeight="1">
      <c r="A56" s="24" t="s">
        <v>3436</v>
      </c>
      <c r="B56" s="24" t="s">
        <v>28</v>
      </c>
      <c r="C56" s="24" t="s">
        <v>24</v>
      </c>
      <c r="D56" s="25"/>
      <c r="E56" s="25"/>
      <c r="F56" s="25"/>
      <c r="G56" s="25">
        <v>10</v>
      </c>
      <c r="H56" s="22">
        <f t="shared" si="0"/>
        <v>10</v>
      </c>
    </row>
    <row r="57" spans="1:8" ht="15.75" customHeight="1">
      <c r="A57" s="20" t="s">
        <v>2321</v>
      </c>
      <c r="B57" s="20" t="s">
        <v>28</v>
      </c>
      <c r="C57" s="20" t="s">
        <v>26</v>
      </c>
      <c r="D57" s="21"/>
      <c r="E57" s="21">
        <v>75</v>
      </c>
      <c r="F57" s="21">
        <v>10</v>
      </c>
      <c r="G57" s="21">
        <v>30</v>
      </c>
      <c r="H57" s="22">
        <f t="shared" si="0"/>
        <v>115</v>
      </c>
    </row>
    <row r="58" spans="1:8" ht="15.75" customHeight="1">
      <c r="A58" s="24" t="s">
        <v>72</v>
      </c>
      <c r="B58" s="24" t="s">
        <v>19</v>
      </c>
      <c r="C58" s="24" t="s">
        <v>47</v>
      </c>
      <c r="D58" s="25">
        <v>50</v>
      </c>
      <c r="E58" s="25">
        <v>20</v>
      </c>
      <c r="F58" s="25"/>
      <c r="G58" s="25"/>
      <c r="H58" s="22">
        <f t="shared" si="0"/>
        <v>70</v>
      </c>
    </row>
    <row r="59" spans="1:8" ht="15.75" customHeight="1">
      <c r="A59" s="20" t="s">
        <v>2978</v>
      </c>
      <c r="B59" s="20" t="s">
        <v>2979</v>
      </c>
      <c r="C59" s="20" t="s">
        <v>22</v>
      </c>
      <c r="D59" s="21"/>
      <c r="E59" s="21"/>
      <c r="F59" s="21">
        <v>6</v>
      </c>
      <c r="G59" s="21"/>
      <c r="H59" s="22">
        <f t="shared" si="0"/>
        <v>6</v>
      </c>
    </row>
    <row r="60" spans="1:8" ht="15.75" customHeight="1">
      <c r="A60" s="24" t="s">
        <v>73</v>
      </c>
      <c r="B60" s="24" t="s">
        <v>69</v>
      </c>
      <c r="C60" s="24" t="s">
        <v>22</v>
      </c>
      <c r="D60" s="25">
        <v>10</v>
      </c>
      <c r="E60" s="25">
        <v>2</v>
      </c>
      <c r="F60" s="25"/>
      <c r="G60" s="25"/>
      <c r="H60" s="22">
        <f t="shared" si="0"/>
        <v>12</v>
      </c>
    </row>
    <row r="61" spans="1:8" ht="15.75" customHeight="1">
      <c r="A61" s="20" t="s">
        <v>74</v>
      </c>
      <c r="B61" s="20" t="s">
        <v>75</v>
      </c>
      <c r="C61" s="20" t="s">
        <v>47</v>
      </c>
      <c r="D61" s="21">
        <v>1</v>
      </c>
      <c r="E61" s="21">
        <v>68</v>
      </c>
      <c r="F61" s="21">
        <v>50</v>
      </c>
      <c r="G61" s="21"/>
      <c r="H61" s="22">
        <f t="shared" si="0"/>
        <v>119</v>
      </c>
    </row>
    <row r="62" spans="1:8" ht="15.75" customHeight="1">
      <c r="A62" s="24" t="s">
        <v>2322</v>
      </c>
      <c r="B62" s="24" t="s">
        <v>75</v>
      </c>
      <c r="C62" s="24" t="s">
        <v>87</v>
      </c>
      <c r="D62" s="25"/>
      <c r="E62" s="25">
        <v>30</v>
      </c>
      <c r="F62" s="25">
        <v>20</v>
      </c>
      <c r="G62" s="25"/>
      <c r="H62" s="22">
        <f t="shared" si="0"/>
        <v>50</v>
      </c>
    </row>
    <row r="63" spans="1:8" ht="15.75" customHeight="1">
      <c r="A63" s="20" t="s">
        <v>76</v>
      </c>
      <c r="B63" s="20" t="s">
        <v>77</v>
      </c>
      <c r="C63" s="20" t="s">
        <v>78</v>
      </c>
      <c r="D63" s="21">
        <v>100</v>
      </c>
      <c r="E63" s="21">
        <v>200</v>
      </c>
      <c r="F63" s="21"/>
      <c r="G63" s="21"/>
      <c r="H63" s="22">
        <f t="shared" si="0"/>
        <v>300</v>
      </c>
    </row>
    <row r="64" spans="1:8" ht="15.75" customHeight="1">
      <c r="A64" s="24" t="s">
        <v>3437</v>
      </c>
      <c r="B64" s="24" t="s">
        <v>110</v>
      </c>
      <c r="C64" s="24" t="s">
        <v>78</v>
      </c>
      <c r="D64" s="25"/>
      <c r="E64" s="25"/>
      <c r="F64" s="25"/>
      <c r="G64" s="25">
        <v>40</v>
      </c>
      <c r="H64" s="22">
        <f t="shared" si="0"/>
        <v>40</v>
      </c>
    </row>
    <row r="65" spans="1:8" ht="15.75" customHeight="1">
      <c r="A65" s="20" t="s">
        <v>79</v>
      </c>
      <c r="B65" s="20" t="s">
        <v>80</v>
      </c>
      <c r="C65" s="20" t="s">
        <v>78</v>
      </c>
      <c r="D65" s="21">
        <v>5</v>
      </c>
      <c r="E65" s="21"/>
      <c r="F65" s="21">
        <v>1</v>
      </c>
      <c r="G65" s="21">
        <v>10</v>
      </c>
      <c r="H65" s="22">
        <f t="shared" si="0"/>
        <v>16</v>
      </c>
    </row>
    <row r="66" spans="1:8" ht="15.75" customHeight="1">
      <c r="A66" s="24" t="s">
        <v>3438</v>
      </c>
      <c r="B66" s="24" t="s">
        <v>113</v>
      </c>
      <c r="C66" s="24" t="s">
        <v>78</v>
      </c>
      <c r="D66" s="25"/>
      <c r="E66" s="25"/>
      <c r="F66" s="25"/>
      <c r="G66" s="25">
        <v>10</v>
      </c>
      <c r="H66" s="22">
        <f t="shared" si="0"/>
        <v>10</v>
      </c>
    </row>
    <row r="67" spans="1:8" ht="15.75" customHeight="1">
      <c r="A67" s="20" t="s">
        <v>2980</v>
      </c>
      <c r="B67" s="20" t="s">
        <v>99</v>
      </c>
      <c r="C67" s="20" t="s">
        <v>128</v>
      </c>
      <c r="D67" s="21"/>
      <c r="E67" s="21"/>
      <c r="F67" s="21">
        <v>1</v>
      </c>
      <c r="G67" s="21"/>
      <c r="H67" s="22">
        <f t="shared" si="0"/>
        <v>1</v>
      </c>
    </row>
    <row r="68" spans="1:8" ht="15.75" customHeight="1">
      <c r="A68" s="24" t="s">
        <v>81</v>
      </c>
      <c r="B68" s="24" t="s">
        <v>82</v>
      </c>
      <c r="C68" s="24" t="s">
        <v>78</v>
      </c>
      <c r="D68" s="25">
        <v>100</v>
      </c>
      <c r="E68" s="25"/>
      <c r="F68" s="25"/>
      <c r="G68" s="25"/>
      <c r="H68" s="22">
        <f t="shared" ref="H68:H131" si="1">SUM(D68:G68)</f>
        <v>100</v>
      </c>
    </row>
    <row r="69" spans="1:8" ht="15.75" customHeight="1">
      <c r="A69" s="20" t="s">
        <v>83</v>
      </c>
      <c r="B69" s="20" t="s">
        <v>84</v>
      </c>
      <c r="C69" s="20" t="s">
        <v>78</v>
      </c>
      <c r="D69" s="21">
        <v>100</v>
      </c>
      <c r="E69" s="21"/>
      <c r="F69" s="21"/>
      <c r="G69" s="21"/>
      <c r="H69" s="22">
        <f t="shared" si="1"/>
        <v>100</v>
      </c>
    </row>
    <row r="70" spans="1:8" ht="15.75" customHeight="1">
      <c r="A70" s="24" t="s">
        <v>85</v>
      </c>
      <c r="B70" s="24" t="s">
        <v>28</v>
      </c>
      <c r="C70" s="24" t="s">
        <v>57</v>
      </c>
      <c r="D70" s="25">
        <v>5</v>
      </c>
      <c r="E70" s="25">
        <v>70</v>
      </c>
      <c r="F70" s="25"/>
      <c r="G70" s="25">
        <v>10</v>
      </c>
      <c r="H70" s="22">
        <f t="shared" si="1"/>
        <v>85</v>
      </c>
    </row>
    <row r="71" spans="1:8" ht="15.75" customHeight="1">
      <c r="A71" s="20" t="s">
        <v>86</v>
      </c>
      <c r="B71" s="20" t="s">
        <v>69</v>
      </c>
      <c r="C71" s="20" t="s">
        <v>87</v>
      </c>
      <c r="D71" s="21">
        <v>11</v>
      </c>
      <c r="E71" s="21">
        <v>1</v>
      </c>
      <c r="F71" s="21"/>
      <c r="G71" s="21"/>
      <c r="H71" s="22">
        <f t="shared" si="1"/>
        <v>12</v>
      </c>
    </row>
    <row r="72" spans="1:8" ht="15.75" customHeight="1">
      <c r="A72" s="24" t="s">
        <v>2323</v>
      </c>
      <c r="B72" s="24" t="s">
        <v>75</v>
      </c>
      <c r="C72" s="24" t="s">
        <v>53</v>
      </c>
      <c r="D72" s="25"/>
      <c r="E72" s="25">
        <v>10</v>
      </c>
      <c r="F72" s="25">
        <v>15</v>
      </c>
      <c r="G72" s="25"/>
      <c r="H72" s="22">
        <f t="shared" si="1"/>
        <v>25</v>
      </c>
    </row>
    <row r="73" spans="1:8" ht="15.75" customHeight="1">
      <c r="A73" s="20" t="s">
        <v>88</v>
      </c>
      <c r="B73" s="20" t="s">
        <v>89</v>
      </c>
      <c r="C73" s="20" t="s">
        <v>90</v>
      </c>
      <c r="D73" s="21">
        <v>30</v>
      </c>
      <c r="E73" s="21">
        <v>100</v>
      </c>
      <c r="F73" s="21"/>
      <c r="G73" s="21"/>
      <c r="H73" s="22">
        <f t="shared" si="1"/>
        <v>130</v>
      </c>
    </row>
    <row r="74" spans="1:8" ht="15.75" customHeight="1">
      <c r="A74" s="24" t="s">
        <v>91</v>
      </c>
      <c r="B74" s="24" t="s">
        <v>77</v>
      </c>
      <c r="C74" s="24" t="s">
        <v>90</v>
      </c>
      <c r="D74" s="25">
        <v>246</v>
      </c>
      <c r="E74" s="25">
        <v>81</v>
      </c>
      <c r="F74" s="25">
        <v>22</v>
      </c>
      <c r="G74" s="25"/>
      <c r="H74" s="22">
        <f t="shared" si="1"/>
        <v>349</v>
      </c>
    </row>
    <row r="75" spans="1:8" ht="15.75" customHeight="1">
      <c r="A75" s="20" t="s">
        <v>92</v>
      </c>
      <c r="B75" s="20" t="s">
        <v>93</v>
      </c>
      <c r="C75" s="20" t="s">
        <v>90</v>
      </c>
      <c r="D75" s="21">
        <v>251</v>
      </c>
      <c r="E75" s="21">
        <v>69</v>
      </c>
      <c r="F75" s="21"/>
      <c r="G75" s="21"/>
      <c r="H75" s="22">
        <f t="shared" si="1"/>
        <v>320</v>
      </c>
    </row>
    <row r="76" spans="1:8" ht="15.75" customHeight="1">
      <c r="A76" s="24" t="s">
        <v>94</v>
      </c>
      <c r="B76" s="24" t="s">
        <v>95</v>
      </c>
      <c r="C76" s="24" t="s">
        <v>90</v>
      </c>
      <c r="D76" s="25">
        <v>407</v>
      </c>
      <c r="E76" s="25">
        <v>47</v>
      </c>
      <c r="F76" s="25">
        <v>10</v>
      </c>
      <c r="G76" s="25"/>
      <c r="H76" s="22">
        <f t="shared" si="1"/>
        <v>464</v>
      </c>
    </row>
    <row r="77" spans="1:8" ht="15.75" customHeight="1">
      <c r="A77" s="20" t="s">
        <v>96</v>
      </c>
      <c r="B77" s="20" t="s">
        <v>97</v>
      </c>
      <c r="C77" s="20" t="s">
        <v>90</v>
      </c>
      <c r="D77" s="21">
        <v>5</v>
      </c>
      <c r="E77" s="21">
        <v>1</v>
      </c>
      <c r="F77" s="21"/>
      <c r="G77" s="21"/>
      <c r="H77" s="22">
        <f t="shared" si="1"/>
        <v>6</v>
      </c>
    </row>
    <row r="78" spans="1:8" ht="15.75" customHeight="1">
      <c r="A78" s="24" t="s">
        <v>98</v>
      </c>
      <c r="B78" s="24" t="s">
        <v>99</v>
      </c>
      <c r="C78" s="24" t="s">
        <v>100</v>
      </c>
      <c r="D78" s="25">
        <v>17</v>
      </c>
      <c r="E78" s="25"/>
      <c r="F78" s="25">
        <v>3</v>
      </c>
      <c r="G78" s="25"/>
      <c r="H78" s="22">
        <f t="shared" si="1"/>
        <v>20</v>
      </c>
    </row>
    <row r="79" spans="1:8" ht="15.75" customHeight="1">
      <c r="A79" s="20" t="s">
        <v>2324</v>
      </c>
      <c r="B79" s="20" t="s">
        <v>82</v>
      </c>
      <c r="C79" s="20" t="s">
        <v>2325</v>
      </c>
      <c r="D79" s="21"/>
      <c r="E79" s="21">
        <v>20</v>
      </c>
      <c r="F79" s="21"/>
      <c r="G79" s="21"/>
      <c r="H79" s="22">
        <f t="shared" si="1"/>
        <v>20</v>
      </c>
    </row>
    <row r="80" spans="1:8" ht="15.75" customHeight="1">
      <c r="A80" s="24" t="s">
        <v>101</v>
      </c>
      <c r="B80" s="24" t="s">
        <v>84</v>
      </c>
      <c r="C80" s="24" t="s">
        <v>90</v>
      </c>
      <c r="D80" s="25">
        <v>170</v>
      </c>
      <c r="E80" s="25">
        <v>80</v>
      </c>
      <c r="F80" s="25"/>
      <c r="G80" s="25"/>
      <c r="H80" s="22">
        <f t="shared" si="1"/>
        <v>250</v>
      </c>
    </row>
    <row r="81" spans="1:8" ht="15.75" customHeight="1">
      <c r="A81" s="20" t="s">
        <v>3439</v>
      </c>
      <c r="B81" s="20" t="s">
        <v>3440</v>
      </c>
      <c r="C81" s="20" t="s">
        <v>20</v>
      </c>
      <c r="D81" s="21"/>
      <c r="E81" s="21"/>
      <c r="F81" s="21"/>
      <c r="G81" s="21">
        <v>5</v>
      </c>
      <c r="H81" s="22">
        <f t="shared" si="1"/>
        <v>5</v>
      </c>
    </row>
    <row r="82" spans="1:8" ht="15.75" customHeight="1">
      <c r="A82" s="24" t="s">
        <v>102</v>
      </c>
      <c r="B82" s="24" t="s">
        <v>103</v>
      </c>
      <c r="C82" s="24" t="s">
        <v>104</v>
      </c>
      <c r="D82" s="25">
        <v>20</v>
      </c>
      <c r="E82" s="25">
        <v>75</v>
      </c>
      <c r="F82" s="25"/>
      <c r="G82" s="25"/>
      <c r="H82" s="22">
        <f t="shared" si="1"/>
        <v>95</v>
      </c>
    </row>
    <row r="83" spans="1:8" ht="15.75" customHeight="1">
      <c r="A83" s="20" t="s">
        <v>2326</v>
      </c>
      <c r="B83" s="20" t="s">
        <v>103</v>
      </c>
      <c r="C83" s="20" t="s">
        <v>2327</v>
      </c>
      <c r="D83" s="21"/>
      <c r="E83" s="21">
        <v>60</v>
      </c>
      <c r="F83" s="21"/>
      <c r="G83" s="21"/>
      <c r="H83" s="22">
        <f t="shared" si="1"/>
        <v>60</v>
      </c>
    </row>
    <row r="84" spans="1:8" ht="15.75" customHeight="1">
      <c r="A84" s="24" t="s">
        <v>105</v>
      </c>
      <c r="B84" s="24" t="s">
        <v>103</v>
      </c>
      <c r="C84" s="24" t="s">
        <v>106</v>
      </c>
      <c r="D84" s="25">
        <v>3</v>
      </c>
      <c r="E84" s="25"/>
      <c r="F84" s="25"/>
      <c r="G84" s="25"/>
      <c r="H84" s="22">
        <f t="shared" si="1"/>
        <v>3</v>
      </c>
    </row>
    <row r="85" spans="1:8" ht="15.75" customHeight="1">
      <c r="A85" s="20" t="s">
        <v>107</v>
      </c>
      <c r="B85" s="20" t="s">
        <v>108</v>
      </c>
      <c r="C85" s="20" t="s">
        <v>100</v>
      </c>
      <c r="D85" s="21">
        <v>260</v>
      </c>
      <c r="E85" s="21">
        <v>80</v>
      </c>
      <c r="F85" s="21">
        <v>12</v>
      </c>
      <c r="G85" s="21"/>
      <c r="H85" s="22">
        <f t="shared" si="1"/>
        <v>352</v>
      </c>
    </row>
    <row r="86" spans="1:8" ht="15.75" customHeight="1">
      <c r="A86" s="24" t="s">
        <v>109</v>
      </c>
      <c r="B86" s="24" t="s">
        <v>110</v>
      </c>
      <c r="C86" s="24" t="s">
        <v>100</v>
      </c>
      <c r="D86" s="25">
        <v>200</v>
      </c>
      <c r="E86" s="25">
        <v>70</v>
      </c>
      <c r="F86" s="25"/>
      <c r="G86" s="25"/>
      <c r="H86" s="22">
        <f t="shared" si="1"/>
        <v>270</v>
      </c>
    </row>
    <row r="87" spans="1:8" ht="15.75" customHeight="1">
      <c r="A87" s="20" t="s">
        <v>111</v>
      </c>
      <c r="B87" s="20" t="s">
        <v>80</v>
      </c>
      <c r="C87" s="20" t="s">
        <v>100</v>
      </c>
      <c r="D87" s="21">
        <v>120</v>
      </c>
      <c r="E87" s="21">
        <v>10</v>
      </c>
      <c r="F87" s="21"/>
      <c r="G87" s="21"/>
      <c r="H87" s="22">
        <f t="shared" si="1"/>
        <v>130</v>
      </c>
    </row>
    <row r="88" spans="1:8" ht="15.75" customHeight="1">
      <c r="A88" s="24" t="s">
        <v>112</v>
      </c>
      <c r="B88" s="24" t="s">
        <v>113</v>
      </c>
      <c r="C88" s="24" t="s">
        <v>100</v>
      </c>
      <c r="D88" s="25">
        <v>29</v>
      </c>
      <c r="E88" s="25">
        <v>4</v>
      </c>
      <c r="F88" s="25"/>
      <c r="G88" s="25"/>
      <c r="H88" s="22">
        <f t="shared" si="1"/>
        <v>33</v>
      </c>
    </row>
    <row r="89" spans="1:8" ht="15.75" customHeight="1">
      <c r="A89" s="20" t="s">
        <v>2328</v>
      </c>
      <c r="B89" s="20" t="s">
        <v>99</v>
      </c>
      <c r="C89" s="20" t="s">
        <v>100</v>
      </c>
      <c r="D89" s="21"/>
      <c r="E89" s="21">
        <v>4</v>
      </c>
      <c r="F89" s="21"/>
      <c r="G89" s="21"/>
      <c r="H89" s="22">
        <f t="shared" si="1"/>
        <v>4</v>
      </c>
    </row>
    <row r="90" spans="1:8" ht="15.75" customHeight="1">
      <c r="A90" s="24" t="s">
        <v>114</v>
      </c>
      <c r="B90" s="24" t="s">
        <v>115</v>
      </c>
      <c r="C90" s="24" t="s">
        <v>100</v>
      </c>
      <c r="D90" s="25">
        <v>5</v>
      </c>
      <c r="E90" s="25"/>
      <c r="F90" s="25"/>
      <c r="G90" s="25"/>
      <c r="H90" s="22">
        <f t="shared" si="1"/>
        <v>5</v>
      </c>
    </row>
    <row r="91" spans="1:8" ht="15.75" customHeight="1">
      <c r="A91" s="20" t="s">
        <v>116</v>
      </c>
      <c r="B91" s="20" t="s">
        <v>75</v>
      </c>
      <c r="C91" s="20" t="s">
        <v>20</v>
      </c>
      <c r="D91" s="21">
        <v>118</v>
      </c>
      <c r="E91" s="21">
        <v>161</v>
      </c>
      <c r="F91" s="21">
        <v>160</v>
      </c>
      <c r="G91" s="21"/>
      <c r="H91" s="22">
        <f t="shared" si="1"/>
        <v>439</v>
      </c>
    </row>
    <row r="92" spans="1:8" ht="15.75" customHeight="1">
      <c r="A92" s="24" t="s">
        <v>117</v>
      </c>
      <c r="B92" s="24" t="s">
        <v>75</v>
      </c>
      <c r="C92" s="24" t="s">
        <v>118</v>
      </c>
      <c r="D92" s="25">
        <v>100</v>
      </c>
      <c r="E92" s="25">
        <v>250</v>
      </c>
      <c r="F92" s="25">
        <v>100</v>
      </c>
      <c r="G92" s="25"/>
      <c r="H92" s="22">
        <f t="shared" si="1"/>
        <v>450</v>
      </c>
    </row>
    <row r="93" spans="1:8" ht="15.75" customHeight="1">
      <c r="A93" s="20" t="s">
        <v>2329</v>
      </c>
      <c r="B93" s="20" t="s">
        <v>2330</v>
      </c>
      <c r="C93" s="20" t="s">
        <v>100</v>
      </c>
      <c r="D93" s="21"/>
      <c r="E93" s="21">
        <v>18</v>
      </c>
      <c r="F93" s="21"/>
      <c r="G93" s="21"/>
      <c r="H93" s="22">
        <f t="shared" si="1"/>
        <v>18</v>
      </c>
    </row>
    <row r="94" spans="1:8" ht="15.75" customHeight="1">
      <c r="A94" s="24" t="s">
        <v>3441</v>
      </c>
      <c r="B94" s="24" t="s">
        <v>3442</v>
      </c>
      <c r="C94" s="24" t="s">
        <v>78</v>
      </c>
      <c r="D94" s="25"/>
      <c r="E94" s="25"/>
      <c r="F94" s="25"/>
      <c r="G94" s="25">
        <v>40</v>
      </c>
      <c r="H94" s="22">
        <f t="shared" si="1"/>
        <v>40</v>
      </c>
    </row>
    <row r="95" spans="1:8" ht="15.75" customHeight="1">
      <c r="A95" s="20" t="s">
        <v>2981</v>
      </c>
      <c r="B95" s="20" t="s">
        <v>2982</v>
      </c>
      <c r="C95" s="20" t="s">
        <v>78</v>
      </c>
      <c r="D95" s="21"/>
      <c r="E95" s="21"/>
      <c r="F95" s="21">
        <v>1</v>
      </c>
      <c r="G95" s="21"/>
      <c r="H95" s="22">
        <f t="shared" si="1"/>
        <v>1</v>
      </c>
    </row>
    <row r="96" spans="1:8" ht="15.75" customHeight="1">
      <c r="A96" s="24" t="s">
        <v>119</v>
      </c>
      <c r="B96" s="24" t="s">
        <v>19</v>
      </c>
      <c r="C96" s="24" t="s">
        <v>118</v>
      </c>
      <c r="D96" s="25">
        <v>100</v>
      </c>
      <c r="E96" s="25"/>
      <c r="F96" s="25"/>
      <c r="G96" s="25"/>
      <c r="H96" s="22">
        <f t="shared" si="1"/>
        <v>100</v>
      </c>
    </row>
    <row r="97" spans="1:8" ht="15.75" customHeight="1">
      <c r="A97" s="20" t="s">
        <v>120</v>
      </c>
      <c r="B97" s="20" t="s">
        <v>28</v>
      </c>
      <c r="C97" s="20" t="s">
        <v>121</v>
      </c>
      <c r="D97" s="21">
        <v>80</v>
      </c>
      <c r="E97" s="21">
        <v>5</v>
      </c>
      <c r="F97" s="21"/>
      <c r="G97" s="21"/>
      <c r="H97" s="22">
        <f t="shared" si="1"/>
        <v>85</v>
      </c>
    </row>
    <row r="98" spans="1:8" ht="15.75" customHeight="1">
      <c r="A98" s="24" t="s">
        <v>2331</v>
      </c>
      <c r="B98" s="24" t="s">
        <v>93</v>
      </c>
      <c r="C98" s="24" t="s">
        <v>2332</v>
      </c>
      <c r="D98" s="25"/>
      <c r="E98" s="25">
        <v>100</v>
      </c>
      <c r="F98" s="25">
        <v>150</v>
      </c>
      <c r="G98" s="25"/>
      <c r="H98" s="22">
        <f t="shared" si="1"/>
        <v>250</v>
      </c>
    </row>
    <row r="99" spans="1:8" ht="15.75" customHeight="1">
      <c r="A99" s="20" t="s">
        <v>122</v>
      </c>
      <c r="B99" s="20" t="s">
        <v>123</v>
      </c>
      <c r="C99" s="20" t="s">
        <v>124</v>
      </c>
      <c r="D99" s="21">
        <v>520</v>
      </c>
      <c r="E99" s="21">
        <v>407</v>
      </c>
      <c r="F99" s="21">
        <v>158</v>
      </c>
      <c r="G99" s="21">
        <v>30</v>
      </c>
      <c r="H99" s="22">
        <f t="shared" si="1"/>
        <v>1115</v>
      </c>
    </row>
    <row r="100" spans="1:8" ht="15.75" customHeight="1">
      <c r="A100" s="24" t="s">
        <v>125</v>
      </c>
      <c r="B100" s="24" t="s">
        <v>123</v>
      </c>
      <c r="C100" s="24" t="s">
        <v>126</v>
      </c>
      <c r="D100" s="25">
        <v>340</v>
      </c>
      <c r="E100" s="25">
        <v>147</v>
      </c>
      <c r="F100" s="25">
        <v>21</v>
      </c>
      <c r="G100" s="25"/>
      <c r="H100" s="22">
        <f t="shared" si="1"/>
        <v>508</v>
      </c>
    </row>
    <row r="101" spans="1:8" ht="15.75" customHeight="1">
      <c r="A101" s="20" t="s">
        <v>127</v>
      </c>
      <c r="B101" s="20" t="s">
        <v>77</v>
      </c>
      <c r="C101" s="20" t="s">
        <v>128</v>
      </c>
      <c r="D101" s="21">
        <v>150</v>
      </c>
      <c r="E101" s="21">
        <v>50</v>
      </c>
      <c r="F101" s="21">
        <v>150</v>
      </c>
      <c r="G101" s="21"/>
      <c r="H101" s="22">
        <f t="shared" si="1"/>
        <v>350</v>
      </c>
    </row>
    <row r="102" spans="1:8" ht="15.75" customHeight="1">
      <c r="A102" s="24" t="s">
        <v>129</v>
      </c>
      <c r="B102" s="24" t="s">
        <v>93</v>
      </c>
      <c r="C102" s="24" t="s">
        <v>128</v>
      </c>
      <c r="D102" s="25">
        <v>150</v>
      </c>
      <c r="E102" s="25">
        <v>50</v>
      </c>
      <c r="F102" s="25">
        <v>200</v>
      </c>
      <c r="G102" s="25"/>
      <c r="H102" s="22">
        <f t="shared" si="1"/>
        <v>400</v>
      </c>
    </row>
    <row r="103" spans="1:8" ht="15.75" customHeight="1">
      <c r="A103" s="20" t="s">
        <v>130</v>
      </c>
      <c r="B103" s="20" t="s">
        <v>95</v>
      </c>
      <c r="C103" s="20" t="s">
        <v>128</v>
      </c>
      <c r="D103" s="21">
        <v>150</v>
      </c>
      <c r="E103" s="21">
        <v>50</v>
      </c>
      <c r="F103" s="21">
        <v>180</v>
      </c>
      <c r="G103" s="21"/>
      <c r="H103" s="22">
        <f t="shared" si="1"/>
        <v>380</v>
      </c>
    </row>
    <row r="104" spans="1:8" ht="15.75" customHeight="1">
      <c r="A104" s="24" t="s">
        <v>131</v>
      </c>
      <c r="B104" s="24" t="s">
        <v>97</v>
      </c>
      <c r="C104" s="24" t="s">
        <v>128</v>
      </c>
      <c r="D104" s="25">
        <v>100</v>
      </c>
      <c r="E104" s="25"/>
      <c r="F104" s="25">
        <v>30</v>
      </c>
      <c r="G104" s="25"/>
      <c r="H104" s="22">
        <f t="shared" si="1"/>
        <v>130</v>
      </c>
    </row>
    <row r="105" spans="1:8" ht="15.75" customHeight="1">
      <c r="A105" s="20" t="s">
        <v>132</v>
      </c>
      <c r="B105" s="20" t="s">
        <v>108</v>
      </c>
      <c r="C105" s="20" t="s">
        <v>128</v>
      </c>
      <c r="D105" s="21">
        <v>60</v>
      </c>
      <c r="E105" s="21"/>
      <c r="F105" s="21">
        <v>60</v>
      </c>
      <c r="G105" s="21"/>
      <c r="H105" s="22">
        <f t="shared" si="1"/>
        <v>120</v>
      </c>
    </row>
    <row r="106" spans="1:8" ht="15.75" customHeight="1">
      <c r="A106" s="24" t="s">
        <v>133</v>
      </c>
      <c r="B106" s="24" t="s">
        <v>134</v>
      </c>
      <c r="C106" s="24" t="s">
        <v>128</v>
      </c>
      <c r="D106" s="25">
        <v>30</v>
      </c>
      <c r="E106" s="25"/>
      <c r="F106" s="25">
        <v>40</v>
      </c>
      <c r="G106" s="25"/>
      <c r="H106" s="22">
        <f t="shared" si="1"/>
        <v>70</v>
      </c>
    </row>
    <row r="107" spans="1:8" ht="15.75" customHeight="1">
      <c r="A107" s="20" t="s">
        <v>135</v>
      </c>
      <c r="B107" s="20" t="s">
        <v>110</v>
      </c>
      <c r="C107" s="20" t="s">
        <v>128</v>
      </c>
      <c r="D107" s="21">
        <v>30</v>
      </c>
      <c r="E107" s="21"/>
      <c r="F107" s="21"/>
      <c r="G107" s="21"/>
      <c r="H107" s="22">
        <f t="shared" si="1"/>
        <v>30</v>
      </c>
    </row>
    <row r="108" spans="1:8" ht="15.75" customHeight="1">
      <c r="A108" s="24" t="s">
        <v>2333</v>
      </c>
      <c r="B108" s="24" t="s">
        <v>75</v>
      </c>
      <c r="C108" s="24" t="s">
        <v>26</v>
      </c>
      <c r="D108" s="25"/>
      <c r="E108" s="25">
        <v>60</v>
      </c>
      <c r="F108" s="25"/>
      <c r="G108" s="25">
        <v>30</v>
      </c>
      <c r="H108" s="22">
        <f t="shared" si="1"/>
        <v>90</v>
      </c>
    </row>
    <row r="109" spans="1:8" ht="15.75" customHeight="1">
      <c r="A109" s="20" t="s">
        <v>2334</v>
      </c>
      <c r="B109" s="20" t="s">
        <v>30</v>
      </c>
      <c r="C109" s="20" t="s">
        <v>45</v>
      </c>
      <c r="D109" s="21"/>
      <c r="E109" s="21">
        <v>30</v>
      </c>
      <c r="F109" s="21"/>
      <c r="G109" s="21"/>
      <c r="H109" s="22">
        <f t="shared" si="1"/>
        <v>30</v>
      </c>
    </row>
    <row r="110" spans="1:8" ht="15.75" customHeight="1">
      <c r="A110" s="24" t="s">
        <v>2335</v>
      </c>
      <c r="B110" s="24" t="s">
        <v>146</v>
      </c>
      <c r="C110" s="24" t="s">
        <v>32</v>
      </c>
      <c r="D110" s="25"/>
      <c r="E110" s="25">
        <v>10</v>
      </c>
      <c r="F110" s="25"/>
      <c r="G110" s="25"/>
      <c r="H110" s="22">
        <f t="shared" si="1"/>
        <v>10</v>
      </c>
    </row>
    <row r="111" spans="1:8" ht="15.75" customHeight="1">
      <c r="A111" s="20" t="s">
        <v>2336</v>
      </c>
      <c r="B111" s="20" t="s">
        <v>123</v>
      </c>
      <c r="C111" s="20" t="s">
        <v>2337</v>
      </c>
      <c r="D111" s="21"/>
      <c r="E111" s="21">
        <v>80</v>
      </c>
      <c r="F111" s="21"/>
      <c r="G111" s="21"/>
      <c r="H111" s="22">
        <f t="shared" si="1"/>
        <v>80</v>
      </c>
    </row>
    <row r="112" spans="1:8" ht="15.75" customHeight="1">
      <c r="A112" s="24" t="s">
        <v>2338</v>
      </c>
      <c r="B112" s="24" t="s">
        <v>2339</v>
      </c>
      <c r="C112" s="24" t="s">
        <v>22</v>
      </c>
      <c r="D112" s="25"/>
      <c r="E112" s="25">
        <v>22</v>
      </c>
      <c r="F112" s="25">
        <v>20</v>
      </c>
      <c r="G112" s="25"/>
      <c r="H112" s="22">
        <f t="shared" si="1"/>
        <v>42</v>
      </c>
    </row>
    <row r="113" spans="1:8" ht="15.75" customHeight="1">
      <c r="A113" s="20" t="s">
        <v>136</v>
      </c>
      <c r="B113" s="20" t="s">
        <v>19</v>
      </c>
      <c r="C113" s="20" t="s">
        <v>137</v>
      </c>
      <c r="D113" s="21">
        <v>20</v>
      </c>
      <c r="E113" s="21"/>
      <c r="F113" s="21"/>
      <c r="G113" s="21"/>
      <c r="H113" s="22">
        <f t="shared" si="1"/>
        <v>20</v>
      </c>
    </row>
    <row r="114" spans="1:8" ht="15.75" customHeight="1">
      <c r="A114" s="24" t="s">
        <v>138</v>
      </c>
      <c r="B114" s="24" t="s">
        <v>19</v>
      </c>
      <c r="C114" s="24" t="s">
        <v>139</v>
      </c>
      <c r="D114" s="25">
        <v>70</v>
      </c>
      <c r="E114" s="25"/>
      <c r="F114" s="25"/>
      <c r="G114" s="25"/>
      <c r="H114" s="22">
        <f t="shared" si="1"/>
        <v>70</v>
      </c>
    </row>
    <row r="115" spans="1:8" ht="15.75" customHeight="1">
      <c r="A115" s="20" t="s">
        <v>140</v>
      </c>
      <c r="B115" s="20" t="s">
        <v>75</v>
      </c>
      <c r="C115" s="20" t="s">
        <v>141</v>
      </c>
      <c r="D115" s="21">
        <v>50</v>
      </c>
      <c r="E115" s="21">
        <v>70</v>
      </c>
      <c r="F115" s="21">
        <v>60</v>
      </c>
      <c r="G115" s="21"/>
      <c r="H115" s="22">
        <f t="shared" si="1"/>
        <v>180</v>
      </c>
    </row>
    <row r="116" spans="1:8" ht="15.75" customHeight="1">
      <c r="A116" s="24" t="s">
        <v>2983</v>
      </c>
      <c r="B116" s="24" t="s">
        <v>2984</v>
      </c>
      <c r="C116" s="24" t="s">
        <v>78</v>
      </c>
      <c r="D116" s="25"/>
      <c r="E116" s="25"/>
      <c r="F116" s="25">
        <v>50</v>
      </c>
      <c r="G116" s="25"/>
      <c r="H116" s="22">
        <f t="shared" si="1"/>
        <v>50</v>
      </c>
    </row>
    <row r="117" spans="1:8" ht="15.75" customHeight="1">
      <c r="A117" s="20" t="s">
        <v>142</v>
      </c>
      <c r="B117" s="20" t="s">
        <v>143</v>
      </c>
      <c r="C117" s="20" t="s">
        <v>78</v>
      </c>
      <c r="D117" s="21">
        <v>55</v>
      </c>
      <c r="E117" s="21"/>
      <c r="F117" s="21"/>
      <c r="G117" s="21"/>
      <c r="H117" s="22">
        <f t="shared" si="1"/>
        <v>55</v>
      </c>
    </row>
    <row r="118" spans="1:8" ht="15.75" customHeight="1">
      <c r="A118" s="24" t="s">
        <v>144</v>
      </c>
      <c r="B118" s="24" t="s">
        <v>82</v>
      </c>
      <c r="C118" s="24" t="s">
        <v>90</v>
      </c>
      <c r="D118" s="25">
        <v>100</v>
      </c>
      <c r="E118" s="25"/>
      <c r="F118" s="25"/>
      <c r="G118" s="25"/>
      <c r="H118" s="22">
        <f t="shared" si="1"/>
        <v>100</v>
      </c>
    </row>
    <row r="119" spans="1:8" ht="15.75" customHeight="1">
      <c r="A119" s="20" t="s">
        <v>145</v>
      </c>
      <c r="B119" s="20" t="s">
        <v>146</v>
      </c>
      <c r="C119" s="20" t="s">
        <v>20</v>
      </c>
      <c r="D119" s="21">
        <v>30</v>
      </c>
      <c r="E119" s="21"/>
      <c r="F119" s="21"/>
      <c r="G119" s="21"/>
      <c r="H119" s="22">
        <f t="shared" si="1"/>
        <v>30</v>
      </c>
    </row>
    <row r="120" spans="1:8" ht="15.75" customHeight="1">
      <c r="A120" s="24" t="s">
        <v>147</v>
      </c>
      <c r="B120" s="24" t="s">
        <v>77</v>
      </c>
      <c r="C120" s="24" t="s">
        <v>148</v>
      </c>
      <c r="D120" s="25">
        <v>200</v>
      </c>
      <c r="E120" s="25"/>
      <c r="F120" s="25"/>
      <c r="G120" s="25"/>
      <c r="H120" s="22">
        <f t="shared" si="1"/>
        <v>200</v>
      </c>
    </row>
    <row r="121" spans="1:8" ht="15.75" customHeight="1">
      <c r="A121" s="20" t="s">
        <v>149</v>
      </c>
      <c r="B121" s="20" t="s">
        <v>93</v>
      </c>
      <c r="C121" s="20" t="s">
        <v>148</v>
      </c>
      <c r="D121" s="21">
        <v>100</v>
      </c>
      <c r="E121" s="21"/>
      <c r="F121" s="21"/>
      <c r="G121" s="21"/>
      <c r="H121" s="22">
        <f t="shared" si="1"/>
        <v>100</v>
      </c>
    </row>
    <row r="122" spans="1:8" ht="15.75" customHeight="1">
      <c r="A122" s="24" t="s">
        <v>150</v>
      </c>
      <c r="B122" s="24" t="s">
        <v>75</v>
      </c>
      <c r="C122" s="24" t="s">
        <v>22</v>
      </c>
      <c r="D122" s="25">
        <v>50</v>
      </c>
      <c r="E122" s="25">
        <v>75</v>
      </c>
      <c r="F122" s="25">
        <v>107</v>
      </c>
      <c r="G122" s="25">
        <v>20</v>
      </c>
      <c r="H122" s="22">
        <f t="shared" si="1"/>
        <v>252</v>
      </c>
    </row>
    <row r="123" spans="1:8" ht="15.75" customHeight="1">
      <c r="A123" s="20" t="s">
        <v>2985</v>
      </c>
      <c r="B123" s="20" t="s">
        <v>2986</v>
      </c>
      <c r="C123" s="20" t="s">
        <v>128</v>
      </c>
      <c r="D123" s="21"/>
      <c r="E123" s="21"/>
      <c r="F123" s="21">
        <v>50</v>
      </c>
      <c r="G123" s="21"/>
      <c r="H123" s="22">
        <f t="shared" si="1"/>
        <v>50</v>
      </c>
    </row>
    <row r="124" spans="1:8" ht="15.75" customHeight="1">
      <c r="A124" s="24" t="s">
        <v>151</v>
      </c>
      <c r="B124" s="24" t="s">
        <v>80</v>
      </c>
      <c r="C124" s="24" t="s">
        <v>128</v>
      </c>
      <c r="D124" s="25">
        <v>30</v>
      </c>
      <c r="E124" s="25"/>
      <c r="F124" s="25"/>
      <c r="G124" s="25"/>
      <c r="H124" s="22">
        <f t="shared" si="1"/>
        <v>30</v>
      </c>
    </row>
    <row r="125" spans="1:8" ht="15.75" customHeight="1">
      <c r="A125" s="20" t="s">
        <v>152</v>
      </c>
      <c r="B125" s="20" t="s">
        <v>75</v>
      </c>
      <c r="C125" s="20" t="s">
        <v>153</v>
      </c>
      <c r="D125" s="21">
        <v>2</v>
      </c>
      <c r="E125" s="21"/>
      <c r="F125" s="21">
        <v>2</v>
      </c>
      <c r="G125" s="21"/>
      <c r="H125" s="22">
        <f t="shared" si="1"/>
        <v>4</v>
      </c>
    </row>
    <row r="126" spans="1:8" ht="15.75" customHeight="1">
      <c r="A126" s="24" t="s">
        <v>154</v>
      </c>
      <c r="B126" s="24" t="s">
        <v>75</v>
      </c>
      <c r="C126" s="24" t="s">
        <v>155</v>
      </c>
      <c r="D126" s="25">
        <v>2</v>
      </c>
      <c r="E126" s="25"/>
      <c r="F126" s="25"/>
      <c r="G126" s="25"/>
      <c r="H126" s="22">
        <f t="shared" si="1"/>
        <v>2</v>
      </c>
    </row>
    <row r="127" spans="1:8" ht="15.75" customHeight="1">
      <c r="A127" s="20" t="s">
        <v>156</v>
      </c>
      <c r="B127" s="20" t="s">
        <v>157</v>
      </c>
      <c r="C127" s="20" t="s">
        <v>47</v>
      </c>
      <c r="D127" s="21">
        <v>1</v>
      </c>
      <c r="E127" s="21"/>
      <c r="F127" s="21"/>
      <c r="G127" s="21"/>
      <c r="H127" s="22">
        <f t="shared" si="1"/>
        <v>1</v>
      </c>
    </row>
    <row r="128" spans="1:8" ht="15.75" customHeight="1">
      <c r="A128" s="24" t="s">
        <v>158</v>
      </c>
      <c r="B128" s="24" t="s">
        <v>159</v>
      </c>
      <c r="C128" s="24" t="s">
        <v>148</v>
      </c>
      <c r="D128" s="25">
        <v>4</v>
      </c>
      <c r="E128" s="25"/>
      <c r="F128" s="25"/>
      <c r="G128" s="25"/>
      <c r="H128" s="22">
        <f t="shared" si="1"/>
        <v>4</v>
      </c>
    </row>
    <row r="129" spans="1:8" ht="15.75" customHeight="1">
      <c r="A129" s="20" t="s">
        <v>160</v>
      </c>
      <c r="B129" s="20" t="s">
        <v>84</v>
      </c>
      <c r="C129" s="20" t="s">
        <v>161</v>
      </c>
      <c r="D129" s="21">
        <v>100</v>
      </c>
      <c r="E129" s="21"/>
      <c r="F129" s="21"/>
      <c r="G129" s="21"/>
      <c r="H129" s="22">
        <f t="shared" si="1"/>
        <v>100</v>
      </c>
    </row>
    <row r="130" spans="1:8" ht="15.75" customHeight="1">
      <c r="A130" s="24" t="s">
        <v>162</v>
      </c>
      <c r="B130" s="24" t="s">
        <v>77</v>
      </c>
      <c r="C130" s="24" t="s">
        <v>161</v>
      </c>
      <c r="D130" s="25">
        <v>50</v>
      </c>
      <c r="E130" s="25">
        <v>50</v>
      </c>
      <c r="F130" s="25"/>
      <c r="G130" s="25"/>
      <c r="H130" s="22">
        <f t="shared" si="1"/>
        <v>100</v>
      </c>
    </row>
    <row r="131" spans="1:8" ht="15.75" customHeight="1">
      <c r="A131" s="20" t="s">
        <v>163</v>
      </c>
      <c r="B131" s="20" t="s">
        <v>93</v>
      </c>
      <c r="C131" s="20" t="s">
        <v>161</v>
      </c>
      <c r="D131" s="21">
        <v>50</v>
      </c>
      <c r="E131" s="21">
        <v>50</v>
      </c>
      <c r="F131" s="21"/>
      <c r="G131" s="21"/>
      <c r="H131" s="22">
        <f t="shared" si="1"/>
        <v>100</v>
      </c>
    </row>
    <row r="132" spans="1:8" ht="15.75" customHeight="1">
      <c r="A132" s="24" t="s">
        <v>164</v>
      </c>
      <c r="B132" s="24" t="s">
        <v>63</v>
      </c>
      <c r="C132" s="24" t="s">
        <v>165</v>
      </c>
      <c r="D132" s="25">
        <v>20</v>
      </c>
      <c r="E132" s="25"/>
      <c r="F132" s="25"/>
      <c r="G132" s="25"/>
      <c r="H132" s="22">
        <f t="shared" ref="H132:H195" si="2">SUM(D132:G132)</f>
        <v>20</v>
      </c>
    </row>
    <row r="133" spans="1:8" ht="15.75" customHeight="1">
      <c r="A133" s="20" t="s">
        <v>166</v>
      </c>
      <c r="B133" s="20" t="s">
        <v>75</v>
      </c>
      <c r="C133" s="20" t="s">
        <v>167</v>
      </c>
      <c r="D133" s="21">
        <v>15</v>
      </c>
      <c r="E133" s="21"/>
      <c r="F133" s="21"/>
      <c r="G133" s="21"/>
      <c r="H133" s="22">
        <f t="shared" si="2"/>
        <v>15</v>
      </c>
    </row>
    <row r="134" spans="1:8" ht="15.75" customHeight="1">
      <c r="A134" s="24" t="s">
        <v>2340</v>
      </c>
      <c r="B134" s="24" t="s">
        <v>69</v>
      </c>
      <c r="C134" s="24" t="s">
        <v>55</v>
      </c>
      <c r="D134" s="25"/>
      <c r="E134" s="25">
        <v>1</v>
      </c>
      <c r="F134" s="25"/>
      <c r="G134" s="25"/>
      <c r="H134" s="22">
        <f t="shared" si="2"/>
        <v>1</v>
      </c>
    </row>
    <row r="135" spans="1:8" ht="15.75" customHeight="1">
      <c r="A135" s="20" t="s">
        <v>2987</v>
      </c>
      <c r="B135" s="20" t="s">
        <v>157</v>
      </c>
      <c r="C135" s="20" t="s">
        <v>2348</v>
      </c>
      <c r="D135" s="21"/>
      <c r="E135" s="21"/>
      <c r="F135" s="21">
        <v>2</v>
      </c>
      <c r="G135" s="21"/>
      <c r="H135" s="22">
        <f t="shared" si="2"/>
        <v>2</v>
      </c>
    </row>
    <row r="136" spans="1:8" ht="15.75" customHeight="1">
      <c r="A136" s="24" t="s">
        <v>2341</v>
      </c>
      <c r="B136" s="24" t="s">
        <v>157</v>
      </c>
      <c r="C136" s="24" t="s">
        <v>55</v>
      </c>
      <c r="D136" s="25"/>
      <c r="E136" s="25">
        <v>1</v>
      </c>
      <c r="F136" s="25"/>
      <c r="G136" s="25"/>
      <c r="H136" s="22">
        <f t="shared" si="2"/>
        <v>1</v>
      </c>
    </row>
    <row r="137" spans="1:8" ht="15.75" customHeight="1">
      <c r="A137" s="20" t="s">
        <v>2342</v>
      </c>
      <c r="B137" s="20" t="s">
        <v>2343</v>
      </c>
      <c r="C137" s="20" t="s">
        <v>47</v>
      </c>
      <c r="D137" s="21"/>
      <c r="E137" s="21">
        <v>5</v>
      </c>
      <c r="F137" s="21"/>
      <c r="G137" s="21"/>
      <c r="H137" s="22">
        <f t="shared" si="2"/>
        <v>5</v>
      </c>
    </row>
    <row r="138" spans="1:8" ht="15.75" customHeight="1">
      <c r="A138" s="24" t="s">
        <v>2344</v>
      </c>
      <c r="B138" s="24" t="s">
        <v>84</v>
      </c>
      <c r="C138" s="24" t="s">
        <v>2332</v>
      </c>
      <c r="D138" s="25"/>
      <c r="E138" s="25">
        <v>200</v>
      </c>
      <c r="F138" s="25">
        <v>250</v>
      </c>
      <c r="G138" s="25"/>
      <c r="H138" s="22">
        <f t="shared" si="2"/>
        <v>450</v>
      </c>
    </row>
    <row r="139" spans="1:8" ht="15.75" customHeight="1">
      <c r="A139" s="20" t="s">
        <v>2345</v>
      </c>
      <c r="B139" s="20" t="s">
        <v>2339</v>
      </c>
      <c r="C139" s="20" t="s">
        <v>24</v>
      </c>
      <c r="D139" s="21"/>
      <c r="E139" s="21">
        <v>4</v>
      </c>
      <c r="F139" s="21"/>
      <c r="G139" s="21"/>
      <c r="H139" s="22">
        <f t="shared" si="2"/>
        <v>4</v>
      </c>
    </row>
    <row r="140" spans="1:8" ht="15.75" customHeight="1">
      <c r="A140" s="24" t="s">
        <v>2346</v>
      </c>
      <c r="B140" s="24" t="s">
        <v>103</v>
      </c>
      <c r="C140" s="24" t="s">
        <v>240</v>
      </c>
      <c r="D140" s="25"/>
      <c r="E140" s="25">
        <v>30</v>
      </c>
      <c r="F140" s="25"/>
      <c r="G140" s="25"/>
      <c r="H140" s="22">
        <f t="shared" si="2"/>
        <v>30</v>
      </c>
    </row>
    <row r="141" spans="1:8" ht="15.75" customHeight="1">
      <c r="A141" s="20" t="s">
        <v>2347</v>
      </c>
      <c r="B141" s="20" t="s">
        <v>2339</v>
      </c>
      <c r="C141" s="20" t="s">
        <v>2348</v>
      </c>
      <c r="D141" s="21"/>
      <c r="E141" s="21">
        <v>1</v>
      </c>
      <c r="F141" s="21"/>
      <c r="G141" s="21"/>
      <c r="H141" s="22">
        <f t="shared" si="2"/>
        <v>1</v>
      </c>
    </row>
    <row r="142" spans="1:8" ht="15.75" customHeight="1">
      <c r="A142" s="24" t="s">
        <v>2349</v>
      </c>
      <c r="B142" s="24" t="s">
        <v>157</v>
      </c>
      <c r="C142" s="24" t="s">
        <v>26</v>
      </c>
      <c r="D142" s="25"/>
      <c r="E142" s="25">
        <v>20</v>
      </c>
      <c r="F142" s="25"/>
      <c r="G142" s="25"/>
      <c r="H142" s="22">
        <f t="shared" si="2"/>
        <v>20</v>
      </c>
    </row>
    <row r="143" spans="1:8" ht="15.75" customHeight="1">
      <c r="A143" s="20" t="s">
        <v>2350</v>
      </c>
      <c r="B143" s="20" t="s">
        <v>157</v>
      </c>
      <c r="C143" s="20" t="s">
        <v>20</v>
      </c>
      <c r="D143" s="21"/>
      <c r="E143" s="21">
        <v>10</v>
      </c>
      <c r="F143" s="21"/>
      <c r="G143" s="21"/>
      <c r="H143" s="22">
        <f t="shared" si="2"/>
        <v>10</v>
      </c>
    </row>
    <row r="144" spans="1:8" ht="15.75" customHeight="1">
      <c r="A144" s="24" t="s">
        <v>2351</v>
      </c>
      <c r="B144" s="24" t="s">
        <v>157</v>
      </c>
      <c r="C144" s="24" t="s">
        <v>32</v>
      </c>
      <c r="D144" s="25"/>
      <c r="E144" s="25">
        <v>11</v>
      </c>
      <c r="F144" s="25"/>
      <c r="G144" s="25"/>
      <c r="H144" s="22">
        <f t="shared" si="2"/>
        <v>11</v>
      </c>
    </row>
    <row r="145" spans="1:8" ht="15.75" customHeight="1">
      <c r="A145" s="20" t="s">
        <v>2352</v>
      </c>
      <c r="B145" s="20" t="s">
        <v>84</v>
      </c>
      <c r="C145" s="20" t="s">
        <v>128</v>
      </c>
      <c r="D145" s="21"/>
      <c r="E145" s="21">
        <v>50</v>
      </c>
      <c r="F145" s="21">
        <v>100</v>
      </c>
      <c r="G145" s="21"/>
      <c r="H145" s="22">
        <f t="shared" si="2"/>
        <v>150</v>
      </c>
    </row>
    <row r="146" spans="1:8" ht="15.75" customHeight="1">
      <c r="A146" s="24" t="s">
        <v>2353</v>
      </c>
      <c r="B146" s="24" t="s">
        <v>75</v>
      </c>
      <c r="C146" s="24" t="s">
        <v>121</v>
      </c>
      <c r="D146" s="25"/>
      <c r="E146" s="25">
        <v>20</v>
      </c>
      <c r="F146" s="25"/>
      <c r="G146" s="25"/>
      <c r="H146" s="22">
        <f t="shared" si="2"/>
        <v>20</v>
      </c>
    </row>
    <row r="147" spans="1:8" ht="15.75" customHeight="1">
      <c r="A147" s="20" t="s">
        <v>2354</v>
      </c>
      <c r="B147" s="20" t="s">
        <v>75</v>
      </c>
      <c r="C147" s="20" t="s">
        <v>50</v>
      </c>
      <c r="D147" s="21"/>
      <c r="E147" s="21">
        <v>10</v>
      </c>
      <c r="F147" s="21">
        <v>20</v>
      </c>
      <c r="G147" s="21"/>
      <c r="H147" s="22">
        <f t="shared" si="2"/>
        <v>30</v>
      </c>
    </row>
    <row r="148" spans="1:8" ht="15.75" customHeight="1">
      <c r="A148" s="24" t="s">
        <v>2355</v>
      </c>
      <c r="B148" s="24" t="s">
        <v>75</v>
      </c>
      <c r="C148" s="24" t="s">
        <v>20</v>
      </c>
      <c r="D148" s="25"/>
      <c r="E148" s="25">
        <v>50</v>
      </c>
      <c r="F148" s="25"/>
      <c r="G148" s="25"/>
      <c r="H148" s="22">
        <f t="shared" si="2"/>
        <v>50</v>
      </c>
    </row>
    <row r="149" spans="1:8" ht="15.75" customHeight="1">
      <c r="A149" s="20" t="s">
        <v>2355</v>
      </c>
      <c r="B149" s="20" t="s">
        <v>2339</v>
      </c>
      <c r="C149" s="20" t="s">
        <v>20</v>
      </c>
      <c r="D149" s="21"/>
      <c r="E149" s="21">
        <v>100</v>
      </c>
      <c r="F149" s="21"/>
      <c r="G149" s="21"/>
      <c r="H149" s="22">
        <f t="shared" si="2"/>
        <v>100</v>
      </c>
    </row>
    <row r="150" spans="1:8" ht="15.75" customHeight="1">
      <c r="A150" s="24" t="s">
        <v>2356</v>
      </c>
      <c r="B150" s="24" t="s">
        <v>103</v>
      </c>
      <c r="C150" s="24" t="s">
        <v>2357</v>
      </c>
      <c r="D150" s="25"/>
      <c r="E150" s="25">
        <v>1</v>
      </c>
      <c r="F150" s="25"/>
      <c r="G150" s="25"/>
      <c r="H150" s="22">
        <f t="shared" si="2"/>
        <v>1</v>
      </c>
    </row>
    <row r="151" spans="1:8" ht="15.75" customHeight="1">
      <c r="A151" s="20" t="s">
        <v>2358</v>
      </c>
      <c r="B151" s="20" t="s">
        <v>2339</v>
      </c>
      <c r="C151" s="20" t="s">
        <v>32</v>
      </c>
      <c r="D151" s="21"/>
      <c r="E151" s="21">
        <v>70</v>
      </c>
      <c r="F151" s="21"/>
      <c r="G151" s="21"/>
      <c r="H151" s="22">
        <f t="shared" si="2"/>
        <v>70</v>
      </c>
    </row>
    <row r="152" spans="1:8" ht="15.75" customHeight="1">
      <c r="A152" s="24" t="s">
        <v>2359</v>
      </c>
      <c r="B152" s="24" t="s">
        <v>103</v>
      </c>
      <c r="C152" s="24" t="s">
        <v>45</v>
      </c>
      <c r="D152" s="25"/>
      <c r="E152" s="25">
        <v>65</v>
      </c>
      <c r="F152" s="25"/>
      <c r="G152" s="25"/>
      <c r="H152" s="22">
        <f t="shared" si="2"/>
        <v>65</v>
      </c>
    </row>
    <row r="153" spans="1:8" ht="15.75" customHeight="1">
      <c r="A153" s="20" t="s">
        <v>2360</v>
      </c>
      <c r="B153" s="20" t="s">
        <v>2339</v>
      </c>
      <c r="C153" s="20" t="s">
        <v>57</v>
      </c>
      <c r="D153" s="21"/>
      <c r="E153" s="21">
        <v>50</v>
      </c>
      <c r="F153" s="21"/>
      <c r="G153" s="21"/>
      <c r="H153" s="22">
        <f t="shared" si="2"/>
        <v>50</v>
      </c>
    </row>
    <row r="154" spans="1:8" ht="15.75" customHeight="1">
      <c r="A154" s="24" t="s">
        <v>2361</v>
      </c>
      <c r="B154" s="24" t="s">
        <v>75</v>
      </c>
      <c r="C154" s="24" t="s">
        <v>2362</v>
      </c>
      <c r="D154" s="25"/>
      <c r="E154" s="25">
        <v>1</v>
      </c>
      <c r="F154" s="25"/>
      <c r="G154" s="25"/>
      <c r="H154" s="22">
        <f t="shared" si="2"/>
        <v>1</v>
      </c>
    </row>
    <row r="155" spans="1:8" ht="15.75" customHeight="1">
      <c r="A155" s="20" t="s">
        <v>2988</v>
      </c>
      <c r="B155" s="20" t="s">
        <v>2339</v>
      </c>
      <c r="C155" s="20" t="s">
        <v>47</v>
      </c>
      <c r="D155" s="21"/>
      <c r="E155" s="21"/>
      <c r="F155" s="21">
        <v>30</v>
      </c>
      <c r="G155" s="21"/>
      <c r="H155" s="22">
        <f t="shared" si="2"/>
        <v>30</v>
      </c>
    </row>
    <row r="156" spans="1:8" ht="15.75" customHeight="1">
      <c r="A156" s="24" t="s">
        <v>2363</v>
      </c>
      <c r="B156" s="24" t="s">
        <v>77</v>
      </c>
      <c r="C156" s="24" t="s">
        <v>2332</v>
      </c>
      <c r="D156" s="25"/>
      <c r="E156" s="25">
        <v>50</v>
      </c>
      <c r="F156" s="25">
        <v>250</v>
      </c>
      <c r="G156" s="25"/>
      <c r="H156" s="22">
        <f t="shared" si="2"/>
        <v>300</v>
      </c>
    </row>
    <row r="157" spans="1:8" ht="15.75" customHeight="1">
      <c r="A157" s="20" t="s">
        <v>2364</v>
      </c>
      <c r="B157" s="20" t="s">
        <v>103</v>
      </c>
      <c r="C157" s="20" t="s">
        <v>24</v>
      </c>
      <c r="D157" s="21"/>
      <c r="E157" s="21">
        <v>10</v>
      </c>
      <c r="F157" s="21"/>
      <c r="G157" s="21"/>
      <c r="H157" s="22">
        <f t="shared" si="2"/>
        <v>10</v>
      </c>
    </row>
    <row r="158" spans="1:8" ht="15.75" customHeight="1">
      <c r="A158" s="24" t="s">
        <v>2989</v>
      </c>
      <c r="B158" s="24" t="s">
        <v>2990</v>
      </c>
      <c r="C158" s="24" t="s">
        <v>2991</v>
      </c>
      <c r="D158" s="25"/>
      <c r="E158" s="25"/>
      <c r="F158" s="25">
        <v>10</v>
      </c>
      <c r="G158" s="25"/>
      <c r="H158" s="22">
        <f t="shared" si="2"/>
        <v>10</v>
      </c>
    </row>
    <row r="159" spans="1:8" ht="15.75" customHeight="1">
      <c r="A159" s="20" t="s">
        <v>2992</v>
      </c>
      <c r="B159" s="20" t="s">
        <v>75</v>
      </c>
      <c r="C159" s="20" t="s">
        <v>59</v>
      </c>
      <c r="D159" s="21"/>
      <c r="E159" s="21"/>
      <c r="F159" s="21">
        <v>2</v>
      </c>
      <c r="G159" s="21"/>
      <c r="H159" s="22">
        <f t="shared" si="2"/>
        <v>2</v>
      </c>
    </row>
    <row r="160" spans="1:8" ht="15.75" customHeight="1">
      <c r="A160" s="24" t="s">
        <v>2993</v>
      </c>
      <c r="B160" s="24" t="s">
        <v>75</v>
      </c>
      <c r="C160" s="24" t="s">
        <v>39</v>
      </c>
      <c r="D160" s="25"/>
      <c r="E160" s="25"/>
      <c r="F160" s="25">
        <v>2</v>
      </c>
      <c r="G160" s="25"/>
      <c r="H160" s="22">
        <f t="shared" si="2"/>
        <v>2</v>
      </c>
    </row>
    <row r="161" spans="1:8" ht="15.75" customHeight="1">
      <c r="A161" s="20" t="s">
        <v>2994</v>
      </c>
      <c r="B161" s="20" t="s">
        <v>2995</v>
      </c>
      <c r="C161" s="20" t="s">
        <v>121</v>
      </c>
      <c r="D161" s="21"/>
      <c r="E161" s="21"/>
      <c r="F161" s="21">
        <v>30</v>
      </c>
      <c r="G161" s="21"/>
      <c r="H161" s="22">
        <f t="shared" si="2"/>
        <v>30</v>
      </c>
    </row>
    <row r="162" spans="1:8" ht="15.75" customHeight="1">
      <c r="A162" s="24" t="s">
        <v>2996</v>
      </c>
      <c r="B162" s="24" t="s">
        <v>2995</v>
      </c>
      <c r="C162" s="24" t="s">
        <v>47</v>
      </c>
      <c r="D162" s="25"/>
      <c r="E162" s="25"/>
      <c r="F162" s="25">
        <v>20</v>
      </c>
      <c r="G162" s="25"/>
      <c r="H162" s="22">
        <f t="shared" si="2"/>
        <v>20</v>
      </c>
    </row>
    <row r="163" spans="1:8" ht="15.75" customHeight="1">
      <c r="A163" s="20" t="s">
        <v>2997</v>
      </c>
      <c r="B163" s="20" t="s">
        <v>157</v>
      </c>
      <c r="C163" s="20" t="s">
        <v>22</v>
      </c>
      <c r="D163" s="21"/>
      <c r="E163" s="21"/>
      <c r="F163" s="21">
        <v>12</v>
      </c>
      <c r="G163" s="21"/>
      <c r="H163" s="22">
        <f t="shared" si="2"/>
        <v>12</v>
      </c>
    </row>
    <row r="164" spans="1:8" ht="15.75" customHeight="1">
      <c r="A164" s="24" t="s">
        <v>2998</v>
      </c>
      <c r="B164" s="24" t="s">
        <v>2999</v>
      </c>
      <c r="C164" s="24" t="s">
        <v>3000</v>
      </c>
      <c r="D164" s="25"/>
      <c r="E164" s="25"/>
      <c r="F164" s="25">
        <v>50</v>
      </c>
      <c r="G164" s="25"/>
      <c r="H164" s="22">
        <f t="shared" si="2"/>
        <v>50</v>
      </c>
    </row>
    <row r="165" spans="1:8" ht="15.75" customHeight="1">
      <c r="A165" s="20" t="s">
        <v>3001</v>
      </c>
      <c r="B165" s="20" t="s">
        <v>95</v>
      </c>
      <c r="C165" s="20" t="s">
        <v>3000</v>
      </c>
      <c r="D165" s="21"/>
      <c r="E165" s="21"/>
      <c r="F165" s="21">
        <v>30</v>
      </c>
      <c r="G165" s="21"/>
      <c r="H165" s="22">
        <f t="shared" si="2"/>
        <v>30</v>
      </c>
    </row>
    <row r="166" spans="1:8" ht="15.75" customHeight="1">
      <c r="A166" s="24" t="s">
        <v>3443</v>
      </c>
      <c r="B166" s="24" t="s">
        <v>3444</v>
      </c>
      <c r="C166" s="24" t="s">
        <v>32</v>
      </c>
      <c r="D166" s="25"/>
      <c r="E166" s="25"/>
      <c r="F166" s="25"/>
      <c r="G166" s="25">
        <v>110</v>
      </c>
      <c r="H166" s="22">
        <f t="shared" si="2"/>
        <v>110</v>
      </c>
    </row>
    <row r="167" spans="1:8" ht="15.75" customHeight="1">
      <c r="A167" s="20" t="s">
        <v>3445</v>
      </c>
      <c r="B167" s="20" t="s">
        <v>3444</v>
      </c>
      <c r="C167" s="20" t="s">
        <v>20</v>
      </c>
      <c r="D167" s="21"/>
      <c r="E167" s="21"/>
      <c r="F167" s="21"/>
      <c r="G167" s="21">
        <v>110</v>
      </c>
      <c r="H167" s="22">
        <f t="shared" si="2"/>
        <v>110</v>
      </c>
    </row>
    <row r="168" spans="1:8" ht="15.75" customHeight="1">
      <c r="A168" s="24" t="s">
        <v>3446</v>
      </c>
      <c r="B168" s="24" t="s">
        <v>2995</v>
      </c>
      <c r="C168" s="24" t="s">
        <v>22</v>
      </c>
      <c r="D168" s="25"/>
      <c r="E168" s="25"/>
      <c r="F168" s="25"/>
      <c r="G168" s="25">
        <v>70</v>
      </c>
      <c r="H168" s="22">
        <f t="shared" si="2"/>
        <v>70</v>
      </c>
    </row>
    <row r="169" spans="1:8" ht="15.75" customHeight="1">
      <c r="A169" s="20" t="s">
        <v>3447</v>
      </c>
      <c r="B169" s="20" t="s">
        <v>2995</v>
      </c>
      <c r="C169" s="20" t="s">
        <v>20</v>
      </c>
      <c r="D169" s="21"/>
      <c r="E169" s="21"/>
      <c r="F169" s="21"/>
      <c r="G169" s="21">
        <v>70</v>
      </c>
      <c r="H169" s="22">
        <f t="shared" si="2"/>
        <v>70</v>
      </c>
    </row>
    <row r="170" spans="1:8" ht="15.75" customHeight="1">
      <c r="A170" s="24" t="s">
        <v>3448</v>
      </c>
      <c r="B170" s="24" t="s">
        <v>84</v>
      </c>
      <c r="C170" s="24" t="s">
        <v>3449</v>
      </c>
      <c r="D170" s="25"/>
      <c r="E170" s="25"/>
      <c r="F170" s="25"/>
      <c r="G170" s="25">
        <v>50</v>
      </c>
      <c r="H170" s="22">
        <f t="shared" si="2"/>
        <v>50</v>
      </c>
    </row>
    <row r="171" spans="1:8" ht="15.75" customHeight="1">
      <c r="A171" s="20" t="s">
        <v>168</v>
      </c>
      <c r="B171" s="20" t="s">
        <v>169</v>
      </c>
      <c r="C171" s="20" t="s">
        <v>170</v>
      </c>
      <c r="D171" s="21">
        <v>15</v>
      </c>
      <c r="E171" s="21">
        <v>16</v>
      </c>
      <c r="F171" s="21"/>
      <c r="G171" s="21">
        <v>7</v>
      </c>
      <c r="H171" s="22">
        <f t="shared" si="2"/>
        <v>38</v>
      </c>
    </row>
    <row r="172" spans="1:8" ht="15.75" customHeight="1">
      <c r="A172" s="24" t="s">
        <v>171</v>
      </c>
      <c r="B172" s="24" t="s">
        <v>169</v>
      </c>
      <c r="C172" s="24" t="s">
        <v>47</v>
      </c>
      <c r="D172" s="25">
        <v>3</v>
      </c>
      <c r="E172" s="25">
        <v>28</v>
      </c>
      <c r="F172" s="25">
        <v>10</v>
      </c>
      <c r="G172" s="25"/>
      <c r="H172" s="22">
        <f t="shared" si="2"/>
        <v>41</v>
      </c>
    </row>
    <row r="173" spans="1:8" ht="15.75" customHeight="1">
      <c r="A173" s="20" t="s">
        <v>172</v>
      </c>
      <c r="B173" s="20" t="s">
        <v>169</v>
      </c>
      <c r="C173" s="20" t="s">
        <v>173</v>
      </c>
      <c r="D173" s="21">
        <v>20</v>
      </c>
      <c r="E173" s="21"/>
      <c r="F173" s="21">
        <v>23</v>
      </c>
      <c r="G173" s="21"/>
      <c r="H173" s="22">
        <f t="shared" si="2"/>
        <v>43</v>
      </c>
    </row>
    <row r="174" spans="1:8" ht="15.75" customHeight="1">
      <c r="A174" s="24" t="s">
        <v>174</v>
      </c>
      <c r="B174" s="24" t="s">
        <v>169</v>
      </c>
      <c r="C174" s="24" t="s">
        <v>24</v>
      </c>
      <c r="D174" s="25">
        <v>125</v>
      </c>
      <c r="E174" s="25">
        <v>30</v>
      </c>
      <c r="F174" s="25">
        <v>51</v>
      </c>
      <c r="G174" s="25"/>
      <c r="H174" s="22">
        <f t="shared" si="2"/>
        <v>206</v>
      </c>
    </row>
    <row r="175" spans="1:8" ht="15.75" customHeight="1">
      <c r="A175" s="20" t="s">
        <v>175</v>
      </c>
      <c r="B175" s="20" t="s">
        <v>169</v>
      </c>
      <c r="C175" s="20" t="s">
        <v>87</v>
      </c>
      <c r="D175" s="21">
        <v>33</v>
      </c>
      <c r="E175" s="21">
        <v>17</v>
      </c>
      <c r="F175" s="21">
        <v>8</v>
      </c>
      <c r="G175" s="21"/>
      <c r="H175" s="22">
        <f t="shared" si="2"/>
        <v>58</v>
      </c>
    </row>
    <row r="176" spans="1:8" ht="15.75" customHeight="1">
      <c r="A176" s="24" t="s">
        <v>176</v>
      </c>
      <c r="B176" s="24" t="s">
        <v>169</v>
      </c>
      <c r="C176" s="24" t="s">
        <v>35</v>
      </c>
      <c r="D176" s="25">
        <v>4</v>
      </c>
      <c r="E176" s="25"/>
      <c r="F176" s="25"/>
      <c r="G176" s="25"/>
      <c r="H176" s="22">
        <f t="shared" si="2"/>
        <v>4</v>
      </c>
    </row>
    <row r="177" spans="1:8" ht="15.75" customHeight="1">
      <c r="A177" s="20" t="s">
        <v>177</v>
      </c>
      <c r="B177" s="20" t="s">
        <v>169</v>
      </c>
      <c r="C177" s="20" t="s">
        <v>50</v>
      </c>
      <c r="D177" s="21">
        <v>39</v>
      </c>
      <c r="E177" s="21">
        <v>4</v>
      </c>
      <c r="F177" s="21"/>
      <c r="G177" s="21"/>
      <c r="H177" s="22">
        <f t="shared" si="2"/>
        <v>43</v>
      </c>
    </row>
    <row r="178" spans="1:8" ht="15.75" customHeight="1">
      <c r="A178" s="24" t="s">
        <v>3002</v>
      </c>
      <c r="B178" s="24" t="s">
        <v>169</v>
      </c>
      <c r="C178" s="24" t="s">
        <v>55</v>
      </c>
      <c r="D178" s="25"/>
      <c r="E178" s="25"/>
      <c r="F178" s="25">
        <v>1</v>
      </c>
      <c r="G178" s="25"/>
      <c r="H178" s="22">
        <f t="shared" si="2"/>
        <v>1</v>
      </c>
    </row>
    <row r="179" spans="1:8" ht="15.75" customHeight="1">
      <c r="A179" s="20" t="s">
        <v>178</v>
      </c>
      <c r="B179" s="20" t="s">
        <v>169</v>
      </c>
      <c r="C179" s="20" t="s">
        <v>57</v>
      </c>
      <c r="D179" s="21">
        <v>80</v>
      </c>
      <c r="E179" s="21">
        <v>40</v>
      </c>
      <c r="F179" s="21">
        <v>30</v>
      </c>
      <c r="G179" s="21">
        <v>50</v>
      </c>
      <c r="H179" s="22">
        <f t="shared" si="2"/>
        <v>200</v>
      </c>
    </row>
    <row r="180" spans="1:8" ht="15.75" customHeight="1">
      <c r="A180" s="24" t="s">
        <v>3003</v>
      </c>
      <c r="B180" s="24" t="s">
        <v>169</v>
      </c>
      <c r="C180" s="24" t="s">
        <v>59</v>
      </c>
      <c r="D180" s="25"/>
      <c r="E180" s="25"/>
      <c r="F180" s="25">
        <v>4</v>
      </c>
      <c r="G180" s="25"/>
      <c r="H180" s="22">
        <f t="shared" si="2"/>
        <v>4</v>
      </c>
    </row>
    <row r="181" spans="1:8" ht="15.75" customHeight="1">
      <c r="A181" s="20" t="s">
        <v>2365</v>
      </c>
      <c r="B181" s="20" t="s">
        <v>2366</v>
      </c>
      <c r="C181" s="20" t="s">
        <v>20</v>
      </c>
      <c r="D181" s="21"/>
      <c r="E181" s="21">
        <v>2</v>
      </c>
      <c r="F181" s="21"/>
      <c r="G181" s="21">
        <v>10</v>
      </c>
      <c r="H181" s="22">
        <f t="shared" si="2"/>
        <v>12</v>
      </c>
    </row>
    <row r="182" spans="1:8" ht="15.75" customHeight="1">
      <c r="A182" s="24" t="s">
        <v>179</v>
      </c>
      <c r="B182" s="24" t="s">
        <v>180</v>
      </c>
      <c r="C182" s="24" t="s">
        <v>170</v>
      </c>
      <c r="D182" s="25">
        <v>3</v>
      </c>
      <c r="E182" s="25">
        <v>16</v>
      </c>
      <c r="F182" s="25">
        <v>3</v>
      </c>
      <c r="G182" s="25"/>
      <c r="H182" s="22">
        <f t="shared" si="2"/>
        <v>22</v>
      </c>
    </row>
    <row r="183" spans="1:8" ht="15.75" customHeight="1">
      <c r="A183" s="20" t="s">
        <v>181</v>
      </c>
      <c r="B183" s="20" t="s">
        <v>180</v>
      </c>
      <c r="C183" s="20" t="s">
        <v>182</v>
      </c>
      <c r="D183" s="21">
        <v>160</v>
      </c>
      <c r="E183" s="21">
        <v>10</v>
      </c>
      <c r="F183" s="21"/>
      <c r="G183" s="21"/>
      <c r="H183" s="22">
        <f t="shared" si="2"/>
        <v>170</v>
      </c>
    </row>
    <row r="184" spans="1:8" ht="15.75" customHeight="1">
      <c r="A184" s="24" t="s">
        <v>183</v>
      </c>
      <c r="B184" s="24" t="s">
        <v>180</v>
      </c>
      <c r="C184" s="24" t="s">
        <v>184</v>
      </c>
      <c r="D184" s="25">
        <v>7</v>
      </c>
      <c r="E184" s="25">
        <v>84</v>
      </c>
      <c r="F184" s="25"/>
      <c r="G184" s="25"/>
      <c r="H184" s="22">
        <f t="shared" si="2"/>
        <v>91</v>
      </c>
    </row>
    <row r="185" spans="1:8" ht="15.75" customHeight="1">
      <c r="A185" s="20" t="s">
        <v>185</v>
      </c>
      <c r="B185" s="20" t="s">
        <v>180</v>
      </c>
      <c r="C185" s="20" t="s">
        <v>186</v>
      </c>
      <c r="D185" s="21">
        <v>4</v>
      </c>
      <c r="E185" s="21"/>
      <c r="F185" s="21"/>
      <c r="G185" s="21"/>
      <c r="H185" s="22">
        <f t="shared" si="2"/>
        <v>4</v>
      </c>
    </row>
    <row r="186" spans="1:8" ht="15.75" customHeight="1">
      <c r="A186" s="24" t="s">
        <v>187</v>
      </c>
      <c r="B186" s="24" t="s">
        <v>180</v>
      </c>
      <c r="C186" s="24" t="s">
        <v>173</v>
      </c>
      <c r="D186" s="25">
        <v>76</v>
      </c>
      <c r="E186" s="25">
        <v>12</v>
      </c>
      <c r="F186" s="25">
        <v>51</v>
      </c>
      <c r="G186" s="25">
        <v>3</v>
      </c>
      <c r="H186" s="22">
        <f t="shared" si="2"/>
        <v>142</v>
      </c>
    </row>
    <row r="187" spans="1:8" ht="15.75" customHeight="1">
      <c r="A187" s="20" t="s">
        <v>188</v>
      </c>
      <c r="B187" s="20" t="s">
        <v>180</v>
      </c>
      <c r="C187" s="20" t="s">
        <v>87</v>
      </c>
      <c r="D187" s="21">
        <v>12</v>
      </c>
      <c r="E187" s="21"/>
      <c r="F187" s="21">
        <v>14</v>
      </c>
      <c r="G187" s="21">
        <v>7</v>
      </c>
      <c r="H187" s="22">
        <f t="shared" si="2"/>
        <v>33</v>
      </c>
    </row>
    <row r="188" spans="1:8" ht="15.75" customHeight="1">
      <c r="A188" s="24" t="s">
        <v>2367</v>
      </c>
      <c r="B188" s="24" t="s">
        <v>180</v>
      </c>
      <c r="C188" s="24" t="s">
        <v>35</v>
      </c>
      <c r="D188" s="25"/>
      <c r="E188" s="25">
        <v>1</v>
      </c>
      <c r="F188" s="25"/>
      <c r="G188" s="25">
        <v>3</v>
      </c>
      <c r="H188" s="22">
        <f t="shared" si="2"/>
        <v>4</v>
      </c>
    </row>
    <row r="189" spans="1:8" ht="15.75" customHeight="1">
      <c r="A189" s="20" t="s">
        <v>2368</v>
      </c>
      <c r="B189" s="20" t="s">
        <v>180</v>
      </c>
      <c r="C189" s="20" t="s">
        <v>50</v>
      </c>
      <c r="D189" s="21"/>
      <c r="E189" s="21">
        <v>16</v>
      </c>
      <c r="F189" s="21">
        <v>5</v>
      </c>
      <c r="G189" s="21">
        <v>4</v>
      </c>
      <c r="H189" s="22">
        <f t="shared" si="2"/>
        <v>25</v>
      </c>
    </row>
    <row r="190" spans="1:8" ht="15.75" customHeight="1">
      <c r="A190" s="24" t="s">
        <v>189</v>
      </c>
      <c r="B190" s="24" t="s">
        <v>180</v>
      </c>
      <c r="C190" s="24" t="s">
        <v>190</v>
      </c>
      <c r="D190" s="25">
        <v>2</v>
      </c>
      <c r="E190" s="25"/>
      <c r="F190" s="25">
        <v>8</v>
      </c>
      <c r="G190" s="25">
        <v>5</v>
      </c>
      <c r="H190" s="22">
        <f t="shared" si="2"/>
        <v>15</v>
      </c>
    </row>
    <row r="191" spans="1:8" ht="15.75" customHeight="1">
      <c r="A191" s="20" t="s">
        <v>191</v>
      </c>
      <c r="B191" s="20" t="s">
        <v>180</v>
      </c>
      <c r="C191" s="20" t="s">
        <v>53</v>
      </c>
      <c r="D191" s="21">
        <v>2</v>
      </c>
      <c r="E191" s="21">
        <v>1</v>
      </c>
      <c r="F191" s="21"/>
      <c r="G191" s="21">
        <v>7</v>
      </c>
      <c r="H191" s="22">
        <f t="shared" si="2"/>
        <v>10</v>
      </c>
    </row>
    <row r="192" spans="1:8" ht="15.75" customHeight="1">
      <c r="A192" s="24" t="s">
        <v>192</v>
      </c>
      <c r="B192" s="24" t="s">
        <v>180</v>
      </c>
      <c r="C192" s="24" t="s">
        <v>55</v>
      </c>
      <c r="D192" s="25">
        <v>5</v>
      </c>
      <c r="E192" s="25"/>
      <c r="F192" s="25">
        <v>4</v>
      </c>
      <c r="G192" s="25"/>
      <c r="H192" s="22">
        <f t="shared" si="2"/>
        <v>9</v>
      </c>
    </row>
    <row r="193" spans="1:8" ht="15.75" customHeight="1">
      <c r="A193" s="20" t="s">
        <v>2369</v>
      </c>
      <c r="B193" s="20" t="s">
        <v>194</v>
      </c>
      <c r="C193" s="20" t="s">
        <v>170</v>
      </c>
      <c r="D193" s="21"/>
      <c r="E193" s="21">
        <v>3</v>
      </c>
      <c r="F193" s="21"/>
      <c r="G193" s="21"/>
      <c r="H193" s="22">
        <f t="shared" si="2"/>
        <v>3</v>
      </c>
    </row>
    <row r="194" spans="1:8" ht="15.75" customHeight="1">
      <c r="A194" s="24" t="s">
        <v>2370</v>
      </c>
      <c r="B194" s="24" t="s">
        <v>194</v>
      </c>
      <c r="C194" s="24" t="s">
        <v>182</v>
      </c>
      <c r="D194" s="25"/>
      <c r="E194" s="25">
        <v>1</v>
      </c>
      <c r="F194" s="25"/>
      <c r="G194" s="25"/>
      <c r="H194" s="22">
        <f t="shared" si="2"/>
        <v>1</v>
      </c>
    </row>
    <row r="195" spans="1:8" ht="15.75" customHeight="1">
      <c r="A195" s="20" t="s">
        <v>193</v>
      </c>
      <c r="B195" s="20" t="s">
        <v>194</v>
      </c>
      <c r="C195" s="20" t="s">
        <v>55</v>
      </c>
      <c r="D195" s="21">
        <v>2</v>
      </c>
      <c r="E195" s="21"/>
      <c r="F195" s="21"/>
      <c r="G195" s="21"/>
      <c r="H195" s="22">
        <f t="shared" si="2"/>
        <v>2</v>
      </c>
    </row>
    <row r="196" spans="1:8" ht="15.75" customHeight="1">
      <c r="A196" s="24" t="s">
        <v>195</v>
      </c>
      <c r="B196" s="24" t="s">
        <v>196</v>
      </c>
      <c r="C196" s="24" t="s">
        <v>22</v>
      </c>
      <c r="D196" s="25">
        <v>10</v>
      </c>
      <c r="E196" s="25"/>
      <c r="F196" s="25"/>
      <c r="G196" s="25"/>
      <c r="H196" s="22">
        <f t="shared" ref="H196:H259" si="3">SUM(D196:G196)</f>
        <v>10</v>
      </c>
    </row>
    <row r="197" spans="1:8" ht="15.75" customHeight="1">
      <c r="A197" s="20" t="s">
        <v>2371</v>
      </c>
      <c r="B197" s="20" t="s">
        <v>198</v>
      </c>
      <c r="C197" s="20" t="s">
        <v>20</v>
      </c>
      <c r="D197" s="21"/>
      <c r="E197" s="21">
        <v>2</v>
      </c>
      <c r="F197" s="21"/>
      <c r="G197" s="21"/>
      <c r="H197" s="22">
        <f t="shared" si="3"/>
        <v>2</v>
      </c>
    </row>
    <row r="198" spans="1:8" ht="15.75" customHeight="1">
      <c r="A198" s="24" t="s">
        <v>197</v>
      </c>
      <c r="B198" s="24" t="s">
        <v>198</v>
      </c>
      <c r="C198" s="24" t="s">
        <v>42</v>
      </c>
      <c r="D198" s="25">
        <v>34</v>
      </c>
      <c r="E198" s="25"/>
      <c r="F198" s="25">
        <v>35</v>
      </c>
      <c r="G198" s="25"/>
      <c r="H198" s="22">
        <f t="shared" si="3"/>
        <v>69</v>
      </c>
    </row>
    <row r="199" spans="1:8" ht="15.75" customHeight="1">
      <c r="A199" s="20" t="s">
        <v>199</v>
      </c>
      <c r="B199" s="20" t="s">
        <v>198</v>
      </c>
      <c r="C199" s="20" t="s">
        <v>22</v>
      </c>
      <c r="D199" s="21">
        <v>10</v>
      </c>
      <c r="E199" s="21"/>
      <c r="F199" s="21"/>
      <c r="G199" s="21"/>
      <c r="H199" s="22">
        <f t="shared" si="3"/>
        <v>10</v>
      </c>
    </row>
    <row r="200" spans="1:8" ht="15.75" customHeight="1">
      <c r="A200" s="24" t="s">
        <v>200</v>
      </c>
      <c r="B200" s="24" t="s">
        <v>198</v>
      </c>
      <c r="C200" s="24" t="s">
        <v>45</v>
      </c>
      <c r="D200" s="25">
        <v>55</v>
      </c>
      <c r="E200" s="25">
        <v>4</v>
      </c>
      <c r="F200" s="25"/>
      <c r="G200" s="25"/>
      <c r="H200" s="22">
        <f t="shared" si="3"/>
        <v>59</v>
      </c>
    </row>
    <row r="201" spans="1:8" ht="15.75" customHeight="1">
      <c r="A201" s="20" t="s">
        <v>201</v>
      </c>
      <c r="B201" s="20" t="s">
        <v>198</v>
      </c>
      <c r="C201" s="20" t="s">
        <v>26</v>
      </c>
      <c r="D201" s="21">
        <v>55</v>
      </c>
      <c r="E201" s="21"/>
      <c r="F201" s="21"/>
      <c r="G201" s="21"/>
      <c r="H201" s="22">
        <f t="shared" si="3"/>
        <v>55</v>
      </c>
    </row>
    <row r="202" spans="1:8" ht="15.75" customHeight="1">
      <c r="A202" s="24" t="s">
        <v>202</v>
      </c>
      <c r="B202" s="24" t="s">
        <v>203</v>
      </c>
      <c r="C202" s="24" t="s">
        <v>204</v>
      </c>
      <c r="D202" s="25">
        <v>100</v>
      </c>
      <c r="E202" s="25">
        <v>100</v>
      </c>
      <c r="F202" s="25"/>
      <c r="G202" s="25"/>
      <c r="H202" s="22">
        <f t="shared" si="3"/>
        <v>200</v>
      </c>
    </row>
    <row r="203" spans="1:8" ht="15.75" customHeight="1">
      <c r="A203" s="20" t="s">
        <v>2372</v>
      </c>
      <c r="B203" s="20" t="s">
        <v>206</v>
      </c>
      <c r="C203" s="20" t="s">
        <v>20</v>
      </c>
      <c r="D203" s="21"/>
      <c r="E203" s="21">
        <v>20</v>
      </c>
      <c r="F203" s="21"/>
      <c r="G203" s="21"/>
      <c r="H203" s="22">
        <f t="shared" si="3"/>
        <v>20</v>
      </c>
    </row>
    <row r="204" spans="1:8" ht="15.75" customHeight="1">
      <c r="A204" s="24" t="s">
        <v>205</v>
      </c>
      <c r="B204" s="24" t="s">
        <v>206</v>
      </c>
      <c r="C204" s="24" t="s">
        <v>32</v>
      </c>
      <c r="D204" s="25">
        <v>30</v>
      </c>
      <c r="E204" s="25">
        <v>20</v>
      </c>
      <c r="F204" s="25"/>
      <c r="G204" s="25"/>
      <c r="H204" s="22">
        <f t="shared" si="3"/>
        <v>50</v>
      </c>
    </row>
    <row r="205" spans="1:8" ht="15.75" customHeight="1">
      <c r="A205" s="20" t="s">
        <v>207</v>
      </c>
      <c r="B205" s="20" t="s">
        <v>206</v>
      </c>
      <c r="C205" s="20" t="s">
        <v>22</v>
      </c>
      <c r="D205" s="21">
        <v>49</v>
      </c>
      <c r="E205" s="21"/>
      <c r="F205" s="21"/>
      <c r="G205" s="21"/>
      <c r="H205" s="22">
        <f t="shared" si="3"/>
        <v>49</v>
      </c>
    </row>
    <row r="206" spans="1:8" ht="15.75" customHeight="1">
      <c r="A206" s="24" t="s">
        <v>208</v>
      </c>
      <c r="B206" s="24" t="s">
        <v>206</v>
      </c>
      <c r="C206" s="24" t="s">
        <v>50</v>
      </c>
      <c r="D206" s="25">
        <v>2</v>
      </c>
      <c r="E206" s="25"/>
      <c r="F206" s="25"/>
      <c r="G206" s="25"/>
      <c r="H206" s="22">
        <f t="shared" si="3"/>
        <v>2</v>
      </c>
    </row>
    <row r="207" spans="1:8" ht="15.75" customHeight="1">
      <c r="A207" s="20" t="s">
        <v>209</v>
      </c>
      <c r="B207" s="20" t="s">
        <v>206</v>
      </c>
      <c r="C207" s="20" t="s">
        <v>190</v>
      </c>
      <c r="D207" s="21">
        <v>2</v>
      </c>
      <c r="E207" s="21"/>
      <c r="F207" s="21"/>
      <c r="G207" s="21"/>
      <c r="H207" s="22">
        <f t="shared" si="3"/>
        <v>2</v>
      </c>
    </row>
    <row r="208" spans="1:8" ht="15.75" customHeight="1">
      <c r="A208" s="24" t="s">
        <v>2373</v>
      </c>
      <c r="B208" s="24" t="s">
        <v>206</v>
      </c>
      <c r="C208" s="24" t="s">
        <v>53</v>
      </c>
      <c r="D208" s="25"/>
      <c r="E208" s="25">
        <v>1</v>
      </c>
      <c r="F208" s="25"/>
      <c r="G208" s="25"/>
      <c r="H208" s="22">
        <f t="shared" si="3"/>
        <v>1</v>
      </c>
    </row>
    <row r="209" spans="1:8" ht="15.75" customHeight="1">
      <c r="A209" s="20" t="s">
        <v>210</v>
      </c>
      <c r="B209" s="20" t="s">
        <v>211</v>
      </c>
      <c r="C209" s="20" t="s">
        <v>20</v>
      </c>
      <c r="D209" s="21">
        <v>50</v>
      </c>
      <c r="E209" s="21"/>
      <c r="F209" s="21"/>
      <c r="G209" s="21"/>
      <c r="H209" s="22">
        <f t="shared" si="3"/>
        <v>50</v>
      </c>
    </row>
    <row r="210" spans="1:8" ht="15.75" customHeight="1">
      <c r="A210" s="24" t="s">
        <v>212</v>
      </c>
      <c r="B210" s="24" t="s">
        <v>211</v>
      </c>
      <c r="C210" s="24" t="s">
        <v>32</v>
      </c>
      <c r="D210" s="25">
        <v>6</v>
      </c>
      <c r="E210" s="25"/>
      <c r="F210" s="25">
        <v>10</v>
      </c>
      <c r="G210" s="25"/>
      <c r="H210" s="22">
        <f t="shared" si="3"/>
        <v>16</v>
      </c>
    </row>
    <row r="211" spans="1:8" ht="15.75" customHeight="1">
      <c r="A211" s="20" t="s">
        <v>213</v>
      </c>
      <c r="B211" s="20" t="s">
        <v>211</v>
      </c>
      <c r="C211" s="20" t="s">
        <v>121</v>
      </c>
      <c r="D211" s="21">
        <v>6</v>
      </c>
      <c r="E211" s="21"/>
      <c r="F211" s="21">
        <v>7</v>
      </c>
      <c r="G211" s="21"/>
      <c r="H211" s="22">
        <f t="shared" si="3"/>
        <v>13</v>
      </c>
    </row>
    <row r="212" spans="1:8" ht="15.75" customHeight="1">
      <c r="A212" s="24" t="s">
        <v>214</v>
      </c>
      <c r="B212" s="24" t="s">
        <v>211</v>
      </c>
      <c r="C212" s="24" t="s">
        <v>45</v>
      </c>
      <c r="D212" s="25">
        <v>20</v>
      </c>
      <c r="E212" s="25"/>
      <c r="F212" s="25"/>
      <c r="G212" s="25"/>
      <c r="H212" s="22">
        <f t="shared" si="3"/>
        <v>20</v>
      </c>
    </row>
    <row r="213" spans="1:8" ht="15.75" customHeight="1">
      <c r="A213" s="20" t="s">
        <v>215</v>
      </c>
      <c r="B213" s="20" t="s">
        <v>211</v>
      </c>
      <c r="C213" s="20" t="s">
        <v>173</v>
      </c>
      <c r="D213" s="21">
        <v>2</v>
      </c>
      <c r="E213" s="21"/>
      <c r="F213" s="21"/>
      <c r="G213" s="21"/>
      <c r="H213" s="22">
        <f t="shared" si="3"/>
        <v>2</v>
      </c>
    </row>
    <row r="214" spans="1:8" ht="15.75" customHeight="1">
      <c r="A214" s="24" t="s">
        <v>2374</v>
      </c>
      <c r="B214" s="24" t="s">
        <v>211</v>
      </c>
      <c r="C214" s="24" t="s">
        <v>24</v>
      </c>
      <c r="D214" s="25"/>
      <c r="E214" s="25">
        <v>2</v>
      </c>
      <c r="F214" s="25"/>
      <c r="G214" s="25"/>
      <c r="H214" s="22">
        <f t="shared" si="3"/>
        <v>2</v>
      </c>
    </row>
    <row r="215" spans="1:8" ht="15.75" customHeight="1">
      <c r="A215" s="20" t="s">
        <v>216</v>
      </c>
      <c r="B215" s="20" t="s">
        <v>211</v>
      </c>
      <c r="C215" s="20" t="s">
        <v>87</v>
      </c>
      <c r="D215" s="21">
        <v>6</v>
      </c>
      <c r="E215" s="21"/>
      <c r="F215" s="21"/>
      <c r="G215" s="21"/>
      <c r="H215" s="22">
        <f t="shared" si="3"/>
        <v>6</v>
      </c>
    </row>
    <row r="216" spans="1:8" ht="15.75" customHeight="1">
      <c r="A216" s="24" t="s">
        <v>217</v>
      </c>
      <c r="B216" s="24" t="s">
        <v>211</v>
      </c>
      <c r="C216" s="24" t="s">
        <v>35</v>
      </c>
      <c r="D216" s="25">
        <v>3</v>
      </c>
      <c r="E216" s="25"/>
      <c r="F216" s="25"/>
      <c r="G216" s="25"/>
      <c r="H216" s="22">
        <f t="shared" si="3"/>
        <v>3</v>
      </c>
    </row>
    <row r="217" spans="1:8" ht="15.75" customHeight="1">
      <c r="A217" s="20" t="s">
        <v>218</v>
      </c>
      <c r="B217" s="20" t="s">
        <v>211</v>
      </c>
      <c r="C217" s="20" t="s">
        <v>50</v>
      </c>
      <c r="D217" s="21">
        <v>6</v>
      </c>
      <c r="E217" s="21"/>
      <c r="F217" s="21"/>
      <c r="G217" s="21">
        <v>2</v>
      </c>
      <c r="H217" s="22">
        <f t="shared" si="3"/>
        <v>8</v>
      </c>
    </row>
    <row r="218" spans="1:8" ht="15.75" customHeight="1">
      <c r="A218" s="24" t="s">
        <v>3450</v>
      </c>
      <c r="B218" s="24" t="s">
        <v>203</v>
      </c>
      <c r="C218" s="24" t="s">
        <v>1515</v>
      </c>
      <c r="D218" s="25"/>
      <c r="E218" s="25"/>
      <c r="F218" s="25"/>
      <c r="G218" s="25">
        <v>50</v>
      </c>
      <c r="H218" s="22">
        <f t="shared" si="3"/>
        <v>50</v>
      </c>
    </row>
    <row r="219" spans="1:8" ht="15.75" customHeight="1">
      <c r="A219" s="20" t="s">
        <v>219</v>
      </c>
      <c r="B219" s="20" t="s">
        <v>203</v>
      </c>
      <c r="C219" s="20" t="s">
        <v>20</v>
      </c>
      <c r="D219" s="21">
        <v>505</v>
      </c>
      <c r="E219" s="21">
        <v>170</v>
      </c>
      <c r="F219" s="21">
        <v>200</v>
      </c>
      <c r="G219" s="21">
        <v>100</v>
      </c>
      <c r="H219" s="22">
        <f t="shared" si="3"/>
        <v>975</v>
      </c>
    </row>
    <row r="220" spans="1:8" ht="15.75" customHeight="1">
      <c r="A220" s="24" t="s">
        <v>220</v>
      </c>
      <c r="B220" s="24" t="s">
        <v>203</v>
      </c>
      <c r="C220" s="24" t="s">
        <v>32</v>
      </c>
      <c r="D220" s="25">
        <v>220</v>
      </c>
      <c r="E220" s="25">
        <v>50</v>
      </c>
      <c r="F220" s="25">
        <v>200</v>
      </c>
      <c r="G220" s="25"/>
      <c r="H220" s="22">
        <f t="shared" si="3"/>
        <v>470</v>
      </c>
    </row>
    <row r="221" spans="1:8" ht="15.75" customHeight="1">
      <c r="A221" s="20" t="s">
        <v>221</v>
      </c>
      <c r="B221" s="20" t="s">
        <v>203</v>
      </c>
      <c r="C221" s="20" t="s">
        <v>222</v>
      </c>
      <c r="D221" s="21">
        <v>1</v>
      </c>
      <c r="E221" s="21">
        <v>25</v>
      </c>
      <c r="F221" s="21">
        <v>20</v>
      </c>
      <c r="G221" s="21"/>
      <c r="H221" s="22">
        <f t="shared" si="3"/>
        <v>46</v>
      </c>
    </row>
    <row r="222" spans="1:8" ht="15.75" customHeight="1">
      <c r="A222" s="24" t="s">
        <v>2375</v>
      </c>
      <c r="B222" s="24" t="s">
        <v>203</v>
      </c>
      <c r="C222" s="24" t="s">
        <v>42</v>
      </c>
      <c r="D222" s="25"/>
      <c r="E222" s="25">
        <v>95</v>
      </c>
      <c r="F222" s="25"/>
      <c r="G222" s="25"/>
      <c r="H222" s="22">
        <f t="shared" si="3"/>
        <v>95</v>
      </c>
    </row>
    <row r="223" spans="1:8" ht="15.75" customHeight="1">
      <c r="A223" s="20" t="s">
        <v>223</v>
      </c>
      <c r="B223" s="20" t="s">
        <v>203</v>
      </c>
      <c r="C223" s="20" t="s">
        <v>22</v>
      </c>
      <c r="D223" s="21">
        <v>145</v>
      </c>
      <c r="E223" s="21">
        <v>200</v>
      </c>
      <c r="F223" s="21">
        <v>190</v>
      </c>
      <c r="G223" s="21"/>
      <c r="H223" s="22">
        <f t="shared" si="3"/>
        <v>535</v>
      </c>
    </row>
    <row r="224" spans="1:8" ht="15.75" customHeight="1">
      <c r="A224" s="24" t="s">
        <v>224</v>
      </c>
      <c r="B224" s="24" t="s">
        <v>203</v>
      </c>
      <c r="C224" s="24" t="s">
        <v>225</v>
      </c>
      <c r="D224" s="25">
        <v>64</v>
      </c>
      <c r="E224" s="25">
        <v>5</v>
      </c>
      <c r="F224" s="25">
        <v>20</v>
      </c>
      <c r="G224" s="25"/>
      <c r="H224" s="22">
        <f t="shared" si="3"/>
        <v>89</v>
      </c>
    </row>
    <row r="225" spans="1:8" ht="15.75" customHeight="1">
      <c r="A225" s="20" t="s">
        <v>226</v>
      </c>
      <c r="B225" s="20" t="s">
        <v>203</v>
      </c>
      <c r="C225" s="20" t="s">
        <v>121</v>
      </c>
      <c r="D225" s="21">
        <v>80</v>
      </c>
      <c r="E225" s="21">
        <v>100</v>
      </c>
      <c r="F225" s="21">
        <v>250</v>
      </c>
      <c r="G225" s="21"/>
      <c r="H225" s="22">
        <f t="shared" si="3"/>
        <v>430</v>
      </c>
    </row>
    <row r="226" spans="1:8" ht="15.75" customHeight="1">
      <c r="A226" s="24" t="s">
        <v>227</v>
      </c>
      <c r="B226" s="24" t="s">
        <v>203</v>
      </c>
      <c r="C226" s="24" t="s">
        <v>45</v>
      </c>
      <c r="D226" s="25">
        <v>322</v>
      </c>
      <c r="E226" s="25">
        <v>10</v>
      </c>
      <c r="F226" s="25"/>
      <c r="G226" s="25"/>
      <c r="H226" s="22">
        <f t="shared" si="3"/>
        <v>332</v>
      </c>
    </row>
    <row r="227" spans="1:8" ht="15.75" customHeight="1">
      <c r="A227" s="20" t="s">
        <v>228</v>
      </c>
      <c r="B227" s="20" t="s">
        <v>203</v>
      </c>
      <c r="C227" s="20" t="s">
        <v>47</v>
      </c>
      <c r="D227" s="21">
        <v>62</v>
      </c>
      <c r="E227" s="21">
        <v>90</v>
      </c>
      <c r="F227" s="21"/>
      <c r="G227" s="21"/>
      <c r="H227" s="22">
        <f t="shared" si="3"/>
        <v>152</v>
      </c>
    </row>
    <row r="228" spans="1:8" ht="15.75" customHeight="1">
      <c r="A228" s="24" t="s">
        <v>229</v>
      </c>
      <c r="B228" s="24" t="s">
        <v>203</v>
      </c>
      <c r="C228" s="24" t="s">
        <v>173</v>
      </c>
      <c r="D228" s="25">
        <v>14</v>
      </c>
      <c r="E228" s="25">
        <v>50</v>
      </c>
      <c r="F228" s="25"/>
      <c r="G228" s="25"/>
      <c r="H228" s="22">
        <f t="shared" si="3"/>
        <v>64</v>
      </c>
    </row>
    <row r="229" spans="1:8" ht="15.75" customHeight="1">
      <c r="A229" s="20" t="s">
        <v>230</v>
      </c>
      <c r="B229" s="20" t="s">
        <v>203</v>
      </c>
      <c r="C229" s="20" t="s">
        <v>24</v>
      </c>
      <c r="D229" s="21">
        <v>182</v>
      </c>
      <c r="E229" s="21">
        <v>200</v>
      </c>
      <c r="F229" s="21">
        <v>100</v>
      </c>
      <c r="G229" s="21"/>
      <c r="H229" s="22">
        <f t="shared" si="3"/>
        <v>482</v>
      </c>
    </row>
    <row r="230" spans="1:8" ht="15.75" customHeight="1">
      <c r="A230" s="24" t="s">
        <v>231</v>
      </c>
      <c r="B230" s="24" t="s">
        <v>203</v>
      </c>
      <c r="C230" s="24" t="s">
        <v>87</v>
      </c>
      <c r="D230" s="25">
        <v>30</v>
      </c>
      <c r="E230" s="25">
        <v>20</v>
      </c>
      <c r="F230" s="25"/>
      <c r="G230" s="25"/>
      <c r="H230" s="22">
        <f t="shared" si="3"/>
        <v>50</v>
      </c>
    </row>
    <row r="231" spans="1:8" ht="15.75" customHeight="1">
      <c r="A231" s="20" t="s">
        <v>232</v>
      </c>
      <c r="B231" s="20" t="s">
        <v>203</v>
      </c>
      <c r="C231" s="20" t="s">
        <v>35</v>
      </c>
      <c r="D231" s="21">
        <v>60</v>
      </c>
      <c r="E231" s="21">
        <v>20</v>
      </c>
      <c r="F231" s="21">
        <v>30</v>
      </c>
      <c r="G231" s="21"/>
      <c r="H231" s="22">
        <f t="shared" si="3"/>
        <v>110</v>
      </c>
    </row>
    <row r="232" spans="1:8" ht="15.75" customHeight="1">
      <c r="A232" s="24" t="s">
        <v>233</v>
      </c>
      <c r="B232" s="24" t="s">
        <v>203</v>
      </c>
      <c r="C232" s="24" t="s">
        <v>50</v>
      </c>
      <c r="D232" s="25">
        <v>70</v>
      </c>
      <c r="E232" s="25">
        <v>16</v>
      </c>
      <c r="F232" s="25">
        <v>30</v>
      </c>
      <c r="G232" s="25"/>
      <c r="H232" s="22">
        <f t="shared" si="3"/>
        <v>116</v>
      </c>
    </row>
    <row r="233" spans="1:8" ht="15.75" customHeight="1">
      <c r="A233" s="20" t="s">
        <v>234</v>
      </c>
      <c r="B233" s="20" t="s">
        <v>203</v>
      </c>
      <c r="C233" s="20" t="s">
        <v>190</v>
      </c>
      <c r="D233" s="21">
        <v>50</v>
      </c>
      <c r="E233" s="21">
        <v>30</v>
      </c>
      <c r="F233" s="21">
        <v>20</v>
      </c>
      <c r="G233" s="21"/>
      <c r="H233" s="22">
        <f t="shared" si="3"/>
        <v>100</v>
      </c>
    </row>
    <row r="234" spans="1:8" ht="15.75" customHeight="1">
      <c r="A234" s="24" t="s">
        <v>235</v>
      </c>
      <c r="B234" s="24" t="s">
        <v>203</v>
      </c>
      <c r="C234" s="24" t="s">
        <v>26</v>
      </c>
      <c r="D234" s="25">
        <v>145</v>
      </c>
      <c r="E234" s="25">
        <v>90</v>
      </c>
      <c r="F234" s="25">
        <v>70</v>
      </c>
      <c r="G234" s="25"/>
      <c r="H234" s="22">
        <f t="shared" si="3"/>
        <v>305</v>
      </c>
    </row>
    <row r="235" spans="1:8" ht="15.75" customHeight="1">
      <c r="A235" s="20" t="s">
        <v>236</v>
      </c>
      <c r="B235" s="20" t="s">
        <v>203</v>
      </c>
      <c r="C235" s="20" t="s">
        <v>53</v>
      </c>
      <c r="D235" s="21">
        <v>40</v>
      </c>
      <c r="E235" s="21">
        <v>27</v>
      </c>
      <c r="F235" s="21"/>
      <c r="G235" s="21"/>
      <c r="H235" s="22">
        <f t="shared" si="3"/>
        <v>67</v>
      </c>
    </row>
    <row r="236" spans="1:8" ht="15.75" customHeight="1">
      <c r="A236" s="24" t="s">
        <v>237</v>
      </c>
      <c r="B236" s="24" t="s">
        <v>203</v>
      </c>
      <c r="C236" s="24" t="s">
        <v>238</v>
      </c>
      <c r="D236" s="25">
        <v>30</v>
      </c>
      <c r="E236" s="25"/>
      <c r="F236" s="25"/>
      <c r="G236" s="25">
        <v>2</v>
      </c>
      <c r="H236" s="22">
        <f t="shared" si="3"/>
        <v>32</v>
      </c>
    </row>
    <row r="237" spans="1:8" ht="15.75" customHeight="1">
      <c r="A237" s="20" t="s">
        <v>239</v>
      </c>
      <c r="B237" s="20" t="s">
        <v>203</v>
      </c>
      <c r="C237" s="20" t="s">
        <v>240</v>
      </c>
      <c r="D237" s="21">
        <v>1950</v>
      </c>
      <c r="E237" s="21">
        <v>950</v>
      </c>
      <c r="F237" s="21">
        <v>550</v>
      </c>
      <c r="G237" s="21">
        <v>1000</v>
      </c>
      <c r="H237" s="22">
        <f t="shared" si="3"/>
        <v>4450</v>
      </c>
    </row>
    <row r="238" spans="1:8" ht="15.75" customHeight="1">
      <c r="A238" s="24" t="s">
        <v>241</v>
      </c>
      <c r="B238" s="24" t="s">
        <v>203</v>
      </c>
      <c r="C238" s="24" t="s">
        <v>55</v>
      </c>
      <c r="D238" s="25">
        <v>20</v>
      </c>
      <c r="E238" s="25"/>
      <c r="F238" s="25"/>
      <c r="G238" s="25"/>
      <c r="H238" s="22">
        <f t="shared" si="3"/>
        <v>20</v>
      </c>
    </row>
    <row r="239" spans="1:8" ht="15.75" customHeight="1">
      <c r="A239" s="20" t="s">
        <v>242</v>
      </c>
      <c r="B239" s="20" t="s">
        <v>203</v>
      </c>
      <c r="C239" s="20" t="s">
        <v>57</v>
      </c>
      <c r="D239" s="21">
        <v>10</v>
      </c>
      <c r="E239" s="21"/>
      <c r="F239" s="21"/>
      <c r="G239" s="21"/>
      <c r="H239" s="22">
        <f t="shared" si="3"/>
        <v>10</v>
      </c>
    </row>
    <row r="240" spans="1:8" ht="15.75" customHeight="1">
      <c r="A240" s="24" t="s">
        <v>243</v>
      </c>
      <c r="B240" s="24" t="s">
        <v>244</v>
      </c>
      <c r="C240" s="24" t="s">
        <v>20</v>
      </c>
      <c r="D240" s="25">
        <v>21</v>
      </c>
      <c r="E240" s="25"/>
      <c r="F240" s="25">
        <v>4</v>
      </c>
      <c r="G240" s="25"/>
      <c r="H240" s="22">
        <f t="shared" si="3"/>
        <v>25</v>
      </c>
    </row>
    <row r="241" spans="1:8" ht="15.75" customHeight="1">
      <c r="A241" s="20" t="s">
        <v>245</v>
      </c>
      <c r="B241" s="20" t="s">
        <v>244</v>
      </c>
      <c r="C241" s="20" t="s">
        <v>32</v>
      </c>
      <c r="D241" s="21">
        <v>2</v>
      </c>
      <c r="E241" s="21"/>
      <c r="F241" s="21">
        <v>2</v>
      </c>
      <c r="G241" s="21"/>
      <c r="H241" s="22">
        <f t="shared" si="3"/>
        <v>4</v>
      </c>
    </row>
    <row r="242" spans="1:8" ht="15.75" customHeight="1">
      <c r="A242" s="24" t="s">
        <v>246</v>
      </c>
      <c r="B242" s="24" t="s">
        <v>244</v>
      </c>
      <c r="C242" s="24" t="s">
        <v>22</v>
      </c>
      <c r="D242" s="25">
        <v>10</v>
      </c>
      <c r="E242" s="25"/>
      <c r="F242" s="25"/>
      <c r="G242" s="25"/>
      <c r="H242" s="22">
        <f t="shared" si="3"/>
        <v>10</v>
      </c>
    </row>
    <row r="243" spans="1:8" ht="15.75" customHeight="1">
      <c r="A243" s="20" t="s">
        <v>2376</v>
      </c>
      <c r="B243" s="20" t="s">
        <v>244</v>
      </c>
      <c r="C243" s="20" t="s">
        <v>121</v>
      </c>
      <c r="D243" s="21"/>
      <c r="E243" s="21">
        <v>4</v>
      </c>
      <c r="F243" s="21">
        <v>4</v>
      </c>
      <c r="G243" s="21"/>
      <c r="H243" s="22">
        <f t="shared" si="3"/>
        <v>8</v>
      </c>
    </row>
    <row r="244" spans="1:8" ht="15.75" customHeight="1">
      <c r="A244" s="24" t="s">
        <v>247</v>
      </c>
      <c r="B244" s="24" t="s">
        <v>244</v>
      </c>
      <c r="C244" s="24" t="s">
        <v>45</v>
      </c>
      <c r="D244" s="25">
        <v>10</v>
      </c>
      <c r="E244" s="25"/>
      <c r="F244" s="25"/>
      <c r="G244" s="25"/>
      <c r="H244" s="22">
        <f t="shared" si="3"/>
        <v>10</v>
      </c>
    </row>
    <row r="245" spans="1:8" ht="15.75" customHeight="1">
      <c r="A245" s="20" t="s">
        <v>2377</v>
      </c>
      <c r="B245" s="20" t="s">
        <v>244</v>
      </c>
      <c r="C245" s="20" t="s">
        <v>47</v>
      </c>
      <c r="D245" s="21"/>
      <c r="E245" s="21">
        <v>10</v>
      </c>
      <c r="F245" s="21"/>
      <c r="G245" s="21"/>
      <c r="H245" s="22">
        <f t="shared" si="3"/>
        <v>10</v>
      </c>
    </row>
    <row r="246" spans="1:8" ht="15.75" customHeight="1">
      <c r="A246" s="24" t="s">
        <v>248</v>
      </c>
      <c r="B246" s="24" t="s">
        <v>244</v>
      </c>
      <c r="C246" s="24" t="s">
        <v>173</v>
      </c>
      <c r="D246" s="25">
        <v>2</v>
      </c>
      <c r="E246" s="25"/>
      <c r="F246" s="25"/>
      <c r="G246" s="25"/>
      <c r="H246" s="22">
        <f t="shared" si="3"/>
        <v>2</v>
      </c>
    </row>
    <row r="247" spans="1:8" ht="15.75" customHeight="1">
      <c r="A247" s="20" t="s">
        <v>249</v>
      </c>
      <c r="B247" s="20" t="s">
        <v>244</v>
      </c>
      <c r="C247" s="20" t="s">
        <v>24</v>
      </c>
      <c r="D247" s="21">
        <v>40</v>
      </c>
      <c r="E247" s="21">
        <v>110</v>
      </c>
      <c r="F247" s="21">
        <v>90</v>
      </c>
      <c r="G247" s="21"/>
      <c r="H247" s="22">
        <f t="shared" si="3"/>
        <v>240</v>
      </c>
    </row>
    <row r="248" spans="1:8" ht="15.75" customHeight="1">
      <c r="A248" s="24" t="s">
        <v>250</v>
      </c>
      <c r="B248" s="24" t="s">
        <v>244</v>
      </c>
      <c r="C248" s="24" t="s">
        <v>87</v>
      </c>
      <c r="D248" s="25">
        <v>2</v>
      </c>
      <c r="E248" s="25">
        <v>2</v>
      </c>
      <c r="F248" s="25"/>
      <c r="G248" s="25"/>
      <c r="H248" s="22">
        <f t="shared" si="3"/>
        <v>4</v>
      </c>
    </row>
    <row r="249" spans="1:8" ht="15.75" customHeight="1">
      <c r="A249" s="20" t="s">
        <v>251</v>
      </c>
      <c r="B249" s="20" t="s">
        <v>244</v>
      </c>
      <c r="C249" s="20" t="s">
        <v>26</v>
      </c>
      <c r="D249" s="21">
        <v>100</v>
      </c>
      <c r="E249" s="21"/>
      <c r="F249" s="21"/>
      <c r="G249" s="21"/>
      <c r="H249" s="22">
        <f t="shared" si="3"/>
        <v>100</v>
      </c>
    </row>
    <row r="250" spans="1:8" ht="15.75" customHeight="1">
      <c r="A250" s="24" t="s">
        <v>252</v>
      </c>
      <c r="B250" s="24" t="s">
        <v>253</v>
      </c>
      <c r="C250" s="24" t="s">
        <v>20</v>
      </c>
      <c r="D250" s="25">
        <v>70</v>
      </c>
      <c r="E250" s="25"/>
      <c r="F250" s="25"/>
      <c r="G250" s="25"/>
      <c r="H250" s="22">
        <f t="shared" si="3"/>
        <v>70</v>
      </c>
    </row>
    <row r="251" spans="1:8" ht="15.75" customHeight="1">
      <c r="A251" s="20" t="s">
        <v>254</v>
      </c>
      <c r="B251" s="20" t="s">
        <v>253</v>
      </c>
      <c r="C251" s="20" t="s">
        <v>22</v>
      </c>
      <c r="D251" s="21">
        <v>31</v>
      </c>
      <c r="E251" s="21">
        <v>10</v>
      </c>
      <c r="F251" s="21"/>
      <c r="G251" s="21"/>
      <c r="H251" s="22">
        <f t="shared" si="3"/>
        <v>41</v>
      </c>
    </row>
    <row r="252" spans="1:8" ht="15.75" customHeight="1">
      <c r="A252" s="24" t="s">
        <v>255</v>
      </c>
      <c r="B252" s="24" t="s">
        <v>253</v>
      </c>
      <c r="C252" s="24" t="s">
        <v>45</v>
      </c>
      <c r="D252" s="25">
        <v>10</v>
      </c>
      <c r="E252" s="25">
        <v>26</v>
      </c>
      <c r="F252" s="25">
        <v>6</v>
      </c>
      <c r="G252" s="25"/>
      <c r="H252" s="22">
        <f t="shared" si="3"/>
        <v>42</v>
      </c>
    </row>
    <row r="253" spans="1:8" ht="15.75" customHeight="1">
      <c r="A253" s="20" t="s">
        <v>2378</v>
      </c>
      <c r="B253" s="20" t="s">
        <v>253</v>
      </c>
      <c r="C253" s="20" t="s">
        <v>47</v>
      </c>
      <c r="D253" s="21"/>
      <c r="E253" s="21">
        <v>10</v>
      </c>
      <c r="F253" s="21"/>
      <c r="G253" s="21"/>
      <c r="H253" s="22">
        <f t="shared" si="3"/>
        <v>10</v>
      </c>
    </row>
    <row r="254" spans="1:8" ht="15.75" customHeight="1">
      <c r="A254" s="24" t="s">
        <v>256</v>
      </c>
      <c r="B254" s="24" t="s">
        <v>253</v>
      </c>
      <c r="C254" s="24" t="s">
        <v>24</v>
      </c>
      <c r="D254" s="25">
        <v>54</v>
      </c>
      <c r="E254" s="25">
        <v>110</v>
      </c>
      <c r="F254" s="25"/>
      <c r="G254" s="25"/>
      <c r="H254" s="22">
        <f t="shared" si="3"/>
        <v>164</v>
      </c>
    </row>
    <row r="255" spans="1:8" ht="15.75" customHeight="1">
      <c r="A255" s="20" t="s">
        <v>257</v>
      </c>
      <c r="B255" s="20" t="s">
        <v>253</v>
      </c>
      <c r="C255" s="20" t="s">
        <v>50</v>
      </c>
      <c r="D255" s="21">
        <v>10</v>
      </c>
      <c r="E255" s="21"/>
      <c r="F255" s="21"/>
      <c r="G255" s="21"/>
      <c r="H255" s="22">
        <f t="shared" si="3"/>
        <v>10</v>
      </c>
    </row>
    <row r="256" spans="1:8" ht="15.75" customHeight="1">
      <c r="A256" s="24" t="s">
        <v>2379</v>
      </c>
      <c r="B256" s="24" t="s">
        <v>253</v>
      </c>
      <c r="C256" s="24" t="s">
        <v>26</v>
      </c>
      <c r="D256" s="25"/>
      <c r="E256" s="25">
        <v>50</v>
      </c>
      <c r="F256" s="25"/>
      <c r="G256" s="25"/>
      <c r="H256" s="22">
        <f t="shared" si="3"/>
        <v>50</v>
      </c>
    </row>
    <row r="257" spans="1:8" ht="15.75" customHeight="1">
      <c r="A257" s="20" t="s">
        <v>2380</v>
      </c>
      <c r="B257" s="20" t="s">
        <v>253</v>
      </c>
      <c r="C257" s="20" t="s">
        <v>53</v>
      </c>
      <c r="D257" s="21"/>
      <c r="E257" s="21">
        <v>71</v>
      </c>
      <c r="F257" s="21"/>
      <c r="G257" s="21"/>
      <c r="H257" s="22">
        <f t="shared" si="3"/>
        <v>71</v>
      </c>
    </row>
    <row r="258" spans="1:8" ht="15.75" customHeight="1">
      <c r="A258" s="24" t="s">
        <v>258</v>
      </c>
      <c r="B258" s="24" t="s">
        <v>253</v>
      </c>
      <c r="C258" s="24" t="s">
        <v>259</v>
      </c>
      <c r="D258" s="25">
        <v>30</v>
      </c>
      <c r="E258" s="25">
        <v>4</v>
      </c>
      <c r="F258" s="25">
        <v>202</v>
      </c>
      <c r="G258" s="25"/>
      <c r="H258" s="22">
        <f t="shared" si="3"/>
        <v>236</v>
      </c>
    </row>
    <row r="259" spans="1:8" ht="15.75" customHeight="1">
      <c r="A259" s="20" t="s">
        <v>260</v>
      </c>
      <c r="B259" s="20" t="s">
        <v>261</v>
      </c>
      <c r="C259" s="20" t="s">
        <v>35</v>
      </c>
      <c r="D259" s="21">
        <v>1</v>
      </c>
      <c r="E259" s="21"/>
      <c r="F259" s="21"/>
      <c r="G259" s="21"/>
      <c r="H259" s="22">
        <f t="shared" si="3"/>
        <v>1</v>
      </c>
    </row>
    <row r="260" spans="1:8" ht="15.75" customHeight="1">
      <c r="A260" s="24" t="s">
        <v>262</v>
      </c>
      <c r="B260" s="24" t="s">
        <v>263</v>
      </c>
      <c r="C260" s="24" t="s">
        <v>20</v>
      </c>
      <c r="D260" s="25">
        <v>10</v>
      </c>
      <c r="E260" s="25"/>
      <c r="F260" s="25"/>
      <c r="G260" s="25"/>
      <c r="H260" s="22">
        <f t="shared" ref="H260:H323" si="4">SUM(D260:G260)</f>
        <v>10</v>
      </c>
    </row>
    <row r="261" spans="1:8" ht="15.75" customHeight="1">
      <c r="A261" s="20" t="s">
        <v>264</v>
      </c>
      <c r="B261" s="20" t="s">
        <v>263</v>
      </c>
      <c r="C261" s="20" t="s">
        <v>42</v>
      </c>
      <c r="D261" s="21">
        <v>56</v>
      </c>
      <c r="E261" s="21"/>
      <c r="F261" s="21">
        <v>10</v>
      </c>
      <c r="G261" s="21"/>
      <c r="H261" s="22">
        <f t="shared" si="4"/>
        <v>66</v>
      </c>
    </row>
    <row r="262" spans="1:8" ht="15.75" customHeight="1">
      <c r="A262" s="24" t="s">
        <v>265</v>
      </c>
      <c r="B262" s="24" t="s">
        <v>263</v>
      </c>
      <c r="C262" s="24" t="s">
        <v>22</v>
      </c>
      <c r="D262" s="25">
        <v>5</v>
      </c>
      <c r="E262" s="25"/>
      <c r="F262" s="25"/>
      <c r="G262" s="25"/>
      <c r="H262" s="22">
        <f t="shared" si="4"/>
        <v>5</v>
      </c>
    </row>
    <row r="263" spans="1:8" ht="15.75" customHeight="1">
      <c r="A263" s="20" t="s">
        <v>266</v>
      </c>
      <c r="B263" s="20" t="s">
        <v>263</v>
      </c>
      <c r="C263" s="20" t="s">
        <v>45</v>
      </c>
      <c r="D263" s="21">
        <v>25</v>
      </c>
      <c r="E263" s="21">
        <v>3</v>
      </c>
      <c r="F263" s="21">
        <v>6</v>
      </c>
      <c r="G263" s="21"/>
      <c r="H263" s="22">
        <f t="shared" si="4"/>
        <v>34</v>
      </c>
    </row>
    <row r="264" spans="1:8" ht="15.75" customHeight="1">
      <c r="A264" s="24" t="s">
        <v>267</v>
      </c>
      <c r="B264" s="24" t="s">
        <v>263</v>
      </c>
      <c r="C264" s="24" t="s">
        <v>47</v>
      </c>
      <c r="D264" s="25">
        <v>2</v>
      </c>
      <c r="E264" s="25"/>
      <c r="F264" s="25"/>
      <c r="G264" s="25"/>
      <c r="H264" s="22">
        <f t="shared" si="4"/>
        <v>2</v>
      </c>
    </row>
    <row r="265" spans="1:8" ht="15.75" customHeight="1">
      <c r="A265" s="20" t="s">
        <v>268</v>
      </c>
      <c r="B265" s="20" t="s">
        <v>263</v>
      </c>
      <c r="C265" s="20" t="s">
        <v>24</v>
      </c>
      <c r="D265" s="21">
        <v>37</v>
      </c>
      <c r="E265" s="21">
        <v>4</v>
      </c>
      <c r="F265" s="21">
        <v>32</v>
      </c>
      <c r="G265" s="21"/>
      <c r="H265" s="22">
        <f t="shared" si="4"/>
        <v>73</v>
      </c>
    </row>
    <row r="266" spans="1:8" ht="15.75" customHeight="1">
      <c r="A266" s="24" t="s">
        <v>269</v>
      </c>
      <c r="B266" s="24" t="s">
        <v>263</v>
      </c>
      <c r="C266" s="24" t="s">
        <v>57</v>
      </c>
      <c r="D266" s="25">
        <v>2</v>
      </c>
      <c r="E266" s="25"/>
      <c r="F266" s="25"/>
      <c r="G266" s="25"/>
      <c r="H266" s="22">
        <f t="shared" si="4"/>
        <v>2</v>
      </c>
    </row>
    <row r="267" spans="1:8" ht="15.75" customHeight="1">
      <c r="A267" s="20" t="s">
        <v>270</v>
      </c>
      <c r="B267" s="20" t="s">
        <v>271</v>
      </c>
      <c r="C267" s="20" t="s">
        <v>20</v>
      </c>
      <c r="D267" s="21">
        <v>29</v>
      </c>
      <c r="E267" s="21"/>
      <c r="F267" s="21"/>
      <c r="G267" s="21"/>
      <c r="H267" s="22">
        <f t="shared" si="4"/>
        <v>29</v>
      </c>
    </row>
    <row r="268" spans="1:8" ht="15.75" customHeight="1">
      <c r="A268" s="24" t="s">
        <v>272</v>
      </c>
      <c r="B268" s="24" t="s">
        <v>271</v>
      </c>
      <c r="C268" s="24" t="s">
        <v>32</v>
      </c>
      <c r="D268" s="25">
        <v>12</v>
      </c>
      <c r="E268" s="25"/>
      <c r="F268" s="25"/>
      <c r="G268" s="25"/>
      <c r="H268" s="22">
        <f t="shared" si="4"/>
        <v>12</v>
      </c>
    </row>
    <row r="269" spans="1:8" ht="15.75" customHeight="1">
      <c r="A269" s="20" t="s">
        <v>273</v>
      </c>
      <c r="B269" s="20" t="s">
        <v>271</v>
      </c>
      <c r="C269" s="20" t="s">
        <v>22</v>
      </c>
      <c r="D269" s="21">
        <v>10</v>
      </c>
      <c r="E269" s="21"/>
      <c r="F269" s="21"/>
      <c r="G269" s="21"/>
      <c r="H269" s="22">
        <f t="shared" si="4"/>
        <v>10</v>
      </c>
    </row>
    <row r="270" spans="1:8" ht="15.75" customHeight="1">
      <c r="A270" s="24" t="s">
        <v>274</v>
      </c>
      <c r="B270" s="24" t="s">
        <v>271</v>
      </c>
      <c r="C270" s="24" t="s">
        <v>121</v>
      </c>
      <c r="D270" s="25">
        <v>10</v>
      </c>
      <c r="E270" s="25"/>
      <c r="F270" s="25">
        <v>1</v>
      </c>
      <c r="G270" s="25"/>
      <c r="H270" s="22">
        <f t="shared" si="4"/>
        <v>11</v>
      </c>
    </row>
    <row r="271" spans="1:8" ht="15.75" customHeight="1">
      <c r="A271" s="20" t="s">
        <v>275</v>
      </c>
      <c r="B271" s="20" t="s">
        <v>271</v>
      </c>
      <c r="C271" s="20" t="s">
        <v>173</v>
      </c>
      <c r="D271" s="21">
        <v>3</v>
      </c>
      <c r="E271" s="21"/>
      <c r="F271" s="21"/>
      <c r="G271" s="21"/>
      <c r="H271" s="22">
        <f t="shared" si="4"/>
        <v>3</v>
      </c>
    </row>
    <row r="272" spans="1:8" ht="15.75" customHeight="1">
      <c r="A272" s="24" t="s">
        <v>276</v>
      </c>
      <c r="B272" s="24" t="s">
        <v>271</v>
      </c>
      <c r="C272" s="24" t="s">
        <v>24</v>
      </c>
      <c r="D272" s="25">
        <v>10</v>
      </c>
      <c r="E272" s="25">
        <v>6</v>
      </c>
      <c r="F272" s="25">
        <v>9</v>
      </c>
      <c r="G272" s="25">
        <v>1</v>
      </c>
      <c r="H272" s="22">
        <f t="shared" si="4"/>
        <v>26</v>
      </c>
    </row>
    <row r="273" spans="1:8" ht="15.75" customHeight="1">
      <c r="A273" s="20" t="s">
        <v>277</v>
      </c>
      <c r="B273" s="20" t="s">
        <v>278</v>
      </c>
      <c r="C273" s="20" t="s">
        <v>170</v>
      </c>
      <c r="D273" s="21">
        <v>30</v>
      </c>
      <c r="E273" s="21"/>
      <c r="F273" s="21"/>
      <c r="G273" s="21"/>
      <c r="H273" s="22">
        <f t="shared" si="4"/>
        <v>30</v>
      </c>
    </row>
    <row r="274" spans="1:8" ht="15.75" customHeight="1">
      <c r="A274" s="24" t="s">
        <v>279</v>
      </c>
      <c r="B274" s="24" t="s">
        <v>278</v>
      </c>
      <c r="C274" s="24" t="s">
        <v>182</v>
      </c>
      <c r="D274" s="25">
        <v>4</v>
      </c>
      <c r="E274" s="25"/>
      <c r="F274" s="25"/>
      <c r="G274" s="25"/>
      <c r="H274" s="22">
        <f t="shared" si="4"/>
        <v>4</v>
      </c>
    </row>
    <row r="275" spans="1:8" ht="15.75" customHeight="1">
      <c r="A275" s="20" t="s">
        <v>280</v>
      </c>
      <c r="B275" s="20" t="s">
        <v>278</v>
      </c>
      <c r="C275" s="20" t="s">
        <v>32</v>
      </c>
      <c r="D275" s="21">
        <v>4</v>
      </c>
      <c r="E275" s="21"/>
      <c r="F275" s="21"/>
      <c r="G275" s="21"/>
      <c r="H275" s="22">
        <f t="shared" si="4"/>
        <v>4</v>
      </c>
    </row>
    <row r="276" spans="1:8" ht="15.75" customHeight="1">
      <c r="A276" s="24" t="s">
        <v>281</v>
      </c>
      <c r="B276" s="24" t="s">
        <v>278</v>
      </c>
      <c r="C276" s="24" t="s">
        <v>24</v>
      </c>
      <c r="D276" s="25">
        <v>12</v>
      </c>
      <c r="E276" s="25">
        <v>6</v>
      </c>
      <c r="F276" s="25"/>
      <c r="G276" s="25"/>
      <c r="H276" s="22">
        <f t="shared" si="4"/>
        <v>18</v>
      </c>
    </row>
    <row r="277" spans="1:8" ht="15.75" customHeight="1">
      <c r="A277" s="20" t="s">
        <v>3004</v>
      </c>
      <c r="B277" s="20" t="s">
        <v>278</v>
      </c>
      <c r="C277" s="20" t="s">
        <v>87</v>
      </c>
      <c r="D277" s="21"/>
      <c r="E277" s="21"/>
      <c r="F277" s="21">
        <v>5</v>
      </c>
      <c r="G277" s="21"/>
      <c r="H277" s="22">
        <f t="shared" si="4"/>
        <v>5</v>
      </c>
    </row>
    <row r="278" spans="1:8" ht="15.75" customHeight="1">
      <c r="A278" s="24" t="s">
        <v>282</v>
      </c>
      <c r="B278" s="24" t="s">
        <v>283</v>
      </c>
      <c r="C278" s="24" t="s">
        <v>284</v>
      </c>
      <c r="D278" s="25">
        <v>27</v>
      </c>
      <c r="E278" s="25"/>
      <c r="F278" s="25">
        <v>3</v>
      </c>
      <c r="G278" s="25"/>
      <c r="H278" s="22">
        <f t="shared" si="4"/>
        <v>30</v>
      </c>
    </row>
    <row r="279" spans="1:8" ht="15.75" customHeight="1">
      <c r="A279" s="20" t="s">
        <v>285</v>
      </c>
      <c r="B279" s="20" t="s">
        <v>283</v>
      </c>
      <c r="C279" s="20" t="s">
        <v>20</v>
      </c>
      <c r="D279" s="21">
        <v>43</v>
      </c>
      <c r="E279" s="21"/>
      <c r="F279" s="21"/>
      <c r="G279" s="21"/>
      <c r="H279" s="22">
        <f t="shared" si="4"/>
        <v>43</v>
      </c>
    </row>
    <row r="280" spans="1:8" ht="15.75" customHeight="1">
      <c r="A280" s="24" t="s">
        <v>286</v>
      </c>
      <c r="B280" s="24" t="s">
        <v>283</v>
      </c>
      <c r="C280" s="24" t="s">
        <v>32</v>
      </c>
      <c r="D280" s="25">
        <v>31</v>
      </c>
      <c r="E280" s="25"/>
      <c r="F280" s="25">
        <v>23</v>
      </c>
      <c r="G280" s="25"/>
      <c r="H280" s="22">
        <f t="shared" si="4"/>
        <v>54</v>
      </c>
    </row>
    <row r="281" spans="1:8" ht="15.75" customHeight="1">
      <c r="A281" s="20" t="s">
        <v>287</v>
      </c>
      <c r="B281" s="20" t="s">
        <v>283</v>
      </c>
      <c r="C281" s="20" t="s">
        <v>42</v>
      </c>
      <c r="D281" s="21">
        <v>798</v>
      </c>
      <c r="E281" s="21"/>
      <c r="F281" s="21"/>
      <c r="G281" s="21"/>
      <c r="H281" s="22">
        <f t="shared" si="4"/>
        <v>798</v>
      </c>
    </row>
    <row r="282" spans="1:8" ht="15.75" customHeight="1">
      <c r="A282" s="24" t="s">
        <v>288</v>
      </c>
      <c r="B282" s="24" t="s">
        <v>283</v>
      </c>
      <c r="C282" s="24" t="s">
        <v>22</v>
      </c>
      <c r="D282" s="25">
        <v>54</v>
      </c>
      <c r="E282" s="25">
        <v>6</v>
      </c>
      <c r="F282" s="25"/>
      <c r="G282" s="25"/>
      <c r="H282" s="22">
        <f t="shared" si="4"/>
        <v>60</v>
      </c>
    </row>
    <row r="283" spans="1:8" ht="15.75" customHeight="1">
      <c r="A283" s="20" t="s">
        <v>289</v>
      </c>
      <c r="B283" s="20" t="s">
        <v>283</v>
      </c>
      <c r="C283" s="20" t="s">
        <v>45</v>
      </c>
      <c r="D283" s="21">
        <v>500</v>
      </c>
      <c r="E283" s="21"/>
      <c r="F283" s="21"/>
      <c r="G283" s="21"/>
      <c r="H283" s="22">
        <f t="shared" si="4"/>
        <v>500</v>
      </c>
    </row>
    <row r="284" spans="1:8" ht="15.75" customHeight="1">
      <c r="A284" s="24" t="s">
        <v>290</v>
      </c>
      <c r="B284" s="24" t="s">
        <v>283</v>
      </c>
      <c r="C284" s="24" t="s">
        <v>47</v>
      </c>
      <c r="D284" s="25">
        <v>1</v>
      </c>
      <c r="E284" s="25"/>
      <c r="F284" s="25"/>
      <c r="G284" s="25"/>
      <c r="H284" s="22">
        <f t="shared" si="4"/>
        <v>1</v>
      </c>
    </row>
    <row r="285" spans="1:8" ht="15.75" customHeight="1">
      <c r="A285" s="20" t="s">
        <v>291</v>
      </c>
      <c r="B285" s="20" t="s">
        <v>283</v>
      </c>
      <c r="C285" s="20" t="s">
        <v>24</v>
      </c>
      <c r="D285" s="21">
        <v>500</v>
      </c>
      <c r="E285" s="21">
        <v>150</v>
      </c>
      <c r="F285" s="21">
        <v>15</v>
      </c>
      <c r="G285" s="21"/>
      <c r="H285" s="22">
        <f t="shared" si="4"/>
        <v>665</v>
      </c>
    </row>
    <row r="286" spans="1:8" ht="15.75" customHeight="1">
      <c r="A286" s="24" t="s">
        <v>2381</v>
      </c>
      <c r="B286" s="24" t="s">
        <v>283</v>
      </c>
      <c r="C286" s="24" t="s">
        <v>118</v>
      </c>
      <c r="D286" s="25"/>
      <c r="E286" s="25">
        <v>200</v>
      </c>
      <c r="F286" s="25"/>
      <c r="G286" s="25"/>
      <c r="H286" s="22">
        <f t="shared" si="4"/>
        <v>200</v>
      </c>
    </row>
    <row r="287" spans="1:8" ht="15.75" customHeight="1">
      <c r="A287" s="20" t="s">
        <v>292</v>
      </c>
      <c r="B287" s="20" t="s">
        <v>283</v>
      </c>
      <c r="C287" s="20" t="s">
        <v>26</v>
      </c>
      <c r="D287" s="21">
        <v>32</v>
      </c>
      <c r="E287" s="21"/>
      <c r="F287" s="21">
        <v>6</v>
      </c>
      <c r="G287" s="21"/>
      <c r="H287" s="22">
        <f t="shared" si="4"/>
        <v>38</v>
      </c>
    </row>
    <row r="288" spans="1:8" ht="15.75" customHeight="1">
      <c r="A288" s="24" t="s">
        <v>293</v>
      </c>
      <c r="B288" s="24" t="s">
        <v>294</v>
      </c>
      <c r="C288" s="24" t="s">
        <v>20</v>
      </c>
      <c r="D288" s="25">
        <v>10</v>
      </c>
      <c r="E288" s="25"/>
      <c r="F288" s="25"/>
      <c r="G288" s="25"/>
      <c r="H288" s="22">
        <f t="shared" si="4"/>
        <v>10</v>
      </c>
    </row>
    <row r="289" spans="1:8" ht="15.75" customHeight="1">
      <c r="A289" s="20" t="s">
        <v>2382</v>
      </c>
      <c r="B289" s="20" t="s">
        <v>294</v>
      </c>
      <c r="C289" s="20" t="s">
        <v>32</v>
      </c>
      <c r="D289" s="21"/>
      <c r="E289" s="21">
        <v>17</v>
      </c>
      <c r="F289" s="21"/>
      <c r="G289" s="21"/>
      <c r="H289" s="22">
        <f t="shared" si="4"/>
        <v>17</v>
      </c>
    </row>
    <row r="290" spans="1:8" ht="15.75" customHeight="1">
      <c r="A290" s="24" t="s">
        <v>295</v>
      </c>
      <c r="B290" s="24" t="s">
        <v>294</v>
      </c>
      <c r="C290" s="24" t="s">
        <v>42</v>
      </c>
      <c r="D290" s="25">
        <v>10</v>
      </c>
      <c r="E290" s="25"/>
      <c r="F290" s="25"/>
      <c r="G290" s="25"/>
      <c r="H290" s="22">
        <f t="shared" si="4"/>
        <v>10</v>
      </c>
    </row>
    <row r="291" spans="1:8" ht="15.75" customHeight="1">
      <c r="A291" s="20" t="s">
        <v>296</v>
      </c>
      <c r="B291" s="20" t="s">
        <v>294</v>
      </c>
      <c r="C291" s="20" t="s">
        <v>121</v>
      </c>
      <c r="D291" s="21">
        <v>14</v>
      </c>
      <c r="E291" s="21"/>
      <c r="F291" s="21">
        <v>6</v>
      </c>
      <c r="G291" s="21"/>
      <c r="H291" s="22">
        <f t="shared" si="4"/>
        <v>20</v>
      </c>
    </row>
    <row r="292" spans="1:8" ht="15.75" customHeight="1">
      <c r="A292" s="24" t="s">
        <v>2383</v>
      </c>
      <c r="B292" s="24" t="s">
        <v>294</v>
      </c>
      <c r="C292" s="24" t="s">
        <v>45</v>
      </c>
      <c r="D292" s="25"/>
      <c r="E292" s="25">
        <v>50</v>
      </c>
      <c r="F292" s="25"/>
      <c r="G292" s="25"/>
      <c r="H292" s="22">
        <f t="shared" si="4"/>
        <v>50</v>
      </c>
    </row>
    <row r="293" spans="1:8" ht="15.75" customHeight="1">
      <c r="A293" s="20" t="s">
        <v>297</v>
      </c>
      <c r="B293" s="20" t="s">
        <v>294</v>
      </c>
      <c r="C293" s="20" t="s">
        <v>47</v>
      </c>
      <c r="D293" s="21">
        <v>5</v>
      </c>
      <c r="E293" s="21"/>
      <c r="F293" s="21"/>
      <c r="G293" s="21"/>
      <c r="H293" s="22">
        <f t="shared" si="4"/>
        <v>5</v>
      </c>
    </row>
    <row r="294" spans="1:8" ht="15.75" customHeight="1">
      <c r="A294" s="24" t="s">
        <v>298</v>
      </c>
      <c r="B294" s="24" t="s">
        <v>294</v>
      </c>
      <c r="C294" s="24" t="s">
        <v>24</v>
      </c>
      <c r="D294" s="25">
        <v>90</v>
      </c>
      <c r="E294" s="25"/>
      <c r="F294" s="25"/>
      <c r="G294" s="25"/>
      <c r="H294" s="22">
        <f t="shared" si="4"/>
        <v>90</v>
      </c>
    </row>
    <row r="295" spans="1:8" ht="15.75" customHeight="1">
      <c r="A295" s="20" t="s">
        <v>299</v>
      </c>
      <c r="B295" s="20" t="s">
        <v>294</v>
      </c>
      <c r="C295" s="20" t="s">
        <v>118</v>
      </c>
      <c r="D295" s="21">
        <v>400</v>
      </c>
      <c r="E295" s="21"/>
      <c r="F295" s="21"/>
      <c r="G295" s="21"/>
      <c r="H295" s="22">
        <f t="shared" si="4"/>
        <v>400</v>
      </c>
    </row>
    <row r="296" spans="1:8" ht="15.75" customHeight="1">
      <c r="A296" s="24" t="s">
        <v>300</v>
      </c>
      <c r="B296" s="24" t="s">
        <v>294</v>
      </c>
      <c r="C296" s="24" t="s">
        <v>26</v>
      </c>
      <c r="D296" s="25">
        <v>50</v>
      </c>
      <c r="E296" s="25"/>
      <c r="F296" s="25"/>
      <c r="G296" s="25"/>
      <c r="H296" s="22">
        <f t="shared" si="4"/>
        <v>50</v>
      </c>
    </row>
    <row r="297" spans="1:8" ht="15.75" customHeight="1">
      <c r="A297" s="20" t="s">
        <v>2384</v>
      </c>
      <c r="B297" s="20" t="s">
        <v>294</v>
      </c>
      <c r="C297" s="20" t="s">
        <v>55</v>
      </c>
      <c r="D297" s="21"/>
      <c r="E297" s="21">
        <v>1</v>
      </c>
      <c r="F297" s="21"/>
      <c r="G297" s="21"/>
      <c r="H297" s="22">
        <f t="shared" si="4"/>
        <v>1</v>
      </c>
    </row>
    <row r="298" spans="1:8" ht="15.75" customHeight="1">
      <c r="A298" s="24" t="s">
        <v>301</v>
      </c>
      <c r="B298" s="24" t="s">
        <v>302</v>
      </c>
      <c r="C298" s="24" t="s">
        <v>20</v>
      </c>
      <c r="D298" s="25">
        <v>2</v>
      </c>
      <c r="E298" s="25"/>
      <c r="F298" s="25"/>
      <c r="G298" s="25"/>
      <c r="H298" s="22">
        <f t="shared" si="4"/>
        <v>2</v>
      </c>
    </row>
    <row r="299" spans="1:8" ht="15.75" customHeight="1">
      <c r="A299" s="20" t="s">
        <v>303</v>
      </c>
      <c r="B299" s="20" t="s">
        <v>304</v>
      </c>
      <c r="C299" s="20" t="s">
        <v>20</v>
      </c>
      <c r="D299" s="21">
        <v>12</v>
      </c>
      <c r="E299" s="21"/>
      <c r="F299" s="21"/>
      <c r="G299" s="21"/>
      <c r="H299" s="22">
        <f t="shared" si="4"/>
        <v>12</v>
      </c>
    </row>
    <row r="300" spans="1:8" ht="15.75" customHeight="1">
      <c r="A300" s="24" t="s">
        <v>305</v>
      </c>
      <c r="B300" s="24" t="s">
        <v>304</v>
      </c>
      <c r="C300" s="24" t="s">
        <v>22</v>
      </c>
      <c r="D300" s="25">
        <v>12</v>
      </c>
      <c r="E300" s="25"/>
      <c r="F300" s="25"/>
      <c r="G300" s="25"/>
      <c r="H300" s="22">
        <f t="shared" si="4"/>
        <v>12</v>
      </c>
    </row>
    <row r="301" spans="1:8" ht="15.75" customHeight="1">
      <c r="A301" s="20" t="s">
        <v>306</v>
      </c>
      <c r="B301" s="20" t="s">
        <v>304</v>
      </c>
      <c r="C301" s="20" t="s">
        <v>24</v>
      </c>
      <c r="D301" s="21">
        <v>10</v>
      </c>
      <c r="E301" s="21"/>
      <c r="F301" s="21"/>
      <c r="G301" s="21"/>
      <c r="H301" s="22">
        <f t="shared" si="4"/>
        <v>10</v>
      </c>
    </row>
    <row r="302" spans="1:8" ht="15.75" customHeight="1">
      <c r="A302" s="24" t="s">
        <v>307</v>
      </c>
      <c r="B302" s="24" t="s">
        <v>169</v>
      </c>
      <c r="C302" s="24" t="s">
        <v>118</v>
      </c>
      <c r="D302" s="25">
        <v>40</v>
      </c>
      <c r="E302" s="25"/>
      <c r="F302" s="25">
        <v>50</v>
      </c>
      <c r="G302" s="25">
        <v>50</v>
      </c>
      <c r="H302" s="22">
        <f t="shared" si="4"/>
        <v>140</v>
      </c>
    </row>
    <row r="303" spans="1:8" ht="15.75" customHeight="1">
      <c r="A303" s="20" t="s">
        <v>308</v>
      </c>
      <c r="B303" s="20" t="s">
        <v>263</v>
      </c>
      <c r="C303" s="20" t="s">
        <v>284</v>
      </c>
      <c r="D303" s="21">
        <v>4</v>
      </c>
      <c r="E303" s="21"/>
      <c r="F303" s="21"/>
      <c r="G303" s="21"/>
      <c r="H303" s="22">
        <f t="shared" si="4"/>
        <v>4</v>
      </c>
    </row>
    <row r="304" spans="1:8" ht="15.75" customHeight="1">
      <c r="A304" s="24" t="s">
        <v>309</v>
      </c>
      <c r="B304" s="24" t="s">
        <v>180</v>
      </c>
      <c r="C304" s="24" t="s">
        <v>310</v>
      </c>
      <c r="D304" s="25">
        <v>2</v>
      </c>
      <c r="E304" s="25"/>
      <c r="F304" s="25"/>
      <c r="G304" s="25"/>
      <c r="H304" s="22">
        <f t="shared" si="4"/>
        <v>2</v>
      </c>
    </row>
    <row r="305" spans="1:8" ht="15.75" customHeight="1">
      <c r="A305" s="20" t="s">
        <v>2385</v>
      </c>
      <c r="B305" s="20" t="s">
        <v>169</v>
      </c>
      <c r="C305" s="20" t="s">
        <v>45</v>
      </c>
      <c r="D305" s="21"/>
      <c r="E305" s="21">
        <v>2</v>
      </c>
      <c r="F305" s="21"/>
      <c r="G305" s="21"/>
      <c r="H305" s="22">
        <f t="shared" si="4"/>
        <v>2</v>
      </c>
    </row>
    <row r="306" spans="1:8" ht="15.75" customHeight="1">
      <c r="A306" s="24" t="s">
        <v>2386</v>
      </c>
      <c r="B306" s="24" t="s">
        <v>2366</v>
      </c>
      <c r="C306" s="24" t="s">
        <v>121</v>
      </c>
      <c r="D306" s="25"/>
      <c r="E306" s="25">
        <v>4</v>
      </c>
      <c r="F306" s="25"/>
      <c r="G306" s="25"/>
      <c r="H306" s="22">
        <f t="shared" si="4"/>
        <v>4</v>
      </c>
    </row>
    <row r="307" spans="1:8" ht="15.75" customHeight="1">
      <c r="A307" s="20" t="s">
        <v>311</v>
      </c>
      <c r="B307" s="20" t="s">
        <v>203</v>
      </c>
      <c r="C307" s="20" t="s">
        <v>312</v>
      </c>
      <c r="D307" s="21">
        <v>20</v>
      </c>
      <c r="E307" s="21"/>
      <c r="F307" s="21"/>
      <c r="G307" s="21"/>
      <c r="H307" s="22">
        <f t="shared" si="4"/>
        <v>20</v>
      </c>
    </row>
    <row r="308" spans="1:8" ht="15.75" customHeight="1">
      <c r="A308" s="24" t="s">
        <v>3451</v>
      </c>
      <c r="B308" s="24" t="s">
        <v>2366</v>
      </c>
      <c r="C308" s="24" t="s">
        <v>32</v>
      </c>
      <c r="D308" s="25"/>
      <c r="E308" s="25"/>
      <c r="F308" s="25"/>
      <c r="G308" s="25">
        <v>10</v>
      </c>
      <c r="H308" s="22">
        <f t="shared" si="4"/>
        <v>10</v>
      </c>
    </row>
    <row r="309" spans="1:8" ht="15.75" customHeight="1">
      <c r="A309" s="20" t="s">
        <v>2387</v>
      </c>
      <c r="B309" s="20" t="s">
        <v>253</v>
      </c>
      <c r="C309" s="20" t="s">
        <v>1515</v>
      </c>
      <c r="D309" s="21"/>
      <c r="E309" s="21">
        <v>5</v>
      </c>
      <c r="F309" s="21"/>
      <c r="G309" s="21"/>
      <c r="H309" s="22">
        <f t="shared" si="4"/>
        <v>5</v>
      </c>
    </row>
    <row r="310" spans="1:8" ht="15.75" customHeight="1">
      <c r="A310" s="24" t="s">
        <v>313</v>
      </c>
      <c r="B310" s="24" t="s">
        <v>169</v>
      </c>
      <c r="C310" s="24" t="s">
        <v>259</v>
      </c>
      <c r="D310" s="25">
        <v>40</v>
      </c>
      <c r="E310" s="25">
        <v>4</v>
      </c>
      <c r="F310" s="25"/>
      <c r="G310" s="25">
        <v>20</v>
      </c>
      <c r="H310" s="22">
        <f t="shared" si="4"/>
        <v>64</v>
      </c>
    </row>
    <row r="311" spans="1:8" ht="15.75" customHeight="1">
      <c r="A311" s="20" t="s">
        <v>2388</v>
      </c>
      <c r="B311" s="20" t="s">
        <v>180</v>
      </c>
      <c r="C311" s="20" t="s">
        <v>2389</v>
      </c>
      <c r="D311" s="21"/>
      <c r="E311" s="21">
        <v>18</v>
      </c>
      <c r="F311" s="21"/>
      <c r="G311" s="21"/>
      <c r="H311" s="22">
        <f t="shared" si="4"/>
        <v>18</v>
      </c>
    </row>
    <row r="312" spans="1:8" ht="15.75" customHeight="1">
      <c r="A312" s="24" t="s">
        <v>2390</v>
      </c>
      <c r="B312" s="24" t="s">
        <v>304</v>
      </c>
      <c r="C312" s="24" t="s">
        <v>45</v>
      </c>
      <c r="D312" s="25"/>
      <c r="E312" s="25">
        <v>30</v>
      </c>
      <c r="F312" s="25"/>
      <c r="G312" s="25"/>
      <c r="H312" s="22">
        <f t="shared" si="4"/>
        <v>30</v>
      </c>
    </row>
    <row r="313" spans="1:8" ht="15.75" customHeight="1">
      <c r="A313" s="20" t="s">
        <v>314</v>
      </c>
      <c r="B313" s="20" t="s">
        <v>253</v>
      </c>
      <c r="C313" s="20" t="s">
        <v>315</v>
      </c>
      <c r="D313" s="21">
        <v>6</v>
      </c>
      <c r="E313" s="21"/>
      <c r="F313" s="21"/>
      <c r="G313" s="21"/>
      <c r="H313" s="22">
        <f t="shared" si="4"/>
        <v>6</v>
      </c>
    </row>
    <row r="314" spans="1:8" ht="15.75" customHeight="1">
      <c r="A314" s="24" t="s">
        <v>316</v>
      </c>
      <c r="B314" s="24" t="s">
        <v>203</v>
      </c>
      <c r="C314" s="24" t="s">
        <v>225</v>
      </c>
      <c r="D314" s="25">
        <v>50</v>
      </c>
      <c r="E314" s="25">
        <v>20</v>
      </c>
      <c r="F314" s="25"/>
      <c r="G314" s="25"/>
      <c r="H314" s="22">
        <f t="shared" si="4"/>
        <v>70</v>
      </c>
    </row>
    <row r="315" spans="1:8" ht="15.75" customHeight="1">
      <c r="A315" s="20" t="s">
        <v>317</v>
      </c>
      <c r="B315" s="20" t="s">
        <v>203</v>
      </c>
      <c r="C315" s="20" t="s">
        <v>315</v>
      </c>
      <c r="D315" s="21">
        <v>62</v>
      </c>
      <c r="E315" s="21"/>
      <c r="F315" s="21"/>
      <c r="G315" s="21"/>
      <c r="H315" s="22">
        <f t="shared" si="4"/>
        <v>62</v>
      </c>
    </row>
    <row r="316" spans="1:8" ht="15.75" customHeight="1">
      <c r="A316" s="24" t="s">
        <v>318</v>
      </c>
      <c r="B316" s="24" t="s">
        <v>203</v>
      </c>
      <c r="C316" s="24" t="s">
        <v>319</v>
      </c>
      <c r="D316" s="25">
        <v>20</v>
      </c>
      <c r="E316" s="25"/>
      <c r="F316" s="25"/>
      <c r="G316" s="25"/>
      <c r="H316" s="22">
        <f t="shared" si="4"/>
        <v>20</v>
      </c>
    </row>
    <row r="317" spans="1:8" ht="15.75" customHeight="1">
      <c r="A317" s="20" t="s">
        <v>320</v>
      </c>
      <c r="B317" s="20" t="s">
        <v>203</v>
      </c>
      <c r="C317" s="20" t="s">
        <v>321</v>
      </c>
      <c r="D317" s="21">
        <v>24</v>
      </c>
      <c r="E317" s="21"/>
      <c r="F317" s="21"/>
      <c r="G317" s="21"/>
      <c r="H317" s="22">
        <f t="shared" si="4"/>
        <v>24</v>
      </c>
    </row>
    <row r="318" spans="1:8" ht="15.75" customHeight="1">
      <c r="A318" s="24" t="s">
        <v>2391</v>
      </c>
      <c r="B318" s="24" t="s">
        <v>304</v>
      </c>
      <c r="C318" s="24" t="s">
        <v>47</v>
      </c>
      <c r="D318" s="25"/>
      <c r="E318" s="25">
        <v>2</v>
      </c>
      <c r="F318" s="25"/>
      <c r="G318" s="25"/>
      <c r="H318" s="22">
        <f t="shared" si="4"/>
        <v>2</v>
      </c>
    </row>
    <row r="319" spans="1:8" ht="15.75" customHeight="1">
      <c r="A319" s="20" t="s">
        <v>322</v>
      </c>
      <c r="B319" s="20" t="s">
        <v>169</v>
      </c>
      <c r="C319" s="20" t="s">
        <v>42</v>
      </c>
      <c r="D319" s="21">
        <v>4</v>
      </c>
      <c r="E319" s="21">
        <v>10</v>
      </c>
      <c r="F319" s="21"/>
      <c r="G319" s="21">
        <v>90</v>
      </c>
      <c r="H319" s="22">
        <f t="shared" si="4"/>
        <v>104</v>
      </c>
    </row>
    <row r="320" spans="1:8" ht="15.75" customHeight="1">
      <c r="A320" s="24" t="s">
        <v>2392</v>
      </c>
      <c r="B320" s="24" t="s">
        <v>2366</v>
      </c>
      <c r="C320" s="24" t="s">
        <v>24</v>
      </c>
      <c r="D320" s="25"/>
      <c r="E320" s="25">
        <v>324</v>
      </c>
      <c r="F320" s="25"/>
      <c r="G320" s="25"/>
      <c r="H320" s="22">
        <f t="shared" si="4"/>
        <v>324</v>
      </c>
    </row>
    <row r="321" spans="1:8" ht="15.75" customHeight="1">
      <c r="A321" s="20" t="s">
        <v>2393</v>
      </c>
      <c r="B321" s="20" t="s">
        <v>206</v>
      </c>
      <c r="C321" s="20" t="s">
        <v>225</v>
      </c>
      <c r="D321" s="21"/>
      <c r="E321" s="21">
        <v>10</v>
      </c>
      <c r="F321" s="21"/>
      <c r="G321" s="21"/>
      <c r="H321" s="22">
        <f t="shared" si="4"/>
        <v>10</v>
      </c>
    </row>
    <row r="322" spans="1:8" ht="15.75" customHeight="1">
      <c r="A322" s="24" t="s">
        <v>2394</v>
      </c>
      <c r="B322" s="24" t="s">
        <v>294</v>
      </c>
      <c r="C322" s="24" t="s">
        <v>2395</v>
      </c>
      <c r="D322" s="25"/>
      <c r="E322" s="25">
        <v>12</v>
      </c>
      <c r="F322" s="25"/>
      <c r="G322" s="25"/>
      <c r="H322" s="22">
        <f t="shared" si="4"/>
        <v>12</v>
      </c>
    </row>
    <row r="323" spans="1:8" ht="15.75" customHeight="1">
      <c r="A323" s="20" t="s">
        <v>323</v>
      </c>
      <c r="B323" s="20" t="s">
        <v>294</v>
      </c>
      <c r="C323" s="20" t="s">
        <v>324</v>
      </c>
      <c r="D323" s="21">
        <v>108</v>
      </c>
      <c r="E323" s="21"/>
      <c r="F323" s="21"/>
      <c r="G323" s="21"/>
      <c r="H323" s="22">
        <f t="shared" si="4"/>
        <v>108</v>
      </c>
    </row>
    <row r="324" spans="1:8" ht="15.75" customHeight="1">
      <c r="A324" s="24" t="s">
        <v>325</v>
      </c>
      <c r="B324" s="24" t="s">
        <v>283</v>
      </c>
      <c r="C324" s="24" t="s">
        <v>324</v>
      </c>
      <c r="D324" s="25">
        <v>992</v>
      </c>
      <c r="E324" s="25"/>
      <c r="F324" s="25"/>
      <c r="G324" s="25"/>
      <c r="H324" s="22">
        <f t="shared" ref="H324:H387" si="5">SUM(D324:G324)</f>
        <v>992</v>
      </c>
    </row>
    <row r="325" spans="1:8" ht="15.75" customHeight="1">
      <c r="A325" s="20" t="s">
        <v>2396</v>
      </c>
      <c r="B325" s="20" t="s">
        <v>203</v>
      </c>
      <c r="C325" s="20" t="s">
        <v>2397</v>
      </c>
      <c r="D325" s="21"/>
      <c r="E325" s="21">
        <v>70</v>
      </c>
      <c r="F325" s="21">
        <v>30</v>
      </c>
      <c r="G325" s="21"/>
      <c r="H325" s="22">
        <f t="shared" si="5"/>
        <v>100</v>
      </c>
    </row>
    <row r="326" spans="1:8" ht="15.75" customHeight="1">
      <c r="A326" s="24" t="s">
        <v>326</v>
      </c>
      <c r="B326" s="24" t="s">
        <v>203</v>
      </c>
      <c r="C326" s="24" t="s">
        <v>327</v>
      </c>
      <c r="D326" s="25">
        <v>70</v>
      </c>
      <c r="E326" s="25">
        <v>100</v>
      </c>
      <c r="F326" s="25">
        <v>67</v>
      </c>
      <c r="G326" s="25"/>
      <c r="H326" s="22">
        <f t="shared" si="5"/>
        <v>237</v>
      </c>
    </row>
    <row r="327" spans="1:8" ht="15.75" customHeight="1">
      <c r="A327" s="20" t="s">
        <v>328</v>
      </c>
      <c r="B327" s="20" t="s">
        <v>203</v>
      </c>
      <c r="C327" s="20" t="s">
        <v>329</v>
      </c>
      <c r="D327" s="21">
        <v>40</v>
      </c>
      <c r="E327" s="21">
        <v>60</v>
      </c>
      <c r="F327" s="21"/>
      <c r="G327" s="21"/>
      <c r="H327" s="22">
        <f t="shared" si="5"/>
        <v>100</v>
      </c>
    </row>
    <row r="328" spans="1:8" ht="15.75" customHeight="1">
      <c r="A328" s="24" t="s">
        <v>330</v>
      </c>
      <c r="B328" s="24" t="s">
        <v>203</v>
      </c>
      <c r="C328" s="24" t="s">
        <v>331</v>
      </c>
      <c r="D328" s="25">
        <v>30</v>
      </c>
      <c r="E328" s="25">
        <v>10</v>
      </c>
      <c r="F328" s="25"/>
      <c r="G328" s="25"/>
      <c r="H328" s="22">
        <f t="shared" si="5"/>
        <v>40</v>
      </c>
    </row>
    <row r="329" spans="1:8" ht="15.75" customHeight="1">
      <c r="A329" s="20" t="s">
        <v>332</v>
      </c>
      <c r="B329" s="20" t="s">
        <v>203</v>
      </c>
      <c r="C329" s="20" t="s">
        <v>333</v>
      </c>
      <c r="D329" s="21">
        <v>20</v>
      </c>
      <c r="E329" s="21"/>
      <c r="F329" s="21"/>
      <c r="G329" s="21"/>
      <c r="H329" s="22">
        <f t="shared" si="5"/>
        <v>20</v>
      </c>
    </row>
    <row r="330" spans="1:8" ht="15.75" customHeight="1">
      <c r="A330" s="24" t="s">
        <v>334</v>
      </c>
      <c r="B330" s="24" t="s">
        <v>203</v>
      </c>
      <c r="C330" s="24" t="s">
        <v>335</v>
      </c>
      <c r="D330" s="25">
        <v>30</v>
      </c>
      <c r="E330" s="25"/>
      <c r="F330" s="25">
        <v>10</v>
      </c>
      <c r="G330" s="25"/>
      <c r="H330" s="22">
        <f t="shared" si="5"/>
        <v>40</v>
      </c>
    </row>
    <row r="331" spans="1:8" ht="15.75" customHeight="1">
      <c r="A331" s="20" t="s">
        <v>336</v>
      </c>
      <c r="B331" s="20" t="s">
        <v>203</v>
      </c>
      <c r="C331" s="20" t="s">
        <v>337</v>
      </c>
      <c r="D331" s="21">
        <v>40</v>
      </c>
      <c r="E331" s="21"/>
      <c r="F331" s="21"/>
      <c r="G331" s="21"/>
      <c r="H331" s="22">
        <f t="shared" si="5"/>
        <v>40</v>
      </c>
    </row>
    <row r="332" spans="1:8" ht="15.75" customHeight="1">
      <c r="A332" s="24" t="s">
        <v>338</v>
      </c>
      <c r="B332" s="24" t="s">
        <v>169</v>
      </c>
      <c r="C332" s="24" t="s">
        <v>186</v>
      </c>
      <c r="D332" s="25">
        <v>7</v>
      </c>
      <c r="E332" s="25"/>
      <c r="F332" s="25"/>
      <c r="G332" s="25"/>
      <c r="H332" s="22">
        <f t="shared" si="5"/>
        <v>7</v>
      </c>
    </row>
    <row r="333" spans="1:8" ht="15.75" customHeight="1">
      <c r="A333" s="20" t="s">
        <v>339</v>
      </c>
      <c r="B333" s="20" t="s">
        <v>203</v>
      </c>
      <c r="C333" s="20" t="s">
        <v>340</v>
      </c>
      <c r="D333" s="21">
        <v>20</v>
      </c>
      <c r="E333" s="21"/>
      <c r="F333" s="21"/>
      <c r="G333" s="21"/>
      <c r="H333" s="22">
        <f t="shared" si="5"/>
        <v>20</v>
      </c>
    </row>
    <row r="334" spans="1:8" ht="15.75" customHeight="1">
      <c r="A334" s="24" t="s">
        <v>341</v>
      </c>
      <c r="B334" s="24" t="s">
        <v>180</v>
      </c>
      <c r="C334" s="24" t="s">
        <v>342</v>
      </c>
      <c r="D334" s="25">
        <v>2</v>
      </c>
      <c r="E334" s="25"/>
      <c r="F334" s="25"/>
      <c r="G334" s="25"/>
      <c r="H334" s="22">
        <f t="shared" si="5"/>
        <v>2</v>
      </c>
    </row>
    <row r="335" spans="1:8" ht="15.75" customHeight="1">
      <c r="A335" s="20" t="s">
        <v>343</v>
      </c>
      <c r="B335" s="20" t="s">
        <v>263</v>
      </c>
      <c r="C335" s="20" t="s">
        <v>342</v>
      </c>
      <c r="D335" s="21">
        <v>2</v>
      </c>
      <c r="E335" s="21"/>
      <c r="F335" s="21"/>
      <c r="G335" s="21"/>
      <c r="H335" s="22">
        <f t="shared" si="5"/>
        <v>2</v>
      </c>
    </row>
    <row r="336" spans="1:8" ht="15.75" customHeight="1">
      <c r="A336" s="24" t="s">
        <v>344</v>
      </c>
      <c r="B336" s="24" t="s">
        <v>263</v>
      </c>
      <c r="C336" s="24" t="s">
        <v>345</v>
      </c>
      <c r="D336" s="25">
        <v>4</v>
      </c>
      <c r="E336" s="25"/>
      <c r="F336" s="25"/>
      <c r="G336" s="25"/>
      <c r="H336" s="22">
        <f t="shared" si="5"/>
        <v>4</v>
      </c>
    </row>
    <row r="337" spans="1:8" ht="15.75" customHeight="1">
      <c r="A337" s="20" t="s">
        <v>3005</v>
      </c>
      <c r="B337" s="20" t="s">
        <v>203</v>
      </c>
      <c r="C337" s="20" t="s">
        <v>3006</v>
      </c>
      <c r="D337" s="21"/>
      <c r="E337" s="21"/>
      <c r="F337" s="21">
        <v>120</v>
      </c>
      <c r="G337" s="21">
        <v>140</v>
      </c>
      <c r="H337" s="22">
        <f t="shared" si="5"/>
        <v>260</v>
      </c>
    </row>
    <row r="338" spans="1:8" ht="15.75" customHeight="1">
      <c r="A338" s="24" t="s">
        <v>346</v>
      </c>
      <c r="B338" s="24" t="s">
        <v>203</v>
      </c>
      <c r="C338" s="24" t="s">
        <v>347</v>
      </c>
      <c r="D338" s="25">
        <v>4</v>
      </c>
      <c r="E338" s="25"/>
      <c r="F338" s="25"/>
      <c r="G338" s="25"/>
      <c r="H338" s="22">
        <f t="shared" si="5"/>
        <v>4</v>
      </c>
    </row>
    <row r="339" spans="1:8" ht="15.75" customHeight="1">
      <c r="A339" s="20" t="s">
        <v>3007</v>
      </c>
      <c r="B339" s="20" t="s">
        <v>203</v>
      </c>
      <c r="C339" s="20" t="s">
        <v>3008</v>
      </c>
      <c r="D339" s="21"/>
      <c r="E339" s="21"/>
      <c r="F339" s="21">
        <v>50</v>
      </c>
      <c r="G339" s="21"/>
      <c r="H339" s="22">
        <f t="shared" si="5"/>
        <v>50</v>
      </c>
    </row>
    <row r="340" spans="1:8" ht="15.75" customHeight="1">
      <c r="A340" s="24" t="s">
        <v>348</v>
      </c>
      <c r="B340" s="24" t="s">
        <v>203</v>
      </c>
      <c r="C340" s="24" t="s">
        <v>349</v>
      </c>
      <c r="D340" s="25">
        <v>190</v>
      </c>
      <c r="E340" s="25">
        <v>50</v>
      </c>
      <c r="F340" s="25">
        <v>970</v>
      </c>
      <c r="G340" s="25"/>
      <c r="H340" s="22">
        <f t="shared" si="5"/>
        <v>1210</v>
      </c>
    </row>
    <row r="341" spans="1:8" ht="15.75" customHeight="1">
      <c r="A341" s="20" t="s">
        <v>350</v>
      </c>
      <c r="B341" s="20" t="s">
        <v>351</v>
      </c>
      <c r="C341" s="20" t="s">
        <v>352</v>
      </c>
      <c r="D341" s="21">
        <v>1108</v>
      </c>
      <c r="E341" s="21">
        <v>179</v>
      </c>
      <c r="F341" s="21">
        <v>2</v>
      </c>
      <c r="G341" s="21"/>
      <c r="H341" s="22">
        <f t="shared" si="5"/>
        <v>1289</v>
      </c>
    </row>
    <row r="342" spans="1:8" ht="15.75" customHeight="1">
      <c r="A342" s="24" t="s">
        <v>353</v>
      </c>
      <c r="B342" s="24" t="s">
        <v>354</v>
      </c>
      <c r="C342" s="24" t="s">
        <v>355</v>
      </c>
      <c r="D342" s="25">
        <v>214</v>
      </c>
      <c r="E342" s="25">
        <v>78</v>
      </c>
      <c r="F342" s="25">
        <v>12</v>
      </c>
      <c r="G342" s="25"/>
      <c r="H342" s="22">
        <f t="shared" si="5"/>
        <v>304</v>
      </c>
    </row>
    <row r="343" spans="1:8" ht="15.75" customHeight="1">
      <c r="A343" s="20" t="s">
        <v>356</v>
      </c>
      <c r="B343" s="20" t="s">
        <v>357</v>
      </c>
      <c r="C343" s="20" t="s">
        <v>358</v>
      </c>
      <c r="D343" s="21">
        <v>37</v>
      </c>
      <c r="E343" s="21">
        <v>28</v>
      </c>
      <c r="F343" s="21">
        <v>30</v>
      </c>
      <c r="G343" s="21"/>
      <c r="H343" s="22">
        <f t="shared" si="5"/>
        <v>95</v>
      </c>
    </row>
    <row r="344" spans="1:8" ht="15.75" customHeight="1">
      <c r="A344" s="24" t="s">
        <v>2398</v>
      </c>
      <c r="B344" s="24" t="s">
        <v>203</v>
      </c>
      <c r="C344" s="24" t="s">
        <v>2399</v>
      </c>
      <c r="D344" s="25"/>
      <c r="E344" s="25">
        <v>10</v>
      </c>
      <c r="F344" s="25">
        <v>260</v>
      </c>
      <c r="G344" s="25"/>
      <c r="H344" s="22">
        <f t="shared" si="5"/>
        <v>270</v>
      </c>
    </row>
    <row r="345" spans="1:8" ht="15.75" customHeight="1">
      <c r="A345" s="20" t="s">
        <v>3009</v>
      </c>
      <c r="B345" s="20" t="s">
        <v>428</v>
      </c>
      <c r="C345" s="20" t="s">
        <v>32</v>
      </c>
      <c r="D345" s="21"/>
      <c r="E345" s="21"/>
      <c r="F345" s="21">
        <v>5</v>
      </c>
      <c r="G345" s="21"/>
      <c r="H345" s="22">
        <f t="shared" si="5"/>
        <v>5</v>
      </c>
    </row>
    <row r="346" spans="1:8" ht="15.75" customHeight="1">
      <c r="A346" s="24" t="s">
        <v>359</v>
      </c>
      <c r="B346" s="24" t="s">
        <v>203</v>
      </c>
      <c r="C346" s="24" t="s">
        <v>360</v>
      </c>
      <c r="D346" s="25">
        <v>1200</v>
      </c>
      <c r="E346" s="25"/>
      <c r="F346" s="25">
        <v>80</v>
      </c>
      <c r="G346" s="25"/>
      <c r="H346" s="22">
        <f t="shared" si="5"/>
        <v>1280</v>
      </c>
    </row>
    <row r="347" spans="1:8" ht="15.75" customHeight="1">
      <c r="A347" s="20" t="s">
        <v>361</v>
      </c>
      <c r="B347" s="20" t="s">
        <v>362</v>
      </c>
      <c r="C347" s="20" t="s">
        <v>26</v>
      </c>
      <c r="D347" s="21">
        <v>10</v>
      </c>
      <c r="E347" s="21"/>
      <c r="F347" s="21"/>
      <c r="G347" s="21"/>
      <c r="H347" s="22">
        <f t="shared" si="5"/>
        <v>10</v>
      </c>
    </row>
    <row r="348" spans="1:8" ht="15.75" customHeight="1">
      <c r="A348" s="24" t="s">
        <v>363</v>
      </c>
      <c r="B348" s="24" t="s">
        <v>169</v>
      </c>
      <c r="C348" s="24" t="s">
        <v>53</v>
      </c>
      <c r="D348" s="25">
        <v>26</v>
      </c>
      <c r="E348" s="25"/>
      <c r="F348" s="25">
        <v>3</v>
      </c>
      <c r="G348" s="25"/>
      <c r="H348" s="22">
        <f t="shared" si="5"/>
        <v>29</v>
      </c>
    </row>
    <row r="349" spans="1:8" ht="15.75" customHeight="1">
      <c r="A349" s="20" t="s">
        <v>364</v>
      </c>
      <c r="B349" s="20" t="s">
        <v>203</v>
      </c>
      <c r="C349" s="20" t="s">
        <v>365</v>
      </c>
      <c r="D349" s="21">
        <v>20</v>
      </c>
      <c r="E349" s="21"/>
      <c r="F349" s="21"/>
      <c r="G349" s="21"/>
      <c r="H349" s="22">
        <f t="shared" si="5"/>
        <v>20</v>
      </c>
    </row>
    <row r="350" spans="1:8" ht="15.75" customHeight="1">
      <c r="A350" s="24" t="s">
        <v>3010</v>
      </c>
      <c r="B350" s="24" t="s">
        <v>744</v>
      </c>
      <c r="C350" s="24" t="s">
        <v>3011</v>
      </c>
      <c r="D350" s="25"/>
      <c r="E350" s="25"/>
      <c r="F350" s="25">
        <v>2</v>
      </c>
      <c r="G350" s="25"/>
      <c r="H350" s="22">
        <f t="shared" si="5"/>
        <v>2</v>
      </c>
    </row>
    <row r="351" spans="1:8" ht="15.75" customHeight="1">
      <c r="A351" s="20" t="s">
        <v>366</v>
      </c>
      <c r="B351" s="20" t="s">
        <v>367</v>
      </c>
      <c r="C351" s="20" t="s">
        <v>368</v>
      </c>
      <c r="D351" s="21">
        <v>102</v>
      </c>
      <c r="E351" s="21">
        <v>6</v>
      </c>
      <c r="F351" s="21"/>
      <c r="G351" s="21"/>
      <c r="H351" s="22">
        <f t="shared" si="5"/>
        <v>108</v>
      </c>
    </row>
    <row r="352" spans="1:8" ht="15.75" customHeight="1">
      <c r="A352" s="24" t="s">
        <v>369</v>
      </c>
      <c r="B352" s="24" t="s">
        <v>370</v>
      </c>
      <c r="C352" s="24" t="s">
        <v>371</v>
      </c>
      <c r="D352" s="25">
        <v>43</v>
      </c>
      <c r="E352" s="25">
        <v>340</v>
      </c>
      <c r="F352" s="25"/>
      <c r="G352" s="25"/>
      <c r="H352" s="22">
        <f t="shared" si="5"/>
        <v>383</v>
      </c>
    </row>
    <row r="353" spans="1:8" ht="15.75" customHeight="1">
      <c r="A353" s="20" t="s">
        <v>2400</v>
      </c>
      <c r="B353" s="20" t="s">
        <v>2401</v>
      </c>
      <c r="C353" s="20" t="s">
        <v>2402</v>
      </c>
      <c r="D353" s="21"/>
      <c r="E353" s="21">
        <v>1</v>
      </c>
      <c r="F353" s="21"/>
      <c r="G353" s="21"/>
      <c r="H353" s="22">
        <f t="shared" si="5"/>
        <v>1</v>
      </c>
    </row>
    <row r="354" spans="1:8" ht="15.75" customHeight="1">
      <c r="A354" s="24" t="s">
        <v>2403</v>
      </c>
      <c r="B354" s="24" t="s">
        <v>2404</v>
      </c>
      <c r="C354" s="24" t="s">
        <v>2405</v>
      </c>
      <c r="D354" s="25"/>
      <c r="E354" s="25">
        <v>1</v>
      </c>
      <c r="F354" s="25"/>
      <c r="G354" s="25"/>
      <c r="H354" s="22">
        <f t="shared" si="5"/>
        <v>1</v>
      </c>
    </row>
    <row r="355" spans="1:8" ht="15.75" customHeight="1">
      <c r="A355" s="20" t="s">
        <v>2406</v>
      </c>
      <c r="B355" s="20" t="s">
        <v>2407</v>
      </c>
      <c r="C355" s="20" t="s">
        <v>2408</v>
      </c>
      <c r="D355" s="21"/>
      <c r="E355" s="21">
        <v>1</v>
      </c>
      <c r="F355" s="21"/>
      <c r="G355" s="21"/>
      <c r="H355" s="22">
        <f t="shared" si="5"/>
        <v>1</v>
      </c>
    </row>
    <row r="356" spans="1:8" ht="15.75" customHeight="1">
      <c r="A356" s="24" t="s">
        <v>372</v>
      </c>
      <c r="B356" s="24" t="s">
        <v>169</v>
      </c>
      <c r="C356" s="24" t="s">
        <v>182</v>
      </c>
      <c r="D356" s="25">
        <v>8</v>
      </c>
      <c r="E356" s="25">
        <v>10</v>
      </c>
      <c r="F356" s="25"/>
      <c r="G356" s="25"/>
      <c r="H356" s="22">
        <f t="shared" si="5"/>
        <v>18</v>
      </c>
    </row>
    <row r="357" spans="1:8" ht="15.75" customHeight="1">
      <c r="A357" s="20" t="s">
        <v>2409</v>
      </c>
      <c r="B357" s="20" t="s">
        <v>294</v>
      </c>
      <c r="C357" s="20" t="s">
        <v>222</v>
      </c>
      <c r="D357" s="21"/>
      <c r="E357" s="21">
        <v>20</v>
      </c>
      <c r="F357" s="21"/>
      <c r="G357" s="21"/>
      <c r="H357" s="22">
        <f t="shared" si="5"/>
        <v>20</v>
      </c>
    </row>
    <row r="358" spans="1:8" ht="15.75" customHeight="1">
      <c r="A358" s="24" t="s">
        <v>373</v>
      </c>
      <c r="B358" s="24" t="s">
        <v>294</v>
      </c>
      <c r="C358" s="24" t="s">
        <v>374</v>
      </c>
      <c r="D358" s="25">
        <v>30</v>
      </c>
      <c r="E358" s="25">
        <v>20</v>
      </c>
      <c r="F358" s="25"/>
      <c r="G358" s="25"/>
      <c r="H358" s="22">
        <f t="shared" si="5"/>
        <v>50</v>
      </c>
    </row>
    <row r="359" spans="1:8" ht="15.75" customHeight="1">
      <c r="A359" s="20" t="s">
        <v>375</v>
      </c>
      <c r="B359" s="20" t="s">
        <v>294</v>
      </c>
      <c r="C359" s="20" t="s">
        <v>376</v>
      </c>
      <c r="D359" s="21">
        <v>20</v>
      </c>
      <c r="E359" s="21"/>
      <c r="F359" s="21"/>
      <c r="G359" s="21"/>
      <c r="H359" s="22">
        <f t="shared" si="5"/>
        <v>20</v>
      </c>
    </row>
    <row r="360" spans="1:8" ht="15.75" customHeight="1">
      <c r="A360" s="24" t="s">
        <v>377</v>
      </c>
      <c r="B360" s="24" t="s">
        <v>203</v>
      </c>
      <c r="C360" s="24" t="s">
        <v>378</v>
      </c>
      <c r="D360" s="25">
        <v>160</v>
      </c>
      <c r="E360" s="25">
        <v>60</v>
      </c>
      <c r="F360" s="25">
        <v>30</v>
      </c>
      <c r="G360" s="25"/>
      <c r="H360" s="22">
        <f t="shared" si="5"/>
        <v>250</v>
      </c>
    </row>
    <row r="361" spans="1:8" ht="15.75" customHeight="1">
      <c r="A361" s="20" t="s">
        <v>379</v>
      </c>
      <c r="B361" s="20" t="s">
        <v>203</v>
      </c>
      <c r="C361" s="20" t="s">
        <v>380</v>
      </c>
      <c r="D361" s="21">
        <v>120</v>
      </c>
      <c r="E361" s="21">
        <v>10</v>
      </c>
      <c r="F361" s="21">
        <v>200</v>
      </c>
      <c r="G361" s="21"/>
      <c r="H361" s="22">
        <f t="shared" si="5"/>
        <v>330</v>
      </c>
    </row>
    <row r="362" spans="1:8" ht="15.75" customHeight="1">
      <c r="A362" s="24" t="s">
        <v>2410</v>
      </c>
      <c r="B362" s="24" t="s">
        <v>294</v>
      </c>
      <c r="C362" s="24" t="s">
        <v>2411</v>
      </c>
      <c r="D362" s="25"/>
      <c r="E362" s="25">
        <v>187</v>
      </c>
      <c r="F362" s="25"/>
      <c r="G362" s="25"/>
      <c r="H362" s="22">
        <f t="shared" si="5"/>
        <v>187</v>
      </c>
    </row>
    <row r="363" spans="1:8" ht="15.75" customHeight="1">
      <c r="A363" s="20" t="s">
        <v>2412</v>
      </c>
      <c r="B363" s="20" t="s">
        <v>294</v>
      </c>
      <c r="C363" s="20" t="s">
        <v>2413</v>
      </c>
      <c r="D363" s="21"/>
      <c r="E363" s="21">
        <v>5</v>
      </c>
      <c r="F363" s="21"/>
      <c r="G363" s="21"/>
      <c r="H363" s="22">
        <f t="shared" si="5"/>
        <v>5</v>
      </c>
    </row>
    <row r="364" spans="1:8" ht="15.75" customHeight="1">
      <c r="A364" s="24" t="s">
        <v>381</v>
      </c>
      <c r="B364" s="24" t="s">
        <v>203</v>
      </c>
      <c r="C364" s="24" t="s">
        <v>382</v>
      </c>
      <c r="D364" s="25">
        <v>10</v>
      </c>
      <c r="E364" s="25"/>
      <c r="F364" s="25"/>
      <c r="G364" s="25"/>
      <c r="H364" s="22">
        <f t="shared" si="5"/>
        <v>10</v>
      </c>
    </row>
    <row r="365" spans="1:8" ht="15.75" customHeight="1">
      <c r="A365" s="20" t="s">
        <v>383</v>
      </c>
      <c r="B365" s="20" t="s">
        <v>203</v>
      </c>
      <c r="C365" s="20" t="s">
        <v>384</v>
      </c>
      <c r="D365" s="21">
        <v>40</v>
      </c>
      <c r="E365" s="21"/>
      <c r="F365" s="21"/>
      <c r="G365" s="21"/>
      <c r="H365" s="22">
        <f t="shared" si="5"/>
        <v>40</v>
      </c>
    </row>
    <row r="366" spans="1:8" ht="15.75" customHeight="1">
      <c r="A366" s="24" t="s">
        <v>385</v>
      </c>
      <c r="B366" s="24" t="s">
        <v>203</v>
      </c>
      <c r="C366" s="24" t="s">
        <v>386</v>
      </c>
      <c r="D366" s="25">
        <v>30</v>
      </c>
      <c r="E366" s="25"/>
      <c r="F366" s="25"/>
      <c r="G366" s="25"/>
      <c r="H366" s="22">
        <f t="shared" si="5"/>
        <v>30</v>
      </c>
    </row>
    <row r="367" spans="1:8" ht="15.75" customHeight="1">
      <c r="A367" s="20" t="s">
        <v>387</v>
      </c>
      <c r="B367" s="20" t="s">
        <v>169</v>
      </c>
      <c r="C367" s="20" t="s">
        <v>240</v>
      </c>
      <c r="D367" s="21">
        <v>130</v>
      </c>
      <c r="E367" s="21">
        <v>70</v>
      </c>
      <c r="F367" s="21">
        <v>10</v>
      </c>
      <c r="G367" s="21">
        <v>10</v>
      </c>
      <c r="H367" s="22">
        <f t="shared" si="5"/>
        <v>220</v>
      </c>
    </row>
    <row r="368" spans="1:8" ht="15.75" customHeight="1">
      <c r="A368" s="24" t="s">
        <v>388</v>
      </c>
      <c r="B368" s="24" t="s">
        <v>389</v>
      </c>
      <c r="C368" s="24"/>
      <c r="D368" s="25">
        <v>30</v>
      </c>
      <c r="E368" s="25">
        <v>80</v>
      </c>
      <c r="F368" s="25"/>
      <c r="G368" s="25"/>
      <c r="H368" s="22">
        <f t="shared" si="5"/>
        <v>110</v>
      </c>
    </row>
    <row r="369" spans="1:8" ht="15.75" customHeight="1">
      <c r="A369" s="20" t="s">
        <v>2414</v>
      </c>
      <c r="B369" s="20" t="s">
        <v>169</v>
      </c>
      <c r="C369" s="20" t="s">
        <v>2415</v>
      </c>
      <c r="D369" s="21"/>
      <c r="E369" s="21">
        <v>1</v>
      </c>
      <c r="F369" s="21"/>
      <c r="G369" s="21"/>
      <c r="H369" s="22">
        <f t="shared" si="5"/>
        <v>1</v>
      </c>
    </row>
    <row r="370" spans="1:8" ht="15.75" customHeight="1">
      <c r="A370" s="24" t="s">
        <v>2416</v>
      </c>
      <c r="B370" s="24" t="s">
        <v>169</v>
      </c>
      <c r="C370" s="24" t="s">
        <v>2417</v>
      </c>
      <c r="D370" s="25"/>
      <c r="E370" s="25">
        <v>2</v>
      </c>
      <c r="F370" s="25"/>
      <c r="G370" s="25"/>
      <c r="H370" s="22">
        <f t="shared" si="5"/>
        <v>2</v>
      </c>
    </row>
    <row r="371" spans="1:8" ht="15.75" customHeight="1">
      <c r="A371" s="20" t="s">
        <v>2418</v>
      </c>
      <c r="B371" s="20" t="s">
        <v>1937</v>
      </c>
      <c r="C371" s="20" t="s">
        <v>42</v>
      </c>
      <c r="D371" s="21"/>
      <c r="E371" s="21">
        <v>11</v>
      </c>
      <c r="F371" s="21">
        <v>5</v>
      </c>
      <c r="G371" s="21"/>
      <c r="H371" s="22">
        <f t="shared" si="5"/>
        <v>16</v>
      </c>
    </row>
    <row r="372" spans="1:8" ht="15.75" customHeight="1">
      <c r="A372" s="24" t="s">
        <v>2419</v>
      </c>
      <c r="B372" s="24" t="s">
        <v>294</v>
      </c>
      <c r="C372" s="24" t="s">
        <v>2420</v>
      </c>
      <c r="D372" s="25"/>
      <c r="E372" s="25">
        <v>20</v>
      </c>
      <c r="F372" s="25"/>
      <c r="G372" s="25"/>
      <c r="H372" s="22">
        <f t="shared" si="5"/>
        <v>20</v>
      </c>
    </row>
    <row r="373" spans="1:8" ht="15.75" customHeight="1">
      <c r="A373" s="20" t="s">
        <v>2421</v>
      </c>
      <c r="B373" s="20" t="s">
        <v>669</v>
      </c>
      <c r="C373" s="27" t="s">
        <v>431</v>
      </c>
      <c r="D373" s="21"/>
      <c r="E373" s="21">
        <v>4</v>
      </c>
      <c r="F373" s="21"/>
      <c r="G373" s="21"/>
      <c r="H373" s="22">
        <f t="shared" si="5"/>
        <v>4</v>
      </c>
    </row>
    <row r="374" spans="1:8" ht="15.75" customHeight="1">
      <c r="A374" s="24" t="s">
        <v>2422</v>
      </c>
      <c r="B374" s="24" t="s">
        <v>1239</v>
      </c>
      <c r="C374" s="26" t="s">
        <v>431</v>
      </c>
      <c r="D374" s="25"/>
      <c r="E374" s="25">
        <v>1</v>
      </c>
      <c r="F374" s="25"/>
      <c r="G374" s="25"/>
      <c r="H374" s="22">
        <f t="shared" si="5"/>
        <v>1</v>
      </c>
    </row>
    <row r="375" spans="1:8" ht="15.75" customHeight="1">
      <c r="A375" s="20" t="s">
        <v>390</v>
      </c>
      <c r="B375" s="20" t="s">
        <v>253</v>
      </c>
      <c r="C375" s="20" t="s">
        <v>391</v>
      </c>
      <c r="D375" s="21">
        <v>4</v>
      </c>
      <c r="E375" s="21"/>
      <c r="F375" s="21"/>
      <c r="G375" s="21"/>
      <c r="H375" s="22">
        <f t="shared" si="5"/>
        <v>4</v>
      </c>
    </row>
    <row r="376" spans="1:8" ht="15.75" customHeight="1">
      <c r="A376" s="24" t="s">
        <v>392</v>
      </c>
      <c r="B376" s="24" t="s">
        <v>294</v>
      </c>
      <c r="C376" s="24" t="s">
        <v>393</v>
      </c>
      <c r="D376" s="25">
        <v>20</v>
      </c>
      <c r="E376" s="25">
        <v>20</v>
      </c>
      <c r="F376" s="25"/>
      <c r="G376" s="25"/>
      <c r="H376" s="22">
        <f t="shared" si="5"/>
        <v>40</v>
      </c>
    </row>
    <row r="377" spans="1:8" ht="15.75" customHeight="1">
      <c r="A377" s="20" t="s">
        <v>2423</v>
      </c>
      <c r="B377" s="20" t="s">
        <v>203</v>
      </c>
      <c r="C377" s="20" t="s">
        <v>407</v>
      </c>
      <c r="D377" s="21"/>
      <c r="E377" s="21">
        <v>10</v>
      </c>
      <c r="F377" s="21"/>
      <c r="G377" s="21"/>
      <c r="H377" s="22">
        <f t="shared" si="5"/>
        <v>10</v>
      </c>
    </row>
    <row r="378" spans="1:8" ht="15.75" customHeight="1">
      <c r="A378" s="24" t="s">
        <v>394</v>
      </c>
      <c r="B378" s="24" t="s">
        <v>203</v>
      </c>
      <c r="C378" s="24" t="s">
        <v>395</v>
      </c>
      <c r="D378" s="25">
        <v>40</v>
      </c>
      <c r="E378" s="25"/>
      <c r="F378" s="25"/>
      <c r="G378" s="25"/>
      <c r="H378" s="22">
        <f t="shared" si="5"/>
        <v>40</v>
      </c>
    </row>
    <row r="379" spans="1:8" ht="15.75" customHeight="1">
      <c r="A379" s="20" t="s">
        <v>396</v>
      </c>
      <c r="B379" s="20" t="s">
        <v>203</v>
      </c>
      <c r="C379" s="20" t="s">
        <v>397</v>
      </c>
      <c r="D379" s="21">
        <v>34</v>
      </c>
      <c r="E379" s="21"/>
      <c r="F379" s="21"/>
      <c r="G379" s="21"/>
      <c r="H379" s="22">
        <f t="shared" si="5"/>
        <v>34</v>
      </c>
    </row>
    <row r="380" spans="1:8" ht="15.75" customHeight="1">
      <c r="A380" s="24" t="s">
        <v>398</v>
      </c>
      <c r="B380" s="24" t="s">
        <v>169</v>
      </c>
      <c r="C380" s="24" t="s">
        <v>24</v>
      </c>
      <c r="D380" s="25">
        <v>23</v>
      </c>
      <c r="E380" s="25"/>
      <c r="F380" s="25">
        <v>28</v>
      </c>
      <c r="G380" s="25">
        <v>20</v>
      </c>
      <c r="H380" s="22">
        <f t="shared" si="5"/>
        <v>71</v>
      </c>
    </row>
    <row r="381" spans="1:8" ht="15.75" customHeight="1">
      <c r="A381" s="20" t="s">
        <v>399</v>
      </c>
      <c r="B381" s="20" t="s">
        <v>169</v>
      </c>
      <c r="C381" s="20" t="s">
        <v>342</v>
      </c>
      <c r="D381" s="21">
        <v>4</v>
      </c>
      <c r="E381" s="21"/>
      <c r="F381" s="21"/>
      <c r="G381" s="21"/>
      <c r="H381" s="22">
        <f t="shared" si="5"/>
        <v>4</v>
      </c>
    </row>
    <row r="382" spans="1:8" ht="15.75" customHeight="1">
      <c r="A382" s="24" t="s">
        <v>400</v>
      </c>
      <c r="B382" s="24" t="s">
        <v>211</v>
      </c>
      <c r="C382" s="24" t="s">
        <v>401</v>
      </c>
      <c r="D382" s="25">
        <v>1</v>
      </c>
      <c r="E382" s="25"/>
      <c r="F382" s="25"/>
      <c r="G382" s="25"/>
      <c r="H382" s="22">
        <f t="shared" si="5"/>
        <v>1</v>
      </c>
    </row>
    <row r="383" spans="1:8" ht="15.75" customHeight="1">
      <c r="A383" s="20" t="s">
        <v>402</v>
      </c>
      <c r="B383" s="20" t="s">
        <v>206</v>
      </c>
      <c r="C383" s="20" t="s">
        <v>403</v>
      </c>
      <c r="D383" s="21">
        <v>1</v>
      </c>
      <c r="E383" s="21"/>
      <c r="F383" s="21"/>
      <c r="G383" s="21"/>
      <c r="H383" s="22">
        <f t="shared" si="5"/>
        <v>1</v>
      </c>
    </row>
    <row r="384" spans="1:8" ht="15.75" customHeight="1">
      <c r="A384" s="24" t="s">
        <v>404</v>
      </c>
      <c r="B384" s="24" t="s">
        <v>263</v>
      </c>
      <c r="C384" s="24" t="s">
        <v>405</v>
      </c>
      <c r="D384" s="25">
        <v>80</v>
      </c>
      <c r="E384" s="25"/>
      <c r="F384" s="25"/>
      <c r="G384" s="25"/>
      <c r="H384" s="22">
        <f t="shared" si="5"/>
        <v>80</v>
      </c>
    </row>
    <row r="385" spans="1:8" ht="15.75" customHeight="1">
      <c r="A385" s="20" t="s">
        <v>406</v>
      </c>
      <c r="B385" s="20" t="s">
        <v>263</v>
      </c>
      <c r="C385" s="20" t="s">
        <v>407</v>
      </c>
      <c r="D385" s="21">
        <v>80</v>
      </c>
      <c r="E385" s="21"/>
      <c r="F385" s="21"/>
      <c r="G385" s="21"/>
      <c r="H385" s="22">
        <f t="shared" si="5"/>
        <v>80</v>
      </c>
    </row>
    <row r="386" spans="1:8" ht="15.75" customHeight="1">
      <c r="A386" s="24" t="s">
        <v>408</v>
      </c>
      <c r="B386" s="24" t="s">
        <v>263</v>
      </c>
      <c r="C386" s="24" t="s">
        <v>409</v>
      </c>
      <c r="D386" s="25">
        <v>40</v>
      </c>
      <c r="E386" s="25"/>
      <c r="F386" s="25"/>
      <c r="G386" s="25"/>
      <c r="H386" s="22">
        <f t="shared" si="5"/>
        <v>40</v>
      </c>
    </row>
    <row r="387" spans="1:8" ht="15.75" customHeight="1">
      <c r="A387" s="20" t="s">
        <v>410</v>
      </c>
      <c r="B387" s="20" t="s">
        <v>263</v>
      </c>
      <c r="C387" s="20" t="s">
        <v>411</v>
      </c>
      <c r="D387" s="21">
        <v>40</v>
      </c>
      <c r="E387" s="21"/>
      <c r="F387" s="21"/>
      <c r="G387" s="21"/>
      <c r="H387" s="22">
        <f t="shared" si="5"/>
        <v>40</v>
      </c>
    </row>
    <row r="388" spans="1:8" ht="15.75" customHeight="1">
      <c r="A388" s="24" t="s">
        <v>412</v>
      </c>
      <c r="B388" s="24" t="s">
        <v>244</v>
      </c>
      <c r="C388" s="24" t="s">
        <v>411</v>
      </c>
      <c r="D388" s="25">
        <v>60</v>
      </c>
      <c r="E388" s="25"/>
      <c r="F388" s="25"/>
      <c r="G388" s="25"/>
      <c r="H388" s="22">
        <f t="shared" ref="H388:H451" si="6">SUM(D388:G388)</f>
        <v>60</v>
      </c>
    </row>
    <row r="389" spans="1:8" ht="15.75" customHeight="1">
      <c r="A389" s="20" t="s">
        <v>413</v>
      </c>
      <c r="B389" s="20" t="s">
        <v>203</v>
      </c>
      <c r="C389" s="20" t="s">
        <v>414</v>
      </c>
      <c r="D389" s="21">
        <v>30</v>
      </c>
      <c r="E389" s="21"/>
      <c r="F389" s="21"/>
      <c r="G389" s="21"/>
      <c r="H389" s="22">
        <f t="shared" si="6"/>
        <v>30</v>
      </c>
    </row>
    <row r="390" spans="1:8" ht="15.75" customHeight="1">
      <c r="A390" s="24" t="s">
        <v>415</v>
      </c>
      <c r="B390" s="24" t="s">
        <v>203</v>
      </c>
      <c r="C390" s="24" t="s">
        <v>416</v>
      </c>
      <c r="D390" s="25">
        <v>30</v>
      </c>
      <c r="E390" s="25"/>
      <c r="F390" s="25"/>
      <c r="G390" s="25"/>
      <c r="H390" s="22">
        <f t="shared" si="6"/>
        <v>30</v>
      </c>
    </row>
    <row r="391" spans="1:8" ht="15.75" customHeight="1">
      <c r="A391" s="20" t="s">
        <v>417</v>
      </c>
      <c r="B391" s="20" t="s">
        <v>203</v>
      </c>
      <c r="C391" s="20" t="s">
        <v>418</v>
      </c>
      <c r="D391" s="21">
        <v>20</v>
      </c>
      <c r="E391" s="21"/>
      <c r="F391" s="21"/>
      <c r="G391" s="21"/>
      <c r="H391" s="22">
        <f t="shared" si="6"/>
        <v>20</v>
      </c>
    </row>
    <row r="392" spans="1:8" ht="15.75" customHeight="1">
      <c r="A392" s="24" t="s">
        <v>419</v>
      </c>
      <c r="B392" s="24" t="s">
        <v>203</v>
      </c>
      <c r="C392" s="24" t="s">
        <v>420</v>
      </c>
      <c r="D392" s="25">
        <v>20</v>
      </c>
      <c r="E392" s="25"/>
      <c r="F392" s="25"/>
      <c r="G392" s="25"/>
      <c r="H392" s="22">
        <f t="shared" si="6"/>
        <v>20</v>
      </c>
    </row>
    <row r="393" spans="1:8" ht="15.75" customHeight="1">
      <c r="A393" s="20" t="s">
        <v>421</v>
      </c>
      <c r="B393" s="20" t="s">
        <v>203</v>
      </c>
      <c r="C393" s="20" t="s">
        <v>422</v>
      </c>
      <c r="D393" s="21">
        <v>20</v>
      </c>
      <c r="E393" s="21"/>
      <c r="F393" s="21"/>
      <c r="G393" s="21"/>
      <c r="H393" s="22">
        <f t="shared" si="6"/>
        <v>20</v>
      </c>
    </row>
    <row r="394" spans="1:8" ht="15.75" customHeight="1">
      <c r="A394" s="24" t="s">
        <v>423</v>
      </c>
      <c r="B394" s="24" t="s">
        <v>203</v>
      </c>
      <c r="C394" s="24" t="s">
        <v>424</v>
      </c>
      <c r="D394" s="25">
        <v>20</v>
      </c>
      <c r="E394" s="25"/>
      <c r="F394" s="25"/>
      <c r="G394" s="25"/>
      <c r="H394" s="22">
        <f t="shared" si="6"/>
        <v>20</v>
      </c>
    </row>
    <row r="395" spans="1:8" ht="15.75" customHeight="1">
      <c r="A395" s="20" t="s">
        <v>425</v>
      </c>
      <c r="B395" s="20" t="s">
        <v>203</v>
      </c>
      <c r="C395" s="20" t="s">
        <v>426</v>
      </c>
      <c r="D395" s="21">
        <v>80</v>
      </c>
      <c r="E395" s="21"/>
      <c r="F395" s="21"/>
      <c r="G395" s="21"/>
      <c r="H395" s="22">
        <f t="shared" si="6"/>
        <v>80</v>
      </c>
    </row>
    <row r="396" spans="1:8" ht="15.75" customHeight="1">
      <c r="A396" s="24" t="s">
        <v>427</v>
      </c>
      <c r="B396" s="24" t="s">
        <v>428</v>
      </c>
      <c r="C396" s="24" t="s">
        <v>22</v>
      </c>
      <c r="D396" s="25">
        <v>10</v>
      </c>
      <c r="E396" s="25"/>
      <c r="F396" s="25"/>
      <c r="G396" s="25"/>
      <c r="H396" s="22">
        <f t="shared" si="6"/>
        <v>10</v>
      </c>
    </row>
    <row r="397" spans="1:8" ht="15.75" customHeight="1">
      <c r="A397" s="20" t="s">
        <v>2424</v>
      </c>
      <c r="B397" s="20" t="s">
        <v>430</v>
      </c>
      <c r="C397" s="27" t="s">
        <v>1154</v>
      </c>
      <c r="D397" s="21"/>
      <c r="E397" s="21">
        <v>2</v>
      </c>
      <c r="F397" s="21"/>
      <c r="G397" s="21"/>
      <c r="H397" s="22">
        <f t="shared" si="6"/>
        <v>2</v>
      </c>
    </row>
    <row r="398" spans="1:8" ht="15.75" customHeight="1">
      <c r="A398" s="24" t="s">
        <v>429</v>
      </c>
      <c r="B398" s="24" t="s">
        <v>430</v>
      </c>
      <c r="C398" s="26" t="s">
        <v>431</v>
      </c>
      <c r="D398" s="25">
        <v>2</v>
      </c>
      <c r="E398" s="25"/>
      <c r="F398" s="25"/>
      <c r="G398" s="25"/>
      <c r="H398" s="22">
        <f t="shared" si="6"/>
        <v>2</v>
      </c>
    </row>
    <row r="399" spans="1:8" ht="15.75" customHeight="1">
      <c r="A399" s="20" t="s">
        <v>432</v>
      </c>
      <c r="B399" s="20" t="s">
        <v>169</v>
      </c>
      <c r="C399" s="20" t="s">
        <v>433</v>
      </c>
      <c r="D399" s="21">
        <v>15</v>
      </c>
      <c r="E399" s="21"/>
      <c r="F399" s="21"/>
      <c r="G399" s="21"/>
      <c r="H399" s="22">
        <f t="shared" si="6"/>
        <v>15</v>
      </c>
    </row>
    <row r="400" spans="1:8" ht="15.75" customHeight="1">
      <c r="A400" s="24" t="s">
        <v>434</v>
      </c>
      <c r="B400" s="24" t="s">
        <v>206</v>
      </c>
      <c r="C400" s="24" t="s">
        <v>435</v>
      </c>
      <c r="D400" s="25">
        <v>1</v>
      </c>
      <c r="E400" s="25">
        <v>20</v>
      </c>
      <c r="F400" s="25"/>
      <c r="G400" s="25"/>
      <c r="H400" s="22">
        <f t="shared" si="6"/>
        <v>21</v>
      </c>
    </row>
    <row r="401" spans="1:8" ht="15.75" customHeight="1">
      <c r="A401" s="20" t="s">
        <v>436</v>
      </c>
      <c r="B401" s="20" t="s">
        <v>206</v>
      </c>
      <c r="C401" s="20" t="s">
        <v>437</v>
      </c>
      <c r="D401" s="21">
        <v>1</v>
      </c>
      <c r="E401" s="21"/>
      <c r="F401" s="21"/>
      <c r="G401" s="21"/>
      <c r="H401" s="22">
        <f t="shared" si="6"/>
        <v>1</v>
      </c>
    </row>
    <row r="402" spans="1:8" ht="15.75" customHeight="1">
      <c r="A402" s="24" t="s">
        <v>438</v>
      </c>
      <c r="B402" s="24" t="s">
        <v>203</v>
      </c>
      <c r="C402" s="24" t="s">
        <v>439</v>
      </c>
      <c r="D402" s="25">
        <v>60</v>
      </c>
      <c r="E402" s="25"/>
      <c r="F402" s="25"/>
      <c r="G402" s="25"/>
      <c r="H402" s="22">
        <f t="shared" si="6"/>
        <v>60</v>
      </c>
    </row>
    <row r="403" spans="1:8" ht="15.75" customHeight="1">
      <c r="A403" s="20" t="s">
        <v>440</v>
      </c>
      <c r="B403" s="20" t="s">
        <v>203</v>
      </c>
      <c r="C403" s="20" t="s">
        <v>441</v>
      </c>
      <c r="D403" s="21">
        <v>120</v>
      </c>
      <c r="E403" s="21"/>
      <c r="F403" s="21"/>
      <c r="G403" s="21"/>
      <c r="H403" s="22">
        <f t="shared" si="6"/>
        <v>120</v>
      </c>
    </row>
    <row r="404" spans="1:8" ht="15.75" customHeight="1">
      <c r="A404" s="24" t="s">
        <v>442</v>
      </c>
      <c r="B404" s="24" t="s">
        <v>203</v>
      </c>
      <c r="C404" s="24" t="s">
        <v>443</v>
      </c>
      <c r="D404" s="25">
        <v>60</v>
      </c>
      <c r="E404" s="25"/>
      <c r="F404" s="25"/>
      <c r="G404" s="25"/>
      <c r="H404" s="22">
        <f t="shared" si="6"/>
        <v>60</v>
      </c>
    </row>
    <row r="405" spans="1:8" ht="15.75" customHeight="1">
      <c r="A405" s="20" t="s">
        <v>444</v>
      </c>
      <c r="B405" s="20" t="s">
        <v>445</v>
      </c>
      <c r="C405" s="20" t="s">
        <v>446</v>
      </c>
      <c r="D405" s="21">
        <v>10</v>
      </c>
      <c r="E405" s="21"/>
      <c r="F405" s="21"/>
      <c r="G405" s="21"/>
      <c r="H405" s="22">
        <f t="shared" si="6"/>
        <v>10</v>
      </c>
    </row>
    <row r="406" spans="1:8" ht="15.75" customHeight="1">
      <c r="A406" s="24" t="s">
        <v>447</v>
      </c>
      <c r="B406" s="24" t="s">
        <v>448</v>
      </c>
      <c r="C406" s="24" t="s">
        <v>45</v>
      </c>
      <c r="D406" s="25">
        <v>20</v>
      </c>
      <c r="E406" s="25"/>
      <c r="F406" s="25"/>
      <c r="G406" s="25"/>
      <c r="H406" s="22">
        <f t="shared" si="6"/>
        <v>20</v>
      </c>
    </row>
    <row r="407" spans="1:8" ht="15.75" customHeight="1">
      <c r="A407" s="20" t="s">
        <v>449</v>
      </c>
      <c r="B407" s="20" t="s">
        <v>203</v>
      </c>
      <c r="C407" s="20" t="s">
        <v>450</v>
      </c>
      <c r="D407" s="21">
        <v>6</v>
      </c>
      <c r="E407" s="21"/>
      <c r="F407" s="21"/>
      <c r="G407" s="21"/>
      <c r="H407" s="22">
        <f t="shared" si="6"/>
        <v>6</v>
      </c>
    </row>
    <row r="408" spans="1:8" ht="15.75" customHeight="1">
      <c r="A408" s="24" t="s">
        <v>451</v>
      </c>
      <c r="B408" s="24" t="s">
        <v>203</v>
      </c>
      <c r="C408" s="24" t="s">
        <v>452</v>
      </c>
      <c r="D408" s="25">
        <v>12</v>
      </c>
      <c r="E408" s="25"/>
      <c r="F408" s="25"/>
      <c r="G408" s="25"/>
      <c r="H408" s="22">
        <f t="shared" si="6"/>
        <v>12</v>
      </c>
    </row>
    <row r="409" spans="1:8" ht="15.75" customHeight="1">
      <c r="A409" s="20" t="s">
        <v>453</v>
      </c>
      <c r="B409" s="20" t="s">
        <v>203</v>
      </c>
      <c r="C409" s="20" t="s">
        <v>454</v>
      </c>
      <c r="D409" s="21">
        <v>4</v>
      </c>
      <c r="E409" s="21"/>
      <c r="F409" s="21"/>
      <c r="G409" s="21"/>
      <c r="H409" s="22">
        <f t="shared" si="6"/>
        <v>4</v>
      </c>
    </row>
    <row r="410" spans="1:8" ht="15.75" customHeight="1">
      <c r="A410" s="24" t="s">
        <v>455</v>
      </c>
      <c r="B410" s="24" t="s">
        <v>203</v>
      </c>
      <c r="C410" s="24" t="s">
        <v>456</v>
      </c>
      <c r="D410" s="25">
        <v>2</v>
      </c>
      <c r="E410" s="25"/>
      <c r="F410" s="25"/>
      <c r="G410" s="25"/>
      <c r="H410" s="22">
        <f t="shared" si="6"/>
        <v>2</v>
      </c>
    </row>
    <row r="411" spans="1:8" ht="15.75" customHeight="1">
      <c r="A411" s="20" t="s">
        <v>457</v>
      </c>
      <c r="B411" s="20" t="s">
        <v>203</v>
      </c>
      <c r="C411" s="20" t="s">
        <v>458</v>
      </c>
      <c r="D411" s="21">
        <v>8</v>
      </c>
      <c r="E411" s="21"/>
      <c r="F411" s="21"/>
      <c r="G411" s="21"/>
      <c r="H411" s="22">
        <f t="shared" si="6"/>
        <v>8</v>
      </c>
    </row>
    <row r="412" spans="1:8" ht="15.75" customHeight="1">
      <c r="A412" s="24" t="s">
        <v>459</v>
      </c>
      <c r="B412" s="24" t="s">
        <v>203</v>
      </c>
      <c r="C412" s="26" t="s">
        <v>460</v>
      </c>
      <c r="D412" s="25">
        <v>108</v>
      </c>
      <c r="E412" s="25"/>
      <c r="F412" s="25"/>
      <c r="G412" s="25"/>
      <c r="H412" s="22">
        <f t="shared" si="6"/>
        <v>108</v>
      </c>
    </row>
    <row r="413" spans="1:8" ht="15.75" customHeight="1">
      <c r="A413" s="20" t="s">
        <v>461</v>
      </c>
      <c r="B413" s="20" t="s">
        <v>206</v>
      </c>
      <c r="C413" s="20" t="s">
        <v>462</v>
      </c>
      <c r="D413" s="21">
        <v>30</v>
      </c>
      <c r="E413" s="21"/>
      <c r="F413" s="21"/>
      <c r="G413" s="21"/>
      <c r="H413" s="22">
        <f t="shared" si="6"/>
        <v>30</v>
      </c>
    </row>
    <row r="414" spans="1:8" ht="15.75" customHeight="1">
      <c r="A414" s="24" t="s">
        <v>463</v>
      </c>
      <c r="B414" s="24" t="s">
        <v>206</v>
      </c>
      <c r="C414" s="24" t="s">
        <v>464</v>
      </c>
      <c r="D414" s="25">
        <v>4</v>
      </c>
      <c r="E414" s="25"/>
      <c r="F414" s="25"/>
      <c r="G414" s="25"/>
      <c r="H414" s="22">
        <f t="shared" si="6"/>
        <v>4</v>
      </c>
    </row>
    <row r="415" spans="1:8" ht="15.75" customHeight="1">
      <c r="A415" s="20" t="s">
        <v>465</v>
      </c>
      <c r="B415" s="20" t="s">
        <v>206</v>
      </c>
      <c r="C415" s="20" t="s">
        <v>397</v>
      </c>
      <c r="D415" s="21">
        <v>4</v>
      </c>
      <c r="E415" s="21"/>
      <c r="F415" s="21"/>
      <c r="G415" s="21"/>
      <c r="H415" s="22">
        <f t="shared" si="6"/>
        <v>4</v>
      </c>
    </row>
    <row r="416" spans="1:8" ht="15.75" customHeight="1">
      <c r="A416" s="24" t="s">
        <v>466</v>
      </c>
      <c r="B416" s="24" t="s">
        <v>211</v>
      </c>
      <c r="C416" s="24" t="s">
        <v>462</v>
      </c>
      <c r="D416" s="25">
        <v>30</v>
      </c>
      <c r="E416" s="25"/>
      <c r="F416" s="25"/>
      <c r="G416" s="25"/>
      <c r="H416" s="22">
        <f t="shared" si="6"/>
        <v>30</v>
      </c>
    </row>
    <row r="417" spans="1:8" ht="15.75" customHeight="1">
      <c r="A417" s="20" t="s">
        <v>467</v>
      </c>
      <c r="B417" s="20" t="s">
        <v>211</v>
      </c>
      <c r="C417" s="20" t="s">
        <v>464</v>
      </c>
      <c r="D417" s="21">
        <v>4</v>
      </c>
      <c r="E417" s="21"/>
      <c r="F417" s="21"/>
      <c r="G417" s="21"/>
      <c r="H417" s="22">
        <f t="shared" si="6"/>
        <v>4</v>
      </c>
    </row>
    <row r="418" spans="1:8" ht="15.75" customHeight="1">
      <c r="A418" s="24" t="s">
        <v>468</v>
      </c>
      <c r="B418" s="24" t="s">
        <v>211</v>
      </c>
      <c r="C418" s="24" t="s">
        <v>397</v>
      </c>
      <c r="D418" s="25">
        <v>4</v>
      </c>
      <c r="E418" s="25"/>
      <c r="F418" s="25"/>
      <c r="G418" s="25"/>
      <c r="H418" s="22">
        <f t="shared" si="6"/>
        <v>4</v>
      </c>
    </row>
    <row r="419" spans="1:8" ht="15.75" customHeight="1">
      <c r="A419" s="20" t="s">
        <v>2425</v>
      </c>
      <c r="B419" s="20" t="s">
        <v>428</v>
      </c>
      <c r="C419" s="20" t="s">
        <v>20</v>
      </c>
      <c r="D419" s="21"/>
      <c r="E419" s="21">
        <v>1</v>
      </c>
      <c r="F419" s="21"/>
      <c r="G419" s="21"/>
      <c r="H419" s="22">
        <f t="shared" si="6"/>
        <v>1</v>
      </c>
    </row>
    <row r="420" spans="1:8" ht="15.75" customHeight="1">
      <c r="A420" s="24" t="s">
        <v>2426</v>
      </c>
      <c r="B420" s="24" t="s">
        <v>180</v>
      </c>
      <c r="C420" s="24" t="s">
        <v>312</v>
      </c>
      <c r="D420" s="25"/>
      <c r="E420" s="25">
        <v>4</v>
      </c>
      <c r="F420" s="25"/>
      <c r="G420" s="25"/>
      <c r="H420" s="22">
        <f t="shared" si="6"/>
        <v>4</v>
      </c>
    </row>
    <row r="421" spans="1:8" ht="15.75" customHeight="1">
      <c r="A421" s="20" t="s">
        <v>2427</v>
      </c>
      <c r="B421" s="20" t="s">
        <v>206</v>
      </c>
      <c r="C421" s="20" t="s">
        <v>321</v>
      </c>
      <c r="D421" s="21"/>
      <c r="E421" s="21">
        <v>10</v>
      </c>
      <c r="F421" s="21"/>
      <c r="G421" s="21"/>
      <c r="H421" s="22">
        <f t="shared" si="6"/>
        <v>10</v>
      </c>
    </row>
    <row r="422" spans="1:8" ht="15.75" customHeight="1">
      <c r="A422" s="24" t="s">
        <v>2428</v>
      </c>
      <c r="B422" s="24" t="s">
        <v>283</v>
      </c>
      <c r="C422" s="24" t="s">
        <v>376</v>
      </c>
      <c r="D422" s="25"/>
      <c r="E422" s="25">
        <v>10</v>
      </c>
      <c r="F422" s="25"/>
      <c r="G422" s="25"/>
      <c r="H422" s="22">
        <f t="shared" si="6"/>
        <v>10</v>
      </c>
    </row>
    <row r="423" spans="1:8" ht="15.75" customHeight="1">
      <c r="A423" s="20" t="s">
        <v>2429</v>
      </c>
      <c r="B423" s="20" t="s">
        <v>283</v>
      </c>
      <c r="C423" s="20" t="s">
        <v>374</v>
      </c>
      <c r="D423" s="21"/>
      <c r="E423" s="21">
        <v>10</v>
      </c>
      <c r="F423" s="21"/>
      <c r="G423" s="21"/>
      <c r="H423" s="22">
        <f t="shared" si="6"/>
        <v>10</v>
      </c>
    </row>
    <row r="424" spans="1:8" ht="15.75" customHeight="1">
      <c r="A424" s="24" t="s">
        <v>2430</v>
      </c>
      <c r="B424" s="24" t="s">
        <v>2431</v>
      </c>
      <c r="C424" s="24"/>
      <c r="D424" s="25"/>
      <c r="E424" s="25">
        <v>1</v>
      </c>
      <c r="F424" s="25"/>
      <c r="G424" s="25"/>
      <c r="H424" s="22">
        <f t="shared" si="6"/>
        <v>1</v>
      </c>
    </row>
    <row r="425" spans="1:8" ht="15.75" customHeight="1">
      <c r="A425" s="20" t="s">
        <v>2432</v>
      </c>
      <c r="B425" s="20" t="s">
        <v>2433</v>
      </c>
      <c r="C425" s="20"/>
      <c r="D425" s="21"/>
      <c r="E425" s="21">
        <v>1</v>
      </c>
      <c r="F425" s="21"/>
      <c r="G425" s="21"/>
      <c r="H425" s="22">
        <f t="shared" si="6"/>
        <v>1</v>
      </c>
    </row>
    <row r="426" spans="1:8" ht="15.75" customHeight="1">
      <c r="A426" s="24" t="s">
        <v>2434</v>
      </c>
      <c r="B426" s="24" t="s">
        <v>2435</v>
      </c>
      <c r="C426" s="24"/>
      <c r="D426" s="25"/>
      <c r="E426" s="25">
        <v>1</v>
      </c>
      <c r="F426" s="25"/>
      <c r="G426" s="25"/>
      <c r="H426" s="22">
        <f t="shared" si="6"/>
        <v>1</v>
      </c>
    </row>
    <row r="427" spans="1:8" ht="15.75" customHeight="1">
      <c r="A427" s="20" t="s">
        <v>2436</v>
      </c>
      <c r="B427" s="20" t="s">
        <v>198</v>
      </c>
      <c r="C427" s="20" t="s">
        <v>324</v>
      </c>
      <c r="D427" s="21"/>
      <c r="E427" s="21">
        <v>200</v>
      </c>
      <c r="F427" s="21"/>
      <c r="G427" s="21"/>
      <c r="H427" s="22">
        <f t="shared" si="6"/>
        <v>200</v>
      </c>
    </row>
    <row r="428" spans="1:8" ht="15.75" customHeight="1">
      <c r="A428" s="24" t="s">
        <v>2437</v>
      </c>
      <c r="B428" s="24" t="s">
        <v>278</v>
      </c>
      <c r="C428" s="24" t="s">
        <v>87</v>
      </c>
      <c r="D428" s="25"/>
      <c r="E428" s="25">
        <v>2</v>
      </c>
      <c r="F428" s="25"/>
      <c r="G428" s="25"/>
      <c r="H428" s="22">
        <f t="shared" si="6"/>
        <v>2</v>
      </c>
    </row>
    <row r="429" spans="1:8" ht="15.75" customHeight="1">
      <c r="A429" s="20" t="s">
        <v>2438</v>
      </c>
      <c r="B429" s="20" t="s">
        <v>169</v>
      </c>
      <c r="C429" s="20" t="s">
        <v>2439</v>
      </c>
      <c r="D429" s="21"/>
      <c r="E429" s="21">
        <v>1</v>
      </c>
      <c r="F429" s="21"/>
      <c r="G429" s="21"/>
      <c r="H429" s="22">
        <f t="shared" si="6"/>
        <v>1</v>
      </c>
    </row>
    <row r="430" spans="1:8" ht="15.75" customHeight="1">
      <c r="A430" s="24" t="s">
        <v>2440</v>
      </c>
      <c r="B430" s="24" t="s">
        <v>169</v>
      </c>
      <c r="C430" s="24" t="s">
        <v>2441</v>
      </c>
      <c r="D430" s="25"/>
      <c r="E430" s="25">
        <v>1</v>
      </c>
      <c r="F430" s="25"/>
      <c r="G430" s="25"/>
      <c r="H430" s="22">
        <f t="shared" si="6"/>
        <v>1</v>
      </c>
    </row>
    <row r="431" spans="1:8" ht="15.75" customHeight="1">
      <c r="A431" s="20" t="s">
        <v>2442</v>
      </c>
      <c r="B431" s="20" t="s">
        <v>169</v>
      </c>
      <c r="C431" s="20" t="s">
        <v>2443</v>
      </c>
      <c r="D431" s="21"/>
      <c r="E431" s="21">
        <v>1</v>
      </c>
      <c r="F431" s="21"/>
      <c r="G431" s="21"/>
      <c r="H431" s="22">
        <f t="shared" si="6"/>
        <v>1</v>
      </c>
    </row>
    <row r="432" spans="1:8" ht="15.75" customHeight="1">
      <c r="A432" s="24" t="s">
        <v>3012</v>
      </c>
      <c r="B432" s="24" t="s">
        <v>428</v>
      </c>
      <c r="C432" s="24" t="s">
        <v>121</v>
      </c>
      <c r="D432" s="25"/>
      <c r="E432" s="25"/>
      <c r="F432" s="25">
        <v>5</v>
      </c>
      <c r="G432" s="25"/>
      <c r="H432" s="22">
        <f t="shared" si="6"/>
        <v>5</v>
      </c>
    </row>
    <row r="433" spans="1:8" ht="15.75" customHeight="1">
      <c r="A433" s="20" t="s">
        <v>469</v>
      </c>
      <c r="B433" s="20" t="s">
        <v>169</v>
      </c>
      <c r="C433" s="20" t="s">
        <v>310</v>
      </c>
      <c r="D433" s="21">
        <v>15</v>
      </c>
      <c r="E433" s="21"/>
      <c r="F433" s="21"/>
      <c r="G433" s="21"/>
      <c r="H433" s="22">
        <f t="shared" si="6"/>
        <v>15</v>
      </c>
    </row>
    <row r="434" spans="1:8" ht="15.75" customHeight="1">
      <c r="A434" s="24" t="s">
        <v>470</v>
      </c>
      <c r="B434" s="24" t="s">
        <v>169</v>
      </c>
      <c r="C434" s="24" t="s">
        <v>184</v>
      </c>
      <c r="D434" s="25">
        <v>6</v>
      </c>
      <c r="E434" s="25">
        <v>16</v>
      </c>
      <c r="F434" s="25"/>
      <c r="G434" s="25"/>
      <c r="H434" s="22">
        <f t="shared" si="6"/>
        <v>22</v>
      </c>
    </row>
    <row r="435" spans="1:8" ht="15.75" customHeight="1">
      <c r="A435" s="20" t="s">
        <v>471</v>
      </c>
      <c r="B435" s="20" t="s">
        <v>203</v>
      </c>
      <c r="C435" s="20" t="s">
        <v>472</v>
      </c>
      <c r="D435" s="21">
        <v>111</v>
      </c>
      <c r="E435" s="21">
        <v>90</v>
      </c>
      <c r="F435" s="21">
        <v>160</v>
      </c>
      <c r="G435" s="21"/>
      <c r="H435" s="22">
        <f t="shared" si="6"/>
        <v>361</v>
      </c>
    </row>
    <row r="436" spans="1:8" ht="15.75" customHeight="1">
      <c r="A436" s="24" t="s">
        <v>473</v>
      </c>
      <c r="B436" s="24" t="s">
        <v>445</v>
      </c>
      <c r="C436" s="24" t="s">
        <v>474</v>
      </c>
      <c r="D436" s="25">
        <v>10</v>
      </c>
      <c r="E436" s="25"/>
      <c r="F436" s="25"/>
      <c r="G436" s="25"/>
      <c r="H436" s="22">
        <f t="shared" si="6"/>
        <v>10</v>
      </c>
    </row>
    <row r="437" spans="1:8" ht="15.75" customHeight="1">
      <c r="A437" s="20" t="s">
        <v>475</v>
      </c>
      <c r="B437" s="20" t="s">
        <v>445</v>
      </c>
      <c r="C437" s="20" t="s">
        <v>476</v>
      </c>
      <c r="D437" s="21">
        <v>10</v>
      </c>
      <c r="E437" s="21"/>
      <c r="F437" s="21"/>
      <c r="G437" s="21"/>
      <c r="H437" s="22">
        <f t="shared" si="6"/>
        <v>10</v>
      </c>
    </row>
    <row r="438" spans="1:8" ht="15.75" customHeight="1">
      <c r="A438" s="24" t="s">
        <v>477</v>
      </c>
      <c r="B438" s="24" t="s">
        <v>445</v>
      </c>
      <c r="C438" s="24" t="s">
        <v>478</v>
      </c>
      <c r="D438" s="25">
        <v>10</v>
      </c>
      <c r="E438" s="25"/>
      <c r="F438" s="25"/>
      <c r="G438" s="25"/>
      <c r="H438" s="22">
        <f t="shared" si="6"/>
        <v>10</v>
      </c>
    </row>
    <row r="439" spans="1:8" ht="15.75" customHeight="1">
      <c r="A439" s="20" t="s">
        <v>479</v>
      </c>
      <c r="B439" s="20" t="s">
        <v>480</v>
      </c>
      <c r="C439" s="20" t="s">
        <v>481</v>
      </c>
      <c r="D439" s="21">
        <v>4</v>
      </c>
      <c r="E439" s="21">
        <v>6</v>
      </c>
      <c r="F439" s="21"/>
      <c r="G439" s="21"/>
      <c r="H439" s="22">
        <f t="shared" si="6"/>
        <v>10</v>
      </c>
    </row>
    <row r="440" spans="1:8" ht="15.75" customHeight="1">
      <c r="A440" s="24" t="s">
        <v>3013</v>
      </c>
      <c r="B440" s="24" t="s">
        <v>3014</v>
      </c>
      <c r="C440" s="24"/>
      <c r="D440" s="25"/>
      <c r="E440" s="25"/>
      <c r="F440" s="25">
        <v>28</v>
      </c>
      <c r="G440" s="25"/>
      <c r="H440" s="22">
        <f t="shared" si="6"/>
        <v>28</v>
      </c>
    </row>
    <row r="441" spans="1:8" ht="15.75" customHeight="1">
      <c r="A441" s="20" t="s">
        <v>3015</v>
      </c>
      <c r="B441" s="20" t="s">
        <v>3016</v>
      </c>
      <c r="C441" s="20" t="s">
        <v>3017</v>
      </c>
      <c r="D441" s="21"/>
      <c r="E441" s="21"/>
      <c r="F441" s="21">
        <v>3</v>
      </c>
      <c r="G441" s="21"/>
      <c r="H441" s="22">
        <f t="shared" si="6"/>
        <v>3</v>
      </c>
    </row>
    <row r="442" spans="1:8" ht="15.75" customHeight="1">
      <c r="A442" s="24" t="s">
        <v>3018</v>
      </c>
      <c r="B442" s="24" t="s">
        <v>3019</v>
      </c>
      <c r="C442" s="24"/>
      <c r="D442" s="25"/>
      <c r="E442" s="25"/>
      <c r="F442" s="25">
        <v>6</v>
      </c>
      <c r="G442" s="25"/>
      <c r="H442" s="22">
        <f t="shared" si="6"/>
        <v>6</v>
      </c>
    </row>
    <row r="443" spans="1:8" ht="15.75" customHeight="1">
      <c r="A443" s="20" t="s">
        <v>3020</v>
      </c>
      <c r="B443" s="20" t="s">
        <v>3021</v>
      </c>
      <c r="C443" s="20" t="s">
        <v>3022</v>
      </c>
      <c r="D443" s="21"/>
      <c r="E443" s="21"/>
      <c r="F443" s="21">
        <v>15</v>
      </c>
      <c r="G443" s="21"/>
      <c r="H443" s="22">
        <f t="shared" si="6"/>
        <v>15</v>
      </c>
    </row>
    <row r="444" spans="1:8" ht="15.75" customHeight="1">
      <c r="A444" s="24" t="s">
        <v>482</v>
      </c>
      <c r="B444" s="24" t="s">
        <v>483</v>
      </c>
      <c r="C444" s="24"/>
      <c r="D444" s="25">
        <v>121</v>
      </c>
      <c r="E444" s="25">
        <v>148</v>
      </c>
      <c r="F444" s="25">
        <v>212</v>
      </c>
      <c r="G444" s="25">
        <v>32</v>
      </c>
      <c r="H444" s="22">
        <f t="shared" si="6"/>
        <v>513</v>
      </c>
    </row>
    <row r="445" spans="1:8" ht="15.75" customHeight="1">
      <c r="A445" s="20" t="s">
        <v>484</v>
      </c>
      <c r="B445" s="20" t="s">
        <v>485</v>
      </c>
      <c r="C445" s="20"/>
      <c r="D445" s="21">
        <v>190</v>
      </c>
      <c r="E445" s="21">
        <v>198</v>
      </c>
      <c r="F445" s="21">
        <v>120</v>
      </c>
      <c r="G445" s="21">
        <v>134</v>
      </c>
      <c r="H445" s="22">
        <f t="shared" si="6"/>
        <v>642</v>
      </c>
    </row>
    <row r="446" spans="1:8" ht="15.75" customHeight="1">
      <c r="A446" s="24" t="s">
        <v>486</v>
      </c>
      <c r="B446" s="24" t="s">
        <v>487</v>
      </c>
      <c r="C446" s="24" t="s">
        <v>22</v>
      </c>
      <c r="D446" s="25">
        <v>58</v>
      </c>
      <c r="E446" s="25">
        <v>160</v>
      </c>
      <c r="F446" s="25">
        <v>89</v>
      </c>
      <c r="G446" s="25">
        <v>30</v>
      </c>
      <c r="H446" s="22">
        <f t="shared" si="6"/>
        <v>337</v>
      </c>
    </row>
    <row r="447" spans="1:8" ht="15.75" customHeight="1">
      <c r="A447" s="20" t="s">
        <v>488</v>
      </c>
      <c r="B447" s="20" t="s">
        <v>489</v>
      </c>
      <c r="C447" s="20"/>
      <c r="D447" s="21">
        <v>173</v>
      </c>
      <c r="E447" s="21">
        <v>49</v>
      </c>
      <c r="F447" s="21">
        <v>44</v>
      </c>
      <c r="G447" s="21">
        <v>42</v>
      </c>
      <c r="H447" s="22">
        <f t="shared" si="6"/>
        <v>308</v>
      </c>
    </row>
    <row r="448" spans="1:8" ht="15.75" customHeight="1">
      <c r="A448" s="24" t="s">
        <v>490</v>
      </c>
      <c r="B448" s="24" t="s">
        <v>491</v>
      </c>
      <c r="C448" s="24"/>
      <c r="D448" s="25">
        <v>68</v>
      </c>
      <c r="E448" s="25">
        <v>39</v>
      </c>
      <c r="F448" s="25">
        <v>44</v>
      </c>
      <c r="G448" s="25">
        <v>6</v>
      </c>
      <c r="H448" s="22">
        <f t="shared" si="6"/>
        <v>157</v>
      </c>
    </row>
    <row r="449" spans="1:8" ht="15.75" customHeight="1">
      <c r="A449" s="20" t="s">
        <v>492</v>
      </c>
      <c r="B449" s="20" t="s">
        <v>493</v>
      </c>
      <c r="C449" s="20"/>
      <c r="D449" s="21">
        <v>20</v>
      </c>
      <c r="E449" s="21">
        <v>29</v>
      </c>
      <c r="F449" s="21">
        <v>18</v>
      </c>
      <c r="G449" s="21">
        <v>2</v>
      </c>
      <c r="H449" s="22">
        <f t="shared" si="6"/>
        <v>69</v>
      </c>
    </row>
    <row r="450" spans="1:8" ht="15.75" customHeight="1">
      <c r="A450" s="24" t="s">
        <v>494</v>
      </c>
      <c r="B450" s="24" t="s">
        <v>495</v>
      </c>
      <c r="C450" s="24"/>
      <c r="D450" s="25">
        <v>169</v>
      </c>
      <c r="E450" s="25">
        <v>341</v>
      </c>
      <c r="F450" s="25">
        <v>92</v>
      </c>
      <c r="G450" s="25">
        <v>10</v>
      </c>
      <c r="H450" s="22">
        <f t="shared" si="6"/>
        <v>612</v>
      </c>
    </row>
    <row r="451" spans="1:8" ht="15.75" customHeight="1">
      <c r="A451" s="20" t="s">
        <v>2444</v>
      </c>
      <c r="B451" s="20" t="s">
        <v>2445</v>
      </c>
      <c r="C451" s="20"/>
      <c r="D451" s="21"/>
      <c r="E451" s="21">
        <v>8</v>
      </c>
      <c r="F451" s="21"/>
      <c r="G451" s="21"/>
      <c r="H451" s="22">
        <f t="shared" si="6"/>
        <v>8</v>
      </c>
    </row>
    <row r="452" spans="1:8" ht="15.75" customHeight="1">
      <c r="A452" s="24" t="s">
        <v>496</v>
      </c>
      <c r="B452" s="24" t="s">
        <v>497</v>
      </c>
      <c r="C452" s="24"/>
      <c r="D452" s="25">
        <v>320</v>
      </c>
      <c r="E452" s="25">
        <v>141</v>
      </c>
      <c r="F452" s="25">
        <v>337</v>
      </c>
      <c r="G452" s="25">
        <v>26</v>
      </c>
      <c r="H452" s="22">
        <f t="shared" ref="H452:H515" si="7">SUM(D452:G452)</f>
        <v>824</v>
      </c>
    </row>
    <row r="453" spans="1:8" ht="15.75" customHeight="1">
      <c r="A453" s="20" t="s">
        <v>2446</v>
      </c>
      <c r="B453" s="20" t="s">
        <v>2447</v>
      </c>
      <c r="C453" s="20"/>
      <c r="D453" s="21"/>
      <c r="E453" s="21">
        <v>25</v>
      </c>
      <c r="F453" s="21">
        <v>10</v>
      </c>
      <c r="G453" s="21"/>
      <c r="H453" s="22">
        <f t="shared" si="7"/>
        <v>35</v>
      </c>
    </row>
    <row r="454" spans="1:8" ht="15.75" customHeight="1">
      <c r="A454" s="24" t="s">
        <v>498</v>
      </c>
      <c r="B454" s="24" t="s">
        <v>499</v>
      </c>
      <c r="C454" s="24"/>
      <c r="D454" s="25">
        <v>9</v>
      </c>
      <c r="E454" s="25"/>
      <c r="F454" s="25"/>
      <c r="G454" s="25"/>
      <c r="H454" s="22">
        <f t="shared" si="7"/>
        <v>9</v>
      </c>
    </row>
    <row r="455" spans="1:8" ht="15.75" customHeight="1">
      <c r="A455" s="20" t="s">
        <v>500</v>
      </c>
      <c r="B455" s="20" t="s">
        <v>501</v>
      </c>
      <c r="C455" s="20" t="s">
        <v>502</v>
      </c>
      <c r="D455" s="21">
        <v>577</v>
      </c>
      <c r="E455" s="21">
        <v>298</v>
      </c>
      <c r="F455" s="21">
        <v>321</v>
      </c>
      <c r="G455" s="21"/>
      <c r="H455" s="22">
        <f t="shared" si="7"/>
        <v>1196</v>
      </c>
    </row>
    <row r="456" spans="1:8" ht="15.75" customHeight="1">
      <c r="A456" s="24" t="s">
        <v>503</v>
      </c>
      <c r="B456" s="24" t="s">
        <v>504</v>
      </c>
      <c r="C456" s="24" t="s">
        <v>505</v>
      </c>
      <c r="D456" s="25">
        <v>6</v>
      </c>
      <c r="E456" s="25"/>
      <c r="F456" s="25"/>
      <c r="G456" s="25"/>
      <c r="H456" s="22">
        <f t="shared" si="7"/>
        <v>6</v>
      </c>
    </row>
    <row r="457" spans="1:8" ht="15.75" customHeight="1">
      <c r="A457" s="20" t="s">
        <v>506</v>
      </c>
      <c r="B457" s="20" t="s">
        <v>507</v>
      </c>
      <c r="C457" s="20" t="s">
        <v>508</v>
      </c>
      <c r="D457" s="21">
        <v>545</v>
      </c>
      <c r="E457" s="21">
        <v>61</v>
      </c>
      <c r="F457" s="21">
        <v>85</v>
      </c>
      <c r="G457" s="21">
        <v>70</v>
      </c>
      <c r="H457" s="22">
        <f t="shared" si="7"/>
        <v>761</v>
      </c>
    </row>
    <row r="458" spans="1:8" ht="15.75" customHeight="1">
      <c r="A458" s="24" t="s">
        <v>509</v>
      </c>
      <c r="B458" s="24" t="s">
        <v>510</v>
      </c>
      <c r="C458" s="24" t="s">
        <v>511</v>
      </c>
      <c r="D458" s="25">
        <v>4</v>
      </c>
      <c r="E458" s="25"/>
      <c r="F458" s="25"/>
      <c r="G458" s="25"/>
      <c r="H458" s="22">
        <f t="shared" si="7"/>
        <v>4</v>
      </c>
    </row>
    <row r="459" spans="1:8" ht="15.75" customHeight="1">
      <c r="A459" s="20" t="s">
        <v>2448</v>
      </c>
      <c r="B459" s="20" t="s">
        <v>2449</v>
      </c>
      <c r="C459" s="20"/>
      <c r="D459" s="21"/>
      <c r="E459" s="21">
        <v>1</v>
      </c>
      <c r="F459" s="21"/>
      <c r="G459" s="21"/>
      <c r="H459" s="22">
        <f t="shared" si="7"/>
        <v>1</v>
      </c>
    </row>
    <row r="460" spans="1:8" ht="15.75" customHeight="1">
      <c r="A460" s="24" t="s">
        <v>512</v>
      </c>
      <c r="B460" s="24" t="s">
        <v>513</v>
      </c>
      <c r="C460" s="24" t="s">
        <v>514</v>
      </c>
      <c r="D460" s="25">
        <v>18</v>
      </c>
      <c r="E460" s="25"/>
      <c r="F460" s="25">
        <v>10</v>
      </c>
      <c r="G460" s="25"/>
      <c r="H460" s="22">
        <f t="shared" si="7"/>
        <v>28</v>
      </c>
    </row>
    <row r="461" spans="1:8" ht="15.75" customHeight="1">
      <c r="A461" s="20" t="s">
        <v>515</v>
      </c>
      <c r="B461" s="20" t="s">
        <v>516</v>
      </c>
      <c r="C461" s="20" t="s">
        <v>517</v>
      </c>
      <c r="D461" s="21">
        <v>249</v>
      </c>
      <c r="E461" s="21">
        <v>1025</v>
      </c>
      <c r="F461" s="21">
        <v>108</v>
      </c>
      <c r="G461" s="21"/>
      <c r="H461" s="22">
        <f t="shared" si="7"/>
        <v>1382</v>
      </c>
    </row>
    <row r="462" spans="1:8" ht="15.75" customHeight="1">
      <c r="A462" s="24" t="s">
        <v>2450</v>
      </c>
      <c r="B462" s="24" t="s">
        <v>2451</v>
      </c>
      <c r="C462" s="24" t="s">
        <v>2452</v>
      </c>
      <c r="D462" s="25"/>
      <c r="E462" s="25">
        <v>3</v>
      </c>
      <c r="F462" s="25"/>
      <c r="G462" s="25"/>
      <c r="H462" s="22">
        <f t="shared" si="7"/>
        <v>3</v>
      </c>
    </row>
    <row r="463" spans="1:8" ht="15.75" customHeight="1">
      <c r="A463" s="20" t="s">
        <v>518</v>
      </c>
      <c r="B463" s="20" t="s">
        <v>519</v>
      </c>
      <c r="C463" s="20" t="s">
        <v>520</v>
      </c>
      <c r="D463" s="21">
        <v>225</v>
      </c>
      <c r="E463" s="21">
        <v>88</v>
      </c>
      <c r="F463" s="21">
        <v>84</v>
      </c>
      <c r="G463" s="21"/>
      <c r="H463" s="22">
        <f t="shared" si="7"/>
        <v>397</v>
      </c>
    </row>
    <row r="464" spans="1:8" ht="15.75" customHeight="1">
      <c r="A464" s="24" t="s">
        <v>2453</v>
      </c>
      <c r="B464" s="24" t="s">
        <v>2454</v>
      </c>
      <c r="C464" s="24"/>
      <c r="D464" s="25"/>
      <c r="E464" s="25">
        <v>3</v>
      </c>
      <c r="F464" s="25"/>
      <c r="G464" s="25"/>
      <c r="H464" s="22">
        <f t="shared" si="7"/>
        <v>3</v>
      </c>
    </row>
    <row r="465" spans="1:8" ht="15.75" customHeight="1">
      <c r="A465" s="20" t="s">
        <v>521</v>
      </c>
      <c r="B465" s="20" t="s">
        <v>522</v>
      </c>
      <c r="C465" s="20"/>
      <c r="D465" s="21">
        <v>2</v>
      </c>
      <c r="E465" s="21"/>
      <c r="F465" s="21"/>
      <c r="G465" s="21"/>
      <c r="H465" s="22">
        <f t="shared" si="7"/>
        <v>2</v>
      </c>
    </row>
    <row r="466" spans="1:8" ht="15.75" customHeight="1">
      <c r="A466" s="24" t="s">
        <v>523</v>
      </c>
      <c r="B466" s="24" t="s">
        <v>524</v>
      </c>
      <c r="C466" s="24" t="s">
        <v>525</v>
      </c>
      <c r="D466" s="25">
        <v>415</v>
      </c>
      <c r="E466" s="25">
        <v>111</v>
      </c>
      <c r="F466" s="25">
        <v>38</v>
      </c>
      <c r="G466" s="25"/>
      <c r="H466" s="22">
        <f t="shared" si="7"/>
        <v>564</v>
      </c>
    </row>
    <row r="467" spans="1:8" ht="15.75" customHeight="1">
      <c r="A467" s="20" t="s">
        <v>526</v>
      </c>
      <c r="B467" s="20" t="s">
        <v>527</v>
      </c>
      <c r="C467" s="20" t="s">
        <v>528</v>
      </c>
      <c r="D467" s="21">
        <v>55</v>
      </c>
      <c r="E467" s="21">
        <v>95</v>
      </c>
      <c r="F467" s="21">
        <v>35</v>
      </c>
      <c r="G467" s="21"/>
      <c r="H467" s="22">
        <f t="shared" si="7"/>
        <v>185</v>
      </c>
    </row>
    <row r="468" spans="1:8" ht="15.75" customHeight="1">
      <c r="A468" s="24" t="s">
        <v>529</v>
      </c>
      <c r="B468" s="24" t="s">
        <v>530</v>
      </c>
      <c r="C468" s="24" t="s">
        <v>531</v>
      </c>
      <c r="D468" s="25">
        <v>28</v>
      </c>
      <c r="E468" s="25">
        <v>13</v>
      </c>
      <c r="F468" s="25">
        <v>4</v>
      </c>
      <c r="G468" s="25"/>
      <c r="H468" s="22">
        <f t="shared" si="7"/>
        <v>45</v>
      </c>
    </row>
    <row r="469" spans="1:8" ht="15.75" customHeight="1">
      <c r="A469" s="20" t="s">
        <v>532</v>
      </c>
      <c r="B469" s="20" t="s">
        <v>533</v>
      </c>
      <c r="C469" s="20" t="s">
        <v>534</v>
      </c>
      <c r="D469" s="21">
        <v>361</v>
      </c>
      <c r="E469" s="21">
        <v>103</v>
      </c>
      <c r="F469" s="21">
        <v>137</v>
      </c>
      <c r="G469" s="21"/>
      <c r="H469" s="22">
        <f t="shared" si="7"/>
        <v>601</v>
      </c>
    </row>
    <row r="470" spans="1:8" ht="15.75" customHeight="1">
      <c r="A470" s="24" t="s">
        <v>535</v>
      </c>
      <c r="B470" s="24" t="s">
        <v>536</v>
      </c>
      <c r="C470" s="24" t="s">
        <v>537</v>
      </c>
      <c r="D470" s="25">
        <v>10</v>
      </c>
      <c r="E470" s="25"/>
      <c r="F470" s="25"/>
      <c r="G470" s="25"/>
      <c r="H470" s="22">
        <f t="shared" si="7"/>
        <v>10</v>
      </c>
    </row>
    <row r="471" spans="1:8" ht="15.75" customHeight="1">
      <c r="A471" s="20" t="s">
        <v>538</v>
      </c>
      <c r="B471" s="20" t="s">
        <v>539</v>
      </c>
      <c r="C471" s="20" t="s">
        <v>540</v>
      </c>
      <c r="D471" s="21">
        <v>64</v>
      </c>
      <c r="E471" s="21">
        <v>5</v>
      </c>
      <c r="F471" s="21">
        <v>140</v>
      </c>
      <c r="G471" s="21"/>
      <c r="H471" s="22">
        <f t="shared" si="7"/>
        <v>209</v>
      </c>
    </row>
    <row r="472" spans="1:8" ht="15.75" customHeight="1">
      <c r="A472" s="24" t="s">
        <v>541</v>
      </c>
      <c r="B472" s="24" t="s">
        <v>542</v>
      </c>
      <c r="C472" s="24"/>
      <c r="D472" s="25">
        <v>3</v>
      </c>
      <c r="E472" s="25"/>
      <c r="F472" s="25"/>
      <c r="G472" s="25"/>
      <c r="H472" s="22">
        <f t="shared" si="7"/>
        <v>3</v>
      </c>
    </row>
    <row r="473" spans="1:8" ht="15.75" customHeight="1">
      <c r="A473" s="20" t="s">
        <v>543</v>
      </c>
      <c r="B473" s="20" t="s">
        <v>544</v>
      </c>
      <c r="C473" s="20" t="s">
        <v>540</v>
      </c>
      <c r="D473" s="21">
        <v>14</v>
      </c>
      <c r="E473" s="21">
        <v>5</v>
      </c>
      <c r="F473" s="21">
        <v>30</v>
      </c>
      <c r="G473" s="21"/>
      <c r="H473" s="22">
        <f t="shared" si="7"/>
        <v>49</v>
      </c>
    </row>
    <row r="474" spans="1:8" ht="15.75" customHeight="1">
      <c r="A474" s="24" t="s">
        <v>545</v>
      </c>
      <c r="B474" s="24" t="s">
        <v>546</v>
      </c>
      <c r="C474" s="24"/>
      <c r="D474" s="25">
        <v>6</v>
      </c>
      <c r="E474" s="25"/>
      <c r="F474" s="25">
        <v>2</v>
      </c>
      <c r="G474" s="25"/>
      <c r="H474" s="22">
        <f t="shared" si="7"/>
        <v>8</v>
      </c>
    </row>
    <row r="475" spans="1:8" ht="15.75" customHeight="1">
      <c r="A475" s="20" t="s">
        <v>547</v>
      </c>
      <c r="B475" s="20" t="s">
        <v>548</v>
      </c>
      <c r="C475" s="20" t="s">
        <v>549</v>
      </c>
      <c r="D475" s="21">
        <v>212</v>
      </c>
      <c r="E475" s="21">
        <v>91</v>
      </c>
      <c r="F475" s="21">
        <v>287</v>
      </c>
      <c r="G475" s="21"/>
      <c r="H475" s="22">
        <f t="shared" si="7"/>
        <v>590</v>
      </c>
    </row>
    <row r="476" spans="1:8" ht="15.75" customHeight="1">
      <c r="A476" s="24" t="s">
        <v>550</v>
      </c>
      <c r="B476" s="24" t="s">
        <v>551</v>
      </c>
      <c r="C476" s="24" t="s">
        <v>552</v>
      </c>
      <c r="D476" s="25">
        <v>6</v>
      </c>
      <c r="E476" s="25"/>
      <c r="F476" s="25"/>
      <c r="G476" s="25"/>
      <c r="H476" s="22">
        <f t="shared" si="7"/>
        <v>6</v>
      </c>
    </row>
    <row r="477" spans="1:8" ht="15.75" customHeight="1">
      <c r="A477" s="20" t="s">
        <v>553</v>
      </c>
      <c r="B477" s="20" t="s">
        <v>554</v>
      </c>
      <c r="C477" s="20"/>
      <c r="D477" s="21">
        <v>10</v>
      </c>
      <c r="E477" s="21"/>
      <c r="F477" s="21">
        <v>22</v>
      </c>
      <c r="G477" s="21"/>
      <c r="H477" s="22">
        <f t="shared" si="7"/>
        <v>32</v>
      </c>
    </row>
    <row r="478" spans="1:8" ht="15.75" customHeight="1">
      <c r="A478" s="24" t="s">
        <v>2455</v>
      </c>
      <c r="B478" s="24" t="s">
        <v>2456</v>
      </c>
      <c r="C478" s="24"/>
      <c r="D478" s="25"/>
      <c r="E478" s="25">
        <v>35</v>
      </c>
      <c r="F478" s="25">
        <v>4</v>
      </c>
      <c r="G478" s="25"/>
      <c r="H478" s="22">
        <f t="shared" si="7"/>
        <v>39</v>
      </c>
    </row>
    <row r="479" spans="1:8" ht="15.75" customHeight="1">
      <c r="A479" s="20" t="s">
        <v>3023</v>
      </c>
      <c r="B479" s="20" t="s">
        <v>3024</v>
      </c>
      <c r="C479" s="20"/>
      <c r="D479" s="21"/>
      <c r="E479" s="21"/>
      <c r="F479" s="21">
        <v>2</v>
      </c>
      <c r="G479" s="21"/>
      <c r="H479" s="22">
        <f t="shared" si="7"/>
        <v>2</v>
      </c>
    </row>
    <row r="480" spans="1:8" ht="15.75" customHeight="1">
      <c r="A480" s="24" t="s">
        <v>555</v>
      </c>
      <c r="B480" s="24" t="s">
        <v>556</v>
      </c>
      <c r="C480" s="24"/>
      <c r="D480" s="25">
        <v>1</v>
      </c>
      <c r="E480" s="25">
        <v>35</v>
      </c>
      <c r="F480" s="25"/>
      <c r="G480" s="25"/>
      <c r="H480" s="22">
        <f t="shared" si="7"/>
        <v>36</v>
      </c>
    </row>
    <row r="481" spans="1:8" ht="15.75" customHeight="1">
      <c r="A481" s="20" t="s">
        <v>2457</v>
      </c>
      <c r="B481" s="20" t="s">
        <v>2458</v>
      </c>
      <c r="C481" s="20"/>
      <c r="D481" s="21"/>
      <c r="E481" s="21">
        <v>35</v>
      </c>
      <c r="F481" s="21"/>
      <c r="G481" s="21"/>
      <c r="H481" s="22">
        <f t="shared" si="7"/>
        <v>35</v>
      </c>
    </row>
    <row r="482" spans="1:8" ht="15.75" customHeight="1">
      <c r="A482" s="24" t="s">
        <v>2459</v>
      </c>
      <c r="B482" s="24" t="s">
        <v>2460</v>
      </c>
      <c r="C482" s="24"/>
      <c r="D482" s="25"/>
      <c r="E482" s="25">
        <v>2</v>
      </c>
      <c r="F482" s="25"/>
      <c r="G482" s="25"/>
      <c r="H482" s="22">
        <f t="shared" si="7"/>
        <v>2</v>
      </c>
    </row>
    <row r="483" spans="1:8" ht="15.75" customHeight="1">
      <c r="A483" s="20" t="s">
        <v>557</v>
      </c>
      <c r="B483" s="20" t="s">
        <v>558</v>
      </c>
      <c r="C483" s="20" t="s">
        <v>559</v>
      </c>
      <c r="D483" s="21">
        <v>3770</v>
      </c>
      <c r="E483" s="21">
        <v>1651</v>
      </c>
      <c r="F483" s="21">
        <v>2622</v>
      </c>
      <c r="G483" s="21">
        <v>249</v>
      </c>
      <c r="H483" s="22">
        <f t="shared" si="7"/>
        <v>8292</v>
      </c>
    </row>
    <row r="484" spans="1:8" ht="15.75" customHeight="1">
      <c r="A484" s="24" t="s">
        <v>3452</v>
      </c>
      <c r="B484" s="24" t="s">
        <v>558</v>
      </c>
      <c r="C484" s="24" t="s">
        <v>3453</v>
      </c>
      <c r="D484" s="25"/>
      <c r="E484" s="25"/>
      <c r="F484" s="25"/>
      <c r="G484" s="25">
        <v>30</v>
      </c>
      <c r="H484" s="22">
        <f t="shared" si="7"/>
        <v>30</v>
      </c>
    </row>
    <row r="485" spans="1:8" ht="15.75" customHeight="1">
      <c r="A485" s="20" t="s">
        <v>560</v>
      </c>
      <c r="B485" s="20" t="s">
        <v>561</v>
      </c>
      <c r="C485" s="20" t="s">
        <v>562</v>
      </c>
      <c r="D485" s="21">
        <v>590</v>
      </c>
      <c r="E485" s="21">
        <v>60</v>
      </c>
      <c r="F485" s="21">
        <v>99</v>
      </c>
      <c r="G485" s="21"/>
      <c r="H485" s="22">
        <f t="shared" si="7"/>
        <v>749</v>
      </c>
    </row>
    <row r="486" spans="1:8" ht="15.75" customHeight="1">
      <c r="A486" s="24" t="s">
        <v>563</v>
      </c>
      <c r="B486" s="24" t="s">
        <v>564</v>
      </c>
      <c r="C486" s="24"/>
      <c r="D486" s="25">
        <v>20</v>
      </c>
      <c r="E486" s="25">
        <v>14</v>
      </c>
      <c r="F486" s="25">
        <v>66</v>
      </c>
      <c r="G486" s="25"/>
      <c r="H486" s="22">
        <f t="shared" si="7"/>
        <v>100</v>
      </c>
    </row>
    <row r="487" spans="1:8" ht="15.75" customHeight="1">
      <c r="A487" s="20" t="s">
        <v>565</v>
      </c>
      <c r="B487" s="20" t="s">
        <v>566</v>
      </c>
      <c r="C487" s="20"/>
      <c r="D487" s="21">
        <v>50</v>
      </c>
      <c r="E487" s="21">
        <v>31</v>
      </c>
      <c r="F487" s="21">
        <v>50</v>
      </c>
      <c r="G487" s="21"/>
      <c r="H487" s="22">
        <f t="shared" si="7"/>
        <v>131</v>
      </c>
    </row>
    <row r="488" spans="1:8" ht="15.75" customHeight="1">
      <c r="A488" s="24" t="s">
        <v>567</v>
      </c>
      <c r="B488" s="24" t="s">
        <v>568</v>
      </c>
      <c r="C488" s="24" t="s">
        <v>569</v>
      </c>
      <c r="D488" s="25">
        <v>3372</v>
      </c>
      <c r="E488" s="25">
        <v>1542</v>
      </c>
      <c r="F488" s="25">
        <v>2807</v>
      </c>
      <c r="G488" s="25">
        <v>249</v>
      </c>
      <c r="H488" s="22">
        <f t="shared" si="7"/>
        <v>7970</v>
      </c>
    </row>
    <row r="489" spans="1:8" ht="15.75" customHeight="1">
      <c r="A489" s="20" t="s">
        <v>3025</v>
      </c>
      <c r="B489" s="20" t="s">
        <v>568</v>
      </c>
      <c r="C489" s="20" t="s">
        <v>569</v>
      </c>
      <c r="D489" s="21"/>
      <c r="E489" s="21"/>
      <c r="F489" s="21">
        <v>30</v>
      </c>
      <c r="G489" s="21">
        <v>30</v>
      </c>
      <c r="H489" s="22">
        <f t="shared" si="7"/>
        <v>60</v>
      </c>
    </row>
    <row r="490" spans="1:8" ht="15.75" customHeight="1">
      <c r="A490" s="24" t="s">
        <v>570</v>
      </c>
      <c r="B490" s="24" t="s">
        <v>571</v>
      </c>
      <c r="C490" s="24" t="s">
        <v>572</v>
      </c>
      <c r="D490" s="25">
        <v>192</v>
      </c>
      <c r="E490" s="25">
        <v>15</v>
      </c>
      <c r="F490" s="25">
        <v>794</v>
      </c>
      <c r="G490" s="25"/>
      <c r="H490" s="22">
        <f t="shared" si="7"/>
        <v>1001</v>
      </c>
    </row>
    <row r="491" spans="1:8" ht="15.75" customHeight="1">
      <c r="A491" s="20" t="s">
        <v>573</v>
      </c>
      <c r="B491" s="20" t="s">
        <v>574</v>
      </c>
      <c r="C491" s="20" t="s">
        <v>575</v>
      </c>
      <c r="D491" s="21">
        <v>596</v>
      </c>
      <c r="E491" s="21">
        <v>1006</v>
      </c>
      <c r="F491" s="21">
        <v>140</v>
      </c>
      <c r="G491" s="21">
        <v>340</v>
      </c>
      <c r="H491" s="22">
        <f t="shared" si="7"/>
        <v>2082</v>
      </c>
    </row>
    <row r="492" spans="1:8" ht="15.75" customHeight="1">
      <c r="A492" s="24" t="s">
        <v>2461</v>
      </c>
      <c r="B492" s="24" t="s">
        <v>2462</v>
      </c>
      <c r="C492" s="24" t="s">
        <v>2463</v>
      </c>
      <c r="D492" s="25"/>
      <c r="E492" s="25">
        <v>15</v>
      </c>
      <c r="F492" s="25">
        <v>70</v>
      </c>
      <c r="G492" s="25"/>
      <c r="H492" s="22">
        <f t="shared" si="7"/>
        <v>85</v>
      </c>
    </row>
    <row r="493" spans="1:8" ht="15.75" customHeight="1">
      <c r="A493" s="20" t="s">
        <v>576</v>
      </c>
      <c r="B493" s="20" t="s">
        <v>354</v>
      </c>
      <c r="C493" s="20" t="s">
        <v>577</v>
      </c>
      <c r="D493" s="21">
        <v>2090</v>
      </c>
      <c r="E493" s="21">
        <v>1687</v>
      </c>
      <c r="F493" s="21">
        <v>1562</v>
      </c>
      <c r="G493" s="21">
        <v>60</v>
      </c>
      <c r="H493" s="22">
        <f t="shared" si="7"/>
        <v>5399</v>
      </c>
    </row>
    <row r="494" spans="1:8" ht="15.75" customHeight="1">
      <c r="A494" s="24" t="s">
        <v>578</v>
      </c>
      <c r="B494" s="24" t="s">
        <v>579</v>
      </c>
      <c r="C494" s="24" t="s">
        <v>580</v>
      </c>
      <c r="D494" s="25">
        <v>219</v>
      </c>
      <c r="E494" s="25">
        <v>10</v>
      </c>
      <c r="F494" s="25">
        <v>180</v>
      </c>
      <c r="G494" s="25"/>
      <c r="H494" s="22">
        <f t="shared" si="7"/>
        <v>409</v>
      </c>
    </row>
    <row r="495" spans="1:8" ht="15.75" customHeight="1">
      <c r="A495" s="20" t="s">
        <v>2464</v>
      </c>
      <c r="B495" s="20" t="s">
        <v>2465</v>
      </c>
      <c r="C495" s="20"/>
      <c r="D495" s="21"/>
      <c r="E495" s="21">
        <v>81</v>
      </c>
      <c r="F495" s="21"/>
      <c r="G495" s="21"/>
      <c r="H495" s="22">
        <f t="shared" si="7"/>
        <v>81</v>
      </c>
    </row>
    <row r="496" spans="1:8" ht="15.75" customHeight="1">
      <c r="A496" s="24" t="s">
        <v>2466</v>
      </c>
      <c r="B496" s="24" t="s">
        <v>1343</v>
      </c>
      <c r="C496" s="24"/>
      <c r="D496" s="25"/>
      <c r="E496" s="25">
        <v>17</v>
      </c>
      <c r="F496" s="25"/>
      <c r="G496" s="25"/>
      <c r="H496" s="22">
        <f t="shared" si="7"/>
        <v>17</v>
      </c>
    </row>
    <row r="497" spans="1:8" ht="15.75" customHeight="1">
      <c r="A497" s="20" t="s">
        <v>581</v>
      </c>
      <c r="B497" s="20" t="s">
        <v>582</v>
      </c>
      <c r="C497" s="20" t="s">
        <v>583</v>
      </c>
      <c r="D497" s="21">
        <v>1023</v>
      </c>
      <c r="E497" s="21">
        <v>569</v>
      </c>
      <c r="F497" s="21">
        <v>890</v>
      </c>
      <c r="G497" s="21">
        <v>82</v>
      </c>
      <c r="H497" s="22">
        <f t="shared" si="7"/>
        <v>2564</v>
      </c>
    </row>
    <row r="498" spans="1:8" ht="15.75" customHeight="1">
      <c r="A498" s="24" t="s">
        <v>584</v>
      </c>
      <c r="B498" s="24" t="s">
        <v>585</v>
      </c>
      <c r="C498" s="24" t="s">
        <v>586</v>
      </c>
      <c r="D498" s="25">
        <v>5</v>
      </c>
      <c r="E498" s="25"/>
      <c r="F498" s="25">
        <v>221</v>
      </c>
      <c r="G498" s="25"/>
      <c r="H498" s="22">
        <f t="shared" si="7"/>
        <v>226</v>
      </c>
    </row>
    <row r="499" spans="1:8" ht="15.75" customHeight="1">
      <c r="A499" s="20" t="s">
        <v>587</v>
      </c>
      <c r="B499" s="20" t="s">
        <v>588</v>
      </c>
      <c r="C499" s="20" t="s">
        <v>589</v>
      </c>
      <c r="D499" s="21">
        <v>859</v>
      </c>
      <c r="E499" s="21">
        <v>1017</v>
      </c>
      <c r="F499" s="21">
        <v>712</v>
      </c>
      <c r="G499" s="21">
        <v>60</v>
      </c>
      <c r="H499" s="22">
        <f t="shared" si="7"/>
        <v>2648</v>
      </c>
    </row>
    <row r="500" spans="1:8" ht="15.75" customHeight="1">
      <c r="A500" s="24" t="s">
        <v>590</v>
      </c>
      <c r="B500" s="24" t="s">
        <v>591</v>
      </c>
      <c r="C500" s="24" t="s">
        <v>592</v>
      </c>
      <c r="D500" s="25">
        <v>985</v>
      </c>
      <c r="E500" s="25">
        <v>379</v>
      </c>
      <c r="F500" s="25">
        <v>907</v>
      </c>
      <c r="G500" s="25">
        <v>9</v>
      </c>
      <c r="H500" s="22">
        <f t="shared" si="7"/>
        <v>2280</v>
      </c>
    </row>
    <row r="501" spans="1:8" ht="15.75" customHeight="1">
      <c r="A501" s="20" t="s">
        <v>593</v>
      </c>
      <c r="B501" s="20" t="s">
        <v>594</v>
      </c>
      <c r="C501" s="20" t="s">
        <v>595</v>
      </c>
      <c r="D501" s="21">
        <v>8</v>
      </c>
      <c r="E501" s="21">
        <v>10</v>
      </c>
      <c r="F501" s="21">
        <v>161</v>
      </c>
      <c r="G501" s="21"/>
      <c r="H501" s="22">
        <f t="shared" si="7"/>
        <v>179</v>
      </c>
    </row>
    <row r="502" spans="1:8" ht="15.75" customHeight="1">
      <c r="A502" s="24" t="s">
        <v>596</v>
      </c>
      <c r="B502" s="24" t="s">
        <v>597</v>
      </c>
      <c r="C502" s="24" t="s">
        <v>598</v>
      </c>
      <c r="D502" s="25">
        <v>164</v>
      </c>
      <c r="E502" s="25">
        <v>62</v>
      </c>
      <c r="F502" s="25">
        <v>222</v>
      </c>
      <c r="G502" s="25">
        <v>5</v>
      </c>
      <c r="H502" s="22">
        <f t="shared" si="7"/>
        <v>453</v>
      </c>
    </row>
    <row r="503" spans="1:8" ht="15.75" customHeight="1">
      <c r="A503" s="20" t="s">
        <v>599</v>
      </c>
      <c r="B503" s="20" t="s">
        <v>600</v>
      </c>
      <c r="C503" s="20" t="s">
        <v>601</v>
      </c>
      <c r="D503" s="21">
        <v>742</v>
      </c>
      <c r="E503" s="21">
        <v>621</v>
      </c>
      <c r="F503" s="21">
        <v>1368</v>
      </c>
      <c r="G503" s="21">
        <v>324</v>
      </c>
      <c r="H503" s="22">
        <f t="shared" si="7"/>
        <v>3055</v>
      </c>
    </row>
    <row r="504" spans="1:8" ht="15.75" customHeight="1">
      <c r="A504" s="24" t="s">
        <v>602</v>
      </c>
      <c r="B504" s="24" t="s">
        <v>603</v>
      </c>
      <c r="C504" s="24" t="s">
        <v>604</v>
      </c>
      <c r="D504" s="25">
        <v>100</v>
      </c>
      <c r="E504" s="25">
        <v>250</v>
      </c>
      <c r="F504" s="25">
        <v>240</v>
      </c>
      <c r="G504" s="25"/>
      <c r="H504" s="22">
        <f t="shared" si="7"/>
        <v>590</v>
      </c>
    </row>
    <row r="505" spans="1:8" ht="15.75" customHeight="1">
      <c r="A505" s="20" t="s">
        <v>605</v>
      </c>
      <c r="B505" s="20" t="s">
        <v>606</v>
      </c>
      <c r="C505" s="20" t="s">
        <v>607</v>
      </c>
      <c r="D505" s="21">
        <v>77</v>
      </c>
      <c r="E505" s="21">
        <v>69</v>
      </c>
      <c r="F505" s="21">
        <v>374</v>
      </c>
      <c r="G505" s="21"/>
      <c r="H505" s="22">
        <f t="shared" si="7"/>
        <v>520</v>
      </c>
    </row>
    <row r="506" spans="1:8" ht="15.75" customHeight="1">
      <c r="A506" s="24" t="s">
        <v>608</v>
      </c>
      <c r="B506" s="24" t="s">
        <v>609</v>
      </c>
      <c r="C506" s="24" t="s">
        <v>610</v>
      </c>
      <c r="D506" s="25">
        <v>32</v>
      </c>
      <c r="E506" s="25">
        <v>16</v>
      </c>
      <c r="F506" s="25">
        <v>78</v>
      </c>
      <c r="G506" s="25"/>
      <c r="H506" s="22">
        <f t="shared" si="7"/>
        <v>126</v>
      </c>
    </row>
    <row r="507" spans="1:8" ht="15.75" customHeight="1">
      <c r="A507" s="20" t="s">
        <v>3026</v>
      </c>
      <c r="B507" s="20" t="s">
        <v>3027</v>
      </c>
      <c r="C507" s="20" t="s">
        <v>3028</v>
      </c>
      <c r="D507" s="21"/>
      <c r="E507" s="21"/>
      <c r="F507" s="21">
        <v>15</v>
      </c>
      <c r="G507" s="21"/>
      <c r="H507" s="22">
        <f t="shared" si="7"/>
        <v>15</v>
      </c>
    </row>
    <row r="508" spans="1:8" ht="15.75" customHeight="1">
      <c r="A508" s="24" t="s">
        <v>611</v>
      </c>
      <c r="B508" s="24" t="s">
        <v>612</v>
      </c>
      <c r="C508" s="24" t="s">
        <v>613</v>
      </c>
      <c r="D508" s="25">
        <v>64</v>
      </c>
      <c r="E508" s="25">
        <v>86</v>
      </c>
      <c r="F508" s="25">
        <v>235</v>
      </c>
      <c r="G508" s="25"/>
      <c r="H508" s="22">
        <f t="shared" si="7"/>
        <v>385</v>
      </c>
    </row>
    <row r="509" spans="1:8" ht="15.75" customHeight="1">
      <c r="A509" s="20" t="s">
        <v>614</v>
      </c>
      <c r="B509" s="20" t="s">
        <v>615</v>
      </c>
      <c r="C509" s="20" t="s">
        <v>616</v>
      </c>
      <c r="D509" s="21">
        <v>1</v>
      </c>
      <c r="E509" s="21"/>
      <c r="F509" s="21"/>
      <c r="G509" s="21"/>
      <c r="H509" s="22">
        <f t="shared" si="7"/>
        <v>1</v>
      </c>
    </row>
    <row r="510" spans="1:8" ht="15.75" customHeight="1">
      <c r="A510" s="24" t="s">
        <v>617</v>
      </c>
      <c r="B510" s="24" t="s">
        <v>618</v>
      </c>
      <c r="C510" s="24"/>
      <c r="D510" s="25">
        <v>4</v>
      </c>
      <c r="E510" s="25"/>
      <c r="F510" s="25">
        <v>1</v>
      </c>
      <c r="G510" s="25"/>
      <c r="H510" s="22">
        <f t="shared" si="7"/>
        <v>5</v>
      </c>
    </row>
    <row r="511" spans="1:8" ht="15.75" customHeight="1">
      <c r="A511" s="20" t="s">
        <v>619</v>
      </c>
      <c r="B511" s="20" t="s">
        <v>620</v>
      </c>
      <c r="C511" s="20" t="s">
        <v>621</v>
      </c>
      <c r="D511" s="21">
        <v>809</v>
      </c>
      <c r="E511" s="21">
        <v>1272</v>
      </c>
      <c r="F511" s="21">
        <v>852</v>
      </c>
      <c r="G511" s="21">
        <v>349</v>
      </c>
      <c r="H511" s="22">
        <f t="shared" si="7"/>
        <v>3282</v>
      </c>
    </row>
    <row r="512" spans="1:8" ht="15.75" customHeight="1">
      <c r="A512" s="24" t="s">
        <v>622</v>
      </c>
      <c r="B512" s="24" t="s">
        <v>623</v>
      </c>
      <c r="C512" s="24" t="s">
        <v>624</v>
      </c>
      <c r="D512" s="25">
        <v>100</v>
      </c>
      <c r="E512" s="25">
        <v>10</v>
      </c>
      <c r="F512" s="25">
        <v>98</v>
      </c>
      <c r="G512" s="25"/>
      <c r="H512" s="22">
        <f t="shared" si="7"/>
        <v>208</v>
      </c>
    </row>
    <row r="513" spans="1:8" ht="15.75" customHeight="1">
      <c r="A513" s="20" t="s">
        <v>625</v>
      </c>
      <c r="B513" s="20" t="s">
        <v>626</v>
      </c>
      <c r="C513" s="20"/>
      <c r="D513" s="21">
        <v>143</v>
      </c>
      <c r="E513" s="21">
        <v>162</v>
      </c>
      <c r="F513" s="21">
        <v>228</v>
      </c>
      <c r="G513" s="21"/>
      <c r="H513" s="22">
        <f t="shared" si="7"/>
        <v>533</v>
      </c>
    </row>
    <row r="514" spans="1:8" ht="15.75" customHeight="1">
      <c r="A514" s="24" t="s">
        <v>627</v>
      </c>
      <c r="B514" s="24" t="s">
        <v>628</v>
      </c>
      <c r="C514" s="24"/>
      <c r="D514" s="25">
        <v>20</v>
      </c>
      <c r="E514" s="25">
        <v>54</v>
      </c>
      <c r="F514" s="25">
        <v>247</v>
      </c>
      <c r="G514" s="25"/>
      <c r="H514" s="22">
        <f t="shared" si="7"/>
        <v>321</v>
      </c>
    </row>
    <row r="515" spans="1:8" ht="15.75" customHeight="1">
      <c r="A515" s="20" t="s">
        <v>629</v>
      </c>
      <c r="B515" s="20" t="s">
        <v>630</v>
      </c>
      <c r="C515" s="20"/>
      <c r="D515" s="21">
        <v>12</v>
      </c>
      <c r="E515" s="21"/>
      <c r="F515" s="21"/>
      <c r="G515" s="21"/>
      <c r="H515" s="22">
        <f t="shared" si="7"/>
        <v>12</v>
      </c>
    </row>
    <row r="516" spans="1:8" ht="15.75" customHeight="1">
      <c r="A516" s="24" t="s">
        <v>2467</v>
      </c>
      <c r="B516" s="24" t="s">
        <v>2468</v>
      </c>
      <c r="C516" s="24"/>
      <c r="D516" s="25"/>
      <c r="E516" s="25">
        <v>1</v>
      </c>
      <c r="F516" s="25"/>
      <c r="G516" s="25"/>
      <c r="H516" s="22">
        <f t="shared" ref="H516:H579" si="8">SUM(D516:G516)</f>
        <v>1</v>
      </c>
    </row>
    <row r="517" spans="1:8" ht="15.75" customHeight="1">
      <c r="A517" s="20" t="s">
        <v>2469</v>
      </c>
      <c r="B517" s="20" t="s">
        <v>2470</v>
      </c>
      <c r="C517" s="20"/>
      <c r="D517" s="21"/>
      <c r="E517" s="21">
        <v>50</v>
      </c>
      <c r="F517" s="21"/>
      <c r="G517" s="21"/>
      <c r="H517" s="22">
        <f t="shared" si="8"/>
        <v>50</v>
      </c>
    </row>
    <row r="518" spans="1:8" ht="15.75" customHeight="1">
      <c r="A518" s="24" t="s">
        <v>631</v>
      </c>
      <c r="B518" s="24" t="s">
        <v>632</v>
      </c>
      <c r="C518" s="24" t="s">
        <v>633</v>
      </c>
      <c r="D518" s="25">
        <v>28</v>
      </c>
      <c r="E518" s="25">
        <v>50</v>
      </c>
      <c r="F518" s="25">
        <v>100</v>
      </c>
      <c r="G518" s="25"/>
      <c r="H518" s="22">
        <f t="shared" si="8"/>
        <v>178</v>
      </c>
    </row>
    <row r="519" spans="1:8" ht="15.75" customHeight="1">
      <c r="A519" s="20" t="s">
        <v>634</v>
      </c>
      <c r="B519" s="20" t="s">
        <v>635</v>
      </c>
      <c r="C519" s="20" t="s">
        <v>636</v>
      </c>
      <c r="D519" s="21">
        <v>60</v>
      </c>
      <c r="E519" s="21"/>
      <c r="F519" s="21">
        <v>80</v>
      </c>
      <c r="G519" s="21"/>
      <c r="H519" s="22">
        <f t="shared" si="8"/>
        <v>140</v>
      </c>
    </row>
    <row r="520" spans="1:8" ht="15.75" customHeight="1">
      <c r="A520" s="24" t="s">
        <v>637</v>
      </c>
      <c r="B520" s="24" t="s">
        <v>638</v>
      </c>
      <c r="C520" s="24" t="s">
        <v>639</v>
      </c>
      <c r="D520" s="25">
        <v>22</v>
      </c>
      <c r="E520" s="25">
        <v>50</v>
      </c>
      <c r="F520" s="25"/>
      <c r="G520" s="25"/>
      <c r="H520" s="22">
        <f t="shared" si="8"/>
        <v>72</v>
      </c>
    </row>
    <row r="521" spans="1:8" ht="15.75" customHeight="1">
      <c r="A521" s="20" t="s">
        <v>640</v>
      </c>
      <c r="B521" s="20" t="s">
        <v>641</v>
      </c>
      <c r="C521" s="20" t="s">
        <v>642</v>
      </c>
      <c r="D521" s="21">
        <v>47</v>
      </c>
      <c r="E521" s="21">
        <v>50</v>
      </c>
      <c r="F521" s="21"/>
      <c r="G521" s="21"/>
      <c r="H521" s="22">
        <f t="shared" si="8"/>
        <v>97</v>
      </c>
    </row>
    <row r="522" spans="1:8" ht="15.75" customHeight="1">
      <c r="A522" s="24" t="s">
        <v>643</v>
      </c>
      <c r="B522" s="24" t="s">
        <v>644</v>
      </c>
      <c r="C522" s="24" t="s">
        <v>645</v>
      </c>
      <c r="D522" s="25">
        <v>12</v>
      </c>
      <c r="E522" s="25">
        <v>128</v>
      </c>
      <c r="F522" s="25">
        <v>100</v>
      </c>
      <c r="G522" s="25"/>
      <c r="H522" s="22">
        <f t="shared" si="8"/>
        <v>240</v>
      </c>
    </row>
    <row r="523" spans="1:8" ht="15.75" customHeight="1">
      <c r="A523" s="20" t="s">
        <v>646</v>
      </c>
      <c r="B523" s="20" t="s">
        <v>647</v>
      </c>
      <c r="C523" s="20" t="s">
        <v>648</v>
      </c>
      <c r="D523" s="21">
        <v>10</v>
      </c>
      <c r="E523" s="21"/>
      <c r="F523" s="21">
        <v>2</v>
      </c>
      <c r="G523" s="21"/>
      <c r="H523" s="22">
        <f t="shared" si="8"/>
        <v>12</v>
      </c>
    </row>
    <row r="524" spans="1:8" ht="15.75" customHeight="1">
      <c r="A524" s="24" t="s">
        <v>649</v>
      </c>
      <c r="B524" s="24" t="s">
        <v>650</v>
      </c>
      <c r="C524" s="24" t="s">
        <v>651</v>
      </c>
      <c r="D524" s="25">
        <v>36</v>
      </c>
      <c r="E524" s="25"/>
      <c r="F524" s="25">
        <v>20</v>
      </c>
      <c r="G524" s="25"/>
      <c r="H524" s="22">
        <f t="shared" si="8"/>
        <v>56</v>
      </c>
    </row>
    <row r="525" spans="1:8" ht="15.75" customHeight="1">
      <c r="A525" s="20" t="s">
        <v>652</v>
      </c>
      <c r="B525" s="20" t="s">
        <v>653</v>
      </c>
      <c r="C525" s="20" t="s">
        <v>654</v>
      </c>
      <c r="D525" s="21">
        <v>135</v>
      </c>
      <c r="E525" s="21">
        <v>184</v>
      </c>
      <c r="F525" s="21">
        <v>4</v>
      </c>
      <c r="G525" s="21"/>
      <c r="H525" s="22">
        <f t="shared" si="8"/>
        <v>323</v>
      </c>
    </row>
    <row r="526" spans="1:8" ht="15.75" customHeight="1">
      <c r="A526" s="24" t="s">
        <v>655</v>
      </c>
      <c r="B526" s="24" t="s">
        <v>656</v>
      </c>
      <c r="C526" s="24" t="s">
        <v>657</v>
      </c>
      <c r="D526" s="25">
        <v>8</v>
      </c>
      <c r="E526" s="25"/>
      <c r="F526" s="25"/>
      <c r="G526" s="25"/>
      <c r="H526" s="22">
        <f t="shared" si="8"/>
        <v>8</v>
      </c>
    </row>
    <row r="527" spans="1:8" ht="15.75" customHeight="1">
      <c r="A527" s="20" t="s">
        <v>2471</v>
      </c>
      <c r="B527" s="20" t="s">
        <v>2472</v>
      </c>
      <c r="C527" s="20" t="s">
        <v>2473</v>
      </c>
      <c r="D527" s="21"/>
      <c r="E527" s="21">
        <v>16</v>
      </c>
      <c r="F527" s="21">
        <v>2</v>
      </c>
      <c r="G527" s="21"/>
      <c r="H527" s="22">
        <f t="shared" si="8"/>
        <v>18</v>
      </c>
    </row>
    <row r="528" spans="1:8" ht="15.75" customHeight="1">
      <c r="A528" s="24" t="s">
        <v>3029</v>
      </c>
      <c r="B528" s="24" t="s">
        <v>3030</v>
      </c>
      <c r="C528" s="24"/>
      <c r="D528" s="25"/>
      <c r="E528" s="25"/>
      <c r="F528" s="25">
        <v>4</v>
      </c>
      <c r="G528" s="25"/>
      <c r="H528" s="22">
        <f t="shared" si="8"/>
        <v>4</v>
      </c>
    </row>
    <row r="529" spans="1:8" ht="15.75" customHeight="1">
      <c r="A529" s="20" t="s">
        <v>658</v>
      </c>
      <c r="B529" s="20" t="s">
        <v>659</v>
      </c>
      <c r="C529" s="20"/>
      <c r="D529" s="21">
        <v>3</v>
      </c>
      <c r="E529" s="21"/>
      <c r="F529" s="21"/>
      <c r="G529" s="21"/>
      <c r="H529" s="22">
        <f t="shared" si="8"/>
        <v>3</v>
      </c>
    </row>
    <row r="530" spans="1:8" ht="15.75" customHeight="1">
      <c r="A530" s="24" t="s">
        <v>2474</v>
      </c>
      <c r="B530" s="24" t="s">
        <v>2475</v>
      </c>
      <c r="C530" s="24"/>
      <c r="D530" s="25"/>
      <c r="E530" s="25">
        <v>146</v>
      </c>
      <c r="F530" s="25">
        <v>6</v>
      </c>
      <c r="G530" s="25">
        <v>10</v>
      </c>
      <c r="H530" s="22">
        <f t="shared" si="8"/>
        <v>162</v>
      </c>
    </row>
    <row r="531" spans="1:8" ht="15.75" customHeight="1">
      <c r="A531" s="20" t="s">
        <v>660</v>
      </c>
      <c r="B531" s="20" t="s">
        <v>661</v>
      </c>
      <c r="C531" s="20" t="s">
        <v>662</v>
      </c>
      <c r="D531" s="21">
        <v>11</v>
      </c>
      <c r="E531" s="21">
        <v>12</v>
      </c>
      <c r="F531" s="21">
        <v>8</v>
      </c>
      <c r="G531" s="21"/>
      <c r="H531" s="22">
        <f t="shared" si="8"/>
        <v>31</v>
      </c>
    </row>
    <row r="532" spans="1:8" ht="15.75" customHeight="1">
      <c r="A532" s="24" t="s">
        <v>663</v>
      </c>
      <c r="B532" s="24" t="s">
        <v>367</v>
      </c>
      <c r="C532" s="24" t="s">
        <v>664</v>
      </c>
      <c r="D532" s="25">
        <v>3282</v>
      </c>
      <c r="E532" s="25">
        <v>6947</v>
      </c>
      <c r="F532" s="25">
        <v>3073</v>
      </c>
      <c r="G532" s="25">
        <v>751</v>
      </c>
      <c r="H532" s="22">
        <f t="shared" si="8"/>
        <v>14053</v>
      </c>
    </row>
    <row r="533" spans="1:8" ht="15.75" customHeight="1">
      <c r="A533" s="20" t="s">
        <v>665</v>
      </c>
      <c r="B533" s="20" t="s">
        <v>666</v>
      </c>
      <c r="C533" s="20" t="s">
        <v>667</v>
      </c>
      <c r="D533" s="21">
        <v>951</v>
      </c>
      <c r="E533" s="21">
        <v>771</v>
      </c>
      <c r="F533" s="21">
        <v>1814</v>
      </c>
      <c r="G533" s="21">
        <v>795</v>
      </c>
      <c r="H533" s="22">
        <f t="shared" si="8"/>
        <v>4331</v>
      </c>
    </row>
    <row r="534" spans="1:8" ht="15.75" customHeight="1">
      <c r="A534" s="24" t="s">
        <v>3454</v>
      </c>
      <c r="B534" s="24" t="s">
        <v>666</v>
      </c>
      <c r="C534" s="24" t="s">
        <v>3145</v>
      </c>
      <c r="D534" s="25"/>
      <c r="E534" s="25"/>
      <c r="F534" s="25"/>
      <c r="G534" s="25">
        <v>100</v>
      </c>
      <c r="H534" s="22">
        <f t="shared" si="8"/>
        <v>100</v>
      </c>
    </row>
    <row r="535" spans="1:8" ht="15.75" customHeight="1">
      <c r="A535" s="20" t="s">
        <v>668</v>
      </c>
      <c r="B535" s="20" t="s">
        <v>669</v>
      </c>
      <c r="C535" s="20"/>
      <c r="D535" s="21">
        <v>50</v>
      </c>
      <c r="E535" s="21"/>
      <c r="F535" s="21">
        <v>6</v>
      </c>
      <c r="G535" s="21"/>
      <c r="H535" s="22">
        <f t="shared" si="8"/>
        <v>56</v>
      </c>
    </row>
    <row r="536" spans="1:8" ht="15.75" customHeight="1">
      <c r="A536" s="24" t="s">
        <v>2476</v>
      </c>
      <c r="B536" s="24" t="s">
        <v>2477</v>
      </c>
      <c r="C536" s="24"/>
      <c r="D536" s="25"/>
      <c r="E536" s="25">
        <v>14</v>
      </c>
      <c r="F536" s="25">
        <v>25</v>
      </c>
      <c r="G536" s="25"/>
      <c r="H536" s="22">
        <f t="shared" si="8"/>
        <v>39</v>
      </c>
    </row>
    <row r="537" spans="1:8" ht="15.75" customHeight="1">
      <c r="A537" s="20" t="s">
        <v>670</v>
      </c>
      <c r="B537" s="20" t="s">
        <v>671</v>
      </c>
      <c r="C537" s="20"/>
      <c r="D537" s="21">
        <v>50</v>
      </c>
      <c r="E537" s="21"/>
      <c r="F537" s="21"/>
      <c r="G537" s="21"/>
      <c r="H537" s="22">
        <f t="shared" si="8"/>
        <v>50</v>
      </c>
    </row>
    <row r="538" spans="1:8" ht="15.75" customHeight="1">
      <c r="A538" s="24" t="s">
        <v>3031</v>
      </c>
      <c r="B538" s="24" t="s">
        <v>3032</v>
      </c>
      <c r="C538" s="24"/>
      <c r="D538" s="25"/>
      <c r="E538" s="25"/>
      <c r="F538" s="25">
        <v>100</v>
      </c>
      <c r="G538" s="25"/>
      <c r="H538" s="22">
        <f t="shared" si="8"/>
        <v>100</v>
      </c>
    </row>
    <row r="539" spans="1:8" ht="15.75" customHeight="1">
      <c r="A539" s="20" t="s">
        <v>672</v>
      </c>
      <c r="B539" s="20" t="s">
        <v>673</v>
      </c>
      <c r="C539" s="20" t="s">
        <v>674</v>
      </c>
      <c r="D539" s="21">
        <v>60</v>
      </c>
      <c r="E539" s="21"/>
      <c r="F539" s="21"/>
      <c r="G539" s="21"/>
      <c r="H539" s="22">
        <f t="shared" si="8"/>
        <v>60</v>
      </c>
    </row>
    <row r="540" spans="1:8" ht="15.75" customHeight="1">
      <c r="A540" s="24" t="s">
        <v>675</v>
      </c>
      <c r="B540" s="24" t="s">
        <v>370</v>
      </c>
      <c r="C540" s="24" t="s">
        <v>676</v>
      </c>
      <c r="D540" s="25">
        <v>2747</v>
      </c>
      <c r="E540" s="25">
        <v>5507</v>
      </c>
      <c r="F540" s="25">
        <v>897</v>
      </c>
      <c r="G540" s="25">
        <v>384</v>
      </c>
      <c r="H540" s="22">
        <f t="shared" si="8"/>
        <v>9535</v>
      </c>
    </row>
    <row r="541" spans="1:8" ht="15.75" customHeight="1">
      <c r="A541" s="20" t="s">
        <v>677</v>
      </c>
      <c r="B541" s="20" t="s">
        <v>678</v>
      </c>
      <c r="C541" s="20" t="s">
        <v>679</v>
      </c>
      <c r="D541" s="21">
        <v>979</v>
      </c>
      <c r="E541" s="21">
        <v>900</v>
      </c>
      <c r="F541" s="21">
        <v>2582</v>
      </c>
      <c r="G541" s="21">
        <v>384</v>
      </c>
      <c r="H541" s="22">
        <f t="shared" si="8"/>
        <v>4845</v>
      </c>
    </row>
    <row r="542" spans="1:8" ht="15.75" customHeight="1">
      <c r="A542" s="24" t="s">
        <v>2478</v>
      </c>
      <c r="B542" s="24" t="s">
        <v>2479</v>
      </c>
      <c r="C542" s="24"/>
      <c r="D542" s="25"/>
      <c r="E542" s="25">
        <v>4</v>
      </c>
      <c r="F542" s="25"/>
      <c r="G542" s="25"/>
      <c r="H542" s="22">
        <f t="shared" si="8"/>
        <v>4</v>
      </c>
    </row>
    <row r="543" spans="1:8" ht="15.75" customHeight="1">
      <c r="A543" s="20" t="s">
        <v>2480</v>
      </c>
      <c r="B543" s="20" t="s">
        <v>2481</v>
      </c>
      <c r="C543" s="20"/>
      <c r="D543" s="21"/>
      <c r="E543" s="21">
        <v>3</v>
      </c>
      <c r="F543" s="21"/>
      <c r="G543" s="21"/>
      <c r="H543" s="22">
        <f t="shared" si="8"/>
        <v>3</v>
      </c>
    </row>
    <row r="544" spans="1:8" ht="15.75" customHeight="1">
      <c r="A544" s="24" t="s">
        <v>2482</v>
      </c>
      <c r="B544" s="24" t="s">
        <v>2483</v>
      </c>
      <c r="C544" s="24"/>
      <c r="D544" s="25"/>
      <c r="E544" s="25">
        <v>100</v>
      </c>
      <c r="F544" s="25"/>
      <c r="G544" s="25"/>
      <c r="H544" s="22">
        <f t="shared" si="8"/>
        <v>100</v>
      </c>
    </row>
    <row r="545" spans="1:8" ht="15.75" customHeight="1">
      <c r="A545" s="20" t="s">
        <v>680</v>
      </c>
      <c r="B545" s="20" t="s">
        <v>681</v>
      </c>
      <c r="C545" s="20" t="s">
        <v>682</v>
      </c>
      <c r="D545" s="21">
        <v>2101</v>
      </c>
      <c r="E545" s="21">
        <v>1300</v>
      </c>
      <c r="F545" s="21">
        <v>1235</v>
      </c>
      <c r="G545" s="21">
        <v>671</v>
      </c>
      <c r="H545" s="22">
        <f t="shared" si="8"/>
        <v>5307</v>
      </c>
    </row>
    <row r="546" spans="1:8" ht="15.75" customHeight="1">
      <c r="A546" s="24" t="s">
        <v>683</v>
      </c>
      <c r="B546" s="24" t="s">
        <v>684</v>
      </c>
      <c r="C546" s="24" t="s">
        <v>685</v>
      </c>
      <c r="D546" s="25">
        <v>3093</v>
      </c>
      <c r="E546" s="25">
        <v>3422</v>
      </c>
      <c r="F546" s="25">
        <v>4546</v>
      </c>
      <c r="G546" s="25">
        <v>1178</v>
      </c>
      <c r="H546" s="22">
        <f t="shared" si="8"/>
        <v>12239</v>
      </c>
    </row>
    <row r="547" spans="1:8" ht="15.75" customHeight="1">
      <c r="A547" s="20" t="s">
        <v>2484</v>
      </c>
      <c r="B547" s="20" t="s">
        <v>2485</v>
      </c>
      <c r="C547" s="20"/>
      <c r="D547" s="21"/>
      <c r="E547" s="21">
        <v>50</v>
      </c>
      <c r="F547" s="21"/>
      <c r="G547" s="21"/>
      <c r="H547" s="22">
        <f t="shared" si="8"/>
        <v>50</v>
      </c>
    </row>
    <row r="548" spans="1:8" ht="15.75" customHeight="1">
      <c r="A548" s="24" t="s">
        <v>686</v>
      </c>
      <c r="B548" s="24" t="s">
        <v>687</v>
      </c>
      <c r="C548" s="24" t="s">
        <v>688</v>
      </c>
      <c r="D548" s="25">
        <v>50</v>
      </c>
      <c r="E548" s="25"/>
      <c r="F548" s="25"/>
      <c r="G548" s="25"/>
      <c r="H548" s="22">
        <f t="shared" si="8"/>
        <v>50</v>
      </c>
    </row>
    <row r="549" spans="1:8" ht="15.75" customHeight="1">
      <c r="A549" s="20" t="s">
        <v>689</v>
      </c>
      <c r="B549" s="20" t="s">
        <v>351</v>
      </c>
      <c r="C549" s="20" t="s">
        <v>690</v>
      </c>
      <c r="D549" s="21">
        <v>2536</v>
      </c>
      <c r="E549" s="21">
        <v>2431</v>
      </c>
      <c r="F549" s="21">
        <v>2486</v>
      </c>
      <c r="G549" s="21">
        <v>655</v>
      </c>
      <c r="H549" s="22">
        <f t="shared" si="8"/>
        <v>8108</v>
      </c>
    </row>
    <row r="550" spans="1:8" ht="15.75" customHeight="1">
      <c r="A550" s="24" t="s">
        <v>691</v>
      </c>
      <c r="B550" s="24" t="s">
        <v>692</v>
      </c>
      <c r="C550" s="24" t="s">
        <v>693</v>
      </c>
      <c r="D550" s="25">
        <v>909</v>
      </c>
      <c r="E550" s="25">
        <v>1309</v>
      </c>
      <c r="F550" s="25">
        <v>1462</v>
      </c>
      <c r="G550" s="25">
        <v>319</v>
      </c>
      <c r="H550" s="22">
        <f t="shared" si="8"/>
        <v>3999</v>
      </c>
    </row>
    <row r="551" spans="1:8" ht="15.75" customHeight="1">
      <c r="A551" s="20" t="s">
        <v>2486</v>
      </c>
      <c r="B551" s="20" t="s">
        <v>2487</v>
      </c>
      <c r="C551" s="20"/>
      <c r="D551" s="21"/>
      <c r="E551" s="21">
        <v>22</v>
      </c>
      <c r="F551" s="21"/>
      <c r="G551" s="21"/>
      <c r="H551" s="22">
        <f t="shared" si="8"/>
        <v>22</v>
      </c>
    </row>
    <row r="552" spans="1:8" ht="15.75" customHeight="1">
      <c r="A552" s="24" t="s">
        <v>694</v>
      </c>
      <c r="B552" s="24" t="s">
        <v>357</v>
      </c>
      <c r="C552" s="24" t="s">
        <v>695</v>
      </c>
      <c r="D552" s="25">
        <v>1545</v>
      </c>
      <c r="E552" s="25">
        <v>1499</v>
      </c>
      <c r="F552" s="25">
        <v>1425</v>
      </c>
      <c r="G552" s="25">
        <v>302</v>
      </c>
      <c r="H552" s="22">
        <f t="shared" si="8"/>
        <v>4771</v>
      </c>
    </row>
    <row r="553" spans="1:8" ht="15.75" customHeight="1">
      <c r="A553" s="20" t="s">
        <v>696</v>
      </c>
      <c r="B553" s="20" t="s">
        <v>697</v>
      </c>
      <c r="C553" s="20" t="s">
        <v>698</v>
      </c>
      <c r="D553" s="21">
        <v>1851</v>
      </c>
      <c r="E553" s="21">
        <v>2333</v>
      </c>
      <c r="F553" s="21">
        <v>802</v>
      </c>
      <c r="G553" s="21">
        <v>128</v>
      </c>
      <c r="H553" s="22">
        <f t="shared" si="8"/>
        <v>5114</v>
      </c>
    </row>
    <row r="554" spans="1:8" ht="15.75" customHeight="1">
      <c r="A554" s="24" t="s">
        <v>3033</v>
      </c>
      <c r="B554" s="24" t="s">
        <v>2681</v>
      </c>
      <c r="C554" s="24"/>
      <c r="D554" s="25"/>
      <c r="E554" s="25"/>
      <c r="F554" s="25">
        <v>12</v>
      </c>
      <c r="G554" s="25"/>
      <c r="H554" s="22">
        <f t="shared" si="8"/>
        <v>12</v>
      </c>
    </row>
    <row r="555" spans="1:8" ht="15.75" customHeight="1">
      <c r="A555" s="20" t="s">
        <v>2488</v>
      </c>
      <c r="B555" s="20" t="s">
        <v>2489</v>
      </c>
      <c r="C555" s="20"/>
      <c r="D555" s="21"/>
      <c r="E555" s="21">
        <v>9</v>
      </c>
      <c r="F555" s="21"/>
      <c r="G555" s="21"/>
      <c r="H555" s="22">
        <f t="shared" si="8"/>
        <v>9</v>
      </c>
    </row>
    <row r="556" spans="1:8" ht="15.75" customHeight="1">
      <c r="A556" s="24" t="s">
        <v>2490</v>
      </c>
      <c r="B556" s="24" t="s">
        <v>2491</v>
      </c>
      <c r="C556" s="24"/>
      <c r="D556" s="25"/>
      <c r="E556" s="25">
        <v>99</v>
      </c>
      <c r="F556" s="25">
        <v>10</v>
      </c>
      <c r="G556" s="25"/>
      <c r="H556" s="22">
        <f t="shared" si="8"/>
        <v>109</v>
      </c>
    </row>
    <row r="557" spans="1:8" ht="15.75" customHeight="1">
      <c r="A557" s="20" t="s">
        <v>699</v>
      </c>
      <c r="B557" s="20" t="s">
        <v>700</v>
      </c>
      <c r="C557" s="20" t="s">
        <v>701</v>
      </c>
      <c r="D557" s="21">
        <v>2739</v>
      </c>
      <c r="E557" s="21">
        <v>6251</v>
      </c>
      <c r="F557" s="21">
        <v>2799</v>
      </c>
      <c r="G557" s="21">
        <v>775</v>
      </c>
      <c r="H557" s="22">
        <f t="shared" si="8"/>
        <v>12564</v>
      </c>
    </row>
    <row r="558" spans="1:8" ht="15.75" customHeight="1">
      <c r="A558" s="24" t="s">
        <v>702</v>
      </c>
      <c r="B558" s="24" t="s">
        <v>703</v>
      </c>
      <c r="C558" s="24" t="s">
        <v>704</v>
      </c>
      <c r="D558" s="25">
        <v>1191</v>
      </c>
      <c r="E558" s="25">
        <v>510</v>
      </c>
      <c r="F558" s="25">
        <v>542</v>
      </c>
      <c r="G558" s="25">
        <v>20</v>
      </c>
      <c r="H558" s="22">
        <f t="shared" si="8"/>
        <v>2263</v>
      </c>
    </row>
    <row r="559" spans="1:8" ht="15.75" customHeight="1">
      <c r="A559" s="20" t="s">
        <v>705</v>
      </c>
      <c r="B559" s="20" t="s">
        <v>480</v>
      </c>
      <c r="C559" s="20" t="s">
        <v>706</v>
      </c>
      <c r="D559" s="21">
        <v>137</v>
      </c>
      <c r="E559" s="21">
        <v>668</v>
      </c>
      <c r="F559" s="21">
        <v>692</v>
      </c>
      <c r="G559" s="21">
        <v>336</v>
      </c>
      <c r="H559" s="22">
        <f t="shared" si="8"/>
        <v>1833</v>
      </c>
    </row>
    <row r="560" spans="1:8" ht="15.75" customHeight="1">
      <c r="A560" s="24" t="s">
        <v>707</v>
      </c>
      <c r="B560" s="24" t="s">
        <v>708</v>
      </c>
      <c r="C560" s="24" t="s">
        <v>709</v>
      </c>
      <c r="D560" s="25">
        <v>339</v>
      </c>
      <c r="E560" s="25">
        <v>170</v>
      </c>
      <c r="F560" s="25">
        <v>584</v>
      </c>
      <c r="G560" s="25">
        <v>110</v>
      </c>
      <c r="H560" s="22">
        <f t="shared" si="8"/>
        <v>1203</v>
      </c>
    </row>
    <row r="561" spans="1:8" ht="15.75" customHeight="1">
      <c r="A561" s="20" t="s">
        <v>3034</v>
      </c>
      <c r="B561" s="20" t="s">
        <v>3035</v>
      </c>
      <c r="C561" s="20"/>
      <c r="D561" s="21"/>
      <c r="E561" s="21"/>
      <c r="F561" s="21">
        <v>5</v>
      </c>
      <c r="G561" s="21"/>
      <c r="H561" s="22">
        <f t="shared" si="8"/>
        <v>5</v>
      </c>
    </row>
    <row r="562" spans="1:8" ht="15.75" customHeight="1">
      <c r="A562" s="24" t="s">
        <v>710</v>
      </c>
      <c r="B562" s="24" t="s">
        <v>711</v>
      </c>
      <c r="C562" s="24" t="s">
        <v>712</v>
      </c>
      <c r="D562" s="25">
        <v>269</v>
      </c>
      <c r="E562" s="25">
        <v>278</v>
      </c>
      <c r="F562" s="25">
        <v>356</v>
      </c>
      <c r="G562" s="25">
        <v>200</v>
      </c>
      <c r="H562" s="22">
        <f t="shared" si="8"/>
        <v>1103</v>
      </c>
    </row>
    <row r="563" spans="1:8" ht="15.75" customHeight="1">
      <c r="A563" s="20" t="s">
        <v>713</v>
      </c>
      <c r="B563" s="20" t="s">
        <v>714</v>
      </c>
      <c r="C563" s="20" t="s">
        <v>715</v>
      </c>
      <c r="D563" s="21">
        <v>62</v>
      </c>
      <c r="E563" s="21">
        <v>64</v>
      </c>
      <c r="F563" s="21">
        <v>107</v>
      </c>
      <c r="G563" s="21"/>
      <c r="H563" s="22">
        <f t="shared" si="8"/>
        <v>233</v>
      </c>
    </row>
    <row r="564" spans="1:8" ht="15.75" customHeight="1">
      <c r="A564" s="24" t="s">
        <v>2492</v>
      </c>
      <c r="B564" s="24" t="s">
        <v>2493</v>
      </c>
      <c r="C564" s="24"/>
      <c r="D564" s="25"/>
      <c r="E564" s="25">
        <v>210</v>
      </c>
      <c r="F564" s="25">
        <v>120</v>
      </c>
      <c r="G564" s="25"/>
      <c r="H564" s="22">
        <f t="shared" si="8"/>
        <v>330</v>
      </c>
    </row>
    <row r="565" spans="1:8" ht="15.75" customHeight="1">
      <c r="A565" s="20" t="s">
        <v>716</v>
      </c>
      <c r="B565" s="20" t="s">
        <v>717</v>
      </c>
      <c r="C565" s="20" t="s">
        <v>718</v>
      </c>
      <c r="D565" s="21">
        <v>20</v>
      </c>
      <c r="E565" s="21"/>
      <c r="F565" s="21"/>
      <c r="G565" s="21"/>
      <c r="H565" s="22">
        <f t="shared" si="8"/>
        <v>20</v>
      </c>
    </row>
    <row r="566" spans="1:8" ht="15.75" customHeight="1">
      <c r="A566" s="24" t="s">
        <v>719</v>
      </c>
      <c r="B566" s="24" t="s">
        <v>720</v>
      </c>
      <c r="C566" s="24" t="s">
        <v>721</v>
      </c>
      <c r="D566" s="25">
        <v>1468</v>
      </c>
      <c r="E566" s="25">
        <v>384</v>
      </c>
      <c r="F566" s="25">
        <v>425</v>
      </c>
      <c r="G566" s="25">
        <v>222</v>
      </c>
      <c r="H566" s="22">
        <f t="shared" si="8"/>
        <v>2499</v>
      </c>
    </row>
    <row r="567" spans="1:8" ht="15.75" customHeight="1">
      <c r="A567" s="20" t="s">
        <v>722</v>
      </c>
      <c r="B567" s="20" t="s">
        <v>723</v>
      </c>
      <c r="C567" s="20" t="s">
        <v>724</v>
      </c>
      <c r="D567" s="21">
        <v>439</v>
      </c>
      <c r="E567" s="21">
        <v>1304</v>
      </c>
      <c r="F567" s="21">
        <v>908</v>
      </c>
      <c r="G567" s="21">
        <v>372</v>
      </c>
      <c r="H567" s="22">
        <f t="shared" si="8"/>
        <v>3023</v>
      </c>
    </row>
    <row r="568" spans="1:8" ht="15.75" customHeight="1">
      <c r="A568" s="24" t="s">
        <v>725</v>
      </c>
      <c r="B568" s="24" t="s">
        <v>726</v>
      </c>
      <c r="C568" s="24" t="s">
        <v>727</v>
      </c>
      <c r="D568" s="25">
        <v>282</v>
      </c>
      <c r="E568" s="25">
        <v>185</v>
      </c>
      <c r="F568" s="25">
        <v>289</v>
      </c>
      <c r="G568" s="25">
        <v>70</v>
      </c>
      <c r="H568" s="22">
        <f t="shared" si="8"/>
        <v>826</v>
      </c>
    </row>
    <row r="569" spans="1:8" ht="15.75" customHeight="1">
      <c r="A569" s="20" t="s">
        <v>728</v>
      </c>
      <c r="B569" s="20" t="s">
        <v>729</v>
      </c>
      <c r="C569" s="20" t="s">
        <v>730</v>
      </c>
      <c r="D569" s="21">
        <v>38</v>
      </c>
      <c r="E569" s="21">
        <v>84</v>
      </c>
      <c r="F569" s="21">
        <v>35</v>
      </c>
      <c r="G569" s="21"/>
      <c r="H569" s="22">
        <f t="shared" si="8"/>
        <v>157</v>
      </c>
    </row>
    <row r="570" spans="1:8" ht="15.75" customHeight="1">
      <c r="A570" s="24" t="s">
        <v>731</v>
      </c>
      <c r="B570" s="24" t="s">
        <v>732</v>
      </c>
      <c r="C570" s="24" t="s">
        <v>733</v>
      </c>
      <c r="D570" s="25">
        <v>165</v>
      </c>
      <c r="E570" s="25">
        <v>15</v>
      </c>
      <c r="F570" s="25">
        <v>80</v>
      </c>
      <c r="G570" s="25">
        <v>20</v>
      </c>
      <c r="H570" s="22">
        <f t="shared" si="8"/>
        <v>280</v>
      </c>
    </row>
    <row r="571" spans="1:8" ht="15.75" customHeight="1">
      <c r="A571" s="20" t="s">
        <v>734</v>
      </c>
      <c r="B571" s="20" t="s">
        <v>735</v>
      </c>
      <c r="C571" s="20" t="s">
        <v>736</v>
      </c>
      <c r="D571" s="21">
        <v>65</v>
      </c>
      <c r="E571" s="21"/>
      <c r="F571" s="21">
        <v>67</v>
      </c>
      <c r="G571" s="21"/>
      <c r="H571" s="22">
        <f t="shared" si="8"/>
        <v>132</v>
      </c>
    </row>
    <row r="572" spans="1:8" ht="15.75" customHeight="1">
      <c r="A572" s="24" t="s">
        <v>737</v>
      </c>
      <c r="B572" s="24" t="s">
        <v>738</v>
      </c>
      <c r="C572" s="24" t="s">
        <v>739</v>
      </c>
      <c r="D572" s="25">
        <v>1020</v>
      </c>
      <c r="E572" s="25">
        <v>210</v>
      </c>
      <c r="F572" s="25">
        <v>220</v>
      </c>
      <c r="G572" s="25">
        <v>300</v>
      </c>
      <c r="H572" s="22">
        <f t="shared" si="8"/>
        <v>1750</v>
      </c>
    </row>
    <row r="573" spans="1:8" ht="15.75" customHeight="1">
      <c r="A573" s="20" t="s">
        <v>740</v>
      </c>
      <c r="B573" s="20" t="s">
        <v>741</v>
      </c>
      <c r="C573" s="20" t="s">
        <v>742</v>
      </c>
      <c r="D573" s="21">
        <v>172</v>
      </c>
      <c r="E573" s="21">
        <v>198</v>
      </c>
      <c r="F573" s="21">
        <v>228</v>
      </c>
      <c r="G573" s="21">
        <v>58</v>
      </c>
      <c r="H573" s="22">
        <f t="shared" si="8"/>
        <v>656</v>
      </c>
    </row>
    <row r="574" spans="1:8" ht="15.75" customHeight="1">
      <c r="A574" s="24" t="s">
        <v>2494</v>
      </c>
      <c r="B574" s="24" t="s">
        <v>2495</v>
      </c>
      <c r="C574" s="24" t="s">
        <v>2496</v>
      </c>
      <c r="D574" s="25"/>
      <c r="E574" s="25">
        <v>50</v>
      </c>
      <c r="F574" s="25">
        <v>10</v>
      </c>
      <c r="G574" s="25"/>
      <c r="H574" s="22">
        <f t="shared" si="8"/>
        <v>60</v>
      </c>
    </row>
    <row r="575" spans="1:8" ht="15.75" customHeight="1">
      <c r="A575" s="20" t="s">
        <v>2497</v>
      </c>
      <c r="B575" s="20" t="s">
        <v>2498</v>
      </c>
      <c r="C575" s="20"/>
      <c r="D575" s="21"/>
      <c r="E575" s="21">
        <v>50</v>
      </c>
      <c r="F575" s="21">
        <v>10</v>
      </c>
      <c r="G575" s="21"/>
      <c r="H575" s="22">
        <f t="shared" si="8"/>
        <v>60</v>
      </c>
    </row>
    <row r="576" spans="1:8" ht="15.75" customHeight="1">
      <c r="A576" s="24" t="s">
        <v>743</v>
      </c>
      <c r="B576" s="24" t="s">
        <v>744</v>
      </c>
      <c r="C576" s="24" t="s">
        <v>745</v>
      </c>
      <c r="D576" s="25">
        <v>1542</v>
      </c>
      <c r="E576" s="25">
        <v>1240</v>
      </c>
      <c r="F576" s="25">
        <v>2734</v>
      </c>
      <c r="G576" s="25">
        <v>864</v>
      </c>
      <c r="H576" s="22">
        <f t="shared" si="8"/>
        <v>6380</v>
      </c>
    </row>
    <row r="577" spans="1:8" ht="15.75" customHeight="1">
      <c r="A577" s="20" t="s">
        <v>746</v>
      </c>
      <c r="B577" s="20" t="s">
        <v>747</v>
      </c>
      <c r="C577" s="20" t="s">
        <v>748</v>
      </c>
      <c r="D577" s="21">
        <v>202</v>
      </c>
      <c r="E577" s="21">
        <v>135</v>
      </c>
      <c r="F577" s="21">
        <v>518</v>
      </c>
      <c r="G577" s="21">
        <v>47</v>
      </c>
      <c r="H577" s="22">
        <f t="shared" si="8"/>
        <v>902</v>
      </c>
    </row>
    <row r="578" spans="1:8" ht="15.75" customHeight="1">
      <c r="A578" s="24" t="s">
        <v>749</v>
      </c>
      <c r="B578" s="24" t="s">
        <v>430</v>
      </c>
      <c r="C578" s="24"/>
      <c r="D578" s="25">
        <v>30</v>
      </c>
      <c r="E578" s="25">
        <v>50</v>
      </c>
      <c r="F578" s="25">
        <v>40</v>
      </c>
      <c r="G578" s="25">
        <v>10</v>
      </c>
      <c r="H578" s="22">
        <f t="shared" si="8"/>
        <v>130</v>
      </c>
    </row>
    <row r="579" spans="1:8" ht="15.75" customHeight="1">
      <c r="A579" s="20" t="s">
        <v>2499</v>
      </c>
      <c r="B579" s="20" t="s">
        <v>2500</v>
      </c>
      <c r="C579" s="20"/>
      <c r="D579" s="21"/>
      <c r="E579" s="21">
        <v>13</v>
      </c>
      <c r="F579" s="21"/>
      <c r="G579" s="21"/>
      <c r="H579" s="22">
        <f t="shared" si="8"/>
        <v>13</v>
      </c>
    </row>
    <row r="580" spans="1:8" ht="15.75" customHeight="1">
      <c r="A580" s="24" t="s">
        <v>750</v>
      </c>
      <c r="B580" s="24" t="s">
        <v>751</v>
      </c>
      <c r="C580" s="24"/>
      <c r="D580" s="25">
        <v>30</v>
      </c>
      <c r="E580" s="25"/>
      <c r="F580" s="25"/>
      <c r="G580" s="25"/>
      <c r="H580" s="22">
        <f t="shared" ref="H580:H643" si="9">SUM(D580:G580)</f>
        <v>30</v>
      </c>
    </row>
    <row r="581" spans="1:8" ht="15.75" customHeight="1">
      <c r="A581" s="20" t="s">
        <v>3036</v>
      </c>
      <c r="B581" s="20" t="s">
        <v>3037</v>
      </c>
      <c r="C581" s="20"/>
      <c r="D581" s="21"/>
      <c r="E581" s="21"/>
      <c r="F581" s="21">
        <v>10</v>
      </c>
      <c r="G581" s="21"/>
      <c r="H581" s="22">
        <f t="shared" si="9"/>
        <v>10</v>
      </c>
    </row>
    <row r="582" spans="1:8" ht="15.75" customHeight="1">
      <c r="A582" s="24" t="s">
        <v>752</v>
      </c>
      <c r="B582" s="24" t="s">
        <v>753</v>
      </c>
      <c r="C582" s="24"/>
      <c r="D582" s="25">
        <v>20</v>
      </c>
      <c r="E582" s="25">
        <v>6</v>
      </c>
      <c r="F582" s="25">
        <v>28</v>
      </c>
      <c r="G582" s="25">
        <v>10</v>
      </c>
      <c r="H582" s="22">
        <f t="shared" si="9"/>
        <v>64</v>
      </c>
    </row>
    <row r="583" spans="1:8" ht="15.75" customHeight="1">
      <c r="A583" s="20" t="s">
        <v>754</v>
      </c>
      <c r="B583" s="20" t="s">
        <v>755</v>
      </c>
      <c r="C583" s="20"/>
      <c r="D583" s="21">
        <v>230</v>
      </c>
      <c r="E583" s="21">
        <v>34</v>
      </c>
      <c r="F583" s="21">
        <v>78</v>
      </c>
      <c r="G583" s="21"/>
      <c r="H583" s="22">
        <f t="shared" si="9"/>
        <v>342</v>
      </c>
    </row>
    <row r="584" spans="1:8" ht="15.75" customHeight="1">
      <c r="A584" s="24" t="s">
        <v>3038</v>
      </c>
      <c r="B584" s="24" t="s">
        <v>3039</v>
      </c>
      <c r="C584" s="24"/>
      <c r="D584" s="25"/>
      <c r="E584" s="25"/>
      <c r="F584" s="25">
        <v>10</v>
      </c>
      <c r="G584" s="25"/>
      <c r="H584" s="22">
        <f t="shared" si="9"/>
        <v>10</v>
      </c>
    </row>
    <row r="585" spans="1:8" ht="15.75" customHeight="1">
      <c r="A585" s="20" t="s">
        <v>3040</v>
      </c>
      <c r="B585" s="20" t="s">
        <v>3041</v>
      </c>
      <c r="C585" s="20"/>
      <c r="D585" s="21"/>
      <c r="E585" s="21"/>
      <c r="F585" s="21">
        <v>10</v>
      </c>
      <c r="G585" s="21"/>
      <c r="H585" s="22">
        <f t="shared" si="9"/>
        <v>10</v>
      </c>
    </row>
    <row r="586" spans="1:8" ht="15.75" customHeight="1">
      <c r="A586" s="24" t="s">
        <v>2501</v>
      </c>
      <c r="B586" s="24" t="s">
        <v>2502</v>
      </c>
      <c r="C586" s="24"/>
      <c r="D586" s="25"/>
      <c r="E586" s="25">
        <v>200</v>
      </c>
      <c r="F586" s="25"/>
      <c r="G586" s="25"/>
      <c r="H586" s="22">
        <f t="shared" si="9"/>
        <v>200</v>
      </c>
    </row>
    <row r="587" spans="1:8" ht="15.75" customHeight="1">
      <c r="A587" s="20" t="s">
        <v>756</v>
      </c>
      <c r="B587" s="20" t="s">
        <v>757</v>
      </c>
      <c r="C587" s="20" t="s">
        <v>758</v>
      </c>
      <c r="D587" s="21">
        <v>40</v>
      </c>
      <c r="E587" s="21"/>
      <c r="F587" s="21"/>
      <c r="G587" s="21"/>
      <c r="H587" s="22">
        <f t="shared" si="9"/>
        <v>40</v>
      </c>
    </row>
    <row r="588" spans="1:8" ht="15.75" customHeight="1">
      <c r="A588" s="24" t="s">
        <v>3042</v>
      </c>
      <c r="B588" s="24" t="s">
        <v>3043</v>
      </c>
      <c r="C588" s="24"/>
      <c r="D588" s="25"/>
      <c r="E588" s="25"/>
      <c r="F588" s="25">
        <v>4</v>
      </c>
      <c r="G588" s="25"/>
      <c r="H588" s="22">
        <f t="shared" si="9"/>
        <v>4</v>
      </c>
    </row>
    <row r="589" spans="1:8" ht="15.75" customHeight="1">
      <c r="A589" s="20" t="s">
        <v>759</v>
      </c>
      <c r="B589" s="20" t="s">
        <v>760</v>
      </c>
      <c r="C589" s="20" t="s">
        <v>761</v>
      </c>
      <c r="D589" s="21">
        <v>40</v>
      </c>
      <c r="E589" s="21">
        <v>8</v>
      </c>
      <c r="F589" s="21"/>
      <c r="G589" s="21"/>
      <c r="H589" s="22">
        <f t="shared" si="9"/>
        <v>48</v>
      </c>
    </row>
    <row r="590" spans="1:8" ht="15.75" customHeight="1">
      <c r="A590" s="24" t="s">
        <v>762</v>
      </c>
      <c r="B590" s="24" t="s">
        <v>763</v>
      </c>
      <c r="C590" s="24" t="s">
        <v>764</v>
      </c>
      <c r="D590" s="25">
        <v>10</v>
      </c>
      <c r="E590" s="25"/>
      <c r="F590" s="25"/>
      <c r="G590" s="25"/>
      <c r="H590" s="22">
        <f t="shared" si="9"/>
        <v>10</v>
      </c>
    </row>
    <row r="591" spans="1:8" ht="15.75" customHeight="1">
      <c r="A591" s="20" t="s">
        <v>2503</v>
      </c>
      <c r="B591" s="20" t="s">
        <v>2504</v>
      </c>
      <c r="C591" s="20"/>
      <c r="D591" s="21"/>
      <c r="E591" s="21">
        <v>5</v>
      </c>
      <c r="F591" s="21"/>
      <c r="G591" s="21"/>
      <c r="H591" s="22">
        <f t="shared" si="9"/>
        <v>5</v>
      </c>
    </row>
    <row r="592" spans="1:8" ht="15.75" customHeight="1">
      <c r="A592" s="24" t="s">
        <v>3044</v>
      </c>
      <c r="B592" s="24" t="s">
        <v>3045</v>
      </c>
      <c r="C592" s="24"/>
      <c r="D592" s="25"/>
      <c r="E592" s="25"/>
      <c r="F592" s="25">
        <v>1004</v>
      </c>
      <c r="G592" s="25"/>
      <c r="H592" s="22">
        <f t="shared" si="9"/>
        <v>1004</v>
      </c>
    </row>
    <row r="593" spans="1:8" ht="15.75" customHeight="1">
      <c r="A593" s="20" t="s">
        <v>765</v>
      </c>
      <c r="B593" s="20" t="s">
        <v>766</v>
      </c>
      <c r="C593" s="20"/>
      <c r="D593" s="21">
        <v>3</v>
      </c>
      <c r="E593" s="21"/>
      <c r="F593" s="21">
        <v>200</v>
      </c>
      <c r="G593" s="21"/>
      <c r="H593" s="22">
        <f t="shared" si="9"/>
        <v>203</v>
      </c>
    </row>
    <row r="594" spans="1:8" ht="15.75" customHeight="1">
      <c r="A594" s="24" t="s">
        <v>2505</v>
      </c>
      <c r="B594" s="24" t="s">
        <v>2506</v>
      </c>
      <c r="C594" s="24"/>
      <c r="D594" s="25"/>
      <c r="E594" s="25">
        <v>74</v>
      </c>
      <c r="F594" s="25">
        <v>200</v>
      </c>
      <c r="G594" s="25"/>
      <c r="H594" s="22">
        <f t="shared" si="9"/>
        <v>274</v>
      </c>
    </row>
    <row r="595" spans="1:8" ht="15.75" customHeight="1">
      <c r="A595" s="20" t="s">
        <v>3046</v>
      </c>
      <c r="B595" s="20" t="s">
        <v>3047</v>
      </c>
      <c r="C595" s="20"/>
      <c r="D595" s="21"/>
      <c r="E595" s="21"/>
      <c r="F595" s="21">
        <v>200</v>
      </c>
      <c r="G595" s="21"/>
      <c r="H595" s="22">
        <f t="shared" si="9"/>
        <v>200</v>
      </c>
    </row>
    <row r="596" spans="1:8" ht="15.75" customHeight="1">
      <c r="A596" s="24" t="s">
        <v>2507</v>
      </c>
      <c r="B596" s="24" t="s">
        <v>2508</v>
      </c>
      <c r="C596" s="24"/>
      <c r="D596" s="25"/>
      <c r="E596" s="25">
        <v>620</v>
      </c>
      <c r="F596" s="25"/>
      <c r="G596" s="25"/>
      <c r="H596" s="22">
        <f t="shared" si="9"/>
        <v>620</v>
      </c>
    </row>
    <row r="597" spans="1:8" ht="15.75" customHeight="1">
      <c r="A597" s="20" t="s">
        <v>2509</v>
      </c>
      <c r="B597" s="20" t="s">
        <v>2510</v>
      </c>
      <c r="C597" s="20"/>
      <c r="D597" s="21"/>
      <c r="E597" s="21">
        <v>130</v>
      </c>
      <c r="F597" s="21">
        <v>5</v>
      </c>
      <c r="G597" s="21"/>
      <c r="H597" s="22">
        <f t="shared" si="9"/>
        <v>135</v>
      </c>
    </row>
    <row r="598" spans="1:8" ht="15.75" customHeight="1">
      <c r="A598" s="24" t="s">
        <v>767</v>
      </c>
      <c r="B598" s="24" t="s">
        <v>768</v>
      </c>
      <c r="C598" s="24"/>
      <c r="D598" s="25">
        <v>40</v>
      </c>
      <c r="E598" s="25">
        <v>459</v>
      </c>
      <c r="F598" s="25">
        <v>46</v>
      </c>
      <c r="G598" s="25">
        <v>45</v>
      </c>
      <c r="H598" s="22">
        <f t="shared" si="9"/>
        <v>590</v>
      </c>
    </row>
    <row r="599" spans="1:8" ht="15.75" customHeight="1">
      <c r="A599" s="20" t="s">
        <v>769</v>
      </c>
      <c r="B599" s="20" t="s">
        <v>770</v>
      </c>
      <c r="C599" s="20" t="s">
        <v>771</v>
      </c>
      <c r="D599" s="21">
        <v>2</v>
      </c>
      <c r="E599" s="21">
        <v>3</v>
      </c>
      <c r="F599" s="21">
        <v>40</v>
      </c>
      <c r="G599" s="21"/>
      <c r="H599" s="22">
        <f t="shared" si="9"/>
        <v>45</v>
      </c>
    </row>
    <row r="600" spans="1:8" ht="15.75" customHeight="1">
      <c r="A600" s="24" t="s">
        <v>772</v>
      </c>
      <c r="B600" s="24" t="s">
        <v>773</v>
      </c>
      <c r="C600" s="24" t="s">
        <v>774</v>
      </c>
      <c r="D600" s="25">
        <v>432</v>
      </c>
      <c r="E600" s="25">
        <v>367</v>
      </c>
      <c r="F600" s="25">
        <v>10</v>
      </c>
      <c r="G600" s="25">
        <v>6</v>
      </c>
      <c r="H600" s="22">
        <f t="shared" si="9"/>
        <v>815</v>
      </c>
    </row>
    <row r="601" spans="1:8" ht="15.75" customHeight="1">
      <c r="A601" s="20" t="s">
        <v>775</v>
      </c>
      <c r="B601" s="20" t="s">
        <v>776</v>
      </c>
      <c r="C601" s="20" t="s">
        <v>777</v>
      </c>
      <c r="D601" s="21">
        <v>4124</v>
      </c>
      <c r="E601" s="21">
        <v>1918</v>
      </c>
      <c r="F601" s="21">
        <v>1611</v>
      </c>
      <c r="G601" s="21">
        <v>1092</v>
      </c>
      <c r="H601" s="22">
        <f t="shared" si="9"/>
        <v>8745</v>
      </c>
    </row>
    <row r="602" spans="1:8" ht="15.75" customHeight="1">
      <c r="A602" s="24" t="s">
        <v>778</v>
      </c>
      <c r="B602" s="24" t="s">
        <v>779</v>
      </c>
      <c r="C602" s="24" t="s">
        <v>780</v>
      </c>
      <c r="D602" s="25">
        <v>5287</v>
      </c>
      <c r="E602" s="25">
        <v>2124</v>
      </c>
      <c r="F602" s="25">
        <v>5527</v>
      </c>
      <c r="G602" s="25">
        <v>956</v>
      </c>
      <c r="H602" s="22">
        <f t="shared" si="9"/>
        <v>13894</v>
      </c>
    </row>
    <row r="603" spans="1:8" ht="15.75" customHeight="1">
      <c r="A603" s="20" t="s">
        <v>3048</v>
      </c>
      <c r="B603" s="20" t="s">
        <v>3049</v>
      </c>
      <c r="C603" s="20" t="s">
        <v>3050</v>
      </c>
      <c r="D603" s="21"/>
      <c r="E603" s="21"/>
      <c r="F603" s="21">
        <v>30</v>
      </c>
      <c r="G603" s="21"/>
      <c r="H603" s="22">
        <f t="shared" si="9"/>
        <v>30</v>
      </c>
    </row>
    <row r="604" spans="1:8" ht="15.75" customHeight="1">
      <c r="A604" s="24" t="s">
        <v>781</v>
      </c>
      <c r="B604" s="24" t="s">
        <v>782</v>
      </c>
      <c r="C604" s="24" t="s">
        <v>783</v>
      </c>
      <c r="D604" s="25">
        <v>15</v>
      </c>
      <c r="E604" s="25"/>
      <c r="F604" s="25">
        <v>120</v>
      </c>
      <c r="G604" s="25"/>
      <c r="H604" s="22">
        <f t="shared" si="9"/>
        <v>135</v>
      </c>
    </row>
    <row r="605" spans="1:8" ht="15.75" customHeight="1">
      <c r="A605" s="20" t="s">
        <v>784</v>
      </c>
      <c r="B605" s="20" t="s">
        <v>785</v>
      </c>
      <c r="C605" s="20" t="s">
        <v>786</v>
      </c>
      <c r="D605" s="21">
        <v>200</v>
      </c>
      <c r="E605" s="21"/>
      <c r="F605" s="21"/>
      <c r="G605" s="21"/>
      <c r="H605" s="22">
        <f t="shared" si="9"/>
        <v>200</v>
      </c>
    </row>
    <row r="606" spans="1:8" ht="15.75" customHeight="1">
      <c r="A606" s="24" t="s">
        <v>787</v>
      </c>
      <c r="B606" s="24" t="s">
        <v>788</v>
      </c>
      <c r="C606" s="24" t="s">
        <v>789</v>
      </c>
      <c r="D606" s="25">
        <v>100</v>
      </c>
      <c r="E606" s="25"/>
      <c r="F606" s="25">
        <v>101</v>
      </c>
      <c r="G606" s="25"/>
      <c r="H606" s="22">
        <f t="shared" si="9"/>
        <v>201</v>
      </c>
    </row>
    <row r="607" spans="1:8" ht="15.75" customHeight="1">
      <c r="A607" s="20" t="s">
        <v>3051</v>
      </c>
      <c r="B607" s="20" t="s">
        <v>3052</v>
      </c>
      <c r="C607" s="20" t="s">
        <v>3053</v>
      </c>
      <c r="D607" s="21"/>
      <c r="E607" s="21"/>
      <c r="F607" s="21">
        <v>50</v>
      </c>
      <c r="G607" s="21"/>
      <c r="H607" s="22">
        <f t="shared" si="9"/>
        <v>50</v>
      </c>
    </row>
    <row r="608" spans="1:8" ht="15.75" customHeight="1">
      <c r="A608" s="24" t="s">
        <v>790</v>
      </c>
      <c r="B608" s="24" t="s">
        <v>791</v>
      </c>
      <c r="C608" s="24"/>
      <c r="D608" s="25">
        <v>18</v>
      </c>
      <c r="E608" s="25">
        <v>170</v>
      </c>
      <c r="F608" s="25">
        <v>64</v>
      </c>
      <c r="G608" s="25">
        <v>40</v>
      </c>
      <c r="H608" s="22">
        <f t="shared" si="9"/>
        <v>292</v>
      </c>
    </row>
    <row r="609" spans="1:8" ht="15.75" customHeight="1">
      <c r="A609" s="20" t="s">
        <v>792</v>
      </c>
      <c r="B609" s="20" t="s">
        <v>793</v>
      </c>
      <c r="C609" s="20" t="s">
        <v>794</v>
      </c>
      <c r="D609" s="21">
        <v>100</v>
      </c>
      <c r="E609" s="21"/>
      <c r="F609" s="21">
        <v>4</v>
      </c>
      <c r="G609" s="21"/>
      <c r="H609" s="22">
        <f t="shared" si="9"/>
        <v>104</v>
      </c>
    </row>
    <row r="610" spans="1:8" ht="15.75" customHeight="1">
      <c r="A610" s="24" t="s">
        <v>795</v>
      </c>
      <c r="B610" s="24" t="s">
        <v>796</v>
      </c>
      <c r="C610" s="24" t="s">
        <v>797</v>
      </c>
      <c r="D610" s="25">
        <v>184</v>
      </c>
      <c r="E610" s="25">
        <v>36</v>
      </c>
      <c r="F610" s="25">
        <v>300</v>
      </c>
      <c r="G610" s="25">
        <v>2</v>
      </c>
      <c r="H610" s="22">
        <f t="shared" si="9"/>
        <v>522</v>
      </c>
    </row>
    <row r="611" spans="1:8" ht="15.75" customHeight="1">
      <c r="A611" s="20" t="s">
        <v>798</v>
      </c>
      <c r="B611" s="20" t="s">
        <v>799</v>
      </c>
      <c r="C611" s="20" t="s">
        <v>800</v>
      </c>
      <c r="D611" s="21">
        <v>4368</v>
      </c>
      <c r="E611" s="21">
        <v>1080</v>
      </c>
      <c r="F611" s="21">
        <v>782</v>
      </c>
      <c r="G611" s="21">
        <v>710</v>
      </c>
      <c r="H611" s="22">
        <f t="shared" si="9"/>
        <v>6940</v>
      </c>
    </row>
    <row r="612" spans="1:8" ht="15.75" customHeight="1">
      <c r="A612" s="24" t="s">
        <v>801</v>
      </c>
      <c r="B612" s="24" t="s">
        <v>802</v>
      </c>
      <c r="C612" s="24" t="s">
        <v>803</v>
      </c>
      <c r="D612" s="25">
        <v>5373</v>
      </c>
      <c r="E612" s="25">
        <v>2585</v>
      </c>
      <c r="F612" s="25">
        <v>3687</v>
      </c>
      <c r="G612" s="25">
        <v>558</v>
      </c>
      <c r="H612" s="22">
        <f t="shared" si="9"/>
        <v>12203</v>
      </c>
    </row>
    <row r="613" spans="1:8" ht="15.75" customHeight="1">
      <c r="A613" s="20" t="s">
        <v>3054</v>
      </c>
      <c r="B613" s="20" t="s">
        <v>3055</v>
      </c>
      <c r="C613" s="20" t="s">
        <v>3056</v>
      </c>
      <c r="D613" s="21"/>
      <c r="E613" s="21"/>
      <c r="F613" s="21">
        <v>30</v>
      </c>
      <c r="G613" s="21"/>
      <c r="H613" s="22">
        <f t="shared" si="9"/>
        <v>30</v>
      </c>
    </row>
    <row r="614" spans="1:8" ht="15.75" customHeight="1">
      <c r="A614" s="24" t="s">
        <v>3057</v>
      </c>
      <c r="B614" s="24" t="s">
        <v>3058</v>
      </c>
      <c r="C614" s="24" t="s">
        <v>3059</v>
      </c>
      <c r="D614" s="25"/>
      <c r="E614" s="25"/>
      <c r="F614" s="25">
        <v>20</v>
      </c>
      <c r="G614" s="25"/>
      <c r="H614" s="22">
        <f t="shared" si="9"/>
        <v>20</v>
      </c>
    </row>
    <row r="615" spans="1:8" ht="15.75" customHeight="1">
      <c r="A615" s="20" t="s">
        <v>3060</v>
      </c>
      <c r="B615" s="20" t="s">
        <v>3061</v>
      </c>
      <c r="C615" s="20" t="s">
        <v>3062</v>
      </c>
      <c r="D615" s="21"/>
      <c r="E615" s="21"/>
      <c r="F615" s="21">
        <v>80</v>
      </c>
      <c r="G615" s="21"/>
      <c r="H615" s="22">
        <f t="shared" si="9"/>
        <v>80</v>
      </c>
    </row>
    <row r="616" spans="1:8" ht="15.75" customHeight="1">
      <c r="A616" s="24" t="s">
        <v>3063</v>
      </c>
      <c r="B616" s="24" t="s">
        <v>3064</v>
      </c>
      <c r="C616" s="24" t="s">
        <v>3065</v>
      </c>
      <c r="D616" s="25"/>
      <c r="E616" s="25"/>
      <c r="F616" s="25">
        <v>20</v>
      </c>
      <c r="G616" s="25"/>
      <c r="H616" s="22">
        <f t="shared" si="9"/>
        <v>20</v>
      </c>
    </row>
    <row r="617" spans="1:8" ht="15.75" customHeight="1">
      <c r="A617" s="20" t="s">
        <v>804</v>
      </c>
      <c r="B617" s="20" t="s">
        <v>805</v>
      </c>
      <c r="C617" s="20" t="s">
        <v>806</v>
      </c>
      <c r="D617" s="21">
        <v>301</v>
      </c>
      <c r="E617" s="21">
        <v>150</v>
      </c>
      <c r="F617" s="21">
        <v>50</v>
      </c>
      <c r="G617" s="21"/>
      <c r="H617" s="22">
        <f t="shared" si="9"/>
        <v>501</v>
      </c>
    </row>
    <row r="618" spans="1:8" ht="15.75" customHeight="1">
      <c r="A618" s="24" t="s">
        <v>807</v>
      </c>
      <c r="B618" s="24" t="s">
        <v>808</v>
      </c>
      <c r="C618" s="24" t="s">
        <v>809</v>
      </c>
      <c r="D618" s="25">
        <v>56</v>
      </c>
      <c r="E618" s="25">
        <v>330</v>
      </c>
      <c r="F618" s="25">
        <v>50</v>
      </c>
      <c r="G618" s="25"/>
      <c r="H618" s="22">
        <f t="shared" si="9"/>
        <v>436</v>
      </c>
    </row>
    <row r="619" spans="1:8" ht="15.75" customHeight="1">
      <c r="A619" s="20" t="s">
        <v>810</v>
      </c>
      <c r="B619" s="20" t="s">
        <v>811</v>
      </c>
      <c r="C619" s="20" t="s">
        <v>812</v>
      </c>
      <c r="D619" s="21">
        <v>550</v>
      </c>
      <c r="E619" s="21">
        <v>348</v>
      </c>
      <c r="F619" s="21">
        <v>413</v>
      </c>
      <c r="G619" s="21">
        <v>150</v>
      </c>
      <c r="H619" s="22">
        <f t="shared" si="9"/>
        <v>1461</v>
      </c>
    </row>
    <row r="620" spans="1:8" ht="15.75" customHeight="1">
      <c r="A620" s="24" t="s">
        <v>813</v>
      </c>
      <c r="B620" s="24" t="s">
        <v>814</v>
      </c>
      <c r="C620" s="24" t="s">
        <v>815</v>
      </c>
      <c r="D620" s="25">
        <v>4815</v>
      </c>
      <c r="E620" s="25">
        <v>275</v>
      </c>
      <c r="F620" s="25">
        <v>1071</v>
      </c>
      <c r="G620" s="25">
        <v>764</v>
      </c>
      <c r="H620" s="22">
        <f t="shared" si="9"/>
        <v>6925</v>
      </c>
    </row>
    <row r="621" spans="1:8" ht="15.75" customHeight="1">
      <c r="A621" s="20" t="s">
        <v>3066</v>
      </c>
      <c r="B621" s="20" t="s">
        <v>3067</v>
      </c>
      <c r="C621" s="20"/>
      <c r="D621" s="21"/>
      <c r="E621" s="21"/>
      <c r="F621" s="21">
        <v>1</v>
      </c>
      <c r="G621" s="21"/>
      <c r="H621" s="22">
        <f t="shared" si="9"/>
        <v>1</v>
      </c>
    </row>
    <row r="622" spans="1:8" ht="15.75" customHeight="1">
      <c r="A622" s="24" t="s">
        <v>2511</v>
      </c>
      <c r="B622" s="24" t="s">
        <v>2512</v>
      </c>
      <c r="C622" s="24"/>
      <c r="D622" s="25"/>
      <c r="E622" s="25">
        <v>25</v>
      </c>
      <c r="F622" s="25"/>
      <c r="G622" s="25">
        <v>40</v>
      </c>
      <c r="H622" s="22">
        <f t="shared" si="9"/>
        <v>65</v>
      </c>
    </row>
    <row r="623" spans="1:8" ht="15.75" customHeight="1">
      <c r="A623" s="20" t="s">
        <v>2513</v>
      </c>
      <c r="B623" s="20" t="s">
        <v>2514</v>
      </c>
      <c r="C623" s="20" t="s">
        <v>2515</v>
      </c>
      <c r="D623" s="21"/>
      <c r="E623" s="21">
        <v>2</v>
      </c>
      <c r="F623" s="21"/>
      <c r="G623" s="21"/>
      <c r="H623" s="22">
        <f t="shared" si="9"/>
        <v>2</v>
      </c>
    </row>
    <row r="624" spans="1:8" ht="15.75" customHeight="1">
      <c r="A624" s="24" t="s">
        <v>816</v>
      </c>
      <c r="B624" s="24" t="s">
        <v>817</v>
      </c>
      <c r="C624" s="24" t="s">
        <v>818</v>
      </c>
      <c r="D624" s="25">
        <v>115</v>
      </c>
      <c r="E624" s="25">
        <v>9</v>
      </c>
      <c r="F624" s="25">
        <v>60</v>
      </c>
      <c r="G624" s="25"/>
      <c r="H624" s="22">
        <f t="shared" si="9"/>
        <v>184</v>
      </c>
    </row>
    <row r="625" spans="1:8" ht="15.75" customHeight="1">
      <c r="A625" s="20" t="s">
        <v>819</v>
      </c>
      <c r="B625" s="20" t="s">
        <v>820</v>
      </c>
      <c r="C625" s="20" t="s">
        <v>821</v>
      </c>
      <c r="D625" s="21">
        <v>2234</v>
      </c>
      <c r="E625" s="21">
        <v>1406</v>
      </c>
      <c r="F625" s="21">
        <v>901</v>
      </c>
      <c r="G625" s="21">
        <v>755</v>
      </c>
      <c r="H625" s="22">
        <f t="shared" si="9"/>
        <v>5296</v>
      </c>
    </row>
    <row r="626" spans="1:8" ht="15.75" customHeight="1">
      <c r="A626" s="24" t="s">
        <v>822</v>
      </c>
      <c r="B626" s="24" t="s">
        <v>823</v>
      </c>
      <c r="C626" s="24" t="s">
        <v>824</v>
      </c>
      <c r="D626" s="25">
        <v>4099</v>
      </c>
      <c r="E626" s="25">
        <v>2341</v>
      </c>
      <c r="F626" s="25">
        <v>3087</v>
      </c>
      <c r="G626" s="25">
        <v>521</v>
      </c>
      <c r="H626" s="22">
        <f t="shared" si="9"/>
        <v>10048</v>
      </c>
    </row>
    <row r="627" spans="1:8" ht="15.75" customHeight="1">
      <c r="A627" s="20" t="s">
        <v>3068</v>
      </c>
      <c r="B627" s="20" t="s">
        <v>3069</v>
      </c>
      <c r="C627" s="20" t="s">
        <v>3070</v>
      </c>
      <c r="D627" s="21"/>
      <c r="E627" s="21"/>
      <c r="F627" s="21">
        <v>80</v>
      </c>
      <c r="G627" s="21"/>
      <c r="H627" s="22">
        <f t="shared" si="9"/>
        <v>80</v>
      </c>
    </row>
    <row r="628" spans="1:8" ht="15.75" customHeight="1">
      <c r="A628" s="24" t="s">
        <v>825</v>
      </c>
      <c r="B628" s="24" t="s">
        <v>826</v>
      </c>
      <c r="C628" s="24" t="s">
        <v>827</v>
      </c>
      <c r="D628" s="25">
        <v>50</v>
      </c>
      <c r="E628" s="25"/>
      <c r="F628" s="25"/>
      <c r="G628" s="25"/>
      <c r="H628" s="22">
        <f t="shared" si="9"/>
        <v>50</v>
      </c>
    </row>
    <row r="629" spans="1:8" ht="15.75" customHeight="1">
      <c r="A629" s="20" t="s">
        <v>3071</v>
      </c>
      <c r="B629" s="20" t="s">
        <v>3072</v>
      </c>
      <c r="C629" s="20" t="s">
        <v>3073</v>
      </c>
      <c r="D629" s="21"/>
      <c r="E629" s="21"/>
      <c r="F629" s="21">
        <v>30</v>
      </c>
      <c r="G629" s="21"/>
      <c r="H629" s="22">
        <f t="shared" si="9"/>
        <v>30</v>
      </c>
    </row>
    <row r="630" spans="1:8" ht="15.75" customHeight="1">
      <c r="A630" s="24" t="s">
        <v>2516</v>
      </c>
      <c r="B630" s="24" t="s">
        <v>2517</v>
      </c>
      <c r="C630" s="24"/>
      <c r="D630" s="25"/>
      <c r="E630" s="25">
        <v>20</v>
      </c>
      <c r="F630" s="25"/>
      <c r="G630" s="25"/>
      <c r="H630" s="22">
        <f t="shared" si="9"/>
        <v>20</v>
      </c>
    </row>
    <row r="631" spans="1:8" ht="15.75" customHeight="1">
      <c r="A631" s="20" t="s">
        <v>828</v>
      </c>
      <c r="B631" s="20" t="s">
        <v>829</v>
      </c>
      <c r="C631" s="20" t="s">
        <v>830</v>
      </c>
      <c r="D631" s="21">
        <v>5</v>
      </c>
      <c r="E631" s="21"/>
      <c r="F631" s="21">
        <v>10</v>
      </c>
      <c r="G631" s="21"/>
      <c r="H631" s="22">
        <f t="shared" si="9"/>
        <v>15</v>
      </c>
    </row>
    <row r="632" spans="1:8" ht="15.75" customHeight="1">
      <c r="A632" s="24" t="s">
        <v>831</v>
      </c>
      <c r="B632" s="24" t="s">
        <v>832</v>
      </c>
      <c r="C632" s="24" t="s">
        <v>833</v>
      </c>
      <c r="D632" s="25">
        <v>1495</v>
      </c>
      <c r="E632" s="25">
        <v>401</v>
      </c>
      <c r="F632" s="25">
        <v>706</v>
      </c>
      <c r="G632" s="25">
        <v>455</v>
      </c>
      <c r="H632" s="22">
        <f t="shared" si="9"/>
        <v>3057</v>
      </c>
    </row>
    <row r="633" spans="1:8" ht="15.75" customHeight="1">
      <c r="A633" s="20" t="s">
        <v>834</v>
      </c>
      <c r="B633" s="20" t="s">
        <v>835</v>
      </c>
      <c r="C633" s="20" t="s">
        <v>836</v>
      </c>
      <c r="D633" s="21">
        <v>2032</v>
      </c>
      <c r="E633" s="21">
        <v>478</v>
      </c>
      <c r="F633" s="21">
        <v>1302</v>
      </c>
      <c r="G633" s="21">
        <v>182</v>
      </c>
      <c r="H633" s="22">
        <f t="shared" si="9"/>
        <v>3994</v>
      </c>
    </row>
    <row r="634" spans="1:8" ht="15.75" customHeight="1">
      <c r="A634" s="24" t="s">
        <v>3074</v>
      </c>
      <c r="B634" s="24" t="s">
        <v>3075</v>
      </c>
      <c r="C634" s="24" t="s">
        <v>3076</v>
      </c>
      <c r="D634" s="25"/>
      <c r="E634" s="25"/>
      <c r="F634" s="25">
        <v>10</v>
      </c>
      <c r="G634" s="25"/>
      <c r="H634" s="22">
        <f t="shared" si="9"/>
        <v>10</v>
      </c>
    </row>
    <row r="635" spans="1:8" ht="15.75" customHeight="1">
      <c r="A635" s="20" t="s">
        <v>3077</v>
      </c>
      <c r="B635" s="20" t="s">
        <v>3078</v>
      </c>
      <c r="C635" s="20" t="s">
        <v>3079</v>
      </c>
      <c r="D635" s="21"/>
      <c r="E635" s="21"/>
      <c r="F635" s="21">
        <v>50</v>
      </c>
      <c r="G635" s="21"/>
      <c r="H635" s="22">
        <f t="shared" si="9"/>
        <v>50</v>
      </c>
    </row>
    <row r="636" spans="1:8" ht="15.75" customHeight="1">
      <c r="A636" s="24" t="s">
        <v>3080</v>
      </c>
      <c r="B636" s="24" t="s">
        <v>3081</v>
      </c>
      <c r="C636" s="24" t="s">
        <v>3082</v>
      </c>
      <c r="D636" s="25"/>
      <c r="E636" s="25"/>
      <c r="F636" s="25">
        <v>10</v>
      </c>
      <c r="G636" s="25"/>
      <c r="H636" s="22">
        <f t="shared" si="9"/>
        <v>10</v>
      </c>
    </row>
    <row r="637" spans="1:8" ht="15.75" customHeight="1">
      <c r="A637" s="20" t="s">
        <v>2518</v>
      </c>
      <c r="B637" s="20" t="s">
        <v>2519</v>
      </c>
      <c r="C637" s="20"/>
      <c r="D637" s="21"/>
      <c r="E637" s="21">
        <v>100</v>
      </c>
      <c r="F637" s="21">
        <v>3</v>
      </c>
      <c r="G637" s="21">
        <v>10</v>
      </c>
      <c r="H637" s="22">
        <f t="shared" si="9"/>
        <v>113</v>
      </c>
    </row>
    <row r="638" spans="1:8" ht="15.75" customHeight="1">
      <c r="A638" s="24" t="s">
        <v>837</v>
      </c>
      <c r="B638" s="24" t="s">
        <v>838</v>
      </c>
      <c r="C638" s="24" t="s">
        <v>839</v>
      </c>
      <c r="D638" s="25">
        <v>1269</v>
      </c>
      <c r="E638" s="25">
        <v>153</v>
      </c>
      <c r="F638" s="25">
        <v>204</v>
      </c>
      <c r="G638" s="25"/>
      <c r="H638" s="22">
        <f t="shared" si="9"/>
        <v>1626</v>
      </c>
    </row>
    <row r="639" spans="1:8" ht="15.75" customHeight="1">
      <c r="A639" s="20" t="s">
        <v>840</v>
      </c>
      <c r="B639" s="20" t="s">
        <v>841</v>
      </c>
      <c r="C639" s="20" t="s">
        <v>842</v>
      </c>
      <c r="D639" s="21">
        <v>1028</v>
      </c>
      <c r="E639" s="21">
        <v>1419</v>
      </c>
      <c r="F639" s="21">
        <v>328</v>
      </c>
      <c r="G639" s="21">
        <v>134</v>
      </c>
      <c r="H639" s="22">
        <f t="shared" si="9"/>
        <v>2909</v>
      </c>
    </row>
    <row r="640" spans="1:8" ht="15.75" customHeight="1">
      <c r="A640" s="24" t="s">
        <v>2520</v>
      </c>
      <c r="B640" s="24" t="s">
        <v>2521</v>
      </c>
      <c r="C640" s="24"/>
      <c r="D640" s="25"/>
      <c r="E640" s="25">
        <v>10</v>
      </c>
      <c r="F640" s="25"/>
      <c r="G640" s="25"/>
      <c r="H640" s="22">
        <f t="shared" si="9"/>
        <v>10</v>
      </c>
    </row>
    <row r="641" spans="1:8" ht="15.75" customHeight="1">
      <c r="A641" s="20" t="s">
        <v>843</v>
      </c>
      <c r="B641" s="20" t="s">
        <v>844</v>
      </c>
      <c r="C641" s="20"/>
      <c r="D641" s="21">
        <v>3</v>
      </c>
      <c r="E641" s="21">
        <v>2</v>
      </c>
      <c r="F641" s="21"/>
      <c r="G641" s="21">
        <v>1</v>
      </c>
      <c r="H641" s="22">
        <f t="shared" si="9"/>
        <v>6</v>
      </c>
    </row>
    <row r="642" spans="1:8" ht="15.75" customHeight="1">
      <c r="A642" s="24" t="s">
        <v>2522</v>
      </c>
      <c r="B642" s="24" t="s">
        <v>1287</v>
      </c>
      <c r="C642" s="24" t="s">
        <v>2523</v>
      </c>
      <c r="D642" s="25"/>
      <c r="E642" s="25">
        <v>34</v>
      </c>
      <c r="F642" s="25">
        <v>55</v>
      </c>
      <c r="G642" s="25">
        <v>50</v>
      </c>
      <c r="H642" s="22">
        <f t="shared" si="9"/>
        <v>139</v>
      </c>
    </row>
    <row r="643" spans="1:8" ht="15.75" customHeight="1">
      <c r="A643" s="20" t="s">
        <v>845</v>
      </c>
      <c r="B643" s="20" t="s">
        <v>846</v>
      </c>
      <c r="C643" s="20" t="s">
        <v>847</v>
      </c>
      <c r="D643" s="21">
        <v>771</v>
      </c>
      <c r="E643" s="21">
        <v>153</v>
      </c>
      <c r="F643" s="21">
        <v>951</v>
      </c>
      <c r="G643" s="21">
        <v>308</v>
      </c>
      <c r="H643" s="22">
        <f t="shared" si="9"/>
        <v>2183</v>
      </c>
    </row>
    <row r="644" spans="1:8" ht="15.75" customHeight="1">
      <c r="A644" s="24" t="s">
        <v>848</v>
      </c>
      <c r="B644" s="24" t="s">
        <v>849</v>
      </c>
      <c r="C644" s="24" t="s">
        <v>850</v>
      </c>
      <c r="D644" s="25">
        <v>1499</v>
      </c>
      <c r="E644" s="25">
        <v>258</v>
      </c>
      <c r="F644" s="25">
        <v>816</v>
      </c>
      <c r="G644" s="25">
        <v>110</v>
      </c>
      <c r="H644" s="22">
        <f t="shared" ref="H644:H707" si="10">SUM(D644:G644)</f>
        <v>2683</v>
      </c>
    </row>
    <row r="645" spans="1:8" ht="15.75" customHeight="1">
      <c r="A645" s="20" t="s">
        <v>851</v>
      </c>
      <c r="B645" s="20" t="s">
        <v>852</v>
      </c>
      <c r="C645" s="20" t="s">
        <v>853</v>
      </c>
      <c r="D645" s="21">
        <v>463</v>
      </c>
      <c r="E645" s="21">
        <v>104</v>
      </c>
      <c r="F645" s="21">
        <v>155</v>
      </c>
      <c r="G645" s="21">
        <v>100</v>
      </c>
      <c r="H645" s="22">
        <f t="shared" si="10"/>
        <v>822</v>
      </c>
    </row>
    <row r="646" spans="1:8" ht="15.75" customHeight="1">
      <c r="A646" s="24" t="s">
        <v>854</v>
      </c>
      <c r="B646" s="24" t="s">
        <v>855</v>
      </c>
      <c r="C646" s="24" t="s">
        <v>856</v>
      </c>
      <c r="D646" s="25">
        <v>530</v>
      </c>
      <c r="E646" s="25">
        <v>80</v>
      </c>
      <c r="F646" s="25">
        <v>315</v>
      </c>
      <c r="G646" s="25"/>
      <c r="H646" s="22">
        <f t="shared" si="10"/>
        <v>925</v>
      </c>
    </row>
    <row r="647" spans="1:8" ht="15.75" customHeight="1">
      <c r="A647" s="20" t="s">
        <v>857</v>
      </c>
      <c r="B647" s="20" t="s">
        <v>858</v>
      </c>
      <c r="C647" s="20"/>
      <c r="D647" s="21">
        <v>33</v>
      </c>
      <c r="E647" s="21">
        <v>130</v>
      </c>
      <c r="F647" s="21">
        <v>141</v>
      </c>
      <c r="G647" s="21"/>
      <c r="H647" s="22">
        <f t="shared" si="10"/>
        <v>304</v>
      </c>
    </row>
    <row r="648" spans="1:8" ht="15.75" customHeight="1">
      <c r="A648" s="24" t="s">
        <v>859</v>
      </c>
      <c r="B648" s="24" t="s">
        <v>860</v>
      </c>
      <c r="C648" s="24" t="s">
        <v>861</v>
      </c>
      <c r="D648" s="25">
        <v>6324</v>
      </c>
      <c r="E648" s="25">
        <v>7548</v>
      </c>
      <c r="F648" s="25">
        <v>5558</v>
      </c>
      <c r="G648" s="25">
        <v>1140</v>
      </c>
      <c r="H648" s="22">
        <f t="shared" si="10"/>
        <v>20570</v>
      </c>
    </row>
    <row r="649" spans="1:8" ht="15.75" customHeight="1">
      <c r="A649" s="20" t="s">
        <v>3083</v>
      </c>
      <c r="B649" s="20" t="s">
        <v>3084</v>
      </c>
      <c r="C649" s="20" t="s">
        <v>3085</v>
      </c>
      <c r="D649" s="21"/>
      <c r="E649" s="21"/>
      <c r="F649" s="21">
        <v>59</v>
      </c>
      <c r="G649" s="21"/>
      <c r="H649" s="22">
        <f t="shared" si="10"/>
        <v>59</v>
      </c>
    </row>
    <row r="650" spans="1:8" ht="15.75" customHeight="1">
      <c r="A650" s="24" t="s">
        <v>862</v>
      </c>
      <c r="B650" s="24" t="s">
        <v>863</v>
      </c>
      <c r="C650" s="24" t="s">
        <v>864</v>
      </c>
      <c r="D650" s="25">
        <v>797</v>
      </c>
      <c r="E650" s="25">
        <v>642</v>
      </c>
      <c r="F650" s="25">
        <v>12</v>
      </c>
      <c r="G650" s="25">
        <v>330</v>
      </c>
      <c r="H650" s="22">
        <f t="shared" si="10"/>
        <v>1781</v>
      </c>
    </row>
    <row r="651" spans="1:8" ht="15.75" customHeight="1">
      <c r="A651" s="20" t="s">
        <v>865</v>
      </c>
      <c r="B651" s="20" t="s">
        <v>866</v>
      </c>
      <c r="C651" s="20" t="s">
        <v>867</v>
      </c>
      <c r="D651" s="21">
        <v>1073</v>
      </c>
      <c r="E651" s="21">
        <v>834</v>
      </c>
      <c r="F651" s="21">
        <v>795</v>
      </c>
      <c r="G651" s="21">
        <v>350</v>
      </c>
      <c r="H651" s="22">
        <f t="shared" si="10"/>
        <v>3052</v>
      </c>
    </row>
    <row r="652" spans="1:8" ht="15.75" customHeight="1">
      <c r="A652" s="24" t="s">
        <v>868</v>
      </c>
      <c r="B652" s="24" t="s">
        <v>869</v>
      </c>
      <c r="C652" s="24" t="s">
        <v>870</v>
      </c>
      <c r="D652" s="25">
        <v>18322</v>
      </c>
      <c r="E652" s="25">
        <v>40364</v>
      </c>
      <c r="F652" s="25">
        <v>21752</v>
      </c>
      <c r="G652" s="25">
        <v>32036</v>
      </c>
      <c r="H652" s="22">
        <f t="shared" si="10"/>
        <v>112474</v>
      </c>
    </row>
    <row r="653" spans="1:8" ht="15.75" customHeight="1">
      <c r="A653" s="20" t="s">
        <v>871</v>
      </c>
      <c r="B653" s="20" t="s">
        <v>872</v>
      </c>
      <c r="C653" s="20" t="s">
        <v>873</v>
      </c>
      <c r="D653" s="21">
        <v>253</v>
      </c>
      <c r="E653" s="21">
        <v>48</v>
      </c>
      <c r="F653" s="21">
        <v>275</v>
      </c>
      <c r="G653" s="21">
        <v>50</v>
      </c>
      <c r="H653" s="22">
        <f t="shared" si="10"/>
        <v>626</v>
      </c>
    </row>
    <row r="654" spans="1:8" ht="15.75" customHeight="1">
      <c r="A654" s="24" t="s">
        <v>874</v>
      </c>
      <c r="B654" s="24" t="s">
        <v>875</v>
      </c>
      <c r="C654" s="24" t="s">
        <v>876</v>
      </c>
      <c r="D654" s="25">
        <v>49</v>
      </c>
      <c r="E654" s="25">
        <v>191</v>
      </c>
      <c r="F654" s="25">
        <v>73</v>
      </c>
      <c r="G654" s="25">
        <v>6</v>
      </c>
      <c r="H654" s="22">
        <f t="shared" si="10"/>
        <v>319</v>
      </c>
    </row>
    <row r="655" spans="1:8" ht="15.75" customHeight="1">
      <c r="A655" s="20" t="s">
        <v>877</v>
      </c>
      <c r="B655" s="20" t="s">
        <v>878</v>
      </c>
      <c r="C655" s="20" t="s">
        <v>879</v>
      </c>
      <c r="D655" s="21">
        <v>35</v>
      </c>
      <c r="E655" s="21">
        <v>5</v>
      </c>
      <c r="F655" s="21">
        <v>4</v>
      </c>
      <c r="G655" s="21">
        <v>10</v>
      </c>
      <c r="H655" s="22">
        <f t="shared" si="10"/>
        <v>54</v>
      </c>
    </row>
    <row r="656" spans="1:8" ht="15.75" customHeight="1">
      <c r="A656" s="24" t="s">
        <v>880</v>
      </c>
      <c r="B656" s="24" t="s">
        <v>881</v>
      </c>
      <c r="C656" s="24" t="s">
        <v>882</v>
      </c>
      <c r="D656" s="25">
        <v>95</v>
      </c>
      <c r="E656" s="25">
        <v>30</v>
      </c>
      <c r="F656" s="25">
        <v>10</v>
      </c>
      <c r="G656" s="25"/>
      <c r="H656" s="22">
        <f t="shared" si="10"/>
        <v>135</v>
      </c>
    </row>
    <row r="657" spans="1:8" ht="15.75" customHeight="1">
      <c r="A657" s="20" t="s">
        <v>3086</v>
      </c>
      <c r="B657" s="20" t="s">
        <v>3087</v>
      </c>
      <c r="C657" s="20" t="s">
        <v>3088</v>
      </c>
      <c r="D657" s="21"/>
      <c r="E657" s="21"/>
      <c r="F657" s="21">
        <v>50</v>
      </c>
      <c r="G657" s="21"/>
      <c r="H657" s="22">
        <f t="shared" si="10"/>
        <v>50</v>
      </c>
    </row>
    <row r="658" spans="1:8" ht="15.75" customHeight="1">
      <c r="A658" s="24" t="s">
        <v>883</v>
      </c>
      <c r="B658" s="24" t="s">
        <v>884</v>
      </c>
      <c r="C658" s="24" t="s">
        <v>885</v>
      </c>
      <c r="D658" s="25">
        <v>490</v>
      </c>
      <c r="E658" s="25">
        <v>200</v>
      </c>
      <c r="F658" s="25"/>
      <c r="G658" s="25"/>
      <c r="H658" s="22">
        <f t="shared" si="10"/>
        <v>690</v>
      </c>
    </row>
    <row r="659" spans="1:8" ht="15.75" customHeight="1">
      <c r="A659" s="20" t="s">
        <v>886</v>
      </c>
      <c r="B659" s="20" t="s">
        <v>887</v>
      </c>
      <c r="C659" s="20" t="s">
        <v>888</v>
      </c>
      <c r="D659" s="21">
        <v>32</v>
      </c>
      <c r="E659" s="21">
        <v>2</v>
      </c>
      <c r="F659" s="21">
        <v>54</v>
      </c>
      <c r="G659" s="21">
        <v>53</v>
      </c>
      <c r="H659" s="22">
        <f t="shared" si="10"/>
        <v>141</v>
      </c>
    </row>
    <row r="660" spans="1:8" ht="15.75" customHeight="1">
      <c r="A660" s="24" t="s">
        <v>889</v>
      </c>
      <c r="B660" s="24" t="s">
        <v>890</v>
      </c>
      <c r="C660" s="24" t="s">
        <v>891</v>
      </c>
      <c r="D660" s="25">
        <v>145</v>
      </c>
      <c r="E660" s="25">
        <v>50</v>
      </c>
      <c r="F660" s="25"/>
      <c r="G660" s="25"/>
      <c r="H660" s="22">
        <f t="shared" si="10"/>
        <v>195</v>
      </c>
    </row>
    <row r="661" spans="1:8" ht="15.75" customHeight="1">
      <c r="A661" s="20" t="s">
        <v>2524</v>
      </c>
      <c r="B661" s="20" t="s">
        <v>2525</v>
      </c>
      <c r="C661" s="20"/>
      <c r="D661" s="21"/>
      <c r="E661" s="21">
        <v>301</v>
      </c>
      <c r="F661" s="21">
        <v>8</v>
      </c>
      <c r="G661" s="21">
        <v>40</v>
      </c>
      <c r="H661" s="22">
        <f t="shared" si="10"/>
        <v>349</v>
      </c>
    </row>
    <row r="662" spans="1:8" ht="15.75" customHeight="1">
      <c r="A662" s="24" t="s">
        <v>2526</v>
      </c>
      <c r="B662" s="24" t="s">
        <v>2527</v>
      </c>
      <c r="C662" s="24" t="s">
        <v>2528</v>
      </c>
      <c r="D662" s="25"/>
      <c r="E662" s="25">
        <v>2</v>
      </c>
      <c r="F662" s="25">
        <v>8</v>
      </c>
      <c r="G662" s="25"/>
      <c r="H662" s="22">
        <f t="shared" si="10"/>
        <v>10</v>
      </c>
    </row>
    <row r="663" spans="1:8" ht="15.75" customHeight="1">
      <c r="A663" s="20" t="s">
        <v>892</v>
      </c>
      <c r="B663" s="20" t="s">
        <v>893</v>
      </c>
      <c r="C663" s="20" t="s">
        <v>894</v>
      </c>
      <c r="D663" s="21">
        <v>149</v>
      </c>
      <c r="E663" s="21">
        <v>54</v>
      </c>
      <c r="F663" s="21">
        <v>14</v>
      </c>
      <c r="G663" s="21"/>
      <c r="H663" s="22">
        <f t="shared" si="10"/>
        <v>217</v>
      </c>
    </row>
    <row r="664" spans="1:8" ht="15.75" customHeight="1">
      <c r="A664" s="24" t="s">
        <v>895</v>
      </c>
      <c r="B664" s="24" t="s">
        <v>896</v>
      </c>
      <c r="C664" s="24" t="s">
        <v>897</v>
      </c>
      <c r="D664" s="25">
        <v>1653</v>
      </c>
      <c r="E664" s="25">
        <v>646</v>
      </c>
      <c r="F664" s="25">
        <v>463</v>
      </c>
      <c r="G664" s="25">
        <v>790</v>
      </c>
      <c r="H664" s="22">
        <f t="shared" si="10"/>
        <v>3552</v>
      </c>
    </row>
    <row r="665" spans="1:8" ht="15.75" customHeight="1">
      <c r="A665" s="20" t="s">
        <v>898</v>
      </c>
      <c r="B665" s="20" t="s">
        <v>899</v>
      </c>
      <c r="C665" s="20" t="s">
        <v>900</v>
      </c>
      <c r="D665" s="21">
        <v>1125</v>
      </c>
      <c r="E665" s="21">
        <v>1586</v>
      </c>
      <c r="F665" s="21">
        <v>1815</v>
      </c>
      <c r="G665" s="21">
        <v>518</v>
      </c>
      <c r="H665" s="22">
        <f t="shared" si="10"/>
        <v>5044</v>
      </c>
    </row>
    <row r="666" spans="1:8" ht="15.75" customHeight="1">
      <c r="A666" s="24" t="s">
        <v>901</v>
      </c>
      <c r="B666" s="24" t="s">
        <v>902</v>
      </c>
      <c r="C666" s="24" t="s">
        <v>812</v>
      </c>
      <c r="D666" s="25">
        <v>3</v>
      </c>
      <c r="E666" s="25">
        <v>3</v>
      </c>
      <c r="F666" s="25">
        <v>8</v>
      </c>
      <c r="G666" s="25"/>
      <c r="H666" s="22">
        <f t="shared" si="10"/>
        <v>14</v>
      </c>
    </row>
    <row r="667" spans="1:8" ht="15.75" customHeight="1">
      <c r="A667" s="20" t="s">
        <v>2529</v>
      </c>
      <c r="B667" s="20" t="s">
        <v>2530</v>
      </c>
      <c r="C667" s="20"/>
      <c r="D667" s="21"/>
      <c r="E667" s="21">
        <v>28</v>
      </c>
      <c r="F667" s="21"/>
      <c r="G667" s="21"/>
      <c r="H667" s="22">
        <f t="shared" si="10"/>
        <v>28</v>
      </c>
    </row>
    <row r="668" spans="1:8" ht="15.75" customHeight="1">
      <c r="A668" s="24" t="s">
        <v>903</v>
      </c>
      <c r="B668" s="24" t="s">
        <v>904</v>
      </c>
      <c r="C668" s="24" t="s">
        <v>905</v>
      </c>
      <c r="D668" s="25">
        <v>300</v>
      </c>
      <c r="E668" s="25">
        <v>32</v>
      </c>
      <c r="F668" s="25"/>
      <c r="G668" s="25"/>
      <c r="H668" s="22">
        <f t="shared" si="10"/>
        <v>332</v>
      </c>
    </row>
    <row r="669" spans="1:8" ht="15.75" customHeight="1">
      <c r="A669" s="20" t="s">
        <v>2531</v>
      </c>
      <c r="B669" s="20" t="s">
        <v>2532</v>
      </c>
      <c r="C669" s="20"/>
      <c r="D669" s="21"/>
      <c r="E669" s="21">
        <v>20</v>
      </c>
      <c r="F669" s="21"/>
      <c r="G669" s="21">
        <v>40</v>
      </c>
      <c r="H669" s="22">
        <f t="shared" si="10"/>
        <v>60</v>
      </c>
    </row>
    <row r="670" spans="1:8" ht="15.75" customHeight="1">
      <c r="A670" s="24" t="s">
        <v>906</v>
      </c>
      <c r="B670" s="24" t="s">
        <v>907</v>
      </c>
      <c r="C670" s="24" t="s">
        <v>908</v>
      </c>
      <c r="D670" s="25">
        <v>604</v>
      </c>
      <c r="E670" s="25">
        <v>56</v>
      </c>
      <c r="F670" s="25">
        <v>14</v>
      </c>
      <c r="G670" s="25">
        <v>10</v>
      </c>
      <c r="H670" s="22">
        <f t="shared" si="10"/>
        <v>684</v>
      </c>
    </row>
    <row r="671" spans="1:8" ht="15.75" customHeight="1">
      <c r="A671" s="20" t="s">
        <v>909</v>
      </c>
      <c r="B671" s="20" t="s">
        <v>910</v>
      </c>
      <c r="C671" s="20" t="s">
        <v>911</v>
      </c>
      <c r="D671" s="21">
        <v>700</v>
      </c>
      <c r="E671" s="21">
        <v>60</v>
      </c>
      <c r="F671" s="21">
        <v>55</v>
      </c>
      <c r="G671" s="21"/>
      <c r="H671" s="22">
        <f t="shared" si="10"/>
        <v>815</v>
      </c>
    </row>
    <row r="672" spans="1:8" ht="15.75" customHeight="1">
      <c r="A672" s="24" t="s">
        <v>2533</v>
      </c>
      <c r="B672" s="24" t="s">
        <v>2534</v>
      </c>
      <c r="C672" s="24"/>
      <c r="D672" s="25"/>
      <c r="E672" s="25">
        <v>30</v>
      </c>
      <c r="F672" s="25">
        <v>40</v>
      </c>
      <c r="G672" s="25"/>
      <c r="H672" s="22">
        <f t="shared" si="10"/>
        <v>70</v>
      </c>
    </row>
    <row r="673" spans="1:8" ht="15.75" customHeight="1">
      <c r="A673" s="20" t="s">
        <v>912</v>
      </c>
      <c r="B673" s="20" t="s">
        <v>913</v>
      </c>
      <c r="C673" s="20" t="s">
        <v>914</v>
      </c>
      <c r="D673" s="21">
        <v>200</v>
      </c>
      <c r="E673" s="21"/>
      <c r="F673" s="21">
        <v>30</v>
      </c>
      <c r="G673" s="21"/>
      <c r="H673" s="22">
        <f t="shared" si="10"/>
        <v>230</v>
      </c>
    </row>
    <row r="674" spans="1:8" ht="15.75" customHeight="1">
      <c r="A674" s="24" t="s">
        <v>2535</v>
      </c>
      <c r="B674" s="24" t="s">
        <v>2536</v>
      </c>
      <c r="C674" s="24" t="s">
        <v>2537</v>
      </c>
      <c r="D674" s="25"/>
      <c r="E674" s="25">
        <v>100</v>
      </c>
      <c r="F674" s="25">
        <v>320</v>
      </c>
      <c r="G674" s="25"/>
      <c r="H674" s="22">
        <f t="shared" si="10"/>
        <v>420</v>
      </c>
    </row>
    <row r="675" spans="1:8" ht="15.75" customHeight="1">
      <c r="A675" s="20" t="s">
        <v>915</v>
      </c>
      <c r="B675" s="20" t="s">
        <v>916</v>
      </c>
      <c r="C675" s="20"/>
      <c r="D675" s="21">
        <v>1</v>
      </c>
      <c r="E675" s="21">
        <v>175</v>
      </c>
      <c r="F675" s="21"/>
      <c r="G675" s="21">
        <v>10</v>
      </c>
      <c r="H675" s="22">
        <f t="shared" si="10"/>
        <v>186</v>
      </c>
    </row>
    <row r="676" spans="1:8" ht="15.75" customHeight="1">
      <c r="A676" s="24" t="s">
        <v>917</v>
      </c>
      <c r="B676" s="24" t="s">
        <v>918</v>
      </c>
      <c r="C676" s="24" t="s">
        <v>919</v>
      </c>
      <c r="D676" s="25">
        <v>2</v>
      </c>
      <c r="E676" s="25"/>
      <c r="F676" s="25">
        <v>6</v>
      </c>
      <c r="G676" s="25"/>
      <c r="H676" s="22">
        <f t="shared" si="10"/>
        <v>8</v>
      </c>
    </row>
    <row r="677" spans="1:8" ht="15.75" customHeight="1">
      <c r="A677" s="20" t="s">
        <v>920</v>
      </c>
      <c r="B677" s="20" t="s">
        <v>921</v>
      </c>
      <c r="C677" s="20" t="s">
        <v>922</v>
      </c>
      <c r="D677" s="21">
        <v>2</v>
      </c>
      <c r="E677" s="21"/>
      <c r="F677" s="21">
        <v>1</v>
      </c>
      <c r="G677" s="21"/>
      <c r="H677" s="22">
        <f t="shared" si="10"/>
        <v>3</v>
      </c>
    </row>
    <row r="678" spans="1:8" ht="15.75" customHeight="1">
      <c r="A678" s="24" t="s">
        <v>923</v>
      </c>
      <c r="B678" s="24" t="s">
        <v>924</v>
      </c>
      <c r="C678" s="24" t="s">
        <v>919</v>
      </c>
      <c r="D678" s="25">
        <v>2</v>
      </c>
      <c r="E678" s="25"/>
      <c r="F678" s="25"/>
      <c r="G678" s="25"/>
      <c r="H678" s="22">
        <f t="shared" si="10"/>
        <v>2</v>
      </c>
    </row>
    <row r="679" spans="1:8" ht="15.75" customHeight="1">
      <c r="A679" s="20" t="s">
        <v>925</v>
      </c>
      <c r="B679" s="20" t="s">
        <v>926</v>
      </c>
      <c r="C679" s="20" t="s">
        <v>919</v>
      </c>
      <c r="D679" s="21">
        <v>2</v>
      </c>
      <c r="E679" s="21"/>
      <c r="F679" s="21"/>
      <c r="G679" s="21"/>
      <c r="H679" s="22">
        <f t="shared" si="10"/>
        <v>2</v>
      </c>
    </row>
    <row r="680" spans="1:8" ht="15.75" customHeight="1">
      <c r="A680" s="24" t="s">
        <v>3089</v>
      </c>
      <c r="B680" s="24" t="s">
        <v>3090</v>
      </c>
      <c r="C680" s="24" t="s">
        <v>919</v>
      </c>
      <c r="D680" s="25"/>
      <c r="E680" s="25"/>
      <c r="F680" s="25">
        <v>8</v>
      </c>
      <c r="G680" s="25"/>
      <c r="H680" s="22">
        <f t="shared" si="10"/>
        <v>8</v>
      </c>
    </row>
    <row r="681" spans="1:8" ht="15.75" customHeight="1">
      <c r="A681" s="20" t="s">
        <v>927</v>
      </c>
      <c r="B681" s="20" t="s">
        <v>928</v>
      </c>
      <c r="C681" s="20" t="s">
        <v>929</v>
      </c>
      <c r="D681" s="21">
        <v>45</v>
      </c>
      <c r="E681" s="21">
        <v>50</v>
      </c>
      <c r="F681" s="21">
        <v>10</v>
      </c>
      <c r="G681" s="21">
        <v>60</v>
      </c>
      <c r="H681" s="22">
        <f t="shared" si="10"/>
        <v>165</v>
      </c>
    </row>
    <row r="682" spans="1:8" ht="15.75" customHeight="1">
      <c r="A682" s="24" t="s">
        <v>930</v>
      </c>
      <c r="B682" s="24" t="s">
        <v>931</v>
      </c>
      <c r="C682" s="24" t="s">
        <v>932</v>
      </c>
      <c r="D682" s="25">
        <v>50</v>
      </c>
      <c r="E682" s="25"/>
      <c r="F682" s="25">
        <v>40</v>
      </c>
      <c r="G682" s="25"/>
      <c r="H682" s="22">
        <f t="shared" si="10"/>
        <v>90</v>
      </c>
    </row>
    <row r="683" spans="1:8" ht="15.75" customHeight="1">
      <c r="A683" s="20" t="s">
        <v>2538</v>
      </c>
      <c r="B683" s="20" t="s">
        <v>1245</v>
      </c>
      <c r="C683" s="20" t="s">
        <v>2539</v>
      </c>
      <c r="D683" s="21"/>
      <c r="E683" s="21">
        <v>20</v>
      </c>
      <c r="F683" s="21"/>
      <c r="G683" s="21"/>
      <c r="H683" s="22">
        <f t="shared" si="10"/>
        <v>20</v>
      </c>
    </row>
    <row r="684" spans="1:8" ht="15.75" customHeight="1">
      <c r="A684" s="24" t="s">
        <v>933</v>
      </c>
      <c r="B684" s="24" t="s">
        <v>934</v>
      </c>
      <c r="C684" s="24" t="s">
        <v>935</v>
      </c>
      <c r="D684" s="25">
        <v>98</v>
      </c>
      <c r="E684" s="25">
        <v>131</v>
      </c>
      <c r="F684" s="25">
        <v>128</v>
      </c>
      <c r="G684" s="25">
        <v>90</v>
      </c>
      <c r="H684" s="22">
        <f t="shared" si="10"/>
        <v>447</v>
      </c>
    </row>
    <row r="685" spans="1:8" ht="15.75" customHeight="1">
      <c r="A685" s="20" t="s">
        <v>2540</v>
      </c>
      <c r="B685" s="20" t="s">
        <v>928</v>
      </c>
      <c r="C685" s="20" t="s">
        <v>929</v>
      </c>
      <c r="D685" s="21"/>
      <c r="E685" s="21">
        <v>10</v>
      </c>
      <c r="F685" s="21"/>
      <c r="G685" s="21"/>
      <c r="H685" s="22">
        <f t="shared" si="10"/>
        <v>10</v>
      </c>
    </row>
    <row r="686" spans="1:8" ht="15.75" customHeight="1">
      <c r="A686" s="24" t="s">
        <v>2541</v>
      </c>
      <c r="B686" s="24" t="s">
        <v>2542</v>
      </c>
      <c r="C686" s="24" t="s">
        <v>935</v>
      </c>
      <c r="D686" s="25"/>
      <c r="E686" s="25">
        <v>1</v>
      </c>
      <c r="F686" s="25"/>
      <c r="G686" s="25"/>
      <c r="H686" s="22">
        <f t="shared" si="10"/>
        <v>1</v>
      </c>
    </row>
    <row r="687" spans="1:8" ht="15.75" customHeight="1">
      <c r="A687" s="20" t="s">
        <v>2543</v>
      </c>
      <c r="B687" s="20" t="s">
        <v>2544</v>
      </c>
      <c r="C687" s="20" t="s">
        <v>929</v>
      </c>
      <c r="D687" s="21"/>
      <c r="E687" s="21">
        <v>10</v>
      </c>
      <c r="F687" s="21"/>
      <c r="G687" s="21"/>
      <c r="H687" s="22">
        <f t="shared" si="10"/>
        <v>10</v>
      </c>
    </row>
    <row r="688" spans="1:8" ht="15.75" customHeight="1">
      <c r="A688" s="24" t="s">
        <v>936</v>
      </c>
      <c r="B688" s="24" t="s">
        <v>937</v>
      </c>
      <c r="C688" s="24" t="s">
        <v>929</v>
      </c>
      <c r="D688" s="25">
        <v>105</v>
      </c>
      <c r="E688" s="25">
        <v>40</v>
      </c>
      <c r="F688" s="25">
        <v>10</v>
      </c>
      <c r="G688" s="25">
        <v>130</v>
      </c>
      <c r="H688" s="22">
        <f t="shared" si="10"/>
        <v>285</v>
      </c>
    </row>
    <row r="689" spans="1:8" ht="15.75" customHeight="1">
      <c r="A689" s="20" t="s">
        <v>2545</v>
      </c>
      <c r="B689" s="20" t="s">
        <v>1304</v>
      </c>
      <c r="C689" s="20" t="s">
        <v>2546</v>
      </c>
      <c r="D689" s="21"/>
      <c r="E689" s="21">
        <v>10</v>
      </c>
      <c r="F689" s="21"/>
      <c r="G689" s="21"/>
      <c r="H689" s="22">
        <f t="shared" si="10"/>
        <v>10</v>
      </c>
    </row>
    <row r="690" spans="1:8" ht="15.75" customHeight="1">
      <c r="A690" s="24" t="s">
        <v>3091</v>
      </c>
      <c r="B690" s="24" t="s">
        <v>3092</v>
      </c>
      <c r="C690" s="24" t="s">
        <v>1142</v>
      </c>
      <c r="D690" s="25"/>
      <c r="E690" s="25"/>
      <c r="F690" s="25">
        <v>55</v>
      </c>
      <c r="G690" s="25">
        <v>150</v>
      </c>
      <c r="H690" s="22">
        <f t="shared" si="10"/>
        <v>205</v>
      </c>
    </row>
    <row r="691" spans="1:8" ht="15.75" customHeight="1">
      <c r="A691" s="20" t="s">
        <v>938</v>
      </c>
      <c r="B691" s="20" t="s">
        <v>939</v>
      </c>
      <c r="C691" s="20" t="s">
        <v>935</v>
      </c>
      <c r="D691" s="21">
        <v>10</v>
      </c>
      <c r="E691" s="21">
        <v>50</v>
      </c>
      <c r="F691" s="21">
        <v>84</v>
      </c>
      <c r="G691" s="21">
        <v>160</v>
      </c>
      <c r="H691" s="22">
        <f t="shared" si="10"/>
        <v>304</v>
      </c>
    </row>
    <row r="692" spans="1:8" ht="15.75" customHeight="1">
      <c r="A692" s="24" t="s">
        <v>2547</v>
      </c>
      <c r="B692" s="24" t="s">
        <v>2548</v>
      </c>
      <c r="C692" s="24" t="s">
        <v>929</v>
      </c>
      <c r="D692" s="25"/>
      <c r="E692" s="25">
        <v>10</v>
      </c>
      <c r="F692" s="25"/>
      <c r="G692" s="25"/>
      <c r="H692" s="22">
        <f t="shared" si="10"/>
        <v>10</v>
      </c>
    </row>
    <row r="693" spans="1:8" ht="15.75" customHeight="1">
      <c r="A693" s="20" t="s">
        <v>940</v>
      </c>
      <c r="B693" s="20" t="s">
        <v>941</v>
      </c>
      <c r="C693" s="20" t="s">
        <v>929</v>
      </c>
      <c r="D693" s="21">
        <v>10</v>
      </c>
      <c r="E693" s="21"/>
      <c r="F693" s="21"/>
      <c r="G693" s="21"/>
      <c r="H693" s="22">
        <f t="shared" si="10"/>
        <v>10</v>
      </c>
    </row>
    <row r="694" spans="1:8" ht="15.75" customHeight="1">
      <c r="A694" s="24" t="s">
        <v>942</v>
      </c>
      <c r="B694" s="24" t="s">
        <v>943</v>
      </c>
      <c r="C694" s="24" t="s">
        <v>932</v>
      </c>
      <c r="D694" s="25">
        <v>1380</v>
      </c>
      <c r="E694" s="25">
        <v>100</v>
      </c>
      <c r="F694" s="25"/>
      <c r="G694" s="25"/>
      <c r="H694" s="22">
        <f t="shared" si="10"/>
        <v>1480</v>
      </c>
    </row>
    <row r="695" spans="1:8" ht="15.75" customHeight="1">
      <c r="A695" s="20" t="s">
        <v>944</v>
      </c>
      <c r="B695" s="20" t="s">
        <v>945</v>
      </c>
      <c r="C695" s="20" t="s">
        <v>946</v>
      </c>
      <c r="D695" s="21">
        <v>154</v>
      </c>
      <c r="E695" s="21">
        <v>6</v>
      </c>
      <c r="F695" s="21"/>
      <c r="G695" s="21"/>
      <c r="H695" s="22">
        <f t="shared" si="10"/>
        <v>160</v>
      </c>
    </row>
    <row r="696" spans="1:8" ht="15.75" customHeight="1">
      <c r="A696" s="24" t="s">
        <v>947</v>
      </c>
      <c r="B696" s="24" t="s">
        <v>948</v>
      </c>
      <c r="C696" s="24" t="s">
        <v>935</v>
      </c>
      <c r="D696" s="25">
        <v>619</v>
      </c>
      <c r="E696" s="25"/>
      <c r="F696" s="25">
        <v>70</v>
      </c>
      <c r="G696" s="25"/>
      <c r="H696" s="22">
        <f t="shared" si="10"/>
        <v>689</v>
      </c>
    </row>
    <row r="697" spans="1:8" ht="15.75" customHeight="1">
      <c r="A697" s="20" t="s">
        <v>2549</v>
      </c>
      <c r="B697" s="20" t="s">
        <v>1332</v>
      </c>
      <c r="C697" s="20" t="s">
        <v>929</v>
      </c>
      <c r="D697" s="21"/>
      <c r="E697" s="21">
        <v>13</v>
      </c>
      <c r="F697" s="21"/>
      <c r="G697" s="21">
        <v>130</v>
      </c>
      <c r="H697" s="22">
        <f t="shared" si="10"/>
        <v>143</v>
      </c>
    </row>
    <row r="698" spans="1:8" ht="15.75" customHeight="1">
      <c r="A698" s="24" t="s">
        <v>949</v>
      </c>
      <c r="B698" s="24" t="s">
        <v>950</v>
      </c>
      <c r="C698" s="24" t="s">
        <v>951</v>
      </c>
      <c r="D698" s="25">
        <v>1</v>
      </c>
      <c r="E698" s="25"/>
      <c r="F698" s="25"/>
      <c r="G698" s="25"/>
      <c r="H698" s="22">
        <f t="shared" si="10"/>
        <v>1</v>
      </c>
    </row>
    <row r="699" spans="1:8" ht="15.75" customHeight="1">
      <c r="A699" s="20" t="s">
        <v>2550</v>
      </c>
      <c r="B699" s="20" t="s">
        <v>2551</v>
      </c>
      <c r="C699" s="20" t="s">
        <v>1142</v>
      </c>
      <c r="D699" s="21"/>
      <c r="E699" s="21">
        <v>3</v>
      </c>
      <c r="F699" s="21">
        <v>25</v>
      </c>
      <c r="G699" s="21">
        <v>150</v>
      </c>
      <c r="H699" s="22">
        <f t="shared" si="10"/>
        <v>178</v>
      </c>
    </row>
    <row r="700" spans="1:8" ht="15.75" customHeight="1">
      <c r="A700" s="24" t="s">
        <v>3093</v>
      </c>
      <c r="B700" s="24" t="s">
        <v>3094</v>
      </c>
      <c r="C700" s="24" t="s">
        <v>935</v>
      </c>
      <c r="D700" s="25"/>
      <c r="E700" s="25"/>
      <c r="F700" s="25">
        <v>50</v>
      </c>
      <c r="G700" s="25">
        <v>160</v>
      </c>
      <c r="H700" s="22">
        <f t="shared" si="10"/>
        <v>210</v>
      </c>
    </row>
    <row r="701" spans="1:8" ht="15.75" customHeight="1">
      <c r="A701" s="20" t="s">
        <v>2552</v>
      </c>
      <c r="B701" s="20" t="s">
        <v>2553</v>
      </c>
      <c r="C701" s="20" t="s">
        <v>929</v>
      </c>
      <c r="D701" s="21"/>
      <c r="E701" s="21">
        <v>11</v>
      </c>
      <c r="F701" s="21">
        <v>5</v>
      </c>
      <c r="G701" s="21">
        <v>130</v>
      </c>
      <c r="H701" s="22">
        <f t="shared" si="10"/>
        <v>146</v>
      </c>
    </row>
    <row r="702" spans="1:8" ht="15.75" customHeight="1">
      <c r="A702" s="24" t="s">
        <v>3095</v>
      </c>
      <c r="B702" s="24" t="s">
        <v>1273</v>
      </c>
      <c r="C702" s="24" t="s">
        <v>932</v>
      </c>
      <c r="D702" s="25"/>
      <c r="E702" s="25"/>
      <c r="F702" s="25">
        <v>12</v>
      </c>
      <c r="G702" s="25"/>
      <c r="H702" s="22">
        <f t="shared" si="10"/>
        <v>12</v>
      </c>
    </row>
    <row r="703" spans="1:8" ht="15.75" customHeight="1">
      <c r="A703" s="20" t="s">
        <v>2554</v>
      </c>
      <c r="B703" s="20" t="s">
        <v>2555</v>
      </c>
      <c r="C703" s="20" t="s">
        <v>946</v>
      </c>
      <c r="D703" s="21"/>
      <c r="E703" s="21">
        <v>1</v>
      </c>
      <c r="F703" s="21"/>
      <c r="G703" s="21"/>
      <c r="H703" s="22">
        <f t="shared" si="10"/>
        <v>1</v>
      </c>
    </row>
    <row r="704" spans="1:8" ht="15.75" customHeight="1">
      <c r="A704" s="24" t="s">
        <v>3096</v>
      </c>
      <c r="B704" s="24" t="s">
        <v>1329</v>
      </c>
      <c r="C704" s="24" t="s">
        <v>935</v>
      </c>
      <c r="D704" s="25"/>
      <c r="E704" s="25"/>
      <c r="F704" s="25">
        <v>21</v>
      </c>
      <c r="G704" s="25">
        <v>160</v>
      </c>
      <c r="H704" s="22">
        <f t="shared" si="10"/>
        <v>181</v>
      </c>
    </row>
    <row r="705" spans="1:8" ht="15.75" customHeight="1">
      <c r="A705" s="20" t="s">
        <v>3097</v>
      </c>
      <c r="B705" s="20" t="s">
        <v>1277</v>
      </c>
      <c r="C705" s="20" t="s">
        <v>946</v>
      </c>
      <c r="D705" s="21"/>
      <c r="E705" s="21"/>
      <c r="F705" s="21">
        <v>1</v>
      </c>
      <c r="G705" s="21"/>
      <c r="H705" s="22">
        <f t="shared" si="10"/>
        <v>1</v>
      </c>
    </row>
    <row r="706" spans="1:8" ht="15.75" customHeight="1">
      <c r="A706" s="24" t="s">
        <v>3098</v>
      </c>
      <c r="B706" s="24" t="s">
        <v>3099</v>
      </c>
      <c r="C706" s="24" t="s">
        <v>929</v>
      </c>
      <c r="D706" s="25"/>
      <c r="E706" s="25"/>
      <c r="F706" s="25">
        <v>5</v>
      </c>
      <c r="G706" s="25">
        <v>30</v>
      </c>
      <c r="H706" s="22">
        <f t="shared" si="10"/>
        <v>35</v>
      </c>
    </row>
    <row r="707" spans="1:8" ht="15.75" customHeight="1">
      <c r="A707" s="20" t="s">
        <v>952</v>
      </c>
      <c r="B707" s="20" t="s">
        <v>953</v>
      </c>
      <c r="C707" s="20" t="s">
        <v>946</v>
      </c>
      <c r="D707" s="21">
        <v>1</v>
      </c>
      <c r="E707" s="21"/>
      <c r="F707" s="21"/>
      <c r="G707" s="21"/>
      <c r="H707" s="22">
        <f t="shared" si="10"/>
        <v>1</v>
      </c>
    </row>
    <row r="708" spans="1:8" ht="15.75" customHeight="1">
      <c r="A708" s="24" t="s">
        <v>3100</v>
      </c>
      <c r="B708" s="24" t="s">
        <v>3101</v>
      </c>
      <c r="C708" s="24" t="s">
        <v>1142</v>
      </c>
      <c r="D708" s="25"/>
      <c r="E708" s="25"/>
      <c r="F708" s="25">
        <v>5</v>
      </c>
      <c r="G708" s="25">
        <v>50</v>
      </c>
      <c r="H708" s="22">
        <f t="shared" ref="H708:H771" si="11">SUM(D708:G708)</f>
        <v>55</v>
      </c>
    </row>
    <row r="709" spans="1:8" ht="15.75" customHeight="1">
      <c r="A709" s="20" t="s">
        <v>3102</v>
      </c>
      <c r="B709" s="20" t="s">
        <v>3103</v>
      </c>
      <c r="C709" s="20" t="s">
        <v>935</v>
      </c>
      <c r="D709" s="21"/>
      <c r="E709" s="21"/>
      <c r="F709" s="21">
        <v>20</v>
      </c>
      <c r="G709" s="21">
        <v>50</v>
      </c>
      <c r="H709" s="22">
        <f t="shared" si="11"/>
        <v>70</v>
      </c>
    </row>
    <row r="710" spans="1:8" ht="15.75" customHeight="1">
      <c r="A710" s="24" t="s">
        <v>3104</v>
      </c>
      <c r="B710" s="24" t="s">
        <v>3105</v>
      </c>
      <c r="C710" s="24" t="s">
        <v>946</v>
      </c>
      <c r="D710" s="25"/>
      <c r="E710" s="25"/>
      <c r="F710" s="25">
        <v>2</v>
      </c>
      <c r="G710" s="25"/>
      <c r="H710" s="22">
        <f t="shared" si="11"/>
        <v>2</v>
      </c>
    </row>
    <row r="711" spans="1:8" ht="15.75" customHeight="1">
      <c r="A711" s="20" t="s">
        <v>954</v>
      </c>
      <c r="B711" s="20" t="s">
        <v>955</v>
      </c>
      <c r="C711" s="20" t="s">
        <v>932</v>
      </c>
      <c r="D711" s="21">
        <v>200</v>
      </c>
      <c r="E711" s="21">
        <v>400</v>
      </c>
      <c r="F711" s="21"/>
      <c r="G711" s="21"/>
      <c r="H711" s="22">
        <f t="shared" si="11"/>
        <v>600</v>
      </c>
    </row>
    <row r="712" spans="1:8" ht="15.75" customHeight="1">
      <c r="A712" s="24" t="s">
        <v>2556</v>
      </c>
      <c r="B712" s="24" t="s">
        <v>2557</v>
      </c>
      <c r="C712" s="24" t="s">
        <v>935</v>
      </c>
      <c r="D712" s="25"/>
      <c r="E712" s="25">
        <v>300</v>
      </c>
      <c r="F712" s="25"/>
      <c r="G712" s="25"/>
      <c r="H712" s="22">
        <f t="shared" si="11"/>
        <v>300</v>
      </c>
    </row>
    <row r="713" spans="1:8" ht="15.75" customHeight="1">
      <c r="A713" s="20" t="s">
        <v>3106</v>
      </c>
      <c r="B713" s="20" t="s">
        <v>3107</v>
      </c>
      <c r="C713" s="20" t="s">
        <v>932</v>
      </c>
      <c r="D713" s="21"/>
      <c r="E713" s="21"/>
      <c r="F713" s="21">
        <v>30</v>
      </c>
      <c r="G713" s="21"/>
      <c r="H713" s="22">
        <f t="shared" si="11"/>
        <v>30</v>
      </c>
    </row>
    <row r="714" spans="1:8" ht="15.75" customHeight="1">
      <c r="A714" s="24" t="s">
        <v>956</v>
      </c>
      <c r="B714" s="24" t="s">
        <v>957</v>
      </c>
      <c r="C714" s="24" t="s">
        <v>946</v>
      </c>
      <c r="D714" s="25">
        <v>4</v>
      </c>
      <c r="E714" s="25">
        <v>6</v>
      </c>
      <c r="F714" s="25"/>
      <c r="G714" s="25"/>
      <c r="H714" s="22">
        <f t="shared" si="11"/>
        <v>10</v>
      </c>
    </row>
    <row r="715" spans="1:8" ht="15.75" customHeight="1">
      <c r="A715" s="20" t="s">
        <v>3108</v>
      </c>
      <c r="B715" s="20" t="s">
        <v>3109</v>
      </c>
      <c r="C715" s="20" t="s">
        <v>929</v>
      </c>
      <c r="D715" s="21"/>
      <c r="E715" s="21"/>
      <c r="F715" s="21">
        <v>40</v>
      </c>
      <c r="G715" s="21"/>
      <c r="H715" s="22">
        <f t="shared" si="11"/>
        <v>40</v>
      </c>
    </row>
    <row r="716" spans="1:8" ht="15.75" customHeight="1">
      <c r="A716" s="24" t="s">
        <v>958</v>
      </c>
      <c r="B716" s="24" t="s">
        <v>959</v>
      </c>
      <c r="C716" s="24" t="s">
        <v>932</v>
      </c>
      <c r="D716" s="25">
        <v>300</v>
      </c>
      <c r="E716" s="25">
        <v>200</v>
      </c>
      <c r="F716" s="25">
        <v>15</v>
      </c>
      <c r="G716" s="25"/>
      <c r="H716" s="22">
        <f t="shared" si="11"/>
        <v>515</v>
      </c>
    </row>
    <row r="717" spans="1:8" ht="15.75" customHeight="1">
      <c r="A717" s="20" t="s">
        <v>3110</v>
      </c>
      <c r="B717" s="20" t="s">
        <v>3111</v>
      </c>
      <c r="C717" s="20" t="s">
        <v>3112</v>
      </c>
      <c r="D717" s="21"/>
      <c r="E717" s="21"/>
      <c r="F717" s="21">
        <v>9</v>
      </c>
      <c r="G717" s="21"/>
      <c r="H717" s="22">
        <f t="shared" si="11"/>
        <v>9</v>
      </c>
    </row>
    <row r="718" spans="1:8" ht="15.75" customHeight="1">
      <c r="A718" s="24" t="s">
        <v>2558</v>
      </c>
      <c r="B718" s="24" t="s">
        <v>2559</v>
      </c>
      <c r="C718" s="24" t="s">
        <v>1142</v>
      </c>
      <c r="D718" s="25"/>
      <c r="E718" s="25">
        <v>200</v>
      </c>
      <c r="F718" s="25"/>
      <c r="G718" s="25"/>
      <c r="H718" s="22">
        <f t="shared" si="11"/>
        <v>200</v>
      </c>
    </row>
    <row r="719" spans="1:8" ht="15.75" customHeight="1">
      <c r="A719" s="20" t="s">
        <v>2560</v>
      </c>
      <c r="B719" s="20" t="s">
        <v>2561</v>
      </c>
      <c r="C719" s="20" t="s">
        <v>935</v>
      </c>
      <c r="D719" s="21"/>
      <c r="E719" s="21">
        <v>300</v>
      </c>
      <c r="F719" s="21">
        <v>137</v>
      </c>
      <c r="G719" s="21"/>
      <c r="H719" s="22">
        <f t="shared" si="11"/>
        <v>437</v>
      </c>
    </row>
    <row r="720" spans="1:8" ht="15.75" customHeight="1">
      <c r="A720" s="24" t="s">
        <v>3113</v>
      </c>
      <c r="B720" s="24" t="s">
        <v>3114</v>
      </c>
      <c r="C720" s="24" t="s">
        <v>935</v>
      </c>
      <c r="D720" s="25"/>
      <c r="E720" s="25"/>
      <c r="F720" s="25">
        <v>34</v>
      </c>
      <c r="G720" s="25"/>
      <c r="H720" s="22">
        <f t="shared" si="11"/>
        <v>34</v>
      </c>
    </row>
    <row r="721" spans="1:8" ht="15.75" customHeight="1">
      <c r="A721" s="20" t="s">
        <v>960</v>
      </c>
      <c r="B721" s="20" t="s">
        <v>961</v>
      </c>
      <c r="C721" s="20" t="s">
        <v>929</v>
      </c>
      <c r="D721" s="21">
        <v>80</v>
      </c>
      <c r="E721" s="21">
        <v>63</v>
      </c>
      <c r="F721" s="21"/>
      <c r="G721" s="21"/>
      <c r="H721" s="22">
        <f t="shared" si="11"/>
        <v>143</v>
      </c>
    </row>
    <row r="722" spans="1:8" ht="15.75" customHeight="1">
      <c r="A722" s="24" t="s">
        <v>2562</v>
      </c>
      <c r="B722" s="24" t="s">
        <v>2563</v>
      </c>
      <c r="C722" s="24" t="s">
        <v>946</v>
      </c>
      <c r="D722" s="25"/>
      <c r="E722" s="25">
        <v>40</v>
      </c>
      <c r="F722" s="25"/>
      <c r="G722" s="25"/>
      <c r="H722" s="22">
        <f t="shared" si="11"/>
        <v>40</v>
      </c>
    </row>
    <row r="723" spans="1:8" ht="15.75" customHeight="1">
      <c r="A723" s="20" t="s">
        <v>2564</v>
      </c>
      <c r="B723" s="20" t="s">
        <v>2565</v>
      </c>
      <c r="C723" s="20" t="s">
        <v>935</v>
      </c>
      <c r="D723" s="21"/>
      <c r="E723" s="21">
        <v>20</v>
      </c>
      <c r="F723" s="21">
        <v>10</v>
      </c>
      <c r="G723" s="21"/>
      <c r="H723" s="22">
        <f t="shared" si="11"/>
        <v>30</v>
      </c>
    </row>
    <row r="724" spans="1:8" ht="15.75" customHeight="1">
      <c r="A724" s="24" t="s">
        <v>2566</v>
      </c>
      <c r="B724" s="24" t="s">
        <v>2567</v>
      </c>
      <c r="C724" s="24" t="s">
        <v>2568</v>
      </c>
      <c r="D724" s="25"/>
      <c r="E724" s="25">
        <v>15</v>
      </c>
      <c r="F724" s="25">
        <v>52</v>
      </c>
      <c r="G724" s="25"/>
      <c r="H724" s="22">
        <f t="shared" si="11"/>
        <v>67</v>
      </c>
    </row>
    <row r="725" spans="1:8" ht="15.75" customHeight="1">
      <c r="A725" s="20" t="s">
        <v>2569</v>
      </c>
      <c r="B725" s="20" t="s">
        <v>2570</v>
      </c>
      <c r="C725" s="20"/>
      <c r="D725" s="21"/>
      <c r="E725" s="21">
        <v>15</v>
      </c>
      <c r="F725" s="21">
        <v>60</v>
      </c>
      <c r="G725" s="21">
        <v>10</v>
      </c>
      <c r="H725" s="22">
        <f t="shared" si="11"/>
        <v>85</v>
      </c>
    </row>
    <row r="726" spans="1:8" ht="15.75" customHeight="1">
      <c r="A726" s="24" t="s">
        <v>3115</v>
      </c>
      <c r="B726" s="24" t="s">
        <v>3116</v>
      </c>
      <c r="C726" s="24" t="s">
        <v>3117</v>
      </c>
      <c r="D726" s="25"/>
      <c r="E726" s="25"/>
      <c r="F726" s="25">
        <v>120</v>
      </c>
      <c r="G726" s="25"/>
      <c r="H726" s="22">
        <f t="shared" si="11"/>
        <v>120</v>
      </c>
    </row>
    <row r="727" spans="1:8" ht="15.75" customHeight="1">
      <c r="A727" s="20" t="s">
        <v>962</v>
      </c>
      <c r="B727" s="20" t="s">
        <v>963</v>
      </c>
      <c r="C727" s="20"/>
      <c r="D727" s="21">
        <v>50</v>
      </c>
      <c r="E727" s="21"/>
      <c r="F727" s="21">
        <v>6</v>
      </c>
      <c r="G727" s="21"/>
      <c r="H727" s="22">
        <f t="shared" si="11"/>
        <v>56</v>
      </c>
    </row>
    <row r="728" spans="1:8" ht="15.75" customHeight="1">
      <c r="A728" s="24" t="s">
        <v>3118</v>
      </c>
      <c r="B728" s="24" t="s">
        <v>3119</v>
      </c>
      <c r="C728" s="24" t="s">
        <v>932</v>
      </c>
      <c r="D728" s="25"/>
      <c r="E728" s="25"/>
      <c r="F728" s="25">
        <v>5</v>
      </c>
      <c r="G728" s="25"/>
      <c r="H728" s="22">
        <f t="shared" si="11"/>
        <v>5</v>
      </c>
    </row>
    <row r="729" spans="1:8" ht="15.75" customHeight="1">
      <c r="A729" s="20" t="s">
        <v>3120</v>
      </c>
      <c r="B729" s="20" t="s">
        <v>3121</v>
      </c>
      <c r="C729" s="20"/>
      <c r="D729" s="21"/>
      <c r="E729" s="21"/>
      <c r="F729" s="21">
        <v>10</v>
      </c>
      <c r="G729" s="21"/>
      <c r="H729" s="22">
        <f t="shared" si="11"/>
        <v>10</v>
      </c>
    </row>
    <row r="730" spans="1:8" ht="15.75" customHeight="1">
      <c r="A730" s="24" t="s">
        <v>2571</v>
      </c>
      <c r="B730" s="24" t="s">
        <v>2572</v>
      </c>
      <c r="C730" s="24" t="s">
        <v>935</v>
      </c>
      <c r="D730" s="25"/>
      <c r="E730" s="25">
        <v>42</v>
      </c>
      <c r="F730" s="25">
        <v>85</v>
      </c>
      <c r="G730" s="25"/>
      <c r="H730" s="22">
        <f t="shared" si="11"/>
        <v>127</v>
      </c>
    </row>
    <row r="731" spans="1:8" ht="15.75" customHeight="1">
      <c r="A731" s="20" t="s">
        <v>964</v>
      </c>
      <c r="B731" s="20" t="s">
        <v>965</v>
      </c>
      <c r="C731" s="20"/>
      <c r="D731" s="21">
        <v>100</v>
      </c>
      <c r="E731" s="21"/>
      <c r="F731" s="21"/>
      <c r="G731" s="21"/>
      <c r="H731" s="22">
        <f t="shared" si="11"/>
        <v>100</v>
      </c>
    </row>
    <row r="732" spans="1:8" ht="15.75" customHeight="1">
      <c r="A732" s="24" t="s">
        <v>3122</v>
      </c>
      <c r="B732" s="24" t="s">
        <v>3123</v>
      </c>
      <c r="C732" s="24" t="s">
        <v>1142</v>
      </c>
      <c r="D732" s="25"/>
      <c r="E732" s="25"/>
      <c r="F732" s="25">
        <v>5</v>
      </c>
      <c r="G732" s="25">
        <v>150</v>
      </c>
      <c r="H732" s="22">
        <f t="shared" si="11"/>
        <v>155</v>
      </c>
    </row>
    <row r="733" spans="1:8" ht="15.75" customHeight="1">
      <c r="A733" s="20" t="s">
        <v>2573</v>
      </c>
      <c r="B733" s="20" t="s">
        <v>2574</v>
      </c>
      <c r="C733" s="20" t="s">
        <v>2575</v>
      </c>
      <c r="D733" s="21"/>
      <c r="E733" s="21">
        <v>3</v>
      </c>
      <c r="F733" s="21"/>
      <c r="G733" s="21"/>
      <c r="H733" s="22">
        <f t="shared" si="11"/>
        <v>3</v>
      </c>
    </row>
    <row r="734" spans="1:8" ht="15.75" customHeight="1">
      <c r="A734" s="24" t="s">
        <v>2576</v>
      </c>
      <c r="B734" s="24" t="s">
        <v>2577</v>
      </c>
      <c r="C734" s="24"/>
      <c r="D734" s="25"/>
      <c r="E734" s="25">
        <v>178</v>
      </c>
      <c r="F734" s="25"/>
      <c r="G734" s="25"/>
      <c r="H734" s="22">
        <f t="shared" si="11"/>
        <v>178</v>
      </c>
    </row>
    <row r="735" spans="1:8" ht="15.75" customHeight="1">
      <c r="A735" s="20" t="s">
        <v>966</v>
      </c>
      <c r="B735" s="20" t="s">
        <v>967</v>
      </c>
      <c r="C735" s="20"/>
      <c r="D735" s="21">
        <v>30</v>
      </c>
      <c r="E735" s="21">
        <v>70</v>
      </c>
      <c r="F735" s="21">
        <v>10</v>
      </c>
      <c r="G735" s="21"/>
      <c r="H735" s="22">
        <f t="shared" si="11"/>
        <v>110</v>
      </c>
    </row>
    <row r="736" spans="1:8" ht="15.75" customHeight="1">
      <c r="A736" s="24" t="s">
        <v>2578</v>
      </c>
      <c r="B736" s="24" t="s">
        <v>1233</v>
      </c>
      <c r="C736" s="24"/>
      <c r="D736" s="25"/>
      <c r="E736" s="25">
        <v>26</v>
      </c>
      <c r="F736" s="25">
        <v>50</v>
      </c>
      <c r="G736" s="25"/>
      <c r="H736" s="22">
        <f t="shared" si="11"/>
        <v>76</v>
      </c>
    </row>
    <row r="737" spans="1:8" ht="15.75" customHeight="1">
      <c r="A737" s="20" t="s">
        <v>2579</v>
      </c>
      <c r="B737" s="20" t="s">
        <v>2580</v>
      </c>
      <c r="C737" s="20"/>
      <c r="D737" s="21"/>
      <c r="E737" s="21">
        <v>18</v>
      </c>
      <c r="F737" s="21">
        <v>5</v>
      </c>
      <c r="G737" s="21"/>
      <c r="H737" s="22">
        <f t="shared" si="11"/>
        <v>23</v>
      </c>
    </row>
    <row r="738" spans="1:8" ht="15.75" customHeight="1">
      <c r="A738" s="24" t="s">
        <v>2581</v>
      </c>
      <c r="B738" s="24" t="s">
        <v>1153</v>
      </c>
      <c r="C738" s="24"/>
      <c r="D738" s="25"/>
      <c r="E738" s="25">
        <v>7</v>
      </c>
      <c r="F738" s="25">
        <v>5</v>
      </c>
      <c r="G738" s="25"/>
      <c r="H738" s="22">
        <f t="shared" si="11"/>
        <v>12</v>
      </c>
    </row>
    <row r="739" spans="1:8" ht="15.75" customHeight="1">
      <c r="A739" s="20" t="s">
        <v>2582</v>
      </c>
      <c r="B739" s="20" t="s">
        <v>2583</v>
      </c>
      <c r="C739" s="20"/>
      <c r="D739" s="21"/>
      <c r="E739" s="21">
        <v>21</v>
      </c>
      <c r="F739" s="21"/>
      <c r="G739" s="21"/>
      <c r="H739" s="22">
        <f t="shared" si="11"/>
        <v>21</v>
      </c>
    </row>
    <row r="740" spans="1:8" ht="15.75" customHeight="1">
      <c r="A740" s="24" t="s">
        <v>2584</v>
      </c>
      <c r="B740" s="24" t="s">
        <v>2585</v>
      </c>
      <c r="C740" s="24"/>
      <c r="D740" s="25"/>
      <c r="E740" s="25">
        <v>12</v>
      </c>
      <c r="F740" s="25"/>
      <c r="G740" s="25"/>
      <c r="H740" s="22">
        <f t="shared" si="11"/>
        <v>12</v>
      </c>
    </row>
    <row r="741" spans="1:8" ht="15.75" customHeight="1">
      <c r="A741" s="20" t="s">
        <v>2586</v>
      </c>
      <c r="B741" s="20" t="s">
        <v>2587</v>
      </c>
      <c r="C741" s="20"/>
      <c r="D741" s="21"/>
      <c r="E741" s="21">
        <v>18</v>
      </c>
      <c r="F741" s="21"/>
      <c r="G741" s="21"/>
      <c r="H741" s="22">
        <f t="shared" si="11"/>
        <v>18</v>
      </c>
    </row>
    <row r="742" spans="1:8" ht="15.75" customHeight="1">
      <c r="A742" s="24" t="s">
        <v>2588</v>
      </c>
      <c r="B742" s="24" t="s">
        <v>2589</v>
      </c>
      <c r="C742" s="24"/>
      <c r="D742" s="25"/>
      <c r="E742" s="25">
        <v>23</v>
      </c>
      <c r="F742" s="25"/>
      <c r="G742" s="25"/>
      <c r="H742" s="22">
        <f t="shared" si="11"/>
        <v>23</v>
      </c>
    </row>
    <row r="743" spans="1:8" ht="15.75" customHeight="1">
      <c r="A743" s="20" t="s">
        <v>968</v>
      </c>
      <c r="B743" s="20" t="s">
        <v>969</v>
      </c>
      <c r="C743" s="20"/>
      <c r="D743" s="21">
        <v>1</v>
      </c>
      <c r="E743" s="21"/>
      <c r="F743" s="21"/>
      <c r="G743" s="21"/>
      <c r="H743" s="22">
        <f t="shared" si="11"/>
        <v>1</v>
      </c>
    </row>
    <row r="744" spans="1:8" ht="15.75" customHeight="1">
      <c r="A744" s="24" t="s">
        <v>970</v>
      </c>
      <c r="B744" s="24" t="s">
        <v>971</v>
      </c>
      <c r="C744" s="24"/>
      <c r="D744" s="25">
        <v>4</v>
      </c>
      <c r="E744" s="25"/>
      <c r="F744" s="25"/>
      <c r="G744" s="25"/>
      <c r="H744" s="22">
        <f t="shared" si="11"/>
        <v>4</v>
      </c>
    </row>
    <row r="745" spans="1:8" ht="15.75" customHeight="1">
      <c r="A745" s="20" t="s">
        <v>2590</v>
      </c>
      <c r="B745" s="20" t="s">
        <v>2591</v>
      </c>
      <c r="C745" s="20" t="s">
        <v>2592</v>
      </c>
      <c r="D745" s="21"/>
      <c r="E745" s="21">
        <v>3</v>
      </c>
      <c r="F745" s="21"/>
      <c r="G745" s="21"/>
      <c r="H745" s="22">
        <f t="shared" si="11"/>
        <v>3</v>
      </c>
    </row>
    <row r="746" spans="1:8" ht="15.75" customHeight="1">
      <c r="A746" s="24" t="s">
        <v>972</v>
      </c>
      <c r="B746" s="24" t="s">
        <v>973</v>
      </c>
      <c r="C746" s="24" t="s">
        <v>974</v>
      </c>
      <c r="D746" s="25">
        <v>100</v>
      </c>
      <c r="E746" s="25"/>
      <c r="F746" s="25"/>
      <c r="G746" s="25"/>
      <c r="H746" s="22">
        <f t="shared" si="11"/>
        <v>100</v>
      </c>
    </row>
    <row r="747" spans="1:8" ht="15.75" customHeight="1">
      <c r="A747" s="20" t="s">
        <v>975</v>
      </c>
      <c r="B747" s="20" t="s">
        <v>976</v>
      </c>
      <c r="C747" s="20" t="s">
        <v>977</v>
      </c>
      <c r="D747" s="21">
        <v>100</v>
      </c>
      <c r="E747" s="21"/>
      <c r="F747" s="21">
        <v>100</v>
      </c>
      <c r="G747" s="21"/>
      <c r="H747" s="22">
        <f t="shared" si="11"/>
        <v>200</v>
      </c>
    </row>
    <row r="748" spans="1:8" ht="15.75" customHeight="1">
      <c r="A748" s="24" t="s">
        <v>978</v>
      </c>
      <c r="B748" s="24" t="s">
        <v>979</v>
      </c>
      <c r="C748" s="24"/>
      <c r="D748" s="25">
        <v>11</v>
      </c>
      <c r="E748" s="25">
        <v>6</v>
      </c>
      <c r="F748" s="25">
        <v>6</v>
      </c>
      <c r="G748" s="25"/>
      <c r="H748" s="22">
        <f t="shared" si="11"/>
        <v>23</v>
      </c>
    </row>
    <row r="749" spans="1:8" ht="15.75" customHeight="1">
      <c r="A749" s="20" t="s">
        <v>980</v>
      </c>
      <c r="B749" s="20" t="s">
        <v>981</v>
      </c>
      <c r="C749" s="20"/>
      <c r="D749" s="21">
        <v>4</v>
      </c>
      <c r="E749" s="21"/>
      <c r="F749" s="21"/>
      <c r="G749" s="21"/>
      <c r="H749" s="22">
        <f t="shared" si="11"/>
        <v>4</v>
      </c>
    </row>
    <row r="750" spans="1:8" ht="15.75" customHeight="1">
      <c r="A750" s="24" t="s">
        <v>982</v>
      </c>
      <c r="B750" s="24" t="s">
        <v>983</v>
      </c>
      <c r="C750" s="24"/>
      <c r="D750" s="25">
        <v>20</v>
      </c>
      <c r="E750" s="25"/>
      <c r="F750" s="25"/>
      <c r="G750" s="25"/>
      <c r="H750" s="22">
        <f t="shared" si="11"/>
        <v>20</v>
      </c>
    </row>
    <row r="751" spans="1:8" ht="15.75" customHeight="1">
      <c r="A751" s="20" t="s">
        <v>3124</v>
      </c>
      <c r="B751" s="20" t="s">
        <v>3125</v>
      </c>
      <c r="C751" s="20"/>
      <c r="D751" s="21"/>
      <c r="E751" s="21"/>
      <c r="F751" s="21">
        <v>2</v>
      </c>
      <c r="G751" s="21"/>
      <c r="H751" s="22">
        <f t="shared" si="11"/>
        <v>2</v>
      </c>
    </row>
    <row r="752" spans="1:8" ht="15.75" customHeight="1">
      <c r="A752" s="24" t="s">
        <v>984</v>
      </c>
      <c r="B752" s="24" t="s">
        <v>367</v>
      </c>
      <c r="C752" s="24" t="s">
        <v>985</v>
      </c>
      <c r="D752" s="25">
        <v>50</v>
      </c>
      <c r="E752" s="25">
        <v>110</v>
      </c>
      <c r="F752" s="25"/>
      <c r="G752" s="25"/>
      <c r="H752" s="22">
        <f t="shared" si="11"/>
        <v>160</v>
      </c>
    </row>
    <row r="753" spans="1:8" ht="15.75" customHeight="1">
      <c r="A753" s="20" t="s">
        <v>986</v>
      </c>
      <c r="B753" s="20" t="s">
        <v>370</v>
      </c>
      <c r="C753" s="20" t="s">
        <v>987</v>
      </c>
      <c r="D753" s="21">
        <v>150</v>
      </c>
      <c r="E753" s="21">
        <v>50</v>
      </c>
      <c r="F753" s="21">
        <v>50</v>
      </c>
      <c r="G753" s="21"/>
      <c r="H753" s="22">
        <f t="shared" si="11"/>
        <v>250</v>
      </c>
    </row>
    <row r="754" spans="1:8" ht="15.75" customHeight="1">
      <c r="A754" s="24" t="s">
        <v>988</v>
      </c>
      <c r="B754" s="24" t="s">
        <v>351</v>
      </c>
      <c r="C754" s="24" t="s">
        <v>989</v>
      </c>
      <c r="D754" s="25">
        <v>50</v>
      </c>
      <c r="E754" s="25">
        <v>210</v>
      </c>
      <c r="F754" s="25">
        <v>60</v>
      </c>
      <c r="G754" s="25"/>
      <c r="H754" s="22">
        <f t="shared" si="11"/>
        <v>320</v>
      </c>
    </row>
    <row r="755" spans="1:8" ht="15.75" customHeight="1">
      <c r="A755" s="20" t="s">
        <v>2593</v>
      </c>
      <c r="B755" s="20" t="s">
        <v>357</v>
      </c>
      <c r="C755" s="20" t="s">
        <v>2594</v>
      </c>
      <c r="D755" s="21"/>
      <c r="E755" s="21">
        <v>60</v>
      </c>
      <c r="F755" s="21">
        <v>74</v>
      </c>
      <c r="G755" s="21"/>
      <c r="H755" s="22">
        <f t="shared" si="11"/>
        <v>134</v>
      </c>
    </row>
    <row r="756" spans="1:8" ht="15.75" customHeight="1">
      <c r="A756" s="24" t="s">
        <v>2595</v>
      </c>
      <c r="B756" s="24" t="s">
        <v>480</v>
      </c>
      <c r="C756" s="24" t="s">
        <v>2596</v>
      </c>
      <c r="D756" s="25"/>
      <c r="E756" s="25">
        <v>40</v>
      </c>
      <c r="F756" s="25">
        <v>50</v>
      </c>
      <c r="G756" s="25"/>
      <c r="H756" s="22">
        <f t="shared" si="11"/>
        <v>90</v>
      </c>
    </row>
    <row r="757" spans="1:8" ht="15.75" customHeight="1">
      <c r="A757" s="20" t="s">
        <v>3126</v>
      </c>
      <c r="B757" s="20" t="s">
        <v>726</v>
      </c>
      <c r="C757" s="20" t="s">
        <v>3127</v>
      </c>
      <c r="D757" s="21"/>
      <c r="E757" s="21"/>
      <c r="F757" s="21">
        <v>50</v>
      </c>
      <c r="G757" s="21"/>
      <c r="H757" s="22">
        <f t="shared" si="11"/>
        <v>50</v>
      </c>
    </row>
    <row r="758" spans="1:8" ht="15.75" customHeight="1">
      <c r="A758" s="24" t="s">
        <v>3128</v>
      </c>
      <c r="B758" s="24" t="s">
        <v>711</v>
      </c>
      <c r="C758" s="24" t="s">
        <v>3129</v>
      </c>
      <c r="D758" s="25"/>
      <c r="E758" s="25"/>
      <c r="F758" s="25">
        <v>50</v>
      </c>
      <c r="G758" s="25"/>
      <c r="H758" s="22">
        <f t="shared" si="11"/>
        <v>50</v>
      </c>
    </row>
    <row r="759" spans="1:8" ht="15.75" customHeight="1">
      <c r="A759" s="20" t="s">
        <v>3130</v>
      </c>
      <c r="B759" s="20" t="s">
        <v>3131</v>
      </c>
      <c r="C759" s="20"/>
      <c r="D759" s="21"/>
      <c r="E759" s="21"/>
      <c r="F759" s="21">
        <v>1</v>
      </c>
      <c r="G759" s="21"/>
      <c r="H759" s="22">
        <f t="shared" si="11"/>
        <v>1</v>
      </c>
    </row>
    <row r="760" spans="1:8" ht="15.75" customHeight="1">
      <c r="A760" s="24" t="s">
        <v>990</v>
      </c>
      <c r="B760" s="24" t="s">
        <v>991</v>
      </c>
      <c r="C760" s="24"/>
      <c r="D760" s="25">
        <v>8</v>
      </c>
      <c r="E760" s="25">
        <v>13</v>
      </c>
      <c r="F760" s="25">
        <v>12</v>
      </c>
      <c r="G760" s="25"/>
      <c r="H760" s="22">
        <f t="shared" si="11"/>
        <v>33</v>
      </c>
    </row>
    <row r="761" spans="1:8" ht="15.75" customHeight="1">
      <c r="A761" s="20" t="s">
        <v>2597</v>
      </c>
      <c r="B761" s="20" t="s">
        <v>820</v>
      </c>
      <c r="C761" s="20" t="s">
        <v>2598</v>
      </c>
      <c r="D761" s="21"/>
      <c r="E761" s="21">
        <v>311</v>
      </c>
      <c r="F761" s="21">
        <v>130</v>
      </c>
      <c r="G761" s="21"/>
      <c r="H761" s="22">
        <f t="shared" si="11"/>
        <v>441</v>
      </c>
    </row>
    <row r="762" spans="1:8" ht="15.75" customHeight="1">
      <c r="A762" s="24" t="s">
        <v>992</v>
      </c>
      <c r="B762" s="24" t="s">
        <v>832</v>
      </c>
      <c r="C762" s="24" t="s">
        <v>993</v>
      </c>
      <c r="D762" s="25">
        <v>100</v>
      </c>
      <c r="E762" s="25">
        <v>589</v>
      </c>
      <c r="F762" s="25">
        <v>250</v>
      </c>
      <c r="G762" s="25"/>
      <c r="H762" s="22">
        <f t="shared" si="11"/>
        <v>939</v>
      </c>
    </row>
    <row r="763" spans="1:8" ht="15.75" customHeight="1">
      <c r="A763" s="20" t="s">
        <v>2599</v>
      </c>
      <c r="B763" s="20" t="s">
        <v>776</v>
      </c>
      <c r="C763" s="20" t="s">
        <v>2600</v>
      </c>
      <c r="D763" s="21"/>
      <c r="E763" s="21">
        <v>280</v>
      </c>
      <c r="F763" s="21">
        <v>30</v>
      </c>
      <c r="G763" s="21"/>
      <c r="H763" s="22">
        <f t="shared" si="11"/>
        <v>310</v>
      </c>
    </row>
    <row r="764" spans="1:8" ht="15.75" customHeight="1">
      <c r="A764" s="24" t="s">
        <v>994</v>
      </c>
      <c r="B764" s="24" t="s">
        <v>799</v>
      </c>
      <c r="C764" s="24" t="s">
        <v>995</v>
      </c>
      <c r="D764" s="25">
        <v>30</v>
      </c>
      <c r="E764" s="25">
        <v>914</v>
      </c>
      <c r="F764" s="25">
        <v>100</v>
      </c>
      <c r="G764" s="25"/>
      <c r="H764" s="22">
        <f t="shared" si="11"/>
        <v>1044</v>
      </c>
    </row>
    <row r="765" spans="1:8" ht="15.75" customHeight="1">
      <c r="A765" s="20" t="s">
        <v>996</v>
      </c>
      <c r="B765" s="20" t="s">
        <v>823</v>
      </c>
      <c r="C765" s="20" t="s">
        <v>997</v>
      </c>
      <c r="D765" s="21">
        <v>59</v>
      </c>
      <c r="E765" s="21">
        <v>750</v>
      </c>
      <c r="F765" s="21"/>
      <c r="G765" s="21"/>
      <c r="H765" s="22">
        <f t="shared" si="11"/>
        <v>809</v>
      </c>
    </row>
    <row r="766" spans="1:8" ht="15.75" customHeight="1">
      <c r="A766" s="24" t="s">
        <v>2601</v>
      </c>
      <c r="B766" s="24" t="s">
        <v>860</v>
      </c>
      <c r="C766" s="24" t="s">
        <v>2602</v>
      </c>
      <c r="D766" s="25"/>
      <c r="E766" s="25">
        <v>200</v>
      </c>
      <c r="F766" s="25"/>
      <c r="G766" s="25"/>
      <c r="H766" s="22">
        <f t="shared" si="11"/>
        <v>200</v>
      </c>
    </row>
    <row r="767" spans="1:8" ht="15.75" customHeight="1">
      <c r="A767" s="20" t="s">
        <v>2603</v>
      </c>
      <c r="B767" s="20" t="s">
        <v>846</v>
      </c>
      <c r="C767" s="20" t="s">
        <v>2604</v>
      </c>
      <c r="D767" s="21"/>
      <c r="E767" s="21">
        <v>106</v>
      </c>
      <c r="F767" s="21">
        <v>30</v>
      </c>
      <c r="G767" s="21"/>
      <c r="H767" s="22">
        <f t="shared" si="11"/>
        <v>136</v>
      </c>
    </row>
    <row r="768" spans="1:8" ht="15.75" customHeight="1">
      <c r="A768" s="24" t="s">
        <v>3132</v>
      </c>
      <c r="B768" s="24" t="s">
        <v>3133</v>
      </c>
      <c r="C768" s="24"/>
      <c r="D768" s="25"/>
      <c r="E768" s="25"/>
      <c r="F768" s="25">
        <v>2</v>
      </c>
      <c r="G768" s="25"/>
      <c r="H768" s="22">
        <f t="shared" si="11"/>
        <v>2</v>
      </c>
    </row>
    <row r="769" spans="1:8" ht="15.75" customHeight="1">
      <c r="A769" s="20" t="s">
        <v>998</v>
      </c>
      <c r="B769" s="20" t="s">
        <v>852</v>
      </c>
      <c r="C769" s="20" t="s">
        <v>999</v>
      </c>
      <c r="D769" s="21">
        <v>100</v>
      </c>
      <c r="E769" s="21">
        <v>200</v>
      </c>
      <c r="F769" s="21"/>
      <c r="G769" s="21"/>
      <c r="H769" s="22">
        <f t="shared" si="11"/>
        <v>300</v>
      </c>
    </row>
    <row r="770" spans="1:8" ht="15.75" customHeight="1">
      <c r="A770" s="24" t="s">
        <v>3134</v>
      </c>
      <c r="B770" s="24" t="s">
        <v>3135</v>
      </c>
      <c r="C770" s="24" t="s">
        <v>3136</v>
      </c>
      <c r="D770" s="25"/>
      <c r="E770" s="25"/>
      <c r="F770" s="25">
        <v>10</v>
      </c>
      <c r="G770" s="25"/>
      <c r="H770" s="22">
        <f t="shared" si="11"/>
        <v>10</v>
      </c>
    </row>
    <row r="771" spans="1:8" ht="15.75" customHeight="1">
      <c r="A771" s="20" t="s">
        <v>1000</v>
      </c>
      <c r="B771" s="20" t="s">
        <v>832</v>
      </c>
      <c r="C771" s="20" t="s">
        <v>1001</v>
      </c>
      <c r="D771" s="21">
        <v>20</v>
      </c>
      <c r="E771" s="21">
        <v>130</v>
      </c>
      <c r="F771" s="21">
        <v>30</v>
      </c>
      <c r="G771" s="21"/>
      <c r="H771" s="22">
        <f t="shared" si="11"/>
        <v>180</v>
      </c>
    </row>
    <row r="772" spans="1:8" ht="15.75" customHeight="1">
      <c r="A772" s="24" t="s">
        <v>1002</v>
      </c>
      <c r="B772" s="24" t="s">
        <v>799</v>
      </c>
      <c r="C772" s="24" t="s">
        <v>1003</v>
      </c>
      <c r="D772" s="25">
        <v>10</v>
      </c>
      <c r="E772" s="25"/>
      <c r="F772" s="25">
        <v>30</v>
      </c>
      <c r="G772" s="25">
        <v>30</v>
      </c>
      <c r="H772" s="22">
        <f t="shared" ref="H772:H835" si="12">SUM(D772:G772)</f>
        <v>70</v>
      </c>
    </row>
    <row r="773" spans="1:8" ht="15.75" customHeight="1">
      <c r="A773" s="20" t="s">
        <v>1004</v>
      </c>
      <c r="B773" s="20" t="s">
        <v>776</v>
      </c>
      <c r="C773" s="20" t="s">
        <v>1005</v>
      </c>
      <c r="D773" s="21">
        <v>30</v>
      </c>
      <c r="E773" s="21"/>
      <c r="F773" s="21">
        <v>30</v>
      </c>
      <c r="G773" s="21">
        <v>50</v>
      </c>
      <c r="H773" s="22">
        <f t="shared" si="12"/>
        <v>110</v>
      </c>
    </row>
    <row r="774" spans="1:8" ht="15.75" customHeight="1">
      <c r="A774" s="24" t="s">
        <v>2605</v>
      </c>
      <c r="B774" s="24" t="s">
        <v>896</v>
      </c>
      <c r="C774" s="24" t="s">
        <v>2606</v>
      </c>
      <c r="D774" s="25"/>
      <c r="E774" s="25">
        <v>300</v>
      </c>
      <c r="F774" s="25"/>
      <c r="G774" s="25"/>
      <c r="H774" s="22">
        <f t="shared" si="12"/>
        <v>300</v>
      </c>
    </row>
    <row r="775" spans="1:8" ht="15.75" customHeight="1">
      <c r="A775" s="20" t="s">
        <v>3137</v>
      </c>
      <c r="B775" s="20" t="s">
        <v>678</v>
      </c>
      <c r="C775" s="20" t="s">
        <v>3138</v>
      </c>
      <c r="D775" s="21"/>
      <c r="E775" s="21"/>
      <c r="F775" s="21">
        <v>200</v>
      </c>
      <c r="G775" s="21">
        <v>150</v>
      </c>
      <c r="H775" s="22">
        <f t="shared" si="12"/>
        <v>350</v>
      </c>
    </row>
    <row r="776" spans="1:8" ht="15.75" customHeight="1">
      <c r="A776" s="24" t="s">
        <v>3455</v>
      </c>
      <c r="B776" s="24" t="s">
        <v>692</v>
      </c>
      <c r="C776" s="24" t="s">
        <v>3456</v>
      </c>
      <c r="D776" s="25"/>
      <c r="E776" s="25"/>
      <c r="F776" s="25"/>
      <c r="G776" s="25">
        <v>100</v>
      </c>
      <c r="H776" s="22">
        <f t="shared" si="12"/>
        <v>100</v>
      </c>
    </row>
    <row r="777" spans="1:8" ht="15.75" customHeight="1">
      <c r="A777" s="20" t="s">
        <v>3457</v>
      </c>
      <c r="B777" s="20" t="s">
        <v>697</v>
      </c>
      <c r="C777" s="20" t="s">
        <v>3458</v>
      </c>
      <c r="D777" s="21"/>
      <c r="E777" s="21"/>
      <c r="F777" s="21"/>
      <c r="G777" s="21">
        <v>100</v>
      </c>
      <c r="H777" s="22">
        <f t="shared" si="12"/>
        <v>100</v>
      </c>
    </row>
    <row r="778" spans="1:8" ht="15.75" customHeight="1">
      <c r="A778" s="24" t="s">
        <v>3459</v>
      </c>
      <c r="B778" s="24" t="s">
        <v>708</v>
      </c>
      <c r="C778" s="24" t="s">
        <v>3460</v>
      </c>
      <c r="D778" s="25"/>
      <c r="E778" s="25"/>
      <c r="F778" s="25"/>
      <c r="G778" s="25">
        <v>50</v>
      </c>
      <c r="H778" s="22">
        <f t="shared" si="12"/>
        <v>50</v>
      </c>
    </row>
    <row r="779" spans="1:8" ht="15.75" customHeight="1">
      <c r="A779" s="20" t="s">
        <v>1006</v>
      </c>
      <c r="B779" s="20" t="s">
        <v>869</v>
      </c>
      <c r="C779" s="20" t="s">
        <v>1007</v>
      </c>
      <c r="D779" s="21">
        <v>50</v>
      </c>
      <c r="E779" s="21"/>
      <c r="F779" s="21"/>
      <c r="G779" s="21"/>
      <c r="H779" s="22">
        <f t="shared" si="12"/>
        <v>50</v>
      </c>
    </row>
    <row r="780" spans="1:8" ht="15.75" customHeight="1">
      <c r="A780" s="24" t="s">
        <v>3139</v>
      </c>
      <c r="B780" s="24" t="s">
        <v>3140</v>
      </c>
      <c r="C780" s="24"/>
      <c r="D780" s="25"/>
      <c r="E780" s="25"/>
      <c r="F780" s="25">
        <v>2</v>
      </c>
      <c r="G780" s="25"/>
      <c r="H780" s="22">
        <f t="shared" si="12"/>
        <v>2</v>
      </c>
    </row>
    <row r="781" spans="1:8" ht="15.75" customHeight="1">
      <c r="A781" s="20" t="s">
        <v>3141</v>
      </c>
      <c r="B781" s="20" t="s">
        <v>802</v>
      </c>
      <c r="C781" s="20" t="s">
        <v>1144</v>
      </c>
      <c r="D781" s="21"/>
      <c r="E781" s="21"/>
      <c r="F781" s="21">
        <v>10</v>
      </c>
      <c r="G781" s="21"/>
      <c r="H781" s="22">
        <f t="shared" si="12"/>
        <v>10</v>
      </c>
    </row>
    <row r="782" spans="1:8" ht="15.75" customHeight="1">
      <c r="A782" s="24" t="s">
        <v>1008</v>
      </c>
      <c r="B782" s="24" t="s">
        <v>779</v>
      </c>
      <c r="C782" s="24" t="s">
        <v>1009</v>
      </c>
      <c r="D782" s="25">
        <v>80</v>
      </c>
      <c r="E782" s="25">
        <v>383</v>
      </c>
      <c r="F782" s="25">
        <v>2</v>
      </c>
      <c r="G782" s="25"/>
      <c r="H782" s="22">
        <f t="shared" si="12"/>
        <v>465</v>
      </c>
    </row>
    <row r="783" spans="1:8" ht="15.75" customHeight="1">
      <c r="A783" s="20" t="s">
        <v>1010</v>
      </c>
      <c r="B783" s="20" t="s">
        <v>802</v>
      </c>
      <c r="C783" s="20" t="s">
        <v>1011</v>
      </c>
      <c r="D783" s="21">
        <v>155</v>
      </c>
      <c r="E783" s="21">
        <v>258</v>
      </c>
      <c r="F783" s="21">
        <v>2</v>
      </c>
      <c r="G783" s="21"/>
      <c r="H783" s="22">
        <f t="shared" si="12"/>
        <v>415</v>
      </c>
    </row>
    <row r="784" spans="1:8" ht="15.75" customHeight="1">
      <c r="A784" s="24" t="s">
        <v>1012</v>
      </c>
      <c r="B784" s="24" t="s">
        <v>860</v>
      </c>
      <c r="C784" s="24" t="s">
        <v>1013</v>
      </c>
      <c r="D784" s="25">
        <v>3</v>
      </c>
      <c r="E784" s="25"/>
      <c r="F784" s="25"/>
      <c r="G784" s="25"/>
      <c r="H784" s="22">
        <f t="shared" si="12"/>
        <v>3</v>
      </c>
    </row>
    <row r="785" spans="1:8" ht="15.75" customHeight="1">
      <c r="A785" s="20" t="s">
        <v>2607</v>
      </c>
      <c r="B785" s="20" t="s">
        <v>732</v>
      </c>
      <c r="C785" s="20" t="s">
        <v>2608</v>
      </c>
      <c r="D785" s="21"/>
      <c r="E785" s="21">
        <v>10</v>
      </c>
      <c r="F785" s="21"/>
      <c r="G785" s="21"/>
      <c r="H785" s="22">
        <f t="shared" si="12"/>
        <v>10</v>
      </c>
    </row>
    <row r="786" spans="1:8" ht="15.75" customHeight="1">
      <c r="A786" s="24" t="s">
        <v>1014</v>
      </c>
      <c r="B786" s="24" t="s">
        <v>776</v>
      </c>
      <c r="C786" s="24" t="s">
        <v>1015</v>
      </c>
      <c r="D786" s="25">
        <v>140</v>
      </c>
      <c r="E786" s="25">
        <v>60</v>
      </c>
      <c r="F786" s="25">
        <v>50</v>
      </c>
      <c r="G786" s="25"/>
      <c r="H786" s="22">
        <f t="shared" si="12"/>
        <v>250</v>
      </c>
    </row>
    <row r="787" spans="1:8" ht="15.75" customHeight="1">
      <c r="A787" s="20" t="s">
        <v>1016</v>
      </c>
      <c r="B787" s="20" t="s">
        <v>799</v>
      </c>
      <c r="C787" s="20" t="s">
        <v>1017</v>
      </c>
      <c r="D787" s="21">
        <v>110</v>
      </c>
      <c r="E787" s="21">
        <v>70</v>
      </c>
      <c r="F787" s="21">
        <v>50</v>
      </c>
      <c r="G787" s="21"/>
      <c r="H787" s="22">
        <f t="shared" si="12"/>
        <v>230</v>
      </c>
    </row>
    <row r="788" spans="1:8" ht="15.75" customHeight="1">
      <c r="A788" s="24" t="s">
        <v>1018</v>
      </c>
      <c r="B788" s="24" t="s">
        <v>820</v>
      </c>
      <c r="C788" s="24" t="s">
        <v>1019</v>
      </c>
      <c r="D788" s="25">
        <v>60</v>
      </c>
      <c r="E788" s="25">
        <v>60</v>
      </c>
      <c r="F788" s="25">
        <v>50</v>
      </c>
      <c r="G788" s="25"/>
      <c r="H788" s="22">
        <f t="shared" si="12"/>
        <v>170</v>
      </c>
    </row>
    <row r="789" spans="1:8" ht="15.75" customHeight="1">
      <c r="A789" s="20" t="s">
        <v>1020</v>
      </c>
      <c r="B789" s="20" t="s">
        <v>832</v>
      </c>
      <c r="C789" s="20" t="s">
        <v>1021</v>
      </c>
      <c r="D789" s="21">
        <v>30</v>
      </c>
      <c r="E789" s="21">
        <v>60</v>
      </c>
      <c r="F789" s="21">
        <v>50</v>
      </c>
      <c r="G789" s="21"/>
      <c r="H789" s="22">
        <f t="shared" si="12"/>
        <v>140</v>
      </c>
    </row>
    <row r="790" spans="1:8" ht="15.75" customHeight="1">
      <c r="A790" s="24" t="s">
        <v>3142</v>
      </c>
      <c r="B790" s="24" t="s">
        <v>846</v>
      </c>
      <c r="C790" s="24" t="s">
        <v>3143</v>
      </c>
      <c r="D790" s="25"/>
      <c r="E790" s="25"/>
      <c r="F790" s="25">
        <v>50</v>
      </c>
      <c r="G790" s="25"/>
      <c r="H790" s="22">
        <f t="shared" si="12"/>
        <v>50</v>
      </c>
    </row>
    <row r="791" spans="1:8" ht="15.75" customHeight="1">
      <c r="A791" s="20" t="s">
        <v>1022</v>
      </c>
      <c r="B791" s="20" t="s">
        <v>846</v>
      </c>
      <c r="C791" s="20" t="s">
        <v>1023</v>
      </c>
      <c r="D791" s="21">
        <v>40</v>
      </c>
      <c r="E791" s="21">
        <v>30</v>
      </c>
      <c r="F791" s="21">
        <v>30</v>
      </c>
      <c r="G791" s="21"/>
      <c r="H791" s="22">
        <f t="shared" si="12"/>
        <v>100</v>
      </c>
    </row>
    <row r="792" spans="1:8" ht="15.75" customHeight="1">
      <c r="A792" s="24" t="s">
        <v>2609</v>
      </c>
      <c r="B792" s="24" t="s">
        <v>597</v>
      </c>
      <c r="C792" s="24" t="s">
        <v>2610</v>
      </c>
      <c r="D792" s="25"/>
      <c r="E792" s="25">
        <v>50</v>
      </c>
      <c r="F792" s="25">
        <v>50</v>
      </c>
      <c r="G792" s="25"/>
      <c r="H792" s="22">
        <f t="shared" si="12"/>
        <v>100</v>
      </c>
    </row>
    <row r="793" spans="1:8" ht="15.75" customHeight="1">
      <c r="A793" s="20" t="s">
        <v>2611</v>
      </c>
      <c r="B793" s="20" t="s">
        <v>591</v>
      </c>
      <c r="C793" s="20" t="s">
        <v>2612</v>
      </c>
      <c r="D793" s="21"/>
      <c r="E793" s="21">
        <v>50</v>
      </c>
      <c r="F793" s="21">
        <v>60</v>
      </c>
      <c r="G793" s="21"/>
      <c r="H793" s="22">
        <f t="shared" si="12"/>
        <v>110</v>
      </c>
    </row>
    <row r="794" spans="1:8" ht="15.75" customHeight="1">
      <c r="A794" s="24" t="s">
        <v>2613</v>
      </c>
      <c r="B794" s="24" t="s">
        <v>582</v>
      </c>
      <c r="C794" s="24" t="s">
        <v>2614</v>
      </c>
      <c r="D794" s="25"/>
      <c r="E794" s="25">
        <v>50</v>
      </c>
      <c r="F794" s="25"/>
      <c r="G794" s="25"/>
      <c r="H794" s="22">
        <f t="shared" si="12"/>
        <v>50</v>
      </c>
    </row>
    <row r="795" spans="1:8" ht="15.75" customHeight="1">
      <c r="A795" s="20" t="s">
        <v>1024</v>
      </c>
      <c r="B795" s="20" t="s">
        <v>354</v>
      </c>
      <c r="C795" s="20" t="s">
        <v>1025</v>
      </c>
      <c r="D795" s="21">
        <v>50</v>
      </c>
      <c r="E795" s="21">
        <v>80</v>
      </c>
      <c r="F795" s="21">
        <v>50</v>
      </c>
      <c r="G795" s="21"/>
      <c r="H795" s="22">
        <f t="shared" si="12"/>
        <v>180</v>
      </c>
    </row>
    <row r="796" spans="1:8" ht="15.75" customHeight="1">
      <c r="A796" s="24" t="s">
        <v>1026</v>
      </c>
      <c r="B796" s="24" t="s">
        <v>568</v>
      </c>
      <c r="C796" s="24" t="s">
        <v>1027</v>
      </c>
      <c r="D796" s="25">
        <v>50</v>
      </c>
      <c r="E796" s="25">
        <v>80</v>
      </c>
      <c r="F796" s="25">
        <v>30</v>
      </c>
      <c r="G796" s="25"/>
      <c r="H796" s="22">
        <f t="shared" si="12"/>
        <v>160</v>
      </c>
    </row>
    <row r="797" spans="1:8" ht="15.75" customHeight="1">
      <c r="A797" s="20" t="s">
        <v>1028</v>
      </c>
      <c r="B797" s="20" t="s">
        <v>558</v>
      </c>
      <c r="C797" s="20" t="s">
        <v>1029</v>
      </c>
      <c r="D797" s="21">
        <v>100</v>
      </c>
      <c r="E797" s="21">
        <v>80</v>
      </c>
      <c r="F797" s="21">
        <v>10</v>
      </c>
      <c r="G797" s="21"/>
      <c r="H797" s="22">
        <f t="shared" si="12"/>
        <v>190</v>
      </c>
    </row>
    <row r="798" spans="1:8" ht="15.75" customHeight="1">
      <c r="A798" s="24" t="s">
        <v>1030</v>
      </c>
      <c r="B798" s="24" t="s">
        <v>835</v>
      </c>
      <c r="C798" s="24" t="s">
        <v>1031</v>
      </c>
      <c r="D798" s="25">
        <v>50</v>
      </c>
      <c r="E798" s="25">
        <v>150</v>
      </c>
      <c r="F798" s="25"/>
      <c r="G798" s="25"/>
      <c r="H798" s="22">
        <f t="shared" si="12"/>
        <v>200</v>
      </c>
    </row>
    <row r="799" spans="1:8" ht="15.75" customHeight="1">
      <c r="A799" s="20" t="s">
        <v>1032</v>
      </c>
      <c r="B799" s="20" t="s">
        <v>1033</v>
      </c>
      <c r="C799" s="20" t="s">
        <v>932</v>
      </c>
      <c r="D799" s="21">
        <v>10</v>
      </c>
      <c r="E799" s="21">
        <v>5</v>
      </c>
      <c r="F799" s="21">
        <v>4</v>
      </c>
      <c r="G799" s="21"/>
      <c r="H799" s="22">
        <f t="shared" si="12"/>
        <v>19</v>
      </c>
    </row>
    <row r="800" spans="1:8" ht="15.75" customHeight="1">
      <c r="A800" s="24" t="s">
        <v>3144</v>
      </c>
      <c r="B800" s="24" t="s">
        <v>666</v>
      </c>
      <c r="C800" s="24" t="s">
        <v>3145</v>
      </c>
      <c r="D800" s="25"/>
      <c r="E800" s="25"/>
      <c r="F800" s="25">
        <v>200</v>
      </c>
      <c r="G800" s="25"/>
      <c r="H800" s="22">
        <f t="shared" si="12"/>
        <v>200</v>
      </c>
    </row>
    <row r="801" spans="1:8" ht="15.75" customHeight="1">
      <c r="A801" s="20" t="s">
        <v>1034</v>
      </c>
      <c r="B801" s="20" t="s">
        <v>1035</v>
      </c>
      <c r="C801" s="20"/>
      <c r="D801" s="21">
        <v>36</v>
      </c>
      <c r="E801" s="21"/>
      <c r="F801" s="21">
        <v>59</v>
      </c>
      <c r="G801" s="21"/>
      <c r="H801" s="22">
        <f t="shared" si="12"/>
        <v>95</v>
      </c>
    </row>
    <row r="802" spans="1:8" ht="15.75" customHeight="1">
      <c r="A802" s="24" t="s">
        <v>2615</v>
      </c>
      <c r="B802" s="24" t="s">
        <v>606</v>
      </c>
      <c r="C802" s="24" t="s">
        <v>2616</v>
      </c>
      <c r="D802" s="25"/>
      <c r="E802" s="25">
        <v>50</v>
      </c>
      <c r="F802" s="25">
        <v>50</v>
      </c>
      <c r="G802" s="25"/>
      <c r="H802" s="22">
        <f t="shared" si="12"/>
        <v>100</v>
      </c>
    </row>
    <row r="803" spans="1:8" ht="15.75" customHeight="1">
      <c r="A803" s="20" t="s">
        <v>3146</v>
      </c>
      <c r="B803" s="20" t="s">
        <v>609</v>
      </c>
      <c r="C803" s="20" t="s">
        <v>3147</v>
      </c>
      <c r="D803" s="21"/>
      <c r="E803" s="21"/>
      <c r="F803" s="21">
        <v>80</v>
      </c>
      <c r="G803" s="21"/>
      <c r="H803" s="22">
        <f t="shared" si="12"/>
        <v>80</v>
      </c>
    </row>
    <row r="804" spans="1:8" ht="15.75" customHeight="1">
      <c r="A804" s="24" t="s">
        <v>3148</v>
      </c>
      <c r="B804" s="24" t="s">
        <v>785</v>
      </c>
      <c r="C804" s="24" t="s">
        <v>3149</v>
      </c>
      <c r="D804" s="25"/>
      <c r="E804" s="25"/>
      <c r="F804" s="25">
        <v>50</v>
      </c>
      <c r="G804" s="25"/>
      <c r="H804" s="22">
        <f t="shared" si="12"/>
        <v>50</v>
      </c>
    </row>
    <row r="805" spans="1:8" ht="15.75" customHeight="1">
      <c r="A805" s="20" t="s">
        <v>3150</v>
      </c>
      <c r="B805" s="20" t="s">
        <v>3151</v>
      </c>
      <c r="C805" s="20" t="s">
        <v>1142</v>
      </c>
      <c r="D805" s="21"/>
      <c r="E805" s="21"/>
      <c r="F805" s="21">
        <v>40</v>
      </c>
      <c r="G805" s="21">
        <v>76</v>
      </c>
      <c r="H805" s="22">
        <f t="shared" si="12"/>
        <v>116</v>
      </c>
    </row>
    <row r="806" spans="1:8" ht="15.75" customHeight="1">
      <c r="A806" s="24" t="s">
        <v>3152</v>
      </c>
      <c r="B806" s="24" t="s">
        <v>3153</v>
      </c>
      <c r="C806" s="24"/>
      <c r="D806" s="25"/>
      <c r="E806" s="25"/>
      <c r="F806" s="25">
        <v>170</v>
      </c>
      <c r="G806" s="25"/>
      <c r="H806" s="22">
        <f t="shared" si="12"/>
        <v>170</v>
      </c>
    </row>
    <row r="807" spans="1:8" ht="15.75" customHeight="1">
      <c r="A807" s="20" t="s">
        <v>2617</v>
      </c>
      <c r="B807" s="20" t="s">
        <v>2618</v>
      </c>
      <c r="C807" s="20"/>
      <c r="D807" s="21"/>
      <c r="E807" s="21">
        <v>50</v>
      </c>
      <c r="F807" s="21"/>
      <c r="G807" s="21"/>
      <c r="H807" s="22">
        <f t="shared" si="12"/>
        <v>50</v>
      </c>
    </row>
    <row r="808" spans="1:8" ht="15.75" customHeight="1">
      <c r="A808" s="24" t="s">
        <v>1036</v>
      </c>
      <c r="B808" s="24" t="s">
        <v>1037</v>
      </c>
      <c r="C808" s="24"/>
      <c r="D808" s="25">
        <v>50</v>
      </c>
      <c r="E808" s="25">
        <v>100</v>
      </c>
      <c r="F808" s="25">
        <v>150</v>
      </c>
      <c r="G808" s="25"/>
      <c r="H808" s="22">
        <f t="shared" si="12"/>
        <v>300</v>
      </c>
    </row>
    <row r="809" spans="1:8" ht="15.75" customHeight="1">
      <c r="A809" s="20" t="s">
        <v>2619</v>
      </c>
      <c r="B809" s="20" t="s">
        <v>866</v>
      </c>
      <c r="C809" s="20" t="s">
        <v>2620</v>
      </c>
      <c r="D809" s="21"/>
      <c r="E809" s="21">
        <v>60</v>
      </c>
      <c r="F809" s="21"/>
      <c r="G809" s="21"/>
      <c r="H809" s="22">
        <f t="shared" si="12"/>
        <v>60</v>
      </c>
    </row>
    <row r="810" spans="1:8" ht="15.75" customHeight="1">
      <c r="A810" s="24" t="s">
        <v>2621</v>
      </c>
      <c r="B810" s="24" t="s">
        <v>2622</v>
      </c>
      <c r="C810" s="24"/>
      <c r="D810" s="25"/>
      <c r="E810" s="25">
        <v>10</v>
      </c>
      <c r="F810" s="25">
        <v>22</v>
      </c>
      <c r="G810" s="25"/>
      <c r="H810" s="22">
        <f t="shared" si="12"/>
        <v>32</v>
      </c>
    </row>
    <row r="811" spans="1:8" ht="15.75" customHeight="1">
      <c r="A811" s="20" t="s">
        <v>1038</v>
      </c>
      <c r="B811" s="20" t="s">
        <v>820</v>
      </c>
      <c r="C811" s="20" t="s">
        <v>1039</v>
      </c>
      <c r="D811" s="21">
        <v>5</v>
      </c>
      <c r="E811" s="21"/>
      <c r="F811" s="21">
        <v>30</v>
      </c>
      <c r="G811" s="21"/>
      <c r="H811" s="22">
        <f t="shared" si="12"/>
        <v>35</v>
      </c>
    </row>
    <row r="812" spans="1:8" ht="15.75" customHeight="1">
      <c r="A812" s="24" t="s">
        <v>3154</v>
      </c>
      <c r="B812" s="24" t="s">
        <v>367</v>
      </c>
      <c r="C812" s="24" t="s">
        <v>3155</v>
      </c>
      <c r="D812" s="25"/>
      <c r="E812" s="25"/>
      <c r="F812" s="25">
        <v>200</v>
      </c>
      <c r="G812" s="25"/>
      <c r="H812" s="22">
        <f t="shared" si="12"/>
        <v>200</v>
      </c>
    </row>
    <row r="813" spans="1:8" ht="15.75" customHeight="1">
      <c r="A813" s="20" t="s">
        <v>1040</v>
      </c>
      <c r="B813" s="20" t="s">
        <v>370</v>
      </c>
      <c r="C813" s="20" t="s">
        <v>1041</v>
      </c>
      <c r="D813" s="21">
        <v>148</v>
      </c>
      <c r="E813" s="21"/>
      <c r="F813" s="21"/>
      <c r="G813" s="21"/>
      <c r="H813" s="22">
        <f t="shared" si="12"/>
        <v>148</v>
      </c>
    </row>
    <row r="814" spans="1:8" ht="15.75" customHeight="1">
      <c r="A814" s="24" t="s">
        <v>1042</v>
      </c>
      <c r="B814" s="24" t="s">
        <v>351</v>
      </c>
      <c r="C814" s="24" t="s">
        <v>1043</v>
      </c>
      <c r="D814" s="25">
        <v>150</v>
      </c>
      <c r="E814" s="25">
        <v>32</v>
      </c>
      <c r="F814" s="25">
        <v>130</v>
      </c>
      <c r="G814" s="25">
        <v>30</v>
      </c>
      <c r="H814" s="22">
        <f t="shared" si="12"/>
        <v>342</v>
      </c>
    </row>
    <row r="815" spans="1:8" ht="15.75" customHeight="1">
      <c r="A815" s="20" t="s">
        <v>1044</v>
      </c>
      <c r="B815" s="20" t="s">
        <v>357</v>
      </c>
      <c r="C815" s="20" t="s">
        <v>1045</v>
      </c>
      <c r="D815" s="21">
        <v>90</v>
      </c>
      <c r="E815" s="21">
        <v>100</v>
      </c>
      <c r="F815" s="21"/>
      <c r="G815" s="21"/>
      <c r="H815" s="22">
        <f t="shared" si="12"/>
        <v>190</v>
      </c>
    </row>
    <row r="816" spans="1:8" ht="15.75" customHeight="1">
      <c r="A816" s="24" t="s">
        <v>1046</v>
      </c>
      <c r="B816" s="24" t="s">
        <v>354</v>
      </c>
      <c r="C816" s="24" t="s">
        <v>1047</v>
      </c>
      <c r="D816" s="25">
        <v>60</v>
      </c>
      <c r="E816" s="25">
        <v>30</v>
      </c>
      <c r="F816" s="25">
        <v>130</v>
      </c>
      <c r="G816" s="25"/>
      <c r="H816" s="22">
        <f t="shared" si="12"/>
        <v>220</v>
      </c>
    </row>
    <row r="817" spans="1:8" ht="15.75" customHeight="1">
      <c r="A817" s="20" t="s">
        <v>1048</v>
      </c>
      <c r="B817" s="20" t="s">
        <v>582</v>
      </c>
      <c r="C817" s="20" t="s">
        <v>1049</v>
      </c>
      <c r="D817" s="21">
        <v>20</v>
      </c>
      <c r="E817" s="21">
        <v>27</v>
      </c>
      <c r="F817" s="21">
        <v>60</v>
      </c>
      <c r="G817" s="21"/>
      <c r="H817" s="22">
        <f t="shared" si="12"/>
        <v>107</v>
      </c>
    </row>
    <row r="818" spans="1:8" ht="15.75" customHeight="1">
      <c r="A818" s="24" t="s">
        <v>3156</v>
      </c>
      <c r="B818" s="24" t="s">
        <v>3157</v>
      </c>
      <c r="C818" s="24" t="s">
        <v>3158</v>
      </c>
      <c r="D818" s="25"/>
      <c r="E818" s="25"/>
      <c r="F818" s="25">
        <v>10</v>
      </c>
      <c r="G818" s="25"/>
      <c r="H818" s="22">
        <f t="shared" si="12"/>
        <v>10</v>
      </c>
    </row>
    <row r="819" spans="1:8" ht="15.75" customHeight="1">
      <c r="A819" s="20" t="s">
        <v>1050</v>
      </c>
      <c r="B819" s="20" t="s">
        <v>591</v>
      </c>
      <c r="C819" s="20" t="s">
        <v>1051</v>
      </c>
      <c r="D819" s="21">
        <v>1</v>
      </c>
      <c r="E819" s="21">
        <v>31</v>
      </c>
      <c r="F819" s="21">
        <v>30</v>
      </c>
      <c r="G819" s="21"/>
      <c r="H819" s="22">
        <f t="shared" si="12"/>
        <v>62</v>
      </c>
    </row>
    <row r="820" spans="1:8" ht="15.75" customHeight="1">
      <c r="A820" s="24" t="s">
        <v>1052</v>
      </c>
      <c r="B820" s="24" t="s">
        <v>480</v>
      </c>
      <c r="C820" s="24" t="s">
        <v>1053</v>
      </c>
      <c r="D820" s="25">
        <v>20</v>
      </c>
      <c r="E820" s="25">
        <v>20</v>
      </c>
      <c r="F820" s="25">
        <v>20</v>
      </c>
      <c r="G820" s="25">
        <v>60</v>
      </c>
      <c r="H820" s="22">
        <f t="shared" si="12"/>
        <v>120</v>
      </c>
    </row>
    <row r="821" spans="1:8" ht="15.75" customHeight="1">
      <c r="A821" s="20" t="s">
        <v>1054</v>
      </c>
      <c r="B821" s="20" t="s">
        <v>1055</v>
      </c>
      <c r="C821" s="20"/>
      <c r="D821" s="21">
        <v>14</v>
      </c>
      <c r="E821" s="21">
        <v>64</v>
      </c>
      <c r="F821" s="21">
        <v>40</v>
      </c>
      <c r="G821" s="21"/>
      <c r="H821" s="22">
        <f t="shared" si="12"/>
        <v>118</v>
      </c>
    </row>
    <row r="822" spans="1:8" ht="15.75" customHeight="1">
      <c r="A822" s="24" t="s">
        <v>1056</v>
      </c>
      <c r="B822" s="24" t="s">
        <v>1057</v>
      </c>
      <c r="C822" s="24"/>
      <c r="D822" s="25">
        <v>40</v>
      </c>
      <c r="E822" s="25">
        <v>2</v>
      </c>
      <c r="F822" s="25">
        <v>68</v>
      </c>
      <c r="G822" s="25"/>
      <c r="H822" s="22">
        <f t="shared" si="12"/>
        <v>110</v>
      </c>
    </row>
    <row r="823" spans="1:8" ht="15.75" customHeight="1">
      <c r="A823" s="20" t="s">
        <v>3159</v>
      </c>
      <c r="B823" s="20" t="s">
        <v>849</v>
      </c>
      <c r="C823" s="20" t="s">
        <v>3160</v>
      </c>
      <c r="D823" s="21"/>
      <c r="E823" s="21"/>
      <c r="F823" s="21">
        <v>2</v>
      </c>
      <c r="G823" s="21"/>
      <c r="H823" s="22">
        <f t="shared" si="12"/>
        <v>2</v>
      </c>
    </row>
    <row r="824" spans="1:8" ht="15.75" customHeight="1">
      <c r="A824" s="24" t="s">
        <v>3161</v>
      </c>
      <c r="B824" s="24" t="s">
        <v>3162</v>
      </c>
      <c r="C824" s="24" t="s">
        <v>932</v>
      </c>
      <c r="D824" s="25"/>
      <c r="E824" s="25"/>
      <c r="F824" s="25">
        <v>6</v>
      </c>
      <c r="G824" s="25"/>
      <c r="H824" s="22">
        <f t="shared" si="12"/>
        <v>6</v>
      </c>
    </row>
    <row r="825" spans="1:8" ht="15.75" customHeight="1">
      <c r="A825" s="20" t="s">
        <v>2623</v>
      </c>
      <c r="B825" s="20" t="s">
        <v>2624</v>
      </c>
      <c r="C825" s="20"/>
      <c r="D825" s="21"/>
      <c r="E825" s="21">
        <v>1</v>
      </c>
      <c r="F825" s="21">
        <v>4</v>
      </c>
      <c r="G825" s="21"/>
      <c r="H825" s="22">
        <f t="shared" si="12"/>
        <v>5</v>
      </c>
    </row>
    <row r="826" spans="1:8" ht="15.75" customHeight="1">
      <c r="A826" s="24" t="s">
        <v>1058</v>
      </c>
      <c r="B826" s="24" t="s">
        <v>1059</v>
      </c>
      <c r="C826" s="24"/>
      <c r="D826" s="25">
        <v>8</v>
      </c>
      <c r="E826" s="25">
        <v>10</v>
      </c>
      <c r="F826" s="25">
        <v>21</v>
      </c>
      <c r="G826" s="25"/>
      <c r="H826" s="22">
        <f t="shared" si="12"/>
        <v>39</v>
      </c>
    </row>
    <row r="827" spans="1:8" ht="15.75" customHeight="1">
      <c r="A827" s="20" t="s">
        <v>1060</v>
      </c>
      <c r="B827" s="20" t="s">
        <v>744</v>
      </c>
      <c r="C827" s="20" t="s">
        <v>1061</v>
      </c>
      <c r="D827" s="21">
        <v>50</v>
      </c>
      <c r="E827" s="21">
        <v>50</v>
      </c>
      <c r="F827" s="21"/>
      <c r="G827" s="21"/>
      <c r="H827" s="22">
        <f t="shared" si="12"/>
        <v>100</v>
      </c>
    </row>
    <row r="828" spans="1:8" ht="15.75" customHeight="1">
      <c r="A828" s="24" t="s">
        <v>1062</v>
      </c>
      <c r="B828" s="24" t="s">
        <v>1063</v>
      </c>
      <c r="C828" s="24"/>
      <c r="D828" s="25">
        <v>300</v>
      </c>
      <c r="E828" s="25">
        <v>200</v>
      </c>
      <c r="F828" s="25"/>
      <c r="G828" s="25"/>
      <c r="H828" s="22">
        <f t="shared" si="12"/>
        <v>500</v>
      </c>
    </row>
    <row r="829" spans="1:8" ht="15.75" customHeight="1">
      <c r="A829" s="20" t="s">
        <v>3163</v>
      </c>
      <c r="B829" s="20" t="s">
        <v>779</v>
      </c>
      <c r="C829" s="20" t="s">
        <v>3164</v>
      </c>
      <c r="D829" s="21"/>
      <c r="E829" s="21"/>
      <c r="F829" s="21">
        <v>10</v>
      </c>
      <c r="G829" s="21"/>
      <c r="H829" s="22">
        <f t="shared" si="12"/>
        <v>10</v>
      </c>
    </row>
    <row r="830" spans="1:8" ht="15.75" customHeight="1">
      <c r="A830" s="24" t="s">
        <v>3165</v>
      </c>
      <c r="B830" s="24" t="s">
        <v>3166</v>
      </c>
      <c r="C830" s="24"/>
      <c r="D830" s="25"/>
      <c r="E830" s="25"/>
      <c r="F830" s="25">
        <v>5</v>
      </c>
      <c r="G830" s="25"/>
      <c r="H830" s="22">
        <f t="shared" si="12"/>
        <v>5</v>
      </c>
    </row>
    <row r="831" spans="1:8" ht="15.75" customHeight="1">
      <c r="A831" s="20" t="s">
        <v>1064</v>
      </c>
      <c r="B831" s="20" t="s">
        <v>899</v>
      </c>
      <c r="C831" s="20" t="s">
        <v>1065</v>
      </c>
      <c r="D831" s="21">
        <v>50</v>
      </c>
      <c r="E831" s="21"/>
      <c r="F831" s="21"/>
      <c r="G831" s="21"/>
      <c r="H831" s="22">
        <f t="shared" si="12"/>
        <v>50</v>
      </c>
    </row>
    <row r="832" spans="1:8" ht="15.75" customHeight="1">
      <c r="A832" s="24" t="s">
        <v>1066</v>
      </c>
      <c r="B832" s="24" t="s">
        <v>899</v>
      </c>
      <c r="C832" s="24" t="s">
        <v>1067</v>
      </c>
      <c r="D832" s="25">
        <v>453</v>
      </c>
      <c r="E832" s="25">
        <v>127</v>
      </c>
      <c r="F832" s="25">
        <v>1</v>
      </c>
      <c r="G832" s="25"/>
      <c r="H832" s="22">
        <f t="shared" si="12"/>
        <v>581</v>
      </c>
    </row>
    <row r="833" spans="1:8" ht="15.75" customHeight="1">
      <c r="A833" s="20" t="s">
        <v>2625</v>
      </c>
      <c r="B833" s="20" t="s">
        <v>2626</v>
      </c>
      <c r="C833" s="20"/>
      <c r="D833" s="21"/>
      <c r="E833" s="21">
        <v>2</v>
      </c>
      <c r="F833" s="21"/>
      <c r="G833" s="21"/>
      <c r="H833" s="22">
        <f t="shared" si="12"/>
        <v>2</v>
      </c>
    </row>
    <row r="834" spans="1:8" ht="15.75" customHeight="1">
      <c r="A834" s="24" t="s">
        <v>1068</v>
      </c>
      <c r="B834" s="24" t="s">
        <v>1069</v>
      </c>
      <c r="C834" s="24"/>
      <c r="D834" s="25">
        <v>3</v>
      </c>
      <c r="E834" s="25">
        <v>2</v>
      </c>
      <c r="F834" s="25"/>
      <c r="G834" s="25"/>
      <c r="H834" s="22">
        <f t="shared" si="12"/>
        <v>5</v>
      </c>
    </row>
    <row r="835" spans="1:8" ht="15.75" customHeight="1">
      <c r="A835" s="20" t="s">
        <v>3167</v>
      </c>
      <c r="B835" s="20" t="s">
        <v>3168</v>
      </c>
      <c r="C835" s="20"/>
      <c r="D835" s="21"/>
      <c r="E835" s="21"/>
      <c r="F835" s="21">
        <v>4</v>
      </c>
      <c r="G835" s="21"/>
      <c r="H835" s="22">
        <f t="shared" si="12"/>
        <v>4</v>
      </c>
    </row>
    <row r="836" spans="1:8" ht="15.75" customHeight="1">
      <c r="A836" s="24" t="s">
        <v>1070</v>
      </c>
      <c r="B836" s="24" t="s">
        <v>620</v>
      </c>
      <c r="C836" s="24" t="s">
        <v>1071</v>
      </c>
      <c r="D836" s="25">
        <v>100</v>
      </c>
      <c r="E836" s="25"/>
      <c r="F836" s="25"/>
      <c r="G836" s="25"/>
      <c r="H836" s="22">
        <f t="shared" ref="H836:H899" si="13">SUM(D836:G836)</f>
        <v>100</v>
      </c>
    </row>
    <row r="837" spans="1:8" ht="15.75" customHeight="1">
      <c r="A837" s="20" t="s">
        <v>1072</v>
      </c>
      <c r="B837" s="20" t="s">
        <v>1073</v>
      </c>
      <c r="C837" s="20"/>
      <c r="D837" s="21">
        <v>3</v>
      </c>
      <c r="E837" s="21">
        <v>4</v>
      </c>
      <c r="F837" s="21">
        <v>10</v>
      </c>
      <c r="G837" s="21"/>
      <c r="H837" s="22">
        <f t="shared" si="13"/>
        <v>17</v>
      </c>
    </row>
    <row r="838" spans="1:8" ht="15.75" customHeight="1">
      <c r="A838" s="24" t="s">
        <v>1074</v>
      </c>
      <c r="B838" s="24" t="s">
        <v>1075</v>
      </c>
      <c r="C838" s="24"/>
      <c r="D838" s="25">
        <v>7</v>
      </c>
      <c r="E838" s="25"/>
      <c r="F838" s="25"/>
      <c r="G838" s="25"/>
      <c r="H838" s="22">
        <f t="shared" si="13"/>
        <v>7</v>
      </c>
    </row>
    <row r="839" spans="1:8" ht="15.75" customHeight="1">
      <c r="A839" s="20" t="s">
        <v>1076</v>
      </c>
      <c r="B839" s="20" t="s">
        <v>779</v>
      </c>
      <c r="C839" s="20" t="s">
        <v>1077</v>
      </c>
      <c r="D839" s="21">
        <v>101</v>
      </c>
      <c r="E839" s="21"/>
      <c r="F839" s="21"/>
      <c r="G839" s="21"/>
      <c r="H839" s="22">
        <f t="shared" si="13"/>
        <v>101</v>
      </c>
    </row>
    <row r="840" spans="1:8" ht="15.75" customHeight="1">
      <c r="A840" s="24" t="s">
        <v>1078</v>
      </c>
      <c r="B840" s="24" t="s">
        <v>1079</v>
      </c>
      <c r="C840" s="24" t="s">
        <v>1080</v>
      </c>
      <c r="D840" s="25">
        <v>50</v>
      </c>
      <c r="E840" s="25"/>
      <c r="F840" s="25"/>
      <c r="G840" s="25"/>
      <c r="H840" s="22">
        <f t="shared" si="13"/>
        <v>50</v>
      </c>
    </row>
    <row r="841" spans="1:8" ht="15.75" customHeight="1">
      <c r="A841" s="20" t="s">
        <v>1081</v>
      </c>
      <c r="B841" s="20" t="s">
        <v>814</v>
      </c>
      <c r="C841" s="20" t="s">
        <v>1082</v>
      </c>
      <c r="D841" s="21">
        <v>6120</v>
      </c>
      <c r="E841" s="21"/>
      <c r="F841" s="21"/>
      <c r="G841" s="21"/>
      <c r="H841" s="22">
        <f t="shared" si="13"/>
        <v>6120</v>
      </c>
    </row>
    <row r="842" spans="1:8" ht="15.75" customHeight="1">
      <c r="A842" s="24" t="s">
        <v>1083</v>
      </c>
      <c r="B842" s="24" t="s">
        <v>841</v>
      </c>
      <c r="C842" s="24" t="s">
        <v>1084</v>
      </c>
      <c r="D842" s="25">
        <v>3300</v>
      </c>
      <c r="E842" s="25">
        <v>1496</v>
      </c>
      <c r="F842" s="25"/>
      <c r="G842" s="25"/>
      <c r="H842" s="22">
        <f t="shared" si="13"/>
        <v>4796</v>
      </c>
    </row>
    <row r="843" spans="1:8" ht="15.75" customHeight="1">
      <c r="A843" s="20" t="s">
        <v>1085</v>
      </c>
      <c r="B843" s="20" t="s">
        <v>869</v>
      </c>
      <c r="C843" s="20" t="s">
        <v>1086</v>
      </c>
      <c r="D843" s="21">
        <v>480</v>
      </c>
      <c r="E843" s="21"/>
      <c r="F843" s="21"/>
      <c r="G843" s="21"/>
      <c r="H843" s="22">
        <f t="shared" si="13"/>
        <v>480</v>
      </c>
    </row>
    <row r="844" spans="1:8" ht="15.75" customHeight="1">
      <c r="A844" s="24" t="s">
        <v>1087</v>
      </c>
      <c r="B844" s="24" t="s">
        <v>814</v>
      </c>
      <c r="C844" s="24" t="s">
        <v>1088</v>
      </c>
      <c r="D844" s="25">
        <v>14160</v>
      </c>
      <c r="E844" s="25">
        <v>4500</v>
      </c>
      <c r="F844" s="25">
        <v>100</v>
      </c>
      <c r="G844" s="25">
        <v>28</v>
      </c>
      <c r="H844" s="22">
        <f t="shared" si="13"/>
        <v>18788</v>
      </c>
    </row>
    <row r="845" spans="1:8" ht="15.75" customHeight="1">
      <c r="A845" s="20" t="s">
        <v>1089</v>
      </c>
      <c r="B845" s="20" t="s">
        <v>841</v>
      </c>
      <c r="C845" s="20" t="s">
        <v>1090</v>
      </c>
      <c r="D845" s="21">
        <v>4100</v>
      </c>
      <c r="E845" s="21">
        <v>4000</v>
      </c>
      <c r="F845" s="21">
        <v>120</v>
      </c>
      <c r="G845" s="21"/>
      <c r="H845" s="22">
        <f t="shared" si="13"/>
        <v>8220</v>
      </c>
    </row>
    <row r="846" spans="1:8" ht="15.75" customHeight="1">
      <c r="A846" s="24" t="s">
        <v>1091</v>
      </c>
      <c r="B846" s="24" t="s">
        <v>869</v>
      </c>
      <c r="C846" s="24" t="s">
        <v>1092</v>
      </c>
      <c r="D846" s="25">
        <v>24350</v>
      </c>
      <c r="E846" s="25">
        <v>18700</v>
      </c>
      <c r="F846" s="25">
        <v>6018</v>
      </c>
      <c r="G846" s="25">
        <v>6800</v>
      </c>
      <c r="H846" s="22">
        <f t="shared" si="13"/>
        <v>55868</v>
      </c>
    </row>
    <row r="847" spans="1:8" ht="15.75" customHeight="1">
      <c r="A847" s="20" t="s">
        <v>2627</v>
      </c>
      <c r="B847" s="20" t="s">
        <v>2628</v>
      </c>
      <c r="C847" s="20"/>
      <c r="D847" s="21"/>
      <c r="E847" s="21">
        <v>92</v>
      </c>
      <c r="F847" s="21"/>
      <c r="G847" s="21"/>
      <c r="H847" s="22">
        <f t="shared" si="13"/>
        <v>92</v>
      </c>
    </row>
    <row r="848" spans="1:8" ht="15.75" customHeight="1">
      <c r="A848" s="24" t="s">
        <v>1093</v>
      </c>
      <c r="B848" s="24" t="s">
        <v>841</v>
      </c>
      <c r="C848" s="24" t="s">
        <v>1094</v>
      </c>
      <c r="D848" s="25">
        <v>520</v>
      </c>
      <c r="E848" s="25">
        <v>1500</v>
      </c>
      <c r="F848" s="25">
        <v>2000</v>
      </c>
      <c r="G848" s="25">
        <v>1000</v>
      </c>
      <c r="H848" s="22">
        <f t="shared" si="13"/>
        <v>5020</v>
      </c>
    </row>
    <row r="849" spans="1:8" ht="15.75" customHeight="1">
      <c r="A849" s="20" t="s">
        <v>1095</v>
      </c>
      <c r="B849" s="20" t="s">
        <v>814</v>
      </c>
      <c r="C849" s="20" t="s">
        <v>1096</v>
      </c>
      <c r="D849" s="21">
        <v>2520</v>
      </c>
      <c r="E849" s="21">
        <v>1500</v>
      </c>
      <c r="F849" s="21"/>
      <c r="G849" s="21">
        <v>3000</v>
      </c>
      <c r="H849" s="22">
        <f t="shared" si="13"/>
        <v>7020</v>
      </c>
    </row>
    <row r="850" spans="1:8" ht="15.75" customHeight="1">
      <c r="A850" s="24" t="s">
        <v>1097</v>
      </c>
      <c r="B850" s="24" t="s">
        <v>869</v>
      </c>
      <c r="C850" s="24" t="s">
        <v>1098</v>
      </c>
      <c r="D850" s="25">
        <v>22</v>
      </c>
      <c r="E850" s="25">
        <v>1000</v>
      </c>
      <c r="F850" s="25"/>
      <c r="G850" s="25"/>
      <c r="H850" s="22">
        <f t="shared" si="13"/>
        <v>1022</v>
      </c>
    </row>
    <row r="851" spans="1:8" ht="15.75" customHeight="1">
      <c r="A851" s="20" t="s">
        <v>3169</v>
      </c>
      <c r="B851" s="20" t="s">
        <v>3170</v>
      </c>
      <c r="C851" s="20"/>
      <c r="D851" s="21"/>
      <c r="E851" s="21"/>
      <c r="F851" s="21">
        <v>4</v>
      </c>
      <c r="G851" s="21"/>
      <c r="H851" s="22">
        <f t="shared" si="13"/>
        <v>4</v>
      </c>
    </row>
    <row r="852" spans="1:8" ht="15.75" customHeight="1">
      <c r="A852" s="24" t="s">
        <v>2629</v>
      </c>
      <c r="B852" s="24" t="s">
        <v>2630</v>
      </c>
      <c r="C852" s="24" t="s">
        <v>2631</v>
      </c>
      <c r="D852" s="25"/>
      <c r="E852" s="25">
        <v>10</v>
      </c>
      <c r="F852" s="25">
        <v>10</v>
      </c>
      <c r="G852" s="25"/>
      <c r="H852" s="22">
        <f t="shared" si="13"/>
        <v>20</v>
      </c>
    </row>
    <row r="853" spans="1:8" ht="15.75" customHeight="1">
      <c r="A853" s="20" t="s">
        <v>3171</v>
      </c>
      <c r="B853" s="20" t="s">
        <v>3172</v>
      </c>
      <c r="C853" s="20"/>
      <c r="D853" s="21"/>
      <c r="E853" s="21"/>
      <c r="F853" s="21">
        <v>1</v>
      </c>
      <c r="G853" s="21"/>
      <c r="H853" s="22">
        <f t="shared" si="13"/>
        <v>1</v>
      </c>
    </row>
    <row r="854" spans="1:8" ht="15.75" customHeight="1">
      <c r="A854" s="24" t="s">
        <v>3173</v>
      </c>
      <c r="B854" s="24" t="s">
        <v>612</v>
      </c>
      <c r="C854" s="24" t="s">
        <v>3174</v>
      </c>
      <c r="D854" s="25"/>
      <c r="E854" s="25"/>
      <c r="F854" s="25">
        <v>100</v>
      </c>
      <c r="G854" s="25"/>
      <c r="H854" s="22">
        <f t="shared" si="13"/>
        <v>100</v>
      </c>
    </row>
    <row r="855" spans="1:8" ht="15.75" customHeight="1">
      <c r="A855" s="20" t="s">
        <v>2632</v>
      </c>
      <c r="B855" s="20" t="s">
        <v>2633</v>
      </c>
      <c r="C855" s="20" t="s">
        <v>922</v>
      </c>
      <c r="D855" s="21"/>
      <c r="E855" s="21">
        <v>2</v>
      </c>
      <c r="F855" s="21"/>
      <c r="G855" s="21"/>
      <c r="H855" s="22">
        <f t="shared" si="13"/>
        <v>2</v>
      </c>
    </row>
    <row r="856" spans="1:8" ht="15.75" customHeight="1">
      <c r="A856" s="24" t="s">
        <v>2634</v>
      </c>
      <c r="B856" s="24" t="s">
        <v>866</v>
      </c>
      <c r="C856" s="24" t="s">
        <v>2635</v>
      </c>
      <c r="D856" s="25"/>
      <c r="E856" s="25">
        <v>60</v>
      </c>
      <c r="F856" s="25"/>
      <c r="G856" s="25"/>
      <c r="H856" s="22">
        <f t="shared" si="13"/>
        <v>60</v>
      </c>
    </row>
    <row r="857" spans="1:8" ht="15.75" customHeight="1">
      <c r="A857" s="20" t="s">
        <v>1099</v>
      </c>
      <c r="B857" s="20" t="s">
        <v>370</v>
      </c>
      <c r="C857" s="20" t="s">
        <v>1100</v>
      </c>
      <c r="D857" s="21">
        <v>1450</v>
      </c>
      <c r="E857" s="21">
        <v>2703</v>
      </c>
      <c r="F857" s="21">
        <v>100</v>
      </c>
      <c r="G857" s="21"/>
      <c r="H857" s="22">
        <f t="shared" si="13"/>
        <v>4253</v>
      </c>
    </row>
    <row r="858" spans="1:8" ht="15.75" customHeight="1">
      <c r="A858" s="24" t="s">
        <v>2636</v>
      </c>
      <c r="B858" s="24" t="s">
        <v>2637</v>
      </c>
      <c r="C858" s="24"/>
      <c r="D858" s="25"/>
      <c r="E858" s="25">
        <v>16</v>
      </c>
      <c r="F858" s="25"/>
      <c r="G858" s="25"/>
      <c r="H858" s="22">
        <f t="shared" si="13"/>
        <v>16</v>
      </c>
    </row>
    <row r="859" spans="1:8" ht="15.75" customHeight="1">
      <c r="A859" s="20" t="s">
        <v>2638</v>
      </c>
      <c r="B859" s="20" t="s">
        <v>2639</v>
      </c>
      <c r="C859" s="20"/>
      <c r="D859" s="21"/>
      <c r="E859" s="21">
        <v>13</v>
      </c>
      <c r="F859" s="21"/>
      <c r="G859" s="21"/>
      <c r="H859" s="22">
        <f t="shared" si="13"/>
        <v>13</v>
      </c>
    </row>
    <row r="860" spans="1:8" ht="15.75" customHeight="1">
      <c r="A860" s="24" t="s">
        <v>2640</v>
      </c>
      <c r="B860" s="24" t="s">
        <v>2641</v>
      </c>
      <c r="C860" s="24"/>
      <c r="D860" s="25"/>
      <c r="E860" s="25">
        <v>11</v>
      </c>
      <c r="F860" s="25"/>
      <c r="G860" s="25"/>
      <c r="H860" s="22">
        <f t="shared" si="13"/>
        <v>11</v>
      </c>
    </row>
    <row r="861" spans="1:8" ht="15.75" customHeight="1">
      <c r="A861" s="20" t="s">
        <v>1101</v>
      </c>
      <c r="B861" s="20" t="s">
        <v>600</v>
      </c>
      <c r="C861" s="20" t="s">
        <v>1102</v>
      </c>
      <c r="D861" s="21">
        <v>50</v>
      </c>
      <c r="E861" s="21">
        <v>80</v>
      </c>
      <c r="F861" s="21"/>
      <c r="G861" s="21"/>
      <c r="H861" s="22">
        <f t="shared" si="13"/>
        <v>130</v>
      </c>
    </row>
    <row r="862" spans="1:8" ht="15.75" customHeight="1">
      <c r="A862" s="24" t="s">
        <v>2642</v>
      </c>
      <c r="B862" s="24" t="s">
        <v>2643</v>
      </c>
      <c r="C862" s="24"/>
      <c r="D862" s="25"/>
      <c r="E862" s="25">
        <v>3</v>
      </c>
      <c r="F862" s="25">
        <v>38</v>
      </c>
      <c r="G862" s="25"/>
      <c r="H862" s="22">
        <f t="shared" si="13"/>
        <v>41</v>
      </c>
    </row>
    <row r="863" spans="1:8" ht="15.75" customHeight="1">
      <c r="A863" s="20" t="s">
        <v>2644</v>
      </c>
      <c r="B863" s="20" t="s">
        <v>2645</v>
      </c>
      <c r="C863" s="20"/>
      <c r="D863" s="21"/>
      <c r="E863" s="21">
        <v>6</v>
      </c>
      <c r="F863" s="21"/>
      <c r="G863" s="21"/>
      <c r="H863" s="22">
        <f t="shared" si="13"/>
        <v>6</v>
      </c>
    </row>
    <row r="864" spans="1:8" ht="15.75" customHeight="1">
      <c r="A864" s="24" t="s">
        <v>3175</v>
      </c>
      <c r="B864" s="24" t="s">
        <v>3176</v>
      </c>
      <c r="C864" s="24" t="s">
        <v>3177</v>
      </c>
      <c r="D864" s="25"/>
      <c r="E864" s="25"/>
      <c r="F864" s="25">
        <v>33</v>
      </c>
      <c r="G864" s="25"/>
      <c r="H864" s="22">
        <f t="shared" si="13"/>
        <v>33</v>
      </c>
    </row>
    <row r="865" spans="1:8" ht="15.75" customHeight="1">
      <c r="A865" s="20" t="s">
        <v>2646</v>
      </c>
      <c r="B865" s="20" t="s">
        <v>2647</v>
      </c>
      <c r="C865" s="20" t="s">
        <v>2592</v>
      </c>
      <c r="D865" s="21"/>
      <c r="E865" s="21">
        <v>13</v>
      </c>
      <c r="F865" s="21"/>
      <c r="G865" s="21"/>
      <c r="H865" s="22">
        <f t="shared" si="13"/>
        <v>13</v>
      </c>
    </row>
    <row r="866" spans="1:8" ht="15.75" customHeight="1">
      <c r="A866" s="24" t="s">
        <v>1103</v>
      </c>
      <c r="B866" s="24" t="s">
        <v>720</v>
      </c>
      <c r="C866" s="26" t="s">
        <v>1104</v>
      </c>
      <c r="D866" s="25">
        <v>50</v>
      </c>
      <c r="E866" s="25">
        <v>60</v>
      </c>
      <c r="F866" s="25"/>
      <c r="G866" s="25"/>
      <c r="H866" s="22">
        <f t="shared" si="13"/>
        <v>110</v>
      </c>
    </row>
    <row r="867" spans="1:8" ht="15.75" customHeight="1">
      <c r="A867" s="20" t="s">
        <v>2648</v>
      </c>
      <c r="B867" s="20" t="s">
        <v>2649</v>
      </c>
      <c r="C867" s="20" t="s">
        <v>922</v>
      </c>
      <c r="D867" s="21"/>
      <c r="E867" s="21">
        <v>2</v>
      </c>
      <c r="F867" s="21"/>
      <c r="G867" s="21"/>
      <c r="H867" s="22">
        <f t="shared" si="13"/>
        <v>2</v>
      </c>
    </row>
    <row r="868" spans="1:8" ht="15.75" customHeight="1">
      <c r="A868" s="24" t="s">
        <v>1105</v>
      </c>
      <c r="B868" s="24" t="s">
        <v>878</v>
      </c>
      <c r="C868" s="24" t="s">
        <v>1106</v>
      </c>
      <c r="D868" s="25">
        <v>100</v>
      </c>
      <c r="E868" s="25"/>
      <c r="F868" s="25"/>
      <c r="G868" s="25"/>
      <c r="H868" s="22">
        <f t="shared" si="13"/>
        <v>100</v>
      </c>
    </row>
    <row r="869" spans="1:8" ht="15.75" customHeight="1">
      <c r="A869" s="20" t="s">
        <v>1107</v>
      </c>
      <c r="B869" s="20" t="s">
        <v>1108</v>
      </c>
      <c r="C869" s="20" t="s">
        <v>1109</v>
      </c>
      <c r="D869" s="21">
        <v>20</v>
      </c>
      <c r="E869" s="21"/>
      <c r="F869" s="21"/>
      <c r="G869" s="21"/>
      <c r="H869" s="22">
        <f t="shared" si="13"/>
        <v>20</v>
      </c>
    </row>
    <row r="870" spans="1:8" ht="15.75" customHeight="1">
      <c r="A870" s="24" t="s">
        <v>3178</v>
      </c>
      <c r="B870" s="24" t="s">
        <v>823</v>
      </c>
      <c r="C870" s="24" t="s">
        <v>1136</v>
      </c>
      <c r="D870" s="25"/>
      <c r="E870" s="25"/>
      <c r="F870" s="25">
        <v>10</v>
      </c>
      <c r="G870" s="25"/>
      <c r="H870" s="22">
        <f t="shared" si="13"/>
        <v>10</v>
      </c>
    </row>
    <row r="871" spans="1:8" ht="15.75" customHeight="1">
      <c r="A871" s="20" t="s">
        <v>1110</v>
      </c>
      <c r="B871" s="20" t="s">
        <v>835</v>
      </c>
      <c r="C871" s="20" t="s">
        <v>1111</v>
      </c>
      <c r="D871" s="21">
        <v>50</v>
      </c>
      <c r="E871" s="21"/>
      <c r="F871" s="21">
        <v>10</v>
      </c>
      <c r="G871" s="21"/>
      <c r="H871" s="22">
        <f t="shared" si="13"/>
        <v>60</v>
      </c>
    </row>
    <row r="872" spans="1:8" ht="15.75" customHeight="1">
      <c r="A872" s="24" t="s">
        <v>3179</v>
      </c>
      <c r="B872" s="24" t="s">
        <v>726</v>
      </c>
      <c r="C872" s="26" t="s">
        <v>1154</v>
      </c>
      <c r="D872" s="25"/>
      <c r="E872" s="25"/>
      <c r="F872" s="25">
        <v>20</v>
      </c>
      <c r="G872" s="25"/>
      <c r="H872" s="22">
        <f t="shared" si="13"/>
        <v>20</v>
      </c>
    </row>
    <row r="873" spans="1:8" ht="15.75" customHeight="1">
      <c r="A873" s="20" t="s">
        <v>1112</v>
      </c>
      <c r="B873" s="20" t="s">
        <v>574</v>
      </c>
      <c r="C873" s="20" t="s">
        <v>1113</v>
      </c>
      <c r="D873" s="21">
        <v>8</v>
      </c>
      <c r="E873" s="21">
        <v>10</v>
      </c>
      <c r="F873" s="21"/>
      <c r="G873" s="21"/>
      <c r="H873" s="22">
        <f t="shared" si="13"/>
        <v>18</v>
      </c>
    </row>
    <row r="874" spans="1:8" ht="15.75" customHeight="1">
      <c r="A874" s="24" t="s">
        <v>2650</v>
      </c>
      <c r="B874" s="24" t="s">
        <v>866</v>
      </c>
      <c r="C874" s="26" t="s">
        <v>1154</v>
      </c>
      <c r="D874" s="25"/>
      <c r="E874" s="25">
        <v>10</v>
      </c>
      <c r="F874" s="25"/>
      <c r="G874" s="25"/>
      <c r="H874" s="22">
        <f t="shared" si="13"/>
        <v>10</v>
      </c>
    </row>
    <row r="875" spans="1:8" ht="15.75" customHeight="1">
      <c r="A875" s="20" t="s">
        <v>2651</v>
      </c>
      <c r="B875" s="20" t="s">
        <v>2652</v>
      </c>
      <c r="C875" s="20" t="s">
        <v>2592</v>
      </c>
      <c r="D875" s="21"/>
      <c r="E875" s="21">
        <v>13</v>
      </c>
      <c r="F875" s="21"/>
      <c r="G875" s="21"/>
      <c r="H875" s="22">
        <f t="shared" si="13"/>
        <v>13</v>
      </c>
    </row>
    <row r="876" spans="1:8" ht="15.75" customHeight="1">
      <c r="A876" s="24" t="s">
        <v>1114</v>
      </c>
      <c r="B876" s="24" t="s">
        <v>558</v>
      </c>
      <c r="C876" s="24" t="s">
        <v>1115</v>
      </c>
      <c r="D876" s="25">
        <v>24</v>
      </c>
      <c r="E876" s="25">
        <v>3</v>
      </c>
      <c r="F876" s="25">
        <v>38</v>
      </c>
      <c r="G876" s="25"/>
      <c r="H876" s="22">
        <f t="shared" si="13"/>
        <v>65</v>
      </c>
    </row>
    <row r="877" spans="1:8" ht="15.75" customHeight="1">
      <c r="A877" s="20" t="s">
        <v>1116</v>
      </c>
      <c r="B877" s="20" t="s">
        <v>1117</v>
      </c>
      <c r="C877" s="20"/>
      <c r="D877" s="21">
        <v>291</v>
      </c>
      <c r="E877" s="21">
        <v>348</v>
      </c>
      <c r="F877" s="21">
        <v>86</v>
      </c>
      <c r="G877" s="21"/>
      <c r="H877" s="22">
        <f t="shared" si="13"/>
        <v>725</v>
      </c>
    </row>
    <row r="878" spans="1:8" ht="15.75" customHeight="1">
      <c r="A878" s="24" t="s">
        <v>2653</v>
      </c>
      <c r="B878" s="24" t="s">
        <v>2654</v>
      </c>
      <c r="C878" s="24"/>
      <c r="D878" s="25"/>
      <c r="E878" s="25">
        <v>75</v>
      </c>
      <c r="F878" s="25"/>
      <c r="G878" s="25"/>
      <c r="H878" s="22">
        <f t="shared" si="13"/>
        <v>75</v>
      </c>
    </row>
    <row r="879" spans="1:8" ht="15.75" customHeight="1">
      <c r="A879" s="20" t="s">
        <v>1118</v>
      </c>
      <c r="B879" s="20" t="s">
        <v>370</v>
      </c>
      <c r="C879" s="20" t="s">
        <v>1115</v>
      </c>
      <c r="D879" s="21">
        <v>34</v>
      </c>
      <c r="E879" s="21">
        <v>19</v>
      </c>
      <c r="F879" s="21">
        <v>4</v>
      </c>
      <c r="G879" s="21">
        <v>7</v>
      </c>
      <c r="H879" s="22">
        <f t="shared" si="13"/>
        <v>64</v>
      </c>
    </row>
    <row r="880" spans="1:8" ht="15.75" customHeight="1">
      <c r="A880" s="24" t="s">
        <v>1119</v>
      </c>
      <c r="B880" s="24" t="s">
        <v>351</v>
      </c>
      <c r="C880" s="24" t="s">
        <v>1115</v>
      </c>
      <c r="D880" s="25">
        <v>30</v>
      </c>
      <c r="E880" s="25">
        <v>2</v>
      </c>
      <c r="F880" s="25">
        <v>1</v>
      </c>
      <c r="G880" s="25">
        <v>4</v>
      </c>
      <c r="H880" s="22">
        <f t="shared" si="13"/>
        <v>37</v>
      </c>
    </row>
    <row r="881" spans="1:8" ht="15.75" customHeight="1">
      <c r="A881" s="20" t="s">
        <v>1120</v>
      </c>
      <c r="B881" s="20" t="s">
        <v>568</v>
      </c>
      <c r="C881" s="20" t="s">
        <v>1115</v>
      </c>
      <c r="D881" s="21">
        <v>3</v>
      </c>
      <c r="E881" s="21">
        <v>40</v>
      </c>
      <c r="F881" s="21">
        <v>49</v>
      </c>
      <c r="G881" s="21">
        <v>1</v>
      </c>
      <c r="H881" s="22">
        <f t="shared" si="13"/>
        <v>93</v>
      </c>
    </row>
    <row r="882" spans="1:8" ht="15.75" customHeight="1">
      <c r="A882" s="24" t="s">
        <v>2655</v>
      </c>
      <c r="B882" s="24" t="s">
        <v>2656</v>
      </c>
      <c r="C882" s="24"/>
      <c r="D882" s="25"/>
      <c r="E882" s="25">
        <v>10</v>
      </c>
      <c r="F882" s="25"/>
      <c r="G882" s="25"/>
      <c r="H882" s="22">
        <f t="shared" si="13"/>
        <v>10</v>
      </c>
    </row>
    <row r="883" spans="1:8" ht="15.75" customHeight="1">
      <c r="A883" s="20" t="s">
        <v>2657</v>
      </c>
      <c r="B883" s="20" t="s">
        <v>354</v>
      </c>
      <c r="C883" s="20" t="s">
        <v>1115</v>
      </c>
      <c r="D883" s="21"/>
      <c r="E883" s="21">
        <v>10</v>
      </c>
      <c r="F883" s="21">
        <v>22</v>
      </c>
      <c r="G883" s="21"/>
      <c r="H883" s="22">
        <f t="shared" si="13"/>
        <v>32</v>
      </c>
    </row>
    <row r="884" spans="1:8" ht="15.75" customHeight="1">
      <c r="A884" s="24" t="s">
        <v>3180</v>
      </c>
      <c r="B884" s="24" t="s">
        <v>582</v>
      </c>
      <c r="C884" s="24" t="s">
        <v>1115</v>
      </c>
      <c r="D884" s="25"/>
      <c r="E884" s="25"/>
      <c r="F884" s="25">
        <v>21</v>
      </c>
      <c r="G884" s="25"/>
      <c r="H884" s="22">
        <f t="shared" si="13"/>
        <v>21</v>
      </c>
    </row>
    <row r="885" spans="1:8" ht="15.75" customHeight="1">
      <c r="A885" s="20" t="s">
        <v>2658</v>
      </c>
      <c r="B885" s="20" t="s">
        <v>872</v>
      </c>
      <c r="C885" s="20" t="s">
        <v>2659</v>
      </c>
      <c r="D885" s="21"/>
      <c r="E885" s="21">
        <v>20</v>
      </c>
      <c r="F885" s="21"/>
      <c r="G885" s="21"/>
      <c r="H885" s="22">
        <f t="shared" si="13"/>
        <v>20</v>
      </c>
    </row>
    <row r="886" spans="1:8" ht="15.75" customHeight="1">
      <c r="A886" s="24" t="s">
        <v>1121</v>
      </c>
      <c r="B886" s="24" t="s">
        <v>568</v>
      </c>
      <c r="C886" s="24" t="s">
        <v>1122</v>
      </c>
      <c r="D886" s="25">
        <v>96</v>
      </c>
      <c r="E886" s="25">
        <v>49</v>
      </c>
      <c r="F886" s="25">
        <v>12</v>
      </c>
      <c r="G886" s="25"/>
      <c r="H886" s="22">
        <f t="shared" si="13"/>
        <v>157</v>
      </c>
    </row>
    <row r="887" spans="1:8" ht="15.75" customHeight="1">
      <c r="A887" s="20" t="s">
        <v>1123</v>
      </c>
      <c r="B887" s="20" t="s">
        <v>666</v>
      </c>
      <c r="C887" s="20" t="s">
        <v>1124</v>
      </c>
      <c r="D887" s="21">
        <v>81</v>
      </c>
      <c r="E887" s="21">
        <v>3</v>
      </c>
      <c r="F887" s="21"/>
      <c r="G887" s="21"/>
      <c r="H887" s="22">
        <f t="shared" si="13"/>
        <v>84</v>
      </c>
    </row>
    <row r="888" spans="1:8" ht="15.75" customHeight="1">
      <c r="A888" s="24" t="s">
        <v>1125</v>
      </c>
      <c r="B888" s="24" t="s">
        <v>678</v>
      </c>
      <c r="C888" s="24" t="s">
        <v>1126</v>
      </c>
      <c r="D888" s="25">
        <v>30</v>
      </c>
      <c r="E888" s="25">
        <v>15</v>
      </c>
      <c r="F888" s="25"/>
      <c r="G888" s="25"/>
      <c r="H888" s="22">
        <f t="shared" si="13"/>
        <v>45</v>
      </c>
    </row>
    <row r="889" spans="1:8" ht="15.75" customHeight="1">
      <c r="A889" s="20" t="s">
        <v>1127</v>
      </c>
      <c r="B889" s="20" t="s">
        <v>692</v>
      </c>
      <c r="C889" s="20" t="s">
        <v>1128</v>
      </c>
      <c r="D889" s="21">
        <v>167</v>
      </c>
      <c r="E889" s="21">
        <v>75</v>
      </c>
      <c r="F889" s="21"/>
      <c r="G889" s="21"/>
      <c r="H889" s="22">
        <f t="shared" si="13"/>
        <v>242</v>
      </c>
    </row>
    <row r="890" spans="1:8" ht="15.75" customHeight="1">
      <c r="A890" s="24" t="s">
        <v>1129</v>
      </c>
      <c r="B890" s="24" t="s">
        <v>723</v>
      </c>
      <c r="C890" s="24" t="s">
        <v>1130</v>
      </c>
      <c r="D890" s="25">
        <v>89</v>
      </c>
      <c r="E890" s="25">
        <v>127</v>
      </c>
      <c r="F890" s="25"/>
      <c r="G890" s="25"/>
      <c r="H890" s="22">
        <f t="shared" si="13"/>
        <v>216</v>
      </c>
    </row>
    <row r="891" spans="1:8" ht="15.75" customHeight="1">
      <c r="A891" s="20" t="s">
        <v>1131</v>
      </c>
      <c r="B891" s="20" t="s">
        <v>1132</v>
      </c>
      <c r="C891" s="20"/>
      <c r="D891" s="21">
        <v>16</v>
      </c>
      <c r="E891" s="21"/>
      <c r="F891" s="21"/>
      <c r="G891" s="21"/>
      <c r="H891" s="22">
        <f t="shared" si="13"/>
        <v>16</v>
      </c>
    </row>
    <row r="892" spans="1:8" ht="15.75" customHeight="1">
      <c r="A892" s="24" t="s">
        <v>3181</v>
      </c>
      <c r="B892" s="24" t="s">
        <v>959</v>
      </c>
      <c r="C892" s="24" t="s">
        <v>3182</v>
      </c>
      <c r="D892" s="25"/>
      <c r="E892" s="25"/>
      <c r="F892" s="25">
        <v>50</v>
      </c>
      <c r="G892" s="25"/>
      <c r="H892" s="22">
        <f t="shared" si="13"/>
        <v>50</v>
      </c>
    </row>
    <row r="893" spans="1:8" ht="15.75" customHeight="1">
      <c r="A893" s="20" t="s">
        <v>1133</v>
      </c>
      <c r="B893" s="20" t="s">
        <v>708</v>
      </c>
      <c r="C893" s="20" t="s">
        <v>1134</v>
      </c>
      <c r="D893" s="21">
        <v>81</v>
      </c>
      <c r="E893" s="21">
        <v>6</v>
      </c>
      <c r="F893" s="21"/>
      <c r="G893" s="21"/>
      <c r="H893" s="22">
        <f t="shared" si="13"/>
        <v>87</v>
      </c>
    </row>
    <row r="894" spans="1:8" ht="15.75" customHeight="1">
      <c r="A894" s="24" t="s">
        <v>3183</v>
      </c>
      <c r="B894" s="24" t="s">
        <v>3184</v>
      </c>
      <c r="C894" s="24"/>
      <c r="D894" s="25"/>
      <c r="E894" s="25"/>
      <c r="F894" s="25">
        <v>4</v>
      </c>
      <c r="G894" s="25"/>
      <c r="H894" s="22">
        <f t="shared" si="13"/>
        <v>4</v>
      </c>
    </row>
    <row r="895" spans="1:8" ht="15.75" customHeight="1">
      <c r="A895" s="20" t="s">
        <v>2660</v>
      </c>
      <c r="B895" s="20" t="s">
        <v>588</v>
      </c>
      <c r="C895" s="27" t="s">
        <v>2661</v>
      </c>
      <c r="D895" s="21"/>
      <c r="E895" s="21">
        <v>60</v>
      </c>
      <c r="F895" s="21"/>
      <c r="G895" s="21"/>
      <c r="H895" s="22">
        <f t="shared" si="13"/>
        <v>60</v>
      </c>
    </row>
    <row r="896" spans="1:8" ht="15.75" customHeight="1">
      <c r="A896" s="24" t="s">
        <v>3461</v>
      </c>
      <c r="B896" s="24" t="s">
        <v>3462</v>
      </c>
      <c r="C896" s="24"/>
      <c r="D896" s="25"/>
      <c r="E896" s="25"/>
      <c r="F896" s="25"/>
      <c r="G896" s="25">
        <v>10</v>
      </c>
      <c r="H896" s="22">
        <f t="shared" si="13"/>
        <v>10</v>
      </c>
    </row>
    <row r="897" spans="1:8" ht="15.75" customHeight="1">
      <c r="A897" s="20" t="s">
        <v>2662</v>
      </c>
      <c r="B897" s="20" t="s">
        <v>1237</v>
      </c>
      <c r="C897" s="20"/>
      <c r="D897" s="21"/>
      <c r="E897" s="21">
        <v>17</v>
      </c>
      <c r="F897" s="21">
        <v>12</v>
      </c>
      <c r="G897" s="21"/>
      <c r="H897" s="22">
        <f t="shared" si="13"/>
        <v>29</v>
      </c>
    </row>
    <row r="898" spans="1:8" ht="15.75" customHeight="1">
      <c r="A898" s="24" t="s">
        <v>2663</v>
      </c>
      <c r="B898" s="24" t="s">
        <v>747</v>
      </c>
      <c r="C898" s="24" t="s">
        <v>2664</v>
      </c>
      <c r="D898" s="25"/>
      <c r="E898" s="25">
        <v>9</v>
      </c>
      <c r="F898" s="25"/>
      <c r="G898" s="25"/>
      <c r="H898" s="22">
        <f t="shared" si="13"/>
        <v>9</v>
      </c>
    </row>
    <row r="899" spans="1:8" ht="15.75" customHeight="1">
      <c r="A899" s="20" t="s">
        <v>2665</v>
      </c>
      <c r="B899" s="20" t="s">
        <v>2666</v>
      </c>
      <c r="C899" s="20"/>
      <c r="D899" s="21"/>
      <c r="E899" s="21">
        <v>10</v>
      </c>
      <c r="F899" s="21"/>
      <c r="G899" s="21"/>
      <c r="H899" s="22">
        <f t="shared" si="13"/>
        <v>10</v>
      </c>
    </row>
    <row r="900" spans="1:8" ht="15.75" customHeight="1">
      <c r="A900" s="24" t="s">
        <v>1135</v>
      </c>
      <c r="B900" s="24" t="s">
        <v>823</v>
      </c>
      <c r="C900" s="24" t="s">
        <v>1136</v>
      </c>
      <c r="D900" s="25">
        <v>100</v>
      </c>
      <c r="E900" s="25"/>
      <c r="F900" s="25"/>
      <c r="G900" s="25"/>
      <c r="H900" s="22">
        <f t="shared" ref="H900:H963" si="14">SUM(D900:G900)</f>
        <v>100</v>
      </c>
    </row>
    <row r="901" spans="1:8" ht="15.75" customHeight="1">
      <c r="A901" s="20" t="s">
        <v>1137</v>
      </c>
      <c r="B901" s="20" t="s">
        <v>1138</v>
      </c>
      <c r="C901" s="20" t="s">
        <v>1139</v>
      </c>
      <c r="D901" s="21">
        <v>6</v>
      </c>
      <c r="E901" s="21">
        <v>680</v>
      </c>
      <c r="F901" s="21"/>
      <c r="G901" s="21"/>
      <c r="H901" s="22">
        <f t="shared" si="14"/>
        <v>686</v>
      </c>
    </row>
    <row r="902" spans="1:8" ht="15.75" customHeight="1">
      <c r="A902" s="24" t="s">
        <v>1140</v>
      </c>
      <c r="B902" s="24" t="s">
        <v>1141</v>
      </c>
      <c r="C902" s="24" t="s">
        <v>1142</v>
      </c>
      <c r="D902" s="25">
        <v>200</v>
      </c>
      <c r="E902" s="25"/>
      <c r="F902" s="25"/>
      <c r="G902" s="25"/>
      <c r="H902" s="22">
        <f t="shared" si="14"/>
        <v>200</v>
      </c>
    </row>
    <row r="903" spans="1:8" ht="15.75" customHeight="1">
      <c r="A903" s="20" t="s">
        <v>1143</v>
      </c>
      <c r="B903" s="20" t="s">
        <v>802</v>
      </c>
      <c r="C903" s="20" t="s">
        <v>1144</v>
      </c>
      <c r="D903" s="21">
        <v>150</v>
      </c>
      <c r="E903" s="21"/>
      <c r="F903" s="21"/>
      <c r="G903" s="21"/>
      <c r="H903" s="22">
        <f t="shared" si="14"/>
        <v>150</v>
      </c>
    </row>
    <row r="904" spans="1:8" ht="15.75" customHeight="1">
      <c r="A904" s="24" t="s">
        <v>3185</v>
      </c>
      <c r="B904" s="24" t="s">
        <v>814</v>
      </c>
      <c r="C904" s="24" t="s">
        <v>3186</v>
      </c>
      <c r="D904" s="25"/>
      <c r="E904" s="25"/>
      <c r="F904" s="25">
        <v>70</v>
      </c>
      <c r="G904" s="25"/>
      <c r="H904" s="22">
        <f t="shared" si="14"/>
        <v>70</v>
      </c>
    </row>
    <row r="905" spans="1:8" ht="15.75" customHeight="1">
      <c r="A905" s="20" t="s">
        <v>1145</v>
      </c>
      <c r="B905" s="20" t="s">
        <v>1146</v>
      </c>
      <c r="C905" s="20"/>
      <c r="D905" s="21">
        <v>4</v>
      </c>
      <c r="E905" s="21">
        <v>68</v>
      </c>
      <c r="F905" s="21"/>
      <c r="G905" s="21"/>
      <c r="H905" s="22">
        <f t="shared" si="14"/>
        <v>72</v>
      </c>
    </row>
    <row r="906" spans="1:8" ht="15.75" customHeight="1">
      <c r="A906" s="24" t="s">
        <v>3463</v>
      </c>
      <c r="B906" s="24" t="s">
        <v>3464</v>
      </c>
      <c r="C906" s="24" t="s">
        <v>935</v>
      </c>
      <c r="D906" s="25"/>
      <c r="E906" s="25"/>
      <c r="F906" s="25"/>
      <c r="G906" s="25">
        <v>20</v>
      </c>
      <c r="H906" s="22">
        <f t="shared" si="14"/>
        <v>20</v>
      </c>
    </row>
    <row r="907" spans="1:8" ht="15.75" customHeight="1">
      <c r="A907" s="20" t="s">
        <v>1147</v>
      </c>
      <c r="B907" s="20" t="s">
        <v>697</v>
      </c>
      <c r="C907" s="20" t="s">
        <v>1148</v>
      </c>
      <c r="D907" s="21">
        <v>314</v>
      </c>
      <c r="E907" s="21">
        <v>6</v>
      </c>
      <c r="F907" s="21"/>
      <c r="G907" s="21"/>
      <c r="H907" s="22">
        <f t="shared" si="14"/>
        <v>320</v>
      </c>
    </row>
    <row r="908" spans="1:8" ht="15.75" customHeight="1">
      <c r="A908" s="24" t="s">
        <v>1149</v>
      </c>
      <c r="B908" s="24" t="s">
        <v>1150</v>
      </c>
      <c r="C908" s="24" t="s">
        <v>1151</v>
      </c>
      <c r="D908" s="25">
        <v>8</v>
      </c>
      <c r="E908" s="25"/>
      <c r="F908" s="25"/>
      <c r="G908" s="25"/>
      <c r="H908" s="22">
        <f t="shared" si="14"/>
        <v>8</v>
      </c>
    </row>
    <row r="909" spans="1:8" ht="15.75" customHeight="1">
      <c r="A909" s="20" t="s">
        <v>1152</v>
      </c>
      <c r="B909" s="20" t="s">
        <v>1153</v>
      </c>
      <c r="C909" s="27" t="s">
        <v>1154</v>
      </c>
      <c r="D909" s="21">
        <v>1</v>
      </c>
      <c r="E909" s="21">
        <v>10</v>
      </c>
      <c r="F909" s="21"/>
      <c r="G909" s="21"/>
      <c r="H909" s="22">
        <f t="shared" si="14"/>
        <v>11</v>
      </c>
    </row>
    <row r="910" spans="1:8" ht="15.75" customHeight="1">
      <c r="A910" s="24" t="s">
        <v>3187</v>
      </c>
      <c r="B910" s="24" t="s">
        <v>3188</v>
      </c>
      <c r="C910" s="24"/>
      <c r="D910" s="25"/>
      <c r="E910" s="25"/>
      <c r="F910" s="25">
        <v>20</v>
      </c>
      <c r="G910" s="25"/>
      <c r="H910" s="22">
        <f t="shared" si="14"/>
        <v>20</v>
      </c>
    </row>
    <row r="911" spans="1:8" ht="15.75" customHeight="1">
      <c r="A911" s="20" t="s">
        <v>2667</v>
      </c>
      <c r="B911" s="20" t="s">
        <v>2668</v>
      </c>
      <c r="C911" s="20"/>
      <c r="D911" s="21"/>
      <c r="E911" s="21">
        <v>10</v>
      </c>
      <c r="F911" s="21"/>
      <c r="G911" s="21"/>
      <c r="H911" s="22">
        <f t="shared" si="14"/>
        <v>10</v>
      </c>
    </row>
    <row r="912" spans="1:8" ht="15.75" customHeight="1">
      <c r="A912" s="24" t="s">
        <v>1155</v>
      </c>
      <c r="B912" s="24" t="s">
        <v>1156</v>
      </c>
      <c r="C912" s="24" t="s">
        <v>932</v>
      </c>
      <c r="D912" s="25">
        <v>2</v>
      </c>
      <c r="E912" s="25"/>
      <c r="F912" s="25"/>
      <c r="G912" s="25"/>
      <c r="H912" s="22">
        <f t="shared" si="14"/>
        <v>2</v>
      </c>
    </row>
    <row r="913" spans="1:8" ht="15.75" customHeight="1">
      <c r="A913" s="20" t="s">
        <v>3189</v>
      </c>
      <c r="B913" s="20" t="s">
        <v>3190</v>
      </c>
      <c r="C913" s="20"/>
      <c r="D913" s="21"/>
      <c r="E913" s="21"/>
      <c r="F913" s="21">
        <v>20</v>
      </c>
      <c r="G913" s="21"/>
      <c r="H913" s="22">
        <f t="shared" si="14"/>
        <v>20</v>
      </c>
    </row>
    <row r="914" spans="1:8" ht="15.75" customHeight="1">
      <c r="A914" s="24" t="s">
        <v>3191</v>
      </c>
      <c r="B914" s="24" t="s">
        <v>3192</v>
      </c>
      <c r="C914" s="24" t="s">
        <v>935</v>
      </c>
      <c r="D914" s="25"/>
      <c r="E914" s="25"/>
      <c r="F914" s="25">
        <v>20</v>
      </c>
      <c r="G914" s="25">
        <v>20</v>
      </c>
      <c r="H914" s="22">
        <f t="shared" si="14"/>
        <v>40</v>
      </c>
    </row>
    <row r="915" spans="1:8" ht="15.75" customHeight="1">
      <c r="A915" s="20" t="s">
        <v>1157</v>
      </c>
      <c r="B915" s="20" t="s">
        <v>582</v>
      </c>
      <c r="C915" s="20" t="s">
        <v>1158</v>
      </c>
      <c r="D915" s="21">
        <v>67</v>
      </c>
      <c r="E915" s="21">
        <v>31</v>
      </c>
      <c r="F915" s="21"/>
      <c r="G915" s="21"/>
      <c r="H915" s="22">
        <f t="shared" si="14"/>
        <v>98</v>
      </c>
    </row>
    <row r="916" spans="1:8" ht="15.75" customHeight="1">
      <c r="A916" s="24" t="s">
        <v>2669</v>
      </c>
      <c r="B916" s="24" t="s">
        <v>2670</v>
      </c>
      <c r="C916" s="24"/>
      <c r="D916" s="25"/>
      <c r="E916" s="25">
        <v>11</v>
      </c>
      <c r="F916" s="25"/>
      <c r="G916" s="25"/>
      <c r="H916" s="22">
        <f t="shared" si="14"/>
        <v>11</v>
      </c>
    </row>
    <row r="917" spans="1:8" ht="15.75" customHeight="1">
      <c r="A917" s="20" t="s">
        <v>2671</v>
      </c>
      <c r="B917" s="20" t="s">
        <v>2672</v>
      </c>
      <c r="C917" s="20"/>
      <c r="D917" s="21"/>
      <c r="E917" s="21">
        <v>2</v>
      </c>
      <c r="F917" s="21"/>
      <c r="G917" s="21"/>
      <c r="H917" s="22">
        <f t="shared" si="14"/>
        <v>2</v>
      </c>
    </row>
    <row r="918" spans="1:8" ht="15.75" customHeight="1">
      <c r="A918" s="24" t="s">
        <v>2673</v>
      </c>
      <c r="B918" s="24" t="s">
        <v>597</v>
      </c>
      <c r="C918" s="26" t="s">
        <v>1154</v>
      </c>
      <c r="D918" s="25"/>
      <c r="E918" s="25">
        <v>10</v>
      </c>
      <c r="F918" s="25"/>
      <c r="G918" s="25"/>
      <c r="H918" s="22">
        <f t="shared" si="14"/>
        <v>10</v>
      </c>
    </row>
    <row r="919" spans="1:8" ht="15.75" customHeight="1">
      <c r="A919" s="20" t="s">
        <v>2674</v>
      </c>
      <c r="B919" s="20" t="s">
        <v>597</v>
      </c>
      <c r="C919" s="27" t="s">
        <v>1226</v>
      </c>
      <c r="D919" s="21"/>
      <c r="E919" s="21">
        <v>3</v>
      </c>
      <c r="F919" s="21"/>
      <c r="G919" s="21"/>
      <c r="H919" s="22">
        <f t="shared" si="14"/>
        <v>3</v>
      </c>
    </row>
    <row r="920" spans="1:8" ht="15.75" customHeight="1">
      <c r="A920" s="24" t="s">
        <v>1159</v>
      </c>
      <c r="B920" s="24" t="s">
        <v>1160</v>
      </c>
      <c r="C920" s="24"/>
      <c r="D920" s="25">
        <v>4</v>
      </c>
      <c r="E920" s="25">
        <v>237</v>
      </c>
      <c r="F920" s="25"/>
      <c r="G920" s="25"/>
      <c r="H920" s="22">
        <f t="shared" si="14"/>
        <v>241</v>
      </c>
    </row>
    <row r="921" spans="1:8" ht="15.75" customHeight="1">
      <c r="A921" s="20" t="s">
        <v>2675</v>
      </c>
      <c r="B921" s="20" t="s">
        <v>1235</v>
      </c>
      <c r="C921" s="20"/>
      <c r="D921" s="21"/>
      <c r="E921" s="21">
        <v>1</v>
      </c>
      <c r="F921" s="21"/>
      <c r="G921" s="21"/>
      <c r="H921" s="22">
        <f t="shared" si="14"/>
        <v>1</v>
      </c>
    </row>
    <row r="922" spans="1:8" ht="15.75" customHeight="1">
      <c r="A922" s="24" t="s">
        <v>3193</v>
      </c>
      <c r="B922" s="24" t="s">
        <v>3166</v>
      </c>
      <c r="C922" s="24" t="s">
        <v>1162</v>
      </c>
      <c r="D922" s="25"/>
      <c r="E922" s="25"/>
      <c r="F922" s="25">
        <v>2</v>
      </c>
      <c r="G922" s="25"/>
      <c r="H922" s="22">
        <f t="shared" si="14"/>
        <v>2</v>
      </c>
    </row>
    <row r="923" spans="1:8" ht="15.75" customHeight="1">
      <c r="A923" s="20" t="s">
        <v>3194</v>
      </c>
      <c r="B923" s="20" t="s">
        <v>495</v>
      </c>
      <c r="C923" s="20" t="s">
        <v>1162</v>
      </c>
      <c r="D923" s="21"/>
      <c r="E923" s="21"/>
      <c r="F923" s="21">
        <v>7</v>
      </c>
      <c r="G923" s="21"/>
      <c r="H923" s="22">
        <f t="shared" si="14"/>
        <v>7</v>
      </c>
    </row>
    <row r="924" spans="1:8" ht="15.75" customHeight="1">
      <c r="A924" s="24" t="s">
        <v>2676</v>
      </c>
      <c r="B924" s="24" t="s">
        <v>483</v>
      </c>
      <c r="C924" s="24" t="s">
        <v>1162</v>
      </c>
      <c r="D924" s="25"/>
      <c r="E924" s="25">
        <v>110</v>
      </c>
      <c r="F924" s="25">
        <v>37</v>
      </c>
      <c r="G924" s="25"/>
      <c r="H924" s="22">
        <f t="shared" si="14"/>
        <v>147</v>
      </c>
    </row>
    <row r="925" spans="1:8" ht="15.75" customHeight="1">
      <c r="A925" s="20" t="s">
        <v>1161</v>
      </c>
      <c r="B925" s="20" t="s">
        <v>485</v>
      </c>
      <c r="C925" s="20" t="s">
        <v>1162</v>
      </c>
      <c r="D925" s="21">
        <v>5</v>
      </c>
      <c r="E925" s="21"/>
      <c r="F925" s="21">
        <v>85</v>
      </c>
      <c r="G925" s="21"/>
      <c r="H925" s="22">
        <f t="shared" si="14"/>
        <v>90</v>
      </c>
    </row>
    <row r="926" spans="1:8" ht="15.75" customHeight="1">
      <c r="A926" s="24" t="s">
        <v>3195</v>
      </c>
      <c r="B926" s="24" t="s">
        <v>3196</v>
      </c>
      <c r="C926" s="24"/>
      <c r="D926" s="25"/>
      <c r="E926" s="25"/>
      <c r="F926" s="25">
        <v>3</v>
      </c>
      <c r="G926" s="25"/>
      <c r="H926" s="22">
        <f t="shared" si="14"/>
        <v>3</v>
      </c>
    </row>
    <row r="927" spans="1:8" ht="15.75" customHeight="1">
      <c r="A927" s="20" t="s">
        <v>3197</v>
      </c>
      <c r="B927" s="20" t="s">
        <v>3198</v>
      </c>
      <c r="C927" s="20"/>
      <c r="D927" s="21"/>
      <c r="E927" s="21"/>
      <c r="F927" s="21">
        <v>15</v>
      </c>
      <c r="G927" s="21"/>
      <c r="H927" s="22">
        <f t="shared" si="14"/>
        <v>15</v>
      </c>
    </row>
    <row r="928" spans="1:8" ht="15.75" customHeight="1">
      <c r="A928" s="24" t="s">
        <v>2677</v>
      </c>
      <c r="B928" s="24" t="s">
        <v>2678</v>
      </c>
      <c r="C928" s="24"/>
      <c r="D928" s="25"/>
      <c r="E928" s="25">
        <v>8</v>
      </c>
      <c r="F928" s="25"/>
      <c r="G928" s="25"/>
      <c r="H928" s="22">
        <f t="shared" si="14"/>
        <v>8</v>
      </c>
    </row>
    <row r="929" spans="1:8" ht="15.75" customHeight="1">
      <c r="A929" s="20" t="s">
        <v>3199</v>
      </c>
      <c r="B929" s="20" t="s">
        <v>3200</v>
      </c>
      <c r="C929" s="20" t="s">
        <v>3201</v>
      </c>
      <c r="D929" s="21"/>
      <c r="E929" s="21"/>
      <c r="F929" s="21">
        <v>5</v>
      </c>
      <c r="G929" s="21"/>
      <c r="H929" s="22">
        <f t="shared" si="14"/>
        <v>5</v>
      </c>
    </row>
    <row r="930" spans="1:8" ht="15.75" customHeight="1">
      <c r="A930" s="24" t="s">
        <v>1163</v>
      </c>
      <c r="B930" s="24" t="s">
        <v>1164</v>
      </c>
      <c r="C930" s="24"/>
      <c r="D930" s="25">
        <v>20</v>
      </c>
      <c r="E930" s="25">
        <v>2</v>
      </c>
      <c r="F930" s="25">
        <v>10</v>
      </c>
      <c r="G930" s="25">
        <v>10</v>
      </c>
      <c r="H930" s="22">
        <f t="shared" si="14"/>
        <v>42</v>
      </c>
    </row>
    <row r="931" spans="1:8" ht="15.75" customHeight="1">
      <c r="A931" s="20" t="s">
        <v>1165</v>
      </c>
      <c r="B931" s="20" t="s">
        <v>1166</v>
      </c>
      <c r="C931" s="20" t="s">
        <v>1167</v>
      </c>
      <c r="D931" s="21">
        <v>30</v>
      </c>
      <c r="E931" s="21"/>
      <c r="F931" s="21"/>
      <c r="G931" s="21"/>
      <c r="H931" s="22">
        <f t="shared" si="14"/>
        <v>30</v>
      </c>
    </row>
    <row r="932" spans="1:8" ht="15.75" customHeight="1">
      <c r="A932" s="24" t="s">
        <v>3202</v>
      </c>
      <c r="B932" s="24" t="s">
        <v>497</v>
      </c>
      <c r="C932" s="24" t="s">
        <v>3203</v>
      </c>
      <c r="D932" s="25"/>
      <c r="E932" s="25"/>
      <c r="F932" s="25">
        <v>5</v>
      </c>
      <c r="G932" s="25"/>
      <c r="H932" s="22">
        <f t="shared" si="14"/>
        <v>5</v>
      </c>
    </row>
    <row r="933" spans="1:8" ht="15.75" customHeight="1">
      <c r="A933" s="20" t="s">
        <v>3204</v>
      </c>
      <c r="B933" s="20" t="s">
        <v>1055</v>
      </c>
      <c r="C933" s="20" t="s">
        <v>3205</v>
      </c>
      <c r="D933" s="21"/>
      <c r="E933" s="21"/>
      <c r="F933" s="21">
        <v>2</v>
      </c>
      <c r="G933" s="21"/>
      <c r="H933" s="22">
        <f t="shared" si="14"/>
        <v>2</v>
      </c>
    </row>
    <row r="934" spans="1:8" ht="15.75" customHeight="1">
      <c r="A934" s="24" t="s">
        <v>3206</v>
      </c>
      <c r="B934" s="24" t="s">
        <v>1160</v>
      </c>
      <c r="C934" s="24" t="s">
        <v>3207</v>
      </c>
      <c r="D934" s="25"/>
      <c r="E934" s="25"/>
      <c r="F934" s="25">
        <v>4</v>
      </c>
      <c r="G934" s="25"/>
      <c r="H934" s="22">
        <f t="shared" si="14"/>
        <v>4</v>
      </c>
    </row>
    <row r="935" spans="1:8" ht="15.75" customHeight="1">
      <c r="A935" s="20" t="s">
        <v>1168</v>
      </c>
      <c r="B935" s="20" t="s">
        <v>1169</v>
      </c>
      <c r="C935" s="20" t="s">
        <v>1109</v>
      </c>
      <c r="D935" s="21">
        <v>4</v>
      </c>
      <c r="E935" s="21"/>
      <c r="F935" s="21"/>
      <c r="G935" s="21"/>
      <c r="H935" s="22">
        <f t="shared" si="14"/>
        <v>4</v>
      </c>
    </row>
    <row r="936" spans="1:8" ht="15.75" customHeight="1">
      <c r="A936" s="24" t="s">
        <v>3208</v>
      </c>
      <c r="B936" s="24" t="s">
        <v>487</v>
      </c>
      <c r="C936" s="24" t="s">
        <v>3209</v>
      </c>
      <c r="D936" s="25"/>
      <c r="E936" s="25"/>
      <c r="F936" s="25">
        <v>66</v>
      </c>
      <c r="G936" s="25"/>
      <c r="H936" s="22">
        <f t="shared" si="14"/>
        <v>66</v>
      </c>
    </row>
    <row r="937" spans="1:8" ht="15.75" customHeight="1">
      <c r="A937" s="20" t="s">
        <v>1170</v>
      </c>
      <c r="B937" s="20" t="s">
        <v>489</v>
      </c>
      <c r="C937" s="20" t="s">
        <v>1171</v>
      </c>
      <c r="D937" s="21">
        <v>12</v>
      </c>
      <c r="E937" s="21"/>
      <c r="F937" s="21"/>
      <c r="G937" s="21"/>
      <c r="H937" s="22">
        <f t="shared" si="14"/>
        <v>12</v>
      </c>
    </row>
    <row r="938" spans="1:8" ht="15.75" customHeight="1">
      <c r="A938" s="24" t="s">
        <v>1172</v>
      </c>
      <c r="B938" s="24" t="s">
        <v>1173</v>
      </c>
      <c r="C938" s="24" t="s">
        <v>1174</v>
      </c>
      <c r="D938" s="25">
        <v>12</v>
      </c>
      <c r="E938" s="25"/>
      <c r="F938" s="25"/>
      <c r="G938" s="25"/>
      <c r="H938" s="22">
        <f t="shared" si="14"/>
        <v>12</v>
      </c>
    </row>
    <row r="939" spans="1:8" ht="15.75" customHeight="1">
      <c r="A939" s="20" t="s">
        <v>1175</v>
      </c>
      <c r="B939" s="20" t="s">
        <v>1176</v>
      </c>
      <c r="C939" s="20" t="s">
        <v>1177</v>
      </c>
      <c r="D939" s="21">
        <v>12</v>
      </c>
      <c r="E939" s="21"/>
      <c r="F939" s="21"/>
      <c r="G939" s="21"/>
      <c r="H939" s="22">
        <f t="shared" si="14"/>
        <v>12</v>
      </c>
    </row>
    <row r="940" spans="1:8" ht="15.75" customHeight="1">
      <c r="A940" s="24" t="s">
        <v>1178</v>
      </c>
      <c r="B940" s="24" t="s">
        <v>969</v>
      </c>
      <c r="C940" s="24" t="s">
        <v>1179</v>
      </c>
      <c r="D940" s="25">
        <v>12</v>
      </c>
      <c r="E940" s="25"/>
      <c r="F940" s="25"/>
      <c r="G940" s="25"/>
      <c r="H940" s="22">
        <f t="shared" si="14"/>
        <v>12</v>
      </c>
    </row>
    <row r="941" spans="1:8" ht="15.75" customHeight="1">
      <c r="A941" s="20" t="s">
        <v>1180</v>
      </c>
      <c r="B941" s="20" t="s">
        <v>1181</v>
      </c>
      <c r="C941" s="20" t="s">
        <v>1182</v>
      </c>
      <c r="D941" s="21">
        <v>12</v>
      </c>
      <c r="E941" s="21"/>
      <c r="F941" s="21"/>
      <c r="G941" s="21"/>
      <c r="H941" s="22">
        <f t="shared" si="14"/>
        <v>12</v>
      </c>
    </row>
    <row r="942" spans="1:8" ht="15.75" customHeight="1">
      <c r="A942" s="24" t="s">
        <v>1183</v>
      </c>
      <c r="B942" s="24" t="s">
        <v>491</v>
      </c>
      <c r="C942" s="24" t="s">
        <v>1184</v>
      </c>
      <c r="D942" s="25">
        <v>12</v>
      </c>
      <c r="E942" s="25"/>
      <c r="F942" s="25">
        <v>8</v>
      </c>
      <c r="G942" s="25"/>
      <c r="H942" s="22">
        <f t="shared" si="14"/>
        <v>20</v>
      </c>
    </row>
    <row r="943" spans="1:8" ht="15.75" customHeight="1">
      <c r="A943" s="20" t="s">
        <v>1185</v>
      </c>
      <c r="B943" s="20" t="s">
        <v>1186</v>
      </c>
      <c r="C943" s="20" t="s">
        <v>1187</v>
      </c>
      <c r="D943" s="21">
        <v>12</v>
      </c>
      <c r="E943" s="21"/>
      <c r="F943" s="21"/>
      <c r="G943" s="21"/>
      <c r="H943" s="22">
        <f t="shared" si="14"/>
        <v>12</v>
      </c>
    </row>
    <row r="944" spans="1:8" ht="15.75" customHeight="1">
      <c r="A944" s="24" t="s">
        <v>3210</v>
      </c>
      <c r="B944" s="24" t="s">
        <v>493</v>
      </c>
      <c r="C944" s="24" t="s">
        <v>3211</v>
      </c>
      <c r="D944" s="25"/>
      <c r="E944" s="25"/>
      <c r="F944" s="25">
        <v>3</v>
      </c>
      <c r="G944" s="25"/>
      <c r="H944" s="22">
        <f t="shared" si="14"/>
        <v>3</v>
      </c>
    </row>
    <row r="945" spans="1:8" ht="15.75" customHeight="1">
      <c r="A945" s="20" t="s">
        <v>1188</v>
      </c>
      <c r="B945" s="20" t="s">
        <v>1189</v>
      </c>
      <c r="C945" s="20" t="s">
        <v>1190</v>
      </c>
      <c r="D945" s="21">
        <v>12</v>
      </c>
      <c r="E945" s="21"/>
      <c r="F945" s="21"/>
      <c r="G945" s="21"/>
      <c r="H945" s="22">
        <f t="shared" si="14"/>
        <v>12</v>
      </c>
    </row>
    <row r="946" spans="1:8" ht="15.75" customHeight="1">
      <c r="A946" s="24" t="s">
        <v>1191</v>
      </c>
      <c r="B946" s="24" t="s">
        <v>1192</v>
      </c>
      <c r="C946" s="24" t="s">
        <v>1193</v>
      </c>
      <c r="D946" s="25">
        <v>12</v>
      </c>
      <c r="E946" s="25"/>
      <c r="F946" s="25"/>
      <c r="G946" s="25"/>
      <c r="H946" s="22">
        <f t="shared" si="14"/>
        <v>12</v>
      </c>
    </row>
    <row r="947" spans="1:8" ht="15.75" customHeight="1">
      <c r="A947" s="20" t="s">
        <v>1194</v>
      </c>
      <c r="B947" s="20" t="s">
        <v>1195</v>
      </c>
      <c r="C947" s="20" t="s">
        <v>1196</v>
      </c>
      <c r="D947" s="21">
        <v>12</v>
      </c>
      <c r="E947" s="21"/>
      <c r="F947" s="21"/>
      <c r="G947" s="21"/>
      <c r="H947" s="22">
        <f t="shared" si="14"/>
        <v>12</v>
      </c>
    </row>
    <row r="948" spans="1:8" ht="15.75" customHeight="1">
      <c r="A948" s="24" t="s">
        <v>1197</v>
      </c>
      <c r="B948" s="24" t="s">
        <v>1198</v>
      </c>
      <c r="C948" s="24" t="s">
        <v>1199</v>
      </c>
      <c r="D948" s="25">
        <v>12</v>
      </c>
      <c r="E948" s="25"/>
      <c r="F948" s="25"/>
      <c r="G948" s="25"/>
      <c r="H948" s="22">
        <f t="shared" si="14"/>
        <v>12</v>
      </c>
    </row>
    <row r="949" spans="1:8" ht="15.75" customHeight="1">
      <c r="A949" s="20" t="s">
        <v>1200</v>
      </c>
      <c r="B949" s="20" t="s">
        <v>991</v>
      </c>
      <c r="C949" s="20" t="s">
        <v>1201</v>
      </c>
      <c r="D949" s="21">
        <v>12</v>
      </c>
      <c r="E949" s="21"/>
      <c r="F949" s="21">
        <v>6</v>
      </c>
      <c r="G949" s="21"/>
      <c r="H949" s="22">
        <f t="shared" si="14"/>
        <v>18</v>
      </c>
    </row>
    <row r="950" spans="1:8" ht="15.75" customHeight="1">
      <c r="A950" s="24" t="s">
        <v>1202</v>
      </c>
      <c r="B950" s="24" t="s">
        <v>1203</v>
      </c>
      <c r="C950" s="24" t="s">
        <v>1204</v>
      </c>
      <c r="D950" s="25">
        <v>12</v>
      </c>
      <c r="E950" s="25"/>
      <c r="F950" s="25">
        <v>18</v>
      </c>
      <c r="G950" s="25"/>
      <c r="H950" s="22">
        <f t="shared" si="14"/>
        <v>30</v>
      </c>
    </row>
    <row r="951" spans="1:8" ht="15.75" customHeight="1">
      <c r="A951" s="20" t="s">
        <v>1205</v>
      </c>
      <c r="B951" s="20" t="s">
        <v>1206</v>
      </c>
      <c r="C951" s="20" t="s">
        <v>1207</v>
      </c>
      <c r="D951" s="21">
        <v>14</v>
      </c>
      <c r="E951" s="21"/>
      <c r="F951" s="21">
        <v>18</v>
      </c>
      <c r="G951" s="21"/>
      <c r="H951" s="22">
        <f t="shared" si="14"/>
        <v>32</v>
      </c>
    </row>
    <row r="952" spans="1:8" ht="15.75" customHeight="1">
      <c r="A952" s="24" t="s">
        <v>2679</v>
      </c>
      <c r="B952" s="24" t="s">
        <v>1260</v>
      </c>
      <c r="C952" s="24" t="s">
        <v>613</v>
      </c>
      <c r="D952" s="25"/>
      <c r="E952" s="25">
        <v>3</v>
      </c>
      <c r="F952" s="25">
        <v>50</v>
      </c>
      <c r="G952" s="25">
        <v>5</v>
      </c>
      <c r="H952" s="22">
        <f t="shared" si="14"/>
        <v>58</v>
      </c>
    </row>
    <row r="953" spans="1:8" ht="15.75" customHeight="1">
      <c r="A953" s="20" t="s">
        <v>3212</v>
      </c>
      <c r="B953" s="20" t="s">
        <v>2445</v>
      </c>
      <c r="C953" s="20" t="s">
        <v>3213</v>
      </c>
      <c r="D953" s="21"/>
      <c r="E953" s="21"/>
      <c r="F953" s="21">
        <v>8</v>
      </c>
      <c r="G953" s="21"/>
      <c r="H953" s="22">
        <f t="shared" si="14"/>
        <v>8</v>
      </c>
    </row>
    <row r="954" spans="1:8" ht="15.75" customHeight="1">
      <c r="A954" s="24" t="s">
        <v>3214</v>
      </c>
      <c r="B954" s="24" t="s">
        <v>3215</v>
      </c>
      <c r="C954" s="24" t="s">
        <v>3216</v>
      </c>
      <c r="D954" s="25"/>
      <c r="E954" s="25"/>
      <c r="F954" s="25">
        <v>20</v>
      </c>
      <c r="G954" s="25"/>
      <c r="H954" s="22">
        <f t="shared" si="14"/>
        <v>20</v>
      </c>
    </row>
    <row r="955" spans="1:8" ht="15.75" customHeight="1">
      <c r="A955" s="20" t="s">
        <v>3217</v>
      </c>
      <c r="B955" s="20" t="s">
        <v>3218</v>
      </c>
      <c r="C955" s="20" t="s">
        <v>3219</v>
      </c>
      <c r="D955" s="21"/>
      <c r="E955" s="21"/>
      <c r="F955" s="21">
        <v>20</v>
      </c>
      <c r="G955" s="21"/>
      <c r="H955" s="22">
        <f t="shared" si="14"/>
        <v>20</v>
      </c>
    </row>
    <row r="956" spans="1:8" ht="15.75" customHeight="1">
      <c r="A956" s="24" t="s">
        <v>3220</v>
      </c>
      <c r="B956" s="24" t="s">
        <v>1073</v>
      </c>
      <c r="C956" s="24" t="s">
        <v>3221</v>
      </c>
      <c r="D956" s="25"/>
      <c r="E956" s="25"/>
      <c r="F956" s="25">
        <v>2</v>
      </c>
      <c r="G956" s="25"/>
      <c r="H956" s="22">
        <f t="shared" si="14"/>
        <v>2</v>
      </c>
    </row>
    <row r="957" spans="1:8" ht="15.75" customHeight="1">
      <c r="A957" s="20" t="s">
        <v>3222</v>
      </c>
      <c r="B957" s="20" t="s">
        <v>3223</v>
      </c>
      <c r="C957" s="20" t="s">
        <v>3224</v>
      </c>
      <c r="D957" s="21"/>
      <c r="E957" s="21"/>
      <c r="F957" s="21">
        <v>5</v>
      </c>
      <c r="G957" s="21"/>
      <c r="H957" s="22">
        <f t="shared" si="14"/>
        <v>5</v>
      </c>
    </row>
    <row r="958" spans="1:8" ht="15.75" customHeight="1">
      <c r="A958" s="24" t="s">
        <v>1208</v>
      </c>
      <c r="B958" s="24" t="s">
        <v>568</v>
      </c>
      <c r="C958" s="26" t="s">
        <v>1154</v>
      </c>
      <c r="D958" s="25">
        <v>40</v>
      </c>
      <c r="E958" s="25">
        <v>20</v>
      </c>
      <c r="F958" s="25">
        <v>30</v>
      </c>
      <c r="G958" s="25"/>
      <c r="H958" s="22">
        <f t="shared" si="14"/>
        <v>90</v>
      </c>
    </row>
    <row r="959" spans="1:8" ht="15.75" customHeight="1">
      <c r="A959" s="20" t="s">
        <v>1209</v>
      </c>
      <c r="B959" s="20" t="s">
        <v>1210</v>
      </c>
      <c r="C959" s="20" t="s">
        <v>1211</v>
      </c>
      <c r="D959" s="21">
        <v>10</v>
      </c>
      <c r="E959" s="21"/>
      <c r="F959" s="21"/>
      <c r="G959" s="21"/>
      <c r="H959" s="22">
        <f t="shared" si="14"/>
        <v>10</v>
      </c>
    </row>
    <row r="960" spans="1:8" ht="15.75" customHeight="1">
      <c r="A960" s="24" t="s">
        <v>1212</v>
      </c>
      <c r="B960" s="24" t="s">
        <v>558</v>
      </c>
      <c r="C960" s="26" t="s">
        <v>1154</v>
      </c>
      <c r="D960" s="25">
        <v>40</v>
      </c>
      <c r="E960" s="25">
        <v>50</v>
      </c>
      <c r="F960" s="25">
        <v>30</v>
      </c>
      <c r="G960" s="25"/>
      <c r="H960" s="22">
        <f t="shared" si="14"/>
        <v>120</v>
      </c>
    </row>
    <row r="961" spans="1:8" ht="15.75" customHeight="1">
      <c r="A961" s="20" t="s">
        <v>1213</v>
      </c>
      <c r="B961" s="20" t="s">
        <v>1214</v>
      </c>
      <c r="C961" s="20" t="s">
        <v>1215</v>
      </c>
      <c r="D961" s="21">
        <v>7</v>
      </c>
      <c r="E961" s="21"/>
      <c r="F961" s="21"/>
      <c r="G961" s="21"/>
      <c r="H961" s="22">
        <f t="shared" si="14"/>
        <v>7</v>
      </c>
    </row>
    <row r="962" spans="1:8" ht="15.75" customHeight="1">
      <c r="A962" s="24" t="s">
        <v>1216</v>
      </c>
      <c r="B962" s="24" t="s">
        <v>606</v>
      </c>
      <c r="C962" s="26" t="s">
        <v>1154</v>
      </c>
      <c r="D962" s="25">
        <v>10</v>
      </c>
      <c r="E962" s="25"/>
      <c r="F962" s="25">
        <v>10</v>
      </c>
      <c r="G962" s="25"/>
      <c r="H962" s="22">
        <f t="shared" si="14"/>
        <v>20</v>
      </c>
    </row>
    <row r="963" spans="1:8" ht="15.75" customHeight="1">
      <c r="A963" s="20" t="s">
        <v>1217</v>
      </c>
      <c r="B963" s="20" t="s">
        <v>1218</v>
      </c>
      <c r="C963" s="20" t="s">
        <v>1219</v>
      </c>
      <c r="D963" s="21">
        <v>10</v>
      </c>
      <c r="E963" s="21"/>
      <c r="F963" s="21"/>
      <c r="G963" s="21"/>
      <c r="H963" s="22">
        <f t="shared" si="14"/>
        <v>10</v>
      </c>
    </row>
    <row r="964" spans="1:8" ht="15.75" customHeight="1">
      <c r="A964" s="24" t="s">
        <v>2680</v>
      </c>
      <c r="B964" s="24" t="s">
        <v>2681</v>
      </c>
      <c r="C964" s="26" t="s">
        <v>1154</v>
      </c>
      <c r="D964" s="25"/>
      <c r="E964" s="25">
        <v>1</v>
      </c>
      <c r="F964" s="25"/>
      <c r="G964" s="25"/>
      <c r="H964" s="22">
        <f t="shared" ref="H964:H1027" si="15">SUM(D964:G964)</f>
        <v>1</v>
      </c>
    </row>
    <row r="965" spans="1:8" ht="15.75" customHeight="1">
      <c r="A965" s="20" t="s">
        <v>3225</v>
      </c>
      <c r="B965" s="20" t="s">
        <v>3226</v>
      </c>
      <c r="C965" s="20"/>
      <c r="D965" s="21"/>
      <c r="E965" s="21"/>
      <c r="F965" s="21">
        <v>4</v>
      </c>
      <c r="G965" s="21"/>
      <c r="H965" s="22">
        <f t="shared" si="15"/>
        <v>4</v>
      </c>
    </row>
    <row r="966" spans="1:8" ht="15.75" customHeight="1">
      <c r="A966" s="24" t="s">
        <v>1220</v>
      </c>
      <c r="B966" s="24" t="s">
        <v>1221</v>
      </c>
      <c r="C966" s="24"/>
      <c r="D966" s="25">
        <v>40</v>
      </c>
      <c r="E966" s="25"/>
      <c r="F966" s="25">
        <v>50</v>
      </c>
      <c r="G966" s="25"/>
      <c r="H966" s="22">
        <f t="shared" si="15"/>
        <v>90</v>
      </c>
    </row>
    <row r="967" spans="1:8" ht="15.75" customHeight="1">
      <c r="A967" s="20" t="s">
        <v>2682</v>
      </c>
      <c r="B967" s="20" t="s">
        <v>588</v>
      </c>
      <c r="C967" s="27" t="s">
        <v>1154</v>
      </c>
      <c r="D967" s="21"/>
      <c r="E967" s="21">
        <v>20</v>
      </c>
      <c r="F967" s="21">
        <v>100</v>
      </c>
      <c r="G967" s="21"/>
      <c r="H967" s="22">
        <f t="shared" si="15"/>
        <v>120</v>
      </c>
    </row>
    <row r="968" spans="1:8" ht="15.75" customHeight="1">
      <c r="A968" s="24" t="s">
        <v>1222</v>
      </c>
      <c r="B968" s="24" t="s">
        <v>711</v>
      </c>
      <c r="C968" s="26" t="s">
        <v>1154</v>
      </c>
      <c r="D968" s="25">
        <v>30</v>
      </c>
      <c r="E968" s="25">
        <v>19</v>
      </c>
      <c r="F968" s="25">
        <v>30</v>
      </c>
      <c r="G968" s="25"/>
      <c r="H968" s="22">
        <f t="shared" si="15"/>
        <v>79</v>
      </c>
    </row>
    <row r="969" spans="1:8" ht="15.75" customHeight="1">
      <c r="A969" s="20" t="s">
        <v>2683</v>
      </c>
      <c r="B969" s="20" t="s">
        <v>2670</v>
      </c>
      <c r="C969" s="27" t="s">
        <v>431</v>
      </c>
      <c r="D969" s="21"/>
      <c r="E969" s="21">
        <v>2</v>
      </c>
      <c r="F969" s="21"/>
      <c r="G969" s="21"/>
      <c r="H969" s="22">
        <f t="shared" si="15"/>
        <v>2</v>
      </c>
    </row>
    <row r="970" spans="1:8" ht="15.75" customHeight="1">
      <c r="A970" s="24" t="s">
        <v>2684</v>
      </c>
      <c r="B970" s="24" t="s">
        <v>620</v>
      </c>
      <c r="C970" s="26" t="s">
        <v>1154</v>
      </c>
      <c r="D970" s="25"/>
      <c r="E970" s="25">
        <v>15</v>
      </c>
      <c r="F970" s="25"/>
      <c r="G970" s="25"/>
      <c r="H970" s="22">
        <f t="shared" si="15"/>
        <v>15</v>
      </c>
    </row>
    <row r="971" spans="1:8" ht="15.75" customHeight="1">
      <c r="A971" s="20" t="s">
        <v>2685</v>
      </c>
      <c r="B971" s="20" t="s">
        <v>2686</v>
      </c>
      <c r="C971" s="27" t="s">
        <v>1154</v>
      </c>
      <c r="D971" s="21"/>
      <c r="E971" s="21">
        <v>4</v>
      </c>
      <c r="F971" s="21"/>
      <c r="G971" s="21"/>
      <c r="H971" s="22">
        <f t="shared" si="15"/>
        <v>4</v>
      </c>
    </row>
    <row r="972" spans="1:8" ht="15.75" customHeight="1">
      <c r="A972" s="24" t="s">
        <v>1223</v>
      </c>
      <c r="B972" s="24" t="s">
        <v>1224</v>
      </c>
      <c r="C972" s="26" t="s">
        <v>1154</v>
      </c>
      <c r="D972" s="25">
        <v>1</v>
      </c>
      <c r="E972" s="25"/>
      <c r="F972" s="25"/>
      <c r="G972" s="25"/>
      <c r="H972" s="22">
        <f t="shared" si="15"/>
        <v>1</v>
      </c>
    </row>
    <row r="973" spans="1:8" ht="15.75" customHeight="1">
      <c r="A973" s="20" t="s">
        <v>1225</v>
      </c>
      <c r="B973" s="20" t="s">
        <v>591</v>
      </c>
      <c r="C973" s="27" t="s">
        <v>1226</v>
      </c>
      <c r="D973" s="21">
        <v>80</v>
      </c>
      <c r="E973" s="21">
        <v>5</v>
      </c>
      <c r="F973" s="21"/>
      <c r="G973" s="21"/>
      <c r="H973" s="22">
        <f t="shared" si="15"/>
        <v>85</v>
      </c>
    </row>
    <row r="974" spans="1:8" ht="15.75" customHeight="1">
      <c r="A974" s="24" t="s">
        <v>1227</v>
      </c>
      <c r="B974" s="24" t="s">
        <v>1228</v>
      </c>
      <c r="C974" s="24"/>
      <c r="D974" s="25">
        <v>6</v>
      </c>
      <c r="E974" s="25"/>
      <c r="F974" s="25"/>
      <c r="G974" s="25"/>
      <c r="H974" s="22">
        <f t="shared" si="15"/>
        <v>6</v>
      </c>
    </row>
    <row r="975" spans="1:8" ht="15.75" customHeight="1">
      <c r="A975" s="20" t="s">
        <v>2687</v>
      </c>
      <c r="B975" s="20" t="s">
        <v>937</v>
      </c>
      <c r="C975" s="27" t="s">
        <v>2688</v>
      </c>
      <c r="D975" s="21"/>
      <c r="E975" s="21">
        <v>20</v>
      </c>
      <c r="F975" s="21"/>
      <c r="G975" s="21"/>
      <c r="H975" s="22">
        <f t="shared" si="15"/>
        <v>20</v>
      </c>
    </row>
    <row r="976" spans="1:8" ht="15.75" customHeight="1">
      <c r="A976" s="24" t="s">
        <v>3227</v>
      </c>
      <c r="B976" s="24" t="s">
        <v>3228</v>
      </c>
      <c r="C976" s="24" t="s">
        <v>3229</v>
      </c>
      <c r="D976" s="25"/>
      <c r="E976" s="25"/>
      <c r="F976" s="25">
        <v>4</v>
      </c>
      <c r="G976" s="25"/>
      <c r="H976" s="22">
        <f t="shared" si="15"/>
        <v>4</v>
      </c>
    </row>
    <row r="977" spans="1:8" ht="15.75" customHeight="1">
      <c r="A977" s="20" t="s">
        <v>1229</v>
      </c>
      <c r="B977" s="20" t="s">
        <v>1230</v>
      </c>
      <c r="C977" s="20"/>
      <c r="D977" s="21">
        <v>10</v>
      </c>
      <c r="E977" s="21"/>
      <c r="F977" s="21"/>
      <c r="G977" s="21"/>
      <c r="H977" s="22">
        <f t="shared" si="15"/>
        <v>10</v>
      </c>
    </row>
    <row r="978" spans="1:8" ht="15.75" customHeight="1">
      <c r="A978" s="24" t="s">
        <v>2689</v>
      </c>
      <c r="B978" s="24" t="s">
        <v>2690</v>
      </c>
      <c r="C978" s="24"/>
      <c r="D978" s="25"/>
      <c r="E978" s="25">
        <v>1</v>
      </c>
      <c r="F978" s="25"/>
      <c r="G978" s="25"/>
      <c r="H978" s="22">
        <f t="shared" si="15"/>
        <v>1</v>
      </c>
    </row>
    <row r="979" spans="1:8" ht="15.75" customHeight="1">
      <c r="A979" s="20" t="s">
        <v>1231</v>
      </c>
      <c r="B979" s="20" t="s">
        <v>768</v>
      </c>
      <c r="C979" s="27" t="s">
        <v>1226</v>
      </c>
      <c r="D979" s="21">
        <v>2</v>
      </c>
      <c r="E979" s="21"/>
      <c r="F979" s="21"/>
      <c r="G979" s="21"/>
      <c r="H979" s="22">
        <f t="shared" si="15"/>
        <v>2</v>
      </c>
    </row>
    <row r="980" spans="1:8" ht="15.75" customHeight="1">
      <c r="A980" s="24" t="s">
        <v>1232</v>
      </c>
      <c r="B980" s="24" t="s">
        <v>1233</v>
      </c>
      <c r="C980" s="26" t="s">
        <v>1154</v>
      </c>
      <c r="D980" s="25">
        <v>1</v>
      </c>
      <c r="E980" s="25"/>
      <c r="F980" s="25"/>
      <c r="G980" s="25"/>
      <c r="H980" s="22">
        <f t="shared" si="15"/>
        <v>1</v>
      </c>
    </row>
    <row r="981" spans="1:8" ht="15.75" customHeight="1">
      <c r="A981" s="20" t="s">
        <v>1234</v>
      </c>
      <c r="B981" s="20" t="s">
        <v>1235</v>
      </c>
      <c r="C981" s="27" t="s">
        <v>1154</v>
      </c>
      <c r="D981" s="21">
        <v>1</v>
      </c>
      <c r="E981" s="21"/>
      <c r="F981" s="21"/>
      <c r="G981" s="21"/>
      <c r="H981" s="22">
        <f t="shared" si="15"/>
        <v>1</v>
      </c>
    </row>
    <row r="982" spans="1:8" ht="15.75" customHeight="1">
      <c r="A982" s="24" t="s">
        <v>1236</v>
      </c>
      <c r="B982" s="24" t="s">
        <v>1237</v>
      </c>
      <c r="C982" s="26" t="s">
        <v>1154</v>
      </c>
      <c r="D982" s="25">
        <v>2</v>
      </c>
      <c r="E982" s="25"/>
      <c r="F982" s="25"/>
      <c r="G982" s="25"/>
      <c r="H982" s="22">
        <f t="shared" si="15"/>
        <v>2</v>
      </c>
    </row>
    <row r="983" spans="1:8" ht="15.75" customHeight="1">
      <c r="A983" s="20" t="s">
        <v>1238</v>
      </c>
      <c r="B983" s="20" t="s">
        <v>1239</v>
      </c>
      <c r="C983" s="27" t="s">
        <v>1154</v>
      </c>
      <c r="D983" s="21">
        <v>1</v>
      </c>
      <c r="E983" s="21"/>
      <c r="F983" s="21"/>
      <c r="G983" s="21"/>
      <c r="H983" s="22">
        <f t="shared" si="15"/>
        <v>1</v>
      </c>
    </row>
    <row r="984" spans="1:8" ht="15.75" customHeight="1">
      <c r="A984" s="24" t="s">
        <v>1240</v>
      </c>
      <c r="B984" s="24" t="s">
        <v>1241</v>
      </c>
      <c r="C984" s="24"/>
      <c r="D984" s="25">
        <v>1</v>
      </c>
      <c r="E984" s="25"/>
      <c r="F984" s="25"/>
      <c r="G984" s="25"/>
      <c r="H984" s="22">
        <f t="shared" si="15"/>
        <v>1</v>
      </c>
    </row>
    <row r="985" spans="1:8" ht="15.75" customHeight="1">
      <c r="A985" s="20" t="s">
        <v>1242</v>
      </c>
      <c r="B985" s="20" t="s">
        <v>1243</v>
      </c>
      <c r="C985" s="20"/>
      <c r="D985" s="21">
        <v>1</v>
      </c>
      <c r="E985" s="21"/>
      <c r="F985" s="21"/>
      <c r="G985" s="21"/>
      <c r="H985" s="22">
        <f t="shared" si="15"/>
        <v>1</v>
      </c>
    </row>
    <row r="986" spans="1:8" ht="15.75" customHeight="1">
      <c r="A986" s="24" t="s">
        <v>1244</v>
      </c>
      <c r="B986" s="24" t="s">
        <v>1245</v>
      </c>
      <c r="C986" s="24" t="s">
        <v>1246</v>
      </c>
      <c r="D986" s="25">
        <v>20</v>
      </c>
      <c r="E986" s="25"/>
      <c r="F986" s="25"/>
      <c r="G986" s="25"/>
      <c r="H986" s="22">
        <f t="shared" si="15"/>
        <v>20</v>
      </c>
    </row>
    <row r="987" spans="1:8" ht="15.75" customHeight="1">
      <c r="A987" s="20" t="s">
        <v>1247</v>
      </c>
      <c r="B987" s="20" t="s">
        <v>591</v>
      </c>
      <c r="C987" s="20" t="s">
        <v>1248</v>
      </c>
      <c r="D987" s="21">
        <v>20</v>
      </c>
      <c r="E987" s="21"/>
      <c r="F987" s="21"/>
      <c r="G987" s="21"/>
      <c r="H987" s="22">
        <f t="shared" si="15"/>
        <v>20</v>
      </c>
    </row>
    <row r="988" spans="1:8" ht="15.75" customHeight="1">
      <c r="A988" s="24" t="s">
        <v>1249</v>
      </c>
      <c r="B988" s="24" t="s">
        <v>597</v>
      </c>
      <c r="C988" s="24" t="s">
        <v>1250</v>
      </c>
      <c r="D988" s="25">
        <v>20</v>
      </c>
      <c r="E988" s="25"/>
      <c r="F988" s="25"/>
      <c r="G988" s="25"/>
      <c r="H988" s="22">
        <f t="shared" si="15"/>
        <v>20</v>
      </c>
    </row>
    <row r="989" spans="1:8" ht="15.75" customHeight="1">
      <c r="A989" s="20" t="s">
        <v>1251</v>
      </c>
      <c r="B989" s="20" t="s">
        <v>1252</v>
      </c>
      <c r="C989" s="20"/>
      <c r="D989" s="21">
        <v>5</v>
      </c>
      <c r="E989" s="21"/>
      <c r="F989" s="21"/>
      <c r="G989" s="21"/>
      <c r="H989" s="22">
        <f t="shared" si="15"/>
        <v>5</v>
      </c>
    </row>
    <row r="990" spans="1:8" ht="15.75" customHeight="1">
      <c r="A990" s="24" t="s">
        <v>1253</v>
      </c>
      <c r="B990" s="24" t="s">
        <v>354</v>
      </c>
      <c r="C990" s="26" t="s">
        <v>431</v>
      </c>
      <c r="D990" s="25">
        <v>20</v>
      </c>
      <c r="E990" s="25"/>
      <c r="F990" s="25"/>
      <c r="G990" s="25"/>
      <c r="H990" s="22">
        <f t="shared" si="15"/>
        <v>20</v>
      </c>
    </row>
    <row r="991" spans="1:8" ht="15.75" customHeight="1">
      <c r="A991" s="20" t="s">
        <v>1254</v>
      </c>
      <c r="B991" s="20" t="s">
        <v>1255</v>
      </c>
      <c r="C991" s="20" t="s">
        <v>1256</v>
      </c>
      <c r="D991" s="21">
        <v>3</v>
      </c>
      <c r="E991" s="21"/>
      <c r="F991" s="21"/>
      <c r="G991" s="21"/>
      <c r="H991" s="22">
        <f t="shared" si="15"/>
        <v>3</v>
      </c>
    </row>
    <row r="992" spans="1:8" ht="15.75" customHeight="1">
      <c r="A992" s="24" t="s">
        <v>1257</v>
      </c>
      <c r="B992" s="24" t="s">
        <v>1258</v>
      </c>
      <c r="C992" s="24"/>
      <c r="D992" s="25">
        <v>4</v>
      </c>
      <c r="E992" s="25"/>
      <c r="F992" s="25"/>
      <c r="G992" s="25"/>
      <c r="H992" s="22">
        <f t="shared" si="15"/>
        <v>4</v>
      </c>
    </row>
    <row r="993" spans="1:8" ht="15.75" customHeight="1">
      <c r="A993" s="20" t="s">
        <v>1259</v>
      </c>
      <c r="B993" s="20" t="s">
        <v>1260</v>
      </c>
      <c r="C993" s="27" t="s">
        <v>1154</v>
      </c>
      <c r="D993" s="21">
        <v>4</v>
      </c>
      <c r="E993" s="21"/>
      <c r="F993" s="21"/>
      <c r="G993" s="21"/>
      <c r="H993" s="22">
        <f t="shared" si="15"/>
        <v>4</v>
      </c>
    </row>
    <row r="994" spans="1:8" ht="15.75" customHeight="1">
      <c r="A994" s="24" t="s">
        <v>1261</v>
      </c>
      <c r="B994" s="24" t="s">
        <v>558</v>
      </c>
      <c r="C994" s="24" t="s">
        <v>1262</v>
      </c>
      <c r="D994" s="25">
        <v>94</v>
      </c>
      <c r="E994" s="25">
        <v>12</v>
      </c>
      <c r="F994" s="25"/>
      <c r="G994" s="25"/>
      <c r="H994" s="22">
        <f t="shared" si="15"/>
        <v>106</v>
      </c>
    </row>
    <row r="995" spans="1:8" ht="15.75" customHeight="1">
      <c r="A995" s="20" t="s">
        <v>2691</v>
      </c>
      <c r="B995" s="20" t="s">
        <v>620</v>
      </c>
      <c r="C995" s="20" t="s">
        <v>2692</v>
      </c>
      <c r="D995" s="21"/>
      <c r="E995" s="21">
        <v>9</v>
      </c>
      <c r="F995" s="21"/>
      <c r="G995" s="21"/>
      <c r="H995" s="22">
        <f t="shared" si="15"/>
        <v>9</v>
      </c>
    </row>
    <row r="996" spans="1:8" ht="15.75" customHeight="1">
      <c r="A996" s="24" t="s">
        <v>1263</v>
      </c>
      <c r="B996" s="24" t="s">
        <v>928</v>
      </c>
      <c r="C996" s="26" t="s">
        <v>1264</v>
      </c>
      <c r="D996" s="25">
        <v>30</v>
      </c>
      <c r="E996" s="25"/>
      <c r="F996" s="25"/>
      <c r="G996" s="25"/>
      <c r="H996" s="22">
        <f t="shared" si="15"/>
        <v>30</v>
      </c>
    </row>
    <row r="997" spans="1:8" ht="15.75" customHeight="1">
      <c r="A997" s="20" t="s">
        <v>1265</v>
      </c>
      <c r="B997" s="20" t="s">
        <v>937</v>
      </c>
      <c r="C997" s="27" t="s">
        <v>1264</v>
      </c>
      <c r="D997" s="21">
        <v>40</v>
      </c>
      <c r="E997" s="21"/>
      <c r="F997" s="21"/>
      <c r="G997" s="21"/>
      <c r="H997" s="22">
        <f t="shared" si="15"/>
        <v>40</v>
      </c>
    </row>
    <row r="998" spans="1:8" ht="15.75" customHeight="1">
      <c r="A998" s="24" t="s">
        <v>1266</v>
      </c>
      <c r="B998" s="24" t="s">
        <v>1267</v>
      </c>
      <c r="C998" s="24"/>
      <c r="D998" s="25">
        <v>5</v>
      </c>
      <c r="E998" s="25"/>
      <c r="F998" s="25">
        <v>20</v>
      </c>
      <c r="G998" s="25"/>
      <c r="H998" s="22">
        <f t="shared" si="15"/>
        <v>25</v>
      </c>
    </row>
    <row r="999" spans="1:8" ht="15.75" customHeight="1">
      <c r="A999" s="20" t="s">
        <v>1268</v>
      </c>
      <c r="B999" s="20" t="s">
        <v>588</v>
      </c>
      <c r="C999" s="27" t="s">
        <v>1226</v>
      </c>
      <c r="D999" s="21">
        <v>150</v>
      </c>
      <c r="E999" s="21"/>
      <c r="F999" s="21"/>
      <c r="G999" s="21"/>
      <c r="H999" s="22">
        <f t="shared" si="15"/>
        <v>150</v>
      </c>
    </row>
    <row r="1000" spans="1:8" ht="15.75" customHeight="1">
      <c r="A1000" s="24" t="s">
        <v>1269</v>
      </c>
      <c r="B1000" s="24" t="s">
        <v>1150</v>
      </c>
      <c r="C1000" s="24" t="s">
        <v>1270</v>
      </c>
      <c r="D1000" s="25">
        <v>44</v>
      </c>
      <c r="E1000" s="25"/>
      <c r="F1000" s="25"/>
      <c r="G1000" s="25"/>
      <c r="H1000" s="22">
        <f t="shared" si="15"/>
        <v>44</v>
      </c>
    </row>
    <row r="1001" spans="1:8" ht="15.75" customHeight="1">
      <c r="A1001" s="20" t="s">
        <v>1271</v>
      </c>
      <c r="B1001" s="20" t="s">
        <v>1033</v>
      </c>
      <c r="C1001" s="20" t="s">
        <v>1270</v>
      </c>
      <c r="D1001" s="21">
        <v>54</v>
      </c>
      <c r="E1001" s="21"/>
      <c r="F1001" s="21"/>
      <c r="G1001" s="21"/>
      <c r="H1001" s="22">
        <f t="shared" si="15"/>
        <v>54</v>
      </c>
    </row>
    <row r="1002" spans="1:8" ht="15.75" customHeight="1">
      <c r="A1002" s="24" t="s">
        <v>1272</v>
      </c>
      <c r="B1002" s="24" t="s">
        <v>1273</v>
      </c>
      <c r="C1002" s="24" t="s">
        <v>1270</v>
      </c>
      <c r="D1002" s="25">
        <v>1</v>
      </c>
      <c r="E1002" s="25"/>
      <c r="F1002" s="25"/>
      <c r="G1002" s="25"/>
      <c r="H1002" s="22">
        <f t="shared" si="15"/>
        <v>1</v>
      </c>
    </row>
    <row r="1003" spans="1:8" ht="15.75" customHeight="1">
      <c r="A1003" s="20" t="s">
        <v>1274</v>
      </c>
      <c r="B1003" s="20" t="s">
        <v>950</v>
      </c>
      <c r="C1003" s="20" t="s">
        <v>1275</v>
      </c>
      <c r="D1003" s="21">
        <v>10</v>
      </c>
      <c r="E1003" s="21"/>
      <c r="F1003" s="21"/>
      <c r="G1003" s="21"/>
      <c r="H1003" s="22">
        <f t="shared" si="15"/>
        <v>10</v>
      </c>
    </row>
    <row r="1004" spans="1:8" ht="15.75" customHeight="1">
      <c r="A1004" s="24" t="s">
        <v>1276</v>
      </c>
      <c r="B1004" s="24" t="s">
        <v>1277</v>
      </c>
      <c r="C1004" s="24" t="s">
        <v>1275</v>
      </c>
      <c r="D1004" s="25">
        <v>23</v>
      </c>
      <c r="E1004" s="25"/>
      <c r="F1004" s="25"/>
      <c r="G1004" s="25"/>
      <c r="H1004" s="22">
        <f t="shared" si="15"/>
        <v>23</v>
      </c>
    </row>
    <row r="1005" spans="1:8" ht="15.75" customHeight="1">
      <c r="A1005" s="20" t="s">
        <v>1278</v>
      </c>
      <c r="B1005" s="20" t="s">
        <v>957</v>
      </c>
      <c r="C1005" s="20" t="s">
        <v>946</v>
      </c>
      <c r="D1005" s="21">
        <v>8</v>
      </c>
      <c r="E1005" s="21"/>
      <c r="F1005" s="21"/>
      <c r="G1005" s="21"/>
      <c r="H1005" s="22">
        <f t="shared" si="15"/>
        <v>8</v>
      </c>
    </row>
    <row r="1006" spans="1:8" ht="15.75" customHeight="1">
      <c r="A1006" s="24" t="s">
        <v>1279</v>
      </c>
      <c r="B1006" s="24" t="s">
        <v>959</v>
      </c>
      <c r="C1006" s="24" t="s">
        <v>1270</v>
      </c>
      <c r="D1006" s="25">
        <v>55</v>
      </c>
      <c r="E1006" s="25">
        <v>400</v>
      </c>
      <c r="F1006" s="25"/>
      <c r="G1006" s="25"/>
      <c r="H1006" s="22">
        <f t="shared" si="15"/>
        <v>455</v>
      </c>
    </row>
    <row r="1007" spans="1:8" ht="15.75" customHeight="1">
      <c r="A1007" s="20" t="s">
        <v>1280</v>
      </c>
      <c r="B1007" s="20" t="s">
        <v>931</v>
      </c>
      <c r="C1007" s="20" t="s">
        <v>1270</v>
      </c>
      <c r="D1007" s="21">
        <v>33</v>
      </c>
      <c r="E1007" s="21"/>
      <c r="F1007" s="21"/>
      <c r="G1007" s="21"/>
      <c r="H1007" s="22">
        <f t="shared" si="15"/>
        <v>33</v>
      </c>
    </row>
    <row r="1008" spans="1:8" ht="15.75" customHeight="1">
      <c r="A1008" s="24" t="s">
        <v>1281</v>
      </c>
      <c r="B1008" s="24" t="s">
        <v>1282</v>
      </c>
      <c r="C1008" s="24" t="s">
        <v>1270</v>
      </c>
      <c r="D1008" s="25">
        <v>15</v>
      </c>
      <c r="E1008" s="25"/>
      <c r="F1008" s="25"/>
      <c r="G1008" s="25"/>
      <c r="H1008" s="22">
        <f t="shared" si="15"/>
        <v>15</v>
      </c>
    </row>
    <row r="1009" spans="1:8" ht="15.75" customHeight="1">
      <c r="A1009" s="20" t="s">
        <v>1283</v>
      </c>
      <c r="B1009" s="20" t="s">
        <v>1284</v>
      </c>
      <c r="C1009" s="20"/>
      <c r="D1009" s="21">
        <v>20</v>
      </c>
      <c r="E1009" s="21"/>
      <c r="F1009" s="21"/>
      <c r="G1009" s="21"/>
      <c r="H1009" s="22">
        <f t="shared" si="15"/>
        <v>20</v>
      </c>
    </row>
    <row r="1010" spans="1:8" ht="15.75" customHeight="1">
      <c r="A1010" s="24" t="s">
        <v>1285</v>
      </c>
      <c r="B1010" s="24" t="s">
        <v>796</v>
      </c>
      <c r="C1010" s="26" t="s">
        <v>1226</v>
      </c>
      <c r="D1010" s="25">
        <v>50</v>
      </c>
      <c r="E1010" s="25"/>
      <c r="F1010" s="25"/>
      <c r="G1010" s="25"/>
      <c r="H1010" s="22">
        <f t="shared" si="15"/>
        <v>50</v>
      </c>
    </row>
    <row r="1011" spans="1:8" ht="15.75" customHeight="1">
      <c r="A1011" s="20" t="s">
        <v>1286</v>
      </c>
      <c r="B1011" s="20" t="s">
        <v>1287</v>
      </c>
      <c r="C1011" s="27" t="s">
        <v>1226</v>
      </c>
      <c r="D1011" s="21">
        <v>50</v>
      </c>
      <c r="E1011" s="21"/>
      <c r="F1011" s="21"/>
      <c r="G1011" s="21"/>
      <c r="H1011" s="22">
        <f t="shared" si="15"/>
        <v>50</v>
      </c>
    </row>
    <row r="1012" spans="1:8" ht="15.75" customHeight="1">
      <c r="A1012" s="24" t="s">
        <v>1288</v>
      </c>
      <c r="B1012" s="24" t="s">
        <v>1289</v>
      </c>
      <c r="C1012" s="24"/>
      <c r="D1012" s="25">
        <v>4</v>
      </c>
      <c r="E1012" s="25"/>
      <c r="F1012" s="25"/>
      <c r="G1012" s="25"/>
      <c r="H1012" s="22">
        <f t="shared" si="15"/>
        <v>4</v>
      </c>
    </row>
    <row r="1013" spans="1:8" ht="15.75" customHeight="1">
      <c r="A1013" s="20" t="s">
        <v>1290</v>
      </c>
      <c r="B1013" s="20" t="s">
        <v>1291</v>
      </c>
      <c r="C1013" s="20" t="s">
        <v>1292</v>
      </c>
      <c r="D1013" s="21">
        <v>17</v>
      </c>
      <c r="E1013" s="21"/>
      <c r="F1013" s="21"/>
      <c r="G1013" s="21"/>
      <c r="H1013" s="22">
        <f t="shared" si="15"/>
        <v>17</v>
      </c>
    </row>
    <row r="1014" spans="1:8" ht="15.75" customHeight="1">
      <c r="A1014" s="24" t="s">
        <v>1293</v>
      </c>
      <c r="B1014" s="24" t="s">
        <v>1294</v>
      </c>
      <c r="C1014" s="24" t="s">
        <v>1292</v>
      </c>
      <c r="D1014" s="25">
        <v>6</v>
      </c>
      <c r="E1014" s="25"/>
      <c r="F1014" s="25"/>
      <c r="G1014" s="25"/>
      <c r="H1014" s="22">
        <f t="shared" si="15"/>
        <v>6</v>
      </c>
    </row>
    <row r="1015" spans="1:8" ht="15.75" customHeight="1">
      <c r="A1015" s="20" t="s">
        <v>1295</v>
      </c>
      <c r="B1015" s="20" t="s">
        <v>1296</v>
      </c>
      <c r="C1015" s="20" t="s">
        <v>1292</v>
      </c>
      <c r="D1015" s="21">
        <v>11</v>
      </c>
      <c r="E1015" s="21"/>
      <c r="F1015" s="21"/>
      <c r="G1015" s="21"/>
      <c r="H1015" s="22">
        <f t="shared" si="15"/>
        <v>11</v>
      </c>
    </row>
    <row r="1016" spans="1:8" ht="15.75" customHeight="1">
      <c r="A1016" s="24" t="s">
        <v>1297</v>
      </c>
      <c r="B1016" s="24" t="s">
        <v>1298</v>
      </c>
      <c r="C1016" s="24" t="s">
        <v>1292</v>
      </c>
      <c r="D1016" s="25">
        <v>10</v>
      </c>
      <c r="E1016" s="25"/>
      <c r="F1016" s="25"/>
      <c r="G1016" s="25"/>
      <c r="H1016" s="22">
        <f t="shared" si="15"/>
        <v>10</v>
      </c>
    </row>
    <row r="1017" spans="1:8" ht="15.75" customHeight="1">
      <c r="A1017" s="20" t="s">
        <v>1299</v>
      </c>
      <c r="B1017" s="20" t="s">
        <v>1273</v>
      </c>
      <c r="C1017" s="20" t="s">
        <v>1292</v>
      </c>
      <c r="D1017" s="21">
        <v>13</v>
      </c>
      <c r="E1017" s="21"/>
      <c r="F1017" s="21"/>
      <c r="G1017" s="21"/>
      <c r="H1017" s="22">
        <f t="shared" si="15"/>
        <v>13</v>
      </c>
    </row>
    <row r="1018" spans="1:8" ht="15.75" customHeight="1">
      <c r="A1018" s="24" t="s">
        <v>1300</v>
      </c>
      <c r="B1018" s="24" t="s">
        <v>1301</v>
      </c>
      <c r="C1018" s="24" t="s">
        <v>1302</v>
      </c>
      <c r="D1018" s="25">
        <v>13</v>
      </c>
      <c r="E1018" s="25"/>
      <c r="F1018" s="25"/>
      <c r="G1018" s="25"/>
      <c r="H1018" s="22">
        <f t="shared" si="15"/>
        <v>13</v>
      </c>
    </row>
    <row r="1019" spans="1:8" ht="15.75" customHeight="1">
      <c r="A1019" s="20" t="s">
        <v>1303</v>
      </c>
      <c r="B1019" s="20" t="s">
        <v>1304</v>
      </c>
      <c r="C1019" s="20" t="s">
        <v>1302</v>
      </c>
      <c r="D1019" s="21">
        <v>6</v>
      </c>
      <c r="E1019" s="21"/>
      <c r="F1019" s="21"/>
      <c r="G1019" s="21"/>
      <c r="H1019" s="22">
        <f t="shared" si="15"/>
        <v>6</v>
      </c>
    </row>
    <row r="1020" spans="1:8" ht="15.75" customHeight="1">
      <c r="A1020" s="24" t="s">
        <v>1305</v>
      </c>
      <c r="B1020" s="24" t="s">
        <v>1306</v>
      </c>
      <c r="C1020" s="24" t="s">
        <v>1302</v>
      </c>
      <c r="D1020" s="25">
        <v>6</v>
      </c>
      <c r="E1020" s="25"/>
      <c r="F1020" s="25"/>
      <c r="G1020" s="25"/>
      <c r="H1020" s="22">
        <f t="shared" si="15"/>
        <v>6</v>
      </c>
    </row>
    <row r="1021" spans="1:8" ht="15.75" customHeight="1">
      <c r="A1021" s="20" t="s">
        <v>1307</v>
      </c>
      <c r="B1021" s="20" t="s">
        <v>1308</v>
      </c>
      <c r="C1021" s="20" t="s">
        <v>1302</v>
      </c>
      <c r="D1021" s="21">
        <v>5</v>
      </c>
      <c r="E1021" s="21"/>
      <c r="F1021" s="21"/>
      <c r="G1021" s="21"/>
      <c r="H1021" s="22">
        <f t="shared" si="15"/>
        <v>5</v>
      </c>
    </row>
    <row r="1022" spans="1:8" ht="15.75" customHeight="1">
      <c r="A1022" s="24" t="s">
        <v>1309</v>
      </c>
      <c r="B1022" s="24" t="s">
        <v>1310</v>
      </c>
      <c r="C1022" s="24" t="s">
        <v>1311</v>
      </c>
      <c r="D1022" s="25">
        <v>20</v>
      </c>
      <c r="E1022" s="25"/>
      <c r="F1022" s="25"/>
      <c r="G1022" s="25"/>
      <c r="H1022" s="22">
        <f t="shared" si="15"/>
        <v>20</v>
      </c>
    </row>
    <row r="1023" spans="1:8" ht="15.75" customHeight="1">
      <c r="A1023" s="20" t="s">
        <v>1312</v>
      </c>
      <c r="B1023" s="20" t="s">
        <v>1245</v>
      </c>
      <c r="C1023" s="20" t="s">
        <v>1313</v>
      </c>
      <c r="D1023" s="21">
        <v>19</v>
      </c>
      <c r="E1023" s="21"/>
      <c r="F1023" s="21"/>
      <c r="G1023" s="21"/>
      <c r="H1023" s="22">
        <f t="shared" si="15"/>
        <v>19</v>
      </c>
    </row>
    <row r="1024" spans="1:8" ht="15.75" customHeight="1">
      <c r="A1024" s="24" t="s">
        <v>1314</v>
      </c>
      <c r="B1024" s="24" t="s">
        <v>1301</v>
      </c>
      <c r="C1024" s="24" t="s">
        <v>1313</v>
      </c>
      <c r="D1024" s="25">
        <v>8</v>
      </c>
      <c r="E1024" s="25"/>
      <c r="F1024" s="25"/>
      <c r="G1024" s="25"/>
      <c r="H1024" s="22">
        <f t="shared" si="15"/>
        <v>8</v>
      </c>
    </row>
    <row r="1025" spans="1:8" ht="15.75" customHeight="1">
      <c r="A1025" s="20" t="s">
        <v>1315</v>
      </c>
      <c r="B1025" s="20" t="s">
        <v>1304</v>
      </c>
      <c r="C1025" s="20" t="s">
        <v>1313</v>
      </c>
      <c r="D1025" s="21">
        <v>21</v>
      </c>
      <c r="E1025" s="21"/>
      <c r="F1025" s="21"/>
      <c r="G1025" s="21"/>
      <c r="H1025" s="22">
        <f t="shared" si="15"/>
        <v>21</v>
      </c>
    </row>
    <row r="1026" spans="1:8" ht="15.75" customHeight="1">
      <c r="A1026" s="24" t="s">
        <v>1316</v>
      </c>
      <c r="B1026" s="24" t="s">
        <v>950</v>
      </c>
      <c r="C1026" s="24" t="s">
        <v>1313</v>
      </c>
      <c r="D1026" s="25">
        <v>32</v>
      </c>
      <c r="E1026" s="25"/>
      <c r="F1026" s="25"/>
      <c r="G1026" s="25"/>
      <c r="H1026" s="22">
        <f t="shared" si="15"/>
        <v>32</v>
      </c>
    </row>
    <row r="1027" spans="1:8" ht="15.75" customHeight="1">
      <c r="A1027" s="20" t="s">
        <v>1317</v>
      </c>
      <c r="B1027" s="20" t="s">
        <v>931</v>
      </c>
      <c r="C1027" s="20" t="s">
        <v>1318</v>
      </c>
      <c r="D1027" s="21">
        <v>10</v>
      </c>
      <c r="E1027" s="21"/>
      <c r="F1027" s="21"/>
      <c r="G1027" s="21"/>
      <c r="H1027" s="22">
        <f t="shared" si="15"/>
        <v>10</v>
      </c>
    </row>
    <row r="1028" spans="1:8" ht="15.75" customHeight="1">
      <c r="A1028" s="24" t="s">
        <v>1319</v>
      </c>
      <c r="B1028" s="24" t="s">
        <v>1291</v>
      </c>
      <c r="C1028" s="24" t="s">
        <v>1318</v>
      </c>
      <c r="D1028" s="25">
        <v>4</v>
      </c>
      <c r="E1028" s="25"/>
      <c r="F1028" s="25"/>
      <c r="G1028" s="25"/>
      <c r="H1028" s="22">
        <f t="shared" ref="H1028:H1091" si="16">SUM(D1028:G1028)</f>
        <v>4</v>
      </c>
    </row>
    <row r="1029" spans="1:8" ht="15.75" customHeight="1">
      <c r="A1029" s="20" t="s">
        <v>1320</v>
      </c>
      <c r="B1029" s="20" t="s">
        <v>1150</v>
      </c>
      <c r="C1029" s="20" t="s">
        <v>1318</v>
      </c>
      <c r="D1029" s="21">
        <v>5</v>
      </c>
      <c r="E1029" s="21"/>
      <c r="F1029" s="21"/>
      <c r="G1029" s="21"/>
      <c r="H1029" s="22">
        <f t="shared" si="16"/>
        <v>5</v>
      </c>
    </row>
    <row r="1030" spans="1:8" ht="15.75" customHeight="1">
      <c r="A1030" s="24" t="s">
        <v>1321</v>
      </c>
      <c r="B1030" s="24" t="s">
        <v>1322</v>
      </c>
      <c r="C1030" s="24" t="s">
        <v>1323</v>
      </c>
      <c r="D1030" s="25">
        <v>5</v>
      </c>
      <c r="E1030" s="25"/>
      <c r="F1030" s="25"/>
      <c r="G1030" s="25"/>
      <c r="H1030" s="22">
        <f t="shared" si="16"/>
        <v>5</v>
      </c>
    </row>
    <row r="1031" spans="1:8" ht="15.75" customHeight="1">
      <c r="A1031" s="20" t="s">
        <v>1324</v>
      </c>
      <c r="B1031" s="20" t="s">
        <v>1325</v>
      </c>
      <c r="C1031" s="20" t="s">
        <v>1323</v>
      </c>
      <c r="D1031" s="21">
        <v>4</v>
      </c>
      <c r="E1031" s="21"/>
      <c r="F1031" s="21"/>
      <c r="G1031" s="21"/>
      <c r="H1031" s="22">
        <f t="shared" si="16"/>
        <v>4</v>
      </c>
    </row>
    <row r="1032" spans="1:8" ht="15.75" customHeight="1">
      <c r="A1032" s="24" t="s">
        <v>1326</v>
      </c>
      <c r="B1032" s="24" t="s">
        <v>1327</v>
      </c>
      <c r="C1032" s="24" t="s">
        <v>1323</v>
      </c>
      <c r="D1032" s="25">
        <v>8</v>
      </c>
      <c r="E1032" s="25"/>
      <c r="F1032" s="25"/>
      <c r="G1032" s="25"/>
      <c r="H1032" s="22">
        <f t="shared" si="16"/>
        <v>8</v>
      </c>
    </row>
    <row r="1033" spans="1:8" ht="15.75" customHeight="1">
      <c r="A1033" s="20" t="s">
        <v>1328</v>
      </c>
      <c r="B1033" s="20" t="s">
        <v>1329</v>
      </c>
      <c r="C1033" s="20" t="s">
        <v>1323</v>
      </c>
      <c r="D1033" s="21">
        <v>2</v>
      </c>
      <c r="E1033" s="21"/>
      <c r="F1033" s="21"/>
      <c r="G1033" s="21"/>
      <c r="H1033" s="22">
        <f t="shared" si="16"/>
        <v>2</v>
      </c>
    </row>
    <row r="1034" spans="1:8" ht="15.75" customHeight="1">
      <c r="A1034" s="24" t="s">
        <v>1330</v>
      </c>
      <c r="B1034" s="24" t="s">
        <v>626</v>
      </c>
      <c r="C1034" s="26" t="s">
        <v>1104</v>
      </c>
      <c r="D1034" s="25">
        <v>100</v>
      </c>
      <c r="E1034" s="25"/>
      <c r="F1034" s="25"/>
      <c r="G1034" s="25"/>
      <c r="H1034" s="22">
        <f t="shared" si="16"/>
        <v>100</v>
      </c>
    </row>
    <row r="1035" spans="1:8" ht="15.75" customHeight="1">
      <c r="A1035" s="20" t="s">
        <v>1331</v>
      </c>
      <c r="B1035" s="20" t="s">
        <v>1332</v>
      </c>
      <c r="C1035" s="20" t="s">
        <v>1333</v>
      </c>
      <c r="D1035" s="21">
        <v>7</v>
      </c>
      <c r="E1035" s="21"/>
      <c r="F1035" s="21"/>
      <c r="G1035" s="21"/>
      <c r="H1035" s="22">
        <f t="shared" si="16"/>
        <v>7</v>
      </c>
    </row>
    <row r="1036" spans="1:8" ht="15.75" customHeight="1">
      <c r="A1036" s="24" t="s">
        <v>1334</v>
      </c>
      <c r="B1036" s="24" t="s">
        <v>1335</v>
      </c>
      <c r="C1036" s="24"/>
      <c r="D1036" s="25">
        <v>40</v>
      </c>
      <c r="E1036" s="25">
        <v>10</v>
      </c>
      <c r="F1036" s="25">
        <v>64</v>
      </c>
      <c r="G1036" s="25"/>
      <c r="H1036" s="22">
        <f t="shared" si="16"/>
        <v>114</v>
      </c>
    </row>
    <row r="1037" spans="1:8" ht="15.75" customHeight="1">
      <c r="A1037" s="20" t="s">
        <v>1336</v>
      </c>
      <c r="B1037" s="20" t="s">
        <v>1337</v>
      </c>
      <c r="C1037" s="20"/>
      <c r="D1037" s="21">
        <v>6</v>
      </c>
      <c r="E1037" s="21"/>
      <c r="F1037" s="21"/>
      <c r="G1037" s="21"/>
      <c r="H1037" s="22">
        <f t="shared" si="16"/>
        <v>6</v>
      </c>
    </row>
    <row r="1038" spans="1:8" ht="15.75" customHeight="1">
      <c r="A1038" s="24" t="s">
        <v>1338</v>
      </c>
      <c r="B1038" s="24" t="s">
        <v>811</v>
      </c>
      <c r="C1038" s="24" t="s">
        <v>1339</v>
      </c>
      <c r="D1038" s="25">
        <v>80</v>
      </c>
      <c r="E1038" s="25"/>
      <c r="F1038" s="25"/>
      <c r="G1038" s="25"/>
      <c r="H1038" s="22">
        <f t="shared" si="16"/>
        <v>80</v>
      </c>
    </row>
    <row r="1039" spans="1:8" ht="15.75" customHeight="1">
      <c r="A1039" s="20" t="s">
        <v>1340</v>
      </c>
      <c r="B1039" s="20" t="s">
        <v>913</v>
      </c>
      <c r="C1039" s="20" t="s">
        <v>1341</v>
      </c>
      <c r="D1039" s="21">
        <v>50</v>
      </c>
      <c r="E1039" s="21"/>
      <c r="F1039" s="21"/>
      <c r="G1039" s="21"/>
      <c r="H1039" s="22">
        <f t="shared" si="16"/>
        <v>50</v>
      </c>
    </row>
    <row r="1040" spans="1:8" ht="15.75" customHeight="1">
      <c r="A1040" s="24" t="s">
        <v>1342</v>
      </c>
      <c r="B1040" s="24" t="s">
        <v>1343</v>
      </c>
      <c r="C1040" s="24" t="s">
        <v>1344</v>
      </c>
      <c r="D1040" s="25">
        <v>10</v>
      </c>
      <c r="E1040" s="25">
        <v>10</v>
      </c>
      <c r="F1040" s="25"/>
      <c r="G1040" s="25"/>
      <c r="H1040" s="22">
        <f t="shared" si="16"/>
        <v>20</v>
      </c>
    </row>
    <row r="1041" spans="1:8" ht="15.75" customHeight="1">
      <c r="A1041" s="20" t="s">
        <v>1345</v>
      </c>
      <c r="B1041" s="20" t="s">
        <v>351</v>
      </c>
      <c r="C1041" s="20" t="s">
        <v>1346</v>
      </c>
      <c r="D1041" s="21">
        <v>8</v>
      </c>
      <c r="E1041" s="21"/>
      <c r="F1041" s="21"/>
      <c r="G1041" s="21"/>
      <c r="H1041" s="22">
        <f t="shared" si="16"/>
        <v>8</v>
      </c>
    </row>
    <row r="1042" spans="1:8" ht="15.75" customHeight="1">
      <c r="A1042" s="24" t="s">
        <v>1347</v>
      </c>
      <c r="B1042" s="24" t="s">
        <v>357</v>
      </c>
      <c r="C1042" s="24" t="s">
        <v>1348</v>
      </c>
      <c r="D1042" s="25">
        <v>8</v>
      </c>
      <c r="E1042" s="25"/>
      <c r="F1042" s="25"/>
      <c r="G1042" s="25"/>
      <c r="H1042" s="22">
        <f t="shared" si="16"/>
        <v>8</v>
      </c>
    </row>
    <row r="1043" spans="1:8" ht="15.75" customHeight="1">
      <c r="A1043" s="20" t="s">
        <v>2693</v>
      </c>
      <c r="B1043" s="20" t="s">
        <v>2694</v>
      </c>
      <c r="C1043" s="20"/>
      <c r="D1043" s="21"/>
      <c r="E1043" s="21">
        <v>74</v>
      </c>
      <c r="F1043" s="21"/>
      <c r="G1043" s="21"/>
      <c r="H1043" s="22">
        <f t="shared" si="16"/>
        <v>74</v>
      </c>
    </row>
    <row r="1044" spans="1:8" ht="15.75" customHeight="1">
      <c r="A1044" s="24" t="s">
        <v>2695</v>
      </c>
      <c r="B1044" s="24" t="s">
        <v>2696</v>
      </c>
      <c r="C1044" s="24"/>
      <c r="D1044" s="25"/>
      <c r="E1044" s="25">
        <v>37</v>
      </c>
      <c r="F1044" s="25"/>
      <c r="G1044" s="25"/>
      <c r="H1044" s="22">
        <f t="shared" si="16"/>
        <v>37</v>
      </c>
    </row>
    <row r="1045" spans="1:8" ht="15.75" customHeight="1">
      <c r="A1045" s="20" t="s">
        <v>2697</v>
      </c>
      <c r="B1045" s="20" t="s">
        <v>2698</v>
      </c>
      <c r="C1045" s="20"/>
      <c r="D1045" s="21"/>
      <c r="E1045" s="21">
        <v>12</v>
      </c>
      <c r="F1045" s="21"/>
      <c r="G1045" s="21"/>
      <c r="H1045" s="22">
        <f t="shared" si="16"/>
        <v>12</v>
      </c>
    </row>
    <row r="1046" spans="1:8" ht="15.75" customHeight="1">
      <c r="A1046" s="24" t="s">
        <v>2699</v>
      </c>
      <c r="B1046" s="24" t="s">
        <v>2700</v>
      </c>
      <c r="C1046" s="24"/>
      <c r="D1046" s="25"/>
      <c r="E1046" s="25">
        <v>67</v>
      </c>
      <c r="F1046" s="25"/>
      <c r="G1046" s="25"/>
      <c r="H1046" s="22">
        <f t="shared" si="16"/>
        <v>67</v>
      </c>
    </row>
    <row r="1047" spans="1:8" ht="15.75" customHeight="1">
      <c r="A1047" s="20" t="s">
        <v>2701</v>
      </c>
      <c r="B1047" s="20" t="s">
        <v>2702</v>
      </c>
      <c r="C1047" s="20"/>
      <c r="D1047" s="21"/>
      <c r="E1047" s="21">
        <v>5</v>
      </c>
      <c r="F1047" s="21"/>
      <c r="G1047" s="21"/>
      <c r="H1047" s="22">
        <f t="shared" si="16"/>
        <v>5</v>
      </c>
    </row>
    <row r="1048" spans="1:8" ht="15.75" customHeight="1">
      <c r="A1048" s="24" t="s">
        <v>2703</v>
      </c>
      <c r="B1048" s="24" t="s">
        <v>2704</v>
      </c>
      <c r="C1048" s="24"/>
      <c r="D1048" s="25"/>
      <c r="E1048" s="25">
        <v>1</v>
      </c>
      <c r="F1048" s="25"/>
      <c r="G1048" s="25"/>
      <c r="H1048" s="22">
        <f t="shared" si="16"/>
        <v>1</v>
      </c>
    </row>
    <row r="1049" spans="1:8" ht="15.75" customHeight="1">
      <c r="A1049" s="20" t="s">
        <v>2705</v>
      </c>
      <c r="B1049" s="20" t="s">
        <v>2706</v>
      </c>
      <c r="C1049" s="20"/>
      <c r="D1049" s="21"/>
      <c r="E1049" s="21">
        <v>188</v>
      </c>
      <c r="F1049" s="21"/>
      <c r="G1049" s="21"/>
      <c r="H1049" s="22">
        <f t="shared" si="16"/>
        <v>188</v>
      </c>
    </row>
    <row r="1050" spans="1:8" ht="15.75" customHeight="1">
      <c r="A1050" s="24" t="s">
        <v>2707</v>
      </c>
      <c r="B1050" s="24" t="s">
        <v>703</v>
      </c>
      <c r="C1050" s="26" t="s">
        <v>1154</v>
      </c>
      <c r="D1050" s="25"/>
      <c r="E1050" s="25">
        <v>11</v>
      </c>
      <c r="F1050" s="25"/>
      <c r="G1050" s="25"/>
      <c r="H1050" s="22">
        <f t="shared" si="16"/>
        <v>11</v>
      </c>
    </row>
    <row r="1051" spans="1:8" ht="15.75" customHeight="1">
      <c r="A1051" s="20" t="s">
        <v>2708</v>
      </c>
      <c r="B1051" s="20" t="s">
        <v>2709</v>
      </c>
      <c r="C1051" s="27" t="s">
        <v>1154</v>
      </c>
      <c r="D1051" s="21"/>
      <c r="E1051" s="21">
        <v>20</v>
      </c>
      <c r="F1051" s="21"/>
      <c r="G1051" s="21"/>
      <c r="H1051" s="22">
        <f t="shared" si="16"/>
        <v>20</v>
      </c>
    </row>
    <row r="1052" spans="1:8" ht="15.75" customHeight="1">
      <c r="A1052" s="24" t="s">
        <v>2710</v>
      </c>
      <c r="B1052" s="24" t="s">
        <v>2711</v>
      </c>
      <c r="C1052" s="24"/>
      <c r="D1052" s="25"/>
      <c r="E1052" s="25">
        <v>55</v>
      </c>
      <c r="F1052" s="25">
        <v>5</v>
      </c>
      <c r="G1052" s="25">
        <v>10</v>
      </c>
      <c r="H1052" s="22">
        <f t="shared" si="16"/>
        <v>70</v>
      </c>
    </row>
    <row r="1053" spans="1:8" ht="15.75" customHeight="1">
      <c r="A1053" s="20" t="s">
        <v>2712</v>
      </c>
      <c r="B1053" s="20" t="s">
        <v>2713</v>
      </c>
      <c r="C1053" s="20"/>
      <c r="D1053" s="21"/>
      <c r="E1053" s="21">
        <v>6</v>
      </c>
      <c r="F1053" s="21"/>
      <c r="G1053" s="21"/>
      <c r="H1053" s="22">
        <f t="shared" si="16"/>
        <v>6</v>
      </c>
    </row>
    <row r="1054" spans="1:8" ht="15.75" customHeight="1">
      <c r="A1054" s="24" t="s">
        <v>2714</v>
      </c>
      <c r="B1054" s="24" t="s">
        <v>2431</v>
      </c>
      <c r="C1054" s="26" t="s">
        <v>431</v>
      </c>
      <c r="D1054" s="25"/>
      <c r="E1054" s="25">
        <v>3</v>
      </c>
      <c r="F1054" s="25"/>
      <c r="G1054" s="25"/>
      <c r="H1054" s="22">
        <f t="shared" si="16"/>
        <v>3</v>
      </c>
    </row>
    <row r="1055" spans="1:8" ht="15.75" customHeight="1">
      <c r="A1055" s="20" t="s">
        <v>2715</v>
      </c>
      <c r="B1055" s="20" t="s">
        <v>934</v>
      </c>
      <c r="C1055" s="27" t="s">
        <v>2716</v>
      </c>
      <c r="D1055" s="21"/>
      <c r="E1055" s="21">
        <v>100</v>
      </c>
      <c r="F1055" s="21"/>
      <c r="G1055" s="21"/>
      <c r="H1055" s="22">
        <f t="shared" si="16"/>
        <v>100</v>
      </c>
    </row>
    <row r="1056" spans="1:8" ht="15.75" customHeight="1">
      <c r="A1056" s="24" t="s">
        <v>2717</v>
      </c>
      <c r="B1056" s="24" t="s">
        <v>2565</v>
      </c>
      <c r="C1056" s="26" t="s">
        <v>2716</v>
      </c>
      <c r="D1056" s="25"/>
      <c r="E1056" s="25">
        <v>105</v>
      </c>
      <c r="F1056" s="25"/>
      <c r="G1056" s="25"/>
      <c r="H1056" s="22">
        <f t="shared" si="16"/>
        <v>105</v>
      </c>
    </row>
    <row r="1057" spans="1:8" ht="15.75" customHeight="1">
      <c r="A1057" s="20" t="s">
        <v>2718</v>
      </c>
      <c r="B1057" s="20" t="s">
        <v>939</v>
      </c>
      <c r="C1057" s="27" t="s">
        <v>2716</v>
      </c>
      <c r="D1057" s="21"/>
      <c r="E1057" s="21">
        <v>100</v>
      </c>
      <c r="F1057" s="21"/>
      <c r="G1057" s="21"/>
      <c r="H1057" s="22">
        <f t="shared" si="16"/>
        <v>100</v>
      </c>
    </row>
    <row r="1058" spans="1:8" ht="15.75" customHeight="1">
      <c r="A1058" s="24" t="s">
        <v>2719</v>
      </c>
      <c r="B1058" s="24" t="s">
        <v>934</v>
      </c>
      <c r="C1058" s="26" t="s">
        <v>2720</v>
      </c>
      <c r="D1058" s="25"/>
      <c r="E1058" s="25">
        <v>100</v>
      </c>
      <c r="F1058" s="25"/>
      <c r="G1058" s="25"/>
      <c r="H1058" s="22">
        <f t="shared" si="16"/>
        <v>100</v>
      </c>
    </row>
    <row r="1059" spans="1:8" ht="15.75" customHeight="1">
      <c r="A1059" s="20" t="s">
        <v>2721</v>
      </c>
      <c r="B1059" s="20" t="s">
        <v>2565</v>
      </c>
      <c r="C1059" s="27" t="s">
        <v>2720</v>
      </c>
      <c r="D1059" s="21"/>
      <c r="E1059" s="21">
        <v>105</v>
      </c>
      <c r="F1059" s="21"/>
      <c r="G1059" s="21"/>
      <c r="H1059" s="22">
        <f t="shared" si="16"/>
        <v>105</v>
      </c>
    </row>
    <row r="1060" spans="1:8" ht="15.75" customHeight="1">
      <c r="A1060" s="24" t="s">
        <v>2722</v>
      </c>
      <c r="B1060" s="24" t="s">
        <v>939</v>
      </c>
      <c r="C1060" s="26" t="s">
        <v>2720</v>
      </c>
      <c r="D1060" s="25"/>
      <c r="E1060" s="25">
        <v>100</v>
      </c>
      <c r="F1060" s="25"/>
      <c r="G1060" s="25"/>
      <c r="H1060" s="22">
        <f t="shared" si="16"/>
        <v>100</v>
      </c>
    </row>
    <row r="1061" spans="1:8" ht="15.75" customHeight="1">
      <c r="A1061" s="20" t="s">
        <v>2723</v>
      </c>
      <c r="B1061" s="20" t="s">
        <v>934</v>
      </c>
      <c r="C1061" s="27" t="s">
        <v>2724</v>
      </c>
      <c r="D1061" s="21"/>
      <c r="E1061" s="21">
        <v>100</v>
      </c>
      <c r="F1061" s="21"/>
      <c r="G1061" s="21"/>
      <c r="H1061" s="22">
        <f t="shared" si="16"/>
        <v>100</v>
      </c>
    </row>
    <row r="1062" spans="1:8" ht="15.75" customHeight="1">
      <c r="A1062" s="24" t="s">
        <v>2725</v>
      </c>
      <c r="B1062" s="24" t="s">
        <v>2565</v>
      </c>
      <c r="C1062" s="26" t="s">
        <v>2724</v>
      </c>
      <c r="D1062" s="25"/>
      <c r="E1062" s="25">
        <v>105</v>
      </c>
      <c r="F1062" s="25"/>
      <c r="G1062" s="25"/>
      <c r="H1062" s="22">
        <f t="shared" si="16"/>
        <v>105</v>
      </c>
    </row>
    <row r="1063" spans="1:8" ht="15.75" customHeight="1">
      <c r="A1063" s="20" t="s">
        <v>2726</v>
      </c>
      <c r="B1063" s="20" t="s">
        <v>939</v>
      </c>
      <c r="C1063" s="27" t="s">
        <v>2724</v>
      </c>
      <c r="D1063" s="21"/>
      <c r="E1063" s="21">
        <v>100</v>
      </c>
      <c r="F1063" s="21"/>
      <c r="G1063" s="21"/>
      <c r="H1063" s="22">
        <f t="shared" si="16"/>
        <v>100</v>
      </c>
    </row>
    <row r="1064" spans="1:8" ht="15.75" customHeight="1">
      <c r="A1064" s="24" t="s">
        <v>2727</v>
      </c>
      <c r="B1064" s="24" t="s">
        <v>934</v>
      </c>
      <c r="C1064" s="26" t="s">
        <v>2728</v>
      </c>
      <c r="D1064" s="25"/>
      <c r="E1064" s="25">
        <v>100</v>
      </c>
      <c r="F1064" s="25"/>
      <c r="G1064" s="25"/>
      <c r="H1064" s="22">
        <f t="shared" si="16"/>
        <v>100</v>
      </c>
    </row>
    <row r="1065" spans="1:8" ht="15.75" customHeight="1">
      <c r="A1065" s="20" t="s">
        <v>2729</v>
      </c>
      <c r="B1065" s="20" t="s">
        <v>2565</v>
      </c>
      <c r="C1065" s="27" t="s">
        <v>2728</v>
      </c>
      <c r="D1065" s="21"/>
      <c r="E1065" s="21">
        <v>105</v>
      </c>
      <c r="F1065" s="21"/>
      <c r="G1065" s="21"/>
      <c r="H1065" s="22">
        <f t="shared" si="16"/>
        <v>105</v>
      </c>
    </row>
    <row r="1066" spans="1:8" ht="15.75" customHeight="1">
      <c r="A1066" s="24" t="s">
        <v>2730</v>
      </c>
      <c r="B1066" s="24" t="s">
        <v>939</v>
      </c>
      <c r="C1066" s="26" t="s">
        <v>2728</v>
      </c>
      <c r="D1066" s="25"/>
      <c r="E1066" s="25">
        <v>100</v>
      </c>
      <c r="F1066" s="25"/>
      <c r="G1066" s="25"/>
      <c r="H1066" s="22">
        <f t="shared" si="16"/>
        <v>100</v>
      </c>
    </row>
    <row r="1067" spans="1:8" ht="15.75" customHeight="1">
      <c r="A1067" s="20" t="s">
        <v>2731</v>
      </c>
      <c r="B1067" s="20" t="s">
        <v>2732</v>
      </c>
      <c r="C1067" s="20"/>
      <c r="D1067" s="21"/>
      <c r="E1067" s="21">
        <v>50</v>
      </c>
      <c r="F1067" s="21">
        <v>5</v>
      </c>
      <c r="G1067" s="21">
        <v>10</v>
      </c>
      <c r="H1067" s="22">
        <f t="shared" si="16"/>
        <v>65</v>
      </c>
    </row>
    <row r="1068" spans="1:8" ht="15.75" customHeight="1">
      <c r="A1068" s="24" t="s">
        <v>2733</v>
      </c>
      <c r="B1068" s="24" t="s">
        <v>2734</v>
      </c>
      <c r="C1068" s="26" t="s">
        <v>1264</v>
      </c>
      <c r="D1068" s="25"/>
      <c r="E1068" s="25">
        <v>5</v>
      </c>
      <c r="F1068" s="25"/>
      <c r="G1068" s="25"/>
      <c r="H1068" s="22">
        <f t="shared" si="16"/>
        <v>5</v>
      </c>
    </row>
    <row r="1069" spans="1:8" ht="15.75" customHeight="1">
      <c r="A1069" s="20" t="s">
        <v>2735</v>
      </c>
      <c r="B1069" s="20" t="s">
        <v>1291</v>
      </c>
      <c r="C1069" s="27" t="s">
        <v>2688</v>
      </c>
      <c r="D1069" s="21"/>
      <c r="E1069" s="21">
        <v>5</v>
      </c>
      <c r="F1069" s="21"/>
      <c r="G1069" s="21"/>
      <c r="H1069" s="22">
        <f t="shared" si="16"/>
        <v>5</v>
      </c>
    </row>
    <row r="1070" spans="1:8" ht="15.75" customHeight="1">
      <c r="A1070" s="24" t="s">
        <v>2736</v>
      </c>
      <c r="B1070" s="24" t="s">
        <v>1150</v>
      </c>
      <c r="C1070" s="26" t="s">
        <v>2688</v>
      </c>
      <c r="D1070" s="25"/>
      <c r="E1070" s="25">
        <v>5</v>
      </c>
      <c r="F1070" s="25"/>
      <c r="G1070" s="25"/>
      <c r="H1070" s="22">
        <f t="shared" si="16"/>
        <v>5</v>
      </c>
    </row>
    <row r="1071" spans="1:8" ht="15.75" customHeight="1">
      <c r="A1071" s="20" t="s">
        <v>2737</v>
      </c>
      <c r="B1071" s="20" t="s">
        <v>1033</v>
      </c>
      <c r="C1071" s="27" t="s">
        <v>2688</v>
      </c>
      <c r="D1071" s="21"/>
      <c r="E1071" s="21">
        <v>5</v>
      </c>
      <c r="F1071" s="21"/>
      <c r="G1071" s="21"/>
      <c r="H1071" s="22">
        <f t="shared" si="16"/>
        <v>5</v>
      </c>
    </row>
    <row r="1072" spans="1:8" ht="15.75" customHeight="1">
      <c r="A1072" s="24" t="s">
        <v>2738</v>
      </c>
      <c r="B1072" s="24" t="s">
        <v>1273</v>
      </c>
      <c r="C1072" s="26" t="s">
        <v>2688</v>
      </c>
      <c r="D1072" s="25"/>
      <c r="E1072" s="25">
        <v>5</v>
      </c>
      <c r="F1072" s="25"/>
      <c r="G1072" s="25"/>
      <c r="H1072" s="22">
        <f t="shared" si="16"/>
        <v>5</v>
      </c>
    </row>
    <row r="1073" spans="1:8" ht="15.75" customHeight="1">
      <c r="A1073" s="20" t="s">
        <v>2739</v>
      </c>
      <c r="B1073" s="20" t="s">
        <v>1282</v>
      </c>
      <c r="C1073" s="27" t="s">
        <v>2688</v>
      </c>
      <c r="D1073" s="21"/>
      <c r="E1073" s="21">
        <v>5</v>
      </c>
      <c r="F1073" s="21"/>
      <c r="G1073" s="21"/>
      <c r="H1073" s="22">
        <f t="shared" si="16"/>
        <v>5</v>
      </c>
    </row>
    <row r="1074" spans="1:8" ht="15.75" customHeight="1">
      <c r="A1074" s="24" t="s">
        <v>2740</v>
      </c>
      <c r="B1074" s="24" t="s">
        <v>785</v>
      </c>
      <c r="C1074" s="24" t="s">
        <v>2741</v>
      </c>
      <c r="D1074" s="25"/>
      <c r="E1074" s="25">
        <v>12</v>
      </c>
      <c r="F1074" s="25"/>
      <c r="G1074" s="25"/>
      <c r="H1074" s="22">
        <f t="shared" si="16"/>
        <v>12</v>
      </c>
    </row>
    <row r="1075" spans="1:8" ht="15.75" customHeight="1">
      <c r="A1075" s="20" t="s">
        <v>2742</v>
      </c>
      <c r="B1075" s="20" t="s">
        <v>2743</v>
      </c>
      <c r="C1075" s="20"/>
      <c r="D1075" s="21"/>
      <c r="E1075" s="21">
        <v>5</v>
      </c>
      <c r="F1075" s="21"/>
      <c r="G1075" s="21"/>
      <c r="H1075" s="22">
        <f t="shared" si="16"/>
        <v>5</v>
      </c>
    </row>
    <row r="1076" spans="1:8" ht="15.75" customHeight="1">
      <c r="A1076" s="24" t="s">
        <v>2744</v>
      </c>
      <c r="B1076" s="24" t="s">
        <v>2745</v>
      </c>
      <c r="C1076" s="24"/>
      <c r="D1076" s="25"/>
      <c r="E1076" s="25">
        <v>50</v>
      </c>
      <c r="F1076" s="25"/>
      <c r="G1076" s="25"/>
      <c r="H1076" s="22">
        <f t="shared" si="16"/>
        <v>50</v>
      </c>
    </row>
    <row r="1077" spans="1:8" ht="15.75" customHeight="1">
      <c r="A1077" s="20" t="s">
        <v>2746</v>
      </c>
      <c r="B1077" s="20" t="s">
        <v>606</v>
      </c>
      <c r="C1077" s="27" t="s">
        <v>1226</v>
      </c>
      <c r="D1077" s="21"/>
      <c r="E1077" s="21">
        <v>4</v>
      </c>
      <c r="F1077" s="21"/>
      <c r="G1077" s="21"/>
      <c r="H1077" s="22">
        <f t="shared" si="16"/>
        <v>4</v>
      </c>
    </row>
    <row r="1078" spans="1:8" ht="15.75" customHeight="1">
      <c r="A1078" s="24" t="s">
        <v>2747</v>
      </c>
      <c r="B1078" s="24" t="s">
        <v>612</v>
      </c>
      <c r="C1078" s="26" t="s">
        <v>1226</v>
      </c>
      <c r="D1078" s="25"/>
      <c r="E1078" s="25">
        <v>4</v>
      </c>
      <c r="F1078" s="25"/>
      <c r="G1078" s="25"/>
      <c r="H1078" s="22">
        <f t="shared" si="16"/>
        <v>4</v>
      </c>
    </row>
    <row r="1079" spans="1:8" ht="15.75" customHeight="1">
      <c r="A1079" s="20" t="s">
        <v>2748</v>
      </c>
      <c r="B1079" s="20" t="s">
        <v>574</v>
      </c>
      <c r="C1079" s="27" t="s">
        <v>1154</v>
      </c>
      <c r="D1079" s="21"/>
      <c r="E1079" s="21">
        <v>20</v>
      </c>
      <c r="F1079" s="21"/>
      <c r="G1079" s="21"/>
      <c r="H1079" s="22">
        <f t="shared" si="16"/>
        <v>20</v>
      </c>
    </row>
    <row r="1080" spans="1:8" ht="15.75" customHeight="1">
      <c r="A1080" s="24" t="s">
        <v>2749</v>
      </c>
      <c r="B1080" s="24" t="s">
        <v>2750</v>
      </c>
      <c r="C1080" s="24"/>
      <c r="D1080" s="25"/>
      <c r="E1080" s="25">
        <v>1</v>
      </c>
      <c r="F1080" s="25"/>
      <c r="G1080" s="25"/>
      <c r="H1080" s="22">
        <f t="shared" si="16"/>
        <v>1</v>
      </c>
    </row>
    <row r="1081" spans="1:8" ht="15.75" customHeight="1">
      <c r="A1081" s="20" t="s">
        <v>2751</v>
      </c>
      <c r="B1081" s="20" t="s">
        <v>2752</v>
      </c>
      <c r="C1081" s="20"/>
      <c r="D1081" s="21"/>
      <c r="E1081" s="21">
        <v>3</v>
      </c>
      <c r="F1081" s="21"/>
      <c r="G1081" s="21"/>
      <c r="H1081" s="22">
        <f t="shared" si="16"/>
        <v>3</v>
      </c>
    </row>
    <row r="1082" spans="1:8" ht="15.75" customHeight="1">
      <c r="A1082" s="24" t="s">
        <v>2753</v>
      </c>
      <c r="B1082" s="24" t="s">
        <v>2754</v>
      </c>
      <c r="C1082" s="24"/>
      <c r="D1082" s="25"/>
      <c r="E1082" s="25">
        <v>2</v>
      </c>
      <c r="F1082" s="25"/>
      <c r="G1082" s="25"/>
      <c r="H1082" s="22">
        <f t="shared" si="16"/>
        <v>2</v>
      </c>
    </row>
    <row r="1083" spans="1:8" ht="15.75" customHeight="1">
      <c r="A1083" s="20" t="s">
        <v>2755</v>
      </c>
      <c r="B1083" s="20" t="s">
        <v>2756</v>
      </c>
      <c r="C1083" s="20"/>
      <c r="D1083" s="21"/>
      <c r="E1083" s="21">
        <v>220</v>
      </c>
      <c r="F1083" s="21"/>
      <c r="G1083" s="21"/>
      <c r="H1083" s="22">
        <f t="shared" si="16"/>
        <v>220</v>
      </c>
    </row>
    <row r="1084" spans="1:8" ht="15.75" customHeight="1">
      <c r="A1084" s="24" t="s">
        <v>2757</v>
      </c>
      <c r="B1084" s="24" t="s">
        <v>2758</v>
      </c>
      <c r="C1084" s="24"/>
      <c r="D1084" s="25"/>
      <c r="E1084" s="25">
        <v>100</v>
      </c>
      <c r="F1084" s="25"/>
      <c r="G1084" s="25"/>
      <c r="H1084" s="22">
        <f t="shared" si="16"/>
        <v>100</v>
      </c>
    </row>
    <row r="1085" spans="1:8" ht="15.75" customHeight="1">
      <c r="A1085" s="20" t="s">
        <v>3230</v>
      </c>
      <c r="B1085" s="20" t="s">
        <v>3231</v>
      </c>
      <c r="C1085" s="20"/>
      <c r="D1085" s="21"/>
      <c r="E1085" s="21"/>
      <c r="F1085" s="21">
        <v>29</v>
      </c>
      <c r="G1085" s="21"/>
      <c r="H1085" s="22">
        <f t="shared" si="16"/>
        <v>29</v>
      </c>
    </row>
    <row r="1086" spans="1:8" ht="15.75" customHeight="1">
      <c r="A1086" s="24" t="s">
        <v>3232</v>
      </c>
      <c r="B1086" s="24" t="s">
        <v>628</v>
      </c>
      <c r="C1086" s="26" t="s">
        <v>1104</v>
      </c>
      <c r="D1086" s="25"/>
      <c r="E1086" s="25"/>
      <c r="F1086" s="25">
        <v>60</v>
      </c>
      <c r="G1086" s="25"/>
      <c r="H1086" s="22">
        <f t="shared" si="16"/>
        <v>60</v>
      </c>
    </row>
    <row r="1087" spans="1:8" ht="15.75" customHeight="1">
      <c r="A1087" s="20" t="s">
        <v>3233</v>
      </c>
      <c r="B1087" s="20" t="s">
        <v>3234</v>
      </c>
      <c r="C1087" s="20"/>
      <c r="D1087" s="21"/>
      <c r="E1087" s="21"/>
      <c r="F1087" s="21">
        <v>10</v>
      </c>
      <c r="G1087" s="21"/>
      <c r="H1087" s="22">
        <f t="shared" si="16"/>
        <v>10</v>
      </c>
    </row>
    <row r="1088" spans="1:8" ht="15.75" customHeight="1">
      <c r="A1088" s="24" t="s">
        <v>3235</v>
      </c>
      <c r="B1088" s="24" t="s">
        <v>3236</v>
      </c>
      <c r="C1088" s="24"/>
      <c r="D1088" s="25"/>
      <c r="E1088" s="25"/>
      <c r="F1088" s="25">
        <v>3</v>
      </c>
      <c r="G1088" s="25"/>
      <c r="H1088" s="22">
        <f t="shared" si="16"/>
        <v>3</v>
      </c>
    </row>
    <row r="1089" spans="1:8" ht="15.75" customHeight="1">
      <c r="A1089" s="20" t="s">
        <v>3237</v>
      </c>
      <c r="B1089" s="20" t="s">
        <v>3238</v>
      </c>
      <c r="C1089" s="20"/>
      <c r="D1089" s="21"/>
      <c r="E1089" s="21"/>
      <c r="F1089" s="21">
        <v>3</v>
      </c>
      <c r="G1089" s="21"/>
      <c r="H1089" s="22">
        <f t="shared" si="16"/>
        <v>3</v>
      </c>
    </row>
    <row r="1090" spans="1:8" ht="15.75" customHeight="1">
      <c r="A1090" s="24" t="s">
        <v>3239</v>
      </c>
      <c r="B1090" s="24" t="s">
        <v>3240</v>
      </c>
      <c r="C1090" s="24"/>
      <c r="D1090" s="25"/>
      <c r="E1090" s="25"/>
      <c r="F1090" s="25">
        <v>5</v>
      </c>
      <c r="G1090" s="25"/>
      <c r="H1090" s="22">
        <f t="shared" si="16"/>
        <v>5</v>
      </c>
    </row>
    <row r="1091" spans="1:8" ht="15.75" customHeight="1">
      <c r="A1091" s="20" t="s">
        <v>3241</v>
      </c>
      <c r="B1091" s="20" t="s">
        <v>3242</v>
      </c>
      <c r="C1091" s="20"/>
      <c r="D1091" s="21"/>
      <c r="E1091" s="21"/>
      <c r="F1091" s="21">
        <v>15</v>
      </c>
      <c r="G1091" s="21"/>
      <c r="H1091" s="22">
        <f t="shared" si="16"/>
        <v>15</v>
      </c>
    </row>
    <row r="1092" spans="1:8" ht="15.75" customHeight="1">
      <c r="A1092" s="24" t="s">
        <v>3243</v>
      </c>
      <c r="B1092" s="24" t="s">
        <v>3244</v>
      </c>
      <c r="C1092" s="24"/>
      <c r="D1092" s="25"/>
      <c r="E1092" s="25"/>
      <c r="F1092" s="25">
        <v>10</v>
      </c>
      <c r="G1092" s="25"/>
      <c r="H1092" s="22">
        <f t="shared" ref="H1092:H1155" si="17">SUM(D1092:G1092)</f>
        <v>10</v>
      </c>
    </row>
    <row r="1093" spans="1:8" ht="15.75" customHeight="1">
      <c r="A1093" s="20" t="s">
        <v>3245</v>
      </c>
      <c r="B1093" s="20" t="s">
        <v>588</v>
      </c>
      <c r="C1093" s="20"/>
      <c r="D1093" s="21"/>
      <c r="E1093" s="21"/>
      <c r="F1093" s="21">
        <v>5</v>
      </c>
      <c r="G1093" s="21"/>
      <c r="H1093" s="22">
        <f t="shared" si="17"/>
        <v>5</v>
      </c>
    </row>
    <row r="1094" spans="1:8" ht="15.75" customHeight="1">
      <c r="A1094" s="24" t="s">
        <v>3246</v>
      </c>
      <c r="B1094" s="24" t="s">
        <v>3247</v>
      </c>
      <c r="C1094" s="24"/>
      <c r="D1094" s="25"/>
      <c r="E1094" s="25"/>
      <c r="F1094" s="25">
        <v>5</v>
      </c>
      <c r="G1094" s="25"/>
      <c r="H1094" s="22">
        <f t="shared" si="17"/>
        <v>5</v>
      </c>
    </row>
    <row r="1095" spans="1:8" ht="15.75" customHeight="1">
      <c r="A1095" s="20" t="s">
        <v>3248</v>
      </c>
      <c r="B1095" s="20" t="s">
        <v>3249</v>
      </c>
      <c r="C1095" s="20"/>
      <c r="D1095" s="21"/>
      <c r="E1095" s="21"/>
      <c r="F1095" s="21">
        <v>8</v>
      </c>
      <c r="G1095" s="21"/>
      <c r="H1095" s="22">
        <f t="shared" si="17"/>
        <v>8</v>
      </c>
    </row>
    <row r="1096" spans="1:8" ht="15.75" customHeight="1">
      <c r="A1096" s="24" t="s">
        <v>3250</v>
      </c>
      <c r="B1096" s="24" t="s">
        <v>3251</v>
      </c>
      <c r="C1096" s="24"/>
      <c r="D1096" s="25"/>
      <c r="E1096" s="25"/>
      <c r="F1096" s="25">
        <v>40</v>
      </c>
      <c r="G1096" s="25"/>
      <c r="H1096" s="22">
        <f t="shared" si="17"/>
        <v>40</v>
      </c>
    </row>
    <row r="1097" spans="1:8" ht="15.75" customHeight="1">
      <c r="A1097" s="20" t="s">
        <v>3252</v>
      </c>
      <c r="B1097" s="20" t="s">
        <v>516</v>
      </c>
      <c r="C1097" s="20"/>
      <c r="D1097" s="21"/>
      <c r="E1097" s="21"/>
      <c r="F1097" s="21">
        <v>5</v>
      </c>
      <c r="G1097" s="21"/>
      <c r="H1097" s="22">
        <f t="shared" si="17"/>
        <v>5</v>
      </c>
    </row>
    <row r="1098" spans="1:8" ht="15.75" customHeight="1">
      <c r="A1098" s="24" t="s">
        <v>3253</v>
      </c>
      <c r="B1098" s="24" t="s">
        <v>507</v>
      </c>
      <c r="C1098" s="24"/>
      <c r="D1098" s="25"/>
      <c r="E1098" s="25"/>
      <c r="F1098" s="25">
        <v>5</v>
      </c>
      <c r="G1098" s="25"/>
      <c r="H1098" s="22">
        <f t="shared" si="17"/>
        <v>5</v>
      </c>
    </row>
    <row r="1099" spans="1:8" ht="15.75" customHeight="1">
      <c r="A1099" s="20" t="s">
        <v>3254</v>
      </c>
      <c r="B1099" s="20" t="s">
        <v>3255</v>
      </c>
      <c r="C1099" s="20"/>
      <c r="D1099" s="21"/>
      <c r="E1099" s="21"/>
      <c r="F1099" s="21">
        <v>2</v>
      </c>
      <c r="G1099" s="21"/>
      <c r="H1099" s="22">
        <f t="shared" si="17"/>
        <v>2</v>
      </c>
    </row>
    <row r="1100" spans="1:8" ht="15.75" customHeight="1">
      <c r="A1100" s="24" t="s">
        <v>3256</v>
      </c>
      <c r="B1100" s="24" t="s">
        <v>3257</v>
      </c>
      <c r="C1100" s="24"/>
      <c r="D1100" s="25"/>
      <c r="E1100" s="25"/>
      <c r="F1100" s="25">
        <v>10</v>
      </c>
      <c r="G1100" s="25"/>
      <c r="H1100" s="22">
        <f t="shared" si="17"/>
        <v>10</v>
      </c>
    </row>
    <row r="1101" spans="1:8" ht="15.75" customHeight="1">
      <c r="A1101" s="20" t="s">
        <v>3258</v>
      </c>
      <c r="B1101" s="20" t="s">
        <v>3259</v>
      </c>
      <c r="C1101" s="20"/>
      <c r="D1101" s="21"/>
      <c r="E1101" s="21"/>
      <c r="F1101" s="21">
        <v>10</v>
      </c>
      <c r="G1101" s="21"/>
      <c r="H1101" s="22">
        <f t="shared" si="17"/>
        <v>10</v>
      </c>
    </row>
    <row r="1102" spans="1:8" ht="15.75" customHeight="1">
      <c r="A1102" s="24" t="s">
        <v>3260</v>
      </c>
      <c r="B1102" s="24" t="s">
        <v>3261</v>
      </c>
      <c r="C1102" s="24" t="s">
        <v>3229</v>
      </c>
      <c r="D1102" s="25"/>
      <c r="E1102" s="25"/>
      <c r="F1102" s="25">
        <v>1</v>
      </c>
      <c r="G1102" s="25"/>
      <c r="H1102" s="22">
        <f t="shared" si="17"/>
        <v>1</v>
      </c>
    </row>
    <row r="1103" spans="1:8" ht="15.75" customHeight="1">
      <c r="A1103" s="20" t="s">
        <v>3262</v>
      </c>
      <c r="B1103" s="20" t="s">
        <v>620</v>
      </c>
      <c r="C1103" s="20" t="s">
        <v>3263</v>
      </c>
      <c r="D1103" s="21"/>
      <c r="E1103" s="21"/>
      <c r="F1103" s="21">
        <v>8</v>
      </c>
      <c r="G1103" s="21"/>
      <c r="H1103" s="22">
        <f t="shared" si="17"/>
        <v>8</v>
      </c>
    </row>
    <row r="1104" spans="1:8" ht="15.75" customHeight="1">
      <c r="A1104" s="24" t="s">
        <v>3264</v>
      </c>
      <c r="B1104" s="24" t="s">
        <v>2447</v>
      </c>
      <c r="C1104" s="24" t="s">
        <v>3265</v>
      </c>
      <c r="D1104" s="25"/>
      <c r="E1104" s="25"/>
      <c r="F1104" s="25">
        <v>3</v>
      </c>
      <c r="G1104" s="25"/>
      <c r="H1104" s="22">
        <f t="shared" si="17"/>
        <v>3</v>
      </c>
    </row>
    <row r="1105" spans="1:8" ht="15.75" customHeight="1">
      <c r="A1105" s="20" t="s">
        <v>3266</v>
      </c>
      <c r="B1105" s="20" t="s">
        <v>3267</v>
      </c>
      <c r="C1105" s="20" t="s">
        <v>3265</v>
      </c>
      <c r="D1105" s="21"/>
      <c r="E1105" s="21"/>
      <c r="F1105" s="21">
        <v>3</v>
      </c>
      <c r="G1105" s="21"/>
      <c r="H1105" s="22">
        <f t="shared" si="17"/>
        <v>3</v>
      </c>
    </row>
    <row r="1106" spans="1:8" ht="15.75" customHeight="1">
      <c r="A1106" s="24" t="s">
        <v>3268</v>
      </c>
      <c r="B1106" s="24" t="s">
        <v>483</v>
      </c>
      <c r="C1106" s="24" t="s">
        <v>3265</v>
      </c>
      <c r="D1106" s="25"/>
      <c r="E1106" s="25"/>
      <c r="F1106" s="25">
        <v>17</v>
      </c>
      <c r="G1106" s="25"/>
      <c r="H1106" s="22">
        <f t="shared" si="17"/>
        <v>17</v>
      </c>
    </row>
    <row r="1107" spans="1:8" ht="15.75" customHeight="1">
      <c r="A1107" s="20" t="s">
        <v>3269</v>
      </c>
      <c r="B1107" s="20" t="s">
        <v>1160</v>
      </c>
      <c r="C1107" s="20" t="s">
        <v>3265</v>
      </c>
      <c r="D1107" s="21"/>
      <c r="E1107" s="21"/>
      <c r="F1107" s="21">
        <v>31</v>
      </c>
      <c r="G1107" s="21"/>
      <c r="H1107" s="22">
        <f t="shared" si="17"/>
        <v>31</v>
      </c>
    </row>
    <row r="1108" spans="1:8" ht="15.75" customHeight="1">
      <c r="A1108" s="24" t="s">
        <v>3270</v>
      </c>
      <c r="B1108" s="24" t="s">
        <v>1146</v>
      </c>
      <c r="C1108" s="24" t="s">
        <v>3265</v>
      </c>
      <c r="D1108" s="25"/>
      <c r="E1108" s="25"/>
      <c r="F1108" s="25">
        <v>31</v>
      </c>
      <c r="G1108" s="25"/>
      <c r="H1108" s="22">
        <f t="shared" si="17"/>
        <v>31</v>
      </c>
    </row>
    <row r="1109" spans="1:8" ht="15.75" customHeight="1">
      <c r="A1109" s="20" t="s">
        <v>3271</v>
      </c>
      <c r="B1109" s="20" t="s">
        <v>2628</v>
      </c>
      <c r="C1109" s="20" t="s">
        <v>3265</v>
      </c>
      <c r="D1109" s="21"/>
      <c r="E1109" s="21"/>
      <c r="F1109" s="21">
        <v>39</v>
      </c>
      <c r="G1109" s="21"/>
      <c r="H1109" s="22">
        <f t="shared" si="17"/>
        <v>39</v>
      </c>
    </row>
    <row r="1110" spans="1:8" ht="15.75" customHeight="1">
      <c r="A1110" s="24" t="s">
        <v>3272</v>
      </c>
      <c r="B1110" s="24" t="s">
        <v>2694</v>
      </c>
      <c r="C1110" s="24" t="s">
        <v>3265</v>
      </c>
      <c r="D1110" s="25"/>
      <c r="E1110" s="25"/>
      <c r="F1110" s="25">
        <v>77</v>
      </c>
      <c r="G1110" s="25"/>
      <c r="H1110" s="22">
        <f t="shared" si="17"/>
        <v>77</v>
      </c>
    </row>
    <row r="1111" spans="1:8" ht="15.75" customHeight="1">
      <c r="A1111" s="20" t="s">
        <v>3273</v>
      </c>
      <c r="B1111" s="20" t="s">
        <v>485</v>
      </c>
      <c r="C1111" s="20" t="s">
        <v>3265</v>
      </c>
      <c r="D1111" s="21"/>
      <c r="E1111" s="21"/>
      <c r="F1111" s="21">
        <v>115</v>
      </c>
      <c r="G1111" s="21"/>
      <c r="H1111" s="22">
        <f t="shared" si="17"/>
        <v>115</v>
      </c>
    </row>
    <row r="1112" spans="1:8" ht="15.75" customHeight="1">
      <c r="A1112" s="24" t="s">
        <v>3274</v>
      </c>
      <c r="B1112" s="24" t="s">
        <v>2696</v>
      </c>
      <c r="C1112" s="24" t="s">
        <v>3265</v>
      </c>
      <c r="D1112" s="25"/>
      <c r="E1112" s="25"/>
      <c r="F1112" s="25">
        <v>100</v>
      </c>
      <c r="G1112" s="25"/>
      <c r="H1112" s="22">
        <f t="shared" si="17"/>
        <v>100</v>
      </c>
    </row>
    <row r="1113" spans="1:8" ht="15.75" customHeight="1">
      <c r="A1113" s="20" t="s">
        <v>3275</v>
      </c>
      <c r="B1113" s="20" t="s">
        <v>2698</v>
      </c>
      <c r="C1113" s="20" t="s">
        <v>3265</v>
      </c>
      <c r="D1113" s="21"/>
      <c r="E1113" s="21"/>
      <c r="F1113" s="21">
        <v>80</v>
      </c>
      <c r="G1113" s="21"/>
      <c r="H1113" s="22">
        <f t="shared" si="17"/>
        <v>80</v>
      </c>
    </row>
    <row r="1114" spans="1:8" ht="15.75" customHeight="1">
      <c r="A1114" s="24" t="s">
        <v>3276</v>
      </c>
      <c r="B1114" s="24" t="s">
        <v>489</v>
      </c>
      <c r="C1114" s="24" t="s">
        <v>3265</v>
      </c>
      <c r="D1114" s="25"/>
      <c r="E1114" s="25"/>
      <c r="F1114" s="25">
        <v>22</v>
      </c>
      <c r="G1114" s="25"/>
      <c r="H1114" s="22">
        <f t="shared" si="17"/>
        <v>22</v>
      </c>
    </row>
    <row r="1115" spans="1:8" ht="15.75" customHeight="1">
      <c r="A1115" s="20" t="s">
        <v>3277</v>
      </c>
      <c r="B1115" s="20" t="s">
        <v>1173</v>
      </c>
      <c r="C1115" s="20" t="s">
        <v>3265</v>
      </c>
      <c r="D1115" s="21"/>
      <c r="E1115" s="21"/>
      <c r="F1115" s="21">
        <v>22</v>
      </c>
      <c r="G1115" s="21"/>
      <c r="H1115" s="22">
        <f t="shared" si="17"/>
        <v>22</v>
      </c>
    </row>
    <row r="1116" spans="1:8" ht="15.75" customHeight="1">
      <c r="A1116" s="24" t="s">
        <v>3278</v>
      </c>
      <c r="B1116" s="24" t="s">
        <v>1176</v>
      </c>
      <c r="C1116" s="24" t="s">
        <v>3265</v>
      </c>
      <c r="D1116" s="25"/>
      <c r="E1116" s="25"/>
      <c r="F1116" s="25">
        <v>22</v>
      </c>
      <c r="G1116" s="25"/>
      <c r="H1116" s="22">
        <f t="shared" si="17"/>
        <v>22</v>
      </c>
    </row>
    <row r="1117" spans="1:8" ht="15.75" customHeight="1">
      <c r="A1117" s="20" t="s">
        <v>3279</v>
      </c>
      <c r="B1117" s="20" t="s">
        <v>969</v>
      </c>
      <c r="C1117" s="20" t="s">
        <v>3265</v>
      </c>
      <c r="D1117" s="21"/>
      <c r="E1117" s="21"/>
      <c r="F1117" s="21">
        <v>22</v>
      </c>
      <c r="G1117" s="21"/>
      <c r="H1117" s="22">
        <f t="shared" si="17"/>
        <v>22</v>
      </c>
    </row>
    <row r="1118" spans="1:8" ht="15.75" customHeight="1">
      <c r="A1118" s="24" t="s">
        <v>3280</v>
      </c>
      <c r="B1118" s="24" t="s">
        <v>3281</v>
      </c>
      <c r="C1118" s="24"/>
      <c r="D1118" s="25"/>
      <c r="E1118" s="25"/>
      <c r="F1118" s="25">
        <v>28</v>
      </c>
      <c r="G1118" s="25"/>
      <c r="H1118" s="22">
        <f t="shared" si="17"/>
        <v>28</v>
      </c>
    </row>
    <row r="1119" spans="1:8" ht="15.75" customHeight="1">
      <c r="A1119" s="20" t="s">
        <v>3282</v>
      </c>
      <c r="B1119" s="20" t="s">
        <v>3283</v>
      </c>
      <c r="C1119" s="20"/>
      <c r="D1119" s="21"/>
      <c r="E1119" s="21"/>
      <c r="F1119" s="21">
        <v>1</v>
      </c>
      <c r="G1119" s="21"/>
      <c r="H1119" s="22">
        <f t="shared" si="17"/>
        <v>1</v>
      </c>
    </row>
    <row r="1120" spans="1:8" ht="15.75" customHeight="1">
      <c r="A1120" s="24" t="s">
        <v>3284</v>
      </c>
      <c r="B1120" s="24" t="s">
        <v>597</v>
      </c>
      <c r="C1120" s="24" t="s">
        <v>1115</v>
      </c>
      <c r="D1120" s="25"/>
      <c r="E1120" s="25"/>
      <c r="F1120" s="25">
        <v>30</v>
      </c>
      <c r="G1120" s="25"/>
      <c r="H1120" s="22">
        <f t="shared" si="17"/>
        <v>30</v>
      </c>
    </row>
    <row r="1121" spans="1:8" ht="15.75" customHeight="1">
      <c r="A1121" s="20" t="s">
        <v>3285</v>
      </c>
      <c r="B1121" s="20" t="s">
        <v>606</v>
      </c>
      <c r="C1121" s="20" t="s">
        <v>1115</v>
      </c>
      <c r="D1121" s="21"/>
      <c r="E1121" s="21"/>
      <c r="F1121" s="21">
        <v>20</v>
      </c>
      <c r="G1121" s="21"/>
      <c r="H1121" s="22">
        <f t="shared" si="17"/>
        <v>20</v>
      </c>
    </row>
    <row r="1122" spans="1:8" ht="15.75" customHeight="1">
      <c r="A1122" s="24" t="s">
        <v>3286</v>
      </c>
      <c r="B1122" s="24" t="s">
        <v>3287</v>
      </c>
      <c r="C1122" s="24"/>
      <c r="D1122" s="25"/>
      <c r="E1122" s="25"/>
      <c r="F1122" s="25">
        <v>1</v>
      </c>
      <c r="G1122" s="25"/>
      <c r="H1122" s="22">
        <f t="shared" si="17"/>
        <v>1</v>
      </c>
    </row>
    <row r="1123" spans="1:8" ht="15.75" customHeight="1">
      <c r="A1123" s="20" t="s">
        <v>3288</v>
      </c>
      <c r="B1123" s="20" t="s">
        <v>732</v>
      </c>
      <c r="C1123" s="20" t="s">
        <v>3289</v>
      </c>
      <c r="D1123" s="21"/>
      <c r="E1123" s="21"/>
      <c r="F1123" s="21">
        <v>5</v>
      </c>
      <c r="G1123" s="21"/>
      <c r="H1123" s="22">
        <f t="shared" si="17"/>
        <v>5</v>
      </c>
    </row>
    <row r="1124" spans="1:8" ht="15.75" customHeight="1">
      <c r="A1124" s="24" t="s">
        <v>3290</v>
      </c>
      <c r="B1124" s="24" t="s">
        <v>3291</v>
      </c>
      <c r="C1124" s="24"/>
      <c r="D1124" s="25"/>
      <c r="E1124" s="25"/>
      <c r="F1124" s="25">
        <v>5</v>
      </c>
      <c r="G1124" s="25"/>
      <c r="H1124" s="22">
        <f t="shared" si="17"/>
        <v>5</v>
      </c>
    </row>
    <row r="1125" spans="1:8" ht="15.75" customHeight="1">
      <c r="A1125" s="20" t="s">
        <v>3292</v>
      </c>
      <c r="B1125" s="20" t="s">
        <v>3293</v>
      </c>
      <c r="C1125" s="20"/>
      <c r="D1125" s="21"/>
      <c r="E1125" s="21"/>
      <c r="F1125" s="21">
        <v>5</v>
      </c>
      <c r="G1125" s="21"/>
      <c r="H1125" s="22">
        <f t="shared" si="17"/>
        <v>5</v>
      </c>
    </row>
    <row r="1126" spans="1:8" ht="15.75" customHeight="1">
      <c r="A1126" s="24" t="s">
        <v>3294</v>
      </c>
      <c r="B1126" s="24" t="s">
        <v>3295</v>
      </c>
      <c r="C1126" s="24"/>
      <c r="D1126" s="25"/>
      <c r="E1126" s="25"/>
      <c r="F1126" s="25">
        <v>5</v>
      </c>
      <c r="G1126" s="25"/>
      <c r="H1126" s="22">
        <f t="shared" si="17"/>
        <v>5</v>
      </c>
    </row>
    <row r="1127" spans="1:8" ht="15.75" customHeight="1">
      <c r="A1127" s="20" t="s">
        <v>3296</v>
      </c>
      <c r="B1127" s="20" t="s">
        <v>3297</v>
      </c>
      <c r="C1127" s="20"/>
      <c r="D1127" s="21"/>
      <c r="E1127" s="21"/>
      <c r="F1127" s="21">
        <v>10</v>
      </c>
      <c r="G1127" s="21"/>
      <c r="H1127" s="22">
        <f t="shared" si="17"/>
        <v>10</v>
      </c>
    </row>
    <row r="1128" spans="1:8" ht="15.75" customHeight="1">
      <c r="A1128" s="24" t="s">
        <v>3298</v>
      </c>
      <c r="B1128" s="24" t="s">
        <v>3299</v>
      </c>
      <c r="C1128" s="24"/>
      <c r="D1128" s="25"/>
      <c r="E1128" s="25"/>
      <c r="F1128" s="25">
        <v>10</v>
      </c>
      <c r="G1128" s="25"/>
      <c r="H1128" s="22">
        <f t="shared" si="17"/>
        <v>10</v>
      </c>
    </row>
    <row r="1129" spans="1:8" ht="15.75" customHeight="1">
      <c r="A1129" s="20" t="s">
        <v>3300</v>
      </c>
      <c r="B1129" s="20" t="s">
        <v>3301</v>
      </c>
      <c r="C1129" s="20"/>
      <c r="D1129" s="21"/>
      <c r="E1129" s="21"/>
      <c r="F1129" s="21">
        <v>10</v>
      </c>
      <c r="G1129" s="21"/>
      <c r="H1129" s="22">
        <f t="shared" si="17"/>
        <v>10</v>
      </c>
    </row>
    <row r="1130" spans="1:8" ht="15.75" customHeight="1">
      <c r="A1130" s="24" t="s">
        <v>3302</v>
      </c>
      <c r="B1130" s="24" t="s">
        <v>3303</v>
      </c>
      <c r="C1130" s="24"/>
      <c r="D1130" s="25"/>
      <c r="E1130" s="25"/>
      <c r="F1130" s="25">
        <v>20</v>
      </c>
      <c r="G1130" s="25"/>
      <c r="H1130" s="22">
        <f t="shared" si="17"/>
        <v>20</v>
      </c>
    </row>
    <row r="1131" spans="1:8" ht="15.75" customHeight="1">
      <c r="A1131" s="20" t="s">
        <v>3304</v>
      </c>
      <c r="B1131" s="20" t="s">
        <v>3305</v>
      </c>
      <c r="C1131" s="20"/>
      <c r="D1131" s="21"/>
      <c r="E1131" s="21"/>
      <c r="F1131" s="21">
        <v>20</v>
      </c>
      <c r="G1131" s="21"/>
      <c r="H1131" s="22">
        <f t="shared" si="17"/>
        <v>20</v>
      </c>
    </row>
    <row r="1132" spans="1:8" ht="15.75" customHeight="1">
      <c r="A1132" s="24" t="s">
        <v>3306</v>
      </c>
      <c r="B1132" s="24" t="s">
        <v>3307</v>
      </c>
      <c r="C1132" s="24"/>
      <c r="D1132" s="25"/>
      <c r="E1132" s="25"/>
      <c r="F1132" s="25">
        <v>20</v>
      </c>
      <c r="G1132" s="25"/>
      <c r="H1132" s="22">
        <f t="shared" si="17"/>
        <v>20</v>
      </c>
    </row>
    <row r="1133" spans="1:8" ht="15.75" customHeight="1">
      <c r="A1133" s="20" t="s">
        <v>3308</v>
      </c>
      <c r="B1133" s="20" t="s">
        <v>3309</v>
      </c>
      <c r="C1133" s="20"/>
      <c r="D1133" s="21"/>
      <c r="E1133" s="21"/>
      <c r="F1133" s="21">
        <v>20</v>
      </c>
      <c r="G1133" s="21"/>
      <c r="H1133" s="22">
        <f t="shared" si="17"/>
        <v>20</v>
      </c>
    </row>
    <row r="1134" spans="1:8" ht="15.75" customHeight="1">
      <c r="A1134" s="24" t="s">
        <v>3310</v>
      </c>
      <c r="B1134" s="24" t="s">
        <v>3311</v>
      </c>
      <c r="C1134" s="24"/>
      <c r="D1134" s="25"/>
      <c r="E1134" s="25"/>
      <c r="F1134" s="25">
        <v>20</v>
      </c>
      <c r="G1134" s="25"/>
      <c r="H1134" s="22">
        <f t="shared" si="17"/>
        <v>20</v>
      </c>
    </row>
    <row r="1135" spans="1:8" ht="15.75" customHeight="1">
      <c r="A1135" s="20" t="s">
        <v>3312</v>
      </c>
      <c r="B1135" s="20" t="s">
        <v>3313</v>
      </c>
      <c r="C1135" s="20"/>
      <c r="D1135" s="21"/>
      <c r="E1135" s="21"/>
      <c r="F1135" s="21">
        <v>20</v>
      </c>
      <c r="G1135" s="21"/>
      <c r="H1135" s="22">
        <f t="shared" si="17"/>
        <v>20</v>
      </c>
    </row>
    <row r="1136" spans="1:8" ht="15.75" customHeight="1">
      <c r="A1136" s="24" t="s">
        <v>3314</v>
      </c>
      <c r="B1136" s="24" t="s">
        <v>3315</v>
      </c>
      <c r="C1136" s="24"/>
      <c r="D1136" s="25"/>
      <c r="E1136" s="25"/>
      <c r="F1136" s="25">
        <v>20</v>
      </c>
      <c r="G1136" s="25"/>
      <c r="H1136" s="22">
        <f t="shared" si="17"/>
        <v>20</v>
      </c>
    </row>
    <row r="1137" spans="1:8" ht="15.75" customHeight="1">
      <c r="A1137" s="20" t="s">
        <v>3316</v>
      </c>
      <c r="B1137" s="20" t="s">
        <v>3317</v>
      </c>
      <c r="C1137" s="20"/>
      <c r="D1137" s="21"/>
      <c r="E1137" s="21"/>
      <c r="F1137" s="21">
        <v>10</v>
      </c>
      <c r="G1137" s="21"/>
      <c r="H1137" s="22">
        <f t="shared" si="17"/>
        <v>10</v>
      </c>
    </row>
    <row r="1138" spans="1:8" ht="15.75" customHeight="1">
      <c r="A1138" s="24" t="s">
        <v>3318</v>
      </c>
      <c r="B1138" s="24" t="s">
        <v>3319</v>
      </c>
      <c r="C1138" s="24"/>
      <c r="D1138" s="25"/>
      <c r="E1138" s="25"/>
      <c r="F1138" s="25">
        <v>10</v>
      </c>
      <c r="G1138" s="25"/>
      <c r="H1138" s="22">
        <f t="shared" si="17"/>
        <v>10</v>
      </c>
    </row>
    <row r="1139" spans="1:8" ht="15.75" customHeight="1">
      <c r="A1139" s="20" t="s">
        <v>3320</v>
      </c>
      <c r="B1139" s="20" t="s">
        <v>3321</v>
      </c>
      <c r="C1139" s="20"/>
      <c r="D1139" s="21"/>
      <c r="E1139" s="21"/>
      <c r="F1139" s="21">
        <v>10</v>
      </c>
      <c r="G1139" s="21"/>
      <c r="H1139" s="22">
        <f t="shared" si="17"/>
        <v>10</v>
      </c>
    </row>
    <row r="1140" spans="1:8" ht="15.75" customHeight="1">
      <c r="A1140" s="24" t="s">
        <v>3322</v>
      </c>
      <c r="B1140" s="24" t="s">
        <v>3323</v>
      </c>
      <c r="C1140" s="24"/>
      <c r="D1140" s="25"/>
      <c r="E1140" s="25"/>
      <c r="F1140" s="25">
        <v>10</v>
      </c>
      <c r="G1140" s="25"/>
      <c r="H1140" s="22">
        <f t="shared" si="17"/>
        <v>10</v>
      </c>
    </row>
    <row r="1141" spans="1:8" ht="15.75" customHeight="1">
      <c r="A1141" s="20" t="s">
        <v>3465</v>
      </c>
      <c r="B1141" s="20" t="s">
        <v>367</v>
      </c>
      <c r="C1141" s="20" t="s">
        <v>3466</v>
      </c>
      <c r="D1141" s="21"/>
      <c r="E1141" s="21"/>
      <c r="F1141" s="21"/>
      <c r="G1141" s="21">
        <v>1020</v>
      </c>
      <c r="H1141" s="22">
        <f t="shared" si="17"/>
        <v>1020</v>
      </c>
    </row>
    <row r="1142" spans="1:8" ht="15.75" customHeight="1">
      <c r="A1142" s="24" t="s">
        <v>3467</v>
      </c>
      <c r="B1142" s="24" t="s">
        <v>351</v>
      </c>
      <c r="C1142" s="24" t="s">
        <v>3468</v>
      </c>
      <c r="D1142" s="25"/>
      <c r="E1142" s="25"/>
      <c r="F1142" s="25"/>
      <c r="G1142" s="25">
        <v>1010</v>
      </c>
      <c r="H1142" s="22">
        <f t="shared" si="17"/>
        <v>1010</v>
      </c>
    </row>
    <row r="1143" spans="1:8" ht="15.75" customHeight="1">
      <c r="A1143" s="20" t="s">
        <v>3469</v>
      </c>
      <c r="B1143" s="20" t="s">
        <v>779</v>
      </c>
      <c r="C1143" s="20" t="s">
        <v>3470</v>
      </c>
      <c r="D1143" s="21"/>
      <c r="E1143" s="21"/>
      <c r="F1143" s="21"/>
      <c r="G1143" s="21">
        <v>1550</v>
      </c>
      <c r="H1143" s="22">
        <f t="shared" si="17"/>
        <v>1550</v>
      </c>
    </row>
    <row r="1144" spans="1:8" ht="15.75" customHeight="1">
      <c r="A1144" s="24" t="s">
        <v>3471</v>
      </c>
      <c r="B1144" s="24" t="s">
        <v>802</v>
      </c>
      <c r="C1144" s="24" t="s">
        <v>3472</v>
      </c>
      <c r="D1144" s="25"/>
      <c r="E1144" s="25"/>
      <c r="F1144" s="25"/>
      <c r="G1144" s="25">
        <v>1118</v>
      </c>
      <c r="H1144" s="22">
        <f t="shared" si="17"/>
        <v>1118</v>
      </c>
    </row>
    <row r="1145" spans="1:8" ht="15.75" customHeight="1">
      <c r="A1145" s="20" t="s">
        <v>3473</v>
      </c>
      <c r="B1145" s="20" t="s">
        <v>823</v>
      </c>
      <c r="C1145" s="20" t="s">
        <v>3474</v>
      </c>
      <c r="D1145" s="21"/>
      <c r="E1145" s="21"/>
      <c r="F1145" s="21"/>
      <c r="G1145" s="21">
        <v>1230</v>
      </c>
      <c r="H1145" s="22">
        <f t="shared" si="17"/>
        <v>1230</v>
      </c>
    </row>
    <row r="1146" spans="1:8" ht="15.75" customHeight="1">
      <c r="A1146" s="24" t="s">
        <v>3475</v>
      </c>
      <c r="B1146" s="24" t="s">
        <v>835</v>
      </c>
      <c r="C1146" s="24" t="s">
        <v>3476</v>
      </c>
      <c r="D1146" s="25"/>
      <c r="E1146" s="25"/>
      <c r="F1146" s="25"/>
      <c r="G1146" s="25">
        <v>1000</v>
      </c>
      <c r="H1146" s="22">
        <f t="shared" si="17"/>
        <v>1000</v>
      </c>
    </row>
    <row r="1147" spans="1:8" ht="15.75" customHeight="1">
      <c r="A1147" s="20" t="s">
        <v>3477</v>
      </c>
      <c r="B1147" s="20" t="s">
        <v>849</v>
      </c>
      <c r="C1147" s="20" t="s">
        <v>3478</v>
      </c>
      <c r="D1147" s="21"/>
      <c r="E1147" s="21"/>
      <c r="F1147" s="21"/>
      <c r="G1147" s="21">
        <v>150</v>
      </c>
      <c r="H1147" s="22">
        <f t="shared" si="17"/>
        <v>150</v>
      </c>
    </row>
    <row r="1148" spans="1:8" ht="15.75" customHeight="1">
      <c r="A1148" s="24" t="s">
        <v>3479</v>
      </c>
      <c r="B1148" s="24" t="s">
        <v>855</v>
      </c>
      <c r="C1148" s="24" t="s">
        <v>3480</v>
      </c>
      <c r="D1148" s="25"/>
      <c r="E1148" s="25"/>
      <c r="F1148" s="25"/>
      <c r="G1148" s="25">
        <v>150</v>
      </c>
      <c r="H1148" s="22">
        <f t="shared" si="17"/>
        <v>150</v>
      </c>
    </row>
    <row r="1149" spans="1:8" ht="15.75" customHeight="1">
      <c r="A1149" s="20" t="s">
        <v>3481</v>
      </c>
      <c r="B1149" s="20" t="s">
        <v>875</v>
      </c>
      <c r="C1149" s="20" t="s">
        <v>3482</v>
      </c>
      <c r="D1149" s="21"/>
      <c r="E1149" s="21"/>
      <c r="F1149" s="21"/>
      <c r="G1149" s="21">
        <v>150</v>
      </c>
      <c r="H1149" s="22">
        <f t="shared" si="17"/>
        <v>150</v>
      </c>
    </row>
    <row r="1150" spans="1:8" ht="15.75" customHeight="1">
      <c r="A1150" s="24" t="s">
        <v>3483</v>
      </c>
      <c r="B1150" s="24" t="s">
        <v>776</v>
      </c>
      <c r="C1150" s="24" t="s">
        <v>3484</v>
      </c>
      <c r="D1150" s="25"/>
      <c r="E1150" s="25"/>
      <c r="F1150" s="25"/>
      <c r="G1150" s="25">
        <v>100</v>
      </c>
      <c r="H1150" s="22">
        <f t="shared" si="17"/>
        <v>100</v>
      </c>
    </row>
    <row r="1151" spans="1:8" ht="15.75" customHeight="1">
      <c r="A1151" s="20" t="s">
        <v>3485</v>
      </c>
      <c r="B1151" s="20" t="s">
        <v>820</v>
      </c>
      <c r="C1151" s="20" t="s">
        <v>3486</v>
      </c>
      <c r="D1151" s="21"/>
      <c r="E1151" s="21"/>
      <c r="F1151" s="21"/>
      <c r="G1151" s="21">
        <v>100</v>
      </c>
      <c r="H1151" s="22">
        <f t="shared" si="17"/>
        <v>100</v>
      </c>
    </row>
    <row r="1152" spans="1:8" ht="15.75" customHeight="1">
      <c r="A1152" s="24" t="s">
        <v>3487</v>
      </c>
      <c r="B1152" s="24" t="s">
        <v>846</v>
      </c>
      <c r="C1152" s="24" t="s">
        <v>3488</v>
      </c>
      <c r="D1152" s="25"/>
      <c r="E1152" s="25"/>
      <c r="F1152" s="25"/>
      <c r="G1152" s="25">
        <v>100</v>
      </c>
      <c r="H1152" s="22">
        <f t="shared" si="17"/>
        <v>100</v>
      </c>
    </row>
    <row r="1153" spans="1:8" ht="15.75" customHeight="1">
      <c r="A1153" s="20" t="s">
        <v>3489</v>
      </c>
      <c r="B1153" s="20" t="s">
        <v>872</v>
      </c>
      <c r="C1153" s="20" t="s">
        <v>3490</v>
      </c>
      <c r="D1153" s="21"/>
      <c r="E1153" s="21"/>
      <c r="F1153" s="21"/>
      <c r="G1153" s="21">
        <v>100</v>
      </c>
      <c r="H1153" s="22">
        <f t="shared" si="17"/>
        <v>100</v>
      </c>
    </row>
    <row r="1154" spans="1:8" ht="15.75" customHeight="1">
      <c r="A1154" s="24" t="s">
        <v>3491</v>
      </c>
      <c r="B1154" s="24" t="s">
        <v>681</v>
      </c>
      <c r="C1154" s="24" t="s">
        <v>3492</v>
      </c>
      <c r="D1154" s="25"/>
      <c r="E1154" s="25"/>
      <c r="F1154" s="25"/>
      <c r="G1154" s="25">
        <v>30</v>
      </c>
      <c r="H1154" s="22">
        <f t="shared" si="17"/>
        <v>30</v>
      </c>
    </row>
    <row r="1155" spans="1:8" ht="15.75" customHeight="1">
      <c r="A1155" s="20" t="s">
        <v>3493</v>
      </c>
      <c r="B1155" s="20" t="s">
        <v>700</v>
      </c>
      <c r="C1155" s="20" t="s">
        <v>3494</v>
      </c>
      <c r="D1155" s="21"/>
      <c r="E1155" s="21"/>
      <c r="F1155" s="21"/>
      <c r="G1155" s="21">
        <v>10</v>
      </c>
      <c r="H1155" s="22">
        <f t="shared" si="17"/>
        <v>10</v>
      </c>
    </row>
    <row r="1156" spans="1:8" ht="15.75" customHeight="1">
      <c r="A1156" s="24" t="s">
        <v>3495</v>
      </c>
      <c r="B1156" s="24" t="s">
        <v>744</v>
      </c>
      <c r="C1156" s="24" t="s">
        <v>3496</v>
      </c>
      <c r="D1156" s="25"/>
      <c r="E1156" s="25"/>
      <c r="F1156" s="25"/>
      <c r="G1156" s="25">
        <v>452</v>
      </c>
      <c r="H1156" s="22">
        <f t="shared" ref="H1156:H1219" si="18">SUM(D1156:G1156)</f>
        <v>452</v>
      </c>
    </row>
    <row r="1157" spans="1:8" ht="15.75" customHeight="1">
      <c r="A1157" s="20" t="s">
        <v>3497</v>
      </c>
      <c r="B1157" s="20" t="s">
        <v>357</v>
      </c>
      <c r="C1157" s="20" t="s">
        <v>3498</v>
      </c>
      <c r="D1157" s="21"/>
      <c r="E1157" s="21"/>
      <c r="F1157" s="21"/>
      <c r="G1157" s="21">
        <v>1162</v>
      </c>
      <c r="H1157" s="22">
        <f t="shared" si="18"/>
        <v>1162</v>
      </c>
    </row>
    <row r="1158" spans="1:8" ht="15.75" customHeight="1">
      <c r="A1158" s="24" t="s">
        <v>3499</v>
      </c>
      <c r="B1158" s="24" t="s">
        <v>524</v>
      </c>
      <c r="C1158" s="24" t="s">
        <v>3500</v>
      </c>
      <c r="D1158" s="25"/>
      <c r="E1158" s="25"/>
      <c r="F1158" s="25"/>
      <c r="G1158" s="25">
        <v>10</v>
      </c>
      <c r="H1158" s="22">
        <f t="shared" si="18"/>
        <v>10</v>
      </c>
    </row>
    <row r="1159" spans="1:8" ht="15.75" customHeight="1">
      <c r="A1159" s="20" t="s">
        <v>3501</v>
      </c>
      <c r="B1159" s="20" t="s">
        <v>516</v>
      </c>
      <c r="C1159" s="20" t="s">
        <v>3502</v>
      </c>
      <c r="D1159" s="21"/>
      <c r="E1159" s="21"/>
      <c r="F1159" s="21"/>
      <c r="G1159" s="21">
        <v>1020</v>
      </c>
      <c r="H1159" s="22">
        <f t="shared" si="18"/>
        <v>1020</v>
      </c>
    </row>
    <row r="1160" spans="1:8" ht="15.75" customHeight="1">
      <c r="A1160" s="24" t="s">
        <v>3503</v>
      </c>
      <c r="B1160" s="24" t="s">
        <v>3504</v>
      </c>
      <c r="C1160" s="24" t="s">
        <v>59</v>
      </c>
      <c r="D1160" s="25"/>
      <c r="E1160" s="25"/>
      <c r="F1160" s="25"/>
      <c r="G1160" s="25">
        <v>1</v>
      </c>
      <c r="H1160" s="22">
        <f t="shared" si="18"/>
        <v>1</v>
      </c>
    </row>
    <row r="1161" spans="1:8" ht="15.75" customHeight="1">
      <c r="A1161" s="20" t="s">
        <v>1349</v>
      </c>
      <c r="B1161" s="20" t="s">
        <v>1350</v>
      </c>
      <c r="C1161" s="20" t="s">
        <v>32</v>
      </c>
      <c r="D1161" s="21">
        <v>20</v>
      </c>
      <c r="E1161" s="21"/>
      <c r="F1161" s="21">
        <v>12</v>
      </c>
      <c r="G1161" s="21"/>
      <c r="H1161" s="22">
        <f t="shared" si="18"/>
        <v>32</v>
      </c>
    </row>
    <row r="1162" spans="1:8" ht="15.75" customHeight="1">
      <c r="A1162" s="24" t="s">
        <v>1351</v>
      </c>
      <c r="B1162" s="24" t="s">
        <v>1350</v>
      </c>
      <c r="C1162" s="24" t="s">
        <v>184</v>
      </c>
      <c r="D1162" s="25">
        <v>35</v>
      </c>
      <c r="E1162" s="25"/>
      <c r="F1162" s="25"/>
      <c r="G1162" s="25"/>
      <c r="H1162" s="22">
        <f t="shared" si="18"/>
        <v>35</v>
      </c>
    </row>
    <row r="1163" spans="1:8" ht="15.75" customHeight="1">
      <c r="A1163" s="20" t="s">
        <v>1352</v>
      </c>
      <c r="B1163" s="20" t="s">
        <v>1350</v>
      </c>
      <c r="C1163" s="20" t="s">
        <v>22</v>
      </c>
      <c r="D1163" s="21">
        <v>20</v>
      </c>
      <c r="E1163" s="21"/>
      <c r="F1163" s="21"/>
      <c r="G1163" s="21"/>
      <c r="H1163" s="22">
        <f t="shared" si="18"/>
        <v>20</v>
      </c>
    </row>
    <row r="1164" spans="1:8" ht="15.75" customHeight="1">
      <c r="A1164" s="24" t="s">
        <v>3324</v>
      </c>
      <c r="B1164" s="24" t="s">
        <v>1350</v>
      </c>
      <c r="C1164" s="24" t="s">
        <v>24</v>
      </c>
      <c r="D1164" s="25"/>
      <c r="E1164" s="25"/>
      <c r="F1164" s="25">
        <v>4</v>
      </c>
      <c r="G1164" s="25">
        <v>6</v>
      </c>
      <c r="H1164" s="22">
        <f t="shared" si="18"/>
        <v>10</v>
      </c>
    </row>
    <row r="1165" spans="1:8" ht="15.75" customHeight="1">
      <c r="A1165" s="20" t="s">
        <v>1353</v>
      </c>
      <c r="B1165" s="20" t="s">
        <v>1350</v>
      </c>
      <c r="C1165" s="20" t="s">
        <v>57</v>
      </c>
      <c r="D1165" s="21">
        <v>8</v>
      </c>
      <c r="E1165" s="21"/>
      <c r="F1165" s="21"/>
      <c r="G1165" s="21"/>
      <c r="H1165" s="22">
        <f t="shared" si="18"/>
        <v>8</v>
      </c>
    </row>
    <row r="1166" spans="1:8" ht="15.75" customHeight="1">
      <c r="A1166" s="24" t="s">
        <v>1354</v>
      </c>
      <c r="B1166" s="24" t="s">
        <v>1355</v>
      </c>
      <c r="C1166" s="24" t="s">
        <v>170</v>
      </c>
      <c r="D1166" s="25">
        <v>24</v>
      </c>
      <c r="E1166" s="25"/>
      <c r="F1166" s="25"/>
      <c r="G1166" s="25"/>
      <c r="H1166" s="22">
        <f t="shared" si="18"/>
        <v>24</v>
      </c>
    </row>
    <row r="1167" spans="1:8" ht="15.75" customHeight="1">
      <c r="A1167" s="20" t="s">
        <v>1356</v>
      </c>
      <c r="B1167" s="20" t="s">
        <v>1357</v>
      </c>
      <c r="C1167" s="20" t="s">
        <v>20</v>
      </c>
      <c r="D1167" s="21">
        <v>97</v>
      </c>
      <c r="E1167" s="21"/>
      <c r="F1167" s="21"/>
      <c r="G1167" s="21"/>
      <c r="H1167" s="22">
        <f t="shared" si="18"/>
        <v>97</v>
      </c>
    </row>
    <row r="1168" spans="1:8" ht="15.75" customHeight="1">
      <c r="A1168" s="24" t="s">
        <v>1358</v>
      </c>
      <c r="B1168" s="24" t="s">
        <v>1357</v>
      </c>
      <c r="C1168" s="24" t="s">
        <v>170</v>
      </c>
      <c r="D1168" s="25">
        <v>20</v>
      </c>
      <c r="E1168" s="25"/>
      <c r="F1168" s="25"/>
      <c r="G1168" s="25"/>
      <c r="H1168" s="22">
        <f t="shared" si="18"/>
        <v>20</v>
      </c>
    </row>
    <row r="1169" spans="1:8" ht="15.75" customHeight="1">
      <c r="A1169" s="20" t="s">
        <v>1359</v>
      </c>
      <c r="B1169" s="20" t="s">
        <v>1357</v>
      </c>
      <c r="C1169" s="20" t="s">
        <v>32</v>
      </c>
      <c r="D1169" s="21">
        <v>31</v>
      </c>
      <c r="E1169" s="21"/>
      <c r="F1169" s="21"/>
      <c r="G1169" s="21"/>
      <c r="H1169" s="22">
        <f t="shared" si="18"/>
        <v>31</v>
      </c>
    </row>
    <row r="1170" spans="1:8" ht="15.75" customHeight="1">
      <c r="A1170" s="24" t="s">
        <v>2759</v>
      </c>
      <c r="B1170" s="24" t="s">
        <v>1357</v>
      </c>
      <c r="C1170" s="24" t="s">
        <v>186</v>
      </c>
      <c r="D1170" s="25"/>
      <c r="E1170" s="25">
        <v>5</v>
      </c>
      <c r="F1170" s="25"/>
      <c r="G1170" s="25"/>
      <c r="H1170" s="22">
        <f t="shared" si="18"/>
        <v>5</v>
      </c>
    </row>
    <row r="1171" spans="1:8" ht="15.75" customHeight="1">
      <c r="A1171" s="20" t="s">
        <v>2760</v>
      </c>
      <c r="B1171" s="20" t="s">
        <v>1357</v>
      </c>
      <c r="C1171" s="20" t="s">
        <v>22</v>
      </c>
      <c r="D1171" s="21"/>
      <c r="E1171" s="21">
        <v>30</v>
      </c>
      <c r="F1171" s="21"/>
      <c r="G1171" s="21"/>
      <c r="H1171" s="22">
        <f t="shared" si="18"/>
        <v>30</v>
      </c>
    </row>
    <row r="1172" spans="1:8" ht="15.75" customHeight="1">
      <c r="A1172" s="24" t="s">
        <v>1360</v>
      </c>
      <c r="B1172" s="24" t="s">
        <v>1357</v>
      </c>
      <c r="C1172" s="24" t="s">
        <v>26</v>
      </c>
      <c r="D1172" s="25">
        <v>344</v>
      </c>
      <c r="E1172" s="25"/>
      <c r="F1172" s="25"/>
      <c r="G1172" s="25"/>
      <c r="H1172" s="22">
        <f t="shared" si="18"/>
        <v>344</v>
      </c>
    </row>
    <row r="1173" spans="1:8" ht="15.75" customHeight="1">
      <c r="A1173" s="20" t="s">
        <v>1361</v>
      </c>
      <c r="B1173" s="20" t="s">
        <v>1357</v>
      </c>
      <c r="C1173" s="20" t="s">
        <v>57</v>
      </c>
      <c r="D1173" s="21">
        <v>30</v>
      </c>
      <c r="E1173" s="21"/>
      <c r="F1173" s="21"/>
      <c r="G1173" s="21"/>
      <c r="H1173" s="22">
        <f t="shared" si="18"/>
        <v>30</v>
      </c>
    </row>
    <row r="1174" spans="1:8" ht="15.75" customHeight="1">
      <c r="A1174" s="24" t="s">
        <v>2761</v>
      </c>
      <c r="B1174" s="24" t="s">
        <v>1357</v>
      </c>
      <c r="C1174" s="24" t="s">
        <v>259</v>
      </c>
      <c r="D1174" s="25"/>
      <c r="E1174" s="25">
        <v>40</v>
      </c>
      <c r="F1174" s="25"/>
      <c r="G1174" s="25"/>
      <c r="H1174" s="22">
        <f t="shared" si="18"/>
        <v>40</v>
      </c>
    </row>
    <row r="1175" spans="1:8" ht="15.75" customHeight="1">
      <c r="A1175" s="20" t="s">
        <v>1362</v>
      </c>
      <c r="B1175" s="20" t="s">
        <v>1363</v>
      </c>
      <c r="C1175" s="20" t="s">
        <v>20</v>
      </c>
      <c r="D1175" s="21">
        <v>42</v>
      </c>
      <c r="E1175" s="21"/>
      <c r="F1175" s="21"/>
      <c r="G1175" s="21"/>
      <c r="H1175" s="22">
        <f t="shared" si="18"/>
        <v>42</v>
      </c>
    </row>
    <row r="1176" spans="1:8" ht="15.75" customHeight="1">
      <c r="A1176" s="24" t="s">
        <v>1364</v>
      </c>
      <c r="B1176" s="24" t="s">
        <v>1363</v>
      </c>
      <c r="C1176" s="24" t="s">
        <v>32</v>
      </c>
      <c r="D1176" s="25">
        <v>6</v>
      </c>
      <c r="E1176" s="25"/>
      <c r="F1176" s="25"/>
      <c r="G1176" s="25"/>
      <c r="H1176" s="22">
        <f t="shared" si="18"/>
        <v>6</v>
      </c>
    </row>
    <row r="1177" spans="1:8" ht="15.75" customHeight="1">
      <c r="A1177" s="20" t="s">
        <v>1365</v>
      </c>
      <c r="B1177" s="20" t="s">
        <v>1363</v>
      </c>
      <c r="C1177" s="20" t="s">
        <v>22</v>
      </c>
      <c r="D1177" s="21">
        <v>20</v>
      </c>
      <c r="E1177" s="21"/>
      <c r="F1177" s="21"/>
      <c r="G1177" s="21"/>
      <c r="H1177" s="22">
        <f t="shared" si="18"/>
        <v>20</v>
      </c>
    </row>
    <row r="1178" spans="1:8" ht="15.75" customHeight="1">
      <c r="A1178" s="24" t="s">
        <v>1366</v>
      </c>
      <c r="B1178" s="24" t="s">
        <v>1363</v>
      </c>
      <c r="C1178" s="24" t="s">
        <v>26</v>
      </c>
      <c r="D1178" s="25">
        <v>59</v>
      </c>
      <c r="E1178" s="25"/>
      <c r="F1178" s="25"/>
      <c r="G1178" s="25"/>
      <c r="H1178" s="22">
        <f t="shared" si="18"/>
        <v>59</v>
      </c>
    </row>
    <row r="1179" spans="1:8" ht="15.75" customHeight="1">
      <c r="A1179" s="20" t="s">
        <v>1367</v>
      </c>
      <c r="B1179" s="20" t="s">
        <v>1363</v>
      </c>
      <c r="C1179" s="20" t="s">
        <v>57</v>
      </c>
      <c r="D1179" s="21">
        <v>27</v>
      </c>
      <c r="E1179" s="21"/>
      <c r="F1179" s="21"/>
      <c r="G1179" s="21"/>
      <c r="H1179" s="22">
        <f t="shared" si="18"/>
        <v>27</v>
      </c>
    </row>
    <row r="1180" spans="1:8" ht="15.75" customHeight="1">
      <c r="A1180" s="24" t="s">
        <v>1368</v>
      </c>
      <c r="B1180" s="24" t="s">
        <v>1355</v>
      </c>
      <c r="C1180" s="24" t="s">
        <v>259</v>
      </c>
      <c r="D1180" s="25">
        <v>54</v>
      </c>
      <c r="E1180" s="25"/>
      <c r="F1180" s="25"/>
      <c r="G1180" s="25"/>
      <c r="H1180" s="22">
        <f t="shared" si="18"/>
        <v>54</v>
      </c>
    </row>
    <row r="1181" spans="1:8" ht="15.75" customHeight="1">
      <c r="A1181" s="20" t="s">
        <v>1369</v>
      </c>
      <c r="B1181" s="20" t="s">
        <v>1370</v>
      </c>
      <c r="C1181" s="20" t="s">
        <v>20</v>
      </c>
      <c r="D1181" s="21">
        <v>2</v>
      </c>
      <c r="E1181" s="21"/>
      <c r="F1181" s="21"/>
      <c r="G1181" s="21"/>
      <c r="H1181" s="22">
        <f t="shared" si="18"/>
        <v>2</v>
      </c>
    </row>
    <row r="1182" spans="1:8" ht="15.75" customHeight="1">
      <c r="A1182" s="24" t="s">
        <v>1371</v>
      </c>
      <c r="B1182" s="24" t="s">
        <v>1370</v>
      </c>
      <c r="C1182" s="24" t="s">
        <v>32</v>
      </c>
      <c r="D1182" s="25">
        <v>20</v>
      </c>
      <c r="E1182" s="25"/>
      <c r="F1182" s="25"/>
      <c r="G1182" s="25"/>
      <c r="H1182" s="22">
        <f t="shared" si="18"/>
        <v>20</v>
      </c>
    </row>
    <row r="1183" spans="1:8" ht="15.75" customHeight="1">
      <c r="A1183" s="20" t="s">
        <v>1372</v>
      </c>
      <c r="B1183" s="20" t="s">
        <v>1373</v>
      </c>
      <c r="C1183" s="20" t="s">
        <v>20</v>
      </c>
      <c r="D1183" s="21">
        <v>2</v>
      </c>
      <c r="E1183" s="21"/>
      <c r="F1183" s="21"/>
      <c r="G1183" s="21"/>
      <c r="H1183" s="22">
        <f t="shared" si="18"/>
        <v>2</v>
      </c>
    </row>
    <row r="1184" spans="1:8" ht="15.75" customHeight="1">
      <c r="A1184" s="24" t="s">
        <v>1374</v>
      </c>
      <c r="B1184" s="24" t="s">
        <v>1363</v>
      </c>
      <c r="C1184" s="24" t="s">
        <v>118</v>
      </c>
      <c r="D1184" s="25">
        <v>57</v>
      </c>
      <c r="E1184" s="25">
        <v>49</v>
      </c>
      <c r="F1184" s="25"/>
      <c r="G1184" s="25"/>
      <c r="H1184" s="22">
        <f t="shared" si="18"/>
        <v>106</v>
      </c>
    </row>
    <row r="1185" spans="1:8" ht="15.75" customHeight="1">
      <c r="A1185" s="20" t="s">
        <v>1375</v>
      </c>
      <c r="B1185" s="20" t="s">
        <v>1357</v>
      </c>
      <c r="C1185" s="20" t="s">
        <v>118</v>
      </c>
      <c r="D1185" s="21">
        <v>13</v>
      </c>
      <c r="E1185" s="21"/>
      <c r="F1185" s="21"/>
      <c r="G1185" s="21"/>
      <c r="H1185" s="22">
        <f t="shared" si="18"/>
        <v>13</v>
      </c>
    </row>
    <row r="1186" spans="1:8" ht="15.75" customHeight="1">
      <c r="A1186" s="24" t="s">
        <v>1376</v>
      </c>
      <c r="B1186" s="24" t="s">
        <v>1357</v>
      </c>
      <c r="C1186" s="24" t="s">
        <v>24</v>
      </c>
      <c r="D1186" s="25">
        <v>30</v>
      </c>
      <c r="E1186" s="25"/>
      <c r="F1186" s="25"/>
      <c r="G1186" s="25"/>
      <c r="H1186" s="22">
        <f t="shared" si="18"/>
        <v>30</v>
      </c>
    </row>
    <row r="1187" spans="1:8" ht="15.75" customHeight="1">
      <c r="A1187" s="20" t="s">
        <v>1377</v>
      </c>
      <c r="B1187" s="20" t="s">
        <v>1355</v>
      </c>
      <c r="C1187" s="20" t="s">
        <v>20</v>
      </c>
      <c r="D1187" s="21">
        <v>6</v>
      </c>
      <c r="E1187" s="21"/>
      <c r="F1187" s="21"/>
      <c r="G1187" s="21"/>
      <c r="H1187" s="22">
        <f t="shared" si="18"/>
        <v>6</v>
      </c>
    </row>
    <row r="1188" spans="1:8" ht="15.75" customHeight="1">
      <c r="A1188" s="24" t="s">
        <v>2762</v>
      </c>
      <c r="B1188" s="24" t="s">
        <v>1382</v>
      </c>
      <c r="C1188" s="24" t="s">
        <v>24</v>
      </c>
      <c r="D1188" s="25"/>
      <c r="E1188" s="25">
        <v>2</v>
      </c>
      <c r="F1188" s="25"/>
      <c r="G1188" s="25"/>
      <c r="H1188" s="22">
        <f t="shared" si="18"/>
        <v>2</v>
      </c>
    </row>
    <row r="1189" spans="1:8" ht="15.75" customHeight="1">
      <c r="A1189" s="20" t="s">
        <v>1378</v>
      </c>
      <c r="B1189" s="20" t="s">
        <v>1379</v>
      </c>
      <c r="C1189" s="20" t="s">
        <v>24</v>
      </c>
      <c r="D1189" s="21">
        <v>15</v>
      </c>
      <c r="E1189" s="21"/>
      <c r="F1189" s="21"/>
      <c r="G1189" s="21"/>
      <c r="H1189" s="22">
        <f t="shared" si="18"/>
        <v>15</v>
      </c>
    </row>
    <row r="1190" spans="1:8" ht="15.75" customHeight="1">
      <c r="A1190" s="24" t="s">
        <v>1380</v>
      </c>
      <c r="B1190" s="24" t="s">
        <v>1379</v>
      </c>
      <c r="C1190" s="24" t="s">
        <v>118</v>
      </c>
      <c r="D1190" s="25">
        <v>2</v>
      </c>
      <c r="E1190" s="25"/>
      <c r="F1190" s="25"/>
      <c r="G1190" s="25"/>
      <c r="H1190" s="22">
        <f t="shared" si="18"/>
        <v>2</v>
      </c>
    </row>
    <row r="1191" spans="1:8" ht="15.75" customHeight="1">
      <c r="A1191" s="20" t="s">
        <v>1381</v>
      </c>
      <c r="B1191" s="20" t="s">
        <v>1382</v>
      </c>
      <c r="C1191" s="20" t="s">
        <v>32</v>
      </c>
      <c r="D1191" s="21">
        <v>6</v>
      </c>
      <c r="E1191" s="21"/>
      <c r="F1191" s="21"/>
      <c r="G1191" s="21"/>
      <c r="H1191" s="22">
        <f t="shared" si="18"/>
        <v>6</v>
      </c>
    </row>
    <row r="1192" spans="1:8" ht="15.75" customHeight="1">
      <c r="A1192" s="24" t="s">
        <v>1383</v>
      </c>
      <c r="B1192" s="24" t="s">
        <v>1357</v>
      </c>
      <c r="C1192" s="24" t="s">
        <v>1384</v>
      </c>
      <c r="D1192" s="25">
        <v>4</v>
      </c>
      <c r="E1192" s="25"/>
      <c r="F1192" s="25"/>
      <c r="G1192" s="25"/>
      <c r="H1192" s="22">
        <f t="shared" si="18"/>
        <v>4</v>
      </c>
    </row>
    <row r="1193" spans="1:8" ht="15.75" customHeight="1">
      <c r="A1193" s="20" t="s">
        <v>1385</v>
      </c>
      <c r="B1193" s="20" t="s">
        <v>1357</v>
      </c>
      <c r="C1193" s="20" t="s">
        <v>1386</v>
      </c>
      <c r="D1193" s="21">
        <v>4</v>
      </c>
      <c r="E1193" s="21"/>
      <c r="F1193" s="21"/>
      <c r="G1193" s="21"/>
      <c r="H1193" s="22">
        <f t="shared" si="18"/>
        <v>4</v>
      </c>
    </row>
    <row r="1194" spans="1:8" ht="15.75" customHeight="1">
      <c r="A1194" s="24" t="s">
        <v>1387</v>
      </c>
      <c r="B1194" s="24" t="s">
        <v>1388</v>
      </c>
      <c r="C1194" s="24" t="s">
        <v>24</v>
      </c>
      <c r="D1194" s="25">
        <v>41</v>
      </c>
      <c r="E1194" s="25"/>
      <c r="F1194" s="25">
        <v>28</v>
      </c>
      <c r="G1194" s="25"/>
      <c r="H1194" s="22">
        <f t="shared" si="18"/>
        <v>69</v>
      </c>
    </row>
    <row r="1195" spans="1:8" ht="15.75" customHeight="1">
      <c r="A1195" s="20" t="s">
        <v>2763</v>
      </c>
      <c r="B1195" s="20" t="s">
        <v>1390</v>
      </c>
      <c r="C1195" s="20" t="s">
        <v>20</v>
      </c>
      <c r="D1195" s="21"/>
      <c r="E1195" s="21">
        <v>2</v>
      </c>
      <c r="F1195" s="21"/>
      <c r="G1195" s="21"/>
      <c r="H1195" s="22">
        <f t="shared" si="18"/>
        <v>2</v>
      </c>
    </row>
    <row r="1196" spans="1:8" ht="15.75" customHeight="1">
      <c r="A1196" s="24" t="s">
        <v>1389</v>
      </c>
      <c r="B1196" s="24" t="s">
        <v>1390</v>
      </c>
      <c r="C1196" s="24" t="s">
        <v>57</v>
      </c>
      <c r="D1196" s="25">
        <v>13</v>
      </c>
      <c r="E1196" s="25"/>
      <c r="F1196" s="25"/>
      <c r="G1196" s="25"/>
      <c r="H1196" s="22">
        <f t="shared" si="18"/>
        <v>13</v>
      </c>
    </row>
    <row r="1197" spans="1:8" ht="15.75" customHeight="1">
      <c r="A1197" s="20" t="s">
        <v>1391</v>
      </c>
      <c r="B1197" s="20" t="s">
        <v>1392</v>
      </c>
      <c r="C1197" s="20" t="s">
        <v>1393</v>
      </c>
      <c r="D1197" s="21">
        <v>30</v>
      </c>
      <c r="E1197" s="21"/>
      <c r="F1197" s="21"/>
      <c r="G1197" s="21"/>
      <c r="H1197" s="22">
        <f t="shared" si="18"/>
        <v>30</v>
      </c>
    </row>
    <row r="1198" spans="1:8" ht="15.75" customHeight="1">
      <c r="A1198" s="24" t="s">
        <v>2764</v>
      </c>
      <c r="B1198" s="24" t="s">
        <v>1392</v>
      </c>
      <c r="C1198" s="24" t="s">
        <v>47</v>
      </c>
      <c r="D1198" s="25"/>
      <c r="E1198" s="25">
        <v>6</v>
      </c>
      <c r="F1198" s="25"/>
      <c r="G1198" s="25"/>
      <c r="H1198" s="22">
        <f t="shared" si="18"/>
        <v>6</v>
      </c>
    </row>
    <row r="1199" spans="1:8" ht="15.75" customHeight="1">
      <c r="A1199" s="20" t="s">
        <v>2765</v>
      </c>
      <c r="B1199" s="20" t="s">
        <v>1382</v>
      </c>
      <c r="C1199" s="20" t="s">
        <v>47</v>
      </c>
      <c r="D1199" s="21"/>
      <c r="E1199" s="21">
        <v>4</v>
      </c>
      <c r="F1199" s="21"/>
      <c r="G1199" s="21"/>
      <c r="H1199" s="22">
        <f t="shared" si="18"/>
        <v>4</v>
      </c>
    </row>
    <row r="1200" spans="1:8" ht="15.75" customHeight="1">
      <c r="A1200" s="24" t="s">
        <v>3325</v>
      </c>
      <c r="B1200" s="24" t="s">
        <v>3326</v>
      </c>
      <c r="C1200" s="24" t="s">
        <v>3327</v>
      </c>
      <c r="D1200" s="25"/>
      <c r="E1200" s="25"/>
      <c r="F1200" s="25">
        <v>24</v>
      </c>
      <c r="G1200" s="25"/>
      <c r="H1200" s="22">
        <f t="shared" si="18"/>
        <v>24</v>
      </c>
    </row>
    <row r="1201" spans="1:8" ht="15.75" customHeight="1">
      <c r="A1201" s="20" t="s">
        <v>1394</v>
      </c>
      <c r="B1201" s="20" t="s">
        <v>1395</v>
      </c>
      <c r="C1201" s="20" t="s">
        <v>1396</v>
      </c>
      <c r="D1201" s="21">
        <v>39</v>
      </c>
      <c r="E1201" s="21">
        <v>1</v>
      </c>
      <c r="F1201" s="21"/>
      <c r="G1201" s="21"/>
      <c r="H1201" s="22">
        <f t="shared" si="18"/>
        <v>40</v>
      </c>
    </row>
    <row r="1202" spans="1:8" ht="15.75" customHeight="1">
      <c r="A1202" s="24" t="s">
        <v>1397</v>
      </c>
      <c r="B1202" s="24" t="s">
        <v>1398</v>
      </c>
      <c r="C1202" s="24" t="s">
        <v>1396</v>
      </c>
      <c r="D1202" s="25">
        <v>107</v>
      </c>
      <c r="E1202" s="25">
        <v>55</v>
      </c>
      <c r="F1202" s="25">
        <v>62</v>
      </c>
      <c r="G1202" s="25">
        <v>68</v>
      </c>
      <c r="H1202" s="22">
        <f t="shared" si="18"/>
        <v>292</v>
      </c>
    </row>
    <row r="1203" spans="1:8" ht="15.75" customHeight="1">
      <c r="A1203" s="20" t="s">
        <v>1399</v>
      </c>
      <c r="B1203" s="20" t="s">
        <v>1400</v>
      </c>
      <c r="C1203" s="20" t="s">
        <v>284</v>
      </c>
      <c r="D1203" s="21">
        <v>288</v>
      </c>
      <c r="E1203" s="21"/>
      <c r="F1203" s="21"/>
      <c r="G1203" s="21"/>
      <c r="H1203" s="22">
        <f t="shared" si="18"/>
        <v>288</v>
      </c>
    </row>
    <row r="1204" spans="1:8" ht="15.75" customHeight="1">
      <c r="A1204" s="24" t="s">
        <v>1401</v>
      </c>
      <c r="B1204" s="24" t="s">
        <v>1402</v>
      </c>
      <c r="C1204" s="24" t="s">
        <v>1396</v>
      </c>
      <c r="D1204" s="25">
        <v>1068</v>
      </c>
      <c r="E1204" s="25">
        <v>811</v>
      </c>
      <c r="F1204" s="25">
        <v>397</v>
      </c>
      <c r="G1204" s="25">
        <v>100</v>
      </c>
      <c r="H1204" s="22">
        <f t="shared" si="18"/>
        <v>2376</v>
      </c>
    </row>
    <row r="1205" spans="1:8" ht="15.75" customHeight="1">
      <c r="A1205" s="20" t="s">
        <v>2766</v>
      </c>
      <c r="B1205" s="20" t="s">
        <v>2767</v>
      </c>
      <c r="C1205" s="20" t="s">
        <v>2768</v>
      </c>
      <c r="D1205" s="21"/>
      <c r="E1205" s="21">
        <v>392</v>
      </c>
      <c r="F1205" s="21">
        <v>39</v>
      </c>
      <c r="G1205" s="21"/>
      <c r="H1205" s="22">
        <f t="shared" si="18"/>
        <v>431</v>
      </c>
    </row>
    <row r="1206" spans="1:8" ht="15.75" customHeight="1">
      <c r="A1206" s="24" t="s">
        <v>1403</v>
      </c>
      <c r="B1206" s="24" t="s">
        <v>1404</v>
      </c>
      <c r="C1206" s="24" t="s">
        <v>284</v>
      </c>
      <c r="D1206" s="25">
        <v>2276</v>
      </c>
      <c r="E1206" s="25">
        <v>2598</v>
      </c>
      <c r="F1206" s="25">
        <v>420</v>
      </c>
      <c r="G1206" s="25"/>
      <c r="H1206" s="22">
        <f t="shared" si="18"/>
        <v>5294</v>
      </c>
    </row>
    <row r="1207" spans="1:8" ht="15.75" customHeight="1">
      <c r="A1207" s="20" t="s">
        <v>1405</v>
      </c>
      <c r="B1207" s="20" t="s">
        <v>1406</v>
      </c>
      <c r="C1207" s="20" t="s">
        <v>1396</v>
      </c>
      <c r="D1207" s="21">
        <v>438</v>
      </c>
      <c r="E1207" s="21">
        <v>500</v>
      </c>
      <c r="F1207" s="21">
        <v>895</v>
      </c>
      <c r="G1207" s="21">
        <v>20</v>
      </c>
      <c r="H1207" s="22">
        <f t="shared" si="18"/>
        <v>1853</v>
      </c>
    </row>
    <row r="1208" spans="1:8" ht="15.75" customHeight="1">
      <c r="A1208" s="24" t="s">
        <v>1407</v>
      </c>
      <c r="B1208" s="24" t="s">
        <v>1408</v>
      </c>
      <c r="C1208" s="24" t="s">
        <v>284</v>
      </c>
      <c r="D1208" s="25">
        <v>1855</v>
      </c>
      <c r="E1208" s="25">
        <v>2460</v>
      </c>
      <c r="F1208" s="25">
        <v>2625</v>
      </c>
      <c r="G1208" s="25">
        <v>750</v>
      </c>
      <c r="H1208" s="22">
        <f t="shared" si="18"/>
        <v>7690</v>
      </c>
    </row>
    <row r="1209" spans="1:8" ht="15.75" customHeight="1">
      <c r="A1209" s="20" t="s">
        <v>3328</v>
      </c>
      <c r="B1209" s="20" t="s">
        <v>3329</v>
      </c>
      <c r="C1209" s="20" t="s">
        <v>284</v>
      </c>
      <c r="D1209" s="21"/>
      <c r="E1209" s="21"/>
      <c r="F1209" s="21">
        <v>266</v>
      </c>
      <c r="G1209" s="21">
        <v>60</v>
      </c>
      <c r="H1209" s="22">
        <f t="shared" si="18"/>
        <v>326</v>
      </c>
    </row>
    <row r="1210" spans="1:8" ht="15.75" customHeight="1">
      <c r="A1210" s="24" t="s">
        <v>1409</v>
      </c>
      <c r="B1210" s="24" t="s">
        <v>1410</v>
      </c>
      <c r="C1210" s="24" t="s">
        <v>1411</v>
      </c>
      <c r="D1210" s="25">
        <v>404</v>
      </c>
      <c r="E1210" s="25">
        <v>11</v>
      </c>
      <c r="F1210" s="25">
        <v>158</v>
      </c>
      <c r="G1210" s="25"/>
      <c r="H1210" s="22">
        <f t="shared" si="18"/>
        <v>573</v>
      </c>
    </row>
    <row r="1211" spans="1:8" ht="15.75" customHeight="1">
      <c r="A1211" s="20" t="s">
        <v>1412</v>
      </c>
      <c r="B1211" s="20" t="s">
        <v>1413</v>
      </c>
      <c r="C1211" s="20" t="s">
        <v>284</v>
      </c>
      <c r="D1211" s="21">
        <v>173</v>
      </c>
      <c r="E1211" s="21">
        <v>160</v>
      </c>
      <c r="F1211" s="21">
        <v>94</v>
      </c>
      <c r="G1211" s="21"/>
      <c r="H1211" s="22">
        <f t="shared" si="18"/>
        <v>427</v>
      </c>
    </row>
    <row r="1212" spans="1:8" ht="15.75" customHeight="1">
      <c r="A1212" s="24" t="s">
        <v>1414</v>
      </c>
      <c r="B1212" s="24" t="s">
        <v>1415</v>
      </c>
      <c r="C1212" s="24" t="s">
        <v>1396</v>
      </c>
      <c r="D1212" s="25">
        <v>3033</v>
      </c>
      <c r="E1212" s="25">
        <v>484</v>
      </c>
      <c r="F1212" s="25">
        <v>986</v>
      </c>
      <c r="G1212" s="25">
        <v>111</v>
      </c>
      <c r="H1212" s="22">
        <f t="shared" si="18"/>
        <v>4614</v>
      </c>
    </row>
    <row r="1213" spans="1:8" ht="15.75" customHeight="1">
      <c r="A1213" s="20" t="s">
        <v>1416</v>
      </c>
      <c r="B1213" s="20" t="s">
        <v>1417</v>
      </c>
      <c r="C1213" s="20" t="s">
        <v>284</v>
      </c>
      <c r="D1213" s="21">
        <v>23303</v>
      </c>
      <c r="E1213" s="21">
        <v>9725</v>
      </c>
      <c r="F1213" s="21">
        <v>15442</v>
      </c>
      <c r="G1213" s="21">
        <v>11788</v>
      </c>
      <c r="H1213" s="22">
        <f t="shared" si="18"/>
        <v>60258</v>
      </c>
    </row>
    <row r="1214" spans="1:8" ht="15.75" customHeight="1">
      <c r="A1214" s="24" t="s">
        <v>1418</v>
      </c>
      <c r="B1214" s="24" t="s">
        <v>1419</v>
      </c>
      <c r="C1214" s="24" t="s">
        <v>284</v>
      </c>
      <c r="D1214" s="25">
        <v>241</v>
      </c>
      <c r="E1214" s="25"/>
      <c r="F1214" s="25"/>
      <c r="G1214" s="25"/>
      <c r="H1214" s="22">
        <f t="shared" si="18"/>
        <v>241</v>
      </c>
    </row>
    <row r="1215" spans="1:8" ht="15.75" customHeight="1">
      <c r="A1215" s="20" t="s">
        <v>2769</v>
      </c>
      <c r="B1215" s="20" t="s">
        <v>2770</v>
      </c>
      <c r="C1215" s="20" t="s">
        <v>2771</v>
      </c>
      <c r="D1215" s="21"/>
      <c r="E1215" s="21">
        <v>4</v>
      </c>
      <c r="F1215" s="21"/>
      <c r="G1215" s="21"/>
      <c r="H1215" s="22">
        <f t="shared" si="18"/>
        <v>4</v>
      </c>
    </row>
    <row r="1216" spans="1:8" ht="15.75" customHeight="1">
      <c r="A1216" s="24" t="s">
        <v>1420</v>
      </c>
      <c r="B1216" s="24" t="s">
        <v>1421</v>
      </c>
      <c r="C1216" s="24" t="s">
        <v>284</v>
      </c>
      <c r="D1216" s="25">
        <v>3802</v>
      </c>
      <c r="E1216" s="25">
        <v>4749</v>
      </c>
      <c r="F1216" s="25">
        <v>2875</v>
      </c>
      <c r="G1216" s="25">
        <v>472</v>
      </c>
      <c r="H1216" s="22">
        <f t="shared" si="18"/>
        <v>11898</v>
      </c>
    </row>
    <row r="1217" spans="1:8" ht="15.75" customHeight="1">
      <c r="A1217" s="20" t="s">
        <v>3330</v>
      </c>
      <c r="B1217" s="20" t="s">
        <v>3331</v>
      </c>
      <c r="C1217" s="20" t="s">
        <v>284</v>
      </c>
      <c r="D1217" s="21"/>
      <c r="E1217" s="21"/>
      <c r="F1217" s="21">
        <v>184</v>
      </c>
      <c r="G1217" s="21"/>
      <c r="H1217" s="22">
        <f t="shared" si="18"/>
        <v>184</v>
      </c>
    </row>
    <row r="1218" spans="1:8" ht="15.75" customHeight="1">
      <c r="A1218" s="24" t="s">
        <v>1422</v>
      </c>
      <c r="B1218" s="24" t="s">
        <v>1423</v>
      </c>
      <c r="C1218" s="24" t="s">
        <v>284</v>
      </c>
      <c r="D1218" s="25">
        <v>120</v>
      </c>
      <c r="E1218" s="25">
        <v>69</v>
      </c>
      <c r="F1218" s="25">
        <v>209</v>
      </c>
      <c r="G1218" s="25">
        <v>70</v>
      </c>
      <c r="H1218" s="22">
        <f t="shared" si="18"/>
        <v>468</v>
      </c>
    </row>
    <row r="1219" spans="1:8" ht="15.75" customHeight="1">
      <c r="A1219" s="20" t="s">
        <v>1424</v>
      </c>
      <c r="B1219" s="20" t="s">
        <v>1415</v>
      </c>
      <c r="C1219" s="20" t="s">
        <v>1425</v>
      </c>
      <c r="D1219" s="21">
        <v>784</v>
      </c>
      <c r="E1219" s="21">
        <v>638</v>
      </c>
      <c r="F1219" s="21">
        <v>240</v>
      </c>
      <c r="G1219" s="21">
        <v>153</v>
      </c>
      <c r="H1219" s="22">
        <f t="shared" si="18"/>
        <v>1815</v>
      </c>
    </row>
    <row r="1220" spans="1:8" ht="15.75" customHeight="1">
      <c r="A1220" s="24" t="s">
        <v>1426</v>
      </c>
      <c r="B1220" s="24" t="s">
        <v>1406</v>
      </c>
      <c r="C1220" s="24" t="s">
        <v>1425</v>
      </c>
      <c r="D1220" s="25">
        <v>10</v>
      </c>
      <c r="E1220" s="25">
        <v>175</v>
      </c>
      <c r="F1220" s="25">
        <v>7</v>
      </c>
      <c r="G1220" s="25"/>
      <c r="H1220" s="22">
        <f t="shared" ref="H1220:H1283" si="19">SUM(D1220:G1220)</f>
        <v>192</v>
      </c>
    </row>
    <row r="1221" spans="1:8" ht="15.75" customHeight="1">
      <c r="A1221" s="20" t="s">
        <v>1427</v>
      </c>
      <c r="B1221" s="20" t="s">
        <v>1428</v>
      </c>
      <c r="C1221" s="20" t="s">
        <v>1429</v>
      </c>
      <c r="D1221" s="21">
        <v>81</v>
      </c>
      <c r="E1221" s="21">
        <v>160</v>
      </c>
      <c r="F1221" s="21">
        <v>50</v>
      </c>
      <c r="G1221" s="21"/>
      <c r="H1221" s="22">
        <f t="shared" si="19"/>
        <v>291</v>
      </c>
    </row>
    <row r="1222" spans="1:8" ht="15.75" customHeight="1">
      <c r="A1222" s="24" t="s">
        <v>1430</v>
      </c>
      <c r="B1222" s="24" t="s">
        <v>1431</v>
      </c>
      <c r="C1222" s="24" t="s">
        <v>284</v>
      </c>
      <c r="D1222" s="25">
        <v>24</v>
      </c>
      <c r="E1222" s="25">
        <v>24</v>
      </c>
      <c r="F1222" s="25">
        <v>3</v>
      </c>
      <c r="G1222" s="25"/>
      <c r="H1222" s="22">
        <f t="shared" si="19"/>
        <v>51</v>
      </c>
    </row>
    <row r="1223" spans="1:8" ht="15.75" customHeight="1">
      <c r="A1223" s="20" t="s">
        <v>1432</v>
      </c>
      <c r="B1223" s="20" t="s">
        <v>1433</v>
      </c>
      <c r="C1223" s="20" t="s">
        <v>284</v>
      </c>
      <c r="D1223" s="21">
        <v>481</v>
      </c>
      <c r="E1223" s="21">
        <v>12</v>
      </c>
      <c r="F1223" s="21"/>
      <c r="G1223" s="21"/>
      <c r="H1223" s="22">
        <f t="shared" si="19"/>
        <v>493</v>
      </c>
    </row>
    <row r="1224" spans="1:8" ht="15.75" customHeight="1">
      <c r="A1224" s="24" t="s">
        <v>1434</v>
      </c>
      <c r="B1224" s="24" t="s">
        <v>1402</v>
      </c>
      <c r="C1224" s="24" t="s">
        <v>1425</v>
      </c>
      <c r="D1224" s="25">
        <v>97</v>
      </c>
      <c r="E1224" s="25">
        <v>11</v>
      </c>
      <c r="F1224" s="25">
        <v>30</v>
      </c>
      <c r="G1224" s="25"/>
      <c r="H1224" s="22">
        <f t="shared" si="19"/>
        <v>138</v>
      </c>
    </row>
    <row r="1225" spans="1:8" ht="15.75" customHeight="1">
      <c r="A1225" s="20" t="s">
        <v>3332</v>
      </c>
      <c r="B1225" s="20" t="s">
        <v>3333</v>
      </c>
      <c r="C1225" s="20" t="s">
        <v>284</v>
      </c>
      <c r="D1225" s="21"/>
      <c r="E1225" s="21"/>
      <c r="F1225" s="21">
        <v>2</v>
      </c>
      <c r="G1225" s="21"/>
      <c r="H1225" s="22">
        <f t="shared" si="19"/>
        <v>2</v>
      </c>
    </row>
    <row r="1226" spans="1:8" ht="15.75" customHeight="1">
      <c r="A1226" s="24" t="s">
        <v>1435</v>
      </c>
      <c r="B1226" s="24" t="s">
        <v>1436</v>
      </c>
      <c r="C1226" s="24" t="s">
        <v>1425</v>
      </c>
      <c r="D1226" s="25">
        <v>15</v>
      </c>
      <c r="E1226" s="25"/>
      <c r="F1226" s="25"/>
      <c r="G1226" s="25"/>
      <c r="H1226" s="22">
        <f t="shared" si="19"/>
        <v>15</v>
      </c>
    </row>
    <row r="1227" spans="1:8" ht="15.75" customHeight="1">
      <c r="A1227" s="20" t="s">
        <v>1437</v>
      </c>
      <c r="B1227" s="20" t="s">
        <v>1438</v>
      </c>
      <c r="C1227" s="20" t="s">
        <v>284</v>
      </c>
      <c r="D1227" s="21">
        <v>25</v>
      </c>
      <c r="E1227" s="21"/>
      <c r="F1227" s="21"/>
      <c r="G1227" s="21"/>
      <c r="H1227" s="22">
        <f t="shared" si="19"/>
        <v>25</v>
      </c>
    </row>
    <row r="1228" spans="1:8" ht="15.75" customHeight="1">
      <c r="A1228" s="24" t="s">
        <v>1439</v>
      </c>
      <c r="B1228" s="24" t="s">
        <v>1440</v>
      </c>
      <c r="C1228" s="24" t="s">
        <v>1425</v>
      </c>
      <c r="D1228" s="25">
        <v>55</v>
      </c>
      <c r="E1228" s="25"/>
      <c r="F1228" s="25"/>
      <c r="G1228" s="25"/>
      <c r="H1228" s="22">
        <f t="shared" si="19"/>
        <v>55</v>
      </c>
    </row>
    <row r="1229" spans="1:8" ht="15.75" customHeight="1">
      <c r="A1229" s="20" t="s">
        <v>2772</v>
      </c>
      <c r="B1229" s="20" t="s">
        <v>1417</v>
      </c>
      <c r="C1229" s="20" t="s">
        <v>42</v>
      </c>
      <c r="D1229" s="21"/>
      <c r="E1229" s="21">
        <v>300</v>
      </c>
      <c r="F1229" s="21"/>
      <c r="G1229" s="21"/>
      <c r="H1229" s="22">
        <f t="shared" si="19"/>
        <v>300</v>
      </c>
    </row>
    <row r="1230" spans="1:8" ht="15.75" customHeight="1">
      <c r="A1230" s="24" t="s">
        <v>1441</v>
      </c>
      <c r="B1230" s="24" t="s">
        <v>1442</v>
      </c>
      <c r="C1230" s="24" t="s">
        <v>1425</v>
      </c>
      <c r="D1230" s="25">
        <v>3</v>
      </c>
      <c r="E1230" s="25"/>
      <c r="F1230" s="25"/>
      <c r="G1230" s="25"/>
      <c r="H1230" s="22">
        <f t="shared" si="19"/>
        <v>3</v>
      </c>
    </row>
    <row r="1231" spans="1:8" ht="15.75" customHeight="1">
      <c r="A1231" s="20" t="s">
        <v>1443</v>
      </c>
      <c r="B1231" s="20" t="s">
        <v>1444</v>
      </c>
      <c r="C1231" s="20" t="s">
        <v>284</v>
      </c>
      <c r="D1231" s="21">
        <v>4</v>
      </c>
      <c r="E1231" s="21"/>
      <c r="F1231" s="21">
        <v>45</v>
      </c>
      <c r="G1231" s="21"/>
      <c r="H1231" s="22">
        <f t="shared" si="19"/>
        <v>49</v>
      </c>
    </row>
    <row r="1232" spans="1:8" ht="15.75" customHeight="1">
      <c r="A1232" s="24" t="s">
        <v>2773</v>
      </c>
      <c r="B1232" s="24" t="s">
        <v>2774</v>
      </c>
      <c r="C1232" s="24" t="s">
        <v>2775</v>
      </c>
      <c r="D1232" s="25"/>
      <c r="E1232" s="25">
        <v>100</v>
      </c>
      <c r="F1232" s="25"/>
      <c r="G1232" s="25"/>
      <c r="H1232" s="22">
        <f t="shared" si="19"/>
        <v>100</v>
      </c>
    </row>
    <row r="1233" spans="1:8" ht="15.75" customHeight="1">
      <c r="A1233" s="20" t="s">
        <v>1445</v>
      </c>
      <c r="B1233" s="20" t="s">
        <v>1446</v>
      </c>
      <c r="C1233" s="20" t="s">
        <v>1447</v>
      </c>
      <c r="D1233" s="21">
        <v>135</v>
      </c>
      <c r="E1233" s="21"/>
      <c r="F1233" s="21"/>
      <c r="G1233" s="21"/>
      <c r="H1233" s="22">
        <f t="shared" si="19"/>
        <v>135</v>
      </c>
    </row>
    <row r="1234" spans="1:8" ht="15.75" customHeight="1">
      <c r="A1234" s="24" t="s">
        <v>1448</v>
      </c>
      <c r="B1234" s="24" t="s">
        <v>1449</v>
      </c>
      <c r="C1234" s="24" t="s">
        <v>1447</v>
      </c>
      <c r="D1234" s="25">
        <v>202</v>
      </c>
      <c r="E1234" s="25">
        <v>77</v>
      </c>
      <c r="F1234" s="25">
        <v>50</v>
      </c>
      <c r="G1234" s="25"/>
      <c r="H1234" s="22">
        <f t="shared" si="19"/>
        <v>329</v>
      </c>
    </row>
    <row r="1235" spans="1:8" ht="15.75" customHeight="1">
      <c r="A1235" s="20" t="s">
        <v>1450</v>
      </c>
      <c r="B1235" s="20" t="s">
        <v>1451</v>
      </c>
      <c r="C1235" s="20" t="s">
        <v>1447</v>
      </c>
      <c r="D1235" s="21">
        <v>140</v>
      </c>
      <c r="E1235" s="21">
        <v>50</v>
      </c>
      <c r="F1235" s="21"/>
      <c r="G1235" s="21"/>
      <c r="H1235" s="22">
        <f t="shared" si="19"/>
        <v>190</v>
      </c>
    </row>
    <row r="1236" spans="1:8" ht="15.75" customHeight="1">
      <c r="A1236" s="24" t="s">
        <v>2776</v>
      </c>
      <c r="B1236" s="24" t="s">
        <v>2777</v>
      </c>
      <c r="C1236" s="24" t="s">
        <v>284</v>
      </c>
      <c r="D1236" s="25"/>
      <c r="E1236" s="25">
        <v>8</v>
      </c>
      <c r="F1236" s="25">
        <v>6</v>
      </c>
      <c r="G1236" s="25"/>
      <c r="H1236" s="22">
        <f t="shared" si="19"/>
        <v>14</v>
      </c>
    </row>
    <row r="1237" spans="1:8" ht="15.75" customHeight="1">
      <c r="A1237" s="20" t="s">
        <v>3334</v>
      </c>
      <c r="B1237" s="20" t="s">
        <v>1406</v>
      </c>
      <c r="C1237" s="20" t="s">
        <v>1458</v>
      </c>
      <c r="D1237" s="21"/>
      <c r="E1237" s="21"/>
      <c r="F1237" s="21">
        <v>4</v>
      </c>
      <c r="G1237" s="21"/>
      <c r="H1237" s="22">
        <f t="shared" si="19"/>
        <v>4</v>
      </c>
    </row>
    <row r="1238" spans="1:8" ht="15.75" customHeight="1">
      <c r="A1238" s="24" t="s">
        <v>2778</v>
      </c>
      <c r="B1238" s="24" t="s">
        <v>2779</v>
      </c>
      <c r="C1238" s="24" t="s">
        <v>1396</v>
      </c>
      <c r="D1238" s="25"/>
      <c r="E1238" s="25">
        <v>16</v>
      </c>
      <c r="F1238" s="25"/>
      <c r="G1238" s="25">
        <v>30</v>
      </c>
      <c r="H1238" s="22">
        <f t="shared" si="19"/>
        <v>46</v>
      </c>
    </row>
    <row r="1239" spans="1:8" ht="15.75" customHeight="1">
      <c r="A1239" s="20" t="s">
        <v>2780</v>
      </c>
      <c r="B1239" s="20" t="s">
        <v>2781</v>
      </c>
      <c r="C1239" s="20" t="s">
        <v>1411</v>
      </c>
      <c r="D1239" s="21"/>
      <c r="E1239" s="21">
        <v>80</v>
      </c>
      <c r="F1239" s="21">
        <v>242</v>
      </c>
      <c r="G1239" s="21"/>
      <c r="H1239" s="22">
        <f t="shared" si="19"/>
        <v>322</v>
      </c>
    </row>
    <row r="1240" spans="1:8" ht="15.75" customHeight="1">
      <c r="A1240" s="24" t="s">
        <v>1452</v>
      </c>
      <c r="B1240" s="24" t="s">
        <v>1404</v>
      </c>
      <c r="C1240" s="24" t="s">
        <v>324</v>
      </c>
      <c r="D1240" s="25">
        <v>520</v>
      </c>
      <c r="E1240" s="25"/>
      <c r="F1240" s="25"/>
      <c r="G1240" s="25"/>
      <c r="H1240" s="22">
        <f t="shared" si="19"/>
        <v>520</v>
      </c>
    </row>
    <row r="1241" spans="1:8" ht="15.75" customHeight="1">
      <c r="A1241" s="20" t="s">
        <v>1453</v>
      </c>
      <c r="B1241" s="20" t="s">
        <v>1454</v>
      </c>
      <c r="C1241" s="20" t="s">
        <v>284</v>
      </c>
      <c r="D1241" s="21">
        <v>30</v>
      </c>
      <c r="E1241" s="21"/>
      <c r="F1241" s="21"/>
      <c r="G1241" s="21"/>
      <c r="H1241" s="22">
        <f t="shared" si="19"/>
        <v>30</v>
      </c>
    </row>
    <row r="1242" spans="1:8" ht="15.75" customHeight="1">
      <c r="A1242" s="24" t="s">
        <v>1455</v>
      </c>
      <c r="B1242" s="24" t="s">
        <v>1417</v>
      </c>
      <c r="C1242" s="24" t="s">
        <v>1456</v>
      </c>
      <c r="D1242" s="25">
        <v>300</v>
      </c>
      <c r="E1242" s="25"/>
      <c r="F1242" s="25"/>
      <c r="G1242" s="25"/>
      <c r="H1242" s="22">
        <f t="shared" si="19"/>
        <v>300</v>
      </c>
    </row>
    <row r="1243" spans="1:8" ht="15.75" customHeight="1">
      <c r="A1243" s="20" t="s">
        <v>1457</v>
      </c>
      <c r="B1243" s="20" t="s">
        <v>1402</v>
      </c>
      <c r="C1243" s="20" t="s">
        <v>1458</v>
      </c>
      <c r="D1243" s="21">
        <v>24</v>
      </c>
      <c r="E1243" s="21"/>
      <c r="F1243" s="21"/>
      <c r="G1243" s="21"/>
      <c r="H1243" s="22">
        <f t="shared" si="19"/>
        <v>24</v>
      </c>
    </row>
    <row r="1244" spans="1:8" ht="15.75" customHeight="1">
      <c r="A1244" s="24" t="s">
        <v>2782</v>
      </c>
      <c r="B1244" s="24" t="s">
        <v>2783</v>
      </c>
      <c r="C1244" s="24" t="s">
        <v>2771</v>
      </c>
      <c r="D1244" s="25"/>
      <c r="E1244" s="25">
        <v>301</v>
      </c>
      <c r="F1244" s="25"/>
      <c r="G1244" s="25"/>
      <c r="H1244" s="22">
        <f t="shared" si="19"/>
        <v>301</v>
      </c>
    </row>
    <row r="1245" spans="1:8" ht="15.75" customHeight="1">
      <c r="A1245" s="20" t="s">
        <v>3335</v>
      </c>
      <c r="B1245" s="20" t="s">
        <v>1415</v>
      </c>
      <c r="C1245" s="20" t="s">
        <v>3336</v>
      </c>
      <c r="D1245" s="21"/>
      <c r="E1245" s="21"/>
      <c r="F1245" s="21">
        <v>300</v>
      </c>
      <c r="G1245" s="21"/>
      <c r="H1245" s="22">
        <f t="shared" si="19"/>
        <v>300</v>
      </c>
    </row>
    <row r="1246" spans="1:8" ht="15.75" customHeight="1">
      <c r="A1246" s="24" t="s">
        <v>3337</v>
      </c>
      <c r="B1246" s="24" t="s">
        <v>1423</v>
      </c>
      <c r="C1246" s="24" t="s">
        <v>1447</v>
      </c>
      <c r="D1246" s="25"/>
      <c r="E1246" s="25"/>
      <c r="F1246" s="25">
        <v>40</v>
      </c>
      <c r="G1246" s="25"/>
      <c r="H1246" s="22">
        <f t="shared" si="19"/>
        <v>40</v>
      </c>
    </row>
    <row r="1247" spans="1:8" ht="15.75" customHeight="1">
      <c r="A1247" s="20" t="s">
        <v>1459</v>
      </c>
      <c r="B1247" s="20" t="s">
        <v>1460</v>
      </c>
      <c r="C1247" s="20" t="s">
        <v>32</v>
      </c>
      <c r="D1247" s="21">
        <v>30</v>
      </c>
      <c r="E1247" s="21"/>
      <c r="F1247" s="21"/>
      <c r="G1247" s="21"/>
      <c r="H1247" s="22">
        <f t="shared" si="19"/>
        <v>30</v>
      </c>
    </row>
    <row r="1248" spans="1:8" ht="15.75" customHeight="1">
      <c r="A1248" s="24" t="s">
        <v>1461</v>
      </c>
      <c r="B1248" s="24" t="s">
        <v>1460</v>
      </c>
      <c r="C1248" s="24" t="s">
        <v>24</v>
      </c>
      <c r="D1248" s="25">
        <v>20</v>
      </c>
      <c r="E1248" s="25"/>
      <c r="F1248" s="25"/>
      <c r="G1248" s="25"/>
      <c r="H1248" s="22">
        <f t="shared" si="19"/>
        <v>20</v>
      </c>
    </row>
    <row r="1249" spans="1:8" ht="15.75" customHeight="1">
      <c r="A1249" s="20" t="s">
        <v>1462</v>
      </c>
      <c r="B1249" s="20" t="s">
        <v>1463</v>
      </c>
      <c r="C1249" s="20" t="s">
        <v>32</v>
      </c>
      <c r="D1249" s="21">
        <v>20</v>
      </c>
      <c r="E1249" s="21"/>
      <c r="F1249" s="21"/>
      <c r="G1249" s="21"/>
      <c r="H1249" s="22">
        <f t="shared" si="19"/>
        <v>20</v>
      </c>
    </row>
    <row r="1250" spans="1:8" ht="15.75" customHeight="1">
      <c r="A1250" s="24" t="s">
        <v>1464</v>
      </c>
      <c r="B1250" s="24" t="s">
        <v>1463</v>
      </c>
      <c r="C1250" s="24" t="s">
        <v>22</v>
      </c>
      <c r="D1250" s="25">
        <v>20</v>
      </c>
      <c r="E1250" s="25"/>
      <c r="F1250" s="25"/>
      <c r="G1250" s="25"/>
      <c r="H1250" s="22">
        <f t="shared" si="19"/>
        <v>20</v>
      </c>
    </row>
    <row r="1251" spans="1:8" ht="15.75" customHeight="1">
      <c r="A1251" s="20" t="s">
        <v>2784</v>
      </c>
      <c r="B1251" s="20" t="s">
        <v>1466</v>
      </c>
      <c r="C1251" s="20" t="s">
        <v>324</v>
      </c>
      <c r="D1251" s="21"/>
      <c r="E1251" s="21">
        <v>100</v>
      </c>
      <c r="F1251" s="21"/>
      <c r="G1251" s="21"/>
      <c r="H1251" s="22">
        <f t="shared" si="19"/>
        <v>100</v>
      </c>
    </row>
    <row r="1252" spans="1:8" ht="15.75" customHeight="1">
      <c r="A1252" s="24" t="s">
        <v>3338</v>
      </c>
      <c r="B1252" s="24" t="s">
        <v>1466</v>
      </c>
      <c r="C1252" s="24" t="s">
        <v>20</v>
      </c>
      <c r="D1252" s="25"/>
      <c r="E1252" s="25"/>
      <c r="F1252" s="25">
        <v>600</v>
      </c>
      <c r="G1252" s="25"/>
      <c r="H1252" s="22">
        <f t="shared" si="19"/>
        <v>600</v>
      </c>
    </row>
    <row r="1253" spans="1:8" ht="15.75" customHeight="1">
      <c r="A1253" s="20" t="s">
        <v>1465</v>
      </c>
      <c r="B1253" s="20" t="s">
        <v>1466</v>
      </c>
      <c r="C1253" s="20" t="s">
        <v>32</v>
      </c>
      <c r="D1253" s="21">
        <v>50</v>
      </c>
      <c r="E1253" s="21"/>
      <c r="F1253" s="21">
        <v>530</v>
      </c>
      <c r="G1253" s="21"/>
      <c r="H1253" s="22">
        <f t="shared" si="19"/>
        <v>580</v>
      </c>
    </row>
    <row r="1254" spans="1:8" ht="15.75" customHeight="1">
      <c r="A1254" s="24" t="s">
        <v>2785</v>
      </c>
      <c r="B1254" s="24" t="s">
        <v>1466</v>
      </c>
      <c r="C1254" s="24" t="s">
        <v>42</v>
      </c>
      <c r="D1254" s="25"/>
      <c r="E1254" s="25">
        <v>250</v>
      </c>
      <c r="F1254" s="25"/>
      <c r="G1254" s="25">
        <v>10</v>
      </c>
      <c r="H1254" s="22">
        <f t="shared" si="19"/>
        <v>260</v>
      </c>
    </row>
    <row r="1255" spans="1:8" ht="15.75" customHeight="1">
      <c r="A1255" s="20" t="s">
        <v>3339</v>
      </c>
      <c r="B1255" s="20" t="s">
        <v>1466</v>
      </c>
      <c r="C1255" s="20" t="s">
        <v>22</v>
      </c>
      <c r="D1255" s="21"/>
      <c r="E1255" s="21"/>
      <c r="F1255" s="21">
        <v>50</v>
      </c>
      <c r="G1255" s="21"/>
      <c r="H1255" s="22">
        <f t="shared" si="19"/>
        <v>50</v>
      </c>
    </row>
    <row r="1256" spans="1:8" ht="15.75" customHeight="1">
      <c r="A1256" s="24" t="s">
        <v>3340</v>
      </c>
      <c r="B1256" s="24" t="s">
        <v>1466</v>
      </c>
      <c r="C1256" s="24" t="s">
        <v>45</v>
      </c>
      <c r="D1256" s="25"/>
      <c r="E1256" s="25"/>
      <c r="F1256" s="25">
        <v>13</v>
      </c>
      <c r="G1256" s="25"/>
      <c r="H1256" s="22">
        <f t="shared" si="19"/>
        <v>13</v>
      </c>
    </row>
    <row r="1257" spans="1:8" ht="15.75" customHeight="1">
      <c r="A1257" s="20" t="s">
        <v>1467</v>
      </c>
      <c r="B1257" s="20" t="s">
        <v>1466</v>
      </c>
      <c r="C1257" s="20" t="s">
        <v>24</v>
      </c>
      <c r="D1257" s="21">
        <v>27898</v>
      </c>
      <c r="E1257" s="21">
        <v>55</v>
      </c>
      <c r="F1257" s="21"/>
      <c r="G1257" s="21"/>
      <c r="H1257" s="22">
        <f t="shared" si="19"/>
        <v>27953</v>
      </c>
    </row>
    <row r="1258" spans="1:8" ht="15.75" customHeight="1">
      <c r="A1258" s="24" t="s">
        <v>1468</v>
      </c>
      <c r="B1258" s="24" t="s">
        <v>1466</v>
      </c>
      <c r="C1258" s="24" t="s">
        <v>87</v>
      </c>
      <c r="D1258" s="25">
        <v>4</v>
      </c>
      <c r="E1258" s="25"/>
      <c r="F1258" s="25"/>
      <c r="G1258" s="25"/>
      <c r="H1258" s="22">
        <f t="shared" si="19"/>
        <v>4</v>
      </c>
    </row>
    <row r="1259" spans="1:8" ht="15.75" customHeight="1">
      <c r="A1259" s="20" t="s">
        <v>1469</v>
      </c>
      <c r="B1259" s="20" t="s">
        <v>1466</v>
      </c>
      <c r="C1259" s="20" t="s">
        <v>26</v>
      </c>
      <c r="D1259" s="21">
        <v>60</v>
      </c>
      <c r="E1259" s="21"/>
      <c r="F1259" s="21">
        <v>10</v>
      </c>
      <c r="G1259" s="21"/>
      <c r="H1259" s="22">
        <f t="shared" si="19"/>
        <v>70</v>
      </c>
    </row>
    <row r="1260" spans="1:8" ht="15.75" customHeight="1">
      <c r="A1260" s="24" t="s">
        <v>2786</v>
      </c>
      <c r="B1260" s="24" t="s">
        <v>1471</v>
      </c>
      <c r="C1260" s="24" t="s">
        <v>284</v>
      </c>
      <c r="D1260" s="25"/>
      <c r="E1260" s="25">
        <v>20</v>
      </c>
      <c r="F1260" s="25"/>
      <c r="G1260" s="25"/>
      <c r="H1260" s="22">
        <f t="shared" si="19"/>
        <v>20</v>
      </c>
    </row>
    <row r="1261" spans="1:8" ht="15.75" customHeight="1">
      <c r="A1261" s="20" t="s">
        <v>2787</v>
      </c>
      <c r="B1261" s="20" t="s">
        <v>1471</v>
      </c>
      <c r="C1261" s="20" t="s">
        <v>20</v>
      </c>
      <c r="D1261" s="21"/>
      <c r="E1261" s="21">
        <v>10</v>
      </c>
      <c r="F1261" s="21"/>
      <c r="G1261" s="21"/>
      <c r="H1261" s="22">
        <f t="shared" si="19"/>
        <v>10</v>
      </c>
    </row>
    <row r="1262" spans="1:8" ht="15.75" customHeight="1">
      <c r="A1262" s="24" t="s">
        <v>2788</v>
      </c>
      <c r="B1262" s="24" t="s">
        <v>1471</v>
      </c>
      <c r="C1262" s="24" t="s">
        <v>32</v>
      </c>
      <c r="D1262" s="25"/>
      <c r="E1262" s="25">
        <v>10</v>
      </c>
      <c r="F1262" s="25"/>
      <c r="G1262" s="25"/>
      <c r="H1262" s="22">
        <f t="shared" si="19"/>
        <v>10</v>
      </c>
    </row>
    <row r="1263" spans="1:8" ht="15.75" customHeight="1">
      <c r="A1263" s="20" t="s">
        <v>2789</v>
      </c>
      <c r="B1263" s="20" t="s">
        <v>1471</v>
      </c>
      <c r="C1263" s="20" t="s">
        <v>22</v>
      </c>
      <c r="D1263" s="21"/>
      <c r="E1263" s="21">
        <v>10</v>
      </c>
      <c r="F1263" s="21"/>
      <c r="G1263" s="21"/>
      <c r="H1263" s="22">
        <f t="shared" si="19"/>
        <v>10</v>
      </c>
    </row>
    <row r="1264" spans="1:8" ht="15.75" customHeight="1">
      <c r="A1264" s="24" t="s">
        <v>1470</v>
      </c>
      <c r="B1264" s="24" t="s">
        <v>1471</v>
      </c>
      <c r="C1264" s="24" t="s">
        <v>121</v>
      </c>
      <c r="D1264" s="25">
        <v>4</v>
      </c>
      <c r="E1264" s="25">
        <v>5</v>
      </c>
      <c r="F1264" s="25"/>
      <c r="G1264" s="25"/>
      <c r="H1264" s="22">
        <f t="shared" si="19"/>
        <v>9</v>
      </c>
    </row>
    <row r="1265" spans="1:8" ht="15.75" customHeight="1">
      <c r="A1265" s="20" t="s">
        <v>1472</v>
      </c>
      <c r="B1265" s="20" t="s">
        <v>1471</v>
      </c>
      <c r="C1265" s="20" t="s">
        <v>47</v>
      </c>
      <c r="D1265" s="21">
        <v>1</v>
      </c>
      <c r="E1265" s="21"/>
      <c r="F1265" s="21"/>
      <c r="G1265" s="21"/>
      <c r="H1265" s="22">
        <f t="shared" si="19"/>
        <v>1</v>
      </c>
    </row>
    <row r="1266" spans="1:8" ht="15.75" customHeight="1">
      <c r="A1266" s="24" t="s">
        <v>1473</v>
      </c>
      <c r="B1266" s="24" t="s">
        <v>1471</v>
      </c>
      <c r="C1266" s="24" t="s">
        <v>24</v>
      </c>
      <c r="D1266" s="25">
        <v>20</v>
      </c>
      <c r="E1266" s="25"/>
      <c r="F1266" s="25"/>
      <c r="G1266" s="25"/>
      <c r="H1266" s="22">
        <f t="shared" si="19"/>
        <v>20</v>
      </c>
    </row>
    <row r="1267" spans="1:8" ht="15.75" customHeight="1">
      <c r="A1267" s="20" t="s">
        <v>2790</v>
      </c>
      <c r="B1267" s="20" t="s">
        <v>1471</v>
      </c>
      <c r="C1267" s="20" t="s">
        <v>26</v>
      </c>
      <c r="D1267" s="21"/>
      <c r="E1267" s="21">
        <v>20</v>
      </c>
      <c r="F1267" s="21"/>
      <c r="G1267" s="21"/>
      <c r="H1267" s="22">
        <f t="shared" si="19"/>
        <v>20</v>
      </c>
    </row>
    <row r="1268" spans="1:8" ht="15.75" customHeight="1">
      <c r="A1268" s="24" t="s">
        <v>1474</v>
      </c>
      <c r="B1268" s="24" t="s">
        <v>1475</v>
      </c>
      <c r="C1268" s="24" t="s">
        <v>284</v>
      </c>
      <c r="D1268" s="25">
        <v>2</v>
      </c>
      <c r="E1268" s="25"/>
      <c r="F1268" s="25"/>
      <c r="G1268" s="25"/>
      <c r="H1268" s="22">
        <f t="shared" si="19"/>
        <v>2</v>
      </c>
    </row>
    <row r="1269" spans="1:8" ht="15.75" customHeight="1">
      <c r="A1269" s="20" t="s">
        <v>1476</v>
      </c>
      <c r="B1269" s="20" t="s">
        <v>1475</v>
      </c>
      <c r="C1269" s="20" t="s">
        <v>182</v>
      </c>
      <c r="D1269" s="21">
        <v>3</v>
      </c>
      <c r="E1269" s="21">
        <v>30</v>
      </c>
      <c r="F1269" s="21"/>
      <c r="G1269" s="21"/>
      <c r="H1269" s="22">
        <f t="shared" si="19"/>
        <v>33</v>
      </c>
    </row>
    <row r="1270" spans="1:8" ht="15.75" customHeight="1">
      <c r="A1270" s="24" t="s">
        <v>1477</v>
      </c>
      <c r="B1270" s="24" t="s">
        <v>1475</v>
      </c>
      <c r="C1270" s="24" t="s">
        <v>32</v>
      </c>
      <c r="D1270" s="25">
        <v>4</v>
      </c>
      <c r="E1270" s="25"/>
      <c r="F1270" s="25"/>
      <c r="G1270" s="25"/>
      <c r="H1270" s="22">
        <f t="shared" si="19"/>
        <v>4</v>
      </c>
    </row>
    <row r="1271" spans="1:8" ht="15.75" customHeight="1">
      <c r="A1271" s="20" t="s">
        <v>1478</v>
      </c>
      <c r="B1271" s="20" t="s">
        <v>1475</v>
      </c>
      <c r="C1271" s="20" t="s">
        <v>310</v>
      </c>
      <c r="D1271" s="21">
        <v>2</v>
      </c>
      <c r="E1271" s="21"/>
      <c r="F1271" s="21"/>
      <c r="G1271" s="21"/>
      <c r="H1271" s="22">
        <f t="shared" si="19"/>
        <v>2</v>
      </c>
    </row>
    <row r="1272" spans="1:8" ht="15.75" customHeight="1">
      <c r="A1272" s="24" t="s">
        <v>3505</v>
      </c>
      <c r="B1272" s="24" t="s">
        <v>1475</v>
      </c>
      <c r="C1272" s="24" t="s">
        <v>42</v>
      </c>
      <c r="D1272" s="25"/>
      <c r="E1272" s="25"/>
      <c r="F1272" s="25"/>
      <c r="G1272" s="25">
        <v>10</v>
      </c>
      <c r="H1272" s="22">
        <f t="shared" si="19"/>
        <v>10</v>
      </c>
    </row>
    <row r="1273" spans="1:8" ht="15.75" customHeight="1">
      <c r="A1273" s="20" t="s">
        <v>3506</v>
      </c>
      <c r="B1273" s="20" t="s">
        <v>1475</v>
      </c>
      <c r="C1273" s="20" t="s">
        <v>24</v>
      </c>
      <c r="D1273" s="21"/>
      <c r="E1273" s="21"/>
      <c r="F1273" s="21"/>
      <c r="G1273" s="21">
        <v>31</v>
      </c>
      <c r="H1273" s="22">
        <f t="shared" si="19"/>
        <v>31</v>
      </c>
    </row>
    <row r="1274" spans="1:8" ht="15.75" customHeight="1">
      <c r="A1274" s="24" t="s">
        <v>1479</v>
      </c>
      <c r="B1274" s="24" t="s">
        <v>1475</v>
      </c>
      <c r="C1274" s="24" t="s">
        <v>57</v>
      </c>
      <c r="D1274" s="25">
        <v>20</v>
      </c>
      <c r="E1274" s="25"/>
      <c r="F1274" s="25"/>
      <c r="G1274" s="25"/>
      <c r="H1274" s="22">
        <f t="shared" si="19"/>
        <v>20</v>
      </c>
    </row>
    <row r="1275" spans="1:8" ht="15.75" customHeight="1">
      <c r="A1275" s="20" t="s">
        <v>2791</v>
      </c>
      <c r="B1275" s="20" t="s">
        <v>2041</v>
      </c>
      <c r="C1275" s="20" t="s">
        <v>45</v>
      </c>
      <c r="D1275" s="21"/>
      <c r="E1275" s="21">
        <v>10</v>
      </c>
      <c r="F1275" s="21"/>
      <c r="G1275" s="21"/>
      <c r="H1275" s="22">
        <f t="shared" si="19"/>
        <v>10</v>
      </c>
    </row>
    <row r="1276" spans="1:8" ht="15.75" customHeight="1">
      <c r="A1276" s="24" t="s">
        <v>1480</v>
      </c>
      <c r="B1276" s="24" t="s">
        <v>1481</v>
      </c>
      <c r="C1276" s="24" t="s">
        <v>20</v>
      </c>
      <c r="D1276" s="25">
        <v>10</v>
      </c>
      <c r="E1276" s="25"/>
      <c r="F1276" s="25"/>
      <c r="G1276" s="25"/>
      <c r="H1276" s="22">
        <f t="shared" si="19"/>
        <v>10</v>
      </c>
    </row>
    <row r="1277" spans="1:8" ht="15.75" customHeight="1">
      <c r="A1277" s="20" t="s">
        <v>1482</v>
      </c>
      <c r="B1277" s="20" t="s">
        <v>1481</v>
      </c>
      <c r="C1277" s="20" t="s">
        <v>32</v>
      </c>
      <c r="D1277" s="21">
        <v>59</v>
      </c>
      <c r="E1277" s="21">
        <v>111</v>
      </c>
      <c r="F1277" s="21">
        <v>22</v>
      </c>
      <c r="G1277" s="21">
        <v>1</v>
      </c>
      <c r="H1277" s="22">
        <f t="shared" si="19"/>
        <v>193</v>
      </c>
    </row>
    <row r="1278" spans="1:8" ht="15.75" customHeight="1">
      <c r="A1278" s="24" t="s">
        <v>1483</v>
      </c>
      <c r="B1278" s="24" t="s">
        <v>1481</v>
      </c>
      <c r="C1278" s="24" t="s">
        <v>42</v>
      </c>
      <c r="D1278" s="25">
        <v>3</v>
      </c>
      <c r="E1278" s="25">
        <v>82</v>
      </c>
      <c r="F1278" s="25">
        <v>46</v>
      </c>
      <c r="G1278" s="25">
        <v>117</v>
      </c>
      <c r="H1278" s="22">
        <f t="shared" si="19"/>
        <v>248</v>
      </c>
    </row>
    <row r="1279" spans="1:8" ht="15.75" customHeight="1">
      <c r="A1279" s="20" t="s">
        <v>1484</v>
      </c>
      <c r="B1279" s="20" t="s">
        <v>1481</v>
      </c>
      <c r="C1279" s="20" t="s">
        <v>22</v>
      </c>
      <c r="D1279" s="21">
        <v>15</v>
      </c>
      <c r="E1279" s="21">
        <v>50</v>
      </c>
      <c r="F1279" s="21"/>
      <c r="G1279" s="21"/>
      <c r="H1279" s="22">
        <f t="shared" si="19"/>
        <v>65</v>
      </c>
    </row>
    <row r="1280" spans="1:8" ht="15.75" customHeight="1">
      <c r="A1280" s="24" t="s">
        <v>1485</v>
      </c>
      <c r="B1280" s="24" t="s">
        <v>1481</v>
      </c>
      <c r="C1280" s="24" t="s">
        <v>45</v>
      </c>
      <c r="D1280" s="25">
        <v>296</v>
      </c>
      <c r="E1280" s="25">
        <v>78</v>
      </c>
      <c r="F1280" s="25">
        <v>17</v>
      </c>
      <c r="G1280" s="25">
        <v>4</v>
      </c>
      <c r="H1280" s="22">
        <f t="shared" si="19"/>
        <v>395</v>
      </c>
    </row>
    <row r="1281" spans="1:8" ht="15.75" customHeight="1">
      <c r="A1281" s="20" t="s">
        <v>1486</v>
      </c>
      <c r="B1281" s="20" t="s">
        <v>1481</v>
      </c>
      <c r="C1281" s="20" t="s">
        <v>24</v>
      </c>
      <c r="D1281" s="21">
        <v>2048</v>
      </c>
      <c r="E1281" s="21">
        <v>334</v>
      </c>
      <c r="F1281" s="21">
        <v>6</v>
      </c>
      <c r="G1281" s="21">
        <v>17</v>
      </c>
      <c r="H1281" s="22">
        <f t="shared" si="19"/>
        <v>2405</v>
      </c>
    </row>
    <row r="1282" spans="1:8" ht="15.75" customHeight="1">
      <c r="A1282" s="24" t="s">
        <v>1487</v>
      </c>
      <c r="B1282" s="24" t="s">
        <v>1481</v>
      </c>
      <c r="C1282" s="24" t="s">
        <v>118</v>
      </c>
      <c r="D1282" s="25">
        <v>37</v>
      </c>
      <c r="E1282" s="25"/>
      <c r="F1282" s="25"/>
      <c r="G1282" s="25"/>
      <c r="H1282" s="22">
        <f t="shared" si="19"/>
        <v>37</v>
      </c>
    </row>
    <row r="1283" spans="1:8" ht="15.75" customHeight="1">
      <c r="A1283" s="20" t="s">
        <v>2792</v>
      </c>
      <c r="B1283" s="20" t="s">
        <v>1481</v>
      </c>
      <c r="C1283" s="20" t="s">
        <v>26</v>
      </c>
      <c r="D1283" s="21"/>
      <c r="E1283" s="21">
        <v>50</v>
      </c>
      <c r="F1283" s="21">
        <v>5</v>
      </c>
      <c r="G1283" s="21"/>
      <c r="H1283" s="22">
        <f t="shared" si="19"/>
        <v>55</v>
      </c>
    </row>
    <row r="1284" spans="1:8" ht="15.75" customHeight="1">
      <c r="A1284" s="24" t="s">
        <v>1488</v>
      </c>
      <c r="B1284" s="24" t="s">
        <v>1489</v>
      </c>
      <c r="C1284" s="24" t="s">
        <v>259</v>
      </c>
      <c r="D1284" s="25">
        <v>2</v>
      </c>
      <c r="E1284" s="25">
        <v>12</v>
      </c>
      <c r="F1284" s="25">
        <v>2</v>
      </c>
      <c r="G1284" s="25"/>
      <c r="H1284" s="22">
        <f t="shared" ref="H1284:H1347" si="20">SUM(D1284:G1284)</f>
        <v>16</v>
      </c>
    </row>
    <row r="1285" spans="1:8" ht="15.75" customHeight="1">
      <c r="A1285" s="20" t="s">
        <v>1490</v>
      </c>
      <c r="B1285" s="20" t="s">
        <v>1491</v>
      </c>
      <c r="C1285" s="20" t="s">
        <v>24</v>
      </c>
      <c r="D1285" s="21">
        <v>5</v>
      </c>
      <c r="E1285" s="21"/>
      <c r="F1285" s="21"/>
      <c r="G1285" s="21"/>
      <c r="H1285" s="22">
        <f t="shared" si="20"/>
        <v>5</v>
      </c>
    </row>
    <row r="1286" spans="1:8" ht="15.75" customHeight="1">
      <c r="A1286" s="24" t="s">
        <v>1492</v>
      </c>
      <c r="B1286" s="24" t="s">
        <v>1493</v>
      </c>
      <c r="C1286" s="24" t="s">
        <v>324</v>
      </c>
      <c r="D1286" s="25">
        <v>969</v>
      </c>
      <c r="E1286" s="25"/>
      <c r="F1286" s="25"/>
      <c r="G1286" s="25"/>
      <c r="H1286" s="22">
        <f t="shared" si="20"/>
        <v>969</v>
      </c>
    </row>
    <row r="1287" spans="1:8" ht="15.75" customHeight="1">
      <c r="A1287" s="20" t="s">
        <v>1494</v>
      </c>
      <c r="B1287" s="20" t="s">
        <v>1493</v>
      </c>
      <c r="C1287" s="20" t="s">
        <v>284</v>
      </c>
      <c r="D1287" s="21">
        <v>13</v>
      </c>
      <c r="E1287" s="21"/>
      <c r="F1287" s="21"/>
      <c r="G1287" s="21"/>
      <c r="H1287" s="22">
        <f t="shared" si="20"/>
        <v>13</v>
      </c>
    </row>
    <row r="1288" spans="1:8" ht="15.75" customHeight="1">
      <c r="A1288" s="24" t="s">
        <v>1495</v>
      </c>
      <c r="B1288" s="24" t="s">
        <v>1493</v>
      </c>
      <c r="C1288" s="24" t="s">
        <v>20</v>
      </c>
      <c r="D1288" s="25">
        <v>4</v>
      </c>
      <c r="E1288" s="25"/>
      <c r="F1288" s="25"/>
      <c r="G1288" s="25"/>
      <c r="H1288" s="22">
        <f t="shared" si="20"/>
        <v>4</v>
      </c>
    </row>
    <row r="1289" spans="1:8" ht="15.75" customHeight="1">
      <c r="A1289" s="20" t="s">
        <v>2793</v>
      </c>
      <c r="B1289" s="20" t="s">
        <v>1493</v>
      </c>
      <c r="C1289" s="20" t="s">
        <v>32</v>
      </c>
      <c r="D1289" s="21"/>
      <c r="E1289" s="21">
        <v>50</v>
      </c>
      <c r="F1289" s="21">
        <v>30</v>
      </c>
      <c r="G1289" s="21"/>
      <c r="H1289" s="22">
        <f t="shared" si="20"/>
        <v>80</v>
      </c>
    </row>
    <row r="1290" spans="1:8" ht="15.75" customHeight="1">
      <c r="A1290" s="24" t="s">
        <v>1496</v>
      </c>
      <c r="B1290" s="24" t="s">
        <v>1493</v>
      </c>
      <c r="C1290" s="24" t="s">
        <v>42</v>
      </c>
      <c r="D1290" s="25">
        <v>366</v>
      </c>
      <c r="E1290" s="25">
        <v>45</v>
      </c>
      <c r="F1290" s="25">
        <v>40</v>
      </c>
      <c r="G1290" s="25">
        <v>18</v>
      </c>
      <c r="H1290" s="22">
        <f t="shared" si="20"/>
        <v>469</v>
      </c>
    </row>
    <row r="1291" spans="1:8" ht="15.75" customHeight="1">
      <c r="A1291" s="20" t="s">
        <v>1497</v>
      </c>
      <c r="B1291" s="20" t="s">
        <v>1493</v>
      </c>
      <c r="C1291" s="20" t="s">
        <v>22</v>
      </c>
      <c r="D1291" s="21">
        <v>80</v>
      </c>
      <c r="E1291" s="21">
        <v>50</v>
      </c>
      <c r="F1291" s="21">
        <v>10</v>
      </c>
      <c r="G1291" s="21"/>
      <c r="H1291" s="22">
        <f t="shared" si="20"/>
        <v>140</v>
      </c>
    </row>
    <row r="1292" spans="1:8" ht="15.75" customHeight="1">
      <c r="A1292" s="24" t="s">
        <v>1498</v>
      </c>
      <c r="B1292" s="24" t="s">
        <v>1493</v>
      </c>
      <c r="C1292" s="24" t="s">
        <v>45</v>
      </c>
      <c r="D1292" s="25">
        <v>225</v>
      </c>
      <c r="E1292" s="25">
        <v>150</v>
      </c>
      <c r="F1292" s="25">
        <v>123</v>
      </c>
      <c r="G1292" s="25">
        <v>31</v>
      </c>
      <c r="H1292" s="22">
        <f t="shared" si="20"/>
        <v>529</v>
      </c>
    </row>
    <row r="1293" spans="1:8" ht="15.75" customHeight="1">
      <c r="A1293" s="20" t="s">
        <v>1499</v>
      </c>
      <c r="B1293" s="20" t="s">
        <v>1493</v>
      </c>
      <c r="C1293" s="20" t="s">
        <v>47</v>
      </c>
      <c r="D1293" s="21">
        <v>1</v>
      </c>
      <c r="E1293" s="21"/>
      <c r="F1293" s="21"/>
      <c r="G1293" s="21"/>
      <c r="H1293" s="22">
        <f t="shared" si="20"/>
        <v>1</v>
      </c>
    </row>
    <row r="1294" spans="1:8" ht="15.75" customHeight="1">
      <c r="A1294" s="24" t="s">
        <v>1500</v>
      </c>
      <c r="B1294" s="24" t="s">
        <v>1493</v>
      </c>
      <c r="C1294" s="24" t="s">
        <v>24</v>
      </c>
      <c r="D1294" s="25">
        <v>60</v>
      </c>
      <c r="E1294" s="25">
        <v>210</v>
      </c>
      <c r="F1294" s="25">
        <v>450</v>
      </c>
      <c r="G1294" s="25"/>
      <c r="H1294" s="22">
        <f t="shared" si="20"/>
        <v>720</v>
      </c>
    </row>
    <row r="1295" spans="1:8" ht="15.75" customHeight="1">
      <c r="A1295" s="20" t="s">
        <v>1501</v>
      </c>
      <c r="B1295" s="20" t="s">
        <v>1493</v>
      </c>
      <c r="C1295" s="20" t="s">
        <v>26</v>
      </c>
      <c r="D1295" s="21">
        <v>524</v>
      </c>
      <c r="E1295" s="21">
        <v>17</v>
      </c>
      <c r="F1295" s="21">
        <v>13</v>
      </c>
      <c r="G1295" s="21"/>
      <c r="H1295" s="22">
        <f t="shared" si="20"/>
        <v>554</v>
      </c>
    </row>
    <row r="1296" spans="1:8" ht="15.75" customHeight="1">
      <c r="A1296" s="24" t="s">
        <v>1502</v>
      </c>
      <c r="B1296" s="24" t="s">
        <v>1493</v>
      </c>
      <c r="C1296" s="24" t="s">
        <v>259</v>
      </c>
      <c r="D1296" s="25">
        <v>174</v>
      </c>
      <c r="E1296" s="25"/>
      <c r="F1296" s="25"/>
      <c r="G1296" s="25"/>
      <c r="H1296" s="22">
        <f t="shared" si="20"/>
        <v>174</v>
      </c>
    </row>
    <row r="1297" spans="1:8" ht="15.75" customHeight="1">
      <c r="A1297" s="20" t="s">
        <v>2794</v>
      </c>
      <c r="B1297" s="20" t="s">
        <v>1504</v>
      </c>
      <c r="C1297" s="20" t="s">
        <v>324</v>
      </c>
      <c r="D1297" s="21"/>
      <c r="E1297" s="21">
        <v>100</v>
      </c>
      <c r="F1297" s="21"/>
      <c r="G1297" s="21"/>
      <c r="H1297" s="22">
        <f t="shared" si="20"/>
        <v>100</v>
      </c>
    </row>
    <row r="1298" spans="1:8" ht="15.75" customHeight="1">
      <c r="A1298" s="24" t="s">
        <v>1503</v>
      </c>
      <c r="B1298" s="24" t="s">
        <v>1504</v>
      </c>
      <c r="C1298" s="24" t="s">
        <v>20</v>
      </c>
      <c r="D1298" s="25">
        <v>500</v>
      </c>
      <c r="E1298" s="25">
        <v>5</v>
      </c>
      <c r="F1298" s="25"/>
      <c r="G1298" s="25"/>
      <c r="H1298" s="22">
        <f t="shared" si="20"/>
        <v>505</v>
      </c>
    </row>
    <row r="1299" spans="1:8" ht="15.75" customHeight="1">
      <c r="A1299" s="20" t="s">
        <v>2795</v>
      </c>
      <c r="B1299" s="20" t="s">
        <v>1504</v>
      </c>
      <c r="C1299" s="20" t="s">
        <v>32</v>
      </c>
      <c r="D1299" s="21"/>
      <c r="E1299" s="21">
        <v>5</v>
      </c>
      <c r="F1299" s="21"/>
      <c r="G1299" s="21"/>
      <c r="H1299" s="22">
        <f t="shared" si="20"/>
        <v>5</v>
      </c>
    </row>
    <row r="1300" spans="1:8" ht="15.75" customHeight="1">
      <c r="A1300" s="24" t="s">
        <v>3341</v>
      </c>
      <c r="B1300" s="24" t="s">
        <v>1504</v>
      </c>
      <c r="C1300" s="24" t="s">
        <v>42</v>
      </c>
      <c r="D1300" s="25"/>
      <c r="E1300" s="25"/>
      <c r="F1300" s="25">
        <v>100</v>
      </c>
      <c r="G1300" s="25">
        <v>5</v>
      </c>
      <c r="H1300" s="22">
        <f t="shared" si="20"/>
        <v>105</v>
      </c>
    </row>
    <row r="1301" spans="1:8" ht="15.75" customHeight="1">
      <c r="A1301" s="20" t="s">
        <v>2796</v>
      </c>
      <c r="B1301" s="20" t="s">
        <v>1504</v>
      </c>
      <c r="C1301" s="20" t="s">
        <v>22</v>
      </c>
      <c r="D1301" s="21"/>
      <c r="E1301" s="21">
        <v>20</v>
      </c>
      <c r="F1301" s="21"/>
      <c r="G1301" s="21"/>
      <c r="H1301" s="22">
        <f t="shared" si="20"/>
        <v>20</v>
      </c>
    </row>
    <row r="1302" spans="1:8" ht="15.75" customHeight="1">
      <c r="A1302" s="24" t="s">
        <v>2797</v>
      </c>
      <c r="B1302" s="24" t="s">
        <v>1504</v>
      </c>
      <c r="C1302" s="24" t="s">
        <v>121</v>
      </c>
      <c r="D1302" s="25"/>
      <c r="E1302" s="25">
        <v>5</v>
      </c>
      <c r="F1302" s="25"/>
      <c r="G1302" s="25"/>
      <c r="H1302" s="22">
        <f t="shared" si="20"/>
        <v>5</v>
      </c>
    </row>
    <row r="1303" spans="1:8" ht="15.75" customHeight="1">
      <c r="A1303" s="20" t="s">
        <v>1505</v>
      </c>
      <c r="B1303" s="20" t="s">
        <v>1504</v>
      </c>
      <c r="C1303" s="20" t="s">
        <v>45</v>
      </c>
      <c r="D1303" s="21">
        <v>26</v>
      </c>
      <c r="E1303" s="21"/>
      <c r="F1303" s="21"/>
      <c r="G1303" s="21"/>
      <c r="H1303" s="22">
        <f t="shared" si="20"/>
        <v>26</v>
      </c>
    </row>
    <row r="1304" spans="1:8" ht="15.75" customHeight="1">
      <c r="A1304" s="24" t="s">
        <v>1506</v>
      </c>
      <c r="B1304" s="24" t="s">
        <v>1504</v>
      </c>
      <c r="C1304" s="24" t="s">
        <v>47</v>
      </c>
      <c r="D1304" s="25">
        <v>12</v>
      </c>
      <c r="E1304" s="25"/>
      <c r="F1304" s="25"/>
      <c r="G1304" s="25"/>
      <c r="H1304" s="22">
        <f t="shared" si="20"/>
        <v>12</v>
      </c>
    </row>
    <row r="1305" spans="1:8" ht="15.75" customHeight="1">
      <c r="A1305" s="20" t="s">
        <v>1507</v>
      </c>
      <c r="B1305" s="20" t="s">
        <v>1504</v>
      </c>
      <c r="C1305" s="20" t="s">
        <v>24</v>
      </c>
      <c r="D1305" s="21">
        <v>1000</v>
      </c>
      <c r="E1305" s="21">
        <v>280</v>
      </c>
      <c r="F1305" s="21">
        <v>300</v>
      </c>
      <c r="G1305" s="21"/>
      <c r="H1305" s="22">
        <f t="shared" si="20"/>
        <v>1580</v>
      </c>
    </row>
    <row r="1306" spans="1:8" ht="15.75" customHeight="1">
      <c r="A1306" s="24" t="s">
        <v>1508</v>
      </c>
      <c r="B1306" s="24" t="s">
        <v>1504</v>
      </c>
      <c r="C1306" s="24" t="s">
        <v>118</v>
      </c>
      <c r="D1306" s="25">
        <v>100</v>
      </c>
      <c r="E1306" s="25"/>
      <c r="F1306" s="25"/>
      <c r="G1306" s="25"/>
      <c r="H1306" s="22">
        <f t="shared" si="20"/>
        <v>100</v>
      </c>
    </row>
    <row r="1307" spans="1:8" ht="15.75" customHeight="1">
      <c r="A1307" s="20" t="s">
        <v>2798</v>
      </c>
      <c r="B1307" s="20" t="s">
        <v>1504</v>
      </c>
      <c r="C1307" s="20" t="s">
        <v>26</v>
      </c>
      <c r="D1307" s="21"/>
      <c r="E1307" s="21">
        <v>5</v>
      </c>
      <c r="F1307" s="21"/>
      <c r="G1307" s="21"/>
      <c r="H1307" s="22">
        <f t="shared" si="20"/>
        <v>5</v>
      </c>
    </row>
    <row r="1308" spans="1:8" ht="15.75" customHeight="1">
      <c r="A1308" s="24" t="s">
        <v>1509</v>
      </c>
      <c r="B1308" s="24" t="s">
        <v>1510</v>
      </c>
      <c r="C1308" s="24" t="s">
        <v>45</v>
      </c>
      <c r="D1308" s="25">
        <v>100</v>
      </c>
      <c r="E1308" s="25"/>
      <c r="F1308" s="25"/>
      <c r="G1308" s="25"/>
      <c r="H1308" s="22">
        <f t="shared" si="20"/>
        <v>100</v>
      </c>
    </row>
    <row r="1309" spans="1:8" ht="15.75" customHeight="1">
      <c r="A1309" s="20" t="s">
        <v>2799</v>
      </c>
      <c r="B1309" s="20" t="s">
        <v>1466</v>
      </c>
      <c r="C1309" s="20" t="s">
        <v>1515</v>
      </c>
      <c r="D1309" s="21"/>
      <c r="E1309" s="21">
        <v>100</v>
      </c>
      <c r="F1309" s="21"/>
      <c r="G1309" s="21"/>
      <c r="H1309" s="22">
        <f t="shared" si="20"/>
        <v>100</v>
      </c>
    </row>
    <row r="1310" spans="1:8" ht="15.75" customHeight="1">
      <c r="A1310" s="24" t="s">
        <v>3507</v>
      </c>
      <c r="B1310" s="24" t="s">
        <v>1523</v>
      </c>
      <c r="C1310" s="24" t="s">
        <v>20</v>
      </c>
      <c r="D1310" s="25"/>
      <c r="E1310" s="25"/>
      <c r="F1310" s="25"/>
      <c r="G1310" s="25">
        <v>10</v>
      </c>
      <c r="H1310" s="22">
        <f t="shared" si="20"/>
        <v>10</v>
      </c>
    </row>
    <row r="1311" spans="1:8" ht="15.75" customHeight="1">
      <c r="A1311" s="20" t="s">
        <v>1511</v>
      </c>
      <c r="B1311" s="20" t="s">
        <v>1510</v>
      </c>
      <c r="C1311" s="20" t="s">
        <v>32</v>
      </c>
      <c r="D1311" s="21">
        <v>1</v>
      </c>
      <c r="E1311" s="21"/>
      <c r="F1311" s="21">
        <v>4</v>
      </c>
      <c r="G1311" s="21"/>
      <c r="H1311" s="22">
        <f t="shared" si="20"/>
        <v>5</v>
      </c>
    </row>
    <row r="1312" spans="1:8" ht="15.75" customHeight="1">
      <c r="A1312" s="24" t="s">
        <v>1512</v>
      </c>
      <c r="B1312" s="24" t="s">
        <v>1510</v>
      </c>
      <c r="C1312" s="24" t="s">
        <v>24</v>
      </c>
      <c r="D1312" s="25">
        <v>31</v>
      </c>
      <c r="E1312" s="25"/>
      <c r="F1312" s="25"/>
      <c r="G1312" s="25"/>
      <c r="H1312" s="22">
        <f t="shared" si="20"/>
        <v>31</v>
      </c>
    </row>
    <row r="1313" spans="1:8" ht="15.75" customHeight="1">
      <c r="A1313" s="20" t="s">
        <v>1513</v>
      </c>
      <c r="B1313" s="20" t="s">
        <v>169</v>
      </c>
      <c r="C1313" s="20" t="s">
        <v>190</v>
      </c>
      <c r="D1313" s="21">
        <v>22</v>
      </c>
      <c r="E1313" s="21">
        <v>1</v>
      </c>
      <c r="F1313" s="21"/>
      <c r="G1313" s="21"/>
      <c r="H1313" s="22">
        <f t="shared" si="20"/>
        <v>23</v>
      </c>
    </row>
    <row r="1314" spans="1:8" ht="15.75" customHeight="1">
      <c r="A1314" s="24" t="s">
        <v>3508</v>
      </c>
      <c r="B1314" s="24" t="s">
        <v>1504</v>
      </c>
      <c r="C1314" s="24" t="s">
        <v>50</v>
      </c>
      <c r="D1314" s="25"/>
      <c r="E1314" s="25"/>
      <c r="F1314" s="25"/>
      <c r="G1314" s="25">
        <v>10</v>
      </c>
      <c r="H1314" s="22">
        <f t="shared" si="20"/>
        <v>10</v>
      </c>
    </row>
    <row r="1315" spans="1:8" ht="15.75" customHeight="1">
      <c r="A1315" s="20" t="s">
        <v>3342</v>
      </c>
      <c r="B1315" s="20" t="s">
        <v>1466</v>
      </c>
      <c r="C1315" s="20" t="s">
        <v>3008</v>
      </c>
      <c r="D1315" s="21"/>
      <c r="E1315" s="21"/>
      <c r="F1315" s="21">
        <v>350</v>
      </c>
      <c r="G1315" s="21"/>
      <c r="H1315" s="22">
        <f t="shared" si="20"/>
        <v>350</v>
      </c>
    </row>
    <row r="1316" spans="1:8" ht="15.75" customHeight="1">
      <c r="A1316" s="24" t="s">
        <v>2800</v>
      </c>
      <c r="B1316" s="24" t="s">
        <v>1460</v>
      </c>
      <c r="C1316" s="24" t="s">
        <v>50</v>
      </c>
      <c r="D1316" s="25"/>
      <c r="E1316" s="25">
        <v>3</v>
      </c>
      <c r="F1316" s="25"/>
      <c r="G1316" s="25"/>
      <c r="H1316" s="22">
        <f t="shared" si="20"/>
        <v>3</v>
      </c>
    </row>
    <row r="1317" spans="1:8" ht="15.75" customHeight="1">
      <c r="A1317" s="20" t="s">
        <v>2801</v>
      </c>
      <c r="B1317" s="20" t="s">
        <v>1531</v>
      </c>
      <c r="C1317" s="20" t="s">
        <v>42</v>
      </c>
      <c r="D1317" s="21"/>
      <c r="E1317" s="21">
        <v>2</v>
      </c>
      <c r="F1317" s="21"/>
      <c r="G1317" s="21"/>
      <c r="H1317" s="22">
        <f t="shared" si="20"/>
        <v>2</v>
      </c>
    </row>
    <row r="1318" spans="1:8" ht="15.75" customHeight="1">
      <c r="A1318" s="24" t="s">
        <v>1514</v>
      </c>
      <c r="B1318" s="24" t="s">
        <v>1471</v>
      </c>
      <c r="C1318" s="24" t="s">
        <v>1515</v>
      </c>
      <c r="D1318" s="25">
        <v>10</v>
      </c>
      <c r="E1318" s="25"/>
      <c r="F1318" s="25">
        <v>200</v>
      </c>
      <c r="G1318" s="25">
        <v>50</v>
      </c>
      <c r="H1318" s="22">
        <f t="shared" si="20"/>
        <v>260</v>
      </c>
    </row>
    <row r="1319" spans="1:8" ht="15.75" customHeight="1">
      <c r="A1319" s="20" t="s">
        <v>2802</v>
      </c>
      <c r="B1319" s="20" t="s">
        <v>1466</v>
      </c>
      <c r="C1319" s="20" t="s">
        <v>53</v>
      </c>
      <c r="D1319" s="21"/>
      <c r="E1319" s="21">
        <v>13</v>
      </c>
      <c r="F1319" s="21"/>
      <c r="G1319" s="21"/>
      <c r="H1319" s="22">
        <f t="shared" si="20"/>
        <v>13</v>
      </c>
    </row>
    <row r="1320" spans="1:8" ht="15.75" customHeight="1">
      <c r="A1320" s="24" t="s">
        <v>1516</v>
      </c>
      <c r="B1320" s="24" t="s">
        <v>1471</v>
      </c>
      <c r="C1320" s="24" t="s">
        <v>310</v>
      </c>
      <c r="D1320" s="25">
        <v>4</v>
      </c>
      <c r="E1320" s="25"/>
      <c r="F1320" s="25"/>
      <c r="G1320" s="25"/>
      <c r="H1320" s="22">
        <f t="shared" si="20"/>
        <v>4</v>
      </c>
    </row>
    <row r="1321" spans="1:8" ht="15.75" customHeight="1">
      <c r="A1321" s="20" t="s">
        <v>2803</v>
      </c>
      <c r="B1321" s="20" t="s">
        <v>1460</v>
      </c>
      <c r="C1321" s="20" t="s">
        <v>53</v>
      </c>
      <c r="D1321" s="21"/>
      <c r="E1321" s="21">
        <v>2</v>
      </c>
      <c r="F1321" s="21"/>
      <c r="G1321" s="21"/>
      <c r="H1321" s="22">
        <f t="shared" si="20"/>
        <v>2</v>
      </c>
    </row>
    <row r="1322" spans="1:8" ht="15.75" customHeight="1">
      <c r="A1322" s="24" t="s">
        <v>1517</v>
      </c>
      <c r="B1322" s="24" t="s">
        <v>445</v>
      </c>
      <c r="C1322" s="24" t="s">
        <v>474</v>
      </c>
      <c r="D1322" s="25">
        <v>30</v>
      </c>
      <c r="E1322" s="25"/>
      <c r="F1322" s="25"/>
      <c r="G1322" s="25"/>
      <c r="H1322" s="22">
        <f t="shared" si="20"/>
        <v>30</v>
      </c>
    </row>
    <row r="1323" spans="1:8" ht="15.75" customHeight="1">
      <c r="A1323" s="20" t="s">
        <v>1518</v>
      </c>
      <c r="B1323" s="20" t="s">
        <v>445</v>
      </c>
      <c r="C1323" s="20" t="s">
        <v>1519</v>
      </c>
      <c r="D1323" s="21">
        <v>10</v>
      </c>
      <c r="E1323" s="21"/>
      <c r="F1323" s="21"/>
      <c r="G1323" s="21"/>
      <c r="H1323" s="22">
        <f t="shared" si="20"/>
        <v>10</v>
      </c>
    </row>
    <row r="1324" spans="1:8" ht="15.75" customHeight="1">
      <c r="A1324" s="24" t="s">
        <v>2804</v>
      </c>
      <c r="B1324" s="24" t="s">
        <v>1475</v>
      </c>
      <c r="C1324" s="24" t="s">
        <v>53</v>
      </c>
      <c r="D1324" s="25"/>
      <c r="E1324" s="25">
        <v>24</v>
      </c>
      <c r="F1324" s="25"/>
      <c r="G1324" s="25"/>
      <c r="H1324" s="22">
        <f t="shared" si="20"/>
        <v>24</v>
      </c>
    </row>
    <row r="1325" spans="1:8" ht="15.75" customHeight="1">
      <c r="A1325" s="20" t="s">
        <v>2805</v>
      </c>
      <c r="B1325" s="20" t="s">
        <v>869</v>
      </c>
      <c r="C1325" s="20" t="s">
        <v>2806</v>
      </c>
      <c r="D1325" s="21"/>
      <c r="E1325" s="21">
        <v>600</v>
      </c>
      <c r="F1325" s="21">
        <v>100</v>
      </c>
      <c r="G1325" s="21"/>
      <c r="H1325" s="22">
        <f t="shared" si="20"/>
        <v>700</v>
      </c>
    </row>
    <row r="1326" spans="1:8" ht="15.75" customHeight="1">
      <c r="A1326" s="24" t="s">
        <v>2807</v>
      </c>
      <c r="B1326" s="24" t="s">
        <v>2808</v>
      </c>
      <c r="C1326" s="24"/>
      <c r="D1326" s="25"/>
      <c r="E1326" s="25">
        <v>44</v>
      </c>
      <c r="F1326" s="25"/>
      <c r="G1326" s="25"/>
      <c r="H1326" s="22">
        <f t="shared" si="20"/>
        <v>44</v>
      </c>
    </row>
    <row r="1327" spans="1:8" ht="15.75" customHeight="1">
      <c r="A1327" s="20" t="s">
        <v>1520</v>
      </c>
      <c r="B1327" s="20" t="s">
        <v>755</v>
      </c>
      <c r="C1327" s="27" t="s">
        <v>1521</v>
      </c>
      <c r="D1327" s="21">
        <v>50</v>
      </c>
      <c r="E1327" s="21"/>
      <c r="F1327" s="21"/>
      <c r="G1327" s="21"/>
      <c r="H1327" s="22">
        <f t="shared" si="20"/>
        <v>50</v>
      </c>
    </row>
    <row r="1328" spans="1:8" ht="15.75" customHeight="1">
      <c r="A1328" s="24" t="s">
        <v>3343</v>
      </c>
      <c r="B1328" s="24" t="s">
        <v>3344</v>
      </c>
      <c r="C1328" s="24"/>
      <c r="D1328" s="25"/>
      <c r="E1328" s="25"/>
      <c r="F1328" s="25">
        <v>544</v>
      </c>
      <c r="G1328" s="25"/>
      <c r="H1328" s="22">
        <f t="shared" si="20"/>
        <v>544</v>
      </c>
    </row>
    <row r="1329" spans="1:8" ht="15.75" customHeight="1">
      <c r="A1329" s="20" t="s">
        <v>3345</v>
      </c>
      <c r="B1329" s="20" t="s">
        <v>3346</v>
      </c>
      <c r="C1329" s="20"/>
      <c r="D1329" s="21"/>
      <c r="E1329" s="21"/>
      <c r="F1329" s="21">
        <v>19</v>
      </c>
      <c r="G1329" s="21"/>
      <c r="H1329" s="22">
        <f t="shared" si="20"/>
        <v>19</v>
      </c>
    </row>
    <row r="1330" spans="1:8" ht="15.75" customHeight="1">
      <c r="A1330" s="24" t="s">
        <v>3347</v>
      </c>
      <c r="B1330" s="24" t="s">
        <v>3348</v>
      </c>
      <c r="C1330" s="24" t="s">
        <v>3349</v>
      </c>
      <c r="D1330" s="25"/>
      <c r="E1330" s="25"/>
      <c r="F1330" s="25">
        <v>150</v>
      </c>
      <c r="G1330" s="25"/>
      <c r="H1330" s="22">
        <f t="shared" si="20"/>
        <v>150</v>
      </c>
    </row>
    <row r="1331" spans="1:8" ht="15.75" customHeight="1">
      <c r="A1331" s="20" t="s">
        <v>3350</v>
      </c>
      <c r="B1331" s="20" t="s">
        <v>3348</v>
      </c>
      <c r="C1331" s="20" t="s">
        <v>3351</v>
      </c>
      <c r="D1331" s="21"/>
      <c r="E1331" s="21"/>
      <c r="F1331" s="21">
        <v>200</v>
      </c>
      <c r="G1331" s="21"/>
      <c r="H1331" s="22">
        <f t="shared" si="20"/>
        <v>200</v>
      </c>
    </row>
    <row r="1332" spans="1:8" ht="15.75" customHeight="1">
      <c r="A1332" s="24" t="s">
        <v>3352</v>
      </c>
      <c r="B1332" s="24" t="s">
        <v>1460</v>
      </c>
      <c r="C1332" s="24" t="s">
        <v>3353</v>
      </c>
      <c r="D1332" s="25"/>
      <c r="E1332" s="25"/>
      <c r="F1332" s="25">
        <v>30</v>
      </c>
      <c r="G1332" s="25">
        <v>30</v>
      </c>
      <c r="H1332" s="22">
        <f t="shared" si="20"/>
        <v>60</v>
      </c>
    </row>
    <row r="1333" spans="1:8" ht="15.75" customHeight="1">
      <c r="A1333" s="20" t="s">
        <v>1522</v>
      </c>
      <c r="B1333" s="20" t="s">
        <v>1523</v>
      </c>
      <c r="C1333" s="20" t="s">
        <v>1524</v>
      </c>
      <c r="D1333" s="21">
        <v>4</v>
      </c>
      <c r="E1333" s="21"/>
      <c r="F1333" s="21"/>
      <c r="G1333" s="21"/>
      <c r="H1333" s="22">
        <f t="shared" si="20"/>
        <v>4</v>
      </c>
    </row>
    <row r="1334" spans="1:8" ht="15.75" customHeight="1">
      <c r="A1334" s="24" t="s">
        <v>1525</v>
      </c>
      <c r="B1334" s="24" t="s">
        <v>1491</v>
      </c>
      <c r="C1334" s="24" t="s">
        <v>284</v>
      </c>
      <c r="D1334" s="25">
        <v>2</v>
      </c>
      <c r="E1334" s="25"/>
      <c r="F1334" s="25"/>
      <c r="G1334" s="25"/>
      <c r="H1334" s="22">
        <f t="shared" si="20"/>
        <v>2</v>
      </c>
    </row>
    <row r="1335" spans="1:8" ht="15.75" customHeight="1">
      <c r="A1335" s="20" t="s">
        <v>1526</v>
      </c>
      <c r="B1335" s="20" t="s">
        <v>1527</v>
      </c>
      <c r="C1335" s="20" t="s">
        <v>284</v>
      </c>
      <c r="D1335" s="21">
        <v>2</v>
      </c>
      <c r="E1335" s="21"/>
      <c r="F1335" s="21"/>
      <c r="G1335" s="21"/>
      <c r="H1335" s="22">
        <f t="shared" si="20"/>
        <v>2</v>
      </c>
    </row>
    <row r="1336" spans="1:8" ht="15.75" customHeight="1">
      <c r="A1336" s="24" t="s">
        <v>1528</v>
      </c>
      <c r="B1336" s="24" t="s">
        <v>1529</v>
      </c>
      <c r="C1336" s="24" t="s">
        <v>137</v>
      </c>
      <c r="D1336" s="25">
        <v>4</v>
      </c>
      <c r="E1336" s="25"/>
      <c r="F1336" s="25"/>
      <c r="G1336" s="25"/>
      <c r="H1336" s="22">
        <f t="shared" si="20"/>
        <v>4</v>
      </c>
    </row>
    <row r="1337" spans="1:8" ht="15.75" customHeight="1">
      <c r="A1337" s="20" t="s">
        <v>1530</v>
      </c>
      <c r="B1337" s="20" t="s">
        <v>1531</v>
      </c>
      <c r="C1337" s="20" t="s">
        <v>1532</v>
      </c>
      <c r="D1337" s="21">
        <v>5</v>
      </c>
      <c r="E1337" s="21"/>
      <c r="F1337" s="21"/>
      <c r="G1337" s="21"/>
      <c r="H1337" s="22">
        <f t="shared" si="20"/>
        <v>5</v>
      </c>
    </row>
    <row r="1338" spans="1:8" ht="15.75" customHeight="1">
      <c r="A1338" s="24" t="s">
        <v>1533</v>
      </c>
      <c r="B1338" s="24" t="s">
        <v>1504</v>
      </c>
      <c r="C1338" s="24" t="s">
        <v>1534</v>
      </c>
      <c r="D1338" s="25">
        <v>100</v>
      </c>
      <c r="E1338" s="25"/>
      <c r="F1338" s="25"/>
      <c r="G1338" s="25"/>
      <c r="H1338" s="22">
        <f t="shared" si="20"/>
        <v>100</v>
      </c>
    </row>
    <row r="1339" spans="1:8" ht="15.75" customHeight="1">
      <c r="A1339" s="20" t="s">
        <v>1535</v>
      </c>
      <c r="B1339" s="20" t="s">
        <v>1504</v>
      </c>
      <c r="C1339" s="20" t="s">
        <v>1536</v>
      </c>
      <c r="D1339" s="21">
        <v>50</v>
      </c>
      <c r="E1339" s="21"/>
      <c r="F1339" s="21"/>
      <c r="G1339" s="21"/>
      <c r="H1339" s="22">
        <f t="shared" si="20"/>
        <v>50</v>
      </c>
    </row>
    <row r="1340" spans="1:8" ht="15.75" customHeight="1">
      <c r="A1340" s="24" t="s">
        <v>1537</v>
      </c>
      <c r="B1340" s="24" t="s">
        <v>1466</v>
      </c>
      <c r="C1340" s="24" t="s">
        <v>1538</v>
      </c>
      <c r="D1340" s="25">
        <v>62</v>
      </c>
      <c r="E1340" s="25"/>
      <c r="F1340" s="25"/>
      <c r="G1340" s="25"/>
      <c r="H1340" s="22">
        <f t="shared" si="20"/>
        <v>62</v>
      </c>
    </row>
    <row r="1341" spans="1:8" ht="15.75" customHeight="1">
      <c r="A1341" s="20" t="s">
        <v>1539</v>
      </c>
      <c r="B1341" s="20" t="s">
        <v>1466</v>
      </c>
      <c r="C1341" s="20" t="s">
        <v>1540</v>
      </c>
      <c r="D1341" s="21">
        <v>54</v>
      </c>
      <c r="E1341" s="21"/>
      <c r="F1341" s="21"/>
      <c r="G1341" s="21"/>
      <c r="H1341" s="22">
        <f t="shared" si="20"/>
        <v>54</v>
      </c>
    </row>
    <row r="1342" spans="1:8" ht="15.75" customHeight="1">
      <c r="A1342" s="24" t="s">
        <v>3354</v>
      </c>
      <c r="B1342" s="24" t="s">
        <v>1466</v>
      </c>
      <c r="C1342" s="24" t="s">
        <v>3355</v>
      </c>
      <c r="D1342" s="25"/>
      <c r="E1342" s="25"/>
      <c r="F1342" s="25">
        <v>30</v>
      </c>
      <c r="G1342" s="25"/>
      <c r="H1342" s="22">
        <f t="shared" si="20"/>
        <v>30</v>
      </c>
    </row>
    <row r="1343" spans="1:8" ht="15.75" customHeight="1">
      <c r="A1343" s="20" t="s">
        <v>1541</v>
      </c>
      <c r="B1343" s="20" t="s">
        <v>896</v>
      </c>
      <c r="C1343" s="20" t="s">
        <v>1542</v>
      </c>
      <c r="D1343" s="21">
        <v>80</v>
      </c>
      <c r="E1343" s="21"/>
      <c r="F1343" s="21"/>
      <c r="G1343" s="21"/>
      <c r="H1343" s="22">
        <f t="shared" si="20"/>
        <v>80</v>
      </c>
    </row>
    <row r="1344" spans="1:8" ht="15.75" customHeight="1">
      <c r="A1344" s="24" t="s">
        <v>3356</v>
      </c>
      <c r="B1344" s="24" t="s">
        <v>3357</v>
      </c>
      <c r="C1344" s="24" t="s">
        <v>932</v>
      </c>
      <c r="D1344" s="25"/>
      <c r="E1344" s="25"/>
      <c r="F1344" s="25">
        <v>44</v>
      </c>
      <c r="G1344" s="25"/>
      <c r="H1344" s="22">
        <f t="shared" si="20"/>
        <v>44</v>
      </c>
    </row>
    <row r="1345" spans="1:8" ht="15.75" customHeight="1">
      <c r="A1345" s="20" t="s">
        <v>3509</v>
      </c>
      <c r="B1345" s="20" t="s">
        <v>3510</v>
      </c>
      <c r="C1345" s="20" t="s">
        <v>1142</v>
      </c>
      <c r="D1345" s="21"/>
      <c r="E1345" s="21"/>
      <c r="F1345" s="21"/>
      <c r="G1345" s="21">
        <v>20</v>
      </c>
      <c r="H1345" s="22">
        <f t="shared" si="20"/>
        <v>20</v>
      </c>
    </row>
    <row r="1346" spans="1:8" ht="15.75" customHeight="1">
      <c r="A1346" s="24" t="s">
        <v>2809</v>
      </c>
      <c r="B1346" s="24" t="s">
        <v>2810</v>
      </c>
      <c r="C1346" s="24"/>
      <c r="D1346" s="25"/>
      <c r="E1346" s="25">
        <v>3</v>
      </c>
      <c r="F1346" s="25"/>
      <c r="G1346" s="25"/>
      <c r="H1346" s="22">
        <f t="shared" si="20"/>
        <v>3</v>
      </c>
    </row>
    <row r="1347" spans="1:8" ht="15.75" customHeight="1">
      <c r="A1347" s="20" t="s">
        <v>2809</v>
      </c>
      <c r="B1347" s="20" t="s">
        <v>2811</v>
      </c>
      <c r="C1347" s="20"/>
      <c r="D1347" s="21"/>
      <c r="E1347" s="21">
        <v>1</v>
      </c>
      <c r="F1347" s="21"/>
      <c r="G1347" s="21"/>
      <c r="H1347" s="22">
        <f t="shared" si="20"/>
        <v>1</v>
      </c>
    </row>
    <row r="1348" spans="1:8" ht="15.75" customHeight="1">
      <c r="A1348" s="24" t="s">
        <v>2812</v>
      </c>
      <c r="B1348" s="24" t="s">
        <v>1649</v>
      </c>
      <c r="C1348" s="24" t="s">
        <v>2813</v>
      </c>
      <c r="D1348" s="25"/>
      <c r="E1348" s="25">
        <v>10</v>
      </c>
      <c r="F1348" s="25"/>
      <c r="G1348" s="25"/>
      <c r="H1348" s="22">
        <f t="shared" ref="H1348:H1411" si="21">SUM(D1348:G1348)</f>
        <v>10</v>
      </c>
    </row>
    <row r="1349" spans="1:8" ht="15.75" customHeight="1">
      <c r="A1349" s="20" t="s">
        <v>2814</v>
      </c>
      <c r="B1349" s="20" t="s">
        <v>1649</v>
      </c>
      <c r="C1349" s="20" t="s">
        <v>1660</v>
      </c>
      <c r="D1349" s="21"/>
      <c r="E1349" s="21">
        <v>15</v>
      </c>
      <c r="F1349" s="21"/>
      <c r="G1349" s="21"/>
      <c r="H1349" s="22">
        <f t="shared" si="21"/>
        <v>15</v>
      </c>
    </row>
    <row r="1350" spans="1:8" ht="15.75" customHeight="1">
      <c r="A1350" s="24" t="s">
        <v>3358</v>
      </c>
      <c r="B1350" s="24" t="s">
        <v>1649</v>
      </c>
      <c r="C1350" s="24" t="s">
        <v>3359</v>
      </c>
      <c r="D1350" s="25"/>
      <c r="E1350" s="25"/>
      <c r="F1350" s="25">
        <v>2</v>
      </c>
      <c r="G1350" s="25"/>
      <c r="H1350" s="22">
        <f t="shared" si="21"/>
        <v>2</v>
      </c>
    </row>
    <row r="1351" spans="1:8" ht="15.75" customHeight="1">
      <c r="A1351" s="20" t="s">
        <v>1543</v>
      </c>
      <c r="B1351" s="20" t="s">
        <v>1544</v>
      </c>
      <c r="C1351" s="20" t="s">
        <v>1545</v>
      </c>
      <c r="D1351" s="21">
        <v>15</v>
      </c>
      <c r="E1351" s="21">
        <v>10</v>
      </c>
      <c r="F1351" s="21">
        <v>10</v>
      </c>
      <c r="G1351" s="21"/>
      <c r="H1351" s="22">
        <f t="shared" si="21"/>
        <v>35</v>
      </c>
    </row>
    <row r="1352" spans="1:8" ht="15.75" customHeight="1">
      <c r="A1352" s="24" t="s">
        <v>1546</v>
      </c>
      <c r="B1352" s="24" t="s">
        <v>1544</v>
      </c>
      <c r="C1352" s="24" t="s">
        <v>1547</v>
      </c>
      <c r="D1352" s="25">
        <v>15</v>
      </c>
      <c r="E1352" s="25"/>
      <c r="F1352" s="25"/>
      <c r="G1352" s="25"/>
      <c r="H1352" s="22">
        <f t="shared" si="21"/>
        <v>15</v>
      </c>
    </row>
    <row r="1353" spans="1:8" ht="15.75" customHeight="1">
      <c r="A1353" s="20" t="s">
        <v>2815</v>
      </c>
      <c r="B1353" s="20" t="s">
        <v>1544</v>
      </c>
      <c r="C1353" s="20" t="s">
        <v>2816</v>
      </c>
      <c r="D1353" s="21"/>
      <c r="E1353" s="21">
        <v>30</v>
      </c>
      <c r="F1353" s="21"/>
      <c r="G1353" s="21"/>
      <c r="H1353" s="22">
        <f t="shared" si="21"/>
        <v>30</v>
      </c>
    </row>
    <row r="1354" spans="1:8" ht="15.75" customHeight="1">
      <c r="A1354" s="24" t="s">
        <v>2817</v>
      </c>
      <c r="B1354" s="24" t="s">
        <v>1544</v>
      </c>
      <c r="C1354" s="24" t="s">
        <v>2818</v>
      </c>
      <c r="D1354" s="25"/>
      <c r="E1354" s="25">
        <v>10</v>
      </c>
      <c r="F1354" s="25"/>
      <c r="G1354" s="25"/>
      <c r="H1354" s="22">
        <f t="shared" si="21"/>
        <v>10</v>
      </c>
    </row>
    <row r="1355" spans="1:8" ht="15.75" customHeight="1">
      <c r="A1355" s="20" t="s">
        <v>2819</v>
      </c>
      <c r="B1355" s="20" t="s">
        <v>1544</v>
      </c>
      <c r="C1355" s="20" t="s">
        <v>2820</v>
      </c>
      <c r="D1355" s="21"/>
      <c r="E1355" s="21">
        <v>10</v>
      </c>
      <c r="F1355" s="21"/>
      <c r="G1355" s="21"/>
      <c r="H1355" s="22">
        <f t="shared" si="21"/>
        <v>10</v>
      </c>
    </row>
    <row r="1356" spans="1:8" ht="15.75" customHeight="1">
      <c r="A1356" s="24" t="s">
        <v>2821</v>
      </c>
      <c r="B1356" s="24" t="s">
        <v>1544</v>
      </c>
      <c r="C1356" s="24" t="s">
        <v>2822</v>
      </c>
      <c r="D1356" s="25"/>
      <c r="E1356" s="25">
        <v>10</v>
      </c>
      <c r="F1356" s="25">
        <v>8</v>
      </c>
      <c r="G1356" s="25"/>
      <c r="H1356" s="22">
        <f t="shared" si="21"/>
        <v>18</v>
      </c>
    </row>
    <row r="1357" spans="1:8" ht="15.75" customHeight="1">
      <c r="A1357" s="20" t="s">
        <v>1548</v>
      </c>
      <c r="B1357" s="20" t="s">
        <v>448</v>
      </c>
      <c r="C1357" s="20" t="s">
        <v>1549</v>
      </c>
      <c r="D1357" s="21">
        <v>20</v>
      </c>
      <c r="E1357" s="21">
        <v>10</v>
      </c>
      <c r="F1357" s="21">
        <v>50</v>
      </c>
      <c r="G1357" s="21">
        <v>25</v>
      </c>
      <c r="H1357" s="22">
        <f t="shared" si="21"/>
        <v>105</v>
      </c>
    </row>
    <row r="1358" spans="1:8" ht="15.75" customHeight="1">
      <c r="A1358" s="24" t="s">
        <v>1550</v>
      </c>
      <c r="B1358" s="24" t="s">
        <v>448</v>
      </c>
      <c r="C1358" s="24" t="s">
        <v>1551</v>
      </c>
      <c r="D1358" s="25">
        <v>10</v>
      </c>
      <c r="E1358" s="25">
        <v>30</v>
      </c>
      <c r="F1358" s="25">
        <v>60</v>
      </c>
      <c r="G1358" s="25"/>
      <c r="H1358" s="22">
        <f t="shared" si="21"/>
        <v>100</v>
      </c>
    </row>
    <row r="1359" spans="1:8" ht="15.75" customHeight="1">
      <c r="A1359" s="20" t="s">
        <v>2823</v>
      </c>
      <c r="B1359" s="20" t="s">
        <v>448</v>
      </c>
      <c r="C1359" s="20" t="s">
        <v>2824</v>
      </c>
      <c r="D1359" s="21"/>
      <c r="E1359" s="21">
        <v>10</v>
      </c>
      <c r="F1359" s="21"/>
      <c r="G1359" s="21"/>
      <c r="H1359" s="22">
        <f t="shared" si="21"/>
        <v>10</v>
      </c>
    </row>
    <row r="1360" spans="1:8" ht="15.75" customHeight="1">
      <c r="A1360" s="24" t="s">
        <v>1552</v>
      </c>
      <c r="B1360" s="24" t="s">
        <v>448</v>
      </c>
      <c r="C1360" s="24" t="s">
        <v>1553</v>
      </c>
      <c r="D1360" s="25">
        <v>30</v>
      </c>
      <c r="E1360" s="25"/>
      <c r="F1360" s="25">
        <v>10</v>
      </c>
      <c r="G1360" s="25">
        <v>10</v>
      </c>
      <c r="H1360" s="22">
        <f t="shared" si="21"/>
        <v>50</v>
      </c>
    </row>
    <row r="1361" spans="1:8" ht="15.75" customHeight="1">
      <c r="A1361" s="20" t="s">
        <v>1554</v>
      </c>
      <c r="B1361" s="20" t="s">
        <v>448</v>
      </c>
      <c r="C1361" s="20" t="s">
        <v>1555</v>
      </c>
      <c r="D1361" s="21">
        <v>20</v>
      </c>
      <c r="E1361" s="21">
        <v>10</v>
      </c>
      <c r="F1361" s="21">
        <v>10</v>
      </c>
      <c r="G1361" s="21"/>
      <c r="H1361" s="22">
        <f t="shared" si="21"/>
        <v>40</v>
      </c>
    </row>
    <row r="1362" spans="1:8" ht="15.75" customHeight="1">
      <c r="A1362" s="24" t="s">
        <v>2825</v>
      </c>
      <c r="B1362" s="24" t="s">
        <v>362</v>
      </c>
      <c r="C1362" s="24" t="s">
        <v>2826</v>
      </c>
      <c r="D1362" s="25"/>
      <c r="E1362" s="25">
        <v>178</v>
      </c>
      <c r="F1362" s="25">
        <v>40</v>
      </c>
      <c r="G1362" s="25"/>
      <c r="H1362" s="22">
        <f t="shared" si="21"/>
        <v>218</v>
      </c>
    </row>
    <row r="1363" spans="1:8" ht="15.75" customHeight="1">
      <c r="A1363" s="20" t="s">
        <v>2827</v>
      </c>
      <c r="B1363" s="20" t="s">
        <v>206</v>
      </c>
      <c r="C1363" s="20" t="s">
        <v>2828</v>
      </c>
      <c r="D1363" s="21"/>
      <c r="E1363" s="21">
        <v>2</v>
      </c>
      <c r="F1363" s="21">
        <v>4</v>
      </c>
      <c r="G1363" s="21"/>
      <c r="H1363" s="22">
        <f t="shared" si="21"/>
        <v>6</v>
      </c>
    </row>
    <row r="1364" spans="1:8" ht="15.75" customHeight="1">
      <c r="A1364" s="24" t="s">
        <v>1556</v>
      </c>
      <c r="B1364" s="24" t="s">
        <v>206</v>
      </c>
      <c r="C1364" s="24" t="s">
        <v>1557</v>
      </c>
      <c r="D1364" s="25">
        <v>10</v>
      </c>
      <c r="E1364" s="25"/>
      <c r="F1364" s="25"/>
      <c r="G1364" s="25"/>
      <c r="H1364" s="22">
        <f t="shared" si="21"/>
        <v>10</v>
      </c>
    </row>
    <row r="1365" spans="1:8" ht="15.75" customHeight="1">
      <c r="A1365" s="20" t="s">
        <v>2829</v>
      </c>
      <c r="B1365" s="20" t="s">
        <v>211</v>
      </c>
      <c r="C1365" s="20" t="s">
        <v>2830</v>
      </c>
      <c r="D1365" s="21"/>
      <c r="E1365" s="21">
        <v>5</v>
      </c>
      <c r="F1365" s="21"/>
      <c r="G1365" s="21"/>
      <c r="H1365" s="22">
        <f t="shared" si="21"/>
        <v>5</v>
      </c>
    </row>
    <row r="1366" spans="1:8" ht="15.75" customHeight="1">
      <c r="A1366" s="24" t="s">
        <v>1558</v>
      </c>
      <c r="B1366" s="24" t="s">
        <v>211</v>
      </c>
      <c r="C1366" s="24" t="s">
        <v>1559</v>
      </c>
      <c r="D1366" s="25">
        <v>10</v>
      </c>
      <c r="E1366" s="25">
        <v>3</v>
      </c>
      <c r="F1366" s="25">
        <v>20</v>
      </c>
      <c r="G1366" s="25"/>
      <c r="H1366" s="22">
        <f t="shared" si="21"/>
        <v>33</v>
      </c>
    </row>
    <row r="1367" spans="1:8" ht="15.75" customHeight="1">
      <c r="A1367" s="20" t="s">
        <v>1560</v>
      </c>
      <c r="B1367" s="20" t="s">
        <v>211</v>
      </c>
      <c r="C1367" s="20" t="s">
        <v>1561</v>
      </c>
      <c r="D1367" s="21">
        <v>35</v>
      </c>
      <c r="E1367" s="21">
        <v>10</v>
      </c>
      <c r="F1367" s="21">
        <v>20</v>
      </c>
      <c r="G1367" s="21"/>
      <c r="H1367" s="22">
        <f t="shared" si="21"/>
        <v>65</v>
      </c>
    </row>
    <row r="1368" spans="1:8" ht="15.75" customHeight="1">
      <c r="A1368" s="24" t="s">
        <v>1562</v>
      </c>
      <c r="B1368" s="24" t="s">
        <v>180</v>
      </c>
      <c r="C1368" s="24" t="s">
        <v>1563</v>
      </c>
      <c r="D1368" s="25">
        <v>34</v>
      </c>
      <c r="E1368" s="25"/>
      <c r="F1368" s="25"/>
      <c r="G1368" s="25"/>
      <c r="H1368" s="22">
        <f t="shared" si="21"/>
        <v>34</v>
      </c>
    </row>
    <row r="1369" spans="1:8" ht="15.75" customHeight="1">
      <c r="A1369" s="20" t="s">
        <v>1564</v>
      </c>
      <c r="B1369" s="20" t="s">
        <v>180</v>
      </c>
      <c r="C1369" s="20" t="s">
        <v>53</v>
      </c>
      <c r="D1369" s="21">
        <v>6</v>
      </c>
      <c r="E1369" s="21"/>
      <c r="F1369" s="21"/>
      <c r="G1369" s="21"/>
      <c r="H1369" s="22">
        <f t="shared" si="21"/>
        <v>6</v>
      </c>
    </row>
    <row r="1370" spans="1:8" ht="15.75" customHeight="1">
      <c r="A1370" s="24" t="s">
        <v>3360</v>
      </c>
      <c r="B1370" s="24" t="s">
        <v>180</v>
      </c>
      <c r="C1370" s="24" t="s">
        <v>3361</v>
      </c>
      <c r="D1370" s="25"/>
      <c r="E1370" s="25"/>
      <c r="F1370" s="25">
        <v>20</v>
      </c>
      <c r="G1370" s="25"/>
      <c r="H1370" s="22">
        <f t="shared" si="21"/>
        <v>20</v>
      </c>
    </row>
    <row r="1371" spans="1:8" ht="15.75" customHeight="1">
      <c r="A1371" s="20" t="s">
        <v>3511</v>
      </c>
      <c r="B1371" s="20" t="s">
        <v>180</v>
      </c>
      <c r="C1371" s="20" t="s">
        <v>238</v>
      </c>
      <c r="D1371" s="21"/>
      <c r="E1371" s="21"/>
      <c r="F1371" s="21"/>
      <c r="G1371" s="21">
        <v>11</v>
      </c>
      <c r="H1371" s="22">
        <f t="shared" si="21"/>
        <v>11</v>
      </c>
    </row>
    <row r="1372" spans="1:8" ht="15.75" customHeight="1">
      <c r="A1372" s="24" t="s">
        <v>2831</v>
      </c>
      <c r="B1372" s="24" t="s">
        <v>203</v>
      </c>
      <c r="C1372" s="24" t="s">
        <v>2832</v>
      </c>
      <c r="D1372" s="25"/>
      <c r="E1372" s="25">
        <v>20</v>
      </c>
      <c r="F1372" s="25">
        <v>30</v>
      </c>
      <c r="G1372" s="25">
        <v>45</v>
      </c>
      <c r="H1372" s="22">
        <f t="shared" si="21"/>
        <v>95</v>
      </c>
    </row>
    <row r="1373" spans="1:8" ht="15.75" customHeight="1">
      <c r="A1373" s="20" t="s">
        <v>2833</v>
      </c>
      <c r="B1373" s="20" t="s">
        <v>203</v>
      </c>
      <c r="C1373" s="20" t="s">
        <v>2834</v>
      </c>
      <c r="D1373" s="21"/>
      <c r="E1373" s="21">
        <v>20</v>
      </c>
      <c r="F1373" s="21">
        <v>20</v>
      </c>
      <c r="G1373" s="21">
        <v>45</v>
      </c>
      <c r="H1373" s="22">
        <f t="shared" si="21"/>
        <v>85</v>
      </c>
    </row>
    <row r="1374" spans="1:8" ht="15.75" customHeight="1">
      <c r="A1374" s="24" t="s">
        <v>2835</v>
      </c>
      <c r="B1374" s="24" t="s">
        <v>203</v>
      </c>
      <c r="C1374" s="24" t="s">
        <v>1578</v>
      </c>
      <c r="D1374" s="25"/>
      <c r="E1374" s="25">
        <v>10</v>
      </c>
      <c r="F1374" s="25">
        <v>14</v>
      </c>
      <c r="G1374" s="25">
        <v>12</v>
      </c>
      <c r="H1374" s="22">
        <f t="shared" si="21"/>
        <v>36</v>
      </c>
    </row>
    <row r="1375" spans="1:8" ht="15.75" customHeight="1">
      <c r="A1375" s="20" t="s">
        <v>3362</v>
      </c>
      <c r="B1375" s="20" t="s">
        <v>244</v>
      </c>
      <c r="C1375" s="20" t="s">
        <v>3363</v>
      </c>
      <c r="D1375" s="21"/>
      <c r="E1375" s="21"/>
      <c r="F1375" s="21">
        <v>10</v>
      </c>
      <c r="G1375" s="21"/>
      <c r="H1375" s="22">
        <f t="shared" si="21"/>
        <v>10</v>
      </c>
    </row>
    <row r="1376" spans="1:8" ht="15.75" customHeight="1">
      <c r="A1376" s="24" t="s">
        <v>1565</v>
      </c>
      <c r="B1376" s="24" t="s">
        <v>244</v>
      </c>
      <c r="C1376" s="24" t="s">
        <v>1566</v>
      </c>
      <c r="D1376" s="25">
        <v>50</v>
      </c>
      <c r="E1376" s="25"/>
      <c r="F1376" s="25"/>
      <c r="G1376" s="25"/>
      <c r="H1376" s="22">
        <f t="shared" si="21"/>
        <v>50</v>
      </c>
    </row>
    <row r="1377" spans="1:8" ht="15.75" customHeight="1">
      <c r="A1377" s="20" t="s">
        <v>3364</v>
      </c>
      <c r="B1377" s="20" t="s">
        <v>244</v>
      </c>
      <c r="C1377" s="20" t="s">
        <v>3365</v>
      </c>
      <c r="D1377" s="21"/>
      <c r="E1377" s="21"/>
      <c r="F1377" s="21">
        <v>20</v>
      </c>
      <c r="G1377" s="21"/>
      <c r="H1377" s="22">
        <f t="shared" si="21"/>
        <v>20</v>
      </c>
    </row>
    <row r="1378" spans="1:8" ht="15.75" customHeight="1">
      <c r="A1378" s="24" t="s">
        <v>1567</v>
      </c>
      <c r="B1378" s="24" t="s">
        <v>244</v>
      </c>
      <c r="C1378" s="24" t="s">
        <v>1568</v>
      </c>
      <c r="D1378" s="25">
        <v>50</v>
      </c>
      <c r="E1378" s="25">
        <v>2</v>
      </c>
      <c r="F1378" s="25"/>
      <c r="G1378" s="25"/>
      <c r="H1378" s="22">
        <f t="shared" si="21"/>
        <v>52</v>
      </c>
    </row>
    <row r="1379" spans="1:8" ht="15.75" customHeight="1">
      <c r="A1379" s="20" t="s">
        <v>2836</v>
      </c>
      <c r="B1379" s="20" t="s">
        <v>194</v>
      </c>
      <c r="C1379" s="20" t="s">
        <v>2837</v>
      </c>
      <c r="D1379" s="21"/>
      <c r="E1379" s="21">
        <v>1</v>
      </c>
      <c r="F1379" s="21">
        <v>10</v>
      </c>
      <c r="G1379" s="21"/>
      <c r="H1379" s="22">
        <f t="shared" si="21"/>
        <v>11</v>
      </c>
    </row>
    <row r="1380" spans="1:8" ht="15.75" customHeight="1">
      <c r="A1380" s="24" t="s">
        <v>1569</v>
      </c>
      <c r="B1380" s="24" t="s">
        <v>194</v>
      </c>
      <c r="C1380" s="24" t="s">
        <v>1570</v>
      </c>
      <c r="D1380" s="25">
        <v>22</v>
      </c>
      <c r="E1380" s="25">
        <v>22</v>
      </c>
      <c r="F1380" s="25">
        <v>1</v>
      </c>
      <c r="G1380" s="25"/>
      <c r="H1380" s="22">
        <f t="shared" si="21"/>
        <v>45</v>
      </c>
    </row>
    <row r="1381" spans="1:8" ht="15.75" customHeight="1">
      <c r="A1381" s="20" t="s">
        <v>1571</v>
      </c>
      <c r="B1381" s="20" t="s">
        <v>194</v>
      </c>
      <c r="C1381" s="20" t="s">
        <v>1572</v>
      </c>
      <c r="D1381" s="21">
        <v>2</v>
      </c>
      <c r="E1381" s="21">
        <v>1</v>
      </c>
      <c r="F1381" s="21"/>
      <c r="G1381" s="21"/>
      <c r="H1381" s="22">
        <f t="shared" si="21"/>
        <v>3</v>
      </c>
    </row>
    <row r="1382" spans="1:8" ht="15.75" customHeight="1">
      <c r="A1382" s="24" t="s">
        <v>3366</v>
      </c>
      <c r="B1382" s="24" t="s">
        <v>194</v>
      </c>
      <c r="C1382" s="24" t="s">
        <v>3367</v>
      </c>
      <c r="D1382" s="25"/>
      <c r="E1382" s="25"/>
      <c r="F1382" s="25">
        <v>33</v>
      </c>
      <c r="G1382" s="25"/>
      <c r="H1382" s="22">
        <f t="shared" si="21"/>
        <v>33</v>
      </c>
    </row>
    <row r="1383" spans="1:8" ht="15.75" customHeight="1">
      <c r="A1383" s="20" t="s">
        <v>1573</v>
      </c>
      <c r="B1383" s="20" t="s">
        <v>253</v>
      </c>
      <c r="C1383" s="20" t="s">
        <v>1574</v>
      </c>
      <c r="D1383" s="21">
        <v>20</v>
      </c>
      <c r="E1383" s="21">
        <v>93</v>
      </c>
      <c r="F1383" s="21">
        <v>130</v>
      </c>
      <c r="G1383" s="21">
        <v>50</v>
      </c>
      <c r="H1383" s="22">
        <f t="shared" si="21"/>
        <v>293</v>
      </c>
    </row>
    <row r="1384" spans="1:8" ht="15.75" customHeight="1">
      <c r="A1384" s="24" t="s">
        <v>1575</v>
      </c>
      <c r="B1384" s="24" t="s">
        <v>253</v>
      </c>
      <c r="C1384" s="24" t="s">
        <v>1576</v>
      </c>
      <c r="D1384" s="25">
        <v>6</v>
      </c>
      <c r="E1384" s="25">
        <v>20</v>
      </c>
      <c r="F1384" s="25"/>
      <c r="G1384" s="25"/>
      <c r="H1384" s="22">
        <f t="shared" si="21"/>
        <v>26</v>
      </c>
    </row>
    <row r="1385" spans="1:8" ht="15.75" customHeight="1">
      <c r="A1385" s="20" t="s">
        <v>2838</v>
      </c>
      <c r="B1385" s="20" t="s">
        <v>253</v>
      </c>
      <c r="C1385" s="20" t="s">
        <v>2839</v>
      </c>
      <c r="D1385" s="21"/>
      <c r="E1385" s="21">
        <v>242</v>
      </c>
      <c r="F1385" s="21">
        <v>120</v>
      </c>
      <c r="G1385" s="21">
        <v>15</v>
      </c>
      <c r="H1385" s="22">
        <f t="shared" si="21"/>
        <v>377</v>
      </c>
    </row>
    <row r="1386" spans="1:8" ht="15.75" customHeight="1">
      <c r="A1386" s="24" t="s">
        <v>1577</v>
      </c>
      <c r="B1386" s="24" t="s">
        <v>253</v>
      </c>
      <c r="C1386" s="24" t="s">
        <v>1578</v>
      </c>
      <c r="D1386" s="25">
        <v>10</v>
      </c>
      <c r="E1386" s="25">
        <v>2</v>
      </c>
      <c r="F1386" s="25">
        <v>8</v>
      </c>
      <c r="G1386" s="25">
        <v>7</v>
      </c>
      <c r="H1386" s="22">
        <f t="shared" si="21"/>
        <v>27</v>
      </c>
    </row>
    <row r="1387" spans="1:8" ht="15.75" customHeight="1">
      <c r="A1387" s="20" t="s">
        <v>3512</v>
      </c>
      <c r="B1387" s="20" t="s">
        <v>253</v>
      </c>
      <c r="C1387" s="20" t="s">
        <v>1744</v>
      </c>
      <c r="D1387" s="21"/>
      <c r="E1387" s="21"/>
      <c r="F1387" s="21"/>
      <c r="G1387" s="21">
        <v>7</v>
      </c>
      <c r="H1387" s="22">
        <f t="shared" si="21"/>
        <v>7</v>
      </c>
    </row>
    <row r="1388" spans="1:8" ht="15.75" customHeight="1">
      <c r="A1388" s="24" t="s">
        <v>1579</v>
      </c>
      <c r="B1388" s="24" t="s">
        <v>1580</v>
      </c>
      <c r="C1388" s="24" t="s">
        <v>1581</v>
      </c>
      <c r="D1388" s="25">
        <v>20</v>
      </c>
      <c r="E1388" s="25"/>
      <c r="F1388" s="25">
        <v>10</v>
      </c>
      <c r="G1388" s="25"/>
      <c r="H1388" s="22">
        <f t="shared" si="21"/>
        <v>30</v>
      </c>
    </row>
    <row r="1389" spans="1:8" ht="15.75" customHeight="1">
      <c r="A1389" s="20" t="s">
        <v>1582</v>
      </c>
      <c r="B1389" s="20" t="s">
        <v>1580</v>
      </c>
      <c r="C1389" s="20" t="s">
        <v>1583</v>
      </c>
      <c r="D1389" s="21">
        <v>30</v>
      </c>
      <c r="E1389" s="21"/>
      <c r="F1389" s="21">
        <v>10</v>
      </c>
      <c r="G1389" s="21"/>
      <c r="H1389" s="22">
        <f t="shared" si="21"/>
        <v>40</v>
      </c>
    </row>
    <row r="1390" spans="1:8" ht="15.75" customHeight="1">
      <c r="A1390" s="24" t="s">
        <v>1584</v>
      </c>
      <c r="B1390" s="24" t="s">
        <v>1580</v>
      </c>
      <c r="C1390" s="24" t="s">
        <v>1585</v>
      </c>
      <c r="D1390" s="25">
        <v>20</v>
      </c>
      <c r="E1390" s="25"/>
      <c r="F1390" s="25"/>
      <c r="G1390" s="25">
        <v>2</v>
      </c>
      <c r="H1390" s="22">
        <f t="shared" si="21"/>
        <v>22</v>
      </c>
    </row>
    <row r="1391" spans="1:8" ht="15.75" customHeight="1">
      <c r="A1391" s="20" t="s">
        <v>1586</v>
      </c>
      <c r="B1391" s="20" t="s">
        <v>1580</v>
      </c>
      <c r="C1391" s="20" t="s">
        <v>1587</v>
      </c>
      <c r="D1391" s="21">
        <v>10</v>
      </c>
      <c r="E1391" s="21"/>
      <c r="F1391" s="21"/>
      <c r="G1391" s="21"/>
      <c r="H1391" s="22">
        <f t="shared" si="21"/>
        <v>10</v>
      </c>
    </row>
    <row r="1392" spans="1:8" ht="15.75" customHeight="1">
      <c r="A1392" s="24" t="s">
        <v>1588</v>
      </c>
      <c r="B1392" s="24" t="s">
        <v>1580</v>
      </c>
      <c r="C1392" s="24" t="s">
        <v>1589</v>
      </c>
      <c r="D1392" s="25">
        <v>10</v>
      </c>
      <c r="E1392" s="25"/>
      <c r="F1392" s="25"/>
      <c r="G1392" s="25"/>
      <c r="H1392" s="22">
        <f t="shared" si="21"/>
        <v>10</v>
      </c>
    </row>
    <row r="1393" spans="1:8" ht="15.75" customHeight="1">
      <c r="A1393" s="20" t="s">
        <v>2840</v>
      </c>
      <c r="B1393" s="20" t="s">
        <v>2841</v>
      </c>
      <c r="C1393" s="20" t="s">
        <v>2842</v>
      </c>
      <c r="D1393" s="21"/>
      <c r="E1393" s="21">
        <v>5</v>
      </c>
      <c r="F1393" s="21">
        <v>10</v>
      </c>
      <c r="G1393" s="21"/>
      <c r="H1393" s="22">
        <f t="shared" si="21"/>
        <v>15</v>
      </c>
    </row>
    <row r="1394" spans="1:8" ht="15.75" customHeight="1">
      <c r="A1394" s="24" t="s">
        <v>1590</v>
      </c>
      <c r="B1394" s="24" t="s">
        <v>263</v>
      </c>
      <c r="C1394" s="24" t="s">
        <v>1591</v>
      </c>
      <c r="D1394" s="25">
        <v>11</v>
      </c>
      <c r="E1394" s="25"/>
      <c r="F1394" s="25"/>
      <c r="G1394" s="25"/>
      <c r="H1394" s="22">
        <f t="shared" si="21"/>
        <v>11</v>
      </c>
    </row>
    <row r="1395" spans="1:8" ht="15.75" customHeight="1">
      <c r="A1395" s="20" t="s">
        <v>1592</v>
      </c>
      <c r="B1395" s="20" t="s">
        <v>263</v>
      </c>
      <c r="C1395" s="20" t="s">
        <v>1593</v>
      </c>
      <c r="D1395" s="21">
        <v>50</v>
      </c>
      <c r="E1395" s="21">
        <v>45</v>
      </c>
      <c r="F1395" s="21">
        <v>5</v>
      </c>
      <c r="G1395" s="21"/>
      <c r="H1395" s="22">
        <f t="shared" si="21"/>
        <v>100</v>
      </c>
    </row>
    <row r="1396" spans="1:8" ht="15.75" customHeight="1">
      <c r="A1396" s="24" t="s">
        <v>2843</v>
      </c>
      <c r="B1396" s="24" t="s">
        <v>263</v>
      </c>
      <c r="C1396" s="24" t="s">
        <v>2844</v>
      </c>
      <c r="D1396" s="25"/>
      <c r="E1396" s="25">
        <v>120</v>
      </c>
      <c r="F1396" s="25"/>
      <c r="G1396" s="25"/>
      <c r="H1396" s="22">
        <f t="shared" si="21"/>
        <v>120</v>
      </c>
    </row>
    <row r="1397" spans="1:8" ht="15.75" customHeight="1">
      <c r="A1397" s="20" t="s">
        <v>2845</v>
      </c>
      <c r="B1397" s="20" t="s">
        <v>271</v>
      </c>
      <c r="C1397" s="20" t="s">
        <v>2846</v>
      </c>
      <c r="D1397" s="21"/>
      <c r="E1397" s="21">
        <v>15</v>
      </c>
      <c r="F1397" s="21"/>
      <c r="G1397" s="21"/>
      <c r="H1397" s="22">
        <f t="shared" si="21"/>
        <v>15</v>
      </c>
    </row>
    <row r="1398" spans="1:8" ht="15.75" customHeight="1">
      <c r="A1398" s="24" t="s">
        <v>2847</v>
      </c>
      <c r="B1398" s="24" t="s">
        <v>271</v>
      </c>
      <c r="C1398" s="24" t="s">
        <v>2848</v>
      </c>
      <c r="D1398" s="25"/>
      <c r="E1398" s="25">
        <v>2</v>
      </c>
      <c r="F1398" s="25"/>
      <c r="G1398" s="25"/>
      <c r="H1398" s="22">
        <f t="shared" si="21"/>
        <v>2</v>
      </c>
    </row>
    <row r="1399" spans="1:8" ht="15.75" customHeight="1">
      <c r="A1399" s="20" t="s">
        <v>3368</v>
      </c>
      <c r="B1399" s="20" t="s">
        <v>271</v>
      </c>
      <c r="C1399" s="20" t="s">
        <v>3369</v>
      </c>
      <c r="D1399" s="21"/>
      <c r="E1399" s="21"/>
      <c r="F1399" s="21">
        <v>10</v>
      </c>
      <c r="G1399" s="21"/>
      <c r="H1399" s="22">
        <f t="shared" si="21"/>
        <v>10</v>
      </c>
    </row>
    <row r="1400" spans="1:8" ht="15.75" customHeight="1">
      <c r="A1400" s="24" t="s">
        <v>3370</v>
      </c>
      <c r="B1400" s="24" t="s">
        <v>271</v>
      </c>
      <c r="C1400" s="24" t="s">
        <v>3371</v>
      </c>
      <c r="D1400" s="25"/>
      <c r="E1400" s="25"/>
      <c r="F1400" s="25">
        <v>10</v>
      </c>
      <c r="G1400" s="25"/>
      <c r="H1400" s="22">
        <f t="shared" si="21"/>
        <v>10</v>
      </c>
    </row>
    <row r="1401" spans="1:8" ht="15.75" customHeight="1">
      <c r="A1401" s="20" t="s">
        <v>2849</v>
      </c>
      <c r="B1401" s="20" t="s">
        <v>278</v>
      </c>
      <c r="C1401" s="20" t="s">
        <v>2850</v>
      </c>
      <c r="D1401" s="21"/>
      <c r="E1401" s="21">
        <v>2</v>
      </c>
      <c r="F1401" s="21"/>
      <c r="G1401" s="21"/>
      <c r="H1401" s="22">
        <f t="shared" si="21"/>
        <v>2</v>
      </c>
    </row>
    <row r="1402" spans="1:8" ht="15.75" customHeight="1">
      <c r="A1402" s="24" t="s">
        <v>1594</v>
      </c>
      <c r="B1402" s="24" t="s">
        <v>278</v>
      </c>
      <c r="C1402" s="24" t="s">
        <v>1595</v>
      </c>
      <c r="D1402" s="25">
        <v>30</v>
      </c>
      <c r="E1402" s="25">
        <v>10</v>
      </c>
      <c r="F1402" s="25">
        <v>27</v>
      </c>
      <c r="G1402" s="25">
        <v>10</v>
      </c>
      <c r="H1402" s="22">
        <f t="shared" si="21"/>
        <v>77</v>
      </c>
    </row>
    <row r="1403" spans="1:8" ht="15.75" customHeight="1">
      <c r="A1403" s="20" t="s">
        <v>2851</v>
      </c>
      <c r="B1403" s="20" t="s">
        <v>278</v>
      </c>
      <c r="C1403" s="20" t="s">
        <v>2852</v>
      </c>
      <c r="D1403" s="21"/>
      <c r="E1403" s="21">
        <v>5</v>
      </c>
      <c r="F1403" s="21">
        <v>5</v>
      </c>
      <c r="G1403" s="21"/>
      <c r="H1403" s="22">
        <f t="shared" si="21"/>
        <v>10</v>
      </c>
    </row>
    <row r="1404" spans="1:8" ht="15.75" customHeight="1">
      <c r="A1404" s="24" t="s">
        <v>1596</v>
      </c>
      <c r="B1404" s="24" t="s">
        <v>283</v>
      </c>
      <c r="C1404" s="24" t="s">
        <v>1597</v>
      </c>
      <c r="D1404" s="25">
        <v>8</v>
      </c>
      <c r="E1404" s="25">
        <v>25</v>
      </c>
      <c r="F1404" s="25"/>
      <c r="G1404" s="25">
        <v>11</v>
      </c>
      <c r="H1404" s="22">
        <f t="shared" si="21"/>
        <v>44</v>
      </c>
    </row>
    <row r="1405" spans="1:8" ht="15.75" customHeight="1">
      <c r="A1405" s="20" t="s">
        <v>1598</v>
      </c>
      <c r="B1405" s="20" t="s">
        <v>283</v>
      </c>
      <c r="C1405" s="20" t="s">
        <v>1599</v>
      </c>
      <c r="D1405" s="21">
        <v>15</v>
      </c>
      <c r="E1405" s="21">
        <v>30</v>
      </c>
      <c r="F1405" s="21">
        <v>50</v>
      </c>
      <c r="G1405" s="21">
        <v>20</v>
      </c>
      <c r="H1405" s="22">
        <f t="shared" si="21"/>
        <v>115</v>
      </c>
    </row>
    <row r="1406" spans="1:8" ht="15.75" customHeight="1">
      <c r="A1406" s="24" t="s">
        <v>2853</v>
      </c>
      <c r="B1406" s="24" t="s">
        <v>283</v>
      </c>
      <c r="C1406" s="24" t="s">
        <v>2854</v>
      </c>
      <c r="D1406" s="25"/>
      <c r="E1406" s="25">
        <v>15</v>
      </c>
      <c r="F1406" s="25"/>
      <c r="G1406" s="25"/>
      <c r="H1406" s="22">
        <f t="shared" si="21"/>
        <v>15</v>
      </c>
    </row>
    <row r="1407" spans="1:8" ht="15.75" customHeight="1">
      <c r="A1407" s="20" t="s">
        <v>1600</v>
      </c>
      <c r="B1407" s="20" t="s">
        <v>283</v>
      </c>
      <c r="C1407" s="20" t="s">
        <v>1601</v>
      </c>
      <c r="D1407" s="21">
        <v>4</v>
      </c>
      <c r="E1407" s="21"/>
      <c r="F1407" s="21"/>
      <c r="G1407" s="21"/>
      <c r="H1407" s="22">
        <f t="shared" si="21"/>
        <v>4</v>
      </c>
    </row>
    <row r="1408" spans="1:8" ht="15.75" customHeight="1">
      <c r="A1408" s="24" t="s">
        <v>1602</v>
      </c>
      <c r="B1408" s="24" t="s">
        <v>294</v>
      </c>
      <c r="C1408" s="24" t="s">
        <v>1603</v>
      </c>
      <c r="D1408" s="25">
        <v>180</v>
      </c>
      <c r="E1408" s="25">
        <v>30</v>
      </c>
      <c r="F1408" s="25">
        <v>85</v>
      </c>
      <c r="G1408" s="25"/>
      <c r="H1408" s="22">
        <f t="shared" si="21"/>
        <v>295</v>
      </c>
    </row>
    <row r="1409" spans="1:8" ht="15.75" customHeight="1">
      <c r="A1409" s="20" t="s">
        <v>1604</v>
      </c>
      <c r="B1409" s="20" t="s">
        <v>294</v>
      </c>
      <c r="C1409" s="20" t="s">
        <v>1605</v>
      </c>
      <c r="D1409" s="21">
        <v>10</v>
      </c>
      <c r="E1409" s="21">
        <v>70</v>
      </c>
      <c r="F1409" s="21">
        <v>110</v>
      </c>
      <c r="G1409" s="21">
        <v>100</v>
      </c>
      <c r="H1409" s="22">
        <f t="shared" si="21"/>
        <v>290</v>
      </c>
    </row>
    <row r="1410" spans="1:8" ht="15.75" customHeight="1">
      <c r="A1410" s="24" t="s">
        <v>1606</v>
      </c>
      <c r="B1410" s="24" t="s">
        <v>180</v>
      </c>
      <c r="C1410" s="24" t="s">
        <v>1607</v>
      </c>
      <c r="D1410" s="25">
        <v>38</v>
      </c>
      <c r="E1410" s="25">
        <v>3</v>
      </c>
      <c r="F1410" s="25"/>
      <c r="G1410" s="25"/>
      <c r="H1410" s="22">
        <f t="shared" si="21"/>
        <v>41</v>
      </c>
    </row>
    <row r="1411" spans="1:8" ht="15.75" customHeight="1">
      <c r="A1411" s="20" t="s">
        <v>1608</v>
      </c>
      <c r="B1411" s="20" t="s">
        <v>180</v>
      </c>
      <c r="C1411" s="20" t="s">
        <v>1609</v>
      </c>
      <c r="D1411" s="21">
        <v>65</v>
      </c>
      <c r="E1411" s="21">
        <v>126</v>
      </c>
      <c r="F1411" s="21">
        <v>59</v>
      </c>
      <c r="G1411" s="21">
        <v>5</v>
      </c>
      <c r="H1411" s="22">
        <f t="shared" si="21"/>
        <v>255</v>
      </c>
    </row>
    <row r="1412" spans="1:8" ht="15.75" customHeight="1">
      <c r="A1412" s="24" t="s">
        <v>1610</v>
      </c>
      <c r="B1412" s="24" t="s">
        <v>180</v>
      </c>
      <c r="C1412" s="24" t="s">
        <v>1611</v>
      </c>
      <c r="D1412" s="25">
        <v>20</v>
      </c>
      <c r="E1412" s="25">
        <v>27</v>
      </c>
      <c r="F1412" s="25">
        <v>33</v>
      </c>
      <c r="G1412" s="25">
        <v>10</v>
      </c>
      <c r="H1412" s="22">
        <f t="shared" ref="H1412:H1475" si="22">SUM(D1412:G1412)</f>
        <v>90</v>
      </c>
    </row>
    <row r="1413" spans="1:8" ht="15.75" customHeight="1">
      <c r="A1413" s="20" t="s">
        <v>1612</v>
      </c>
      <c r="B1413" s="20" t="s">
        <v>180</v>
      </c>
      <c r="C1413" s="20" t="s">
        <v>1613</v>
      </c>
      <c r="D1413" s="21">
        <v>130</v>
      </c>
      <c r="E1413" s="21">
        <v>81</v>
      </c>
      <c r="F1413" s="21">
        <v>20</v>
      </c>
      <c r="G1413" s="21">
        <v>38</v>
      </c>
      <c r="H1413" s="22">
        <f t="shared" si="22"/>
        <v>269</v>
      </c>
    </row>
    <row r="1414" spans="1:8" ht="15.75" customHeight="1">
      <c r="A1414" s="24" t="s">
        <v>1614</v>
      </c>
      <c r="B1414" s="24" t="s">
        <v>194</v>
      </c>
      <c r="C1414" s="24" t="s">
        <v>1615</v>
      </c>
      <c r="D1414" s="25">
        <v>59</v>
      </c>
      <c r="E1414" s="25">
        <v>21</v>
      </c>
      <c r="F1414" s="25">
        <v>46</v>
      </c>
      <c r="G1414" s="25"/>
      <c r="H1414" s="22">
        <f t="shared" si="22"/>
        <v>126</v>
      </c>
    </row>
    <row r="1415" spans="1:8" ht="15.75" customHeight="1">
      <c r="A1415" s="20" t="s">
        <v>1616</v>
      </c>
      <c r="B1415" s="20" t="s">
        <v>194</v>
      </c>
      <c r="C1415" s="20" t="s">
        <v>1617</v>
      </c>
      <c r="D1415" s="21">
        <v>105</v>
      </c>
      <c r="E1415" s="21">
        <v>82</v>
      </c>
      <c r="F1415" s="21">
        <v>32</v>
      </c>
      <c r="G1415" s="21"/>
      <c r="H1415" s="22">
        <f t="shared" si="22"/>
        <v>219</v>
      </c>
    </row>
    <row r="1416" spans="1:8" ht="15.75" customHeight="1">
      <c r="A1416" s="24" t="s">
        <v>1618</v>
      </c>
      <c r="B1416" s="24" t="s">
        <v>194</v>
      </c>
      <c r="C1416" s="24" t="s">
        <v>1619</v>
      </c>
      <c r="D1416" s="25">
        <v>56</v>
      </c>
      <c r="E1416" s="25">
        <v>40</v>
      </c>
      <c r="F1416" s="25">
        <v>35</v>
      </c>
      <c r="G1416" s="25"/>
      <c r="H1416" s="22">
        <f t="shared" si="22"/>
        <v>131</v>
      </c>
    </row>
    <row r="1417" spans="1:8" ht="15.75" customHeight="1">
      <c r="A1417" s="20" t="s">
        <v>1620</v>
      </c>
      <c r="B1417" s="20" t="s">
        <v>194</v>
      </c>
      <c r="C1417" s="20" t="s">
        <v>1621</v>
      </c>
      <c r="D1417" s="21">
        <v>13</v>
      </c>
      <c r="E1417" s="21">
        <v>8</v>
      </c>
      <c r="F1417" s="21">
        <v>20</v>
      </c>
      <c r="G1417" s="21"/>
      <c r="H1417" s="22">
        <f t="shared" si="22"/>
        <v>41</v>
      </c>
    </row>
    <row r="1418" spans="1:8" ht="15.75" customHeight="1">
      <c r="A1418" s="24" t="s">
        <v>1622</v>
      </c>
      <c r="B1418" s="24" t="s">
        <v>194</v>
      </c>
      <c r="C1418" s="24" t="s">
        <v>1623</v>
      </c>
      <c r="D1418" s="25">
        <v>100</v>
      </c>
      <c r="E1418" s="25">
        <v>30</v>
      </c>
      <c r="F1418" s="25"/>
      <c r="G1418" s="25"/>
      <c r="H1418" s="22">
        <f t="shared" si="22"/>
        <v>130</v>
      </c>
    </row>
    <row r="1419" spans="1:8" ht="15.75" customHeight="1">
      <c r="A1419" s="20" t="s">
        <v>1624</v>
      </c>
      <c r="B1419" s="20" t="s">
        <v>194</v>
      </c>
      <c r="C1419" s="20" t="s">
        <v>1625</v>
      </c>
      <c r="D1419" s="21">
        <v>1</v>
      </c>
      <c r="E1419" s="21">
        <v>3</v>
      </c>
      <c r="F1419" s="21"/>
      <c r="G1419" s="21"/>
      <c r="H1419" s="22">
        <f t="shared" si="22"/>
        <v>4</v>
      </c>
    </row>
    <row r="1420" spans="1:8" ht="15.75" customHeight="1">
      <c r="A1420" s="24" t="s">
        <v>1626</v>
      </c>
      <c r="B1420" s="24" t="s">
        <v>180</v>
      </c>
      <c r="C1420" s="24" t="s">
        <v>1627</v>
      </c>
      <c r="D1420" s="25">
        <v>5</v>
      </c>
      <c r="E1420" s="25">
        <v>18</v>
      </c>
      <c r="F1420" s="25">
        <v>18</v>
      </c>
      <c r="G1420" s="25">
        <v>5</v>
      </c>
      <c r="H1420" s="22">
        <f t="shared" si="22"/>
        <v>46</v>
      </c>
    </row>
    <row r="1421" spans="1:8" ht="15.75" customHeight="1">
      <c r="A1421" s="20" t="s">
        <v>2855</v>
      </c>
      <c r="B1421" s="20" t="s">
        <v>194</v>
      </c>
      <c r="C1421" s="20" t="s">
        <v>2856</v>
      </c>
      <c r="D1421" s="21"/>
      <c r="E1421" s="21">
        <v>3</v>
      </c>
      <c r="F1421" s="21"/>
      <c r="G1421" s="21"/>
      <c r="H1421" s="22">
        <f t="shared" si="22"/>
        <v>3</v>
      </c>
    </row>
    <row r="1422" spans="1:8" ht="15.75" customHeight="1">
      <c r="A1422" s="24" t="s">
        <v>1628</v>
      </c>
      <c r="B1422" s="24" t="s">
        <v>180</v>
      </c>
      <c r="C1422" s="24" t="s">
        <v>1629</v>
      </c>
      <c r="D1422" s="25">
        <v>1049</v>
      </c>
      <c r="E1422" s="25">
        <v>642</v>
      </c>
      <c r="F1422" s="25">
        <v>1304</v>
      </c>
      <c r="G1422" s="25">
        <v>183</v>
      </c>
      <c r="H1422" s="22">
        <f t="shared" si="22"/>
        <v>3178</v>
      </c>
    </row>
    <row r="1423" spans="1:8" ht="15.75" customHeight="1">
      <c r="A1423" s="20" t="s">
        <v>1630</v>
      </c>
      <c r="B1423" s="20" t="s">
        <v>180</v>
      </c>
      <c r="C1423" s="20" t="s">
        <v>1629</v>
      </c>
      <c r="D1423" s="21">
        <v>20</v>
      </c>
      <c r="E1423" s="21">
        <v>22</v>
      </c>
      <c r="F1423" s="21">
        <v>20</v>
      </c>
      <c r="G1423" s="21"/>
      <c r="H1423" s="22">
        <f t="shared" si="22"/>
        <v>62</v>
      </c>
    </row>
    <row r="1424" spans="1:8" ht="15.75" customHeight="1">
      <c r="A1424" s="24" t="s">
        <v>1631</v>
      </c>
      <c r="B1424" s="24" t="s">
        <v>180</v>
      </c>
      <c r="C1424" s="24" t="s">
        <v>1632</v>
      </c>
      <c r="D1424" s="25">
        <v>1082</v>
      </c>
      <c r="E1424" s="25">
        <v>852</v>
      </c>
      <c r="F1424" s="25">
        <v>810</v>
      </c>
      <c r="G1424" s="25">
        <v>228</v>
      </c>
      <c r="H1424" s="22">
        <f t="shared" si="22"/>
        <v>2972</v>
      </c>
    </row>
    <row r="1425" spans="1:8" ht="15.75" customHeight="1">
      <c r="A1425" s="20" t="s">
        <v>1633</v>
      </c>
      <c r="B1425" s="20" t="s">
        <v>180</v>
      </c>
      <c r="C1425" s="20" t="s">
        <v>1634</v>
      </c>
      <c r="D1425" s="21">
        <v>284</v>
      </c>
      <c r="E1425" s="21">
        <v>217</v>
      </c>
      <c r="F1425" s="21">
        <v>317</v>
      </c>
      <c r="G1425" s="21">
        <v>79</v>
      </c>
      <c r="H1425" s="22">
        <f t="shared" si="22"/>
        <v>897</v>
      </c>
    </row>
    <row r="1426" spans="1:8" ht="15.75" customHeight="1">
      <c r="A1426" s="24" t="s">
        <v>1635</v>
      </c>
      <c r="B1426" s="24" t="s">
        <v>180</v>
      </c>
      <c r="C1426" s="24" t="s">
        <v>1636</v>
      </c>
      <c r="D1426" s="25">
        <v>174</v>
      </c>
      <c r="E1426" s="25">
        <v>180</v>
      </c>
      <c r="F1426" s="25">
        <v>226</v>
      </c>
      <c r="G1426" s="25">
        <v>12</v>
      </c>
      <c r="H1426" s="22">
        <f t="shared" si="22"/>
        <v>592</v>
      </c>
    </row>
    <row r="1427" spans="1:8" ht="15.75" customHeight="1">
      <c r="A1427" s="20" t="s">
        <v>1637</v>
      </c>
      <c r="B1427" s="20" t="s">
        <v>180</v>
      </c>
      <c r="C1427" s="20" t="s">
        <v>1638</v>
      </c>
      <c r="D1427" s="21">
        <v>316</v>
      </c>
      <c r="E1427" s="21">
        <v>347</v>
      </c>
      <c r="F1427" s="21">
        <v>307</v>
      </c>
      <c r="G1427" s="21">
        <v>25</v>
      </c>
      <c r="H1427" s="22">
        <f t="shared" si="22"/>
        <v>995</v>
      </c>
    </row>
    <row r="1428" spans="1:8" ht="15.75" customHeight="1">
      <c r="A1428" s="24" t="s">
        <v>1639</v>
      </c>
      <c r="B1428" s="24" t="s">
        <v>180</v>
      </c>
      <c r="C1428" s="24" t="s">
        <v>1640</v>
      </c>
      <c r="D1428" s="25">
        <v>237</v>
      </c>
      <c r="E1428" s="25">
        <v>127</v>
      </c>
      <c r="F1428" s="25">
        <v>237</v>
      </c>
      <c r="G1428" s="25">
        <v>11</v>
      </c>
      <c r="H1428" s="22">
        <f t="shared" si="22"/>
        <v>612</v>
      </c>
    </row>
    <row r="1429" spans="1:8" ht="15.75" customHeight="1">
      <c r="A1429" s="20" t="s">
        <v>1641</v>
      </c>
      <c r="B1429" s="20" t="s">
        <v>169</v>
      </c>
      <c r="C1429" s="20" t="s">
        <v>20</v>
      </c>
      <c r="D1429" s="21">
        <v>159</v>
      </c>
      <c r="E1429" s="21">
        <v>42</v>
      </c>
      <c r="F1429" s="21">
        <v>40</v>
      </c>
      <c r="G1429" s="21">
        <v>99</v>
      </c>
      <c r="H1429" s="22">
        <f t="shared" si="22"/>
        <v>340</v>
      </c>
    </row>
    <row r="1430" spans="1:8" ht="15.75" customHeight="1">
      <c r="A1430" s="24" t="s">
        <v>1642</v>
      </c>
      <c r="B1430" s="24" t="s">
        <v>169</v>
      </c>
      <c r="C1430" s="24" t="s">
        <v>32</v>
      </c>
      <c r="D1430" s="25">
        <v>108</v>
      </c>
      <c r="E1430" s="25">
        <v>77</v>
      </c>
      <c r="F1430" s="25">
        <v>29</v>
      </c>
      <c r="G1430" s="25">
        <v>70</v>
      </c>
      <c r="H1430" s="22">
        <f t="shared" si="22"/>
        <v>284</v>
      </c>
    </row>
    <row r="1431" spans="1:8" ht="15.75" customHeight="1">
      <c r="A1431" s="20" t="s">
        <v>1643</v>
      </c>
      <c r="B1431" s="20" t="s">
        <v>169</v>
      </c>
      <c r="C1431" s="20" t="s">
        <v>22</v>
      </c>
      <c r="D1431" s="21">
        <v>49</v>
      </c>
      <c r="E1431" s="21">
        <v>20</v>
      </c>
      <c r="F1431" s="21">
        <v>25</v>
      </c>
      <c r="G1431" s="21">
        <v>5</v>
      </c>
      <c r="H1431" s="22">
        <f t="shared" si="22"/>
        <v>99</v>
      </c>
    </row>
    <row r="1432" spans="1:8" ht="15.75" customHeight="1">
      <c r="A1432" s="24" t="s">
        <v>1644</v>
      </c>
      <c r="B1432" s="24" t="s">
        <v>169</v>
      </c>
      <c r="C1432" s="24" t="s">
        <v>121</v>
      </c>
      <c r="D1432" s="25">
        <v>26</v>
      </c>
      <c r="E1432" s="25">
        <v>4</v>
      </c>
      <c r="F1432" s="25">
        <v>5</v>
      </c>
      <c r="G1432" s="25">
        <v>5</v>
      </c>
      <c r="H1432" s="22">
        <f t="shared" si="22"/>
        <v>40</v>
      </c>
    </row>
    <row r="1433" spans="1:8" ht="15.75" customHeight="1">
      <c r="A1433" s="20" t="s">
        <v>1645</v>
      </c>
      <c r="B1433" s="20" t="s">
        <v>169</v>
      </c>
      <c r="C1433" s="20" t="s">
        <v>26</v>
      </c>
      <c r="D1433" s="21">
        <v>280</v>
      </c>
      <c r="E1433" s="21">
        <v>23</v>
      </c>
      <c r="F1433" s="21">
        <v>169</v>
      </c>
      <c r="G1433" s="21">
        <v>30</v>
      </c>
      <c r="H1433" s="22">
        <f t="shared" si="22"/>
        <v>502</v>
      </c>
    </row>
    <row r="1434" spans="1:8" ht="15.75" customHeight="1">
      <c r="A1434" s="24" t="s">
        <v>1646</v>
      </c>
      <c r="B1434" s="24" t="s">
        <v>169</v>
      </c>
      <c r="C1434" s="24" t="s">
        <v>1647</v>
      </c>
      <c r="D1434" s="25">
        <v>14</v>
      </c>
      <c r="E1434" s="25">
        <v>16</v>
      </c>
      <c r="F1434" s="25"/>
      <c r="G1434" s="25"/>
      <c r="H1434" s="22">
        <f t="shared" si="22"/>
        <v>30</v>
      </c>
    </row>
    <row r="1435" spans="1:8" ht="15.75" customHeight="1">
      <c r="A1435" s="20" t="s">
        <v>2857</v>
      </c>
      <c r="B1435" s="20" t="s">
        <v>203</v>
      </c>
      <c r="C1435" s="20" t="s">
        <v>374</v>
      </c>
      <c r="D1435" s="21"/>
      <c r="E1435" s="21">
        <v>20</v>
      </c>
      <c r="F1435" s="21">
        <v>20</v>
      </c>
      <c r="G1435" s="21"/>
      <c r="H1435" s="22">
        <f t="shared" si="22"/>
        <v>40</v>
      </c>
    </row>
    <row r="1436" spans="1:8" ht="15.75" customHeight="1">
      <c r="A1436" s="24" t="s">
        <v>1648</v>
      </c>
      <c r="B1436" s="24" t="s">
        <v>1649</v>
      </c>
      <c r="C1436" s="24" t="s">
        <v>1650</v>
      </c>
      <c r="D1436" s="25">
        <v>61</v>
      </c>
      <c r="E1436" s="25">
        <v>35</v>
      </c>
      <c r="F1436" s="25">
        <v>43</v>
      </c>
      <c r="G1436" s="25">
        <v>30</v>
      </c>
      <c r="H1436" s="22">
        <f t="shared" si="22"/>
        <v>169</v>
      </c>
    </row>
    <row r="1437" spans="1:8" ht="15.75" customHeight="1">
      <c r="A1437" s="20" t="s">
        <v>1651</v>
      </c>
      <c r="B1437" s="20" t="s">
        <v>1649</v>
      </c>
      <c r="C1437" s="20" t="s">
        <v>1652</v>
      </c>
      <c r="D1437" s="21">
        <v>55</v>
      </c>
      <c r="E1437" s="21">
        <v>40</v>
      </c>
      <c r="F1437" s="21">
        <v>39</v>
      </c>
      <c r="G1437" s="21">
        <v>4</v>
      </c>
      <c r="H1437" s="22">
        <f t="shared" si="22"/>
        <v>138</v>
      </c>
    </row>
    <row r="1438" spans="1:8" ht="15.75" customHeight="1">
      <c r="A1438" s="24" t="s">
        <v>1653</v>
      </c>
      <c r="B1438" s="24" t="s">
        <v>1649</v>
      </c>
      <c r="C1438" s="24" t="s">
        <v>1654</v>
      </c>
      <c r="D1438" s="25">
        <v>65</v>
      </c>
      <c r="E1438" s="25">
        <v>97</v>
      </c>
      <c r="F1438" s="25">
        <v>45</v>
      </c>
      <c r="G1438" s="25"/>
      <c r="H1438" s="22">
        <f t="shared" si="22"/>
        <v>207</v>
      </c>
    </row>
    <row r="1439" spans="1:8" ht="15.75" customHeight="1">
      <c r="A1439" s="20" t="s">
        <v>1655</v>
      </c>
      <c r="B1439" s="20" t="s">
        <v>1649</v>
      </c>
      <c r="C1439" s="20" t="s">
        <v>1656</v>
      </c>
      <c r="D1439" s="21">
        <v>5</v>
      </c>
      <c r="E1439" s="21">
        <v>30</v>
      </c>
      <c r="F1439" s="21"/>
      <c r="G1439" s="21"/>
      <c r="H1439" s="22">
        <f t="shared" si="22"/>
        <v>35</v>
      </c>
    </row>
    <row r="1440" spans="1:8" ht="15.75" customHeight="1">
      <c r="A1440" s="24" t="s">
        <v>1657</v>
      </c>
      <c r="B1440" s="24" t="s">
        <v>1649</v>
      </c>
      <c r="C1440" s="24" t="s">
        <v>1658</v>
      </c>
      <c r="D1440" s="25">
        <v>10</v>
      </c>
      <c r="E1440" s="25">
        <v>32</v>
      </c>
      <c r="F1440" s="25"/>
      <c r="G1440" s="25">
        <v>5</v>
      </c>
      <c r="H1440" s="22">
        <f t="shared" si="22"/>
        <v>47</v>
      </c>
    </row>
    <row r="1441" spans="1:8" ht="15.75" customHeight="1">
      <c r="A1441" s="20" t="s">
        <v>3513</v>
      </c>
      <c r="B1441" s="20" t="s">
        <v>1649</v>
      </c>
      <c r="C1441" s="20" t="s">
        <v>1578</v>
      </c>
      <c r="D1441" s="21"/>
      <c r="E1441" s="21"/>
      <c r="F1441" s="21"/>
      <c r="G1441" s="21">
        <v>5</v>
      </c>
      <c r="H1441" s="22">
        <f t="shared" si="22"/>
        <v>5</v>
      </c>
    </row>
    <row r="1442" spans="1:8" ht="15.75" customHeight="1">
      <c r="A1442" s="24" t="s">
        <v>1659</v>
      </c>
      <c r="B1442" s="24" t="s">
        <v>1649</v>
      </c>
      <c r="C1442" s="24" t="s">
        <v>1660</v>
      </c>
      <c r="D1442" s="25">
        <v>70</v>
      </c>
      <c r="E1442" s="25"/>
      <c r="F1442" s="25">
        <v>9</v>
      </c>
      <c r="G1442" s="25"/>
      <c r="H1442" s="22">
        <f t="shared" si="22"/>
        <v>79</v>
      </c>
    </row>
    <row r="1443" spans="1:8" ht="15.75" customHeight="1">
      <c r="A1443" s="20" t="s">
        <v>1661</v>
      </c>
      <c r="B1443" s="20" t="s">
        <v>448</v>
      </c>
      <c r="C1443" s="20" t="s">
        <v>1662</v>
      </c>
      <c r="D1443" s="21">
        <v>60</v>
      </c>
      <c r="E1443" s="21">
        <v>30</v>
      </c>
      <c r="F1443" s="21">
        <v>20</v>
      </c>
      <c r="G1443" s="21"/>
      <c r="H1443" s="22">
        <f t="shared" si="22"/>
        <v>110</v>
      </c>
    </row>
    <row r="1444" spans="1:8" ht="15.75" customHeight="1">
      <c r="A1444" s="24" t="s">
        <v>1663</v>
      </c>
      <c r="B1444" s="24" t="s">
        <v>448</v>
      </c>
      <c r="C1444" s="24" t="s">
        <v>1664</v>
      </c>
      <c r="D1444" s="25">
        <v>100</v>
      </c>
      <c r="E1444" s="25"/>
      <c r="F1444" s="25">
        <v>50</v>
      </c>
      <c r="G1444" s="25"/>
      <c r="H1444" s="22">
        <f t="shared" si="22"/>
        <v>150</v>
      </c>
    </row>
    <row r="1445" spans="1:8" ht="15.75" customHeight="1">
      <c r="A1445" s="20" t="s">
        <v>2858</v>
      </c>
      <c r="B1445" s="20" t="s">
        <v>448</v>
      </c>
      <c r="C1445" s="20" t="s">
        <v>2859</v>
      </c>
      <c r="D1445" s="21"/>
      <c r="E1445" s="21">
        <v>20</v>
      </c>
      <c r="F1445" s="21"/>
      <c r="G1445" s="21"/>
      <c r="H1445" s="22">
        <f t="shared" si="22"/>
        <v>20</v>
      </c>
    </row>
    <row r="1446" spans="1:8" ht="15.75" customHeight="1">
      <c r="A1446" s="24" t="s">
        <v>1665</v>
      </c>
      <c r="B1446" s="24" t="s">
        <v>206</v>
      </c>
      <c r="C1446" s="24" t="s">
        <v>1666</v>
      </c>
      <c r="D1446" s="25">
        <v>543</v>
      </c>
      <c r="E1446" s="25">
        <v>560</v>
      </c>
      <c r="F1446" s="25">
        <v>1053</v>
      </c>
      <c r="G1446" s="25">
        <v>325</v>
      </c>
      <c r="H1446" s="22">
        <f t="shared" si="22"/>
        <v>2481</v>
      </c>
    </row>
    <row r="1447" spans="1:8" ht="15.75" customHeight="1">
      <c r="A1447" s="20" t="s">
        <v>1667</v>
      </c>
      <c r="B1447" s="20" t="s">
        <v>206</v>
      </c>
      <c r="C1447" s="20" t="s">
        <v>1668</v>
      </c>
      <c r="D1447" s="21">
        <v>2</v>
      </c>
      <c r="E1447" s="21">
        <v>3</v>
      </c>
      <c r="F1447" s="21"/>
      <c r="G1447" s="21"/>
      <c r="H1447" s="22">
        <f t="shared" si="22"/>
        <v>5</v>
      </c>
    </row>
    <row r="1448" spans="1:8" ht="15.75" customHeight="1">
      <c r="A1448" s="24" t="s">
        <v>1669</v>
      </c>
      <c r="B1448" s="24" t="s">
        <v>206</v>
      </c>
      <c r="C1448" s="24" t="s">
        <v>1670</v>
      </c>
      <c r="D1448" s="25">
        <v>1726</v>
      </c>
      <c r="E1448" s="25">
        <v>1492</v>
      </c>
      <c r="F1448" s="25">
        <v>1894</v>
      </c>
      <c r="G1448" s="25">
        <v>516</v>
      </c>
      <c r="H1448" s="22">
        <f t="shared" si="22"/>
        <v>5628</v>
      </c>
    </row>
    <row r="1449" spans="1:8" ht="15.75" customHeight="1">
      <c r="A1449" s="20" t="s">
        <v>2860</v>
      </c>
      <c r="B1449" s="20" t="s">
        <v>206</v>
      </c>
      <c r="C1449" s="20" t="s">
        <v>1722</v>
      </c>
      <c r="D1449" s="21"/>
      <c r="E1449" s="21">
        <v>12</v>
      </c>
      <c r="F1449" s="21"/>
      <c r="G1449" s="21"/>
      <c r="H1449" s="22">
        <f t="shared" si="22"/>
        <v>12</v>
      </c>
    </row>
    <row r="1450" spans="1:8" ht="15.75" customHeight="1">
      <c r="A1450" s="24" t="s">
        <v>1671</v>
      </c>
      <c r="B1450" s="24" t="s">
        <v>206</v>
      </c>
      <c r="C1450" s="24" t="s">
        <v>1672</v>
      </c>
      <c r="D1450" s="25">
        <v>832</v>
      </c>
      <c r="E1450" s="25">
        <v>847</v>
      </c>
      <c r="F1450" s="25">
        <v>1023</v>
      </c>
      <c r="G1450" s="25">
        <v>351</v>
      </c>
      <c r="H1450" s="22">
        <f t="shared" si="22"/>
        <v>3053</v>
      </c>
    </row>
    <row r="1451" spans="1:8" ht="15.75" customHeight="1">
      <c r="A1451" s="20" t="s">
        <v>1673</v>
      </c>
      <c r="B1451" s="20" t="s">
        <v>206</v>
      </c>
      <c r="C1451" s="20" t="s">
        <v>1674</v>
      </c>
      <c r="D1451" s="21">
        <v>539</v>
      </c>
      <c r="E1451" s="21">
        <v>509</v>
      </c>
      <c r="F1451" s="21">
        <v>542</v>
      </c>
      <c r="G1451" s="21">
        <v>143</v>
      </c>
      <c r="H1451" s="22">
        <f t="shared" si="22"/>
        <v>1733</v>
      </c>
    </row>
    <row r="1452" spans="1:8" ht="15.75" customHeight="1">
      <c r="A1452" s="24" t="s">
        <v>1675</v>
      </c>
      <c r="B1452" s="24" t="s">
        <v>206</v>
      </c>
      <c r="C1452" s="24" t="s">
        <v>1676</v>
      </c>
      <c r="D1452" s="25">
        <v>219</v>
      </c>
      <c r="E1452" s="25">
        <v>316</v>
      </c>
      <c r="F1452" s="25">
        <v>274</v>
      </c>
      <c r="G1452" s="25">
        <v>97</v>
      </c>
      <c r="H1452" s="22">
        <f t="shared" si="22"/>
        <v>906</v>
      </c>
    </row>
    <row r="1453" spans="1:8" ht="15.75" customHeight="1">
      <c r="A1453" s="20" t="s">
        <v>1677</v>
      </c>
      <c r="B1453" s="20" t="s">
        <v>206</v>
      </c>
      <c r="C1453" s="20" t="s">
        <v>1678</v>
      </c>
      <c r="D1453" s="21">
        <v>60</v>
      </c>
      <c r="E1453" s="21">
        <v>33</v>
      </c>
      <c r="F1453" s="21">
        <v>62</v>
      </c>
      <c r="G1453" s="21">
        <v>27</v>
      </c>
      <c r="H1453" s="22">
        <f t="shared" si="22"/>
        <v>182</v>
      </c>
    </row>
    <row r="1454" spans="1:8" ht="15.75" customHeight="1">
      <c r="A1454" s="24" t="s">
        <v>1679</v>
      </c>
      <c r="B1454" s="24" t="s">
        <v>206</v>
      </c>
      <c r="C1454" s="24" t="s">
        <v>1680</v>
      </c>
      <c r="D1454" s="25">
        <v>80</v>
      </c>
      <c r="E1454" s="25">
        <v>35</v>
      </c>
      <c r="F1454" s="25">
        <v>40</v>
      </c>
      <c r="G1454" s="25">
        <v>5</v>
      </c>
      <c r="H1454" s="22">
        <f t="shared" si="22"/>
        <v>160</v>
      </c>
    </row>
    <row r="1455" spans="1:8" ht="15.75" customHeight="1">
      <c r="A1455" s="20" t="s">
        <v>1681</v>
      </c>
      <c r="B1455" s="20" t="s">
        <v>206</v>
      </c>
      <c r="C1455" s="20" t="s">
        <v>1682</v>
      </c>
      <c r="D1455" s="21">
        <v>75</v>
      </c>
      <c r="E1455" s="21">
        <v>85</v>
      </c>
      <c r="F1455" s="21">
        <v>16</v>
      </c>
      <c r="G1455" s="21">
        <v>29</v>
      </c>
      <c r="H1455" s="22">
        <f t="shared" si="22"/>
        <v>205</v>
      </c>
    </row>
    <row r="1456" spans="1:8" ht="15.75" customHeight="1">
      <c r="A1456" s="24" t="s">
        <v>1683</v>
      </c>
      <c r="B1456" s="24" t="s">
        <v>206</v>
      </c>
      <c r="C1456" s="24" t="s">
        <v>1578</v>
      </c>
      <c r="D1456" s="25">
        <v>24</v>
      </c>
      <c r="E1456" s="25">
        <v>23</v>
      </c>
      <c r="F1456" s="25">
        <v>30</v>
      </c>
      <c r="G1456" s="25"/>
      <c r="H1456" s="22">
        <f t="shared" si="22"/>
        <v>77</v>
      </c>
    </row>
    <row r="1457" spans="1:8" ht="15.75" customHeight="1">
      <c r="A1457" s="20" t="s">
        <v>1684</v>
      </c>
      <c r="B1457" s="20" t="s">
        <v>206</v>
      </c>
      <c r="C1457" s="20" t="s">
        <v>1685</v>
      </c>
      <c r="D1457" s="21">
        <v>15</v>
      </c>
      <c r="E1457" s="21">
        <v>3</v>
      </c>
      <c r="F1457" s="21">
        <v>12</v>
      </c>
      <c r="G1457" s="21"/>
      <c r="H1457" s="22">
        <f t="shared" si="22"/>
        <v>30</v>
      </c>
    </row>
    <row r="1458" spans="1:8" ht="15.75" customHeight="1">
      <c r="A1458" s="24" t="s">
        <v>2861</v>
      </c>
      <c r="B1458" s="24" t="s">
        <v>206</v>
      </c>
      <c r="C1458" s="24" t="s">
        <v>1744</v>
      </c>
      <c r="D1458" s="25"/>
      <c r="E1458" s="25">
        <v>2</v>
      </c>
      <c r="F1458" s="25"/>
      <c r="G1458" s="25">
        <v>4</v>
      </c>
      <c r="H1458" s="22">
        <f t="shared" si="22"/>
        <v>6</v>
      </c>
    </row>
    <row r="1459" spans="1:8" ht="15.75" customHeight="1">
      <c r="A1459" s="20" t="s">
        <v>1686</v>
      </c>
      <c r="B1459" s="20" t="s">
        <v>206</v>
      </c>
      <c r="C1459" s="20" t="s">
        <v>1687</v>
      </c>
      <c r="D1459" s="21">
        <v>10</v>
      </c>
      <c r="E1459" s="21">
        <v>15</v>
      </c>
      <c r="F1459" s="21">
        <v>59</v>
      </c>
      <c r="G1459" s="21">
        <v>25</v>
      </c>
      <c r="H1459" s="22">
        <f t="shared" si="22"/>
        <v>109</v>
      </c>
    </row>
    <row r="1460" spans="1:8" ht="15.75" customHeight="1">
      <c r="A1460" s="24" t="s">
        <v>1688</v>
      </c>
      <c r="B1460" s="24" t="s">
        <v>206</v>
      </c>
      <c r="C1460" s="24" t="s">
        <v>1689</v>
      </c>
      <c r="D1460" s="25">
        <v>2</v>
      </c>
      <c r="E1460" s="25"/>
      <c r="F1460" s="25"/>
      <c r="G1460" s="25">
        <v>2</v>
      </c>
      <c r="H1460" s="22">
        <f t="shared" si="22"/>
        <v>4</v>
      </c>
    </row>
    <row r="1461" spans="1:8" ht="15.75" customHeight="1">
      <c r="A1461" s="20" t="s">
        <v>3514</v>
      </c>
      <c r="B1461" s="20" t="s">
        <v>206</v>
      </c>
      <c r="C1461" s="20" t="s">
        <v>3515</v>
      </c>
      <c r="D1461" s="21"/>
      <c r="E1461" s="21"/>
      <c r="F1461" s="21"/>
      <c r="G1461" s="21">
        <v>2</v>
      </c>
      <c r="H1461" s="22">
        <f t="shared" si="22"/>
        <v>2</v>
      </c>
    </row>
    <row r="1462" spans="1:8" ht="15.75" customHeight="1">
      <c r="A1462" s="24" t="s">
        <v>1690</v>
      </c>
      <c r="B1462" s="24" t="s">
        <v>206</v>
      </c>
      <c r="C1462" s="24" t="s">
        <v>1691</v>
      </c>
      <c r="D1462" s="25">
        <v>5</v>
      </c>
      <c r="E1462" s="25"/>
      <c r="F1462" s="25"/>
      <c r="G1462" s="25"/>
      <c r="H1462" s="22">
        <f t="shared" si="22"/>
        <v>5</v>
      </c>
    </row>
    <row r="1463" spans="1:8" ht="15.75" customHeight="1">
      <c r="A1463" s="20" t="s">
        <v>1692</v>
      </c>
      <c r="B1463" s="20" t="s">
        <v>206</v>
      </c>
      <c r="C1463" s="20" t="s">
        <v>1693</v>
      </c>
      <c r="D1463" s="21">
        <v>12</v>
      </c>
      <c r="E1463" s="21">
        <v>10</v>
      </c>
      <c r="F1463" s="21">
        <v>31</v>
      </c>
      <c r="G1463" s="21">
        <v>18</v>
      </c>
      <c r="H1463" s="22">
        <f t="shared" si="22"/>
        <v>71</v>
      </c>
    </row>
    <row r="1464" spans="1:8" ht="15.75" customHeight="1">
      <c r="A1464" s="24" t="s">
        <v>1694</v>
      </c>
      <c r="B1464" s="24" t="s">
        <v>206</v>
      </c>
      <c r="C1464" s="24" t="s">
        <v>1695</v>
      </c>
      <c r="D1464" s="25">
        <v>25</v>
      </c>
      <c r="E1464" s="25"/>
      <c r="F1464" s="25">
        <v>40</v>
      </c>
      <c r="G1464" s="25">
        <v>20</v>
      </c>
      <c r="H1464" s="22">
        <f t="shared" si="22"/>
        <v>85</v>
      </c>
    </row>
    <row r="1465" spans="1:8" ht="15.75" customHeight="1">
      <c r="A1465" s="20" t="s">
        <v>3372</v>
      </c>
      <c r="B1465" s="20" t="s">
        <v>206</v>
      </c>
      <c r="C1465" s="20" t="s">
        <v>1700</v>
      </c>
      <c r="D1465" s="21"/>
      <c r="E1465" s="21"/>
      <c r="F1465" s="21">
        <v>4</v>
      </c>
      <c r="G1465" s="21">
        <v>4</v>
      </c>
      <c r="H1465" s="22">
        <f t="shared" si="22"/>
        <v>8</v>
      </c>
    </row>
    <row r="1466" spans="1:8" ht="15.75" customHeight="1">
      <c r="A1466" s="24" t="s">
        <v>1696</v>
      </c>
      <c r="B1466" s="24" t="s">
        <v>211</v>
      </c>
      <c r="C1466" s="24" t="s">
        <v>1697</v>
      </c>
      <c r="D1466" s="25">
        <v>257</v>
      </c>
      <c r="E1466" s="25">
        <v>103</v>
      </c>
      <c r="F1466" s="25">
        <v>444</v>
      </c>
      <c r="G1466" s="25">
        <v>10</v>
      </c>
      <c r="H1466" s="22">
        <f t="shared" si="22"/>
        <v>814</v>
      </c>
    </row>
    <row r="1467" spans="1:8" ht="15.75" customHeight="1">
      <c r="A1467" s="20" t="s">
        <v>1698</v>
      </c>
      <c r="B1467" s="20" t="s">
        <v>211</v>
      </c>
      <c r="C1467" s="20" t="s">
        <v>1668</v>
      </c>
      <c r="D1467" s="21">
        <v>5</v>
      </c>
      <c r="E1467" s="21"/>
      <c r="F1467" s="21"/>
      <c r="G1467" s="21"/>
      <c r="H1467" s="22">
        <f t="shared" si="22"/>
        <v>5</v>
      </c>
    </row>
    <row r="1468" spans="1:8" ht="15.75" customHeight="1">
      <c r="A1468" s="24" t="s">
        <v>1699</v>
      </c>
      <c r="B1468" s="24" t="s">
        <v>211</v>
      </c>
      <c r="C1468" s="24" t="s">
        <v>1700</v>
      </c>
      <c r="D1468" s="25">
        <v>20</v>
      </c>
      <c r="E1468" s="25"/>
      <c r="F1468" s="25"/>
      <c r="G1468" s="25"/>
      <c r="H1468" s="22">
        <f t="shared" si="22"/>
        <v>20</v>
      </c>
    </row>
    <row r="1469" spans="1:8" ht="15.75" customHeight="1">
      <c r="A1469" s="20" t="s">
        <v>1701</v>
      </c>
      <c r="B1469" s="20" t="s">
        <v>211</v>
      </c>
      <c r="C1469" s="20" t="s">
        <v>1702</v>
      </c>
      <c r="D1469" s="21">
        <v>823</v>
      </c>
      <c r="E1469" s="21">
        <v>540</v>
      </c>
      <c r="F1469" s="21">
        <v>887</v>
      </c>
      <c r="G1469" s="21">
        <v>120</v>
      </c>
      <c r="H1469" s="22">
        <f t="shared" si="22"/>
        <v>2370</v>
      </c>
    </row>
    <row r="1470" spans="1:8" ht="15.75" customHeight="1">
      <c r="A1470" s="24" t="s">
        <v>1703</v>
      </c>
      <c r="B1470" s="24" t="s">
        <v>211</v>
      </c>
      <c r="C1470" s="24" t="s">
        <v>1704</v>
      </c>
      <c r="D1470" s="25">
        <v>430</v>
      </c>
      <c r="E1470" s="25">
        <v>436</v>
      </c>
      <c r="F1470" s="25">
        <v>724</v>
      </c>
      <c r="G1470" s="25">
        <v>130</v>
      </c>
      <c r="H1470" s="22">
        <f t="shared" si="22"/>
        <v>1720</v>
      </c>
    </row>
    <row r="1471" spans="1:8" ht="15.75" customHeight="1">
      <c r="A1471" s="20" t="s">
        <v>1705</v>
      </c>
      <c r="B1471" s="20" t="s">
        <v>211</v>
      </c>
      <c r="C1471" s="20" t="s">
        <v>1706</v>
      </c>
      <c r="D1471" s="21">
        <v>167</v>
      </c>
      <c r="E1471" s="21">
        <v>193</v>
      </c>
      <c r="F1471" s="21">
        <v>375</v>
      </c>
      <c r="G1471" s="21">
        <v>10</v>
      </c>
      <c r="H1471" s="22">
        <f t="shared" si="22"/>
        <v>745</v>
      </c>
    </row>
    <row r="1472" spans="1:8" ht="15.75" customHeight="1">
      <c r="A1472" s="24" t="s">
        <v>1707</v>
      </c>
      <c r="B1472" s="24" t="s">
        <v>211</v>
      </c>
      <c r="C1472" s="24" t="s">
        <v>1708</v>
      </c>
      <c r="D1472" s="25">
        <v>81</v>
      </c>
      <c r="E1472" s="25">
        <v>71</v>
      </c>
      <c r="F1472" s="25">
        <v>167</v>
      </c>
      <c r="G1472" s="25">
        <v>30</v>
      </c>
      <c r="H1472" s="22">
        <f t="shared" si="22"/>
        <v>349</v>
      </c>
    </row>
    <row r="1473" spans="1:8" ht="15.75" customHeight="1">
      <c r="A1473" s="20" t="s">
        <v>1709</v>
      </c>
      <c r="B1473" s="20" t="s">
        <v>211</v>
      </c>
      <c r="C1473" s="20" t="s">
        <v>1678</v>
      </c>
      <c r="D1473" s="21">
        <v>50</v>
      </c>
      <c r="E1473" s="21">
        <v>15</v>
      </c>
      <c r="F1473" s="21">
        <v>55</v>
      </c>
      <c r="G1473" s="21"/>
      <c r="H1473" s="22">
        <f t="shared" si="22"/>
        <v>120</v>
      </c>
    </row>
    <row r="1474" spans="1:8" ht="15.75" customHeight="1">
      <c r="A1474" s="24" t="s">
        <v>1710</v>
      </c>
      <c r="B1474" s="24" t="s">
        <v>211</v>
      </c>
      <c r="C1474" s="24" t="s">
        <v>1682</v>
      </c>
      <c r="D1474" s="25">
        <v>7</v>
      </c>
      <c r="E1474" s="25">
        <v>27</v>
      </c>
      <c r="F1474" s="25">
        <v>9</v>
      </c>
      <c r="G1474" s="25"/>
      <c r="H1474" s="22">
        <f t="shared" si="22"/>
        <v>43</v>
      </c>
    </row>
    <row r="1475" spans="1:8" ht="15.75" customHeight="1">
      <c r="A1475" s="20" t="s">
        <v>1711</v>
      </c>
      <c r="B1475" s="20" t="s">
        <v>211</v>
      </c>
      <c r="C1475" s="20" t="s">
        <v>1712</v>
      </c>
      <c r="D1475" s="21">
        <v>19</v>
      </c>
      <c r="E1475" s="21"/>
      <c r="F1475" s="21">
        <v>41</v>
      </c>
      <c r="G1475" s="21">
        <v>20</v>
      </c>
      <c r="H1475" s="22">
        <f t="shared" si="22"/>
        <v>80</v>
      </c>
    </row>
    <row r="1476" spans="1:8" ht="15.75" customHeight="1">
      <c r="A1476" s="24" t="s">
        <v>3516</v>
      </c>
      <c r="B1476" s="24" t="s">
        <v>211</v>
      </c>
      <c r="C1476" s="24" t="s">
        <v>1689</v>
      </c>
      <c r="D1476" s="25"/>
      <c r="E1476" s="25"/>
      <c r="F1476" s="25"/>
      <c r="G1476" s="25">
        <v>5</v>
      </c>
      <c r="H1476" s="22">
        <f t="shared" ref="H1476:H1539" si="23">SUM(D1476:G1476)</f>
        <v>5</v>
      </c>
    </row>
    <row r="1477" spans="1:8" ht="15.75" customHeight="1">
      <c r="A1477" s="20" t="s">
        <v>1713</v>
      </c>
      <c r="B1477" s="20" t="s">
        <v>203</v>
      </c>
      <c r="C1477" s="20" t="s">
        <v>1714</v>
      </c>
      <c r="D1477" s="21">
        <v>15342</v>
      </c>
      <c r="E1477" s="21">
        <v>10349</v>
      </c>
      <c r="F1477" s="21">
        <v>11030</v>
      </c>
      <c r="G1477" s="21">
        <v>2824</v>
      </c>
      <c r="H1477" s="22">
        <f t="shared" si="23"/>
        <v>39545</v>
      </c>
    </row>
    <row r="1478" spans="1:8" ht="15.75" customHeight="1">
      <c r="A1478" s="24" t="s">
        <v>1715</v>
      </c>
      <c r="B1478" s="24" t="s">
        <v>203</v>
      </c>
      <c r="C1478" s="24" t="s">
        <v>1716</v>
      </c>
      <c r="D1478" s="25">
        <v>150</v>
      </c>
      <c r="E1478" s="25">
        <v>638</v>
      </c>
      <c r="F1478" s="25">
        <v>150</v>
      </c>
      <c r="G1478" s="25">
        <v>50</v>
      </c>
      <c r="H1478" s="22">
        <f t="shared" si="23"/>
        <v>988</v>
      </c>
    </row>
    <row r="1479" spans="1:8" ht="15.75" customHeight="1">
      <c r="A1479" s="20" t="s">
        <v>1717</v>
      </c>
      <c r="B1479" s="20" t="s">
        <v>203</v>
      </c>
      <c r="C1479" s="20" t="s">
        <v>1718</v>
      </c>
      <c r="D1479" s="21">
        <v>50</v>
      </c>
      <c r="E1479" s="21">
        <v>703</v>
      </c>
      <c r="F1479" s="21">
        <v>155</v>
      </c>
      <c r="G1479" s="21">
        <v>35</v>
      </c>
      <c r="H1479" s="22">
        <f t="shared" si="23"/>
        <v>943</v>
      </c>
    </row>
    <row r="1480" spans="1:8" ht="15.75" customHeight="1">
      <c r="A1480" s="24" t="s">
        <v>1719</v>
      </c>
      <c r="B1480" s="24" t="s">
        <v>203</v>
      </c>
      <c r="C1480" s="24" t="s">
        <v>1720</v>
      </c>
      <c r="D1480" s="25">
        <v>11303</v>
      </c>
      <c r="E1480" s="25">
        <v>10245</v>
      </c>
      <c r="F1480" s="25">
        <v>8968</v>
      </c>
      <c r="G1480" s="25">
        <v>2977</v>
      </c>
      <c r="H1480" s="22">
        <f t="shared" si="23"/>
        <v>33493</v>
      </c>
    </row>
    <row r="1481" spans="1:8" ht="15.75" customHeight="1">
      <c r="A1481" s="20" t="s">
        <v>1721</v>
      </c>
      <c r="B1481" s="20" t="s">
        <v>203</v>
      </c>
      <c r="C1481" s="20" t="s">
        <v>1722</v>
      </c>
      <c r="D1481" s="21">
        <v>3</v>
      </c>
      <c r="E1481" s="21">
        <v>50</v>
      </c>
      <c r="F1481" s="21"/>
      <c r="G1481" s="21"/>
      <c r="H1481" s="22">
        <f t="shared" si="23"/>
        <v>53</v>
      </c>
    </row>
    <row r="1482" spans="1:8" ht="15.75" customHeight="1">
      <c r="A1482" s="24" t="s">
        <v>1723</v>
      </c>
      <c r="B1482" s="24" t="s">
        <v>203</v>
      </c>
      <c r="C1482" s="24" t="s">
        <v>1724</v>
      </c>
      <c r="D1482" s="25">
        <v>836</v>
      </c>
      <c r="E1482" s="25">
        <v>148</v>
      </c>
      <c r="F1482" s="25">
        <v>60</v>
      </c>
      <c r="G1482" s="25">
        <v>120</v>
      </c>
      <c r="H1482" s="22">
        <f t="shared" si="23"/>
        <v>1164</v>
      </c>
    </row>
    <row r="1483" spans="1:8" ht="15.75" customHeight="1">
      <c r="A1483" s="20" t="s">
        <v>1725</v>
      </c>
      <c r="B1483" s="20" t="s">
        <v>203</v>
      </c>
      <c r="C1483" s="20" t="s">
        <v>1726</v>
      </c>
      <c r="D1483" s="21">
        <v>6085</v>
      </c>
      <c r="E1483" s="21">
        <v>5201</v>
      </c>
      <c r="F1483" s="21">
        <v>4156</v>
      </c>
      <c r="G1483" s="21">
        <v>1150</v>
      </c>
      <c r="H1483" s="22">
        <f t="shared" si="23"/>
        <v>16592</v>
      </c>
    </row>
    <row r="1484" spans="1:8" ht="15.75" customHeight="1">
      <c r="A1484" s="24" t="s">
        <v>1727</v>
      </c>
      <c r="B1484" s="24" t="s">
        <v>203</v>
      </c>
      <c r="C1484" s="24" t="s">
        <v>1728</v>
      </c>
      <c r="D1484" s="25">
        <v>2322</v>
      </c>
      <c r="E1484" s="25">
        <v>2761</v>
      </c>
      <c r="F1484" s="25">
        <v>2524</v>
      </c>
      <c r="G1484" s="25">
        <v>533</v>
      </c>
      <c r="H1484" s="22">
        <f t="shared" si="23"/>
        <v>8140</v>
      </c>
    </row>
    <row r="1485" spans="1:8" ht="15.75" customHeight="1">
      <c r="A1485" s="20" t="s">
        <v>1729</v>
      </c>
      <c r="B1485" s="20" t="s">
        <v>203</v>
      </c>
      <c r="C1485" s="20" t="s">
        <v>1730</v>
      </c>
      <c r="D1485" s="21">
        <v>596</v>
      </c>
      <c r="E1485" s="21">
        <v>800</v>
      </c>
      <c r="F1485" s="21">
        <v>1170</v>
      </c>
      <c r="G1485" s="21">
        <v>480</v>
      </c>
      <c r="H1485" s="22">
        <f t="shared" si="23"/>
        <v>3046</v>
      </c>
    </row>
    <row r="1486" spans="1:8" ht="15.75" customHeight="1">
      <c r="A1486" s="24" t="s">
        <v>1731</v>
      </c>
      <c r="B1486" s="24" t="s">
        <v>203</v>
      </c>
      <c r="C1486" s="24" t="s">
        <v>1732</v>
      </c>
      <c r="D1486" s="25">
        <v>958</v>
      </c>
      <c r="E1486" s="25">
        <v>1175</v>
      </c>
      <c r="F1486" s="25">
        <v>1188</v>
      </c>
      <c r="G1486" s="25">
        <v>270</v>
      </c>
      <c r="H1486" s="22">
        <f t="shared" si="23"/>
        <v>3591</v>
      </c>
    </row>
    <row r="1487" spans="1:8" ht="15.75" customHeight="1">
      <c r="A1487" s="20" t="s">
        <v>1733</v>
      </c>
      <c r="B1487" s="20" t="s">
        <v>203</v>
      </c>
      <c r="C1487" s="20" t="s">
        <v>1734</v>
      </c>
      <c r="D1487" s="21">
        <v>261</v>
      </c>
      <c r="E1487" s="21">
        <v>480</v>
      </c>
      <c r="F1487" s="21">
        <v>483</v>
      </c>
      <c r="G1487" s="21">
        <v>78</v>
      </c>
      <c r="H1487" s="22">
        <f t="shared" si="23"/>
        <v>1302</v>
      </c>
    </row>
    <row r="1488" spans="1:8" ht="15.75" customHeight="1">
      <c r="A1488" s="24" t="s">
        <v>1735</v>
      </c>
      <c r="B1488" s="24" t="s">
        <v>203</v>
      </c>
      <c r="C1488" s="24" t="s">
        <v>1736</v>
      </c>
      <c r="D1488" s="25">
        <v>4506</v>
      </c>
      <c r="E1488" s="25">
        <v>3620</v>
      </c>
      <c r="F1488" s="25">
        <v>3927</v>
      </c>
      <c r="G1488" s="25">
        <v>1102</v>
      </c>
      <c r="H1488" s="22">
        <f t="shared" si="23"/>
        <v>13155</v>
      </c>
    </row>
    <row r="1489" spans="1:8" ht="15.75" customHeight="1">
      <c r="A1489" s="20" t="s">
        <v>1737</v>
      </c>
      <c r="B1489" s="20" t="s">
        <v>203</v>
      </c>
      <c r="C1489" s="20" t="s">
        <v>1738</v>
      </c>
      <c r="D1489" s="21">
        <v>214</v>
      </c>
      <c r="E1489" s="21">
        <v>280</v>
      </c>
      <c r="F1489" s="21">
        <v>279</v>
      </c>
      <c r="G1489" s="21">
        <v>126</v>
      </c>
      <c r="H1489" s="22">
        <f t="shared" si="23"/>
        <v>899</v>
      </c>
    </row>
    <row r="1490" spans="1:8" ht="15.75" customHeight="1">
      <c r="A1490" s="24" t="s">
        <v>1739</v>
      </c>
      <c r="B1490" s="24" t="s">
        <v>203</v>
      </c>
      <c r="C1490" s="24" t="s">
        <v>1578</v>
      </c>
      <c r="D1490" s="25">
        <v>90</v>
      </c>
      <c r="E1490" s="25">
        <v>100</v>
      </c>
      <c r="F1490" s="25">
        <v>84</v>
      </c>
      <c r="G1490" s="25">
        <v>19</v>
      </c>
      <c r="H1490" s="22">
        <f t="shared" si="23"/>
        <v>293</v>
      </c>
    </row>
    <row r="1491" spans="1:8" ht="15.75" customHeight="1">
      <c r="A1491" s="20" t="s">
        <v>1740</v>
      </c>
      <c r="B1491" s="20" t="s">
        <v>203</v>
      </c>
      <c r="C1491" s="20" t="s">
        <v>1741</v>
      </c>
      <c r="D1491" s="21">
        <v>97</v>
      </c>
      <c r="E1491" s="21">
        <v>100</v>
      </c>
      <c r="F1491" s="21">
        <v>250</v>
      </c>
      <c r="G1491" s="21">
        <v>100</v>
      </c>
      <c r="H1491" s="22">
        <f t="shared" si="23"/>
        <v>547</v>
      </c>
    </row>
    <row r="1492" spans="1:8" ht="15.75" customHeight="1">
      <c r="A1492" s="24" t="s">
        <v>1742</v>
      </c>
      <c r="B1492" s="24" t="s">
        <v>203</v>
      </c>
      <c r="C1492" s="24" t="s">
        <v>1685</v>
      </c>
      <c r="D1492" s="25">
        <v>81</v>
      </c>
      <c r="E1492" s="25">
        <v>45</v>
      </c>
      <c r="F1492" s="25">
        <v>50</v>
      </c>
      <c r="G1492" s="25">
        <v>7</v>
      </c>
      <c r="H1492" s="22">
        <f t="shared" si="23"/>
        <v>183</v>
      </c>
    </row>
    <row r="1493" spans="1:8" ht="15.75" customHeight="1">
      <c r="A1493" s="20" t="s">
        <v>1743</v>
      </c>
      <c r="B1493" s="20" t="s">
        <v>203</v>
      </c>
      <c r="C1493" s="20" t="s">
        <v>1744</v>
      </c>
      <c r="D1493" s="21">
        <v>3</v>
      </c>
      <c r="E1493" s="21">
        <v>2</v>
      </c>
      <c r="F1493" s="21">
        <v>10</v>
      </c>
      <c r="G1493" s="21">
        <v>11</v>
      </c>
      <c r="H1493" s="22">
        <f t="shared" si="23"/>
        <v>26</v>
      </c>
    </row>
    <row r="1494" spans="1:8" ht="15.75" customHeight="1">
      <c r="A1494" s="24" t="s">
        <v>1745</v>
      </c>
      <c r="B1494" s="24" t="s">
        <v>203</v>
      </c>
      <c r="C1494" s="24" t="s">
        <v>1746</v>
      </c>
      <c r="D1494" s="25">
        <v>1354</v>
      </c>
      <c r="E1494" s="25">
        <v>1052</v>
      </c>
      <c r="F1494" s="25">
        <v>1088</v>
      </c>
      <c r="G1494" s="25">
        <v>475</v>
      </c>
      <c r="H1494" s="22">
        <f t="shared" si="23"/>
        <v>3969</v>
      </c>
    </row>
    <row r="1495" spans="1:8" ht="15.75" customHeight="1">
      <c r="A1495" s="20" t="s">
        <v>1747</v>
      </c>
      <c r="B1495" s="20" t="s">
        <v>203</v>
      </c>
      <c r="C1495" s="20" t="s">
        <v>1689</v>
      </c>
      <c r="D1495" s="21">
        <v>7</v>
      </c>
      <c r="E1495" s="21">
        <v>3</v>
      </c>
      <c r="F1495" s="21">
        <v>12</v>
      </c>
      <c r="G1495" s="21">
        <v>7</v>
      </c>
      <c r="H1495" s="22">
        <f t="shared" si="23"/>
        <v>29</v>
      </c>
    </row>
    <row r="1496" spans="1:8" ht="15.75" customHeight="1">
      <c r="A1496" s="24" t="s">
        <v>1748</v>
      </c>
      <c r="B1496" s="24" t="s">
        <v>203</v>
      </c>
      <c r="C1496" s="24" t="s">
        <v>1749</v>
      </c>
      <c r="D1496" s="25">
        <v>58</v>
      </c>
      <c r="E1496" s="25">
        <v>56</v>
      </c>
      <c r="F1496" s="25">
        <v>118</v>
      </c>
      <c r="G1496" s="25">
        <v>1560</v>
      </c>
      <c r="H1496" s="22">
        <f t="shared" si="23"/>
        <v>1792</v>
      </c>
    </row>
    <row r="1497" spans="1:8" ht="15.75" customHeight="1">
      <c r="A1497" s="20" t="s">
        <v>1750</v>
      </c>
      <c r="B1497" s="20" t="s">
        <v>203</v>
      </c>
      <c r="C1497" s="20" t="s">
        <v>1751</v>
      </c>
      <c r="D1497" s="21">
        <v>660</v>
      </c>
      <c r="E1497" s="21">
        <v>809</v>
      </c>
      <c r="F1497" s="21">
        <v>1106</v>
      </c>
      <c r="G1497" s="21">
        <v>176</v>
      </c>
      <c r="H1497" s="22">
        <f t="shared" si="23"/>
        <v>2751</v>
      </c>
    </row>
    <row r="1498" spans="1:8" ht="15.75" customHeight="1">
      <c r="A1498" s="24" t="s">
        <v>1752</v>
      </c>
      <c r="B1498" s="24" t="s">
        <v>203</v>
      </c>
      <c r="C1498" s="24" t="s">
        <v>1753</v>
      </c>
      <c r="D1498" s="25">
        <v>142</v>
      </c>
      <c r="E1498" s="25">
        <v>171</v>
      </c>
      <c r="F1498" s="25">
        <v>483</v>
      </c>
      <c r="G1498" s="25">
        <v>75</v>
      </c>
      <c r="H1498" s="22">
        <f t="shared" si="23"/>
        <v>871</v>
      </c>
    </row>
    <row r="1499" spans="1:8" ht="15.75" customHeight="1">
      <c r="A1499" s="20" t="s">
        <v>1754</v>
      </c>
      <c r="B1499" s="20" t="s">
        <v>244</v>
      </c>
      <c r="C1499" s="20" t="s">
        <v>1755</v>
      </c>
      <c r="D1499" s="21">
        <v>401</v>
      </c>
      <c r="E1499" s="21">
        <v>246</v>
      </c>
      <c r="F1499" s="21">
        <v>443</v>
      </c>
      <c r="G1499" s="21">
        <v>68</v>
      </c>
      <c r="H1499" s="22">
        <f t="shared" si="23"/>
        <v>1158</v>
      </c>
    </row>
    <row r="1500" spans="1:8" ht="15.75" customHeight="1">
      <c r="A1500" s="24" t="s">
        <v>1756</v>
      </c>
      <c r="B1500" s="24" t="s">
        <v>244</v>
      </c>
      <c r="C1500" s="24" t="s">
        <v>1757</v>
      </c>
      <c r="D1500" s="25">
        <v>344</v>
      </c>
      <c r="E1500" s="25">
        <v>377</v>
      </c>
      <c r="F1500" s="25">
        <v>531</v>
      </c>
      <c r="G1500" s="25">
        <v>67</v>
      </c>
      <c r="H1500" s="22">
        <f t="shared" si="23"/>
        <v>1319</v>
      </c>
    </row>
    <row r="1501" spans="1:8" ht="15.75" customHeight="1">
      <c r="A1501" s="20" t="s">
        <v>1758</v>
      </c>
      <c r="B1501" s="20" t="s">
        <v>244</v>
      </c>
      <c r="C1501" s="20" t="s">
        <v>1759</v>
      </c>
      <c r="D1501" s="21">
        <v>120</v>
      </c>
      <c r="E1501" s="21">
        <v>87</v>
      </c>
      <c r="F1501" s="21">
        <v>280</v>
      </c>
      <c r="G1501" s="21">
        <v>150</v>
      </c>
      <c r="H1501" s="22">
        <f t="shared" si="23"/>
        <v>637</v>
      </c>
    </row>
    <row r="1502" spans="1:8" ht="15.75" customHeight="1">
      <c r="A1502" s="24" t="s">
        <v>1760</v>
      </c>
      <c r="B1502" s="24" t="s">
        <v>244</v>
      </c>
      <c r="C1502" s="24" t="s">
        <v>1761</v>
      </c>
      <c r="D1502" s="25">
        <v>59</v>
      </c>
      <c r="E1502" s="25">
        <v>129</v>
      </c>
      <c r="F1502" s="25">
        <v>272</v>
      </c>
      <c r="G1502" s="25">
        <v>20</v>
      </c>
      <c r="H1502" s="22">
        <f t="shared" si="23"/>
        <v>480</v>
      </c>
    </row>
    <row r="1503" spans="1:8" ht="15.75" customHeight="1">
      <c r="A1503" s="20" t="s">
        <v>1762</v>
      </c>
      <c r="B1503" s="20" t="s">
        <v>244</v>
      </c>
      <c r="C1503" s="20" t="s">
        <v>1763</v>
      </c>
      <c r="D1503" s="21">
        <v>34</v>
      </c>
      <c r="E1503" s="21">
        <v>61</v>
      </c>
      <c r="F1503" s="21">
        <v>26</v>
      </c>
      <c r="G1503" s="21"/>
      <c r="H1503" s="22">
        <f t="shared" si="23"/>
        <v>121</v>
      </c>
    </row>
    <row r="1504" spans="1:8" ht="15.75" customHeight="1">
      <c r="A1504" s="24" t="s">
        <v>1764</v>
      </c>
      <c r="B1504" s="24" t="s">
        <v>244</v>
      </c>
      <c r="C1504" s="24" t="s">
        <v>1765</v>
      </c>
      <c r="D1504" s="25">
        <v>820</v>
      </c>
      <c r="E1504" s="25">
        <v>530</v>
      </c>
      <c r="F1504" s="25">
        <v>714</v>
      </c>
      <c r="G1504" s="25">
        <v>200</v>
      </c>
      <c r="H1504" s="22">
        <f t="shared" si="23"/>
        <v>2264</v>
      </c>
    </row>
    <row r="1505" spans="1:8" ht="15.75" customHeight="1">
      <c r="A1505" s="20" t="s">
        <v>1766</v>
      </c>
      <c r="B1505" s="20" t="s">
        <v>244</v>
      </c>
      <c r="C1505" s="20" t="s">
        <v>1767</v>
      </c>
      <c r="D1505" s="21">
        <v>63</v>
      </c>
      <c r="E1505" s="21">
        <v>14</v>
      </c>
      <c r="F1505" s="21">
        <v>52</v>
      </c>
      <c r="G1505" s="21">
        <v>1</v>
      </c>
      <c r="H1505" s="22">
        <f t="shared" si="23"/>
        <v>130</v>
      </c>
    </row>
    <row r="1506" spans="1:8" ht="15.75" customHeight="1">
      <c r="A1506" s="24" t="s">
        <v>1768</v>
      </c>
      <c r="B1506" s="24" t="s">
        <v>244</v>
      </c>
      <c r="C1506" s="24" t="s">
        <v>1678</v>
      </c>
      <c r="D1506" s="25">
        <v>10</v>
      </c>
      <c r="E1506" s="25">
        <v>20</v>
      </c>
      <c r="F1506" s="25">
        <v>2</v>
      </c>
      <c r="G1506" s="25"/>
      <c r="H1506" s="22">
        <f t="shared" si="23"/>
        <v>32</v>
      </c>
    </row>
    <row r="1507" spans="1:8" ht="15.75" customHeight="1">
      <c r="A1507" s="20" t="s">
        <v>1769</v>
      </c>
      <c r="B1507" s="20" t="s">
        <v>244</v>
      </c>
      <c r="C1507" s="20" t="s">
        <v>1770</v>
      </c>
      <c r="D1507" s="21">
        <v>3292</v>
      </c>
      <c r="E1507" s="21">
        <v>2616</v>
      </c>
      <c r="F1507" s="21">
        <v>3127</v>
      </c>
      <c r="G1507" s="21">
        <v>835</v>
      </c>
      <c r="H1507" s="22">
        <f t="shared" si="23"/>
        <v>9870</v>
      </c>
    </row>
    <row r="1508" spans="1:8" ht="15.75" customHeight="1">
      <c r="A1508" s="24" t="s">
        <v>1771</v>
      </c>
      <c r="B1508" s="24" t="s">
        <v>244</v>
      </c>
      <c r="C1508" s="24" t="s">
        <v>1772</v>
      </c>
      <c r="D1508" s="25">
        <v>180</v>
      </c>
      <c r="E1508" s="25">
        <v>125</v>
      </c>
      <c r="F1508" s="25">
        <v>200</v>
      </c>
      <c r="G1508" s="25">
        <v>28</v>
      </c>
      <c r="H1508" s="22">
        <f t="shared" si="23"/>
        <v>533</v>
      </c>
    </row>
    <row r="1509" spans="1:8" ht="15.75" customHeight="1">
      <c r="A1509" s="20" t="s">
        <v>1773</v>
      </c>
      <c r="B1509" s="20" t="s">
        <v>244</v>
      </c>
      <c r="C1509" s="20" t="s">
        <v>1774</v>
      </c>
      <c r="D1509" s="21">
        <v>30</v>
      </c>
      <c r="E1509" s="21">
        <v>80</v>
      </c>
      <c r="F1509" s="21">
        <v>110</v>
      </c>
      <c r="G1509" s="21"/>
      <c r="H1509" s="22">
        <f t="shared" si="23"/>
        <v>220</v>
      </c>
    </row>
    <row r="1510" spans="1:8" ht="15.75" customHeight="1">
      <c r="A1510" s="24" t="s">
        <v>1775</v>
      </c>
      <c r="B1510" s="24" t="s">
        <v>253</v>
      </c>
      <c r="C1510" s="24" t="s">
        <v>1776</v>
      </c>
      <c r="D1510" s="25">
        <v>2433</v>
      </c>
      <c r="E1510" s="25">
        <v>2034</v>
      </c>
      <c r="F1510" s="25">
        <v>2245</v>
      </c>
      <c r="G1510" s="25">
        <v>575</v>
      </c>
      <c r="H1510" s="22">
        <f t="shared" si="23"/>
        <v>7287</v>
      </c>
    </row>
    <row r="1511" spans="1:8" ht="15.75" customHeight="1">
      <c r="A1511" s="20" t="s">
        <v>1777</v>
      </c>
      <c r="B1511" s="20" t="s">
        <v>253</v>
      </c>
      <c r="C1511" s="20" t="s">
        <v>1778</v>
      </c>
      <c r="D1511" s="21">
        <v>85</v>
      </c>
      <c r="E1511" s="21">
        <v>210</v>
      </c>
      <c r="F1511" s="21">
        <v>140</v>
      </c>
      <c r="G1511" s="21">
        <v>10</v>
      </c>
      <c r="H1511" s="22">
        <f t="shared" si="23"/>
        <v>445</v>
      </c>
    </row>
    <row r="1512" spans="1:8" ht="15.75" customHeight="1">
      <c r="A1512" s="24" t="s">
        <v>1779</v>
      </c>
      <c r="B1512" s="24" t="s">
        <v>253</v>
      </c>
      <c r="C1512" s="24" t="s">
        <v>1700</v>
      </c>
      <c r="D1512" s="25">
        <v>10</v>
      </c>
      <c r="E1512" s="25"/>
      <c r="F1512" s="25"/>
      <c r="G1512" s="25"/>
      <c r="H1512" s="22">
        <f t="shared" si="23"/>
        <v>10</v>
      </c>
    </row>
    <row r="1513" spans="1:8" ht="15.75" customHeight="1">
      <c r="A1513" s="20" t="s">
        <v>1780</v>
      </c>
      <c r="B1513" s="20" t="s">
        <v>253</v>
      </c>
      <c r="C1513" s="20" t="s">
        <v>1781</v>
      </c>
      <c r="D1513" s="21">
        <v>3318</v>
      </c>
      <c r="E1513" s="21">
        <v>2131</v>
      </c>
      <c r="F1513" s="21">
        <v>3026</v>
      </c>
      <c r="G1513" s="21">
        <v>730</v>
      </c>
      <c r="H1513" s="22">
        <f t="shared" si="23"/>
        <v>9205</v>
      </c>
    </row>
    <row r="1514" spans="1:8" ht="15.75" customHeight="1">
      <c r="A1514" s="24" t="s">
        <v>1782</v>
      </c>
      <c r="B1514" s="24" t="s">
        <v>253</v>
      </c>
      <c r="C1514" s="24" t="s">
        <v>1783</v>
      </c>
      <c r="D1514" s="25">
        <v>8</v>
      </c>
      <c r="E1514" s="25">
        <v>7</v>
      </c>
      <c r="F1514" s="25"/>
      <c r="G1514" s="25"/>
      <c r="H1514" s="22">
        <f t="shared" si="23"/>
        <v>15</v>
      </c>
    </row>
    <row r="1515" spans="1:8" ht="15.75" customHeight="1">
      <c r="A1515" s="20" t="s">
        <v>1784</v>
      </c>
      <c r="B1515" s="20" t="s">
        <v>253</v>
      </c>
      <c r="C1515" s="20" t="s">
        <v>1722</v>
      </c>
      <c r="D1515" s="21">
        <v>39</v>
      </c>
      <c r="E1515" s="21"/>
      <c r="F1515" s="21">
        <v>20</v>
      </c>
      <c r="G1515" s="21"/>
      <c r="H1515" s="22">
        <f t="shared" si="23"/>
        <v>59</v>
      </c>
    </row>
    <row r="1516" spans="1:8" ht="15.75" customHeight="1">
      <c r="A1516" s="24" t="s">
        <v>1785</v>
      </c>
      <c r="B1516" s="24" t="s">
        <v>253</v>
      </c>
      <c r="C1516" s="24" t="s">
        <v>1786</v>
      </c>
      <c r="D1516" s="25">
        <v>2203</v>
      </c>
      <c r="E1516" s="25">
        <v>1398</v>
      </c>
      <c r="F1516" s="25">
        <v>1487</v>
      </c>
      <c r="G1516" s="25">
        <v>670</v>
      </c>
      <c r="H1516" s="22">
        <f t="shared" si="23"/>
        <v>5758</v>
      </c>
    </row>
    <row r="1517" spans="1:8" ht="15.75" customHeight="1">
      <c r="A1517" s="20" t="s">
        <v>1787</v>
      </c>
      <c r="B1517" s="20" t="s">
        <v>253</v>
      </c>
      <c r="C1517" s="20" t="s">
        <v>1788</v>
      </c>
      <c r="D1517" s="21">
        <v>789</v>
      </c>
      <c r="E1517" s="21">
        <v>573</v>
      </c>
      <c r="F1517" s="21">
        <v>667</v>
      </c>
      <c r="G1517" s="21">
        <v>145</v>
      </c>
      <c r="H1517" s="22">
        <f t="shared" si="23"/>
        <v>2174</v>
      </c>
    </row>
    <row r="1518" spans="1:8" ht="15.75" customHeight="1">
      <c r="A1518" s="24" t="s">
        <v>1789</v>
      </c>
      <c r="B1518" s="24" t="s">
        <v>253</v>
      </c>
      <c r="C1518" s="24" t="s">
        <v>1790</v>
      </c>
      <c r="D1518" s="25">
        <v>480</v>
      </c>
      <c r="E1518" s="25">
        <v>320</v>
      </c>
      <c r="F1518" s="25">
        <v>331</v>
      </c>
      <c r="G1518" s="25">
        <v>80</v>
      </c>
      <c r="H1518" s="22">
        <f t="shared" si="23"/>
        <v>1211</v>
      </c>
    </row>
    <row r="1519" spans="1:8" ht="15.75" customHeight="1">
      <c r="A1519" s="20" t="s">
        <v>1791</v>
      </c>
      <c r="B1519" s="20" t="s">
        <v>253</v>
      </c>
      <c r="C1519" s="20" t="s">
        <v>1792</v>
      </c>
      <c r="D1519" s="21">
        <v>274</v>
      </c>
      <c r="E1519" s="21">
        <v>189</v>
      </c>
      <c r="F1519" s="21">
        <v>267</v>
      </c>
      <c r="G1519" s="21">
        <v>125</v>
      </c>
      <c r="H1519" s="22">
        <f t="shared" si="23"/>
        <v>855</v>
      </c>
    </row>
    <row r="1520" spans="1:8" ht="15.75" customHeight="1">
      <c r="A1520" s="24" t="s">
        <v>1793</v>
      </c>
      <c r="B1520" s="24" t="s">
        <v>253</v>
      </c>
      <c r="C1520" s="24" t="s">
        <v>1794</v>
      </c>
      <c r="D1520" s="25">
        <v>1890</v>
      </c>
      <c r="E1520" s="25">
        <v>1280</v>
      </c>
      <c r="F1520" s="25">
        <v>1449</v>
      </c>
      <c r="G1520" s="25">
        <v>295</v>
      </c>
      <c r="H1520" s="22">
        <f t="shared" si="23"/>
        <v>4914</v>
      </c>
    </row>
    <row r="1521" spans="1:8" ht="15.75" customHeight="1">
      <c r="A1521" s="20" t="s">
        <v>1795</v>
      </c>
      <c r="B1521" s="20" t="s">
        <v>253</v>
      </c>
      <c r="C1521" s="20" t="s">
        <v>1796</v>
      </c>
      <c r="D1521" s="21">
        <v>43</v>
      </c>
      <c r="E1521" s="21">
        <v>24</v>
      </c>
      <c r="F1521" s="21">
        <v>61</v>
      </c>
      <c r="G1521" s="21">
        <v>2</v>
      </c>
      <c r="H1521" s="22">
        <f t="shared" si="23"/>
        <v>130</v>
      </c>
    </row>
    <row r="1522" spans="1:8" ht="15.75" customHeight="1">
      <c r="A1522" s="24" t="s">
        <v>1797</v>
      </c>
      <c r="B1522" s="24" t="s">
        <v>253</v>
      </c>
      <c r="C1522" s="24" t="s">
        <v>1798</v>
      </c>
      <c r="D1522" s="25">
        <v>160</v>
      </c>
      <c r="E1522" s="25">
        <v>55</v>
      </c>
      <c r="F1522" s="25">
        <v>180</v>
      </c>
      <c r="G1522" s="25">
        <v>50</v>
      </c>
      <c r="H1522" s="22">
        <f t="shared" si="23"/>
        <v>445</v>
      </c>
    </row>
    <row r="1523" spans="1:8" ht="15.75" customHeight="1">
      <c r="A1523" s="20" t="s">
        <v>3517</v>
      </c>
      <c r="B1523" s="20" t="s">
        <v>253</v>
      </c>
      <c r="C1523" s="20" t="s">
        <v>1685</v>
      </c>
      <c r="D1523" s="21"/>
      <c r="E1523" s="21"/>
      <c r="F1523" s="21"/>
      <c r="G1523" s="21">
        <v>3</v>
      </c>
      <c r="H1523" s="22">
        <f t="shared" si="23"/>
        <v>3</v>
      </c>
    </row>
    <row r="1524" spans="1:8" ht="15.75" customHeight="1">
      <c r="A1524" s="24" t="s">
        <v>3518</v>
      </c>
      <c r="B1524" s="24" t="s">
        <v>253</v>
      </c>
      <c r="C1524" s="24" t="s">
        <v>1744</v>
      </c>
      <c r="D1524" s="25"/>
      <c r="E1524" s="25"/>
      <c r="F1524" s="25"/>
      <c r="G1524" s="25">
        <v>2</v>
      </c>
      <c r="H1524" s="22">
        <f t="shared" si="23"/>
        <v>2</v>
      </c>
    </row>
    <row r="1525" spans="1:8" ht="15.75" customHeight="1">
      <c r="A1525" s="20" t="s">
        <v>1799</v>
      </c>
      <c r="B1525" s="20" t="s">
        <v>253</v>
      </c>
      <c r="C1525" s="20" t="s">
        <v>1800</v>
      </c>
      <c r="D1525" s="21">
        <v>425</v>
      </c>
      <c r="E1525" s="21">
        <v>385</v>
      </c>
      <c r="F1525" s="21">
        <v>236</v>
      </c>
      <c r="G1525" s="21">
        <v>95</v>
      </c>
      <c r="H1525" s="22">
        <f t="shared" si="23"/>
        <v>1141</v>
      </c>
    </row>
    <row r="1526" spans="1:8" ht="15.75" customHeight="1">
      <c r="A1526" s="24" t="s">
        <v>1801</v>
      </c>
      <c r="B1526" s="24" t="s">
        <v>253</v>
      </c>
      <c r="C1526" s="24" t="s">
        <v>1689</v>
      </c>
      <c r="D1526" s="25">
        <v>4</v>
      </c>
      <c r="E1526" s="25"/>
      <c r="F1526" s="25"/>
      <c r="G1526" s="25"/>
      <c r="H1526" s="22">
        <f t="shared" si="23"/>
        <v>4</v>
      </c>
    </row>
    <row r="1527" spans="1:8" ht="15.75" customHeight="1">
      <c r="A1527" s="20" t="s">
        <v>2862</v>
      </c>
      <c r="B1527" s="20" t="s">
        <v>1649</v>
      </c>
      <c r="C1527" s="20" t="s">
        <v>2863</v>
      </c>
      <c r="D1527" s="21"/>
      <c r="E1527" s="21">
        <v>10</v>
      </c>
      <c r="F1527" s="21"/>
      <c r="G1527" s="21"/>
      <c r="H1527" s="22">
        <f t="shared" si="23"/>
        <v>10</v>
      </c>
    </row>
    <row r="1528" spans="1:8" ht="15.75" customHeight="1">
      <c r="A1528" s="24" t="s">
        <v>1802</v>
      </c>
      <c r="B1528" s="24" t="s">
        <v>253</v>
      </c>
      <c r="C1528" s="24" t="s">
        <v>1803</v>
      </c>
      <c r="D1528" s="25">
        <v>26</v>
      </c>
      <c r="E1528" s="25">
        <v>60</v>
      </c>
      <c r="F1528" s="25">
        <v>50</v>
      </c>
      <c r="G1528" s="25"/>
      <c r="H1528" s="22">
        <f t="shared" si="23"/>
        <v>136</v>
      </c>
    </row>
    <row r="1529" spans="1:8" ht="15.75" customHeight="1">
      <c r="A1529" s="20" t="s">
        <v>1804</v>
      </c>
      <c r="B1529" s="20" t="s">
        <v>253</v>
      </c>
      <c r="C1529" s="20" t="s">
        <v>1805</v>
      </c>
      <c r="D1529" s="21">
        <v>175</v>
      </c>
      <c r="E1529" s="21">
        <v>370</v>
      </c>
      <c r="F1529" s="21">
        <v>350</v>
      </c>
      <c r="G1529" s="21">
        <v>100</v>
      </c>
      <c r="H1529" s="22">
        <f t="shared" si="23"/>
        <v>995</v>
      </c>
    </row>
    <row r="1530" spans="1:8" ht="15.75" customHeight="1">
      <c r="A1530" s="24" t="s">
        <v>1806</v>
      </c>
      <c r="B1530" s="24" t="s">
        <v>253</v>
      </c>
      <c r="C1530" s="24" t="s">
        <v>1807</v>
      </c>
      <c r="D1530" s="25">
        <v>95</v>
      </c>
      <c r="E1530" s="25">
        <v>51</v>
      </c>
      <c r="F1530" s="25">
        <v>394</v>
      </c>
      <c r="G1530" s="25">
        <v>10</v>
      </c>
      <c r="H1530" s="22">
        <f t="shared" si="23"/>
        <v>550</v>
      </c>
    </row>
    <row r="1531" spans="1:8" ht="15.75" customHeight="1">
      <c r="A1531" s="20" t="s">
        <v>3519</v>
      </c>
      <c r="B1531" s="20" t="s">
        <v>253</v>
      </c>
      <c r="C1531" s="20" t="s">
        <v>1578</v>
      </c>
      <c r="D1531" s="21"/>
      <c r="E1531" s="21"/>
      <c r="F1531" s="21"/>
      <c r="G1531" s="21">
        <v>5</v>
      </c>
      <c r="H1531" s="22">
        <f t="shared" si="23"/>
        <v>5</v>
      </c>
    </row>
    <row r="1532" spans="1:8" ht="15.75" customHeight="1">
      <c r="A1532" s="24" t="s">
        <v>1808</v>
      </c>
      <c r="B1532" s="24" t="s">
        <v>263</v>
      </c>
      <c r="C1532" s="24" t="s">
        <v>1809</v>
      </c>
      <c r="D1532" s="25">
        <v>135</v>
      </c>
      <c r="E1532" s="25">
        <v>35</v>
      </c>
      <c r="F1532" s="25">
        <v>70</v>
      </c>
      <c r="G1532" s="25"/>
      <c r="H1532" s="22">
        <f t="shared" si="23"/>
        <v>240</v>
      </c>
    </row>
    <row r="1533" spans="1:8" ht="15.75" customHeight="1">
      <c r="A1533" s="20" t="s">
        <v>1810</v>
      </c>
      <c r="B1533" s="20" t="s">
        <v>263</v>
      </c>
      <c r="C1533" s="20" t="s">
        <v>1668</v>
      </c>
      <c r="D1533" s="21">
        <v>21</v>
      </c>
      <c r="E1533" s="21"/>
      <c r="F1533" s="21"/>
      <c r="G1533" s="21"/>
      <c r="H1533" s="22">
        <f t="shared" si="23"/>
        <v>21</v>
      </c>
    </row>
    <row r="1534" spans="1:8" ht="15.75" customHeight="1">
      <c r="A1534" s="24" t="s">
        <v>1811</v>
      </c>
      <c r="B1534" s="24" t="s">
        <v>263</v>
      </c>
      <c r="C1534" s="24" t="s">
        <v>1812</v>
      </c>
      <c r="D1534" s="25">
        <v>62</v>
      </c>
      <c r="E1534" s="25">
        <v>70</v>
      </c>
      <c r="F1534" s="25">
        <v>60</v>
      </c>
      <c r="G1534" s="25">
        <v>30</v>
      </c>
      <c r="H1534" s="22">
        <f t="shared" si="23"/>
        <v>222</v>
      </c>
    </row>
    <row r="1535" spans="1:8" ht="15.75" customHeight="1">
      <c r="A1535" s="20" t="s">
        <v>1813</v>
      </c>
      <c r="B1535" s="20" t="s">
        <v>263</v>
      </c>
      <c r="C1535" s="20" t="s">
        <v>1814</v>
      </c>
      <c r="D1535" s="21">
        <v>20</v>
      </c>
      <c r="E1535" s="21">
        <v>14</v>
      </c>
      <c r="F1535" s="21">
        <v>30</v>
      </c>
      <c r="G1535" s="21"/>
      <c r="H1535" s="22">
        <f t="shared" si="23"/>
        <v>64</v>
      </c>
    </row>
    <row r="1536" spans="1:8" ht="15.75" customHeight="1">
      <c r="A1536" s="24" t="s">
        <v>1815</v>
      </c>
      <c r="B1536" s="24" t="s">
        <v>263</v>
      </c>
      <c r="C1536" s="24" t="s">
        <v>1816</v>
      </c>
      <c r="D1536" s="25">
        <v>20</v>
      </c>
      <c r="E1536" s="25"/>
      <c r="F1536" s="25"/>
      <c r="G1536" s="25"/>
      <c r="H1536" s="22">
        <f t="shared" si="23"/>
        <v>20</v>
      </c>
    </row>
    <row r="1537" spans="1:8" ht="15.75" customHeight="1">
      <c r="A1537" s="20" t="s">
        <v>1817</v>
      </c>
      <c r="B1537" s="20" t="s">
        <v>263</v>
      </c>
      <c r="C1537" s="20" t="s">
        <v>1818</v>
      </c>
      <c r="D1537" s="21">
        <v>328</v>
      </c>
      <c r="E1537" s="21">
        <v>390</v>
      </c>
      <c r="F1537" s="21">
        <v>340</v>
      </c>
      <c r="G1537" s="21">
        <v>50</v>
      </c>
      <c r="H1537" s="22">
        <f t="shared" si="23"/>
        <v>1108</v>
      </c>
    </row>
    <row r="1538" spans="1:8" ht="15.75" customHeight="1">
      <c r="A1538" s="24" t="s">
        <v>1819</v>
      </c>
      <c r="B1538" s="24" t="s">
        <v>263</v>
      </c>
      <c r="C1538" s="24" t="s">
        <v>1682</v>
      </c>
      <c r="D1538" s="25">
        <v>10</v>
      </c>
      <c r="E1538" s="25"/>
      <c r="F1538" s="25"/>
      <c r="G1538" s="25"/>
      <c r="H1538" s="22">
        <f t="shared" si="23"/>
        <v>10</v>
      </c>
    </row>
    <row r="1539" spans="1:8" ht="15.75" customHeight="1">
      <c r="A1539" s="20" t="s">
        <v>1820</v>
      </c>
      <c r="B1539" s="20" t="s">
        <v>263</v>
      </c>
      <c r="C1539" s="20" t="s">
        <v>1685</v>
      </c>
      <c r="D1539" s="21">
        <v>2</v>
      </c>
      <c r="E1539" s="21"/>
      <c r="F1539" s="21"/>
      <c r="G1539" s="21"/>
      <c r="H1539" s="22">
        <f t="shared" si="23"/>
        <v>2</v>
      </c>
    </row>
    <row r="1540" spans="1:8" ht="15.75" customHeight="1">
      <c r="A1540" s="24" t="s">
        <v>1821</v>
      </c>
      <c r="B1540" s="24" t="s">
        <v>263</v>
      </c>
      <c r="C1540" s="24" t="s">
        <v>1822</v>
      </c>
      <c r="D1540" s="25">
        <v>32</v>
      </c>
      <c r="E1540" s="25">
        <v>10</v>
      </c>
      <c r="F1540" s="25">
        <v>40</v>
      </c>
      <c r="G1540" s="25">
        <v>30</v>
      </c>
      <c r="H1540" s="22">
        <f t="shared" ref="H1540:H1603" si="24">SUM(D1540:G1540)</f>
        <v>112</v>
      </c>
    </row>
    <row r="1541" spans="1:8" ht="15.75" customHeight="1">
      <c r="A1541" s="20" t="s">
        <v>1823</v>
      </c>
      <c r="B1541" s="20" t="s">
        <v>271</v>
      </c>
      <c r="C1541" s="20" t="s">
        <v>1824</v>
      </c>
      <c r="D1541" s="21">
        <v>361</v>
      </c>
      <c r="E1541" s="21">
        <v>231</v>
      </c>
      <c r="F1541" s="21">
        <v>440</v>
      </c>
      <c r="G1541" s="21">
        <v>230</v>
      </c>
      <c r="H1541" s="22">
        <f t="shared" si="24"/>
        <v>1262</v>
      </c>
    </row>
    <row r="1542" spans="1:8" ht="15.75" customHeight="1">
      <c r="A1542" s="24" t="s">
        <v>1825</v>
      </c>
      <c r="B1542" s="24" t="s">
        <v>271</v>
      </c>
      <c r="C1542" s="24" t="s">
        <v>1668</v>
      </c>
      <c r="D1542" s="25">
        <v>4</v>
      </c>
      <c r="E1542" s="25"/>
      <c r="F1542" s="25">
        <v>10</v>
      </c>
      <c r="G1542" s="25">
        <v>30</v>
      </c>
      <c r="H1542" s="22">
        <f t="shared" si="24"/>
        <v>44</v>
      </c>
    </row>
    <row r="1543" spans="1:8" ht="15.75" customHeight="1">
      <c r="A1543" s="20" t="s">
        <v>1826</v>
      </c>
      <c r="B1543" s="20" t="s">
        <v>271</v>
      </c>
      <c r="C1543" s="20" t="s">
        <v>1827</v>
      </c>
      <c r="D1543" s="21">
        <v>808</v>
      </c>
      <c r="E1543" s="21">
        <v>723</v>
      </c>
      <c r="F1543" s="21">
        <v>715</v>
      </c>
      <c r="G1543" s="21">
        <v>450</v>
      </c>
      <c r="H1543" s="22">
        <f t="shared" si="24"/>
        <v>2696</v>
      </c>
    </row>
    <row r="1544" spans="1:8" ht="15.75" customHeight="1">
      <c r="A1544" s="24" t="s">
        <v>1828</v>
      </c>
      <c r="B1544" s="24" t="s">
        <v>271</v>
      </c>
      <c r="C1544" s="24" t="s">
        <v>1722</v>
      </c>
      <c r="D1544" s="25">
        <v>30</v>
      </c>
      <c r="E1544" s="25"/>
      <c r="F1544" s="25"/>
      <c r="G1544" s="25"/>
      <c r="H1544" s="22">
        <f t="shared" si="24"/>
        <v>30</v>
      </c>
    </row>
    <row r="1545" spans="1:8" ht="15.75" customHeight="1">
      <c r="A1545" s="20" t="s">
        <v>1829</v>
      </c>
      <c r="B1545" s="20" t="s">
        <v>271</v>
      </c>
      <c r="C1545" s="20" t="s">
        <v>1830</v>
      </c>
      <c r="D1545" s="21">
        <v>556</v>
      </c>
      <c r="E1545" s="21">
        <v>321</v>
      </c>
      <c r="F1545" s="21">
        <v>585</v>
      </c>
      <c r="G1545" s="21">
        <v>482</v>
      </c>
      <c r="H1545" s="22">
        <f t="shared" si="24"/>
        <v>1944</v>
      </c>
    </row>
    <row r="1546" spans="1:8" ht="15.75" customHeight="1">
      <c r="A1546" s="24" t="s">
        <v>1831</v>
      </c>
      <c r="B1546" s="24" t="s">
        <v>271</v>
      </c>
      <c r="C1546" s="24" t="s">
        <v>1832</v>
      </c>
      <c r="D1546" s="25">
        <v>106</v>
      </c>
      <c r="E1546" s="25">
        <v>124</v>
      </c>
      <c r="F1546" s="25">
        <v>216</v>
      </c>
      <c r="G1546" s="25">
        <v>55</v>
      </c>
      <c r="H1546" s="22">
        <f t="shared" si="24"/>
        <v>501</v>
      </c>
    </row>
    <row r="1547" spans="1:8" ht="15.75" customHeight="1">
      <c r="A1547" s="20" t="s">
        <v>1833</v>
      </c>
      <c r="B1547" s="20" t="s">
        <v>271</v>
      </c>
      <c r="C1547" s="20" t="s">
        <v>1834</v>
      </c>
      <c r="D1547" s="21">
        <v>103</v>
      </c>
      <c r="E1547" s="21">
        <v>61</v>
      </c>
      <c r="F1547" s="21">
        <v>127</v>
      </c>
      <c r="G1547" s="21">
        <v>80</v>
      </c>
      <c r="H1547" s="22">
        <f t="shared" si="24"/>
        <v>371</v>
      </c>
    </row>
    <row r="1548" spans="1:8" ht="15.75" customHeight="1">
      <c r="A1548" s="24" t="s">
        <v>1835</v>
      </c>
      <c r="B1548" s="24" t="s">
        <v>271</v>
      </c>
      <c r="C1548" s="24" t="s">
        <v>1678</v>
      </c>
      <c r="D1548" s="25">
        <v>5</v>
      </c>
      <c r="E1548" s="25"/>
      <c r="F1548" s="25">
        <v>6</v>
      </c>
      <c r="G1548" s="25">
        <v>10</v>
      </c>
      <c r="H1548" s="22">
        <f t="shared" si="24"/>
        <v>21</v>
      </c>
    </row>
    <row r="1549" spans="1:8" ht="15.75" customHeight="1">
      <c r="A1549" s="20" t="s">
        <v>1836</v>
      </c>
      <c r="B1549" s="20" t="s">
        <v>271</v>
      </c>
      <c r="C1549" s="20" t="s">
        <v>1837</v>
      </c>
      <c r="D1549" s="21">
        <v>70</v>
      </c>
      <c r="E1549" s="21"/>
      <c r="F1549" s="21">
        <v>40</v>
      </c>
      <c r="G1549" s="21"/>
      <c r="H1549" s="22">
        <f t="shared" si="24"/>
        <v>110</v>
      </c>
    </row>
    <row r="1550" spans="1:8" ht="15.75" customHeight="1">
      <c r="A1550" s="24" t="s">
        <v>1838</v>
      </c>
      <c r="B1550" s="24" t="s">
        <v>271</v>
      </c>
      <c r="C1550" s="24" t="s">
        <v>1682</v>
      </c>
      <c r="D1550" s="25">
        <v>15</v>
      </c>
      <c r="E1550" s="25"/>
      <c r="F1550" s="25"/>
      <c r="G1550" s="25">
        <v>5</v>
      </c>
      <c r="H1550" s="22">
        <f t="shared" si="24"/>
        <v>20</v>
      </c>
    </row>
    <row r="1551" spans="1:8" ht="15.75" customHeight="1">
      <c r="A1551" s="20" t="s">
        <v>3520</v>
      </c>
      <c r="B1551" s="20" t="s">
        <v>271</v>
      </c>
      <c r="C1551" s="20" t="s">
        <v>1578</v>
      </c>
      <c r="D1551" s="21"/>
      <c r="E1551" s="21"/>
      <c r="F1551" s="21"/>
      <c r="G1551" s="21">
        <v>5</v>
      </c>
      <c r="H1551" s="22">
        <f t="shared" si="24"/>
        <v>5</v>
      </c>
    </row>
    <row r="1552" spans="1:8" ht="15.75" customHeight="1">
      <c r="A1552" s="24" t="s">
        <v>1839</v>
      </c>
      <c r="B1552" s="24" t="s">
        <v>271</v>
      </c>
      <c r="C1552" s="24" t="s">
        <v>1685</v>
      </c>
      <c r="D1552" s="25">
        <v>10</v>
      </c>
      <c r="E1552" s="25"/>
      <c r="F1552" s="25"/>
      <c r="G1552" s="25"/>
      <c r="H1552" s="22">
        <f t="shared" si="24"/>
        <v>10</v>
      </c>
    </row>
    <row r="1553" spans="1:8" ht="15.75" customHeight="1">
      <c r="A1553" s="20" t="s">
        <v>3521</v>
      </c>
      <c r="B1553" s="20" t="s">
        <v>271</v>
      </c>
      <c r="C1553" s="20" t="s">
        <v>1744</v>
      </c>
      <c r="D1553" s="21"/>
      <c r="E1553" s="21"/>
      <c r="F1553" s="21"/>
      <c r="G1553" s="21">
        <v>9</v>
      </c>
      <c r="H1553" s="22">
        <f t="shared" si="24"/>
        <v>9</v>
      </c>
    </row>
    <row r="1554" spans="1:8" ht="15.75" customHeight="1">
      <c r="A1554" s="24" t="s">
        <v>1840</v>
      </c>
      <c r="B1554" s="24" t="s">
        <v>271</v>
      </c>
      <c r="C1554" s="24" t="s">
        <v>1841</v>
      </c>
      <c r="D1554" s="25">
        <v>20</v>
      </c>
      <c r="E1554" s="25">
        <v>35</v>
      </c>
      <c r="F1554" s="25">
        <v>25</v>
      </c>
      <c r="G1554" s="25">
        <v>5</v>
      </c>
      <c r="H1554" s="22">
        <f t="shared" si="24"/>
        <v>85</v>
      </c>
    </row>
    <row r="1555" spans="1:8" ht="15.75" customHeight="1">
      <c r="A1555" s="20" t="s">
        <v>1842</v>
      </c>
      <c r="B1555" s="20" t="s">
        <v>271</v>
      </c>
      <c r="C1555" s="20" t="s">
        <v>1691</v>
      </c>
      <c r="D1555" s="21">
        <v>5</v>
      </c>
      <c r="E1555" s="21"/>
      <c r="F1555" s="21"/>
      <c r="G1555" s="21"/>
      <c r="H1555" s="22">
        <f t="shared" si="24"/>
        <v>5</v>
      </c>
    </row>
    <row r="1556" spans="1:8" ht="15.75" customHeight="1">
      <c r="A1556" s="24" t="s">
        <v>1843</v>
      </c>
      <c r="B1556" s="24" t="s">
        <v>271</v>
      </c>
      <c r="C1556" s="24" t="s">
        <v>1844</v>
      </c>
      <c r="D1556" s="25">
        <v>20</v>
      </c>
      <c r="E1556" s="25"/>
      <c r="F1556" s="25">
        <v>40</v>
      </c>
      <c r="G1556" s="25">
        <v>45</v>
      </c>
      <c r="H1556" s="22">
        <f t="shared" si="24"/>
        <v>105</v>
      </c>
    </row>
    <row r="1557" spans="1:8" ht="15.75" customHeight="1">
      <c r="A1557" s="20" t="s">
        <v>1845</v>
      </c>
      <c r="B1557" s="20" t="s">
        <v>278</v>
      </c>
      <c r="C1557" s="20" t="s">
        <v>1846</v>
      </c>
      <c r="D1557" s="21">
        <v>104</v>
      </c>
      <c r="E1557" s="21">
        <v>55</v>
      </c>
      <c r="F1557" s="21">
        <v>50</v>
      </c>
      <c r="G1557" s="21">
        <v>50</v>
      </c>
      <c r="H1557" s="22">
        <f t="shared" si="24"/>
        <v>259</v>
      </c>
    </row>
    <row r="1558" spans="1:8" ht="15.75" customHeight="1">
      <c r="A1558" s="24" t="s">
        <v>1847</v>
      </c>
      <c r="B1558" s="24" t="s">
        <v>278</v>
      </c>
      <c r="C1558" s="24" t="s">
        <v>1700</v>
      </c>
      <c r="D1558" s="25">
        <v>10</v>
      </c>
      <c r="E1558" s="25"/>
      <c r="F1558" s="25"/>
      <c r="G1558" s="25"/>
      <c r="H1558" s="22">
        <f t="shared" si="24"/>
        <v>10</v>
      </c>
    </row>
    <row r="1559" spans="1:8" ht="15.75" customHeight="1">
      <c r="A1559" s="20" t="s">
        <v>1848</v>
      </c>
      <c r="B1559" s="20" t="s">
        <v>278</v>
      </c>
      <c r="C1559" s="20" t="s">
        <v>1849</v>
      </c>
      <c r="D1559" s="21">
        <v>255</v>
      </c>
      <c r="E1559" s="21">
        <v>180</v>
      </c>
      <c r="F1559" s="21">
        <v>233</v>
      </c>
      <c r="G1559" s="21">
        <v>192</v>
      </c>
      <c r="H1559" s="22">
        <f t="shared" si="24"/>
        <v>860</v>
      </c>
    </row>
    <row r="1560" spans="1:8" ht="15.75" customHeight="1">
      <c r="A1560" s="24" t="s">
        <v>1850</v>
      </c>
      <c r="B1560" s="24" t="s">
        <v>278</v>
      </c>
      <c r="C1560" s="24" t="s">
        <v>1851</v>
      </c>
      <c r="D1560" s="25">
        <v>302</v>
      </c>
      <c r="E1560" s="25">
        <v>70</v>
      </c>
      <c r="F1560" s="25">
        <v>120</v>
      </c>
      <c r="G1560" s="25">
        <v>175</v>
      </c>
      <c r="H1560" s="22">
        <f t="shared" si="24"/>
        <v>667</v>
      </c>
    </row>
    <row r="1561" spans="1:8" ht="15.75" customHeight="1">
      <c r="A1561" s="20" t="s">
        <v>1852</v>
      </c>
      <c r="B1561" s="20" t="s">
        <v>278</v>
      </c>
      <c r="C1561" s="20" t="s">
        <v>1853</v>
      </c>
      <c r="D1561" s="21">
        <v>186</v>
      </c>
      <c r="E1561" s="21">
        <v>78</v>
      </c>
      <c r="F1561" s="21">
        <v>10</v>
      </c>
      <c r="G1561" s="21">
        <v>100</v>
      </c>
      <c r="H1561" s="22">
        <f t="shared" si="24"/>
        <v>374</v>
      </c>
    </row>
    <row r="1562" spans="1:8" ht="15.75" customHeight="1">
      <c r="A1562" s="24" t="s">
        <v>1854</v>
      </c>
      <c r="B1562" s="24" t="s">
        <v>283</v>
      </c>
      <c r="C1562" s="24" t="s">
        <v>1855</v>
      </c>
      <c r="D1562" s="25">
        <v>310</v>
      </c>
      <c r="E1562" s="25">
        <v>207</v>
      </c>
      <c r="F1562" s="25">
        <v>159</v>
      </c>
      <c r="G1562" s="25">
        <v>75</v>
      </c>
      <c r="H1562" s="22">
        <f t="shared" si="24"/>
        <v>751</v>
      </c>
    </row>
    <row r="1563" spans="1:8" ht="15.75" customHeight="1">
      <c r="A1563" s="20" t="s">
        <v>1856</v>
      </c>
      <c r="B1563" s="20" t="s">
        <v>283</v>
      </c>
      <c r="C1563" s="20" t="s">
        <v>1668</v>
      </c>
      <c r="D1563" s="21">
        <v>2</v>
      </c>
      <c r="E1563" s="21"/>
      <c r="F1563" s="21"/>
      <c r="G1563" s="21"/>
      <c r="H1563" s="22">
        <f t="shared" si="24"/>
        <v>2</v>
      </c>
    </row>
    <row r="1564" spans="1:8" ht="15.75" customHeight="1">
      <c r="A1564" s="24" t="s">
        <v>1857</v>
      </c>
      <c r="B1564" s="24" t="s">
        <v>283</v>
      </c>
      <c r="C1564" s="24" t="s">
        <v>1858</v>
      </c>
      <c r="D1564" s="25">
        <v>159</v>
      </c>
      <c r="E1564" s="25">
        <v>64</v>
      </c>
      <c r="F1564" s="25">
        <v>230</v>
      </c>
      <c r="G1564" s="25">
        <v>50</v>
      </c>
      <c r="H1564" s="22">
        <f t="shared" si="24"/>
        <v>503</v>
      </c>
    </row>
    <row r="1565" spans="1:8" ht="15.75" customHeight="1">
      <c r="A1565" s="20" t="s">
        <v>1859</v>
      </c>
      <c r="B1565" s="20" t="s">
        <v>283</v>
      </c>
      <c r="C1565" s="20" t="s">
        <v>1860</v>
      </c>
      <c r="D1565" s="21">
        <v>14</v>
      </c>
      <c r="E1565" s="21">
        <v>37</v>
      </c>
      <c r="F1565" s="21">
        <v>40</v>
      </c>
      <c r="G1565" s="21"/>
      <c r="H1565" s="22">
        <f t="shared" si="24"/>
        <v>91</v>
      </c>
    </row>
    <row r="1566" spans="1:8" ht="15.75" customHeight="1">
      <c r="A1566" s="24" t="s">
        <v>1861</v>
      </c>
      <c r="B1566" s="24" t="s">
        <v>283</v>
      </c>
      <c r="C1566" s="24" t="s">
        <v>1862</v>
      </c>
      <c r="D1566" s="25">
        <v>61</v>
      </c>
      <c r="E1566" s="25">
        <v>58</v>
      </c>
      <c r="F1566" s="25">
        <v>60</v>
      </c>
      <c r="G1566" s="25"/>
      <c r="H1566" s="22">
        <f t="shared" si="24"/>
        <v>179</v>
      </c>
    </row>
    <row r="1567" spans="1:8" ht="15.75" customHeight="1">
      <c r="A1567" s="20" t="s">
        <v>1863</v>
      </c>
      <c r="B1567" s="20" t="s">
        <v>283</v>
      </c>
      <c r="C1567" s="20" t="s">
        <v>1864</v>
      </c>
      <c r="D1567" s="21">
        <v>317</v>
      </c>
      <c r="E1567" s="21">
        <v>890</v>
      </c>
      <c r="F1567" s="21">
        <v>470</v>
      </c>
      <c r="G1567" s="21">
        <v>680</v>
      </c>
      <c r="H1567" s="22">
        <f t="shared" si="24"/>
        <v>2357</v>
      </c>
    </row>
    <row r="1568" spans="1:8" ht="15.75" customHeight="1">
      <c r="A1568" s="24" t="s">
        <v>1865</v>
      </c>
      <c r="B1568" s="24" t="s">
        <v>283</v>
      </c>
      <c r="C1568" s="24" t="s">
        <v>1866</v>
      </c>
      <c r="D1568" s="25">
        <v>1842</v>
      </c>
      <c r="E1568" s="25">
        <v>2451</v>
      </c>
      <c r="F1568" s="25">
        <v>2902</v>
      </c>
      <c r="G1568" s="25">
        <v>1430</v>
      </c>
      <c r="H1568" s="22">
        <f t="shared" si="24"/>
        <v>8625</v>
      </c>
    </row>
    <row r="1569" spans="1:8" ht="15.75" customHeight="1">
      <c r="A1569" s="20" t="s">
        <v>1867</v>
      </c>
      <c r="B1569" s="20" t="s">
        <v>283</v>
      </c>
      <c r="C1569" s="20" t="s">
        <v>1868</v>
      </c>
      <c r="D1569" s="21">
        <v>270</v>
      </c>
      <c r="E1569" s="21">
        <v>40</v>
      </c>
      <c r="F1569" s="21">
        <v>80</v>
      </c>
      <c r="G1569" s="21"/>
      <c r="H1569" s="22">
        <f t="shared" si="24"/>
        <v>390</v>
      </c>
    </row>
    <row r="1570" spans="1:8" ht="15.75" customHeight="1">
      <c r="A1570" s="24" t="s">
        <v>1869</v>
      </c>
      <c r="B1570" s="24" t="s">
        <v>283</v>
      </c>
      <c r="C1570" s="24" t="s">
        <v>1870</v>
      </c>
      <c r="D1570" s="25">
        <v>410</v>
      </c>
      <c r="E1570" s="25">
        <v>170</v>
      </c>
      <c r="F1570" s="25">
        <v>77</v>
      </c>
      <c r="G1570" s="25">
        <v>70</v>
      </c>
      <c r="H1570" s="22">
        <f t="shared" si="24"/>
        <v>727</v>
      </c>
    </row>
    <row r="1571" spans="1:8" ht="15.75" customHeight="1">
      <c r="A1571" s="20" t="s">
        <v>1871</v>
      </c>
      <c r="B1571" s="20" t="s">
        <v>283</v>
      </c>
      <c r="C1571" s="20" t="s">
        <v>1872</v>
      </c>
      <c r="D1571" s="21">
        <v>20</v>
      </c>
      <c r="E1571" s="21">
        <v>10</v>
      </c>
      <c r="F1571" s="21">
        <v>90</v>
      </c>
      <c r="G1571" s="21"/>
      <c r="H1571" s="22">
        <f t="shared" si="24"/>
        <v>120</v>
      </c>
    </row>
    <row r="1572" spans="1:8" ht="15.75" customHeight="1">
      <c r="A1572" s="24" t="s">
        <v>1873</v>
      </c>
      <c r="B1572" s="24" t="s">
        <v>294</v>
      </c>
      <c r="C1572" s="24" t="s">
        <v>1874</v>
      </c>
      <c r="D1572" s="25">
        <v>602</v>
      </c>
      <c r="E1572" s="25">
        <v>1039</v>
      </c>
      <c r="F1572" s="25">
        <v>926</v>
      </c>
      <c r="G1572" s="25">
        <v>151</v>
      </c>
      <c r="H1572" s="22">
        <f t="shared" si="24"/>
        <v>2718</v>
      </c>
    </row>
    <row r="1573" spans="1:8" ht="15.75" customHeight="1">
      <c r="A1573" s="20" t="s">
        <v>1875</v>
      </c>
      <c r="B1573" s="20" t="s">
        <v>294</v>
      </c>
      <c r="C1573" s="20" t="s">
        <v>1876</v>
      </c>
      <c r="D1573" s="21">
        <v>828</v>
      </c>
      <c r="E1573" s="21">
        <v>447</v>
      </c>
      <c r="F1573" s="21">
        <v>445</v>
      </c>
      <c r="G1573" s="21">
        <v>121</v>
      </c>
      <c r="H1573" s="22">
        <f t="shared" si="24"/>
        <v>1841</v>
      </c>
    </row>
    <row r="1574" spans="1:8" ht="15.75" customHeight="1">
      <c r="A1574" s="24" t="s">
        <v>1877</v>
      </c>
      <c r="B1574" s="24" t="s">
        <v>294</v>
      </c>
      <c r="C1574" s="24" t="s">
        <v>1878</v>
      </c>
      <c r="D1574" s="25">
        <v>785</v>
      </c>
      <c r="E1574" s="25">
        <v>382</v>
      </c>
      <c r="F1574" s="25">
        <v>1160</v>
      </c>
      <c r="G1574" s="25">
        <v>180</v>
      </c>
      <c r="H1574" s="22">
        <f t="shared" si="24"/>
        <v>2507</v>
      </c>
    </row>
    <row r="1575" spans="1:8" ht="15.75" customHeight="1">
      <c r="A1575" s="20" t="s">
        <v>1879</v>
      </c>
      <c r="B1575" s="20" t="s">
        <v>294</v>
      </c>
      <c r="C1575" s="20" t="s">
        <v>1880</v>
      </c>
      <c r="D1575" s="21">
        <v>155</v>
      </c>
      <c r="E1575" s="21">
        <v>89</v>
      </c>
      <c r="F1575" s="21">
        <v>270</v>
      </c>
      <c r="G1575" s="21">
        <v>72</v>
      </c>
      <c r="H1575" s="22">
        <f t="shared" si="24"/>
        <v>586</v>
      </c>
    </row>
    <row r="1576" spans="1:8" ht="15.75" customHeight="1">
      <c r="A1576" s="24" t="s">
        <v>1881</v>
      </c>
      <c r="B1576" s="24" t="s">
        <v>294</v>
      </c>
      <c r="C1576" s="24" t="s">
        <v>1882</v>
      </c>
      <c r="D1576" s="25">
        <v>135</v>
      </c>
      <c r="E1576" s="25">
        <v>14</v>
      </c>
      <c r="F1576" s="25">
        <v>23</v>
      </c>
      <c r="G1576" s="25"/>
      <c r="H1576" s="22">
        <f t="shared" si="24"/>
        <v>172</v>
      </c>
    </row>
    <row r="1577" spans="1:8" ht="15.75" customHeight="1">
      <c r="A1577" s="20" t="s">
        <v>1883</v>
      </c>
      <c r="B1577" s="20" t="s">
        <v>294</v>
      </c>
      <c r="C1577" s="20" t="s">
        <v>1884</v>
      </c>
      <c r="D1577" s="21">
        <v>339</v>
      </c>
      <c r="E1577" s="21">
        <v>700</v>
      </c>
      <c r="F1577" s="21">
        <v>430</v>
      </c>
      <c r="G1577" s="21">
        <v>80</v>
      </c>
      <c r="H1577" s="22">
        <f t="shared" si="24"/>
        <v>1549</v>
      </c>
    </row>
    <row r="1578" spans="1:8" ht="15.75" customHeight="1">
      <c r="A1578" s="24" t="s">
        <v>1885</v>
      </c>
      <c r="B1578" s="24" t="s">
        <v>294</v>
      </c>
      <c r="C1578" s="24" t="s">
        <v>1886</v>
      </c>
      <c r="D1578" s="25">
        <v>30</v>
      </c>
      <c r="E1578" s="25">
        <v>30</v>
      </c>
      <c r="F1578" s="25">
        <v>72</v>
      </c>
      <c r="G1578" s="25">
        <v>15</v>
      </c>
      <c r="H1578" s="22">
        <f t="shared" si="24"/>
        <v>147</v>
      </c>
    </row>
    <row r="1579" spans="1:8" ht="15.75" customHeight="1">
      <c r="A1579" s="20" t="s">
        <v>1887</v>
      </c>
      <c r="B1579" s="20" t="s">
        <v>294</v>
      </c>
      <c r="C1579" s="20" t="s">
        <v>1888</v>
      </c>
      <c r="D1579" s="21">
        <v>2645</v>
      </c>
      <c r="E1579" s="21">
        <v>3420</v>
      </c>
      <c r="F1579" s="21">
        <v>2956</v>
      </c>
      <c r="G1579" s="21">
        <v>613</v>
      </c>
      <c r="H1579" s="22">
        <f t="shared" si="24"/>
        <v>9634</v>
      </c>
    </row>
    <row r="1580" spans="1:8" ht="15.75" customHeight="1">
      <c r="A1580" s="24" t="s">
        <v>1889</v>
      </c>
      <c r="B1580" s="24" t="s">
        <v>294</v>
      </c>
      <c r="C1580" s="24" t="s">
        <v>1890</v>
      </c>
      <c r="D1580" s="25">
        <v>14</v>
      </c>
      <c r="E1580" s="25"/>
      <c r="F1580" s="25"/>
      <c r="G1580" s="25"/>
      <c r="H1580" s="22">
        <f t="shared" si="24"/>
        <v>14</v>
      </c>
    </row>
    <row r="1581" spans="1:8" ht="15.75" customHeight="1">
      <c r="A1581" s="20" t="s">
        <v>1891</v>
      </c>
      <c r="B1581" s="20" t="s">
        <v>294</v>
      </c>
      <c r="C1581" s="20" t="s">
        <v>1892</v>
      </c>
      <c r="D1581" s="21">
        <v>905</v>
      </c>
      <c r="E1581" s="21">
        <v>90</v>
      </c>
      <c r="F1581" s="21">
        <v>180</v>
      </c>
      <c r="G1581" s="21">
        <v>100</v>
      </c>
      <c r="H1581" s="22">
        <f t="shared" si="24"/>
        <v>1275</v>
      </c>
    </row>
    <row r="1582" spans="1:8" ht="15.75" customHeight="1">
      <c r="A1582" s="24" t="s">
        <v>1893</v>
      </c>
      <c r="B1582" s="24" t="s">
        <v>294</v>
      </c>
      <c r="C1582" s="24" t="s">
        <v>1894</v>
      </c>
      <c r="D1582" s="25">
        <v>1490</v>
      </c>
      <c r="E1582" s="25">
        <v>804</v>
      </c>
      <c r="F1582" s="25">
        <v>435</v>
      </c>
      <c r="G1582" s="25">
        <v>125</v>
      </c>
      <c r="H1582" s="22">
        <f t="shared" si="24"/>
        <v>2854</v>
      </c>
    </row>
    <row r="1583" spans="1:8" ht="15.75" customHeight="1">
      <c r="A1583" s="20" t="s">
        <v>3522</v>
      </c>
      <c r="B1583" s="20" t="s">
        <v>294</v>
      </c>
      <c r="C1583" s="20" t="s">
        <v>3523</v>
      </c>
      <c r="D1583" s="21"/>
      <c r="E1583" s="21"/>
      <c r="F1583" s="21"/>
      <c r="G1583" s="21">
        <v>50</v>
      </c>
      <c r="H1583" s="22">
        <f t="shared" si="24"/>
        <v>50</v>
      </c>
    </row>
    <row r="1584" spans="1:8" ht="15.75" customHeight="1">
      <c r="A1584" s="24" t="s">
        <v>1895</v>
      </c>
      <c r="B1584" s="24" t="s">
        <v>294</v>
      </c>
      <c r="C1584" s="24" t="s">
        <v>1896</v>
      </c>
      <c r="D1584" s="25">
        <v>720</v>
      </c>
      <c r="E1584" s="25"/>
      <c r="F1584" s="25"/>
      <c r="G1584" s="25"/>
      <c r="H1584" s="22">
        <f t="shared" si="24"/>
        <v>720</v>
      </c>
    </row>
    <row r="1585" spans="1:8" ht="15.75" customHeight="1">
      <c r="A1585" s="20" t="s">
        <v>1897</v>
      </c>
      <c r="B1585" s="20" t="s">
        <v>294</v>
      </c>
      <c r="C1585" s="20" t="s">
        <v>1898</v>
      </c>
      <c r="D1585" s="21">
        <v>20</v>
      </c>
      <c r="E1585" s="21">
        <v>40</v>
      </c>
      <c r="F1585" s="21">
        <v>247</v>
      </c>
      <c r="G1585" s="21">
        <v>10</v>
      </c>
      <c r="H1585" s="22">
        <f t="shared" si="24"/>
        <v>317</v>
      </c>
    </row>
    <row r="1586" spans="1:8" ht="15.75" customHeight="1">
      <c r="A1586" s="24" t="s">
        <v>3373</v>
      </c>
      <c r="B1586" s="24" t="s">
        <v>294</v>
      </c>
      <c r="C1586" s="24" t="s">
        <v>2280</v>
      </c>
      <c r="D1586" s="25"/>
      <c r="E1586" s="25"/>
      <c r="F1586" s="25">
        <v>2</v>
      </c>
      <c r="G1586" s="25"/>
      <c r="H1586" s="22">
        <f t="shared" si="24"/>
        <v>2</v>
      </c>
    </row>
    <row r="1587" spans="1:8" ht="15.75" customHeight="1">
      <c r="A1587" s="20" t="s">
        <v>3374</v>
      </c>
      <c r="B1587" s="20" t="s">
        <v>294</v>
      </c>
      <c r="C1587" s="20" t="s">
        <v>2110</v>
      </c>
      <c r="D1587" s="21"/>
      <c r="E1587" s="21"/>
      <c r="F1587" s="21">
        <v>2</v>
      </c>
      <c r="G1587" s="21"/>
      <c r="H1587" s="22">
        <f t="shared" si="24"/>
        <v>2</v>
      </c>
    </row>
    <row r="1588" spans="1:8" ht="15.75" customHeight="1">
      <c r="A1588" s="24" t="s">
        <v>3375</v>
      </c>
      <c r="B1588" s="24" t="s">
        <v>294</v>
      </c>
      <c r="C1588" s="24" t="s">
        <v>2118</v>
      </c>
      <c r="D1588" s="25"/>
      <c r="E1588" s="25"/>
      <c r="F1588" s="25">
        <v>2</v>
      </c>
      <c r="G1588" s="25"/>
      <c r="H1588" s="22">
        <f t="shared" si="24"/>
        <v>2</v>
      </c>
    </row>
    <row r="1589" spans="1:8" ht="15.75" customHeight="1">
      <c r="A1589" s="20" t="s">
        <v>3376</v>
      </c>
      <c r="B1589" s="20" t="s">
        <v>294</v>
      </c>
      <c r="C1589" s="20" t="s">
        <v>1906</v>
      </c>
      <c r="D1589" s="21"/>
      <c r="E1589" s="21"/>
      <c r="F1589" s="21">
        <v>3</v>
      </c>
      <c r="G1589" s="21"/>
      <c r="H1589" s="22">
        <f t="shared" si="24"/>
        <v>3</v>
      </c>
    </row>
    <row r="1590" spans="1:8" ht="15.75" customHeight="1">
      <c r="A1590" s="24" t="s">
        <v>3377</v>
      </c>
      <c r="B1590" s="24" t="s">
        <v>294</v>
      </c>
      <c r="C1590" s="24" t="s">
        <v>3378</v>
      </c>
      <c r="D1590" s="25"/>
      <c r="E1590" s="25"/>
      <c r="F1590" s="25">
        <v>1</v>
      </c>
      <c r="G1590" s="25"/>
      <c r="H1590" s="22">
        <f t="shared" si="24"/>
        <v>1</v>
      </c>
    </row>
    <row r="1591" spans="1:8" ht="15.75" customHeight="1">
      <c r="A1591" s="20" t="s">
        <v>3524</v>
      </c>
      <c r="B1591" s="20" t="s">
        <v>278</v>
      </c>
      <c r="C1591" s="20" t="s">
        <v>1685</v>
      </c>
      <c r="D1591" s="21"/>
      <c r="E1591" s="21"/>
      <c r="F1591" s="21"/>
      <c r="G1591" s="21">
        <v>3</v>
      </c>
      <c r="H1591" s="22">
        <f t="shared" si="24"/>
        <v>3</v>
      </c>
    </row>
    <row r="1592" spans="1:8" ht="15.75" customHeight="1">
      <c r="A1592" s="24" t="s">
        <v>1899</v>
      </c>
      <c r="B1592" s="24" t="s">
        <v>362</v>
      </c>
      <c r="C1592" s="24" t="s">
        <v>1900</v>
      </c>
      <c r="D1592" s="25">
        <v>30</v>
      </c>
      <c r="E1592" s="25">
        <v>506</v>
      </c>
      <c r="F1592" s="25">
        <v>145</v>
      </c>
      <c r="G1592" s="25">
        <v>25</v>
      </c>
      <c r="H1592" s="22">
        <f t="shared" si="24"/>
        <v>706</v>
      </c>
    </row>
    <row r="1593" spans="1:8" ht="15.75" customHeight="1">
      <c r="A1593" s="20" t="s">
        <v>1901</v>
      </c>
      <c r="B1593" s="20" t="s">
        <v>362</v>
      </c>
      <c r="C1593" s="20" t="s">
        <v>1902</v>
      </c>
      <c r="D1593" s="21">
        <v>41</v>
      </c>
      <c r="E1593" s="21">
        <v>560</v>
      </c>
      <c r="F1593" s="21">
        <v>40</v>
      </c>
      <c r="G1593" s="21"/>
      <c r="H1593" s="22">
        <f t="shared" si="24"/>
        <v>641</v>
      </c>
    </row>
    <row r="1594" spans="1:8" ht="15.75" customHeight="1">
      <c r="A1594" s="24" t="s">
        <v>1903</v>
      </c>
      <c r="B1594" s="24" t="s">
        <v>362</v>
      </c>
      <c r="C1594" s="24" t="s">
        <v>1904</v>
      </c>
      <c r="D1594" s="25">
        <v>10</v>
      </c>
      <c r="E1594" s="25">
        <v>122</v>
      </c>
      <c r="F1594" s="25">
        <v>55</v>
      </c>
      <c r="G1594" s="25"/>
      <c r="H1594" s="22">
        <f t="shared" si="24"/>
        <v>187</v>
      </c>
    </row>
    <row r="1595" spans="1:8" ht="15.75" customHeight="1">
      <c r="A1595" s="20" t="s">
        <v>1905</v>
      </c>
      <c r="B1595" s="20" t="s">
        <v>203</v>
      </c>
      <c r="C1595" s="20" t="s">
        <v>1906</v>
      </c>
      <c r="D1595" s="21">
        <v>6</v>
      </c>
      <c r="E1595" s="21"/>
      <c r="F1595" s="21"/>
      <c r="G1595" s="21"/>
      <c r="H1595" s="22">
        <f t="shared" si="24"/>
        <v>6</v>
      </c>
    </row>
    <row r="1596" spans="1:8" ht="15.75" customHeight="1">
      <c r="A1596" s="24" t="s">
        <v>1907</v>
      </c>
      <c r="B1596" s="24" t="s">
        <v>1908</v>
      </c>
      <c r="C1596" s="24" t="s">
        <v>1909</v>
      </c>
      <c r="D1596" s="25">
        <v>20</v>
      </c>
      <c r="E1596" s="25">
        <v>82</v>
      </c>
      <c r="F1596" s="25">
        <v>7</v>
      </c>
      <c r="G1596" s="25"/>
      <c r="H1596" s="22">
        <f t="shared" si="24"/>
        <v>109</v>
      </c>
    </row>
    <row r="1597" spans="1:8" ht="15.75" customHeight="1">
      <c r="A1597" s="20" t="s">
        <v>1910</v>
      </c>
      <c r="B1597" s="20" t="s">
        <v>1908</v>
      </c>
      <c r="C1597" s="20" t="s">
        <v>1911</v>
      </c>
      <c r="D1597" s="21">
        <v>30</v>
      </c>
      <c r="E1597" s="21">
        <v>65</v>
      </c>
      <c r="F1597" s="21">
        <v>15</v>
      </c>
      <c r="G1597" s="21"/>
      <c r="H1597" s="22">
        <f t="shared" si="24"/>
        <v>110</v>
      </c>
    </row>
    <row r="1598" spans="1:8" ht="15.75" customHeight="1">
      <c r="A1598" s="24" t="s">
        <v>1912</v>
      </c>
      <c r="B1598" s="24" t="s">
        <v>1908</v>
      </c>
      <c r="C1598" s="24" t="s">
        <v>1913</v>
      </c>
      <c r="D1598" s="25">
        <v>10</v>
      </c>
      <c r="E1598" s="25">
        <v>53</v>
      </c>
      <c r="F1598" s="25">
        <v>75</v>
      </c>
      <c r="G1598" s="25"/>
      <c r="H1598" s="22">
        <f t="shared" si="24"/>
        <v>138</v>
      </c>
    </row>
    <row r="1599" spans="1:8" ht="15.75" customHeight="1">
      <c r="A1599" s="20" t="s">
        <v>2864</v>
      </c>
      <c r="B1599" s="20" t="s">
        <v>1908</v>
      </c>
      <c r="C1599" s="20" t="s">
        <v>1904</v>
      </c>
      <c r="D1599" s="21"/>
      <c r="E1599" s="21">
        <v>20</v>
      </c>
      <c r="F1599" s="21">
        <v>15</v>
      </c>
      <c r="G1599" s="21"/>
      <c r="H1599" s="22">
        <f t="shared" si="24"/>
        <v>35</v>
      </c>
    </row>
    <row r="1600" spans="1:8" ht="15.75" customHeight="1">
      <c r="A1600" s="24" t="s">
        <v>3379</v>
      </c>
      <c r="B1600" s="24" t="s">
        <v>1908</v>
      </c>
      <c r="C1600" s="24" t="s">
        <v>2870</v>
      </c>
      <c r="D1600" s="25"/>
      <c r="E1600" s="25"/>
      <c r="F1600" s="25">
        <v>30</v>
      </c>
      <c r="G1600" s="25"/>
      <c r="H1600" s="22">
        <f t="shared" si="24"/>
        <v>30</v>
      </c>
    </row>
    <row r="1601" spans="1:8" ht="15.75" customHeight="1">
      <c r="A1601" s="20" t="s">
        <v>2865</v>
      </c>
      <c r="B1601" s="20" t="s">
        <v>244</v>
      </c>
      <c r="C1601" s="20" t="s">
        <v>1685</v>
      </c>
      <c r="D1601" s="21"/>
      <c r="E1601" s="21">
        <v>20</v>
      </c>
      <c r="F1601" s="21"/>
      <c r="G1601" s="21"/>
      <c r="H1601" s="22">
        <f t="shared" si="24"/>
        <v>20</v>
      </c>
    </row>
    <row r="1602" spans="1:8" ht="15.75" customHeight="1">
      <c r="A1602" s="24" t="s">
        <v>1914</v>
      </c>
      <c r="B1602" s="24" t="s">
        <v>211</v>
      </c>
      <c r="C1602" s="24" t="s">
        <v>1783</v>
      </c>
      <c r="D1602" s="25">
        <v>3</v>
      </c>
      <c r="E1602" s="25"/>
      <c r="F1602" s="25"/>
      <c r="G1602" s="25"/>
      <c r="H1602" s="22">
        <f t="shared" si="24"/>
        <v>3</v>
      </c>
    </row>
    <row r="1603" spans="1:8" ht="15.75" customHeight="1">
      <c r="A1603" s="20" t="s">
        <v>2866</v>
      </c>
      <c r="B1603" s="20" t="s">
        <v>211</v>
      </c>
      <c r="C1603" s="20" t="s">
        <v>1578</v>
      </c>
      <c r="D1603" s="21"/>
      <c r="E1603" s="21">
        <v>34</v>
      </c>
      <c r="F1603" s="21">
        <v>4</v>
      </c>
      <c r="G1603" s="21">
        <v>5</v>
      </c>
      <c r="H1603" s="22">
        <f t="shared" si="24"/>
        <v>43</v>
      </c>
    </row>
    <row r="1604" spans="1:8" ht="15.75" customHeight="1">
      <c r="A1604" s="24" t="s">
        <v>2867</v>
      </c>
      <c r="B1604" s="24" t="s">
        <v>203</v>
      </c>
      <c r="C1604" s="24" t="s">
        <v>2868</v>
      </c>
      <c r="D1604" s="25"/>
      <c r="E1604" s="25">
        <v>40</v>
      </c>
      <c r="F1604" s="25"/>
      <c r="G1604" s="25"/>
      <c r="H1604" s="22">
        <f t="shared" ref="H1604:H1667" si="25">SUM(D1604:G1604)</f>
        <v>40</v>
      </c>
    </row>
    <row r="1605" spans="1:8" ht="15.75" customHeight="1">
      <c r="A1605" s="20" t="s">
        <v>3380</v>
      </c>
      <c r="B1605" s="20" t="s">
        <v>1504</v>
      </c>
      <c r="C1605" s="20" t="s">
        <v>3381</v>
      </c>
      <c r="D1605" s="21"/>
      <c r="E1605" s="21"/>
      <c r="F1605" s="21">
        <v>30</v>
      </c>
      <c r="G1605" s="21"/>
      <c r="H1605" s="22">
        <f t="shared" si="25"/>
        <v>30</v>
      </c>
    </row>
    <row r="1606" spans="1:8" ht="15.75" customHeight="1">
      <c r="A1606" s="24" t="s">
        <v>1915</v>
      </c>
      <c r="B1606" s="24" t="s">
        <v>294</v>
      </c>
      <c r="C1606" s="24" t="s">
        <v>1916</v>
      </c>
      <c r="D1606" s="25">
        <v>100</v>
      </c>
      <c r="E1606" s="25">
        <v>300</v>
      </c>
      <c r="F1606" s="25"/>
      <c r="G1606" s="25"/>
      <c r="H1606" s="22">
        <f t="shared" si="25"/>
        <v>400</v>
      </c>
    </row>
    <row r="1607" spans="1:8" ht="15.75" customHeight="1">
      <c r="A1607" s="20" t="s">
        <v>1917</v>
      </c>
      <c r="B1607" s="20" t="s">
        <v>271</v>
      </c>
      <c r="C1607" s="20" t="s">
        <v>1918</v>
      </c>
      <c r="D1607" s="21">
        <v>5</v>
      </c>
      <c r="E1607" s="21"/>
      <c r="F1607" s="21"/>
      <c r="G1607" s="21"/>
      <c r="H1607" s="22">
        <f t="shared" si="25"/>
        <v>5</v>
      </c>
    </row>
    <row r="1608" spans="1:8" ht="15.75" customHeight="1">
      <c r="A1608" s="24" t="s">
        <v>1919</v>
      </c>
      <c r="B1608" s="24" t="s">
        <v>362</v>
      </c>
      <c r="C1608" s="24" t="s">
        <v>1920</v>
      </c>
      <c r="D1608" s="25">
        <v>20</v>
      </c>
      <c r="E1608" s="25">
        <v>347</v>
      </c>
      <c r="F1608" s="25">
        <v>50</v>
      </c>
      <c r="G1608" s="25">
        <v>25</v>
      </c>
      <c r="H1608" s="22">
        <f t="shared" si="25"/>
        <v>442</v>
      </c>
    </row>
    <row r="1609" spans="1:8" ht="15.75" customHeight="1">
      <c r="A1609" s="20" t="s">
        <v>1921</v>
      </c>
      <c r="B1609" s="20" t="s">
        <v>1908</v>
      </c>
      <c r="C1609" s="20" t="s">
        <v>1922</v>
      </c>
      <c r="D1609" s="21">
        <v>15</v>
      </c>
      <c r="E1609" s="21"/>
      <c r="F1609" s="21"/>
      <c r="G1609" s="21">
        <v>30</v>
      </c>
      <c r="H1609" s="22">
        <f t="shared" si="25"/>
        <v>45</v>
      </c>
    </row>
    <row r="1610" spans="1:8" ht="15.75" customHeight="1">
      <c r="A1610" s="24" t="s">
        <v>2869</v>
      </c>
      <c r="B1610" s="24" t="s">
        <v>362</v>
      </c>
      <c r="C1610" s="24" t="s">
        <v>2870</v>
      </c>
      <c r="D1610" s="25"/>
      <c r="E1610" s="25">
        <v>7</v>
      </c>
      <c r="F1610" s="25"/>
      <c r="G1610" s="25"/>
      <c r="H1610" s="22">
        <f t="shared" si="25"/>
        <v>7</v>
      </c>
    </row>
    <row r="1611" spans="1:8" ht="15.75" customHeight="1">
      <c r="A1611" s="20" t="s">
        <v>2871</v>
      </c>
      <c r="B1611" s="20" t="s">
        <v>362</v>
      </c>
      <c r="C1611" s="20" t="s">
        <v>1678</v>
      </c>
      <c r="D1611" s="21"/>
      <c r="E1611" s="21">
        <v>7</v>
      </c>
      <c r="F1611" s="21"/>
      <c r="G1611" s="21"/>
      <c r="H1611" s="22">
        <f t="shared" si="25"/>
        <v>7</v>
      </c>
    </row>
    <row r="1612" spans="1:8" ht="15.75" customHeight="1">
      <c r="A1612" s="24" t="s">
        <v>1923</v>
      </c>
      <c r="B1612" s="24" t="s">
        <v>244</v>
      </c>
      <c r="C1612" s="24" t="s">
        <v>1722</v>
      </c>
      <c r="D1612" s="25">
        <v>20</v>
      </c>
      <c r="E1612" s="25"/>
      <c r="F1612" s="25"/>
      <c r="G1612" s="25"/>
      <c r="H1612" s="22">
        <f t="shared" si="25"/>
        <v>20</v>
      </c>
    </row>
    <row r="1613" spans="1:8" ht="15.75" customHeight="1">
      <c r="A1613" s="20" t="s">
        <v>2872</v>
      </c>
      <c r="B1613" s="20" t="s">
        <v>1943</v>
      </c>
      <c r="C1613" s="20" t="s">
        <v>2873</v>
      </c>
      <c r="D1613" s="21"/>
      <c r="E1613" s="21">
        <v>2</v>
      </c>
      <c r="F1613" s="21"/>
      <c r="G1613" s="21"/>
      <c r="H1613" s="22">
        <f t="shared" si="25"/>
        <v>2</v>
      </c>
    </row>
    <row r="1614" spans="1:8" ht="15.75" customHeight="1">
      <c r="A1614" s="24" t="s">
        <v>3382</v>
      </c>
      <c r="B1614" s="24" t="s">
        <v>253</v>
      </c>
      <c r="C1614" s="24" t="s">
        <v>3383</v>
      </c>
      <c r="D1614" s="25"/>
      <c r="E1614" s="25"/>
      <c r="F1614" s="25">
        <v>2</v>
      </c>
      <c r="G1614" s="25"/>
      <c r="H1614" s="22">
        <f t="shared" si="25"/>
        <v>2</v>
      </c>
    </row>
    <row r="1615" spans="1:8" ht="15.75" customHeight="1">
      <c r="A1615" s="20" t="s">
        <v>3384</v>
      </c>
      <c r="B1615" s="20" t="s">
        <v>253</v>
      </c>
      <c r="C1615" s="20" t="s">
        <v>1906</v>
      </c>
      <c r="D1615" s="21"/>
      <c r="E1615" s="21"/>
      <c r="F1615" s="21">
        <v>17</v>
      </c>
      <c r="G1615" s="21"/>
      <c r="H1615" s="22">
        <f t="shared" si="25"/>
        <v>17</v>
      </c>
    </row>
    <row r="1616" spans="1:8" ht="15.75" customHeight="1">
      <c r="A1616" s="24" t="s">
        <v>3385</v>
      </c>
      <c r="B1616" s="24" t="s">
        <v>211</v>
      </c>
      <c r="C1616" s="24" t="s">
        <v>1691</v>
      </c>
      <c r="D1616" s="25"/>
      <c r="E1616" s="25"/>
      <c r="F1616" s="25">
        <v>2</v>
      </c>
      <c r="G1616" s="25"/>
      <c r="H1616" s="22">
        <f t="shared" si="25"/>
        <v>2</v>
      </c>
    </row>
    <row r="1617" spans="1:8" ht="15.75" customHeight="1">
      <c r="A1617" s="20" t="s">
        <v>3386</v>
      </c>
      <c r="B1617" s="20" t="s">
        <v>271</v>
      </c>
      <c r="C1617" s="20" t="s">
        <v>3387</v>
      </c>
      <c r="D1617" s="21"/>
      <c r="E1617" s="21"/>
      <c r="F1617" s="21">
        <v>12</v>
      </c>
      <c r="G1617" s="21"/>
      <c r="H1617" s="22">
        <f t="shared" si="25"/>
        <v>12</v>
      </c>
    </row>
    <row r="1618" spans="1:8" ht="15.75" customHeight="1">
      <c r="A1618" s="24" t="s">
        <v>1924</v>
      </c>
      <c r="B1618" s="24" t="s">
        <v>1925</v>
      </c>
      <c r="C1618" s="24" t="s">
        <v>1911</v>
      </c>
      <c r="D1618" s="25">
        <v>10</v>
      </c>
      <c r="E1618" s="25">
        <v>17</v>
      </c>
      <c r="F1618" s="25"/>
      <c r="G1618" s="25"/>
      <c r="H1618" s="22">
        <f t="shared" si="25"/>
        <v>27</v>
      </c>
    </row>
    <row r="1619" spans="1:8" ht="15.75" customHeight="1">
      <c r="A1619" s="20" t="s">
        <v>1926</v>
      </c>
      <c r="B1619" s="20" t="s">
        <v>362</v>
      </c>
      <c r="C1619" s="20" t="s">
        <v>1927</v>
      </c>
      <c r="D1619" s="21">
        <v>5</v>
      </c>
      <c r="E1619" s="21">
        <v>20</v>
      </c>
      <c r="F1619" s="21"/>
      <c r="G1619" s="21"/>
      <c r="H1619" s="22">
        <f t="shared" si="25"/>
        <v>25</v>
      </c>
    </row>
    <row r="1620" spans="1:8" ht="15.75" customHeight="1">
      <c r="A1620" s="24" t="s">
        <v>1928</v>
      </c>
      <c r="B1620" s="24" t="s">
        <v>1929</v>
      </c>
      <c r="C1620" s="24" t="s">
        <v>1913</v>
      </c>
      <c r="D1620" s="25">
        <v>10</v>
      </c>
      <c r="E1620" s="25">
        <v>26</v>
      </c>
      <c r="F1620" s="25">
        <v>20</v>
      </c>
      <c r="G1620" s="25"/>
      <c r="H1620" s="22">
        <f t="shared" si="25"/>
        <v>56</v>
      </c>
    </row>
    <row r="1621" spans="1:8" ht="15.75" customHeight="1">
      <c r="A1621" s="20" t="s">
        <v>1930</v>
      </c>
      <c r="B1621" s="20" t="s">
        <v>1929</v>
      </c>
      <c r="C1621" s="20" t="s">
        <v>1911</v>
      </c>
      <c r="D1621" s="21">
        <v>10</v>
      </c>
      <c r="E1621" s="21">
        <v>20</v>
      </c>
      <c r="F1621" s="21">
        <v>5</v>
      </c>
      <c r="G1621" s="21"/>
      <c r="H1621" s="22">
        <f t="shared" si="25"/>
        <v>35</v>
      </c>
    </row>
    <row r="1622" spans="1:8" ht="15.75" customHeight="1">
      <c r="A1622" s="24" t="s">
        <v>1931</v>
      </c>
      <c r="B1622" s="24" t="s">
        <v>362</v>
      </c>
      <c r="C1622" s="24" t="s">
        <v>1932</v>
      </c>
      <c r="D1622" s="25">
        <v>141</v>
      </c>
      <c r="E1622" s="25">
        <v>504</v>
      </c>
      <c r="F1622" s="25">
        <v>112</v>
      </c>
      <c r="G1622" s="25"/>
      <c r="H1622" s="22">
        <f t="shared" si="25"/>
        <v>757</v>
      </c>
    </row>
    <row r="1623" spans="1:8" ht="15.75" customHeight="1">
      <c r="A1623" s="20" t="s">
        <v>2874</v>
      </c>
      <c r="B1623" s="20" t="s">
        <v>362</v>
      </c>
      <c r="C1623" s="20" t="s">
        <v>2875</v>
      </c>
      <c r="D1623" s="21"/>
      <c r="E1623" s="21">
        <v>38</v>
      </c>
      <c r="F1623" s="21"/>
      <c r="G1623" s="21"/>
      <c r="H1623" s="22">
        <f t="shared" si="25"/>
        <v>38</v>
      </c>
    </row>
    <row r="1624" spans="1:8" ht="15.75" customHeight="1">
      <c r="A1624" s="24" t="s">
        <v>2876</v>
      </c>
      <c r="B1624" s="24" t="s">
        <v>362</v>
      </c>
      <c r="C1624" s="24" t="s">
        <v>1700</v>
      </c>
      <c r="D1624" s="25"/>
      <c r="E1624" s="25">
        <v>30</v>
      </c>
      <c r="F1624" s="25"/>
      <c r="G1624" s="25"/>
      <c r="H1624" s="22">
        <f t="shared" si="25"/>
        <v>30</v>
      </c>
    </row>
    <row r="1625" spans="1:8" ht="15.75" customHeight="1">
      <c r="A1625" s="20" t="s">
        <v>1933</v>
      </c>
      <c r="B1625" s="20" t="s">
        <v>1925</v>
      </c>
      <c r="C1625" s="20" t="s">
        <v>1909</v>
      </c>
      <c r="D1625" s="21">
        <v>10</v>
      </c>
      <c r="E1625" s="21">
        <v>15</v>
      </c>
      <c r="F1625" s="21"/>
      <c r="G1625" s="21"/>
      <c r="H1625" s="22">
        <f t="shared" si="25"/>
        <v>25</v>
      </c>
    </row>
    <row r="1626" spans="1:8" ht="15.75" customHeight="1">
      <c r="A1626" s="24" t="s">
        <v>2877</v>
      </c>
      <c r="B1626" s="24" t="s">
        <v>1925</v>
      </c>
      <c r="C1626" s="24" t="s">
        <v>1913</v>
      </c>
      <c r="D1626" s="25"/>
      <c r="E1626" s="25">
        <v>36</v>
      </c>
      <c r="F1626" s="25">
        <v>45</v>
      </c>
      <c r="G1626" s="25"/>
      <c r="H1626" s="22">
        <f t="shared" si="25"/>
        <v>81</v>
      </c>
    </row>
    <row r="1627" spans="1:8" ht="15.75" customHeight="1">
      <c r="A1627" s="20" t="s">
        <v>2878</v>
      </c>
      <c r="B1627" s="20" t="s">
        <v>362</v>
      </c>
      <c r="C1627" s="20" t="s">
        <v>2302</v>
      </c>
      <c r="D1627" s="21"/>
      <c r="E1627" s="21">
        <v>5</v>
      </c>
      <c r="F1627" s="21"/>
      <c r="G1627" s="21"/>
      <c r="H1627" s="22">
        <f t="shared" si="25"/>
        <v>5</v>
      </c>
    </row>
    <row r="1628" spans="1:8" ht="15.75" customHeight="1">
      <c r="A1628" s="24" t="s">
        <v>1934</v>
      </c>
      <c r="B1628" s="24" t="s">
        <v>362</v>
      </c>
      <c r="C1628" s="24" t="s">
        <v>1935</v>
      </c>
      <c r="D1628" s="25">
        <v>20</v>
      </c>
      <c r="E1628" s="25">
        <v>20</v>
      </c>
      <c r="F1628" s="25"/>
      <c r="G1628" s="25">
        <v>50</v>
      </c>
      <c r="H1628" s="22">
        <f t="shared" si="25"/>
        <v>90</v>
      </c>
    </row>
    <row r="1629" spans="1:8" ht="15.75" customHeight="1">
      <c r="A1629" s="20" t="s">
        <v>1936</v>
      </c>
      <c r="B1629" s="20" t="s">
        <v>1937</v>
      </c>
      <c r="C1629" s="20" t="s">
        <v>1911</v>
      </c>
      <c r="D1629" s="21">
        <v>5</v>
      </c>
      <c r="E1629" s="21">
        <v>10</v>
      </c>
      <c r="F1629" s="21"/>
      <c r="G1629" s="21"/>
      <c r="H1629" s="22">
        <f t="shared" si="25"/>
        <v>15</v>
      </c>
    </row>
    <row r="1630" spans="1:8" ht="15.75" customHeight="1">
      <c r="A1630" s="24" t="s">
        <v>1938</v>
      </c>
      <c r="B1630" s="24" t="s">
        <v>1929</v>
      </c>
      <c r="C1630" s="24" t="s">
        <v>1909</v>
      </c>
      <c r="D1630" s="25">
        <v>5</v>
      </c>
      <c r="E1630" s="25">
        <v>3</v>
      </c>
      <c r="F1630" s="25"/>
      <c r="G1630" s="25"/>
      <c r="H1630" s="22">
        <f t="shared" si="25"/>
        <v>8</v>
      </c>
    </row>
    <row r="1631" spans="1:8" ht="15.75" customHeight="1">
      <c r="A1631" s="20" t="s">
        <v>1939</v>
      </c>
      <c r="B1631" s="20" t="s">
        <v>362</v>
      </c>
      <c r="C1631" s="20" t="s">
        <v>1940</v>
      </c>
      <c r="D1631" s="21">
        <v>50</v>
      </c>
      <c r="E1631" s="21">
        <v>302</v>
      </c>
      <c r="F1631" s="21">
        <v>2</v>
      </c>
      <c r="G1631" s="21"/>
      <c r="H1631" s="22">
        <f t="shared" si="25"/>
        <v>354</v>
      </c>
    </row>
    <row r="1632" spans="1:8" ht="15.75" customHeight="1">
      <c r="A1632" s="24" t="s">
        <v>1941</v>
      </c>
      <c r="B1632" s="24" t="s">
        <v>1908</v>
      </c>
      <c r="C1632" s="24" t="s">
        <v>45</v>
      </c>
      <c r="D1632" s="25">
        <v>10</v>
      </c>
      <c r="E1632" s="25"/>
      <c r="F1632" s="25">
        <v>5</v>
      </c>
      <c r="G1632" s="25"/>
      <c r="H1632" s="22">
        <f t="shared" si="25"/>
        <v>15</v>
      </c>
    </row>
    <row r="1633" spans="1:8" ht="15.75" customHeight="1">
      <c r="A1633" s="20" t="s">
        <v>1942</v>
      </c>
      <c r="B1633" s="20" t="s">
        <v>1943</v>
      </c>
      <c r="C1633" s="20" t="s">
        <v>45</v>
      </c>
      <c r="D1633" s="21">
        <v>10</v>
      </c>
      <c r="E1633" s="21">
        <v>20</v>
      </c>
      <c r="F1633" s="21"/>
      <c r="G1633" s="21"/>
      <c r="H1633" s="22">
        <f t="shared" si="25"/>
        <v>30</v>
      </c>
    </row>
    <row r="1634" spans="1:8" ht="15.75" customHeight="1">
      <c r="A1634" s="24" t="s">
        <v>1944</v>
      </c>
      <c r="B1634" s="24" t="s">
        <v>1943</v>
      </c>
      <c r="C1634" s="24" t="s">
        <v>1909</v>
      </c>
      <c r="D1634" s="25">
        <v>5</v>
      </c>
      <c r="E1634" s="25">
        <v>1</v>
      </c>
      <c r="F1634" s="25"/>
      <c r="G1634" s="25"/>
      <c r="H1634" s="22">
        <f t="shared" si="25"/>
        <v>6</v>
      </c>
    </row>
    <row r="1635" spans="1:8" ht="15.75" customHeight="1">
      <c r="A1635" s="20" t="s">
        <v>1945</v>
      </c>
      <c r="B1635" s="20" t="s">
        <v>362</v>
      </c>
      <c r="C1635" s="20" t="s">
        <v>1946</v>
      </c>
      <c r="D1635" s="21">
        <v>130</v>
      </c>
      <c r="E1635" s="21"/>
      <c r="F1635" s="21"/>
      <c r="G1635" s="21"/>
      <c r="H1635" s="22">
        <f t="shared" si="25"/>
        <v>130</v>
      </c>
    </row>
    <row r="1636" spans="1:8" ht="15.75" customHeight="1">
      <c r="A1636" s="24" t="s">
        <v>1947</v>
      </c>
      <c r="B1636" s="24" t="s">
        <v>1937</v>
      </c>
      <c r="C1636" s="24" t="s">
        <v>45</v>
      </c>
      <c r="D1636" s="25">
        <v>10</v>
      </c>
      <c r="E1636" s="25"/>
      <c r="F1636" s="25"/>
      <c r="G1636" s="25"/>
      <c r="H1636" s="22">
        <f t="shared" si="25"/>
        <v>10</v>
      </c>
    </row>
    <row r="1637" spans="1:8" ht="15.75" customHeight="1">
      <c r="A1637" s="20" t="s">
        <v>1948</v>
      </c>
      <c r="B1637" s="20" t="s">
        <v>1937</v>
      </c>
      <c r="C1637" s="20" t="s">
        <v>1949</v>
      </c>
      <c r="D1637" s="21">
        <v>30</v>
      </c>
      <c r="E1637" s="21"/>
      <c r="F1637" s="21"/>
      <c r="G1637" s="21"/>
      <c r="H1637" s="22">
        <f t="shared" si="25"/>
        <v>30</v>
      </c>
    </row>
    <row r="1638" spans="1:8" ht="15.75" customHeight="1">
      <c r="A1638" s="24" t="s">
        <v>1950</v>
      </c>
      <c r="B1638" s="24" t="s">
        <v>244</v>
      </c>
      <c r="C1638" s="24" t="s">
        <v>1689</v>
      </c>
      <c r="D1638" s="25">
        <v>1</v>
      </c>
      <c r="E1638" s="25"/>
      <c r="F1638" s="25"/>
      <c r="G1638" s="25"/>
      <c r="H1638" s="22">
        <f t="shared" si="25"/>
        <v>1</v>
      </c>
    </row>
    <row r="1639" spans="1:8" ht="15.75" customHeight="1">
      <c r="A1639" s="20" t="s">
        <v>1951</v>
      </c>
      <c r="B1639" s="20" t="s">
        <v>263</v>
      </c>
      <c r="C1639" s="20" t="s">
        <v>1689</v>
      </c>
      <c r="D1639" s="21">
        <v>1</v>
      </c>
      <c r="E1639" s="21">
        <v>3</v>
      </c>
      <c r="F1639" s="21"/>
      <c r="G1639" s="21"/>
      <c r="H1639" s="22">
        <f t="shared" si="25"/>
        <v>4</v>
      </c>
    </row>
    <row r="1640" spans="1:8" ht="15.75" customHeight="1">
      <c r="A1640" s="24" t="s">
        <v>2879</v>
      </c>
      <c r="B1640" s="24" t="s">
        <v>1943</v>
      </c>
      <c r="C1640" s="24" t="s">
        <v>1913</v>
      </c>
      <c r="D1640" s="25"/>
      <c r="E1640" s="25">
        <v>6</v>
      </c>
      <c r="F1640" s="25"/>
      <c r="G1640" s="25"/>
      <c r="H1640" s="22">
        <f t="shared" si="25"/>
        <v>6</v>
      </c>
    </row>
    <row r="1641" spans="1:8" ht="15.75" customHeight="1">
      <c r="A1641" s="20" t="s">
        <v>1952</v>
      </c>
      <c r="B1641" s="20" t="s">
        <v>1937</v>
      </c>
      <c r="C1641" s="20" t="s">
        <v>1953</v>
      </c>
      <c r="D1641" s="21">
        <v>10</v>
      </c>
      <c r="E1641" s="21"/>
      <c r="F1641" s="21"/>
      <c r="G1641" s="21"/>
      <c r="H1641" s="22">
        <f t="shared" si="25"/>
        <v>10</v>
      </c>
    </row>
    <row r="1642" spans="1:8" ht="15.75" customHeight="1">
      <c r="A1642" s="24" t="s">
        <v>2880</v>
      </c>
      <c r="B1642" s="24" t="s">
        <v>1929</v>
      </c>
      <c r="C1642" s="24" t="s">
        <v>1904</v>
      </c>
      <c r="D1642" s="25"/>
      <c r="E1642" s="25">
        <v>5</v>
      </c>
      <c r="F1642" s="25"/>
      <c r="G1642" s="25"/>
      <c r="H1642" s="22">
        <f t="shared" si="25"/>
        <v>5</v>
      </c>
    </row>
    <row r="1643" spans="1:8" ht="15.75" customHeight="1">
      <c r="A1643" s="20" t="s">
        <v>2881</v>
      </c>
      <c r="B1643" s="20" t="s">
        <v>1350</v>
      </c>
      <c r="C1643" s="20" t="s">
        <v>2882</v>
      </c>
      <c r="D1643" s="21"/>
      <c r="E1643" s="21">
        <v>10</v>
      </c>
      <c r="F1643" s="21">
        <v>7</v>
      </c>
      <c r="G1643" s="21"/>
      <c r="H1643" s="22">
        <f t="shared" si="25"/>
        <v>17</v>
      </c>
    </row>
    <row r="1644" spans="1:8" ht="15.75" customHeight="1">
      <c r="A1644" s="24" t="s">
        <v>3388</v>
      </c>
      <c r="B1644" s="24" t="s">
        <v>1350</v>
      </c>
      <c r="C1644" s="24" t="s">
        <v>3389</v>
      </c>
      <c r="D1644" s="25"/>
      <c r="E1644" s="25"/>
      <c r="F1644" s="25">
        <v>30</v>
      </c>
      <c r="G1644" s="25"/>
      <c r="H1644" s="22">
        <f t="shared" si="25"/>
        <v>30</v>
      </c>
    </row>
    <row r="1645" spans="1:8" ht="15.75" customHeight="1">
      <c r="A1645" s="20" t="s">
        <v>2883</v>
      </c>
      <c r="B1645" s="20" t="s">
        <v>1350</v>
      </c>
      <c r="C1645" s="20" t="s">
        <v>2884</v>
      </c>
      <c r="D1645" s="21"/>
      <c r="E1645" s="21">
        <v>2</v>
      </c>
      <c r="F1645" s="21">
        <v>6</v>
      </c>
      <c r="G1645" s="21"/>
      <c r="H1645" s="22">
        <f t="shared" si="25"/>
        <v>8</v>
      </c>
    </row>
    <row r="1646" spans="1:8" ht="15.75" customHeight="1">
      <c r="A1646" s="24" t="s">
        <v>1954</v>
      </c>
      <c r="B1646" s="24" t="s">
        <v>1955</v>
      </c>
      <c r="C1646" s="24" t="s">
        <v>1956</v>
      </c>
      <c r="D1646" s="25">
        <v>4</v>
      </c>
      <c r="E1646" s="25"/>
      <c r="F1646" s="25"/>
      <c r="G1646" s="25"/>
      <c r="H1646" s="22">
        <f t="shared" si="25"/>
        <v>4</v>
      </c>
    </row>
    <row r="1647" spans="1:8" ht="15.75" customHeight="1">
      <c r="A1647" s="20" t="s">
        <v>1957</v>
      </c>
      <c r="B1647" s="20" t="s">
        <v>1955</v>
      </c>
      <c r="C1647" s="20" t="s">
        <v>1958</v>
      </c>
      <c r="D1647" s="21">
        <v>2</v>
      </c>
      <c r="E1647" s="21">
        <v>4</v>
      </c>
      <c r="F1647" s="21"/>
      <c r="G1647" s="21"/>
      <c r="H1647" s="22">
        <f t="shared" si="25"/>
        <v>6</v>
      </c>
    </row>
    <row r="1648" spans="1:8" ht="15.75" customHeight="1">
      <c r="A1648" s="24" t="s">
        <v>3390</v>
      </c>
      <c r="B1648" s="24" t="s">
        <v>3391</v>
      </c>
      <c r="C1648" s="24" t="s">
        <v>3392</v>
      </c>
      <c r="D1648" s="25"/>
      <c r="E1648" s="25"/>
      <c r="F1648" s="25">
        <v>1</v>
      </c>
      <c r="G1648" s="25"/>
      <c r="H1648" s="22">
        <f t="shared" si="25"/>
        <v>1</v>
      </c>
    </row>
    <row r="1649" spans="1:8" ht="15.75" customHeight="1">
      <c r="A1649" s="20" t="s">
        <v>2885</v>
      </c>
      <c r="B1649" s="20" t="s">
        <v>2886</v>
      </c>
      <c r="C1649" s="20" t="s">
        <v>2887</v>
      </c>
      <c r="D1649" s="21"/>
      <c r="E1649" s="21">
        <v>3</v>
      </c>
      <c r="F1649" s="21"/>
      <c r="G1649" s="21"/>
      <c r="H1649" s="22">
        <f t="shared" si="25"/>
        <v>3</v>
      </c>
    </row>
    <row r="1650" spans="1:8" ht="15.75" customHeight="1">
      <c r="A1650" s="24" t="s">
        <v>1959</v>
      </c>
      <c r="B1650" s="24" t="s">
        <v>1370</v>
      </c>
      <c r="C1650" s="24" t="s">
        <v>1960</v>
      </c>
      <c r="D1650" s="25">
        <v>1</v>
      </c>
      <c r="E1650" s="25"/>
      <c r="F1650" s="25"/>
      <c r="G1650" s="25"/>
      <c r="H1650" s="22">
        <f t="shared" si="25"/>
        <v>1</v>
      </c>
    </row>
    <row r="1651" spans="1:8" ht="15.75" customHeight="1">
      <c r="A1651" s="20" t="s">
        <v>1961</v>
      </c>
      <c r="B1651" s="20" t="s">
        <v>1370</v>
      </c>
      <c r="C1651" s="20" t="s">
        <v>1962</v>
      </c>
      <c r="D1651" s="21">
        <v>12</v>
      </c>
      <c r="E1651" s="21"/>
      <c r="F1651" s="21"/>
      <c r="G1651" s="21"/>
      <c r="H1651" s="22">
        <f t="shared" si="25"/>
        <v>12</v>
      </c>
    </row>
    <row r="1652" spans="1:8" ht="15.75" customHeight="1">
      <c r="A1652" s="24" t="s">
        <v>1963</v>
      </c>
      <c r="B1652" s="24" t="s">
        <v>1370</v>
      </c>
      <c r="C1652" s="24" t="s">
        <v>1964</v>
      </c>
      <c r="D1652" s="25">
        <v>7</v>
      </c>
      <c r="E1652" s="25">
        <v>11</v>
      </c>
      <c r="F1652" s="25"/>
      <c r="G1652" s="25"/>
      <c r="H1652" s="22">
        <f t="shared" si="25"/>
        <v>18</v>
      </c>
    </row>
    <row r="1653" spans="1:8" ht="15.75" customHeight="1">
      <c r="A1653" s="20" t="s">
        <v>1965</v>
      </c>
      <c r="B1653" s="20" t="s">
        <v>1370</v>
      </c>
      <c r="C1653" s="20" t="s">
        <v>1966</v>
      </c>
      <c r="D1653" s="21">
        <v>3</v>
      </c>
      <c r="E1653" s="21"/>
      <c r="F1653" s="21"/>
      <c r="G1653" s="21"/>
      <c r="H1653" s="22">
        <f t="shared" si="25"/>
        <v>3</v>
      </c>
    </row>
    <row r="1654" spans="1:8" ht="15.75" customHeight="1">
      <c r="A1654" s="24" t="s">
        <v>2888</v>
      </c>
      <c r="B1654" s="24" t="s">
        <v>2889</v>
      </c>
      <c r="C1654" s="24" t="s">
        <v>2890</v>
      </c>
      <c r="D1654" s="25"/>
      <c r="E1654" s="25">
        <v>4</v>
      </c>
      <c r="F1654" s="25"/>
      <c r="G1654" s="25"/>
      <c r="H1654" s="22">
        <f t="shared" si="25"/>
        <v>4</v>
      </c>
    </row>
    <row r="1655" spans="1:8" ht="15.75" customHeight="1">
      <c r="A1655" s="20" t="s">
        <v>2891</v>
      </c>
      <c r="B1655" s="20" t="s">
        <v>2892</v>
      </c>
      <c r="C1655" s="20" t="s">
        <v>2893</v>
      </c>
      <c r="D1655" s="21"/>
      <c r="E1655" s="21">
        <v>2</v>
      </c>
      <c r="F1655" s="21"/>
      <c r="G1655" s="21"/>
      <c r="H1655" s="22">
        <f t="shared" si="25"/>
        <v>2</v>
      </c>
    </row>
    <row r="1656" spans="1:8" ht="15.75" customHeight="1">
      <c r="A1656" s="24" t="s">
        <v>3525</v>
      </c>
      <c r="B1656" s="24" t="s">
        <v>1355</v>
      </c>
      <c r="C1656" s="24" t="s">
        <v>3526</v>
      </c>
      <c r="D1656" s="25"/>
      <c r="E1656" s="25"/>
      <c r="F1656" s="25"/>
      <c r="G1656" s="25">
        <v>7</v>
      </c>
      <c r="H1656" s="22">
        <f t="shared" si="25"/>
        <v>7</v>
      </c>
    </row>
    <row r="1657" spans="1:8" ht="15.75" customHeight="1">
      <c r="A1657" s="20" t="s">
        <v>1967</v>
      </c>
      <c r="B1657" s="20" t="s">
        <v>1355</v>
      </c>
      <c r="C1657" s="20" t="s">
        <v>1968</v>
      </c>
      <c r="D1657" s="21">
        <v>3</v>
      </c>
      <c r="E1657" s="21"/>
      <c r="F1657" s="21"/>
      <c r="G1657" s="21"/>
      <c r="H1657" s="22">
        <f t="shared" si="25"/>
        <v>3</v>
      </c>
    </row>
    <row r="1658" spans="1:8" ht="15.75" customHeight="1">
      <c r="A1658" s="24" t="s">
        <v>1969</v>
      </c>
      <c r="B1658" s="24" t="s">
        <v>1357</v>
      </c>
      <c r="C1658" s="24" t="s">
        <v>1970</v>
      </c>
      <c r="D1658" s="25">
        <v>17</v>
      </c>
      <c r="E1658" s="25">
        <v>81</v>
      </c>
      <c r="F1658" s="25">
        <v>277</v>
      </c>
      <c r="G1658" s="25"/>
      <c r="H1658" s="22">
        <f t="shared" si="25"/>
        <v>375</v>
      </c>
    </row>
    <row r="1659" spans="1:8" ht="15.75" customHeight="1">
      <c r="A1659" s="20" t="s">
        <v>1971</v>
      </c>
      <c r="B1659" s="20" t="s">
        <v>1357</v>
      </c>
      <c r="C1659" s="20" t="s">
        <v>1972</v>
      </c>
      <c r="D1659" s="21">
        <v>60</v>
      </c>
      <c r="E1659" s="21">
        <v>75</v>
      </c>
      <c r="F1659" s="21">
        <v>107</v>
      </c>
      <c r="G1659" s="21"/>
      <c r="H1659" s="22">
        <f t="shared" si="25"/>
        <v>242</v>
      </c>
    </row>
    <row r="1660" spans="1:8" ht="15.75" customHeight="1">
      <c r="A1660" s="24" t="s">
        <v>1973</v>
      </c>
      <c r="B1660" s="24" t="s">
        <v>1357</v>
      </c>
      <c r="C1660" s="24" t="s">
        <v>1974</v>
      </c>
      <c r="D1660" s="25">
        <v>45</v>
      </c>
      <c r="E1660" s="25">
        <v>145</v>
      </c>
      <c r="F1660" s="25">
        <v>103</v>
      </c>
      <c r="G1660" s="25"/>
      <c r="H1660" s="22">
        <f t="shared" si="25"/>
        <v>293</v>
      </c>
    </row>
    <row r="1661" spans="1:8" ht="15.75" customHeight="1">
      <c r="A1661" s="20" t="s">
        <v>1975</v>
      </c>
      <c r="B1661" s="20" t="s">
        <v>1357</v>
      </c>
      <c r="C1661" s="20" t="s">
        <v>1976</v>
      </c>
      <c r="D1661" s="21">
        <v>71</v>
      </c>
      <c r="E1661" s="21">
        <v>146</v>
      </c>
      <c r="F1661" s="21">
        <v>92</v>
      </c>
      <c r="G1661" s="21"/>
      <c r="H1661" s="22">
        <f t="shared" si="25"/>
        <v>309</v>
      </c>
    </row>
    <row r="1662" spans="1:8" ht="15.75" customHeight="1">
      <c r="A1662" s="24" t="s">
        <v>1977</v>
      </c>
      <c r="B1662" s="24" t="s">
        <v>1357</v>
      </c>
      <c r="C1662" s="24" t="s">
        <v>1978</v>
      </c>
      <c r="D1662" s="25">
        <v>64</v>
      </c>
      <c r="E1662" s="25">
        <v>76</v>
      </c>
      <c r="F1662" s="25">
        <v>226</v>
      </c>
      <c r="G1662" s="25">
        <v>24</v>
      </c>
      <c r="H1662" s="22">
        <f t="shared" si="25"/>
        <v>390</v>
      </c>
    </row>
    <row r="1663" spans="1:8" ht="15.75" customHeight="1">
      <c r="A1663" s="20" t="s">
        <v>1979</v>
      </c>
      <c r="B1663" s="20" t="s">
        <v>1357</v>
      </c>
      <c r="C1663" s="20" t="s">
        <v>1980</v>
      </c>
      <c r="D1663" s="21">
        <v>208</v>
      </c>
      <c r="E1663" s="21">
        <v>302</v>
      </c>
      <c r="F1663" s="21">
        <v>210</v>
      </c>
      <c r="G1663" s="21">
        <v>15</v>
      </c>
      <c r="H1663" s="22">
        <f t="shared" si="25"/>
        <v>735</v>
      </c>
    </row>
    <row r="1664" spans="1:8" ht="15.75" customHeight="1">
      <c r="A1664" s="24" t="s">
        <v>2894</v>
      </c>
      <c r="B1664" s="24" t="s">
        <v>1357</v>
      </c>
      <c r="C1664" s="24" t="s">
        <v>2895</v>
      </c>
      <c r="D1664" s="25"/>
      <c r="E1664" s="25">
        <v>36</v>
      </c>
      <c r="F1664" s="25"/>
      <c r="G1664" s="25"/>
      <c r="H1664" s="22">
        <f t="shared" si="25"/>
        <v>36</v>
      </c>
    </row>
    <row r="1665" spans="1:8" ht="15.75" customHeight="1">
      <c r="A1665" s="20" t="s">
        <v>1981</v>
      </c>
      <c r="B1665" s="20" t="s">
        <v>1357</v>
      </c>
      <c r="C1665" s="20" t="s">
        <v>1982</v>
      </c>
      <c r="D1665" s="21">
        <v>56</v>
      </c>
      <c r="E1665" s="21">
        <v>44</v>
      </c>
      <c r="F1665" s="21">
        <v>41</v>
      </c>
      <c r="G1665" s="21">
        <v>15</v>
      </c>
      <c r="H1665" s="22">
        <f t="shared" si="25"/>
        <v>156</v>
      </c>
    </row>
    <row r="1666" spans="1:8" ht="15.75" customHeight="1">
      <c r="A1666" s="24" t="s">
        <v>1983</v>
      </c>
      <c r="B1666" s="24" t="s">
        <v>1357</v>
      </c>
      <c r="C1666" s="24" t="s">
        <v>1984</v>
      </c>
      <c r="D1666" s="25">
        <v>45</v>
      </c>
      <c r="E1666" s="25">
        <v>52</v>
      </c>
      <c r="F1666" s="25">
        <v>143</v>
      </c>
      <c r="G1666" s="25">
        <v>15</v>
      </c>
      <c r="H1666" s="22">
        <f t="shared" si="25"/>
        <v>255</v>
      </c>
    </row>
    <row r="1667" spans="1:8" ht="15.75" customHeight="1">
      <c r="A1667" s="20" t="s">
        <v>1985</v>
      </c>
      <c r="B1667" s="20" t="s">
        <v>1357</v>
      </c>
      <c r="C1667" s="20" t="s">
        <v>1986</v>
      </c>
      <c r="D1667" s="21">
        <v>3</v>
      </c>
      <c r="E1667" s="21">
        <v>20</v>
      </c>
      <c r="F1667" s="21">
        <v>23</v>
      </c>
      <c r="G1667" s="21"/>
      <c r="H1667" s="22">
        <f t="shared" si="25"/>
        <v>46</v>
      </c>
    </row>
    <row r="1668" spans="1:8" ht="15.75" customHeight="1">
      <c r="A1668" s="24" t="s">
        <v>1987</v>
      </c>
      <c r="B1668" s="24" t="s">
        <v>1390</v>
      </c>
      <c r="C1668" s="24" t="s">
        <v>1988</v>
      </c>
      <c r="D1668" s="25">
        <v>10</v>
      </c>
      <c r="E1668" s="25"/>
      <c r="F1668" s="25">
        <v>3</v>
      </c>
      <c r="G1668" s="25"/>
      <c r="H1668" s="22">
        <f t="shared" ref="H1668:H1731" si="26">SUM(D1668:G1668)</f>
        <v>13</v>
      </c>
    </row>
    <row r="1669" spans="1:8" ht="15.75" customHeight="1">
      <c r="A1669" s="20" t="s">
        <v>2896</v>
      </c>
      <c r="B1669" s="20" t="s">
        <v>1363</v>
      </c>
      <c r="C1669" s="20" t="s">
        <v>2897</v>
      </c>
      <c r="D1669" s="21"/>
      <c r="E1669" s="21">
        <v>36</v>
      </c>
      <c r="F1669" s="21">
        <v>77</v>
      </c>
      <c r="G1669" s="21"/>
      <c r="H1669" s="22">
        <f t="shared" si="26"/>
        <v>113</v>
      </c>
    </row>
    <row r="1670" spans="1:8" ht="15.75" customHeight="1">
      <c r="A1670" s="24" t="s">
        <v>1989</v>
      </c>
      <c r="B1670" s="24" t="s">
        <v>1363</v>
      </c>
      <c r="C1670" s="24" t="s">
        <v>1990</v>
      </c>
      <c r="D1670" s="25">
        <v>18</v>
      </c>
      <c r="E1670" s="25">
        <v>3</v>
      </c>
      <c r="F1670" s="25">
        <v>36</v>
      </c>
      <c r="G1670" s="25"/>
      <c r="H1670" s="22">
        <f t="shared" si="26"/>
        <v>57</v>
      </c>
    </row>
    <row r="1671" spans="1:8" ht="15.75" customHeight="1">
      <c r="A1671" s="20" t="s">
        <v>2898</v>
      </c>
      <c r="B1671" s="20" t="s">
        <v>1363</v>
      </c>
      <c r="C1671" s="20" t="s">
        <v>2899</v>
      </c>
      <c r="D1671" s="21"/>
      <c r="E1671" s="21">
        <v>68</v>
      </c>
      <c r="F1671" s="21">
        <v>255</v>
      </c>
      <c r="G1671" s="21"/>
      <c r="H1671" s="22">
        <f t="shared" si="26"/>
        <v>323</v>
      </c>
    </row>
    <row r="1672" spans="1:8" ht="15.75" customHeight="1">
      <c r="A1672" s="24" t="s">
        <v>2900</v>
      </c>
      <c r="B1672" s="24" t="s">
        <v>1363</v>
      </c>
      <c r="C1672" s="24" t="s">
        <v>2901</v>
      </c>
      <c r="D1672" s="25"/>
      <c r="E1672" s="25">
        <v>4</v>
      </c>
      <c r="F1672" s="25">
        <v>68</v>
      </c>
      <c r="G1672" s="25">
        <v>8</v>
      </c>
      <c r="H1672" s="22">
        <f t="shared" si="26"/>
        <v>80</v>
      </c>
    </row>
    <row r="1673" spans="1:8" ht="15.75" customHeight="1">
      <c r="A1673" s="20" t="s">
        <v>1991</v>
      </c>
      <c r="B1673" s="20" t="s">
        <v>1363</v>
      </c>
      <c r="C1673" s="20" t="s">
        <v>1992</v>
      </c>
      <c r="D1673" s="21">
        <v>74</v>
      </c>
      <c r="E1673" s="21">
        <v>57</v>
      </c>
      <c r="F1673" s="21">
        <v>95</v>
      </c>
      <c r="G1673" s="21"/>
      <c r="H1673" s="22">
        <f t="shared" si="26"/>
        <v>226</v>
      </c>
    </row>
    <row r="1674" spans="1:8" ht="15.75" customHeight="1">
      <c r="A1674" s="24" t="s">
        <v>1993</v>
      </c>
      <c r="B1674" s="24" t="s">
        <v>1363</v>
      </c>
      <c r="C1674" s="24" t="s">
        <v>1994</v>
      </c>
      <c r="D1674" s="25">
        <v>55</v>
      </c>
      <c r="E1674" s="25">
        <v>117</v>
      </c>
      <c r="F1674" s="25">
        <v>190</v>
      </c>
      <c r="G1674" s="25">
        <v>1</v>
      </c>
      <c r="H1674" s="22">
        <f t="shared" si="26"/>
        <v>363</v>
      </c>
    </row>
    <row r="1675" spans="1:8" ht="15.75" customHeight="1">
      <c r="A1675" s="20" t="s">
        <v>1995</v>
      </c>
      <c r="B1675" s="20" t="s">
        <v>1363</v>
      </c>
      <c r="C1675" s="20" t="s">
        <v>1996</v>
      </c>
      <c r="D1675" s="21">
        <v>25</v>
      </c>
      <c r="E1675" s="21">
        <v>5</v>
      </c>
      <c r="F1675" s="21">
        <v>28</v>
      </c>
      <c r="G1675" s="21"/>
      <c r="H1675" s="22">
        <f t="shared" si="26"/>
        <v>58</v>
      </c>
    </row>
    <row r="1676" spans="1:8" ht="15.75" customHeight="1">
      <c r="A1676" s="24" t="s">
        <v>1997</v>
      </c>
      <c r="B1676" s="24" t="s">
        <v>1363</v>
      </c>
      <c r="C1676" s="24" t="s">
        <v>1998</v>
      </c>
      <c r="D1676" s="25">
        <v>10</v>
      </c>
      <c r="E1676" s="25"/>
      <c r="F1676" s="25"/>
      <c r="G1676" s="25"/>
      <c r="H1676" s="22">
        <f t="shared" si="26"/>
        <v>10</v>
      </c>
    </row>
    <row r="1677" spans="1:8" ht="15.75" customHeight="1">
      <c r="A1677" s="20" t="s">
        <v>1999</v>
      </c>
      <c r="B1677" s="20" t="s">
        <v>1363</v>
      </c>
      <c r="C1677" s="20" t="s">
        <v>2000</v>
      </c>
      <c r="D1677" s="21">
        <v>10</v>
      </c>
      <c r="E1677" s="21"/>
      <c r="F1677" s="21"/>
      <c r="G1677" s="21"/>
      <c r="H1677" s="22">
        <f t="shared" si="26"/>
        <v>10</v>
      </c>
    </row>
    <row r="1678" spans="1:8" ht="15.75" customHeight="1">
      <c r="A1678" s="24" t="s">
        <v>2001</v>
      </c>
      <c r="B1678" s="24" t="s">
        <v>1363</v>
      </c>
      <c r="C1678" s="24" t="s">
        <v>2002</v>
      </c>
      <c r="D1678" s="25">
        <v>50</v>
      </c>
      <c r="E1678" s="25">
        <v>18</v>
      </c>
      <c r="F1678" s="25">
        <v>96</v>
      </c>
      <c r="G1678" s="25"/>
      <c r="H1678" s="22">
        <f t="shared" si="26"/>
        <v>164</v>
      </c>
    </row>
    <row r="1679" spans="1:8" ht="15.75" customHeight="1">
      <c r="A1679" s="20" t="s">
        <v>2003</v>
      </c>
      <c r="B1679" s="20" t="s">
        <v>1357</v>
      </c>
      <c r="C1679" s="20" t="s">
        <v>2004</v>
      </c>
      <c r="D1679" s="21">
        <v>160</v>
      </c>
      <c r="E1679" s="21">
        <v>302</v>
      </c>
      <c r="F1679" s="21">
        <v>327</v>
      </c>
      <c r="G1679" s="21">
        <v>92</v>
      </c>
      <c r="H1679" s="22">
        <f t="shared" si="26"/>
        <v>881</v>
      </c>
    </row>
    <row r="1680" spans="1:8" ht="15.75" customHeight="1">
      <c r="A1680" s="24" t="s">
        <v>2005</v>
      </c>
      <c r="B1680" s="24" t="s">
        <v>1363</v>
      </c>
      <c r="C1680" s="24" t="s">
        <v>2006</v>
      </c>
      <c r="D1680" s="25">
        <v>15</v>
      </c>
      <c r="E1680" s="25">
        <v>5</v>
      </c>
      <c r="F1680" s="25">
        <v>15</v>
      </c>
      <c r="G1680" s="25"/>
      <c r="H1680" s="22">
        <f t="shared" si="26"/>
        <v>35</v>
      </c>
    </row>
    <row r="1681" spans="1:8" ht="15.75" customHeight="1">
      <c r="A1681" s="20" t="s">
        <v>2902</v>
      </c>
      <c r="B1681" s="20" t="s">
        <v>2008</v>
      </c>
      <c r="C1681" s="20" t="s">
        <v>2903</v>
      </c>
      <c r="D1681" s="21"/>
      <c r="E1681" s="21">
        <v>10</v>
      </c>
      <c r="F1681" s="21"/>
      <c r="G1681" s="21"/>
      <c r="H1681" s="22">
        <f t="shared" si="26"/>
        <v>10</v>
      </c>
    </row>
    <row r="1682" spans="1:8" ht="15.75" customHeight="1">
      <c r="A1682" s="24" t="s">
        <v>2007</v>
      </c>
      <c r="B1682" s="24" t="s">
        <v>2008</v>
      </c>
      <c r="C1682" s="24" t="s">
        <v>2009</v>
      </c>
      <c r="D1682" s="25">
        <v>3</v>
      </c>
      <c r="E1682" s="25"/>
      <c r="F1682" s="25"/>
      <c r="G1682" s="25"/>
      <c r="H1682" s="22">
        <f t="shared" si="26"/>
        <v>3</v>
      </c>
    </row>
    <row r="1683" spans="1:8" ht="15.75" customHeight="1">
      <c r="A1683" s="20" t="s">
        <v>2010</v>
      </c>
      <c r="B1683" s="20" t="s">
        <v>2008</v>
      </c>
      <c r="C1683" s="20" t="s">
        <v>2011</v>
      </c>
      <c r="D1683" s="21">
        <v>2</v>
      </c>
      <c r="E1683" s="21"/>
      <c r="F1683" s="21"/>
      <c r="G1683" s="21"/>
      <c r="H1683" s="22">
        <f t="shared" si="26"/>
        <v>2</v>
      </c>
    </row>
    <row r="1684" spans="1:8" ht="15.75" customHeight="1">
      <c r="A1684" s="24" t="s">
        <v>2012</v>
      </c>
      <c r="B1684" s="24" t="s">
        <v>2013</v>
      </c>
      <c r="C1684" s="24" t="s">
        <v>2014</v>
      </c>
      <c r="D1684" s="25">
        <v>2</v>
      </c>
      <c r="E1684" s="25"/>
      <c r="F1684" s="25"/>
      <c r="G1684" s="25"/>
      <c r="H1684" s="22">
        <f t="shared" si="26"/>
        <v>2</v>
      </c>
    </row>
    <row r="1685" spans="1:8" ht="15.75" customHeight="1">
      <c r="A1685" s="20" t="s">
        <v>2015</v>
      </c>
      <c r="B1685" s="20" t="s">
        <v>2013</v>
      </c>
      <c r="C1685" s="20" t="s">
        <v>2016</v>
      </c>
      <c r="D1685" s="21">
        <v>50</v>
      </c>
      <c r="E1685" s="21"/>
      <c r="F1685" s="21"/>
      <c r="G1685" s="21"/>
      <c r="H1685" s="22">
        <f t="shared" si="26"/>
        <v>50</v>
      </c>
    </row>
    <row r="1686" spans="1:8" ht="15.75" customHeight="1">
      <c r="A1686" s="24" t="s">
        <v>2017</v>
      </c>
      <c r="B1686" s="24" t="s">
        <v>1460</v>
      </c>
      <c r="C1686" s="24" t="s">
        <v>2018</v>
      </c>
      <c r="D1686" s="25">
        <v>35</v>
      </c>
      <c r="E1686" s="25">
        <v>30</v>
      </c>
      <c r="F1686" s="25">
        <v>40</v>
      </c>
      <c r="G1686" s="25"/>
      <c r="H1686" s="22">
        <f t="shared" si="26"/>
        <v>105</v>
      </c>
    </row>
    <row r="1687" spans="1:8" ht="15.75" customHeight="1">
      <c r="A1687" s="20" t="s">
        <v>2904</v>
      </c>
      <c r="B1687" s="20" t="s">
        <v>1460</v>
      </c>
      <c r="C1687" s="20" t="s">
        <v>2905</v>
      </c>
      <c r="D1687" s="21"/>
      <c r="E1687" s="21">
        <v>75</v>
      </c>
      <c r="F1687" s="21"/>
      <c r="G1687" s="21"/>
      <c r="H1687" s="22">
        <f t="shared" si="26"/>
        <v>75</v>
      </c>
    </row>
    <row r="1688" spans="1:8" ht="15.75" customHeight="1">
      <c r="A1688" s="24" t="s">
        <v>2906</v>
      </c>
      <c r="B1688" s="24" t="s">
        <v>1460</v>
      </c>
      <c r="C1688" s="24" t="s">
        <v>2907</v>
      </c>
      <c r="D1688" s="25"/>
      <c r="E1688" s="25">
        <v>25</v>
      </c>
      <c r="F1688" s="25">
        <v>10</v>
      </c>
      <c r="G1688" s="25"/>
      <c r="H1688" s="22">
        <f t="shared" si="26"/>
        <v>35</v>
      </c>
    </row>
    <row r="1689" spans="1:8" ht="15.75" customHeight="1">
      <c r="A1689" s="20" t="s">
        <v>2019</v>
      </c>
      <c r="B1689" s="20" t="s">
        <v>1460</v>
      </c>
      <c r="C1689" s="20" t="s">
        <v>2020</v>
      </c>
      <c r="D1689" s="21">
        <v>70</v>
      </c>
      <c r="E1689" s="21"/>
      <c r="F1689" s="21"/>
      <c r="G1689" s="21"/>
      <c r="H1689" s="22">
        <f t="shared" si="26"/>
        <v>70</v>
      </c>
    </row>
    <row r="1690" spans="1:8" ht="15.75" customHeight="1">
      <c r="A1690" s="24" t="s">
        <v>2021</v>
      </c>
      <c r="B1690" s="24" t="s">
        <v>1460</v>
      </c>
      <c r="C1690" s="24" t="s">
        <v>2022</v>
      </c>
      <c r="D1690" s="25">
        <v>5</v>
      </c>
      <c r="E1690" s="25"/>
      <c r="F1690" s="25"/>
      <c r="G1690" s="25"/>
      <c r="H1690" s="22">
        <f t="shared" si="26"/>
        <v>5</v>
      </c>
    </row>
    <row r="1691" spans="1:8" ht="15.75" customHeight="1">
      <c r="A1691" s="20" t="s">
        <v>2023</v>
      </c>
      <c r="B1691" s="20" t="s">
        <v>1460</v>
      </c>
      <c r="C1691" s="20" t="s">
        <v>2024</v>
      </c>
      <c r="D1691" s="21">
        <v>10</v>
      </c>
      <c r="E1691" s="21"/>
      <c r="F1691" s="21">
        <v>20</v>
      </c>
      <c r="G1691" s="21"/>
      <c r="H1691" s="22">
        <f t="shared" si="26"/>
        <v>30</v>
      </c>
    </row>
    <row r="1692" spans="1:8" ht="15.75" customHeight="1">
      <c r="A1692" s="24" t="s">
        <v>2025</v>
      </c>
      <c r="B1692" s="24" t="s">
        <v>1460</v>
      </c>
      <c r="C1692" s="24" t="s">
        <v>2026</v>
      </c>
      <c r="D1692" s="25">
        <v>10</v>
      </c>
      <c r="E1692" s="25"/>
      <c r="F1692" s="25"/>
      <c r="G1692" s="25"/>
      <c r="H1692" s="22">
        <f t="shared" si="26"/>
        <v>10</v>
      </c>
    </row>
    <row r="1693" spans="1:8" ht="15.75" customHeight="1">
      <c r="A1693" s="20" t="s">
        <v>2027</v>
      </c>
      <c r="B1693" s="20" t="s">
        <v>1463</v>
      </c>
      <c r="C1693" s="20" t="s">
        <v>2028</v>
      </c>
      <c r="D1693" s="21">
        <v>20</v>
      </c>
      <c r="E1693" s="21">
        <v>5</v>
      </c>
      <c r="F1693" s="21">
        <v>30</v>
      </c>
      <c r="G1693" s="21"/>
      <c r="H1693" s="22">
        <f t="shared" si="26"/>
        <v>55</v>
      </c>
    </row>
    <row r="1694" spans="1:8" ht="15.75" customHeight="1">
      <c r="A1694" s="24" t="s">
        <v>2029</v>
      </c>
      <c r="B1694" s="24" t="s">
        <v>1463</v>
      </c>
      <c r="C1694" s="24" t="s">
        <v>2030</v>
      </c>
      <c r="D1694" s="25">
        <v>20</v>
      </c>
      <c r="E1694" s="25"/>
      <c r="F1694" s="25"/>
      <c r="G1694" s="25"/>
      <c r="H1694" s="22">
        <f t="shared" si="26"/>
        <v>20</v>
      </c>
    </row>
    <row r="1695" spans="1:8" ht="15.75" customHeight="1">
      <c r="A1695" s="20" t="s">
        <v>2031</v>
      </c>
      <c r="B1695" s="20" t="s">
        <v>1463</v>
      </c>
      <c r="C1695" s="20" t="s">
        <v>2032</v>
      </c>
      <c r="D1695" s="21">
        <v>3</v>
      </c>
      <c r="E1695" s="21">
        <v>15</v>
      </c>
      <c r="F1695" s="21">
        <v>30</v>
      </c>
      <c r="G1695" s="21"/>
      <c r="H1695" s="22">
        <f t="shared" si="26"/>
        <v>48</v>
      </c>
    </row>
    <row r="1696" spans="1:8" ht="15.75" customHeight="1">
      <c r="A1696" s="24" t="s">
        <v>2908</v>
      </c>
      <c r="B1696" s="24" t="s">
        <v>1463</v>
      </c>
      <c r="C1696" s="24" t="s">
        <v>2909</v>
      </c>
      <c r="D1696" s="25"/>
      <c r="E1696" s="25">
        <v>35</v>
      </c>
      <c r="F1696" s="25"/>
      <c r="G1696" s="25"/>
      <c r="H1696" s="22">
        <f t="shared" si="26"/>
        <v>35</v>
      </c>
    </row>
    <row r="1697" spans="1:8" ht="15.75" customHeight="1">
      <c r="A1697" s="20" t="s">
        <v>2033</v>
      </c>
      <c r="B1697" s="20" t="s">
        <v>1463</v>
      </c>
      <c r="C1697" s="20" t="s">
        <v>2034</v>
      </c>
      <c r="D1697" s="21">
        <v>20</v>
      </c>
      <c r="E1697" s="21"/>
      <c r="F1697" s="21">
        <v>30</v>
      </c>
      <c r="G1697" s="21"/>
      <c r="H1697" s="22">
        <f t="shared" si="26"/>
        <v>50</v>
      </c>
    </row>
    <row r="1698" spans="1:8" ht="15.75" customHeight="1">
      <c r="A1698" s="24" t="s">
        <v>2035</v>
      </c>
      <c r="B1698" s="24" t="s">
        <v>1466</v>
      </c>
      <c r="C1698" s="24" t="s">
        <v>2036</v>
      </c>
      <c r="D1698" s="25">
        <v>30</v>
      </c>
      <c r="E1698" s="25"/>
      <c r="F1698" s="25"/>
      <c r="G1698" s="25"/>
      <c r="H1698" s="22">
        <f t="shared" si="26"/>
        <v>30</v>
      </c>
    </row>
    <row r="1699" spans="1:8" ht="15.75" customHeight="1">
      <c r="A1699" s="20" t="s">
        <v>3527</v>
      </c>
      <c r="B1699" s="20" t="s">
        <v>1466</v>
      </c>
      <c r="C1699" s="20" t="s">
        <v>3528</v>
      </c>
      <c r="D1699" s="21"/>
      <c r="E1699" s="21"/>
      <c r="F1699" s="21"/>
      <c r="G1699" s="21">
        <v>20</v>
      </c>
      <c r="H1699" s="22">
        <f t="shared" si="26"/>
        <v>20</v>
      </c>
    </row>
    <row r="1700" spans="1:8" ht="15.75" customHeight="1">
      <c r="A1700" s="24" t="s">
        <v>3393</v>
      </c>
      <c r="B1700" s="24" t="s">
        <v>2038</v>
      </c>
      <c r="C1700" s="24" t="s">
        <v>3394</v>
      </c>
      <c r="D1700" s="25"/>
      <c r="E1700" s="25"/>
      <c r="F1700" s="25">
        <v>5</v>
      </c>
      <c r="G1700" s="25"/>
      <c r="H1700" s="22">
        <f t="shared" si="26"/>
        <v>5</v>
      </c>
    </row>
    <row r="1701" spans="1:8" ht="15.75" customHeight="1">
      <c r="A1701" s="20" t="s">
        <v>3395</v>
      </c>
      <c r="B1701" s="20" t="s">
        <v>2038</v>
      </c>
      <c r="C1701" s="20" t="s">
        <v>3396</v>
      </c>
      <c r="D1701" s="21"/>
      <c r="E1701" s="21"/>
      <c r="F1701" s="21">
        <v>5</v>
      </c>
      <c r="G1701" s="21"/>
      <c r="H1701" s="22">
        <f t="shared" si="26"/>
        <v>5</v>
      </c>
    </row>
    <row r="1702" spans="1:8" ht="15.75" customHeight="1">
      <c r="A1702" s="24" t="s">
        <v>2037</v>
      </c>
      <c r="B1702" s="24" t="s">
        <v>2038</v>
      </c>
      <c r="C1702" s="24" t="s">
        <v>2039</v>
      </c>
      <c r="D1702" s="25">
        <v>5</v>
      </c>
      <c r="E1702" s="25"/>
      <c r="F1702" s="25"/>
      <c r="G1702" s="25"/>
      <c r="H1702" s="22">
        <f t="shared" si="26"/>
        <v>5</v>
      </c>
    </row>
    <row r="1703" spans="1:8" ht="15.75" customHeight="1">
      <c r="A1703" s="20" t="s">
        <v>3397</v>
      </c>
      <c r="B1703" s="20" t="s">
        <v>2038</v>
      </c>
      <c r="C1703" s="20" t="s">
        <v>3398</v>
      </c>
      <c r="D1703" s="21"/>
      <c r="E1703" s="21"/>
      <c r="F1703" s="21">
        <v>3</v>
      </c>
      <c r="G1703" s="21"/>
      <c r="H1703" s="22">
        <f t="shared" si="26"/>
        <v>3</v>
      </c>
    </row>
    <row r="1704" spans="1:8" ht="15.75" customHeight="1">
      <c r="A1704" s="24" t="s">
        <v>3399</v>
      </c>
      <c r="B1704" s="24" t="s">
        <v>1475</v>
      </c>
      <c r="C1704" s="24" t="s">
        <v>3400</v>
      </c>
      <c r="D1704" s="25"/>
      <c r="E1704" s="25"/>
      <c r="F1704" s="25">
        <v>78</v>
      </c>
      <c r="G1704" s="25"/>
      <c r="H1704" s="22">
        <f t="shared" si="26"/>
        <v>78</v>
      </c>
    </row>
    <row r="1705" spans="1:8" ht="15.75" customHeight="1">
      <c r="A1705" s="20" t="s">
        <v>3401</v>
      </c>
      <c r="B1705" s="20" t="s">
        <v>1475</v>
      </c>
      <c r="C1705" s="20" t="s">
        <v>3402</v>
      </c>
      <c r="D1705" s="21"/>
      <c r="E1705" s="21"/>
      <c r="F1705" s="21">
        <v>300</v>
      </c>
      <c r="G1705" s="21"/>
      <c r="H1705" s="22">
        <f t="shared" si="26"/>
        <v>300</v>
      </c>
    </row>
    <row r="1706" spans="1:8" ht="15.75" customHeight="1">
      <c r="A1706" s="24" t="s">
        <v>3403</v>
      </c>
      <c r="B1706" s="24" t="s">
        <v>2041</v>
      </c>
      <c r="C1706" s="24" t="s">
        <v>3404</v>
      </c>
      <c r="D1706" s="25"/>
      <c r="E1706" s="25"/>
      <c r="F1706" s="25">
        <v>15</v>
      </c>
      <c r="G1706" s="25"/>
      <c r="H1706" s="22">
        <f t="shared" si="26"/>
        <v>15</v>
      </c>
    </row>
    <row r="1707" spans="1:8" ht="15.75" customHeight="1">
      <c r="A1707" s="20" t="s">
        <v>2040</v>
      </c>
      <c r="B1707" s="20" t="s">
        <v>2041</v>
      </c>
      <c r="C1707" s="20" t="s">
        <v>2042</v>
      </c>
      <c r="D1707" s="21">
        <v>16</v>
      </c>
      <c r="E1707" s="21">
        <v>24</v>
      </c>
      <c r="F1707" s="21"/>
      <c r="G1707" s="21"/>
      <c r="H1707" s="22">
        <f t="shared" si="26"/>
        <v>40</v>
      </c>
    </row>
    <row r="1708" spans="1:8" ht="15.75" customHeight="1">
      <c r="A1708" s="24" t="s">
        <v>2043</v>
      </c>
      <c r="B1708" s="24" t="s">
        <v>2041</v>
      </c>
      <c r="C1708" s="24" t="s">
        <v>2044</v>
      </c>
      <c r="D1708" s="25">
        <v>45</v>
      </c>
      <c r="E1708" s="25"/>
      <c r="F1708" s="25">
        <v>10</v>
      </c>
      <c r="G1708" s="25"/>
      <c r="H1708" s="22">
        <f t="shared" si="26"/>
        <v>55</v>
      </c>
    </row>
    <row r="1709" spans="1:8" ht="15.75" customHeight="1">
      <c r="A1709" s="20" t="s">
        <v>2910</v>
      </c>
      <c r="B1709" s="20" t="s">
        <v>2041</v>
      </c>
      <c r="C1709" s="20" t="s">
        <v>2911</v>
      </c>
      <c r="D1709" s="21"/>
      <c r="E1709" s="21">
        <v>10</v>
      </c>
      <c r="F1709" s="21">
        <v>100</v>
      </c>
      <c r="G1709" s="21"/>
      <c r="H1709" s="22">
        <f t="shared" si="26"/>
        <v>110</v>
      </c>
    </row>
    <row r="1710" spans="1:8" ht="15.75" customHeight="1">
      <c r="A1710" s="24" t="s">
        <v>3529</v>
      </c>
      <c r="B1710" s="24" t="s">
        <v>2041</v>
      </c>
      <c r="C1710" s="24" t="s">
        <v>3530</v>
      </c>
      <c r="D1710" s="25"/>
      <c r="E1710" s="25"/>
      <c r="F1710" s="25"/>
      <c r="G1710" s="25">
        <v>10</v>
      </c>
      <c r="H1710" s="22">
        <f t="shared" si="26"/>
        <v>10</v>
      </c>
    </row>
    <row r="1711" spans="1:8" ht="15.75" customHeight="1">
      <c r="A1711" s="20" t="s">
        <v>2912</v>
      </c>
      <c r="B1711" s="20" t="s">
        <v>2041</v>
      </c>
      <c r="C1711" s="20" t="s">
        <v>2913</v>
      </c>
      <c r="D1711" s="21"/>
      <c r="E1711" s="21">
        <v>20</v>
      </c>
      <c r="F1711" s="21"/>
      <c r="G1711" s="21"/>
      <c r="H1711" s="22">
        <f t="shared" si="26"/>
        <v>20</v>
      </c>
    </row>
    <row r="1712" spans="1:8" ht="15.75" customHeight="1">
      <c r="A1712" s="24" t="s">
        <v>2045</v>
      </c>
      <c r="B1712" s="24" t="s">
        <v>2041</v>
      </c>
      <c r="C1712" s="24" t="s">
        <v>2046</v>
      </c>
      <c r="D1712" s="25">
        <v>2</v>
      </c>
      <c r="E1712" s="25">
        <v>5</v>
      </c>
      <c r="F1712" s="25"/>
      <c r="G1712" s="25"/>
      <c r="H1712" s="22">
        <f t="shared" si="26"/>
        <v>7</v>
      </c>
    </row>
    <row r="1713" spans="1:8" ht="15.75" customHeight="1">
      <c r="A1713" s="20" t="s">
        <v>2047</v>
      </c>
      <c r="B1713" s="20" t="s">
        <v>2041</v>
      </c>
      <c r="C1713" s="20" t="s">
        <v>2048</v>
      </c>
      <c r="D1713" s="21">
        <v>7</v>
      </c>
      <c r="E1713" s="21"/>
      <c r="F1713" s="21"/>
      <c r="G1713" s="21"/>
      <c r="H1713" s="22">
        <f t="shared" si="26"/>
        <v>7</v>
      </c>
    </row>
    <row r="1714" spans="1:8" ht="15.75" customHeight="1">
      <c r="A1714" s="24" t="s">
        <v>3531</v>
      </c>
      <c r="B1714" s="24" t="s">
        <v>3532</v>
      </c>
      <c r="C1714" s="24" t="s">
        <v>3533</v>
      </c>
      <c r="D1714" s="25"/>
      <c r="E1714" s="25"/>
      <c r="F1714" s="25"/>
      <c r="G1714" s="25">
        <v>50</v>
      </c>
      <c r="H1714" s="22">
        <f t="shared" si="26"/>
        <v>50</v>
      </c>
    </row>
    <row r="1715" spans="1:8" ht="15.75" customHeight="1">
      <c r="A1715" s="20" t="s">
        <v>2049</v>
      </c>
      <c r="B1715" s="20" t="s">
        <v>1481</v>
      </c>
      <c r="C1715" s="20" t="s">
        <v>2050</v>
      </c>
      <c r="D1715" s="21">
        <v>10</v>
      </c>
      <c r="E1715" s="21"/>
      <c r="F1715" s="21"/>
      <c r="G1715" s="21"/>
      <c r="H1715" s="22">
        <f t="shared" si="26"/>
        <v>10</v>
      </c>
    </row>
    <row r="1716" spans="1:8" ht="15.75" customHeight="1">
      <c r="A1716" s="24" t="s">
        <v>2051</v>
      </c>
      <c r="B1716" s="24" t="s">
        <v>1481</v>
      </c>
      <c r="C1716" s="24" t="s">
        <v>2052</v>
      </c>
      <c r="D1716" s="25">
        <v>25</v>
      </c>
      <c r="E1716" s="25"/>
      <c r="F1716" s="25"/>
      <c r="G1716" s="25"/>
      <c r="H1716" s="22">
        <f t="shared" si="26"/>
        <v>25</v>
      </c>
    </row>
    <row r="1717" spans="1:8" ht="15.75" customHeight="1">
      <c r="A1717" s="20" t="s">
        <v>2053</v>
      </c>
      <c r="B1717" s="20" t="s">
        <v>1481</v>
      </c>
      <c r="C1717" s="20" t="s">
        <v>2054</v>
      </c>
      <c r="D1717" s="21">
        <v>200</v>
      </c>
      <c r="E1717" s="21"/>
      <c r="F1717" s="21"/>
      <c r="G1717" s="21"/>
      <c r="H1717" s="22">
        <f t="shared" si="26"/>
        <v>200</v>
      </c>
    </row>
    <row r="1718" spans="1:8" ht="15.75" customHeight="1">
      <c r="A1718" s="24" t="s">
        <v>3405</v>
      </c>
      <c r="B1718" s="24" t="s">
        <v>1481</v>
      </c>
      <c r="C1718" s="24" t="s">
        <v>3406</v>
      </c>
      <c r="D1718" s="25"/>
      <c r="E1718" s="25"/>
      <c r="F1718" s="25">
        <v>5</v>
      </c>
      <c r="G1718" s="25"/>
      <c r="H1718" s="22">
        <f t="shared" si="26"/>
        <v>5</v>
      </c>
    </row>
    <row r="1719" spans="1:8" ht="15.75" customHeight="1">
      <c r="A1719" s="20" t="s">
        <v>2055</v>
      </c>
      <c r="B1719" s="20" t="s">
        <v>1481</v>
      </c>
      <c r="C1719" s="20" t="s">
        <v>2056</v>
      </c>
      <c r="D1719" s="21">
        <v>16</v>
      </c>
      <c r="E1719" s="21"/>
      <c r="F1719" s="21"/>
      <c r="G1719" s="21"/>
      <c r="H1719" s="22">
        <f t="shared" si="26"/>
        <v>16</v>
      </c>
    </row>
    <row r="1720" spans="1:8" ht="15.75" customHeight="1">
      <c r="A1720" s="24" t="s">
        <v>2914</v>
      </c>
      <c r="B1720" s="24" t="s">
        <v>1489</v>
      </c>
      <c r="C1720" s="24" t="s">
        <v>2915</v>
      </c>
      <c r="D1720" s="25"/>
      <c r="E1720" s="25">
        <v>30</v>
      </c>
      <c r="F1720" s="25"/>
      <c r="G1720" s="25">
        <v>10</v>
      </c>
      <c r="H1720" s="22">
        <f t="shared" si="26"/>
        <v>40</v>
      </c>
    </row>
    <row r="1721" spans="1:8" ht="15.75" customHeight="1">
      <c r="A1721" s="20" t="s">
        <v>2057</v>
      </c>
      <c r="B1721" s="20" t="s">
        <v>1489</v>
      </c>
      <c r="C1721" s="20" t="s">
        <v>2058</v>
      </c>
      <c r="D1721" s="21">
        <v>25</v>
      </c>
      <c r="E1721" s="21">
        <v>10</v>
      </c>
      <c r="F1721" s="21">
        <v>20</v>
      </c>
      <c r="G1721" s="21">
        <v>12</v>
      </c>
      <c r="H1721" s="22">
        <f t="shared" si="26"/>
        <v>67</v>
      </c>
    </row>
    <row r="1722" spans="1:8" ht="15.75" customHeight="1">
      <c r="A1722" s="24" t="s">
        <v>3407</v>
      </c>
      <c r="B1722" s="24" t="s">
        <v>1489</v>
      </c>
      <c r="C1722" s="24" t="s">
        <v>3408</v>
      </c>
      <c r="D1722" s="25"/>
      <c r="E1722" s="25"/>
      <c r="F1722" s="25">
        <v>10</v>
      </c>
      <c r="G1722" s="25"/>
      <c r="H1722" s="22">
        <f t="shared" si="26"/>
        <v>10</v>
      </c>
    </row>
    <row r="1723" spans="1:8" ht="15.75" customHeight="1">
      <c r="A1723" s="20" t="s">
        <v>3534</v>
      </c>
      <c r="B1723" s="20" t="s">
        <v>1489</v>
      </c>
      <c r="C1723" s="20" t="s">
        <v>3535</v>
      </c>
      <c r="D1723" s="21"/>
      <c r="E1723" s="21"/>
      <c r="F1723" s="21"/>
      <c r="G1723" s="21">
        <v>10</v>
      </c>
      <c r="H1723" s="22">
        <f t="shared" si="26"/>
        <v>10</v>
      </c>
    </row>
    <row r="1724" spans="1:8" ht="15.75" customHeight="1">
      <c r="A1724" s="24" t="s">
        <v>3409</v>
      </c>
      <c r="B1724" s="24" t="s">
        <v>3410</v>
      </c>
      <c r="C1724" s="24" t="s">
        <v>3411</v>
      </c>
      <c r="D1724" s="25"/>
      <c r="E1724" s="25"/>
      <c r="F1724" s="25">
        <v>3</v>
      </c>
      <c r="G1724" s="25"/>
      <c r="H1724" s="22">
        <f t="shared" si="26"/>
        <v>3</v>
      </c>
    </row>
    <row r="1725" spans="1:8" ht="15.75" customHeight="1">
      <c r="A1725" s="20" t="s">
        <v>3412</v>
      </c>
      <c r="B1725" s="20" t="s">
        <v>1491</v>
      </c>
      <c r="C1725" s="20" t="s">
        <v>3413</v>
      </c>
      <c r="D1725" s="21"/>
      <c r="E1725" s="21"/>
      <c r="F1725" s="21">
        <v>3</v>
      </c>
      <c r="G1725" s="21"/>
      <c r="H1725" s="22">
        <f t="shared" si="26"/>
        <v>3</v>
      </c>
    </row>
    <row r="1726" spans="1:8" ht="15.75" customHeight="1">
      <c r="A1726" s="24" t="s">
        <v>2059</v>
      </c>
      <c r="B1726" s="24" t="s">
        <v>1491</v>
      </c>
      <c r="C1726" s="24" t="s">
        <v>2060</v>
      </c>
      <c r="D1726" s="25">
        <v>10</v>
      </c>
      <c r="E1726" s="25">
        <v>8</v>
      </c>
      <c r="F1726" s="25"/>
      <c r="G1726" s="25">
        <v>8</v>
      </c>
      <c r="H1726" s="22">
        <f t="shared" si="26"/>
        <v>26</v>
      </c>
    </row>
    <row r="1727" spans="1:8" ht="15.75" customHeight="1">
      <c r="A1727" s="20" t="s">
        <v>2916</v>
      </c>
      <c r="B1727" s="20" t="s">
        <v>1491</v>
      </c>
      <c r="C1727" s="20" t="s">
        <v>2917</v>
      </c>
      <c r="D1727" s="21"/>
      <c r="E1727" s="21">
        <v>1</v>
      </c>
      <c r="F1727" s="21">
        <v>50</v>
      </c>
      <c r="G1727" s="21"/>
      <c r="H1727" s="22">
        <f t="shared" si="26"/>
        <v>51</v>
      </c>
    </row>
    <row r="1728" spans="1:8" ht="15.75" customHeight="1">
      <c r="A1728" s="24" t="s">
        <v>2918</v>
      </c>
      <c r="B1728" s="24" t="s">
        <v>1491</v>
      </c>
      <c r="C1728" s="24" t="s">
        <v>2919</v>
      </c>
      <c r="D1728" s="25"/>
      <c r="E1728" s="25">
        <v>25</v>
      </c>
      <c r="F1728" s="25"/>
      <c r="G1728" s="25"/>
      <c r="H1728" s="22">
        <f t="shared" si="26"/>
        <v>25</v>
      </c>
    </row>
    <row r="1729" spans="1:8" ht="15.75" customHeight="1">
      <c r="A1729" s="20" t="s">
        <v>2061</v>
      </c>
      <c r="B1729" s="20" t="s">
        <v>1493</v>
      </c>
      <c r="C1729" s="20" t="s">
        <v>2062</v>
      </c>
      <c r="D1729" s="21">
        <v>10</v>
      </c>
      <c r="E1729" s="21">
        <v>9</v>
      </c>
      <c r="F1729" s="21"/>
      <c r="G1729" s="21"/>
      <c r="H1729" s="22">
        <f t="shared" si="26"/>
        <v>19</v>
      </c>
    </row>
    <row r="1730" spans="1:8" ht="15.75" customHeight="1">
      <c r="A1730" s="24" t="s">
        <v>2063</v>
      </c>
      <c r="B1730" s="24" t="s">
        <v>1493</v>
      </c>
      <c r="C1730" s="24" t="s">
        <v>2064</v>
      </c>
      <c r="D1730" s="25">
        <v>50</v>
      </c>
      <c r="E1730" s="25"/>
      <c r="F1730" s="25"/>
      <c r="G1730" s="25">
        <v>10</v>
      </c>
      <c r="H1730" s="22">
        <f t="shared" si="26"/>
        <v>60</v>
      </c>
    </row>
    <row r="1731" spans="1:8" ht="15.75" customHeight="1">
      <c r="A1731" s="20" t="s">
        <v>2065</v>
      </c>
      <c r="B1731" s="20" t="s">
        <v>1493</v>
      </c>
      <c r="C1731" s="20" t="s">
        <v>2066</v>
      </c>
      <c r="D1731" s="21">
        <v>830</v>
      </c>
      <c r="E1731" s="21">
        <v>12</v>
      </c>
      <c r="F1731" s="21"/>
      <c r="G1731" s="21"/>
      <c r="H1731" s="22">
        <f t="shared" si="26"/>
        <v>842</v>
      </c>
    </row>
    <row r="1732" spans="1:8" ht="15.75" customHeight="1">
      <c r="A1732" s="24" t="s">
        <v>3414</v>
      </c>
      <c r="B1732" s="24" t="s">
        <v>1493</v>
      </c>
      <c r="C1732" s="24" t="s">
        <v>3415</v>
      </c>
      <c r="D1732" s="25"/>
      <c r="E1732" s="25"/>
      <c r="F1732" s="25">
        <v>40</v>
      </c>
      <c r="G1732" s="25"/>
      <c r="H1732" s="22">
        <f t="shared" ref="H1732:H1795" si="27">SUM(D1732:G1732)</f>
        <v>40</v>
      </c>
    </row>
    <row r="1733" spans="1:8" ht="15.75" customHeight="1">
      <c r="A1733" s="20" t="s">
        <v>3416</v>
      </c>
      <c r="B1733" s="20" t="s">
        <v>1493</v>
      </c>
      <c r="C1733" s="20" t="s">
        <v>3417</v>
      </c>
      <c r="D1733" s="21"/>
      <c r="E1733" s="21"/>
      <c r="F1733" s="21">
        <v>15</v>
      </c>
      <c r="G1733" s="21">
        <v>50</v>
      </c>
      <c r="H1733" s="22">
        <f t="shared" si="27"/>
        <v>65</v>
      </c>
    </row>
    <row r="1734" spans="1:8" ht="15.75" customHeight="1">
      <c r="A1734" s="24" t="s">
        <v>2920</v>
      </c>
      <c r="B1734" s="24" t="s">
        <v>2068</v>
      </c>
      <c r="C1734" s="24" t="s">
        <v>2921</v>
      </c>
      <c r="D1734" s="25"/>
      <c r="E1734" s="25">
        <v>12</v>
      </c>
      <c r="F1734" s="25"/>
      <c r="G1734" s="25"/>
      <c r="H1734" s="22">
        <f t="shared" si="27"/>
        <v>12</v>
      </c>
    </row>
    <row r="1735" spans="1:8" ht="15.75" customHeight="1">
      <c r="A1735" s="20" t="s">
        <v>2067</v>
      </c>
      <c r="B1735" s="20" t="s">
        <v>2068</v>
      </c>
      <c r="C1735" s="20" t="s">
        <v>2069</v>
      </c>
      <c r="D1735" s="21">
        <v>40</v>
      </c>
      <c r="E1735" s="21">
        <v>25</v>
      </c>
      <c r="F1735" s="21">
        <v>3</v>
      </c>
      <c r="G1735" s="21"/>
      <c r="H1735" s="22">
        <f t="shared" si="27"/>
        <v>68</v>
      </c>
    </row>
    <row r="1736" spans="1:8" ht="15.75" customHeight="1">
      <c r="A1736" s="24" t="s">
        <v>2922</v>
      </c>
      <c r="B1736" s="24" t="s">
        <v>2068</v>
      </c>
      <c r="C1736" s="24" t="s">
        <v>2923</v>
      </c>
      <c r="D1736" s="25"/>
      <c r="E1736" s="25">
        <v>25</v>
      </c>
      <c r="F1736" s="25"/>
      <c r="G1736" s="25"/>
      <c r="H1736" s="22">
        <f t="shared" si="27"/>
        <v>25</v>
      </c>
    </row>
    <row r="1737" spans="1:8" ht="15.75" customHeight="1">
      <c r="A1737" s="20" t="s">
        <v>2924</v>
      </c>
      <c r="B1737" s="20" t="s">
        <v>2068</v>
      </c>
      <c r="C1737" s="20" t="s">
        <v>2925</v>
      </c>
      <c r="D1737" s="21"/>
      <c r="E1737" s="21">
        <v>10</v>
      </c>
      <c r="F1737" s="21"/>
      <c r="G1737" s="21"/>
      <c r="H1737" s="22">
        <f t="shared" si="27"/>
        <v>10</v>
      </c>
    </row>
    <row r="1738" spans="1:8" ht="15.75" customHeight="1">
      <c r="A1738" s="24" t="s">
        <v>2926</v>
      </c>
      <c r="B1738" s="24" t="s">
        <v>2068</v>
      </c>
      <c r="C1738" s="24" t="s">
        <v>2927</v>
      </c>
      <c r="D1738" s="25"/>
      <c r="E1738" s="25">
        <v>10</v>
      </c>
      <c r="F1738" s="25"/>
      <c r="G1738" s="25"/>
      <c r="H1738" s="22">
        <f t="shared" si="27"/>
        <v>10</v>
      </c>
    </row>
    <row r="1739" spans="1:8" ht="15.75" customHeight="1">
      <c r="A1739" s="20" t="s">
        <v>2070</v>
      </c>
      <c r="B1739" s="20" t="s">
        <v>1504</v>
      </c>
      <c r="C1739" s="20" t="s">
        <v>2071</v>
      </c>
      <c r="D1739" s="21">
        <v>14</v>
      </c>
      <c r="E1739" s="21"/>
      <c r="F1739" s="21">
        <v>11</v>
      </c>
      <c r="G1739" s="21"/>
      <c r="H1739" s="22">
        <f t="shared" si="27"/>
        <v>25</v>
      </c>
    </row>
    <row r="1740" spans="1:8" ht="15.75" customHeight="1">
      <c r="A1740" s="24" t="s">
        <v>2072</v>
      </c>
      <c r="B1740" s="24" t="s">
        <v>2068</v>
      </c>
      <c r="C1740" s="24" t="s">
        <v>2073</v>
      </c>
      <c r="D1740" s="25">
        <v>30</v>
      </c>
      <c r="E1740" s="25">
        <v>2</v>
      </c>
      <c r="F1740" s="25"/>
      <c r="G1740" s="25"/>
      <c r="H1740" s="22">
        <f t="shared" si="27"/>
        <v>32</v>
      </c>
    </row>
    <row r="1741" spans="1:8" ht="15.75" customHeight="1">
      <c r="A1741" s="20" t="s">
        <v>2074</v>
      </c>
      <c r="B1741" s="20" t="s">
        <v>1460</v>
      </c>
      <c r="C1741" s="20" t="s">
        <v>324</v>
      </c>
      <c r="D1741" s="21">
        <v>50</v>
      </c>
      <c r="E1741" s="21"/>
      <c r="F1741" s="21"/>
      <c r="G1741" s="21"/>
      <c r="H1741" s="22">
        <f t="shared" si="27"/>
        <v>50</v>
      </c>
    </row>
    <row r="1742" spans="1:8" ht="15.75" customHeight="1">
      <c r="A1742" s="24" t="s">
        <v>2075</v>
      </c>
      <c r="B1742" s="24" t="s">
        <v>2068</v>
      </c>
      <c r="C1742" s="24" t="s">
        <v>2076</v>
      </c>
      <c r="D1742" s="25">
        <v>15</v>
      </c>
      <c r="E1742" s="25">
        <v>10</v>
      </c>
      <c r="F1742" s="25">
        <v>200</v>
      </c>
      <c r="G1742" s="25"/>
      <c r="H1742" s="22">
        <f t="shared" si="27"/>
        <v>225</v>
      </c>
    </row>
    <row r="1743" spans="1:8" ht="15.75" customHeight="1">
      <c r="A1743" s="20" t="s">
        <v>2077</v>
      </c>
      <c r="B1743" s="20" t="s">
        <v>2008</v>
      </c>
      <c r="C1743" s="20" t="s">
        <v>2078</v>
      </c>
      <c r="D1743" s="21">
        <v>91</v>
      </c>
      <c r="E1743" s="21"/>
      <c r="F1743" s="21">
        <v>10</v>
      </c>
      <c r="G1743" s="21"/>
      <c r="H1743" s="22">
        <f t="shared" si="27"/>
        <v>101</v>
      </c>
    </row>
    <row r="1744" spans="1:8" ht="15.75" customHeight="1">
      <c r="A1744" s="24" t="s">
        <v>2079</v>
      </c>
      <c r="B1744" s="24" t="s">
        <v>2008</v>
      </c>
      <c r="C1744" s="24" t="s">
        <v>2080</v>
      </c>
      <c r="D1744" s="25">
        <v>45</v>
      </c>
      <c r="E1744" s="25"/>
      <c r="F1744" s="25">
        <v>10</v>
      </c>
      <c r="G1744" s="25"/>
      <c r="H1744" s="22">
        <f t="shared" si="27"/>
        <v>55</v>
      </c>
    </row>
    <row r="1745" spans="1:8" ht="15.75" customHeight="1">
      <c r="A1745" s="20" t="s">
        <v>2081</v>
      </c>
      <c r="B1745" s="20" t="s">
        <v>1523</v>
      </c>
      <c r="C1745" s="20" t="s">
        <v>1949</v>
      </c>
      <c r="D1745" s="21">
        <v>1</v>
      </c>
      <c r="E1745" s="21"/>
      <c r="F1745" s="21"/>
      <c r="G1745" s="21"/>
      <c r="H1745" s="22">
        <f t="shared" si="27"/>
        <v>1</v>
      </c>
    </row>
    <row r="1746" spans="1:8" ht="15.75" customHeight="1">
      <c r="A1746" s="24" t="s">
        <v>2082</v>
      </c>
      <c r="B1746" s="24" t="s">
        <v>1460</v>
      </c>
      <c r="C1746" s="24" t="s">
        <v>2083</v>
      </c>
      <c r="D1746" s="25">
        <v>274</v>
      </c>
      <c r="E1746" s="25">
        <v>260</v>
      </c>
      <c r="F1746" s="25">
        <v>220</v>
      </c>
      <c r="G1746" s="25">
        <v>93</v>
      </c>
      <c r="H1746" s="22">
        <f t="shared" si="27"/>
        <v>847</v>
      </c>
    </row>
    <row r="1747" spans="1:8" ht="15.75" customHeight="1">
      <c r="A1747" s="20" t="s">
        <v>2084</v>
      </c>
      <c r="B1747" s="20" t="s">
        <v>1460</v>
      </c>
      <c r="C1747" s="20" t="s">
        <v>1668</v>
      </c>
      <c r="D1747" s="21">
        <v>5</v>
      </c>
      <c r="E1747" s="21"/>
      <c r="F1747" s="21"/>
      <c r="G1747" s="21"/>
      <c r="H1747" s="22">
        <f t="shared" si="27"/>
        <v>5</v>
      </c>
    </row>
    <row r="1748" spans="1:8" ht="15.75" customHeight="1">
      <c r="A1748" s="24" t="s">
        <v>2085</v>
      </c>
      <c r="B1748" s="24" t="s">
        <v>1460</v>
      </c>
      <c r="C1748" s="24" t="s">
        <v>1700</v>
      </c>
      <c r="D1748" s="25">
        <v>10</v>
      </c>
      <c r="E1748" s="25"/>
      <c r="F1748" s="25">
        <v>30</v>
      </c>
      <c r="G1748" s="25"/>
      <c r="H1748" s="22">
        <f t="shared" si="27"/>
        <v>40</v>
      </c>
    </row>
    <row r="1749" spans="1:8" ht="15.75" customHeight="1">
      <c r="A1749" s="20" t="s">
        <v>2086</v>
      </c>
      <c r="B1749" s="20" t="s">
        <v>1460</v>
      </c>
      <c r="C1749" s="20" t="s">
        <v>2087</v>
      </c>
      <c r="D1749" s="21">
        <v>556</v>
      </c>
      <c r="E1749" s="21">
        <v>282</v>
      </c>
      <c r="F1749" s="21">
        <v>469</v>
      </c>
      <c r="G1749" s="21">
        <v>100</v>
      </c>
      <c r="H1749" s="22">
        <f t="shared" si="27"/>
        <v>1407</v>
      </c>
    </row>
    <row r="1750" spans="1:8" ht="15.75" customHeight="1">
      <c r="A1750" s="24" t="s">
        <v>2088</v>
      </c>
      <c r="B1750" s="24" t="s">
        <v>1460</v>
      </c>
      <c r="C1750" s="24" t="s">
        <v>2089</v>
      </c>
      <c r="D1750" s="25">
        <v>330</v>
      </c>
      <c r="E1750" s="25">
        <v>201</v>
      </c>
      <c r="F1750" s="25">
        <v>305</v>
      </c>
      <c r="G1750" s="25">
        <v>10</v>
      </c>
      <c r="H1750" s="22">
        <f t="shared" si="27"/>
        <v>846</v>
      </c>
    </row>
    <row r="1751" spans="1:8" ht="15.75" customHeight="1">
      <c r="A1751" s="20" t="s">
        <v>2090</v>
      </c>
      <c r="B1751" s="20" t="s">
        <v>1460</v>
      </c>
      <c r="C1751" s="20" t="s">
        <v>2091</v>
      </c>
      <c r="D1751" s="21">
        <v>61</v>
      </c>
      <c r="E1751" s="21">
        <v>38</v>
      </c>
      <c r="F1751" s="21"/>
      <c r="G1751" s="21"/>
      <c r="H1751" s="22">
        <f t="shared" si="27"/>
        <v>99</v>
      </c>
    </row>
    <row r="1752" spans="1:8" ht="15.75" customHeight="1">
      <c r="A1752" s="24" t="s">
        <v>2092</v>
      </c>
      <c r="B1752" s="24" t="s">
        <v>1460</v>
      </c>
      <c r="C1752" s="24" t="s">
        <v>2093</v>
      </c>
      <c r="D1752" s="25">
        <v>52</v>
      </c>
      <c r="E1752" s="25">
        <v>20</v>
      </c>
      <c r="F1752" s="25">
        <v>1</v>
      </c>
      <c r="G1752" s="25"/>
      <c r="H1752" s="22">
        <f t="shared" si="27"/>
        <v>73</v>
      </c>
    </row>
    <row r="1753" spans="1:8" ht="15.75" customHeight="1">
      <c r="A1753" s="20" t="s">
        <v>2094</v>
      </c>
      <c r="B1753" s="20" t="s">
        <v>1460</v>
      </c>
      <c r="C1753" s="20" t="s">
        <v>2095</v>
      </c>
      <c r="D1753" s="21">
        <v>35</v>
      </c>
      <c r="E1753" s="21"/>
      <c r="F1753" s="21"/>
      <c r="G1753" s="21"/>
      <c r="H1753" s="22">
        <f t="shared" si="27"/>
        <v>35</v>
      </c>
    </row>
    <row r="1754" spans="1:8" ht="15.75" customHeight="1">
      <c r="A1754" s="24" t="s">
        <v>2096</v>
      </c>
      <c r="B1754" s="24" t="s">
        <v>1463</v>
      </c>
      <c r="C1754" s="24" t="s">
        <v>2097</v>
      </c>
      <c r="D1754" s="25">
        <v>140</v>
      </c>
      <c r="E1754" s="25">
        <v>57</v>
      </c>
      <c r="F1754" s="25">
        <v>30</v>
      </c>
      <c r="G1754" s="25"/>
      <c r="H1754" s="22">
        <f t="shared" si="27"/>
        <v>227</v>
      </c>
    </row>
    <row r="1755" spans="1:8" ht="15.75" customHeight="1">
      <c r="A1755" s="20" t="s">
        <v>2098</v>
      </c>
      <c r="B1755" s="20" t="s">
        <v>1463</v>
      </c>
      <c r="C1755" s="20" t="s">
        <v>2099</v>
      </c>
      <c r="D1755" s="21">
        <v>303</v>
      </c>
      <c r="E1755" s="21">
        <v>123</v>
      </c>
      <c r="F1755" s="21">
        <v>70</v>
      </c>
      <c r="G1755" s="21"/>
      <c r="H1755" s="22">
        <f t="shared" si="27"/>
        <v>496</v>
      </c>
    </row>
    <row r="1756" spans="1:8" ht="15.75" customHeight="1">
      <c r="A1756" s="24" t="s">
        <v>2100</v>
      </c>
      <c r="B1756" s="24" t="s">
        <v>1463</v>
      </c>
      <c r="C1756" s="24" t="s">
        <v>2101</v>
      </c>
      <c r="D1756" s="25">
        <v>228</v>
      </c>
      <c r="E1756" s="25">
        <v>117</v>
      </c>
      <c r="F1756" s="25">
        <v>90</v>
      </c>
      <c r="G1756" s="25">
        <v>20</v>
      </c>
      <c r="H1756" s="22">
        <f t="shared" si="27"/>
        <v>455</v>
      </c>
    </row>
    <row r="1757" spans="1:8" ht="15.75" customHeight="1">
      <c r="A1757" s="20" t="s">
        <v>2102</v>
      </c>
      <c r="B1757" s="20" t="s">
        <v>1463</v>
      </c>
      <c r="C1757" s="20" t="s">
        <v>2103</v>
      </c>
      <c r="D1757" s="21">
        <v>16</v>
      </c>
      <c r="E1757" s="21">
        <v>7</v>
      </c>
      <c r="F1757" s="21">
        <v>3</v>
      </c>
      <c r="G1757" s="21">
        <v>30</v>
      </c>
      <c r="H1757" s="22">
        <f t="shared" si="27"/>
        <v>56</v>
      </c>
    </row>
    <row r="1758" spans="1:8" ht="15.75" customHeight="1">
      <c r="A1758" s="24" t="s">
        <v>2928</v>
      </c>
      <c r="B1758" s="24" t="s">
        <v>2929</v>
      </c>
      <c r="C1758" s="24" t="s">
        <v>1911</v>
      </c>
      <c r="D1758" s="25"/>
      <c r="E1758" s="25">
        <v>35</v>
      </c>
      <c r="F1758" s="25">
        <v>48</v>
      </c>
      <c r="G1758" s="25">
        <v>19</v>
      </c>
      <c r="H1758" s="22">
        <f t="shared" si="27"/>
        <v>102</v>
      </c>
    </row>
    <row r="1759" spans="1:8" ht="15.75" customHeight="1">
      <c r="A1759" s="20" t="s">
        <v>2930</v>
      </c>
      <c r="B1759" s="20" t="s">
        <v>2929</v>
      </c>
      <c r="C1759" s="20" t="s">
        <v>1913</v>
      </c>
      <c r="D1759" s="21"/>
      <c r="E1759" s="21">
        <v>42</v>
      </c>
      <c r="F1759" s="21">
        <v>39</v>
      </c>
      <c r="G1759" s="21">
        <v>11</v>
      </c>
      <c r="H1759" s="22">
        <f t="shared" si="27"/>
        <v>92</v>
      </c>
    </row>
    <row r="1760" spans="1:8" ht="15.75" customHeight="1">
      <c r="A1760" s="24" t="s">
        <v>2931</v>
      </c>
      <c r="B1760" s="24" t="s">
        <v>2929</v>
      </c>
      <c r="C1760" s="24" t="s">
        <v>1904</v>
      </c>
      <c r="D1760" s="25"/>
      <c r="E1760" s="25">
        <v>15</v>
      </c>
      <c r="F1760" s="25">
        <v>11</v>
      </c>
      <c r="G1760" s="25">
        <v>10</v>
      </c>
      <c r="H1760" s="22">
        <f t="shared" si="27"/>
        <v>36</v>
      </c>
    </row>
    <row r="1761" spans="1:8" ht="15.75" customHeight="1">
      <c r="A1761" s="20" t="s">
        <v>2104</v>
      </c>
      <c r="B1761" s="20" t="s">
        <v>1466</v>
      </c>
      <c r="C1761" s="20" t="s">
        <v>2105</v>
      </c>
      <c r="D1761" s="21">
        <v>2467</v>
      </c>
      <c r="E1761" s="21">
        <v>1988</v>
      </c>
      <c r="F1761" s="21">
        <v>1775</v>
      </c>
      <c r="G1761" s="21">
        <v>675</v>
      </c>
      <c r="H1761" s="22">
        <f t="shared" si="27"/>
        <v>6905</v>
      </c>
    </row>
    <row r="1762" spans="1:8" ht="15.75" customHeight="1">
      <c r="A1762" s="24" t="s">
        <v>2106</v>
      </c>
      <c r="B1762" s="24" t="s">
        <v>1466</v>
      </c>
      <c r="C1762" s="24" t="s">
        <v>1668</v>
      </c>
      <c r="D1762" s="25">
        <v>33</v>
      </c>
      <c r="E1762" s="25">
        <v>170</v>
      </c>
      <c r="F1762" s="25"/>
      <c r="G1762" s="25"/>
      <c r="H1762" s="22">
        <f t="shared" si="27"/>
        <v>203</v>
      </c>
    </row>
    <row r="1763" spans="1:8" ht="15.75" customHeight="1">
      <c r="A1763" s="20" t="s">
        <v>2932</v>
      </c>
      <c r="B1763" s="20" t="s">
        <v>1466</v>
      </c>
      <c r="C1763" s="20" t="s">
        <v>1700</v>
      </c>
      <c r="D1763" s="21"/>
      <c r="E1763" s="21">
        <v>110</v>
      </c>
      <c r="F1763" s="21">
        <v>20</v>
      </c>
      <c r="G1763" s="21">
        <v>10</v>
      </c>
      <c r="H1763" s="22">
        <f t="shared" si="27"/>
        <v>140</v>
      </c>
    </row>
    <row r="1764" spans="1:8" ht="15.75" customHeight="1">
      <c r="A1764" s="24" t="s">
        <v>2107</v>
      </c>
      <c r="B1764" s="24" t="s">
        <v>1466</v>
      </c>
      <c r="C1764" s="24" t="s">
        <v>2108</v>
      </c>
      <c r="D1764" s="25">
        <v>2793</v>
      </c>
      <c r="E1764" s="25">
        <v>2454</v>
      </c>
      <c r="F1764" s="25">
        <v>2137</v>
      </c>
      <c r="G1764" s="25">
        <v>295</v>
      </c>
      <c r="H1764" s="22">
        <f t="shared" si="27"/>
        <v>7679</v>
      </c>
    </row>
    <row r="1765" spans="1:8" ht="15.75" customHeight="1">
      <c r="A1765" s="20" t="s">
        <v>2109</v>
      </c>
      <c r="B1765" s="20" t="s">
        <v>1466</v>
      </c>
      <c r="C1765" s="20" t="s">
        <v>2110</v>
      </c>
      <c r="D1765" s="21">
        <v>2</v>
      </c>
      <c r="E1765" s="21"/>
      <c r="F1765" s="21"/>
      <c r="G1765" s="21">
        <v>10</v>
      </c>
      <c r="H1765" s="22">
        <f t="shared" si="27"/>
        <v>12</v>
      </c>
    </row>
    <row r="1766" spans="1:8" ht="15.75" customHeight="1">
      <c r="A1766" s="24" t="s">
        <v>2111</v>
      </c>
      <c r="B1766" s="24" t="s">
        <v>1466</v>
      </c>
      <c r="C1766" s="24" t="s">
        <v>1783</v>
      </c>
      <c r="D1766" s="25">
        <v>6</v>
      </c>
      <c r="E1766" s="25"/>
      <c r="F1766" s="25"/>
      <c r="G1766" s="25">
        <v>10</v>
      </c>
      <c r="H1766" s="22">
        <f t="shared" si="27"/>
        <v>16</v>
      </c>
    </row>
    <row r="1767" spans="1:8" ht="15.75" customHeight="1">
      <c r="A1767" s="20" t="s">
        <v>2112</v>
      </c>
      <c r="B1767" s="20" t="s">
        <v>1466</v>
      </c>
      <c r="C1767" s="20" t="s">
        <v>1722</v>
      </c>
      <c r="D1767" s="21">
        <v>6</v>
      </c>
      <c r="E1767" s="21">
        <v>20</v>
      </c>
      <c r="F1767" s="21">
        <v>60</v>
      </c>
      <c r="G1767" s="21">
        <v>10</v>
      </c>
      <c r="H1767" s="22">
        <f t="shared" si="27"/>
        <v>96</v>
      </c>
    </row>
    <row r="1768" spans="1:8" ht="15.75" customHeight="1">
      <c r="A1768" s="24" t="s">
        <v>2113</v>
      </c>
      <c r="B1768" s="24" t="s">
        <v>1466</v>
      </c>
      <c r="C1768" s="24" t="s">
        <v>2114</v>
      </c>
      <c r="D1768" s="25">
        <v>85</v>
      </c>
      <c r="E1768" s="25">
        <v>175</v>
      </c>
      <c r="F1768" s="25">
        <v>218</v>
      </c>
      <c r="G1768" s="25">
        <v>250</v>
      </c>
      <c r="H1768" s="22">
        <f t="shared" si="27"/>
        <v>728</v>
      </c>
    </row>
    <row r="1769" spans="1:8" ht="15.75" customHeight="1">
      <c r="A1769" s="20" t="s">
        <v>2115</v>
      </c>
      <c r="B1769" s="20" t="s">
        <v>1466</v>
      </c>
      <c r="C1769" s="20" t="s">
        <v>2116</v>
      </c>
      <c r="D1769" s="21">
        <v>1493</v>
      </c>
      <c r="E1769" s="21">
        <v>1149</v>
      </c>
      <c r="F1769" s="21">
        <v>835</v>
      </c>
      <c r="G1769" s="21">
        <v>135</v>
      </c>
      <c r="H1769" s="22">
        <f t="shared" si="27"/>
        <v>3612</v>
      </c>
    </row>
    <row r="1770" spans="1:8" ht="15.75" customHeight="1">
      <c r="A1770" s="24" t="s">
        <v>2117</v>
      </c>
      <c r="B1770" s="24" t="s">
        <v>1466</v>
      </c>
      <c r="C1770" s="24" t="s">
        <v>2118</v>
      </c>
      <c r="D1770" s="25">
        <v>2</v>
      </c>
      <c r="E1770" s="25"/>
      <c r="F1770" s="25"/>
      <c r="G1770" s="25"/>
      <c r="H1770" s="22">
        <f t="shared" si="27"/>
        <v>2</v>
      </c>
    </row>
    <row r="1771" spans="1:8" ht="15.75" customHeight="1">
      <c r="A1771" s="20" t="s">
        <v>2119</v>
      </c>
      <c r="B1771" s="20" t="s">
        <v>1466</v>
      </c>
      <c r="C1771" s="20" t="s">
        <v>2120</v>
      </c>
      <c r="D1771" s="21">
        <v>79</v>
      </c>
      <c r="E1771" s="21">
        <v>92</v>
      </c>
      <c r="F1771" s="21">
        <v>189</v>
      </c>
      <c r="G1771" s="21">
        <v>23</v>
      </c>
      <c r="H1771" s="22">
        <f t="shared" si="27"/>
        <v>383</v>
      </c>
    </row>
    <row r="1772" spans="1:8" ht="15.75" customHeight="1">
      <c r="A1772" s="24" t="s">
        <v>2121</v>
      </c>
      <c r="B1772" s="24" t="s">
        <v>1466</v>
      </c>
      <c r="C1772" s="24" t="s">
        <v>2122</v>
      </c>
      <c r="D1772" s="25">
        <v>208</v>
      </c>
      <c r="E1772" s="25">
        <v>28</v>
      </c>
      <c r="F1772" s="25">
        <v>50</v>
      </c>
      <c r="G1772" s="25"/>
      <c r="H1772" s="22">
        <f t="shared" si="27"/>
        <v>286</v>
      </c>
    </row>
    <row r="1773" spans="1:8" ht="15.75" customHeight="1">
      <c r="A1773" s="20" t="s">
        <v>2123</v>
      </c>
      <c r="B1773" s="20" t="s">
        <v>1466</v>
      </c>
      <c r="C1773" s="20" t="s">
        <v>2124</v>
      </c>
      <c r="D1773" s="21">
        <v>203</v>
      </c>
      <c r="E1773" s="21">
        <v>30</v>
      </c>
      <c r="F1773" s="21">
        <v>72</v>
      </c>
      <c r="G1773" s="21"/>
      <c r="H1773" s="22">
        <f t="shared" si="27"/>
        <v>305</v>
      </c>
    </row>
    <row r="1774" spans="1:8" ht="15.75" customHeight="1">
      <c r="A1774" s="24" t="s">
        <v>2125</v>
      </c>
      <c r="B1774" s="24" t="s">
        <v>1466</v>
      </c>
      <c r="C1774" s="24" t="s">
        <v>2126</v>
      </c>
      <c r="D1774" s="25">
        <v>2182</v>
      </c>
      <c r="E1774" s="25">
        <v>1570</v>
      </c>
      <c r="F1774" s="25">
        <v>867</v>
      </c>
      <c r="G1774" s="25">
        <v>70</v>
      </c>
      <c r="H1774" s="22">
        <f t="shared" si="27"/>
        <v>4689</v>
      </c>
    </row>
    <row r="1775" spans="1:8" ht="15.75" customHeight="1">
      <c r="A1775" s="20" t="s">
        <v>3536</v>
      </c>
      <c r="B1775" s="20" t="s">
        <v>1466</v>
      </c>
      <c r="C1775" s="20" t="s">
        <v>3537</v>
      </c>
      <c r="D1775" s="21"/>
      <c r="E1775" s="21"/>
      <c r="F1775" s="21"/>
      <c r="G1775" s="21">
        <v>1</v>
      </c>
      <c r="H1775" s="22">
        <f t="shared" si="27"/>
        <v>1</v>
      </c>
    </row>
    <row r="1776" spans="1:8" ht="15.75" customHeight="1">
      <c r="A1776" s="24" t="s">
        <v>2127</v>
      </c>
      <c r="B1776" s="24" t="s">
        <v>1466</v>
      </c>
      <c r="C1776" s="24" t="s">
        <v>2128</v>
      </c>
      <c r="D1776" s="25">
        <v>153</v>
      </c>
      <c r="E1776" s="25">
        <v>429</v>
      </c>
      <c r="F1776" s="25">
        <v>320</v>
      </c>
      <c r="G1776" s="25">
        <v>30</v>
      </c>
      <c r="H1776" s="22">
        <f t="shared" si="27"/>
        <v>932</v>
      </c>
    </row>
    <row r="1777" spans="1:8" ht="15.75" customHeight="1">
      <c r="A1777" s="20" t="s">
        <v>2129</v>
      </c>
      <c r="B1777" s="20" t="s">
        <v>1466</v>
      </c>
      <c r="C1777" s="20" t="s">
        <v>2130</v>
      </c>
      <c r="D1777" s="21">
        <v>60</v>
      </c>
      <c r="E1777" s="21">
        <v>3</v>
      </c>
      <c r="F1777" s="21">
        <v>20</v>
      </c>
      <c r="G1777" s="21">
        <v>20</v>
      </c>
      <c r="H1777" s="22">
        <f t="shared" si="27"/>
        <v>103</v>
      </c>
    </row>
    <row r="1778" spans="1:8" ht="15.75" customHeight="1">
      <c r="A1778" s="24" t="s">
        <v>2131</v>
      </c>
      <c r="B1778" s="24" t="s">
        <v>1466</v>
      </c>
      <c r="C1778" s="24" t="s">
        <v>2132</v>
      </c>
      <c r="D1778" s="25">
        <v>160</v>
      </c>
      <c r="E1778" s="25">
        <v>345</v>
      </c>
      <c r="F1778" s="25">
        <v>250</v>
      </c>
      <c r="G1778" s="25">
        <v>22</v>
      </c>
      <c r="H1778" s="22">
        <f t="shared" si="27"/>
        <v>777</v>
      </c>
    </row>
    <row r="1779" spans="1:8" ht="15.75" customHeight="1">
      <c r="A1779" s="20" t="s">
        <v>2133</v>
      </c>
      <c r="B1779" s="20" t="s">
        <v>1466</v>
      </c>
      <c r="C1779" s="20" t="s">
        <v>2134</v>
      </c>
      <c r="D1779" s="21">
        <v>50</v>
      </c>
      <c r="E1779" s="21">
        <v>80</v>
      </c>
      <c r="F1779" s="21"/>
      <c r="G1779" s="21">
        <v>20</v>
      </c>
      <c r="H1779" s="22">
        <f t="shared" si="27"/>
        <v>150</v>
      </c>
    </row>
    <row r="1780" spans="1:8" ht="15.75" customHeight="1">
      <c r="A1780" s="24" t="s">
        <v>2933</v>
      </c>
      <c r="B1780" s="24" t="s">
        <v>1466</v>
      </c>
      <c r="C1780" s="24" t="s">
        <v>1946</v>
      </c>
      <c r="D1780" s="25"/>
      <c r="E1780" s="25">
        <v>30</v>
      </c>
      <c r="F1780" s="25"/>
      <c r="G1780" s="25"/>
      <c r="H1780" s="22">
        <f t="shared" si="27"/>
        <v>30</v>
      </c>
    </row>
    <row r="1781" spans="1:8" ht="15.75" customHeight="1">
      <c r="A1781" s="20" t="s">
        <v>2934</v>
      </c>
      <c r="B1781" s="20" t="s">
        <v>1475</v>
      </c>
      <c r="C1781" s="20" t="s">
        <v>1946</v>
      </c>
      <c r="D1781" s="21"/>
      <c r="E1781" s="21">
        <v>20</v>
      </c>
      <c r="F1781" s="21"/>
      <c r="G1781" s="21"/>
      <c r="H1781" s="22">
        <f t="shared" si="27"/>
        <v>20</v>
      </c>
    </row>
    <row r="1782" spans="1:8" ht="15.75" customHeight="1">
      <c r="A1782" s="24" t="s">
        <v>2135</v>
      </c>
      <c r="B1782" s="24" t="s">
        <v>1471</v>
      </c>
      <c r="C1782" s="24" t="s">
        <v>2136</v>
      </c>
      <c r="D1782" s="25">
        <v>294</v>
      </c>
      <c r="E1782" s="25">
        <v>101</v>
      </c>
      <c r="F1782" s="25">
        <v>49</v>
      </c>
      <c r="G1782" s="25">
        <v>20</v>
      </c>
      <c r="H1782" s="22">
        <f t="shared" si="27"/>
        <v>464</v>
      </c>
    </row>
    <row r="1783" spans="1:8" ht="15.75" customHeight="1">
      <c r="A1783" s="20" t="s">
        <v>2137</v>
      </c>
      <c r="B1783" s="20" t="s">
        <v>1471</v>
      </c>
      <c r="C1783" s="20" t="s">
        <v>2138</v>
      </c>
      <c r="D1783" s="21">
        <v>325</v>
      </c>
      <c r="E1783" s="21">
        <v>180</v>
      </c>
      <c r="F1783" s="21">
        <v>180</v>
      </c>
      <c r="G1783" s="21">
        <v>30</v>
      </c>
      <c r="H1783" s="22">
        <f t="shared" si="27"/>
        <v>715</v>
      </c>
    </row>
    <row r="1784" spans="1:8" ht="15.75" customHeight="1">
      <c r="A1784" s="24" t="s">
        <v>2139</v>
      </c>
      <c r="B1784" s="24" t="s">
        <v>1471</v>
      </c>
      <c r="C1784" s="24" t="s">
        <v>2140</v>
      </c>
      <c r="D1784" s="25">
        <v>250</v>
      </c>
      <c r="E1784" s="25">
        <v>35</v>
      </c>
      <c r="F1784" s="25">
        <v>8</v>
      </c>
      <c r="G1784" s="25">
        <v>20</v>
      </c>
      <c r="H1784" s="22">
        <f t="shared" si="27"/>
        <v>313</v>
      </c>
    </row>
    <row r="1785" spans="1:8" ht="15.75" customHeight="1">
      <c r="A1785" s="20" t="s">
        <v>2141</v>
      </c>
      <c r="B1785" s="20" t="s">
        <v>1471</v>
      </c>
      <c r="C1785" s="20" t="s">
        <v>2142</v>
      </c>
      <c r="D1785" s="21">
        <v>40</v>
      </c>
      <c r="E1785" s="21">
        <v>66</v>
      </c>
      <c r="F1785" s="21">
        <v>84</v>
      </c>
      <c r="G1785" s="21"/>
      <c r="H1785" s="22">
        <f t="shared" si="27"/>
        <v>190</v>
      </c>
    </row>
    <row r="1786" spans="1:8" ht="15.75" customHeight="1">
      <c r="A1786" s="24" t="s">
        <v>2143</v>
      </c>
      <c r="B1786" s="24" t="s">
        <v>1471</v>
      </c>
      <c r="C1786" s="24" t="s">
        <v>2144</v>
      </c>
      <c r="D1786" s="25">
        <v>45</v>
      </c>
      <c r="E1786" s="25"/>
      <c r="F1786" s="25"/>
      <c r="G1786" s="25"/>
      <c r="H1786" s="22">
        <f t="shared" si="27"/>
        <v>45</v>
      </c>
    </row>
    <row r="1787" spans="1:8" ht="15.75" customHeight="1">
      <c r="A1787" s="20" t="s">
        <v>2145</v>
      </c>
      <c r="B1787" s="20" t="s">
        <v>1471</v>
      </c>
      <c r="C1787" s="20" t="s">
        <v>2146</v>
      </c>
      <c r="D1787" s="21">
        <v>88</v>
      </c>
      <c r="E1787" s="21">
        <v>20</v>
      </c>
      <c r="F1787" s="21"/>
      <c r="G1787" s="21"/>
      <c r="H1787" s="22">
        <f t="shared" si="27"/>
        <v>108</v>
      </c>
    </row>
    <row r="1788" spans="1:8" ht="15.75" customHeight="1">
      <c r="A1788" s="24" t="s">
        <v>2147</v>
      </c>
      <c r="B1788" s="24" t="s">
        <v>1471</v>
      </c>
      <c r="C1788" s="24" t="s">
        <v>2148</v>
      </c>
      <c r="D1788" s="25">
        <v>17</v>
      </c>
      <c r="E1788" s="25">
        <v>57</v>
      </c>
      <c r="F1788" s="25">
        <v>131</v>
      </c>
      <c r="G1788" s="25"/>
      <c r="H1788" s="22">
        <f t="shared" si="27"/>
        <v>205</v>
      </c>
    </row>
    <row r="1789" spans="1:8" ht="15.75" customHeight="1">
      <c r="A1789" s="20" t="s">
        <v>2149</v>
      </c>
      <c r="B1789" s="20" t="s">
        <v>1471</v>
      </c>
      <c r="C1789" s="20" t="s">
        <v>2150</v>
      </c>
      <c r="D1789" s="21">
        <v>350</v>
      </c>
      <c r="E1789" s="21">
        <v>155</v>
      </c>
      <c r="F1789" s="21">
        <v>95</v>
      </c>
      <c r="G1789" s="21">
        <v>10</v>
      </c>
      <c r="H1789" s="22">
        <f t="shared" si="27"/>
        <v>610</v>
      </c>
    </row>
    <row r="1790" spans="1:8" ht="15.75" customHeight="1">
      <c r="A1790" s="24" t="s">
        <v>2151</v>
      </c>
      <c r="B1790" s="24" t="s">
        <v>1471</v>
      </c>
      <c r="C1790" s="24" t="s">
        <v>2152</v>
      </c>
      <c r="D1790" s="25">
        <v>70</v>
      </c>
      <c r="E1790" s="25">
        <v>30</v>
      </c>
      <c r="F1790" s="25"/>
      <c r="G1790" s="25"/>
      <c r="H1790" s="22">
        <f t="shared" si="27"/>
        <v>100</v>
      </c>
    </row>
    <row r="1791" spans="1:8" ht="15.75" customHeight="1">
      <c r="A1791" s="20" t="s">
        <v>2935</v>
      </c>
      <c r="B1791" s="20" t="s">
        <v>1471</v>
      </c>
      <c r="C1791" s="20" t="s">
        <v>2936</v>
      </c>
      <c r="D1791" s="21"/>
      <c r="E1791" s="21">
        <v>15</v>
      </c>
      <c r="F1791" s="21"/>
      <c r="G1791" s="21"/>
      <c r="H1791" s="22">
        <f t="shared" si="27"/>
        <v>15</v>
      </c>
    </row>
    <row r="1792" spans="1:8" ht="15.75" customHeight="1">
      <c r="A1792" s="24" t="s">
        <v>2153</v>
      </c>
      <c r="B1792" s="24" t="s">
        <v>1475</v>
      </c>
      <c r="C1792" s="24" t="s">
        <v>2154</v>
      </c>
      <c r="D1792" s="25">
        <v>1887</v>
      </c>
      <c r="E1792" s="25">
        <v>1278</v>
      </c>
      <c r="F1792" s="25">
        <v>1741</v>
      </c>
      <c r="G1792" s="25">
        <v>824</v>
      </c>
      <c r="H1792" s="22">
        <f t="shared" si="27"/>
        <v>5730</v>
      </c>
    </row>
    <row r="1793" spans="1:8" ht="15.75" customHeight="1">
      <c r="A1793" s="20" t="s">
        <v>2155</v>
      </c>
      <c r="B1793" s="20" t="s">
        <v>1475</v>
      </c>
      <c r="C1793" s="20" t="s">
        <v>1668</v>
      </c>
      <c r="D1793" s="21">
        <v>60</v>
      </c>
      <c r="E1793" s="21">
        <v>10</v>
      </c>
      <c r="F1793" s="21">
        <v>25</v>
      </c>
      <c r="G1793" s="21">
        <v>20</v>
      </c>
      <c r="H1793" s="22">
        <f t="shared" si="27"/>
        <v>115</v>
      </c>
    </row>
    <row r="1794" spans="1:8" ht="15.75" customHeight="1">
      <c r="A1794" s="24" t="s">
        <v>2156</v>
      </c>
      <c r="B1794" s="24" t="s">
        <v>1475</v>
      </c>
      <c r="C1794" s="24" t="s">
        <v>1911</v>
      </c>
      <c r="D1794" s="25">
        <v>3223</v>
      </c>
      <c r="E1794" s="25">
        <v>2109</v>
      </c>
      <c r="F1794" s="25">
        <v>1689</v>
      </c>
      <c r="G1794" s="25">
        <v>619</v>
      </c>
      <c r="H1794" s="22">
        <f t="shared" si="27"/>
        <v>7640</v>
      </c>
    </row>
    <row r="1795" spans="1:8" ht="15.75" customHeight="1">
      <c r="A1795" s="20" t="s">
        <v>2157</v>
      </c>
      <c r="B1795" s="20" t="s">
        <v>1475</v>
      </c>
      <c r="C1795" s="20" t="s">
        <v>1783</v>
      </c>
      <c r="D1795" s="21">
        <v>8</v>
      </c>
      <c r="E1795" s="21"/>
      <c r="F1795" s="21"/>
      <c r="G1795" s="21"/>
      <c r="H1795" s="22">
        <f t="shared" si="27"/>
        <v>8</v>
      </c>
    </row>
    <row r="1796" spans="1:8" ht="15.75" customHeight="1">
      <c r="A1796" s="24" t="s">
        <v>2158</v>
      </c>
      <c r="B1796" s="24" t="s">
        <v>1475</v>
      </c>
      <c r="C1796" s="24" t="s">
        <v>2159</v>
      </c>
      <c r="D1796" s="25">
        <v>144</v>
      </c>
      <c r="E1796" s="25">
        <v>386</v>
      </c>
      <c r="F1796" s="25">
        <v>419</v>
      </c>
      <c r="G1796" s="25"/>
      <c r="H1796" s="22">
        <f t="shared" ref="H1796:H1859" si="28">SUM(D1796:G1796)</f>
        <v>949</v>
      </c>
    </row>
    <row r="1797" spans="1:8" ht="15.75" customHeight="1">
      <c r="A1797" s="20" t="s">
        <v>2160</v>
      </c>
      <c r="B1797" s="20" t="s">
        <v>1475</v>
      </c>
      <c r="C1797" s="20" t="s">
        <v>2161</v>
      </c>
      <c r="D1797" s="21">
        <v>1151</v>
      </c>
      <c r="E1797" s="21">
        <v>1055</v>
      </c>
      <c r="F1797" s="21">
        <v>597</v>
      </c>
      <c r="G1797" s="21">
        <v>404</v>
      </c>
      <c r="H1797" s="22">
        <f t="shared" si="28"/>
        <v>3207</v>
      </c>
    </row>
    <row r="1798" spans="1:8" ht="15.75" customHeight="1">
      <c r="A1798" s="24" t="s">
        <v>2162</v>
      </c>
      <c r="B1798" s="24" t="s">
        <v>1475</v>
      </c>
      <c r="C1798" s="24" t="s">
        <v>2163</v>
      </c>
      <c r="D1798" s="25">
        <v>282</v>
      </c>
      <c r="E1798" s="25">
        <v>241</v>
      </c>
      <c r="F1798" s="25">
        <v>120</v>
      </c>
      <c r="G1798" s="25">
        <v>133</v>
      </c>
      <c r="H1798" s="22">
        <f t="shared" si="28"/>
        <v>776</v>
      </c>
    </row>
    <row r="1799" spans="1:8" ht="15.75" customHeight="1">
      <c r="A1799" s="20" t="s">
        <v>2164</v>
      </c>
      <c r="B1799" s="20" t="s">
        <v>1475</v>
      </c>
      <c r="C1799" s="20" t="s">
        <v>2165</v>
      </c>
      <c r="D1799" s="21">
        <v>168</v>
      </c>
      <c r="E1799" s="21">
        <v>183</v>
      </c>
      <c r="F1799" s="21">
        <v>160</v>
      </c>
      <c r="G1799" s="21">
        <v>10</v>
      </c>
      <c r="H1799" s="22">
        <f t="shared" si="28"/>
        <v>521</v>
      </c>
    </row>
    <row r="1800" spans="1:8" ht="15.75" customHeight="1">
      <c r="A1800" s="24" t="s">
        <v>2166</v>
      </c>
      <c r="B1800" s="24" t="s">
        <v>1475</v>
      </c>
      <c r="C1800" s="24" t="s">
        <v>2167</v>
      </c>
      <c r="D1800" s="25">
        <v>59</v>
      </c>
      <c r="E1800" s="25">
        <v>52</v>
      </c>
      <c r="F1800" s="25">
        <v>42</v>
      </c>
      <c r="G1800" s="25">
        <v>32</v>
      </c>
      <c r="H1800" s="22">
        <f t="shared" si="28"/>
        <v>185</v>
      </c>
    </row>
    <row r="1801" spans="1:8" ht="15.75" customHeight="1">
      <c r="A1801" s="20" t="s">
        <v>2168</v>
      </c>
      <c r="B1801" s="20" t="s">
        <v>1475</v>
      </c>
      <c r="C1801" s="20" t="s">
        <v>2169</v>
      </c>
      <c r="D1801" s="21">
        <v>982</v>
      </c>
      <c r="E1801" s="21">
        <v>1110</v>
      </c>
      <c r="F1801" s="21">
        <v>718</v>
      </c>
      <c r="G1801" s="21">
        <v>270</v>
      </c>
      <c r="H1801" s="22">
        <f t="shared" si="28"/>
        <v>3080</v>
      </c>
    </row>
    <row r="1802" spans="1:8" ht="15.75" customHeight="1">
      <c r="A1802" s="24" t="s">
        <v>2170</v>
      </c>
      <c r="B1802" s="24" t="s">
        <v>1475</v>
      </c>
      <c r="C1802" s="24" t="s">
        <v>2171</v>
      </c>
      <c r="D1802" s="25">
        <v>310</v>
      </c>
      <c r="E1802" s="25">
        <v>687</v>
      </c>
      <c r="F1802" s="25">
        <v>264</v>
      </c>
      <c r="G1802" s="25">
        <v>150</v>
      </c>
      <c r="H1802" s="22">
        <f t="shared" si="28"/>
        <v>1411</v>
      </c>
    </row>
    <row r="1803" spans="1:8" ht="15.75" customHeight="1">
      <c r="A1803" s="20" t="s">
        <v>2172</v>
      </c>
      <c r="B1803" s="20" t="s">
        <v>1475</v>
      </c>
      <c r="C1803" s="20" t="s">
        <v>2173</v>
      </c>
      <c r="D1803" s="21">
        <v>125</v>
      </c>
      <c r="E1803" s="21">
        <v>28</v>
      </c>
      <c r="F1803" s="21">
        <v>50</v>
      </c>
      <c r="G1803" s="21">
        <v>10</v>
      </c>
      <c r="H1803" s="22">
        <f t="shared" si="28"/>
        <v>213</v>
      </c>
    </row>
    <row r="1804" spans="1:8" ht="15.75" customHeight="1">
      <c r="A1804" s="24" t="s">
        <v>2174</v>
      </c>
      <c r="B1804" s="24" t="s">
        <v>1475</v>
      </c>
      <c r="C1804" s="24" t="s">
        <v>2175</v>
      </c>
      <c r="D1804" s="25">
        <v>169</v>
      </c>
      <c r="E1804" s="25">
        <v>120</v>
      </c>
      <c r="F1804" s="25">
        <v>212</v>
      </c>
      <c r="G1804" s="25">
        <v>130</v>
      </c>
      <c r="H1804" s="22">
        <f t="shared" si="28"/>
        <v>631</v>
      </c>
    </row>
    <row r="1805" spans="1:8" ht="15.75" customHeight="1">
      <c r="A1805" s="20" t="s">
        <v>2176</v>
      </c>
      <c r="B1805" s="20" t="s">
        <v>1475</v>
      </c>
      <c r="C1805" s="20" t="s">
        <v>2177</v>
      </c>
      <c r="D1805" s="21">
        <v>162</v>
      </c>
      <c r="E1805" s="21">
        <v>138</v>
      </c>
      <c r="F1805" s="21">
        <v>140</v>
      </c>
      <c r="G1805" s="21">
        <v>40</v>
      </c>
      <c r="H1805" s="22">
        <f t="shared" si="28"/>
        <v>480</v>
      </c>
    </row>
    <row r="1806" spans="1:8" ht="15.75" customHeight="1">
      <c r="A1806" s="24" t="s">
        <v>2178</v>
      </c>
      <c r="B1806" s="24" t="s">
        <v>1475</v>
      </c>
      <c r="C1806" s="24" t="s">
        <v>2179</v>
      </c>
      <c r="D1806" s="25">
        <v>10</v>
      </c>
      <c r="E1806" s="25"/>
      <c r="F1806" s="25">
        <v>120</v>
      </c>
      <c r="G1806" s="25">
        <v>20</v>
      </c>
      <c r="H1806" s="22">
        <f t="shared" si="28"/>
        <v>150</v>
      </c>
    </row>
    <row r="1807" spans="1:8" ht="15.75" customHeight="1">
      <c r="A1807" s="20" t="s">
        <v>3418</v>
      </c>
      <c r="B1807" s="20" t="s">
        <v>1475</v>
      </c>
      <c r="C1807" s="20" t="s">
        <v>1678</v>
      </c>
      <c r="D1807" s="21"/>
      <c r="E1807" s="21"/>
      <c r="F1807" s="21">
        <v>58</v>
      </c>
      <c r="G1807" s="21"/>
      <c r="H1807" s="22">
        <f t="shared" si="28"/>
        <v>58</v>
      </c>
    </row>
    <row r="1808" spans="1:8" ht="15.75" customHeight="1">
      <c r="A1808" s="24" t="s">
        <v>3419</v>
      </c>
      <c r="B1808" s="24" t="s">
        <v>1475</v>
      </c>
      <c r="C1808" s="24" t="s">
        <v>2280</v>
      </c>
      <c r="D1808" s="25"/>
      <c r="E1808" s="25"/>
      <c r="F1808" s="25">
        <v>50</v>
      </c>
      <c r="G1808" s="25"/>
      <c r="H1808" s="22">
        <f t="shared" si="28"/>
        <v>50</v>
      </c>
    </row>
    <row r="1809" spans="1:8" ht="15.75" customHeight="1">
      <c r="A1809" s="20" t="s">
        <v>3420</v>
      </c>
      <c r="B1809" s="20" t="s">
        <v>1475</v>
      </c>
      <c r="C1809" s="20" t="s">
        <v>1700</v>
      </c>
      <c r="D1809" s="21"/>
      <c r="E1809" s="21"/>
      <c r="F1809" s="21">
        <v>30</v>
      </c>
      <c r="G1809" s="21"/>
      <c r="H1809" s="22">
        <f t="shared" si="28"/>
        <v>30</v>
      </c>
    </row>
    <row r="1810" spans="1:8" ht="15.75" customHeight="1">
      <c r="A1810" s="24" t="s">
        <v>2180</v>
      </c>
      <c r="B1810" s="24" t="s">
        <v>1481</v>
      </c>
      <c r="C1810" s="24" t="s">
        <v>1946</v>
      </c>
      <c r="D1810" s="25">
        <v>300</v>
      </c>
      <c r="E1810" s="25"/>
      <c r="F1810" s="25"/>
      <c r="G1810" s="25"/>
      <c r="H1810" s="22">
        <f t="shared" si="28"/>
        <v>300</v>
      </c>
    </row>
    <row r="1811" spans="1:8" ht="15.75" customHeight="1">
      <c r="A1811" s="20" t="s">
        <v>2181</v>
      </c>
      <c r="B1811" s="20" t="s">
        <v>1481</v>
      </c>
      <c r="C1811" s="20" t="s">
        <v>2182</v>
      </c>
      <c r="D1811" s="21">
        <v>60</v>
      </c>
      <c r="E1811" s="21">
        <v>353</v>
      </c>
      <c r="F1811" s="21">
        <v>72</v>
      </c>
      <c r="G1811" s="21">
        <v>30</v>
      </c>
      <c r="H1811" s="22">
        <f t="shared" si="28"/>
        <v>515</v>
      </c>
    </row>
    <row r="1812" spans="1:8" ht="15.75" customHeight="1">
      <c r="A1812" s="24" t="s">
        <v>2183</v>
      </c>
      <c r="B1812" s="24" t="s">
        <v>1481</v>
      </c>
      <c r="C1812" s="24" t="s">
        <v>1668</v>
      </c>
      <c r="D1812" s="25">
        <v>7</v>
      </c>
      <c r="E1812" s="25">
        <v>12</v>
      </c>
      <c r="F1812" s="25"/>
      <c r="G1812" s="25"/>
      <c r="H1812" s="22">
        <f t="shared" si="28"/>
        <v>19</v>
      </c>
    </row>
    <row r="1813" spans="1:8" ht="15.75" customHeight="1">
      <c r="A1813" s="20" t="s">
        <v>2184</v>
      </c>
      <c r="B1813" s="20" t="s">
        <v>1481</v>
      </c>
      <c r="C1813" s="20" t="s">
        <v>2185</v>
      </c>
      <c r="D1813" s="21">
        <v>110</v>
      </c>
      <c r="E1813" s="21">
        <v>65</v>
      </c>
      <c r="F1813" s="21">
        <v>45</v>
      </c>
      <c r="G1813" s="21"/>
      <c r="H1813" s="22">
        <f t="shared" si="28"/>
        <v>220</v>
      </c>
    </row>
    <row r="1814" spans="1:8" ht="15.75" customHeight="1">
      <c r="A1814" s="24" t="s">
        <v>2186</v>
      </c>
      <c r="B1814" s="24" t="s">
        <v>1481</v>
      </c>
      <c r="C1814" s="24" t="s">
        <v>2187</v>
      </c>
      <c r="D1814" s="25">
        <v>51</v>
      </c>
      <c r="E1814" s="25">
        <v>5</v>
      </c>
      <c r="F1814" s="25">
        <v>20</v>
      </c>
      <c r="G1814" s="25">
        <v>20</v>
      </c>
      <c r="H1814" s="22">
        <f t="shared" si="28"/>
        <v>96</v>
      </c>
    </row>
    <row r="1815" spans="1:8" ht="15.75" customHeight="1">
      <c r="A1815" s="20" t="s">
        <v>2188</v>
      </c>
      <c r="B1815" s="20" t="s">
        <v>1481</v>
      </c>
      <c r="C1815" s="20" t="s">
        <v>2189</v>
      </c>
      <c r="D1815" s="21">
        <v>40</v>
      </c>
      <c r="E1815" s="21"/>
      <c r="F1815" s="21"/>
      <c r="G1815" s="21"/>
      <c r="H1815" s="22">
        <f t="shared" si="28"/>
        <v>40</v>
      </c>
    </row>
    <row r="1816" spans="1:8" ht="15.75" customHeight="1">
      <c r="A1816" s="24" t="s">
        <v>2190</v>
      </c>
      <c r="B1816" s="24" t="s">
        <v>1481</v>
      </c>
      <c r="C1816" s="24" t="s">
        <v>2191</v>
      </c>
      <c r="D1816" s="25">
        <v>108</v>
      </c>
      <c r="E1816" s="25">
        <v>211</v>
      </c>
      <c r="F1816" s="25"/>
      <c r="G1816" s="25"/>
      <c r="H1816" s="22">
        <f t="shared" si="28"/>
        <v>319</v>
      </c>
    </row>
    <row r="1817" spans="1:8" ht="15.75" customHeight="1">
      <c r="A1817" s="20" t="s">
        <v>2192</v>
      </c>
      <c r="B1817" s="20" t="s">
        <v>1481</v>
      </c>
      <c r="C1817" s="20" t="s">
        <v>2193</v>
      </c>
      <c r="D1817" s="21">
        <v>2274</v>
      </c>
      <c r="E1817" s="21">
        <v>1830</v>
      </c>
      <c r="F1817" s="21">
        <v>2015</v>
      </c>
      <c r="G1817" s="21">
        <v>480</v>
      </c>
      <c r="H1817" s="22">
        <f t="shared" si="28"/>
        <v>6599</v>
      </c>
    </row>
    <row r="1818" spans="1:8" ht="15.75" customHeight="1">
      <c r="A1818" s="24" t="s">
        <v>2194</v>
      </c>
      <c r="B1818" s="24" t="s">
        <v>1481</v>
      </c>
      <c r="C1818" s="24" t="s">
        <v>2195</v>
      </c>
      <c r="D1818" s="25">
        <v>50</v>
      </c>
      <c r="E1818" s="25">
        <v>65</v>
      </c>
      <c r="F1818" s="25">
        <v>20</v>
      </c>
      <c r="G1818" s="25"/>
      <c r="H1818" s="22">
        <f t="shared" si="28"/>
        <v>135</v>
      </c>
    </row>
    <row r="1819" spans="1:8" ht="15.75" customHeight="1">
      <c r="A1819" s="20" t="s">
        <v>2196</v>
      </c>
      <c r="B1819" s="20" t="s">
        <v>1489</v>
      </c>
      <c r="C1819" s="20" t="s">
        <v>2197</v>
      </c>
      <c r="D1819" s="21">
        <v>235</v>
      </c>
      <c r="E1819" s="21">
        <v>292</v>
      </c>
      <c r="F1819" s="21">
        <v>316</v>
      </c>
      <c r="G1819" s="21">
        <v>345</v>
      </c>
      <c r="H1819" s="22">
        <f t="shared" si="28"/>
        <v>1188</v>
      </c>
    </row>
    <row r="1820" spans="1:8" ht="15.75" customHeight="1">
      <c r="A1820" s="24" t="s">
        <v>2198</v>
      </c>
      <c r="B1820" s="24" t="s">
        <v>1489</v>
      </c>
      <c r="C1820" s="24" t="s">
        <v>2199</v>
      </c>
      <c r="D1820" s="25">
        <v>440</v>
      </c>
      <c r="E1820" s="25">
        <v>345</v>
      </c>
      <c r="F1820" s="25">
        <v>558</v>
      </c>
      <c r="G1820" s="25">
        <v>453</v>
      </c>
      <c r="H1820" s="22">
        <f t="shared" si="28"/>
        <v>1796</v>
      </c>
    </row>
    <row r="1821" spans="1:8" ht="15.75" customHeight="1">
      <c r="A1821" s="20" t="s">
        <v>2200</v>
      </c>
      <c r="B1821" s="20" t="s">
        <v>1489</v>
      </c>
      <c r="C1821" s="20" t="s">
        <v>2201</v>
      </c>
      <c r="D1821" s="21">
        <v>152</v>
      </c>
      <c r="E1821" s="21">
        <v>205</v>
      </c>
      <c r="F1821" s="21">
        <v>270</v>
      </c>
      <c r="G1821" s="21">
        <v>159</v>
      </c>
      <c r="H1821" s="22">
        <f t="shared" si="28"/>
        <v>786</v>
      </c>
    </row>
    <row r="1822" spans="1:8" ht="15.75" customHeight="1">
      <c r="A1822" s="24" t="s">
        <v>2202</v>
      </c>
      <c r="B1822" s="24" t="s">
        <v>1489</v>
      </c>
      <c r="C1822" s="24" t="s">
        <v>2203</v>
      </c>
      <c r="D1822" s="25">
        <v>38</v>
      </c>
      <c r="E1822" s="25">
        <v>16</v>
      </c>
      <c r="F1822" s="25">
        <v>84</v>
      </c>
      <c r="G1822" s="25">
        <v>129</v>
      </c>
      <c r="H1822" s="22">
        <f t="shared" si="28"/>
        <v>267</v>
      </c>
    </row>
    <row r="1823" spans="1:8" ht="15.75" customHeight="1">
      <c r="A1823" s="20" t="s">
        <v>3538</v>
      </c>
      <c r="B1823" s="20" t="s">
        <v>1489</v>
      </c>
      <c r="C1823" s="20" t="s">
        <v>1678</v>
      </c>
      <c r="D1823" s="21"/>
      <c r="E1823" s="21"/>
      <c r="F1823" s="21"/>
      <c r="G1823" s="21">
        <v>10</v>
      </c>
      <c r="H1823" s="22">
        <f t="shared" si="28"/>
        <v>10</v>
      </c>
    </row>
    <row r="1824" spans="1:8" ht="15.75" customHeight="1">
      <c r="A1824" s="24" t="s">
        <v>2204</v>
      </c>
      <c r="B1824" s="24" t="s">
        <v>1489</v>
      </c>
      <c r="C1824" s="24" t="s">
        <v>2205</v>
      </c>
      <c r="D1824" s="25">
        <v>55</v>
      </c>
      <c r="E1824" s="25">
        <v>156</v>
      </c>
      <c r="F1824" s="25">
        <v>67</v>
      </c>
      <c r="G1824" s="25">
        <v>150</v>
      </c>
      <c r="H1824" s="22">
        <f t="shared" si="28"/>
        <v>428</v>
      </c>
    </row>
    <row r="1825" spans="1:8" ht="15.75" customHeight="1">
      <c r="A1825" s="20" t="s">
        <v>2206</v>
      </c>
      <c r="B1825" s="20" t="s">
        <v>1489</v>
      </c>
      <c r="C1825" s="20" t="s">
        <v>2207</v>
      </c>
      <c r="D1825" s="21">
        <v>30</v>
      </c>
      <c r="E1825" s="21">
        <v>20</v>
      </c>
      <c r="F1825" s="21">
        <v>55</v>
      </c>
      <c r="G1825" s="21">
        <v>60</v>
      </c>
      <c r="H1825" s="22">
        <f t="shared" si="28"/>
        <v>165</v>
      </c>
    </row>
    <row r="1826" spans="1:8" ht="15.75" customHeight="1">
      <c r="A1826" s="24" t="s">
        <v>2208</v>
      </c>
      <c r="B1826" s="24" t="s">
        <v>1489</v>
      </c>
      <c r="C1826" s="24" t="s">
        <v>2209</v>
      </c>
      <c r="D1826" s="25">
        <v>25</v>
      </c>
      <c r="E1826" s="25"/>
      <c r="F1826" s="25"/>
      <c r="G1826" s="25"/>
      <c r="H1826" s="22">
        <f t="shared" si="28"/>
        <v>25</v>
      </c>
    </row>
    <row r="1827" spans="1:8" ht="15.75" customHeight="1">
      <c r="A1827" s="20" t="s">
        <v>2210</v>
      </c>
      <c r="B1827" s="20" t="s">
        <v>1491</v>
      </c>
      <c r="C1827" s="20" t="s">
        <v>2211</v>
      </c>
      <c r="D1827" s="21">
        <v>65</v>
      </c>
      <c r="E1827" s="21">
        <v>50</v>
      </c>
      <c r="F1827" s="21">
        <v>135</v>
      </c>
      <c r="G1827" s="21">
        <v>70</v>
      </c>
      <c r="H1827" s="22">
        <f t="shared" si="28"/>
        <v>320</v>
      </c>
    </row>
    <row r="1828" spans="1:8" ht="15.75" customHeight="1">
      <c r="A1828" s="24" t="s">
        <v>2212</v>
      </c>
      <c r="B1828" s="24" t="s">
        <v>1491</v>
      </c>
      <c r="C1828" s="24" t="s">
        <v>1700</v>
      </c>
      <c r="D1828" s="25">
        <v>20</v>
      </c>
      <c r="E1828" s="25"/>
      <c r="F1828" s="25"/>
      <c r="G1828" s="25"/>
      <c r="H1828" s="22">
        <f t="shared" si="28"/>
        <v>20</v>
      </c>
    </row>
    <row r="1829" spans="1:8" ht="15.75" customHeight="1">
      <c r="A1829" s="20" t="s">
        <v>2213</v>
      </c>
      <c r="B1829" s="20" t="s">
        <v>1491</v>
      </c>
      <c r="C1829" s="20" t="s">
        <v>2214</v>
      </c>
      <c r="D1829" s="21">
        <v>141</v>
      </c>
      <c r="E1829" s="21">
        <v>80</v>
      </c>
      <c r="F1829" s="21">
        <v>259</v>
      </c>
      <c r="G1829" s="21">
        <v>40</v>
      </c>
      <c r="H1829" s="22">
        <f t="shared" si="28"/>
        <v>520</v>
      </c>
    </row>
    <row r="1830" spans="1:8" ht="15.75" customHeight="1">
      <c r="A1830" s="24" t="s">
        <v>2215</v>
      </c>
      <c r="B1830" s="24" t="s">
        <v>1491</v>
      </c>
      <c r="C1830" s="24" t="s">
        <v>2216</v>
      </c>
      <c r="D1830" s="25">
        <v>105</v>
      </c>
      <c r="E1830" s="25">
        <v>60</v>
      </c>
      <c r="F1830" s="25">
        <v>133</v>
      </c>
      <c r="G1830" s="25">
        <v>65</v>
      </c>
      <c r="H1830" s="22">
        <f t="shared" si="28"/>
        <v>363</v>
      </c>
    </row>
    <row r="1831" spans="1:8" ht="15.75" customHeight="1">
      <c r="A1831" s="20" t="s">
        <v>2217</v>
      </c>
      <c r="B1831" s="20" t="s">
        <v>1491</v>
      </c>
      <c r="C1831" s="20" t="s">
        <v>2218</v>
      </c>
      <c r="D1831" s="21">
        <v>74</v>
      </c>
      <c r="E1831" s="21">
        <v>73</v>
      </c>
      <c r="F1831" s="21">
        <v>40</v>
      </c>
      <c r="G1831" s="21">
        <v>75</v>
      </c>
      <c r="H1831" s="22">
        <f t="shared" si="28"/>
        <v>262</v>
      </c>
    </row>
    <row r="1832" spans="1:8" ht="15.75" customHeight="1">
      <c r="A1832" s="24" t="s">
        <v>2219</v>
      </c>
      <c r="B1832" s="24" t="s">
        <v>1493</v>
      </c>
      <c r="C1832" s="24" t="s">
        <v>2220</v>
      </c>
      <c r="D1832" s="25">
        <v>1285</v>
      </c>
      <c r="E1832" s="25">
        <v>2320</v>
      </c>
      <c r="F1832" s="25"/>
      <c r="G1832" s="25"/>
      <c r="H1832" s="22">
        <f t="shared" si="28"/>
        <v>3605</v>
      </c>
    </row>
    <row r="1833" spans="1:8" ht="15.75" customHeight="1">
      <c r="A1833" s="20" t="s">
        <v>2221</v>
      </c>
      <c r="B1833" s="20" t="s">
        <v>1493</v>
      </c>
      <c r="C1833" s="20" t="s">
        <v>2222</v>
      </c>
      <c r="D1833" s="21">
        <v>700</v>
      </c>
      <c r="E1833" s="21"/>
      <c r="F1833" s="21"/>
      <c r="G1833" s="21"/>
      <c r="H1833" s="22">
        <f t="shared" si="28"/>
        <v>700</v>
      </c>
    </row>
    <row r="1834" spans="1:8" ht="15.75" customHeight="1">
      <c r="A1834" s="24" t="s">
        <v>2223</v>
      </c>
      <c r="B1834" s="24" t="s">
        <v>1493</v>
      </c>
      <c r="C1834" s="24" t="s">
        <v>2224</v>
      </c>
      <c r="D1834" s="25">
        <v>825</v>
      </c>
      <c r="E1834" s="25">
        <v>135</v>
      </c>
      <c r="F1834" s="25">
        <v>36</v>
      </c>
      <c r="G1834" s="25">
        <v>180</v>
      </c>
      <c r="H1834" s="22">
        <f t="shared" si="28"/>
        <v>1176</v>
      </c>
    </row>
    <row r="1835" spans="1:8" ht="15.75" customHeight="1">
      <c r="A1835" s="20" t="s">
        <v>2225</v>
      </c>
      <c r="B1835" s="20" t="s">
        <v>1493</v>
      </c>
      <c r="C1835" s="20" t="s">
        <v>2226</v>
      </c>
      <c r="D1835" s="21">
        <v>596</v>
      </c>
      <c r="E1835" s="21">
        <v>232</v>
      </c>
      <c r="F1835" s="21">
        <v>149</v>
      </c>
      <c r="G1835" s="21">
        <v>50</v>
      </c>
      <c r="H1835" s="22">
        <f t="shared" si="28"/>
        <v>1027</v>
      </c>
    </row>
    <row r="1836" spans="1:8" ht="15.75" customHeight="1">
      <c r="A1836" s="24" t="s">
        <v>2227</v>
      </c>
      <c r="B1836" s="24" t="s">
        <v>1493</v>
      </c>
      <c r="C1836" s="24" t="s">
        <v>2228</v>
      </c>
      <c r="D1836" s="25">
        <v>2460</v>
      </c>
      <c r="E1836" s="25">
        <v>1315</v>
      </c>
      <c r="F1836" s="25">
        <v>1323</v>
      </c>
      <c r="G1836" s="25">
        <v>180</v>
      </c>
      <c r="H1836" s="22">
        <f t="shared" si="28"/>
        <v>5278</v>
      </c>
    </row>
    <row r="1837" spans="1:8" ht="15.75" customHeight="1">
      <c r="A1837" s="20" t="s">
        <v>2229</v>
      </c>
      <c r="B1837" s="20" t="s">
        <v>1493</v>
      </c>
      <c r="C1837" s="20" t="s">
        <v>2230</v>
      </c>
      <c r="D1837" s="21">
        <v>123</v>
      </c>
      <c r="E1837" s="21">
        <v>38</v>
      </c>
      <c r="F1837" s="21">
        <v>34</v>
      </c>
      <c r="G1837" s="21"/>
      <c r="H1837" s="22">
        <f t="shared" si="28"/>
        <v>195</v>
      </c>
    </row>
    <row r="1838" spans="1:8" ht="15.75" customHeight="1">
      <c r="A1838" s="24" t="s">
        <v>2231</v>
      </c>
      <c r="B1838" s="24" t="s">
        <v>1493</v>
      </c>
      <c r="C1838" s="24" t="s">
        <v>2232</v>
      </c>
      <c r="D1838" s="25">
        <v>2458</v>
      </c>
      <c r="E1838" s="25">
        <v>2471</v>
      </c>
      <c r="F1838" s="25">
        <v>1090</v>
      </c>
      <c r="G1838" s="25">
        <v>1150</v>
      </c>
      <c r="H1838" s="22">
        <f t="shared" si="28"/>
        <v>7169</v>
      </c>
    </row>
    <row r="1839" spans="1:8" ht="15.75" customHeight="1">
      <c r="A1839" s="20" t="s">
        <v>2233</v>
      </c>
      <c r="B1839" s="20" t="s">
        <v>1493</v>
      </c>
      <c r="C1839" s="20" t="s">
        <v>2234</v>
      </c>
      <c r="D1839" s="21">
        <v>7785</v>
      </c>
      <c r="E1839" s="21">
        <v>5769</v>
      </c>
      <c r="F1839" s="21">
        <v>8230</v>
      </c>
      <c r="G1839" s="21">
        <v>6710</v>
      </c>
      <c r="H1839" s="22">
        <f t="shared" si="28"/>
        <v>28494</v>
      </c>
    </row>
    <row r="1840" spans="1:8" ht="15.75" customHeight="1">
      <c r="A1840" s="24" t="s">
        <v>2235</v>
      </c>
      <c r="B1840" s="24" t="s">
        <v>1493</v>
      </c>
      <c r="C1840" s="24" t="s">
        <v>2236</v>
      </c>
      <c r="D1840" s="25">
        <v>250</v>
      </c>
      <c r="E1840" s="25">
        <v>91</v>
      </c>
      <c r="F1840" s="25">
        <v>60</v>
      </c>
      <c r="G1840" s="25">
        <v>40</v>
      </c>
      <c r="H1840" s="22">
        <f t="shared" si="28"/>
        <v>441</v>
      </c>
    </row>
    <row r="1841" spans="1:8" ht="15.75" customHeight="1">
      <c r="A1841" s="20" t="s">
        <v>2237</v>
      </c>
      <c r="B1841" s="20" t="s">
        <v>1493</v>
      </c>
      <c r="C1841" s="20" t="s">
        <v>2238</v>
      </c>
      <c r="D1841" s="21">
        <v>150</v>
      </c>
      <c r="E1841" s="21">
        <v>30</v>
      </c>
      <c r="F1841" s="21"/>
      <c r="G1841" s="21"/>
      <c r="H1841" s="22">
        <f t="shared" si="28"/>
        <v>180</v>
      </c>
    </row>
    <row r="1842" spans="1:8" ht="15.75" customHeight="1">
      <c r="A1842" s="24" t="s">
        <v>2937</v>
      </c>
      <c r="B1842" s="24" t="s">
        <v>1504</v>
      </c>
      <c r="C1842" s="24" t="s">
        <v>1946</v>
      </c>
      <c r="D1842" s="25"/>
      <c r="E1842" s="25">
        <v>50</v>
      </c>
      <c r="F1842" s="25"/>
      <c r="G1842" s="25"/>
      <c r="H1842" s="22">
        <f t="shared" si="28"/>
        <v>50</v>
      </c>
    </row>
    <row r="1843" spans="1:8" ht="15.75" customHeight="1">
      <c r="A1843" s="20" t="s">
        <v>2239</v>
      </c>
      <c r="B1843" s="20" t="s">
        <v>1504</v>
      </c>
      <c r="C1843" s="20" t="s">
        <v>2240</v>
      </c>
      <c r="D1843" s="21">
        <v>5647</v>
      </c>
      <c r="E1843" s="21">
        <v>4649</v>
      </c>
      <c r="F1843" s="21">
        <v>3008</v>
      </c>
      <c r="G1843" s="21">
        <v>1140</v>
      </c>
      <c r="H1843" s="22">
        <f t="shared" si="28"/>
        <v>14444</v>
      </c>
    </row>
    <row r="1844" spans="1:8" ht="15.75" customHeight="1">
      <c r="A1844" s="24" t="s">
        <v>2241</v>
      </c>
      <c r="B1844" s="24" t="s">
        <v>1504</v>
      </c>
      <c r="C1844" s="24" t="s">
        <v>1668</v>
      </c>
      <c r="D1844" s="25">
        <v>240</v>
      </c>
      <c r="E1844" s="25">
        <v>200</v>
      </c>
      <c r="F1844" s="25"/>
      <c r="G1844" s="25">
        <v>100</v>
      </c>
      <c r="H1844" s="22">
        <f t="shared" si="28"/>
        <v>540</v>
      </c>
    </row>
    <row r="1845" spans="1:8" ht="15.75" customHeight="1">
      <c r="A1845" s="20" t="s">
        <v>2242</v>
      </c>
      <c r="B1845" s="20" t="s">
        <v>1504</v>
      </c>
      <c r="C1845" s="20" t="s">
        <v>2243</v>
      </c>
      <c r="D1845" s="21">
        <v>1964</v>
      </c>
      <c r="E1845" s="21">
        <v>1355</v>
      </c>
      <c r="F1845" s="21">
        <v>813</v>
      </c>
      <c r="G1845" s="21">
        <v>164</v>
      </c>
      <c r="H1845" s="22">
        <f t="shared" si="28"/>
        <v>4296</v>
      </c>
    </row>
    <row r="1846" spans="1:8" ht="15.75" customHeight="1">
      <c r="A1846" s="24" t="s">
        <v>2244</v>
      </c>
      <c r="B1846" s="24" t="s">
        <v>1504</v>
      </c>
      <c r="C1846" s="24" t="s">
        <v>2245</v>
      </c>
      <c r="D1846" s="25">
        <v>75461</v>
      </c>
      <c r="E1846" s="25">
        <v>53445</v>
      </c>
      <c r="F1846" s="25">
        <v>22164</v>
      </c>
      <c r="G1846" s="25">
        <v>18240</v>
      </c>
      <c r="H1846" s="22">
        <f t="shared" si="28"/>
        <v>169310</v>
      </c>
    </row>
    <row r="1847" spans="1:8" ht="15.75" customHeight="1">
      <c r="A1847" s="20" t="s">
        <v>2246</v>
      </c>
      <c r="B1847" s="20" t="s">
        <v>1504</v>
      </c>
      <c r="C1847" s="20" t="s">
        <v>2247</v>
      </c>
      <c r="D1847" s="21">
        <v>372</v>
      </c>
      <c r="E1847" s="21">
        <v>167</v>
      </c>
      <c r="F1847" s="21">
        <v>112</v>
      </c>
      <c r="G1847" s="21">
        <v>56</v>
      </c>
      <c r="H1847" s="22">
        <f t="shared" si="28"/>
        <v>707</v>
      </c>
    </row>
    <row r="1848" spans="1:8" ht="15.75" customHeight="1">
      <c r="A1848" s="24" t="s">
        <v>2248</v>
      </c>
      <c r="B1848" s="24" t="s">
        <v>1504</v>
      </c>
      <c r="C1848" s="24" t="s">
        <v>2249</v>
      </c>
      <c r="D1848" s="25">
        <v>68</v>
      </c>
      <c r="E1848" s="25">
        <v>109</v>
      </c>
      <c r="F1848" s="25">
        <v>20</v>
      </c>
      <c r="G1848" s="25">
        <v>30</v>
      </c>
      <c r="H1848" s="22">
        <f t="shared" si="28"/>
        <v>227</v>
      </c>
    </row>
    <row r="1849" spans="1:8" ht="15.75" customHeight="1">
      <c r="A1849" s="20" t="s">
        <v>2250</v>
      </c>
      <c r="B1849" s="20" t="s">
        <v>1504</v>
      </c>
      <c r="C1849" s="20" t="s">
        <v>2251</v>
      </c>
      <c r="D1849" s="21">
        <v>23860</v>
      </c>
      <c r="E1849" s="21">
        <v>6440</v>
      </c>
      <c r="F1849" s="21">
        <v>2585</v>
      </c>
      <c r="G1849" s="21">
        <v>3640</v>
      </c>
      <c r="H1849" s="22">
        <f t="shared" si="28"/>
        <v>36525</v>
      </c>
    </row>
    <row r="1850" spans="1:8" ht="15.75" customHeight="1">
      <c r="A1850" s="24" t="s">
        <v>2252</v>
      </c>
      <c r="B1850" s="24" t="s">
        <v>1504</v>
      </c>
      <c r="C1850" s="24" t="s">
        <v>2253</v>
      </c>
      <c r="D1850" s="25">
        <v>78291</v>
      </c>
      <c r="E1850" s="25">
        <v>37812</v>
      </c>
      <c r="F1850" s="25">
        <v>23006</v>
      </c>
      <c r="G1850" s="25">
        <v>14030</v>
      </c>
      <c r="H1850" s="22">
        <f t="shared" si="28"/>
        <v>153139</v>
      </c>
    </row>
    <row r="1851" spans="1:8" ht="15.75" customHeight="1">
      <c r="A1851" s="20" t="s">
        <v>2254</v>
      </c>
      <c r="B1851" s="20" t="s">
        <v>1504</v>
      </c>
      <c r="C1851" s="20" t="s">
        <v>2255</v>
      </c>
      <c r="D1851" s="21">
        <v>550</v>
      </c>
      <c r="E1851" s="21">
        <v>805</v>
      </c>
      <c r="F1851" s="21">
        <v>490</v>
      </c>
      <c r="G1851" s="21"/>
      <c r="H1851" s="22">
        <f t="shared" si="28"/>
        <v>1845</v>
      </c>
    </row>
    <row r="1852" spans="1:8" ht="15.75" customHeight="1">
      <c r="A1852" s="24" t="s">
        <v>2256</v>
      </c>
      <c r="B1852" s="24" t="s">
        <v>1504</v>
      </c>
      <c r="C1852" s="24" t="s">
        <v>2257</v>
      </c>
      <c r="D1852" s="25">
        <v>12335</v>
      </c>
      <c r="E1852" s="25">
        <v>6115</v>
      </c>
      <c r="F1852" s="25">
        <v>2437</v>
      </c>
      <c r="G1852" s="25">
        <v>2411</v>
      </c>
      <c r="H1852" s="22">
        <f t="shared" si="28"/>
        <v>23298</v>
      </c>
    </row>
    <row r="1853" spans="1:8" ht="15.75" customHeight="1">
      <c r="A1853" s="20" t="s">
        <v>2258</v>
      </c>
      <c r="B1853" s="20" t="s">
        <v>1504</v>
      </c>
      <c r="C1853" s="20" t="s">
        <v>2259</v>
      </c>
      <c r="D1853" s="21">
        <v>890</v>
      </c>
      <c r="E1853" s="21">
        <v>660</v>
      </c>
      <c r="F1853" s="21">
        <v>746</v>
      </c>
      <c r="G1853" s="21">
        <v>94</v>
      </c>
      <c r="H1853" s="22">
        <f t="shared" si="28"/>
        <v>2390</v>
      </c>
    </row>
    <row r="1854" spans="1:8" ht="15.75" customHeight="1">
      <c r="A1854" s="24" t="s">
        <v>2260</v>
      </c>
      <c r="B1854" s="24" t="s">
        <v>1504</v>
      </c>
      <c r="C1854" s="24" t="s">
        <v>2261</v>
      </c>
      <c r="D1854" s="25">
        <v>1198</v>
      </c>
      <c r="E1854" s="25">
        <v>390</v>
      </c>
      <c r="F1854" s="25">
        <v>290</v>
      </c>
      <c r="G1854" s="25"/>
      <c r="H1854" s="22">
        <f t="shared" si="28"/>
        <v>1878</v>
      </c>
    </row>
    <row r="1855" spans="1:8" ht="15.75" customHeight="1">
      <c r="A1855" s="20" t="s">
        <v>2262</v>
      </c>
      <c r="B1855" s="20" t="s">
        <v>1504</v>
      </c>
      <c r="C1855" s="20" t="s">
        <v>2263</v>
      </c>
      <c r="D1855" s="21">
        <v>10</v>
      </c>
      <c r="E1855" s="21"/>
      <c r="F1855" s="21"/>
      <c r="G1855" s="21"/>
      <c r="H1855" s="22">
        <f t="shared" si="28"/>
        <v>10</v>
      </c>
    </row>
    <row r="1856" spans="1:8" ht="15.75" customHeight="1">
      <c r="A1856" s="24" t="s">
        <v>2264</v>
      </c>
      <c r="B1856" s="24" t="s">
        <v>1504</v>
      </c>
      <c r="C1856" s="24" t="s">
        <v>2265</v>
      </c>
      <c r="D1856" s="25">
        <v>105</v>
      </c>
      <c r="E1856" s="25">
        <v>215</v>
      </c>
      <c r="F1856" s="25">
        <v>204</v>
      </c>
      <c r="G1856" s="25"/>
      <c r="H1856" s="22">
        <f t="shared" si="28"/>
        <v>524</v>
      </c>
    </row>
    <row r="1857" spans="1:8" ht="15.75" customHeight="1">
      <c r="A1857" s="20" t="s">
        <v>2938</v>
      </c>
      <c r="B1857" s="20" t="s">
        <v>1523</v>
      </c>
      <c r="C1857" s="20" t="s">
        <v>2267</v>
      </c>
      <c r="D1857" s="21"/>
      <c r="E1857" s="21">
        <v>30</v>
      </c>
      <c r="F1857" s="21"/>
      <c r="G1857" s="21"/>
      <c r="H1857" s="22">
        <f t="shared" si="28"/>
        <v>30</v>
      </c>
    </row>
    <row r="1858" spans="1:8" ht="15.75" customHeight="1">
      <c r="A1858" s="24" t="s">
        <v>2939</v>
      </c>
      <c r="B1858" s="24" t="s">
        <v>2273</v>
      </c>
      <c r="C1858" s="24" t="s">
        <v>1913</v>
      </c>
      <c r="D1858" s="25"/>
      <c r="E1858" s="25">
        <v>20</v>
      </c>
      <c r="F1858" s="25">
        <v>17</v>
      </c>
      <c r="G1858" s="25"/>
      <c r="H1858" s="22">
        <f t="shared" si="28"/>
        <v>37</v>
      </c>
    </row>
    <row r="1859" spans="1:8" ht="15.75" customHeight="1">
      <c r="A1859" s="20" t="s">
        <v>2266</v>
      </c>
      <c r="B1859" s="20" t="s">
        <v>1510</v>
      </c>
      <c r="C1859" s="20" t="s">
        <v>2267</v>
      </c>
      <c r="D1859" s="21">
        <v>68</v>
      </c>
      <c r="E1859" s="21">
        <v>16</v>
      </c>
      <c r="F1859" s="21"/>
      <c r="G1859" s="21"/>
      <c r="H1859" s="22">
        <f t="shared" si="28"/>
        <v>84</v>
      </c>
    </row>
    <row r="1860" spans="1:8" ht="15.75" customHeight="1">
      <c r="A1860" s="24" t="s">
        <v>2940</v>
      </c>
      <c r="B1860" s="24" t="s">
        <v>1475</v>
      </c>
      <c r="C1860" s="24" t="s">
        <v>2941</v>
      </c>
      <c r="D1860" s="25"/>
      <c r="E1860" s="25">
        <v>5</v>
      </c>
      <c r="F1860" s="25"/>
      <c r="G1860" s="25"/>
      <c r="H1860" s="22">
        <f t="shared" ref="H1860:H1923" si="29">SUM(D1860:G1860)</f>
        <v>5</v>
      </c>
    </row>
    <row r="1861" spans="1:8" ht="15.75" customHeight="1">
      <c r="A1861" s="20" t="s">
        <v>2268</v>
      </c>
      <c r="B1861" s="20" t="s">
        <v>2008</v>
      </c>
      <c r="C1861" s="20" t="s">
        <v>1668</v>
      </c>
      <c r="D1861" s="21">
        <v>4</v>
      </c>
      <c r="E1861" s="21"/>
      <c r="F1861" s="21"/>
      <c r="G1861" s="21"/>
      <c r="H1861" s="22">
        <f t="shared" si="29"/>
        <v>4</v>
      </c>
    </row>
    <row r="1862" spans="1:8" ht="15.75" customHeight="1">
      <c r="A1862" s="24" t="s">
        <v>2269</v>
      </c>
      <c r="B1862" s="24" t="s">
        <v>1475</v>
      </c>
      <c r="C1862" s="24" t="s">
        <v>1906</v>
      </c>
      <c r="D1862" s="25">
        <v>65</v>
      </c>
      <c r="E1862" s="25"/>
      <c r="F1862" s="25"/>
      <c r="G1862" s="25"/>
      <c r="H1862" s="22">
        <f t="shared" si="29"/>
        <v>65</v>
      </c>
    </row>
    <row r="1863" spans="1:8" ht="15.75" customHeight="1">
      <c r="A1863" s="20" t="s">
        <v>2270</v>
      </c>
      <c r="B1863" s="20" t="s">
        <v>1510</v>
      </c>
      <c r="C1863" s="20" t="s">
        <v>1909</v>
      </c>
      <c r="D1863" s="21">
        <v>199</v>
      </c>
      <c r="E1863" s="21"/>
      <c r="F1863" s="21"/>
      <c r="G1863" s="21"/>
      <c r="H1863" s="22">
        <f t="shared" si="29"/>
        <v>199</v>
      </c>
    </row>
    <row r="1864" spans="1:8" ht="15.75" customHeight="1">
      <c r="A1864" s="24" t="s">
        <v>2271</v>
      </c>
      <c r="B1864" s="24" t="s">
        <v>1523</v>
      </c>
      <c r="C1864" s="24" t="s">
        <v>1909</v>
      </c>
      <c r="D1864" s="25">
        <v>1</v>
      </c>
      <c r="E1864" s="25">
        <v>25</v>
      </c>
      <c r="F1864" s="25">
        <v>20</v>
      </c>
      <c r="G1864" s="25"/>
      <c r="H1864" s="22">
        <f t="shared" si="29"/>
        <v>46</v>
      </c>
    </row>
    <row r="1865" spans="1:8" ht="15.75" customHeight="1">
      <c r="A1865" s="20" t="s">
        <v>2272</v>
      </c>
      <c r="B1865" s="20" t="s">
        <v>2273</v>
      </c>
      <c r="C1865" s="20" t="s">
        <v>1909</v>
      </c>
      <c r="D1865" s="21">
        <v>120</v>
      </c>
      <c r="E1865" s="21">
        <v>22</v>
      </c>
      <c r="F1865" s="21">
        <v>15</v>
      </c>
      <c r="G1865" s="21">
        <v>1</v>
      </c>
      <c r="H1865" s="22">
        <f t="shared" si="29"/>
        <v>158</v>
      </c>
    </row>
    <row r="1866" spans="1:8" ht="15.75" customHeight="1">
      <c r="A1866" s="24" t="s">
        <v>2274</v>
      </c>
      <c r="B1866" s="24" t="s">
        <v>1510</v>
      </c>
      <c r="C1866" s="24" t="s">
        <v>1922</v>
      </c>
      <c r="D1866" s="25">
        <v>85</v>
      </c>
      <c r="E1866" s="25"/>
      <c r="F1866" s="25"/>
      <c r="G1866" s="25"/>
      <c r="H1866" s="22">
        <f t="shared" si="29"/>
        <v>85</v>
      </c>
    </row>
    <row r="1867" spans="1:8" ht="15.75" customHeight="1">
      <c r="A1867" s="20" t="s">
        <v>2942</v>
      </c>
      <c r="B1867" s="20" t="s">
        <v>1471</v>
      </c>
      <c r="C1867" s="20" t="s">
        <v>2941</v>
      </c>
      <c r="D1867" s="21"/>
      <c r="E1867" s="21">
        <v>50</v>
      </c>
      <c r="F1867" s="21"/>
      <c r="G1867" s="21"/>
      <c r="H1867" s="22">
        <f t="shared" si="29"/>
        <v>50</v>
      </c>
    </row>
    <row r="1868" spans="1:8" ht="15.75" customHeight="1">
      <c r="A1868" s="24" t="s">
        <v>2275</v>
      </c>
      <c r="B1868" s="24" t="s">
        <v>1475</v>
      </c>
      <c r="C1868" s="24" t="s">
        <v>2276</v>
      </c>
      <c r="D1868" s="25">
        <v>16</v>
      </c>
      <c r="E1868" s="25"/>
      <c r="F1868" s="25"/>
      <c r="G1868" s="25"/>
      <c r="H1868" s="22">
        <f t="shared" si="29"/>
        <v>16</v>
      </c>
    </row>
    <row r="1869" spans="1:8" ht="15.75" customHeight="1">
      <c r="A1869" s="20" t="s">
        <v>2277</v>
      </c>
      <c r="B1869" s="20" t="s">
        <v>1523</v>
      </c>
      <c r="C1869" s="20" t="s">
        <v>2278</v>
      </c>
      <c r="D1869" s="21">
        <v>1</v>
      </c>
      <c r="E1869" s="21">
        <v>5</v>
      </c>
      <c r="F1869" s="21"/>
      <c r="G1869" s="21">
        <v>50</v>
      </c>
      <c r="H1869" s="22">
        <f t="shared" si="29"/>
        <v>56</v>
      </c>
    </row>
    <row r="1870" spans="1:8" ht="15.75" customHeight="1">
      <c r="A1870" s="24" t="s">
        <v>3421</v>
      </c>
      <c r="B1870" s="24" t="s">
        <v>2301</v>
      </c>
      <c r="C1870" s="24" t="s">
        <v>2873</v>
      </c>
      <c r="D1870" s="25"/>
      <c r="E1870" s="25"/>
      <c r="F1870" s="25">
        <v>10</v>
      </c>
      <c r="G1870" s="25"/>
      <c r="H1870" s="22">
        <f t="shared" si="29"/>
        <v>10</v>
      </c>
    </row>
    <row r="1871" spans="1:8" ht="15.75" customHeight="1">
      <c r="A1871" s="20" t="s">
        <v>2943</v>
      </c>
      <c r="B1871" s="20" t="s">
        <v>2301</v>
      </c>
      <c r="C1871" s="20" t="s">
        <v>1909</v>
      </c>
      <c r="D1871" s="21"/>
      <c r="E1871" s="21">
        <v>1</v>
      </c>
      <c r="F1871" s="21"/>
      <c r="G1871" s="21"/>
      <c r="H1871" s="22">
        <f t="shared" si="29"/>
        <v>1</v>
      </c>
    </row>
    <row r="1872" spans="1:8" ht="15.75" customHeight="1">
      <c r="A1872" s="24" t="s">
        <v>2944</v>
      </c>
      <c r="B1872" s="24" t="s">
        <v>2301</v>
      </c>
      <c r="C1872" s="24" t="s">
        <v>1911</v>
      </c>
      <c r="D1872" s="25"/>
      <c r="E1872" s="25">
        <v>3</v>
      </c>
      <c r="F1872" s="25"/>
      <c r="G1872" s="25"/>
      <c r="H1872" s="22">
        <f t="shared" si="29"/>
        <v>3</v>
      </c>
    </row>
    <row r="1873" spans="1:8" ht="15.75" customHeight="1">
      <c r="A1873" s="20" t="s">
        <v>2279</v>
      </c>
      <c r="B1873" s="20" t="s">
        <v>1466</v>
      </c>
      <c r="C1873" s="20" t="s">
        <v>2280</v>
      </c>
      <c r="D1873" s="21">
        <v>30</v>
      </c>
      <c r="E1873" s="21"/>
      <c r="F1873" s="21">
        <v>10</v>
      </c>
      <c r="G1873" s="21"/>
      <c r="H1873" s="22">
        <f t="shared" si="29"/>
        <v>40</v>
      </c>
    </row>
    <row r="1874" spans="1:8" ht="15.75" customHeight="1">
      <c r="A1874" s="24" t="s">
        <v>2281</v>
      </c>
      <c r="B1874" s="24" t="s">
        <v>1466</v>
      </c>
      <c r="C1874" s="24" t="s">
        <v>2282</v>
      </c>
      <c r="D1874" s="25">
        <v>2</v>
      </c>
      <c r="E1874" s="25"/>
      <c r="F1874" s="25"/>
      <c r="G1874" s="25">
        <v>10</v>
      </c>
      <c r="H1874" s="22">
        <f t="shared" si="29"/>
        <v>12</v>
      </c>
    </row>
    <row r="1875" spans="1:8" ht="15.75" customHeight="1">
      <c r="A1875" s="20" t="s">
        <v>2283</v>
      </c>
      <c r="B1875" s="20" t="s">
        <v>1466</v>
      </c>
      <c r="C1875" s="20" t="s">
        <v>2284</v>
      </c>
      <c r="D1875" s="21">
        <v>2</v>
      </c>
      <c r="E1875" s="21">
        <v>3</v>
      </c>
      <c r="F1875" s="21"/>
      <c r="G1875" s="21"/>
      <c r="H1875" s="22">
        <f t="shared" si="29"/>
        <v>5</v>
      </c>
    </row>
    <row r="1876" spans="1:8" ht="15.75" customHeight="1">
      <c r="A1876" s="24" t="s">
        <v>2285</v>
      </c>
      <c r="B1876" s="24" t="s">
        <v>1463</v>
      </c>
      <c r="C1876" s="24" t="s">
        <v>1700</v>
      </c>
      <c r="D1876" s="25">
        <v>20</v>
      </c>
      <c r="E1876" s="25"/>
      <c r="F1876" s="25">
        <v>10</v>
      </c>
      <c r="G1876" s="25"/>
      <c r="H1876" s="22">
        <f t="shared" si="29"/>
        <v>30</v>
      </c>
    </row>
    <row r="1877" spans="1:8" ht="15.75" customHeight="1">
      <c r="A1877" s="20" t="s">
        <v>2286</v>
      </c>
      <c r="B1877" s="20" t="s">
        <v>1463</v>
      </c>
      <c r="C1877" s="20" t="s">
        <v>2110</v>
      </c>
      <c r="D1877" s="21">
        <v>2</v>
      </c>
      <c r="E1877" s="21"/>
      <c r="F1877" s="21"/>
      <c r="G1877" s="21"/>
      <c r="H1877" s="22">
        <f t="shared" si="29"/>
        <v>2</v>
      </c>
    </row>
    <row r="1878" spans="1:8" ht="15.75" customHeight="1">
      <c r="A1878" s="24" t="s">
        <v>2945</v>
      </c>
      <c r="B1878" s="24" t="s">
        <v>2929</v>
      </c>
      <c r="C1878" s="24" t="s">
        <v>2946</v>
      </c>
      <c r="D1878" s="25"/>
      <c r="E1878" s="25">
        <v>5</v>
      </c>
      <c r="F1878" s="25"/>
      <c r="G1878" s="25">
        <v>7</v>
      </c>
      <c r="H1878" s="22">
        <f t="shared" si="29"/>
        <v>12</v>
      </c>
    </row>
    <row r="1879" spans="1:8" ht="15.75" customHeight="1">
      <c r="A1879" s="20" t="s">
        <v>2287</v>
      </c>
      <c r="B1879" s="20" t="s">
        <v>1466</v>
      </c>
      <c r="C1879" s="20" t="s">
        <v>2276</v>
      </c>
      <c r="D1879" s="21">
        <v>25</v>
      </c>
      <c r="E1879" s="21"/>
      <c r="F1879" s="21"/>
      <c r="G1879" s="21"/>
      <c r="H1879" s="22">
        <f t="shared" si="29"/>
        <v>25</v>
      </c>
    </row>
    <row r="1880" spans="1:8" ht="15.75" customHeight="1">
      <c r="A1880" s="24" t="s">
        <v>2288</v>
      </c>
      <c r="B1880" s="24" t="s">
        <v>1466</v>
      </c>
      <c r="C1880" s="24" t="s">
        <v>2289</v>
      </c>
      <c r="D1880" s="25">
        <v>6</v>
      </c>
      <c r="E1880" s="25"/>
      <c r="F1880" s="25"/>
      <c r="G1880" s="25"/>
      <c r="H1880" s="22">
        <f t="shared" si="29"/>
        <v>6</v>
      </c>
    </row>
    <row r="1881" spans="1:8" ht="15.75" customHeight="1">
      <c r="A1881" s="20" t="s">
        <v>3422</v>
      </c>
      <c r="B1881" s="20" t="s">
        <v>1466</v>
      </c>
      <c r="C1881" s="20" t="s">
        <v>3423</v>
      </c>
      <c r="D1881" s="21"/>
      <c r="E1881" s="21"/>
      <c r="F1881" s="21">
        <v>4</v>
      </c>
      <c r="G1881" s="21"/>
      <c r="H1881" s="22">
        <f t="shared" si="29"/>
        <v>4</v>
      </c>
    </row>
    <row r="1882" spans="1:8" ht="15.75" customHeight="1">
      <c r="A1882" s="24" t="s">
        <v>2290</v>
      </c>
      <c r="B1882" s="24" t="s">
        <v>1504</v>
      </c>
      <c r="C1882" s="24" t="s">
        <v>1722</v>
      </c>
      <c r="D1882" s="25">
        <v>5</v>
      </c>
      <c r="E1882" s="25"/>
      <c r="F1882" s="25"/>
      <c r="G1882" s="25"/>
      <c r="H1882" s="22">
        <f t="shared" si="29"/>
        <v>5</v>
      </c>
    </row>
    <row r="1883" spans="1:8" ht="15.75" customHeight="1">
      <c r="A1883" s="20" t="s">
        <v>2291</v>
      </c>
      <c r="B1883" s="20" t="s">
        <v>1493</v>
      </c>
      <c r="C1883" s="20" t="s">
        <v>1916</v>
      </c>
      <c r="D1883" s="21">
        <v>650</v>
      </c>
      <c r="E1883" s="21"/>
      <c r="F1883" s="21"/>
      <c r="G1883" s="21"/>
      <c r="H1883" s="22">
        <f t="shared" si="29"/>
        <v>650</v>
      </c>
    </row>
    <row r="1884" spans="1:8" ht="15.75" customHeight="1">
      <c r="A1884" s="24" t="s">
        <v>2947</v>
      </c>
      <c r="B1884" s="24" t="s">
        <v>1463</v>
      </c>
      <c r="C1884" s="24" t="s">
        <v>1668</v>
      </c>
      <c r="D1884" s="25"/>
      <c r="E1884" s="25">
        <v>3</v>
      </c>
      <c r="F1884" s="25"/>
      <c r="G1884" s="25"/>
      <c r="H1884" s="22">
        <f t="shared" si="29"/>
        <v>3</v>
      </c>
    </row>
    <row r="1885" spans="1:8" ht="15.75" customHeight="1">
      <c r="A1885" s="20" t="s">
        <v>2948</v>
      </c>
      <c r="B1885" s="20" t="s">
        <v>1466</v>
      </c>
      <c r="C1885" s="20" t="s">
        <v>1578</v>
      </c>
      <c r="D1885" s="21"/>
      <c r="E1885" s="21">
        <v>15</v>
      </c>
      <c r="F1885" s="21"/>
      <c r="G1885" s="21"/>
      <c r="H1885" s="22">
        <f t="shared" si="29"/>
        <v>15</v>
      </c>
    </row>
    <row r="1886" spans="1:8" ht="15.75" customHeight="1">
      <c r="A1886" s="24" t="s">
        <v>2292</v>
      </c>
      <c r="B1886" s="24" t="s">
        <v>2273</v>
      </c>
      <c r="C1886" s="24" t="s">
        <v>1911</v>
      </c>
      <c r="D1886" s="25">
        <v>60</v>
      </c>
      <c r="E1886" s="25">
        <v>51</v>
      </c>
      <c r="F1886" s="25">
        <v>27</v>
      </c>
      <c r="G1886" s="25">
        <v>6</v>
      </c>
      <c r="H1886" s="22">
        <f t="shared" si="29"/>
        <v>144</v>
      </c>
    </row>
    <row r="1887" spans="1:8" ht="15.75" customHeight="1">
      <c r="A1887" s="20" t="s">
        <v>2293</v>
      </c>
      <c r="B1887" s="20" t="s">
        <v>2294</v>
      </c>
      <c r="C1887" s="20" t="s">
        <v>1911</v>
      </c>
      <c r="D1887" s="21">
        <v>15</v>
      </c>
      <c r="E1887" s="21">
        <v>3</v>
      </c>
      <c r="F1887" s="21"/>
      <c r="G1887" s="21"/>
      <c r="H1887" s="22">
        <f t="shared" si="29"/>
        <v>18</v>
      </c>
    </row>
    <row r="1888" spans="1:8" ht="15.75" customHeight="1">
      <c r="A1888" s="24" t="s">
        <v>2295</v>
      </c>
      <c r="B1888" s="24" t="s">
        <v>2294</v>
      </c>
      <c r="C1888" s="24" t="s">
        <v>1913</v>
      </c>
      <c r="D1888" s="25">
        <v>5</v>
      </c>
      <c r="E1888" s="25">
        <v>2</v>
      </c>
      <c r="F1888" s="25">
        <v>1</v>
      </c>
      <c r="G1888" s="25"/>
      <c r="H1888" s="22">
        <f t="shared" si="29"/>
        <v>8</v>
      </c>
    </row>
    <row r="1889" spans="1:8" ht="15.75" customHeight="1">
      <c r="A1889" s="20" t="s">
        <v>2296</v>
      </c>
      <c r="B1889" s="20" t="s">
        <v>1523</v>
      </c>
      <c r="C1889" s="20" t="s">
        <v>1911</v>
      </c>
      <c r="D1889" s="21">
        <v>100</v>
      </c>
      <c r="E1889" s="21">
        <v>20</v>
      </c>
      <c r="F1889" s="21">
        <v>20</v>
      </c>
      <c r="G1889" s="21"/>
      <c r="H1889" s="22">
        <f t="shared" si="29"/>
        <v>140</v>
      </c>
    </row>
    <row r="1890" spans="1:8" ht="15.75" customHeight="1">
      <c r="A1890" s="24" t="s">
        <v>2949</v>
      </c>
      <c r="B1890" s="24" t="s">
        <v>2929</v>
      </c>
      <c r="C1890" s="24" t="s">
        <v>1909</v>
      </c>
      <c r="D1890" s="25"/>
      <c r="E1890" s="25">
        <v>21</v>
      </c>
      <c r="F1890" s="25">
        <v>33</v>
      </c>
      <c r="G1890" s="25">
        <v>17</v>
      </c>
      <c r="H1890" s="22">
        <f t="shared" si="29"/>
        <v>71</v>
      </c>
    </row>
    <row r="1891" spans="1:8" ht="15.75" customHeight="1">
      <c r="A1891" s="20" t="s">
        <v>2297</v>
      </c>
      <c r="B1891" s="20" t="s">
        <v>1510</v>
      </c>
      <c r="C1891" s="20" t="s">
        <v>1927</v>
      </c>
      <c r="D1891" s="21">
        <v>18</v>
      </c>
      <c r="E1891" s="21"/>
      <c r="F1891" s="21"/>
      <c r="G1891" s="21"/>
      <c r="H1891" s="22">
        <f t="shared" si="29"/>
        <v>18</v>
      </c>
    </row>
    <row r="1892" spans="1:8" ht="15.75" customHeight="1">
      <c r="A1892" s="24" t="s">
        <v>2950</v>
      </c>
      <c r="B1892" s="24" t="s">
        <v>2929</v>
      </c>
      <c r="C1892" s="24" t="s">
        <v>1927</v>
      </c>
      <c r="D1892" s="25"/>
      <c r="E1892" s="25">
        <v>10</v>
      </c>
      <c r="F1892" s="25"/>
      <c r="G1892" s="25"/>
      <c r="H1892" s="22">
        <f t="shared" si="29"/>
        <v>10</v>
      </c>
    </row>
    <row r="1893" spans="1:8" ht="15.75" customHeight="1">
      <c r="A1893" s="20" t="s">
        <v>2951</v>
      </c>
      <c r="B1893" s="20" t="s">
        <v>2294</v>
      </c>
      <c r="C1893" s="20" t="s">
        <v>1909</v>
      </c>
      <c r="D1893" s="21"/>
      <c r="E1893" s="21">
        <v>2</v>
      </c>
      <c r="F1893" s="21"/>
      <c r="G1893" s="21"/>
      <c r="H1893" s="22">
        <f t="shared" si="29"/>
        <v>2</v>
      </c>
    </row>
    <row r="1894" spans="1:8" ht="15.75" customHeight="1">
      <c r="A1894" s="24" t="s">
        <v>2952</v>
      </c>
      <c r="B1894" s="24" t="s">
        <v>1523</v>
      </c>
      <c r="C1894" s="24" t="s">
        <v>1913</v>
      </c>
      <c r="D1894" s="25"/>
      <c r="E1894" s="25">
        <v>16</v>
      </c>
      <c r="F1894" s="25"/>
      <c r="G1894" s="25"/>
      <c r="H1894" s="22">
        <f t="shared" si="29"/>
        <v>16</v>
      </c>
    </row>
    <row r="1895" spans="1:8" ht="15.75" customHeight="1">
      <c r="A1895" s="20" t="s">
        <v>2953</v>
      </c>
      <c r="B1895" s="20" t="s">
        <v>2301</v>
      </c>
      <c r="C1895" s="20" t="s">
        <v>1913</v>
      </c>
      <c r="D1895" s="21"/>
      <c r="E1895" s="21">
        <v>1</v>
      </c>
      <c r="F1895" s="21"/>
      <c r="G1895" s="21"/>
      <c r="H1895" s="22">
        <f t="shared" si="29"/>
        <v>1</v>
      </c>
    </row>
    <row r="1896" spans="1:8" ht="15.75" customHeight="1">
      <c r="A1896" s="24" t="s">
        <v>3424</v>
      </c>
      <c r="B1896" s="24" t="s">
        <v>1471</v>
      </c>
      <c r="C1896" s="24" t="s">
        <v>1678</v>
      </c>
      <c r="D1896" s="25"/>
      <c r="E1896" s="25"/>
      <c r="F1896" s="25">
        <v>30</v>
      </c>
      <c r="G1896" s="25"/>
      <c r="H1896" s="22">
        <f t="shared" si="29"/>
        <v>30</v>
      </c>
    </row>
    <row r="1897" spans="1:8" ht="15.75" customHeight="1">
      <c r="A1897" s="20" t="s">
        <v>2954</v>
      </c>
      <c r="B1897" s="20" t="s">
        <v>2929</v>
      </c>
      <c r="C1897" s="20" t="s">
        <v>2955</v>
      </c>
      <c r="D1897" s="21"/>
      <c r="E1897" s="21">
        <v>16</v>
      </c>
      <c r="F1897" s="21"/>
      <c r="G1897" s="21">
        <v>5</v>
      </c>
      <c r="H1897" s="22">
        <f t="shared" si="29"/>
        <v>21</v>
      </c>
    </row>
    <row r="1898" spans="1:8" ht="15.75" customHeight="1">
      <c r="A1898" s="24" t="s">
        <v>2956</v>
      </c>
      <c r="B1898" s="24" t="s">
        <v>1523</v>
      </c>
      <c r="C1898" s="24" t="s">
        <v>1904</v>
      </c>
      <c r="D1898" s="25"/>
      <c r="E1898" s="25">
        <v>1</v>
      </c>
      <c r="F1898" s="25"/>
      <c r="G1898" s="25"/>
      <c r="H1898" s="22">
        <f t="shared" si="29"/>
        <v>1</v>
      </c>
    </row>
    <row r="1899" spans="1:8" ht="15.75" customHeight="1">
      <c r="A1899" s="20" t="s">
        <v>2957</v>
      </c>
      <c r="B1899" s="20" t="s">
        <v>2958</v>
      </c>
      <c r="C1899" s="20" t="s">
        <v>1927</v>
      </c>
      <c r="D1899" s="21"/>
      <c r="E1899" s="21">
        <v>10</v>
      </c>
      <c r="F1899" s="21"/>
      <c r="G1899" s="21"/>
      <c r="H1899" s="22">
        <f t="shared" si="29"/>
        <v>10</v>
      </c>
    </row>
    <row r="1900" spans="1:8" ht="15.75" customHeight="1">
      <c r="A1900" s="24" t="s">
        <v>2959</v>
      </c>
      <c r="B1900" s="24" t="s">
        <v>2958</v>
      </c>
      <c r="C1900" s="24" t="s">
        <v>2960</v>
      </c>
      <c r="D1900" s="25"/>
      <c r="E1900" s="25">
        <v>8</v>
      </c>
      <c r="F1900" s="25"/>
      <c r="G1900" s="25"/>
      <c r="H1900" s="22">
        <f t="shared" si="29"/>
        <v>8</v>
      </c>
    </row>
    <row r="1901" spans="1:8" ht="15.75" customHeight="1">
      <c r="A1901" s="20" t="s">
        <v>2961</v>
      </c>
      <c r="B1901" s="20" t="s">
        <v>1466</v>
      </c>
      <c r="C1901" s="20" t="s">
        <v>2962</v>
      </c>
      <c r="D1901" s="21"/>
      <c r="E1901" s="21">
        <v>105</v>
      </c>
      <c r="F1901" s="21"/>
      <c r="G1901" s="21"/>
      <c r="H1901" s="22">
        <f t="shared" si="29"/>
        <v>105</v>
      </c>
    </row>
    <row r="1902" spans="1:8" ht="15.75" customHeight="1">
      <c r="A1902" s="24" t="s">
        <v>2963</v>
      </c>
      <c r="B1902" s="24" t="s">
        <v>362</v>
      </c>
      <c r="C1902" s="24" t="s">
        <v>1685</v>
      </c>
      <c r="D1902" s="25"/>
      <c r="E1902" s="25">
        <v>60</v>
      </c>
      <c r="F1902" s="25"/>
      <c r="G1902" s="25"/>
      <c r="H1902" s="22">
        <f t="shared" si="29"/>
        <v>60</v>
      </c>
    </row>
    <row r="1903" spans="1:8" ht="15.75" customHeight="1">
      <c r="A1903" s="20" t="s">
        <v>2964</v>
      </c>
      <c r="B1903" s="20" t="s">
        <v>1925</v>
      </c>
      <c r="C1903" s="20" t="s">
        <v>2284</v>
      </c>
      <c r="D1903" s="21"/>
      <c r="E1903" s="21">
        <v>2</v>
      </c>
      <c r="F1903" s="21"/>
      <c r="G1903" s="21"/>
      <c r="H1903" s="22">
        <f t="shared" si="29"/>
        <v>2</v>
      </c>
    </row>
    <row r="1904" spans="1:8" ht="15.75" customHeight="1">
      <c r="A1904" s="24" t="s">
        <v>2965</v>
      </c>
      <c r="B1904" s="24" t="s">
        <v>362</v>
      </c>
      <c r="C1904" s="24" t="s">
        <v>2110</v>
      </c>
      <c r="D1904" s="25"/>
      <c r="E1904" s="25">
        <v>63</v>
      </c>
      <c r="F1904" s="25"/>
      <c r="G1904" s="25"/>
      <c r="H1904" s="22">
        <f t="shared" si="29"/>
        <v>63</v>
      </c>
    </row>
    <row r="1905" spans="1:8" ht="15.75" customHeight="1">
      <c r="A1905" s="20" t="s">
        <v>2966</v>
      </c>
      <c r="B1905" s="20" t="s">
        <v>1481</v>
      </c>
      <c r="C1905" s="20" t="s">
        <v>2967</v>
      </c>
      <c r="D1905" s="21"/>
      <c r="E1905" s="21">
        <v>2840</v>
      </c>
      <c r="F1905" s="21"/>
      <c r="G1905" s="21"/>
      <c r="H1905" s="22">
        <f t="shared" si="29"/>
        <v>2840</v>
      </c>
    </row>
    <row r="1906" spans="1:8" ht="15.75" customHeight="1">
      <c r="A1906" s="24" t="s">
        <v>3425</v>
      </c>
      <c r="B1906" s="24" t="s">
        <v>2929</v>
      </c>
      <c r="C1906" s="24" t="s">
        <v>3426</v>
      </c>
      <c r="D1906" s="25"/>
      <c r="E1906" s="25"/>
      <c r="F1906" s="25">
        <v>20</v>
      </c>
      <c r="G1906" s="25"/>
      <c r="H1906" s="22">
        <f t="shared" si="29"/>
        <v>20</v>
      </c>
    </row>
    <row r="1907" spans="1:8" ht="15.75" customHeight="1">
      <c r="A1907" s="20" t="s">
        <v>2968</v>
      </c>
      <c r="B1907" s="20" t="s">
        <v>2929</v>
      </c>
      <c r="C1907" s="20" t="s">
        <v>1668</v>
      </c>
      <c r="D1907" s="21"/>
      <c r="E1907" s="21">
        <v>2</v>
      </c>
      <c r="F1907" s="21"/>
      <c r="G1907" s="21"/>
      <c r="H1907" s="22">
        <f t="shared" si="29"/>
        <v>2</v>
      </c>
    </row>
    <row r="1908" spans="1:8" ht="15.75" customHeight="1">
      <c r="A1908" s="24" t="s">
        <v>3539</v>
      </c>
      <c r="B1908" s="24" t="s">
        <v>2929</v>
      </c>
      <c r="C1908" s="24" t="s">
        <v>1949</v>
      </c>
      <c r="D1908" s="25"/>
      <c r="E1908" s="25"/>
      <c r="F1908" s="25"/>
      <c r="G1908" s="25">
        <v>8</v>
      </c>
      <c r="H1908" s="22">
        <f t="shared" si="29"/>
        <v>8</v>
      </c>
    </row>
    <row r="1909" spans="1:8" ht="15.75" customHeight="1">
      <c r="A1909" s="20" t="s">
        <v>2969</v>
      </c>
      <c r="B1909" s="20" t="s">
        <v>1489</v>
      </c>
      <c r="C1909" s="20" t="s">
        <v>1783</v>
      </c>
      <c r="D1909" s="21"/>
      <c r="E1909" s="21">
        <v>21</v>
      </c>
      <c r="F1909" s="21"/>
      <c r="G1909" s="21"/>
      <c r="H1909" s="22">
        <f t="shared" si="29"/>
        <v>21</v>
      </c>
    </row>
    <row r="1910" spans="1:8" ht="15.75" customHeight="1">
      <c r="A1910" s="24" t="s">
        <v>3427</v>
      </c>
      <c r="B1910" s="24" t="s">
        <v>1504</v>
      </c>
      <c r="C1910" s="24" t="s">
        <v>1916</v>
      </c>
      <c r="D1910" s="25"/>
      <c r="E1910" s="25"/>
      <c r="F1910" s="25">
        <v>250</v>
      </c>
      <c r="G1910" s="25"/>
      <c r="H1910" s="22">
        <f t="shared" si="29"/>
        <v>250</v>
      </c>
    </row>
    <row r="1911" spans="1:8" ht="15.75" customHeight="1">
      <c r="A1911" s="20" t="s">
        <v>3540</v>
      </c>
      <c r="B1911" s="20" t="s">
        <v>1504</v>
      </c>
      <c r="C1911" s="20" t="s">
        <v>3432</v>
      </c>
      <c r="D1911" s="21"/>
      <c r="E1911" s="21"/>
      <c r="F1911" s="21"/>
      <c r="G1911" s="21">
        <v>100</v>
      </c>
      <c r="H1911" s="22">
        <f t="shared" si="29"/>
        <v>100</v>
      </c>
    </row>
    <row r="1912" spans="1:8" ht="15.75" customHeight="1">
      <c r="A1912" s="24" t="s">
        <v>3428</v>
      </c>
      <c r="B1912" s="24" t="s">
        <v>2273</v>
      </c>
      <c r="C1912" s="24" t="s">
        <v>1678</v>
      </c>
      <c r="D1912" s="25"/>
      <c r="E1912" s="25"/>
      <c r="F1912" s="25">
        <v>2</v>
      </c>
      <c r="G1912" s="25"/>
      <c r="H1912" s="22">
        <f t="shared" si="29"/>
        <v>2</v>
      </c>
    </row>
    <row r="1913" spans="1:8" ht="15.75" customHeight="1">
      <c r="A1913" s="20" t="s">
        <v>3428</v>
      </c>
      <c r="B1913" s="20" t="s">
        <v>2958</v>
      </c>
      <c r="C1913" s="20" t="s">
        <v>1678</v>
      </c>
      <c r="D1913" s="21"/>
      <c r="E1913" s="21"/>
      <c r="F1913" s="21">
        <v>10</v>
      </c>
      <c r="G1913" s="21"/>
      <c r="H1913" s="22">
        <f t="shared" si="29"/>
        <v>10</v>
      </c>
    </row>
    <row r="1914" spans="1:8" ht="15.75" customHeight="1">
      <c r="A1914" s="24" t="s">
        <v>3429</v>
      </c>
      <c r="B1914" s="24" t="s">
        <v>2958</v>
      </c>
      <c r="C1914" s="24" t="s">
        <v>1682</v>
      </c>
      <c r="D1914" s="25"/>
      <c r="E1914" s="25"/>
      <c r="F1914" s="25">
        <v>10</v>
      </c>
      <c r="G1914" s="25"/>
      <c r="H1914" s="22">
        <f t="shared" si="29"/>
        <v>10</v>
      </c>
    </row>
    <row r="1915" spans="1:8" ht="15.75" customHeight="1">
      <c r="A1915" s="20" t="s">
        <v>3430</v>
      </c>
      <c r="B1915" s="20" t="s">
        <v>3431</v>
      </c>
      <c r="C1915" s="20" t="s">
        <v>3432</v>
      </c>
      <c r="D1915" s="21"/>
      <c r="E1915" s="21"/>
      <c r="F1915" s="21">
        <v>2</v>
      </c>
      <c r="G1915" s="21"/>
      <c r="H1915" s="22">
        <f t="shared" si="29"/>
        <v>2</v>
      </c>
    </row>
    <row r="1916" spans="1:8" ht="15.75" customHeight="1">
      <c r="A1916" s="24" t="s">
        <v>3541</v>
      </c>
      <c r="B1916" s="24" t="s">
        <v>2273</v>
      </c>
      <c r="C1916" s="24" t="s">
        <v>2870</v>
      </c>
      <c r="D1916" s="25"/>
      <c r="E1916" s="25"/>
      <c r="F1916" s="25"/>
      <c r="G1916" s="25">
        <v>5</v>
      </c>
      <c r="H1916" s="22">
        <f t="shared" si="29"/>
        <v>5</v>
      </c>
    </row>
    <row r="1917" spans="1:8" ht="15.75" customHeight="1">
      <c r="A1917" s="20" t="s">
        <v>3542</v>
      </c>
      <c r="B1917" s="20" t="s">
        <v>1489</v>
      </c>
      <c r="C1917" s="20" t="s">
        <v>1685</v>
      </c>
      <c r="D1917" s="21"/>
      <c r="E1917" s="21"/>
      <c r="F1917" s="21"/>
      <c r="G1917" s="21">
        <v>1</v>
      </c>
      <c r="H1917" s="22">
        <f t="shared" si="29"/>
        <v>1</v>
      </c>
    </row>
    <row r="1918" spans="1:8" ht="15.75" customHeight="1">
      <c r="A1918" s="24" t="s">
        <v>2298</v>
      </c>
      <c r="B1918" s="24" t="s">
        <v>1460</v>
      </c>
      <c r="C1918" s="24" t="s">
        <v>2118</v>
      </c>
      <c r="D1918" s="25">
        <v>15</v>
      </c>
      <c r="E1918" s="25"/>
      <c r="F1918" s="25"/>
      <c r="G1918" s="25"/>
      <c r="H1918" s="22">
        <f t="shared" si="29"/>
        <v>15</v>
      </c>
    </row>
    <row r="1919" spans="1:8" ht="15.75" customHeight="1">
      <c r="A1919" s="20" t="s">
        <v>2299</v>
      </c>
      <c r="B1919" s="20" t="s">
        <v>1523</v>
      </c>
      <c r="C1919" s="20" t="s">
        <v>1700</v>
      </c>
      <c r="D1919" s="21">
        <v>100</v>
      </c>
      <c r="E1919" s="21"/>
      <c r="F1919" s="21"/>
      <c r="G1919" s="21"/>
      <c r="H1919" s="22">
        <f t="shared" si="29"/>
        <v>100</v>
      </c>
    </row>
    <row r="1920" spans="1:8" ht="15.75" customHeight="1">
      <c r="A1920" s="24" t="s">
        <v>2300</v>
      </c>
      <c r="B1920" s="24" t="s">
        <v>2301</v>
      </c>
      <c r="C1920" s="24" t="s">
        <v>2302</v>
      </c>
      <c r="D1920" s="25">
        <v>12</v>
      </c>
      <c r="E1920" s="25"/>
      <c r="F1920" s="25"/>
      <c r="G1920" s="25"/>
      <c r="H1920" s="22">
        <f t="shared" si="29"/>
        <v>12</v>
      </c>
    </row>
    <row r="1921" spans="1:8" ht="15.75" customHeight="1">
      <c r="A1921" s="20" t="s">
        <v>3433</v>
      </c>
      <c r="B1921" s="20" t="s">
        <v>1510</v>
      </c>
      <c r="C1921" s="20" t="s">
        <v>1913</v>
      </c>
      <c r="D1921" s="21"/>
      <c r="E1921" s="21"/>
      <c r="F1921" s="21">
        <v>10</v>
      </c>
      <c r="G1921" s="21"/>
      <c r="H1921" s="22">
        <f t="shared" si="29"/>
        <v>10</v>
      </c>
    </row>
    <row r="1922" spans="1:8" ht="15.75" customHeight="1">
      <c r="A1922" s="24" t="s">
        <v>2303</v>
      </c>
      <c r="B1922" s="24" t="s">
        <v>1504</v>
      </c>
      <c r="C1922" s="24" t="s">
        <v>2304</v>
      </c>
      <c r="D1922" s="25">
        <v>1</v>
      </c>
      <c r="E1922" s="25"/>
      <c r="F1922" s="25">
        <v>7</v>
      </c>
      <c r="G1922" s="25">
        <v>10</v>
      </c>
      <c r="H1922" s="22">
        <f t="shared" si="29"/>
        <v>18</v>
      </c>
    </row>
    <row r="1923" spans="1:8" ht="15.75" customHeight="1">
      <c r="A1923" s="20" t="s">
        <v>2305</v>
      </c>
      <c r="B1923" s="20" t="s">
        <v>1481</v>
      </c>
      <c r="C1923" s="20" t="s">
        <v>20</v>
      </c>
      <c r="D1923" s="21">
        <v>3</v>
      </c>
      <c r="E1923" s="21"/>
      <c r="F1923" s="21">
        <v>2</v>
      </c>
      <c r="G1923" s="21">
        <v>10</v>
      </c>
      <c r="H1923" s="22">
        <f t="shared" si="29"/>
        <v>15</v>
      </c>
    </row>
    <row r="1924" spans="1:8" ht="15.75" customHeight="1">
      <c r="A1924" s="24" t="s">
        <v>2306</v>
      </c>
      <c r="B1924" s="24" t="s">
        <v>1504</v>
      </c>
      <c r="C1924" s="24" t="s">
        <v>24</v>
      </c>
      <c r="D1924" s="25">
        <v>43</v>
      </c>
      <c r="E1924" s="25">
        <v>13</v>
      </c>
      <c r="F1924" s="25">
        <v>10</v>
      </c>
      <c r="G1924" s="25"/>
      <c r="H1924" s="22">
        <f t="shared" ref="H1924:H1987" si="30">SUM(D1924:G1924)</f>
        <v>66</v>
      </c>
    </row>
    <row r="1925" spans="1:8" ht="15.75" customHeight="1">
      <c r="A1925" s="20" t="s">
        <v>3543</v>
      </c>
      <c r="B1925" s="20" t="s">
        <v>77</v>
      </c>
      <c r="C1925" s="20" t="s">
        <v>3544</v>
      </c>
      <c r="D1925" s="21"/>
      <c r="E1925" s="21"/>
      <c r="F1925" s="21"/>
      <c r="G1925" s="21">
        <v>100</v>
      </c>
      <c r="H1925" s="22">
        <f t="shared" si="30"/>
        <v>100</v>
      </c>
    </row>
    <row r="1926" spans="1:8" ht="15.75" customHeight="1">
      <c r="A1926" s="24" t="s">
        <v>3545</v>
      </c>
      <c r="B1926" s="24" t="s">
        <v>93</v>
      </c>
      <c r="C1926" s="24" t="s">
        <v>3544</v>
      </c>
      <c r="D1926" s="25"/>
      <c r="E1926" s="25"/>
      <c r="F1926" s="25"/>
      <c r="G1926" s="25">
        <v>70</v>
      </c>
      <c r="H1926" s="22">
        <f t="shared" si="30"/>
        <v>70</v>
      </c>
    </row>
  </sheetData>
  <mergeCells count="1">
    <mergeCell ref="A1:H1"/>
  </mergeCells>
  <phoneticPr fontId="3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L221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/>
  <cols>
    <col min="1" max="1" width="5" customWidth="1"/>
    <col min="2" max="2" width="16" customWidth="1"/>
    <col min="3" max="3" width="38" customWidth="1"/>
    <col min="4" max="4" width="22" customWidth="1"/>
    <col min="5" max="8" width="11" customWidth="1"/>
    <col min="9" max="9" width="12" customWidth="1"/>
    <col min="10" max="10" width="11" customWidth="1"/>
    <col min="11" max="12" width="12" customWidth="1"/>
  </cols>
  <sheetData>
    <row r="1" spans="1:12" ht="25.5" customHeight="1">
      <c r="A1" s="13" t="s">
        <v>3583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8" customHeight="1">
      <c r="A2" s="12" t="s">
        <v>3584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21.75" customHeight="1">
      <c r="A3" s="11" t="s">
        <v>3585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30" customHeight="1">
      <c r="A4" s="18" t="s">
        <v>3586</v>
      </c>
      <c r="B4" s="18" t="s">
        <v>2</v>
      </c>
      <c r="C4" s="18" t="s">
        <v>3</v>
      </c>
      <c r="D4" s="18" t="s">
        <v>4</v>
      </c>
      <c r="E4" s="38" t="s">
        <v>3547</v>
      </c>
      <c r="F4" s="38" t="s">
        <v>3548</v>
      </c>
      <c r="G4" s="38" t="s">
        <v>3549</v>
      </c>
      <c r="H4" s="38" t="s">
        <v>3550</v>
      </c>
      <c r="I4" s="38" t="s">
        <v>3587</v>
      </c>
      <c r="J4" s="18" t="s">
        <v>3588</v>
      </c>
      <c r="K4" s="18" t="s">
        <v>3589</v>
      </c>
      <c r="L4" s="18" t="s">
        <v>3590</v>
      </c>
    </row>
    <row r="5" spans="1:12" ht="16.5" customHeight="1">
      <c r="A5" s="39">
        <v>1</v>
      </c>
      <c r="B5" s="20" t="s">
        <v>1713</v>
      </c>
      <c r="C5" s="20" t="s">
        <v>203</v>
      </c>
      <c r="D5" s="20" t="s">
        <v>1714</v>
      </c>
      <c r="E5" s="21">
        <v>15342</v>
      </c>
      <c r="F5" s="21">
        <v>10349</v>
      </c>
      <c r="G5" s="21">
        <v>11030</v>
      </c>
      <c r="H5" s="21">
        <v>2824</v>
      </c>
      <c r="I5" s="22">
        <v>39545</v>
      </c>
      <c r="J5" s="40">
        <v>12240.3</v>
      </c>
      <c r="K5" s="41" t="s">
        <v>3591</v>
      </c>
      <c r="L5" s="42" t="s">
        <v>3592</v>
      </c>
    </row>
    <row r="6" spans="1:12" ht="16.5" customHeight="1">
      <c r="A6" s="43">
        <v>2</v>
      </c>
      <c r="B6" s="24" t="s">
        <v>1719</v>
      </c>
      <c r="C6" s="24" t="s">
        <v>203</v>
      </c>
      <c r="D6" s="24" t="s">
        <v>1720</v>
      </c>
      <c r="E6" s="25">
        <v>11303</v>
      </c>
      <c r="F6" s="25">
        <v>10245</v>
      </c>
      <c r="G6" s="25">
        <v>8968</v>
      </c>
      <c r="H6" s="25">
        <v>2977</v>
      </c>
      <c r="I6" s="22">
        <v>33493</v>
      </c>
      <c r="J6" s="40">
        <v>10172</v>
      </c>
      <c r="K6" s="41" t="s">
        <v>3591</v>
      </c>
      <c r="L6" s="42" t="s">
        <v>3592</v>
      </c>
    </row>
    <row r="7" spans="1:12" ht="16.5" customHeight="1">
      <c r="A7" s="39">
        <v>3</v>
      </c>
      <c r="B7" s="20" t="s">
        <v>1725</v>
      </c>
      <c r="C7" s="20" t="s">
        <v>203</v>
      </c>
      <c r="D7" s="20" t="s">
        <v>1726</v>
      </c>
      <c r="E7" s="21">
        <v>6085</v>
      </c>
      <c r="F7" s="21">
        <v>5201</v>
      </c>
      <c r="G7" s="21">
        <v>4156</v>
      </c>
      <c r="H7" s="21">
        <v>1150</v>
      </c>
      <c r="I7" s="22">
        <v>16592</v>
      </c>
      <c r="J7" s="40">
        <v>5147.3</v>
      </c>
      <c r="K7" s="41" t="s">
        <v>3591</v>
      </c>
      <c r="L7" s="42" t="s">
        <v>3592</v>
      </c>
    </row>
    <row r="8" spans="1:12" ht="16.5" customHeight="1">
      <c r="A8" s="43">
        <v>4</v>
      </c>
      <c r="B8" s="24" t="s">
        <v>1735</v>
      </c>
      <c r="C8" s="24" t="s">
        <v>203</v>
      </c>
      <c r="D8" s="24" t="s">
        <v>1736</v>
      </c>
      <c r="E8" s="25">
        <v>4506</v>
      </c>
      <c r="F8" s="25">
        <v>3620</v>
      </c>
      <c r="G8" s="25">
        <v>3927</v>
      </c>
      <c r="H8" s="25">
        <v>1102</v>
      </c>
      <c r="I8" s="22">
        <v>13155</v>
      </c>
      <c r="J8" s="40">
        <v>4017.7</v>
      </c>
      <c r="K8" s="41" t="s">
        <v>3591</v>
      </c>
      <c r="L8" s="42" t="s">
        <v>3592</v>
      </c>
    </row>
    <row r="9" spans="1:12" ht="16.5" customHeight="1">
      <c r="A9" s="39">
        <v>5</v>
      </c>
      <c r="B9" s="20" t="s">
        <v>1769</v>
      </c>
      <c r="C9" s="20" t="s">
        <v>244</v>
      </c>
      <c r="D9" s="20" t="s">
        <v>1770</v>
      </c>
      <c r="E9" s="21">
        <v>3292</v>
      </c>
      <c r="F9" s="21">
        <v>2616</v>
      </c>
      <c r="G9" s="21">
        <v>3127</v>
      </c>
      <c r="H9" s="21">
        <v>835</v>
      </c>
      <c r="I9" s="22">
        <v>9870</v>
      </c>
      <c r="J9" s="40">
        <v>3011.7</v>
      </c>
      <c r="K9" s="41" t="s">
        <v>3591</v>
      </c>
      <c r="L9" s="42" t="s">
        <v>3592</v>
      </c>
    </row>
    <row r="10" spans="1:12" ht="16.5" customHeight="1">
      <c r="A10" s="43">
        <v>6</v>
      </c>
      <c r="B10" s="24" t="s">
        <v>1887</v>
      </c>
      <c r="C10" s="24" t="s">
        <v>294</v>
      </c>
      <c r="D10" s="24" t="s">
        <v>1888</v>
      </c>
      <c r="E10" s="25">
        <v>2645</v>
      </c>
      <c r="F10" s="25">
        <v>3420</v>
      </c>
      <c r="G10" s="25">
        <v>2956</v>
      </c>
      <c r="H10" s="25">
        <v>613</v>
      </c>
      <c r="I10" s="22">
        <v>9634</v>
      </c>
      <c r="J10" s="40">
        <v>3007</v>
      </c>
      <c r="K10" s="41" t="s">
        <v>3591</v>
      </c>
      <c r="L10" s="42" t="s">
        <v>3592</v>
      </c>
    </row>
    <row r="11" spans="1:12" ht="16.5" customHeight="1">
      <c r="A11" s="39">
        <v>7</v>
      </c>
      <c r="B11" s="20" t="s">
        <v>1780</v>
      </c>
      <c r="C11" s="20" t="s">
        <v>253</v>
      </c>
      <c r="D11" s="20" t="s">
        <v>1781</v>
      </c>
      <c r="E11" s="21">
        <v>3318</v>
      </c>
      <c r="F11" s="21">
        <v>2131</v>
      </c>
      <c r="G11" s="21">
        <v>3026</v>
      </c>
      <c r="H11" s="21">
        <v>730</v>
      </c>
      <c r="I11" s="22">
        <v>9205</v>
      </c>
      <c r="J11" s="40">
        <v>2825</v>
      </c>
      <c r="K11" s="41" t="s">
        <v>3591</v>
      </c>
      <c r="L11" s="42" t="s">
        <v>3592</v>
      </c>
    </row>
    <row r="12" spans="1:12" ht="16.5" customHeight="1">
      <c r="A12" s="43">
        <v>8</v>
      </c>
      <c r="B12" s="24" t="s">
        <v>1727</v>
      </c>
      <c r="C12" s="24" t="s">
        <v>203</v>
      </c>
      <c r="D12" s="24" t="s">
        <v>1728</v>
      </c>
      <c r="E12" s="25">
        <v>2322</v>
      </c>
      <c r="F12" s="25">
        <v>2761</v>
      </c>
      <c r="G12" s="25">
        <v>2524</v>
      </c>
      <c r="H12" s="25">
        <v>533</v>
      </c>
      <c r="I12" s="22">
        <v>8140</v>
      </c>
      <c r="J12" s="40">
        <v>2535.6999999999998</v>
      </c>
      <c r="K12" s="41" t="s">
        <v>3591</v>
      </c>
      <c r="L12" s="42" t="s">
        <v>3592</v>
      </c>
    </row>
    <row r="13" spans="1:12" ht="16.5" customHeight="1">
      <c r="A13" s="39">
        <v>9</v>
      </c>
      <c r="B13" s="20" t="s">
        <v>1865</v>
      </c>
      <c r="C13" s="20" t="s">
        <v>283</v>
      </c>
      <c r="D13" s="20" t="s">
        <v>1866</v>
      </c>
      <c r="E13" s="21">
        <v>1842</v>
      </c>
      <c r="F13" s="21">
        <v>2451</v>
      </c>
      <c r="G13" s="21">
        <v>2902</v>
      </c>
      <c r="H13" s="21">
        <v>1430</v>
      </c>
      <c r="I13" s="22">
        <v>8625</v>
      </c>
      <c r="J13" s="40">
        <v>2398.3000000000002</v>
      </c>
      <c r="K13" s="41" t="s">
        <v>3591</v>
      </c>
      <c r="L13" s="42" t="s">
        <v>3592</v>
      </c>
    </row>
    <row r="14" spans="1:12" ht="16.5" customHeight="1">
      <c r="A14" s="43">
        <v>10</v>
      </c>
      <c r="B14" s="24" t="s">
        <v>1775</v>
      </c>
      <c r="C14" s="24" t="s">
        <v>253</v>
      </c>
      <c r="D14" s="24" t="s">
        <v>1776</v>
      </c>
      <c r="E14" s="25">
        <v>2433</v>
      </c>
      <c r="F14" s="25">
        <v>2034</v>
      </c>
      <c r="G14" s="25">
        <v>2245</v>
      </c>
      <c r="H14" s="25">
        <v>575</v>
      </c>
      <c r="I14" s="22">
        <v>7287</v>
      </c>
      <c r="J14" s="40">
        <v>2237.3000000000002</v>
      </c>
      <c r="K14" s="41" t="s">
        <v>3591</v>
      </c>
      <c r="L14" s="42" t="s">
        <v>3592</v>
      </c>
    </row>
    <row r="15" spans="1:12" ht="15.75" customHeight="1">
      <c r="A15" s="44"/>
      <c r="B15" s="45" t="s">
        <v>3593</v>
      </c>
      <c r="C15" s="44"/>
      <c r="D15" s="44"/>
      <c r="E15" s="29">
        <f>SUM(E5:E14)</f>
        <v>53088</v>
      </c>
      <c r="F15" s="29">
        <f>SUM(F5:F14)</f>
        <v>44828</v>
      </c>
      <c r="G15" s="29">
        <f>SUM(G5:G14)</f>
        <v>44861</v>
      </c>
      <c r="H15" s="29">
        <f>SUM(H5:H14)</f>
        <v>12769</v>
      </c>
      <c r="I15" s="29">
        <f>SUM(I5:I14)</f>
        <v>155546</v>
      </c>
      <c r="J15" s="44"/>
      <c r="K15" s="44"/>
      <c r="L15" s="44"/>
    </row>
    <row r="17" spans="1:12" ht="21.75" customHeight="1">
      <c r="A17" s="11" t="s">
        <v>3594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 ht="30" customHeight="1">
      <c r="A18" s="18" t="s">
        <v>3586</v>
      </c>
      <c r="B18" s="18" t="s">
        <v>2</v>
      </c>
      <c r="C18" s="18" t="s">
        <v>3</v>
      </c>
      <c r="D18" s="18" t="s">
        <v>4</v>
      </c>
      <c r="E18" s="38" t="s">
        <v>3547</v>
      </c>
      <c r="F18" s="38" t="s">
        <v>3548</v>
      </c>
      <c r="G18" s="38" t="s">
        <v>3549</v>
      </c>
      <c r="H18" s="38" t="s">
        <v>3550</v>
      </c>
      <c r="I18" s="38" t="s">
        <v>3587</v>
      </c>
      <c r="J18" s="18" t="s">
        <v>3588</v>
      </c>
      <c r="K18" s="18" t="s">
        <v>3589</v>
      </c>
      <c r="L18" s="18" t="s">
        <v>3590</v>
      </c>
    </row>
    <row r="19" spans="1:12" ht="16.5" customHeight="1">
      <c r="A19" s="39">
        <v>1</v>
      </c>
      <c r="B19" s="20" t="s">
        <v>1713</v>
      </c>
      <c r="C19" s="20" t="s">
        <v>203</v>
      </c>
      <c r="D19" s="20" t="s">
        <v>1714</v>
      </c>
      <c r="E19" s="21">
        <v>15342</v>
      </c>
      <c r="F19" s="21">
        <v>10349</v>
      </c>
      <c r="G19" s="21">
        <v>11030</v>
      </c>
      <c r="H19" s="21">
        <v>2824</v>
      </c>
      <c r="I19" s="22">
        <v>39545</v>
      </c>
      <c r="J19" s="40">
        <v>12240.3</v>
      </c>
      <c r="K19" s="41" t="s">
        <v>3591</v>
      </c>
      <c r="L19" s="42" t="s">
        <v>3592</v>
      </c>
    </row>
    <row r="20" spans="1:12" ht="16.5" customHeight="1">
      <c r="A20" s="43">
        <v>2</v>
      </c>
      <c r="B20" s="24" t="s">
        <v>1719</v>
      </c>
      <c r="C20" s="24" t="s">
        <v>203</v>
      </c>
      <c r="D20" s="24" t="s">
        <v>1720</v>
      </c>
      <c r="E20" s="25">
        <v>11303</v>
      </c>
      <c r="F20" s="25">
        <v>10245</v>
      </c>
      <c r="G20" s="25">
        <v>8968</v>
      </c>
      <c r="H20" s="25">
        <v>2977</v>
      </c>
      <c r="I20" s="22">
        <v>33493</v>
      </c>
      <c r="J20" s="40">
        <v>10172</v>
      </c>
      <c r="K20" s="41" t="s">
        <v>3591</v>
      </c>
      <c r="L20" s="42" t="s">
        <v>3592</v>
      </c>
    </row>
    <row r="21" spans="1:12" ht="16.5" customHeight="1">
      <c r="A21" s="39">
        <v>3</v>
      </c>
      <c r="B21" s="20" t="s">
        <v>1725</v>
      </c>
      <c r="C21" s="20" t="s">
        <v>203</v>
      </c>
      <c r="D21" s="20" t="s">
        <v>1726</v>
      </c>
      <c r="E21" s="21">
        <v>6085</v>
      </c>
      <c r="F21" s="21">
        <v>5201</v>
      </c>
      <c r="G21" s="21">
        <v>4156</v>
      </c>
      <c r="H21" s="21">
        <v>1150</v>
      </c>
      <c r="I21" s="22">
        <v>16592</v>
      </c>
      <c r="J21" s="40">
        <v>5147.3</v>
      </c>
      <c r="K21" s="41" t="s">
        <v>3591</v>
      </c>
      <c r="L21" s="42" t="s">
        <v>3592</v>
      </c>
    </row>
    <row r="22" spans="1:12" ht="16.5" customHeight="1">
      <c r="A22" s="43">
        <v>4</v>
      </c>
      <c r="B22" s="24" t="s">
        <v>1735</v>
      </c>
      <c r="C22" s="24" t="s">
        <v>203</v>
      </c>
      <c r="D22" s="24" t="s">
        <v>1736</v>
      </c>
      <c r="E22" s="25">
        <v>4506</v>
      </c>
      <c r="F22" s="25">
        <v>3620</v>
      </c>
      <c r="G22" s="25">
        <v>3927</v>
      </c>
      <c r="H22" s="25">
        <v>1102</v>
      </c>
      <c r="I22" s="22">
        <v>13155</v>
      </c>
      <c r="J22" s="40">
        <v>4017.7</v>
      </c>
      <c r="K22" s="41" t="s">
        <v>3591</v>
      </c>
      <c r="L22" s="42" t="s">
        <v>3592</v>
      </c>
    </row>
    <row r="23" spans="1:12" ht="16.5" customHeight="1">
      <c r="A23" s="39">
        <v>5</v>
      </c>
      <c r="B23" s="20" t="s">
        <v>1769</v>
      </c>
      <c r="C23" s="20" t="s">
        <v>244</v>
      </c>
      <c r="D23" s="20" t="s">
        <v>1770</v>
      </c>
      <c r="E23" s="21">
        <v>3292</v>
      </c>
      <c r="F23" s="21">
        <v>2616</v>
      </c>
      <c r="G23" s="21">
        <v>3127</v>
      </c>
      <c r="H23" s="21">
        <v>835</v>
      </c>
      <c r="I23" s="22">
        <v>9870</v>
      </c>
      <c r="J23" s="40">
        <v>3011.7</v>
      </c>
      <c r="K23" s="41" t="s">
        <v>3591</v>
      </c>
      <c r="L23" s="42" t="s">
        <v>3592</v>
      </c>
    </row>
    <row r="24" spans="1:12" ht="16.5" customHeight="1">
      <c r="A24" s="43">
        <v>6</v>
      </c>
      <c r="B24" s="24" t="s">
        <v>1887</v>
      </c>
      <c r="C24" s="24" t="s">
        <v>294</v>
      </c>
      <c r="D24" s="24" t="s">
        <v>1888</v>
      </c>
      <c r="E24" s="25">
        <v>2645</v>
      </c>
      <c r="F24" s="25">
        <v>3420</v>
      </c>
      <c r="G24" s="25">
        <v>2956</v>
      </c>
      <c r="H24" s="25">
        <v>613</v>
      </c>
      <c r="I24" s="22">
        <v>9634</v>
      </c>
      <c r="J24" s="40">
        <v>3007</v>
      </c>
      <c r="K24" s="41" t="s">
        <v>3591</v>
      </c>
      <c r="L24" s="42" t="s">
        <v>3592</v>
      </c>
    </row>
    <row r="25" spans="1:12" ht="16.5" customHeight="1">
      <c r="A25" s="39">
        <v>7</v>
      </c>
      <c r="B25" s="20" t="s">
        <v>1780</v>
      </c>
      <c r="C25" s="20" t="s">
        <v>253</v>
      </c>
      <c r="D25" s="20" t="s">
        <v>1781</v>
      </c>
      <c r="E25" s="21">
        <v>3318</v>
      </c>
      <c r="F25" s="21">
        <v>2131</v>
      </c>
      <c r="G25" s="21">
        <v>3026</v>
      </c>
      <c r="H25" s="21">
        <v>730</v>
      </c>
      <c r="I25" s="22">
        <v>9205</v>
      </c>
      <c r="J25" s="40">
        <v>2825</v>
      </c>
      <c r="K25" s="41" t="s">
        <v>3591</v>
      </c>
      <c r="L25" s="42" t="s">
        <v>3592</v>
      </c>
    </row>
    <row r="26" spans="1:12" ht="16.5" customHeight="1">
      <c r="A26" s="43">
        <v>8</v>
      </c>
      <c r="B26" s="24" t="s">
        <v>1727</v>
      </c>
      <c r="C26" s="24" t="s">
        <v>203</v>
      </c>
      <c r="D26" s="24" t="s">
        <v>1728</v>
      </c>
      <c r="E26" s="25">
        <v>2322</v>
      </c>
      <c r="F26" s="25">
        <v>2761</v>
      </c>
      <c r="G26" s="25">
        <v>2524</v>
      </c>
      <c r="H26" s="25">
        <v>533</v>
      </c>
      <c r="I26" s="22">
        <v>8140</v>
      </c>
      <c r="J26" s="40">
        <v>2535.6999999999998</v>
      </c>
      <c r="K26" s="41" t="s">
        <v>3591</v>
      </c>
      <c r="L26" s="42" t="s">
        <v>3592</v>
      </c>
    </row>
    <row r="27" spans="1:12" ht="16.5" customHeight="1">
      <c r="A27" s="39">
        <v>9</v>
      </c>
      <c r="B27" s="20" t="s">
        <v>1865</v>
      </c>
      <c r="C27" s="20" t="s">
        <v>283</v>
      </c>
      <c r="D27" s="20" t="s">
        <v>1866</v>
      </c>
      <c r="E27" s="21">
        <v>1842</v>
      </c>
      <c r="F27" s="21">
        <v>2451</v>
      </c>
      <c r="G27" s="21">
        <v>2902</v>
      </c>
      <c r="H27" s="21">
        <v>1430</v>
      </c>
      <c r="I27" s="22">
        <v>8625</v>
      </c>
      <c r="J27" s="40">
        <v>2398.3000000000002</v>
      </c>
      <c r="K27" s="41" t="s">
        <v>3591</v>
      </c>
      <c r="L27" s="42" t="s">
        <v>3592</v>
      </c>
    </row>
    <row r="28" spans="1:12" ht="16.5" customHeight="1">
      <c r="A28" s="43">
        <v>10</v>
      </c>
      <c r="B28" s="24" t="s">
        <v>1775</v>
      </c>
      <c r="C28" s="24" t="s">
        <v>253</v>
      </c>
      <c r="D28" s="24" t="s">
        <v>1776</v>
      </c>
      <c r="E28" s="25">
        <v>2433</v>
      </c>
      <c r="F28" s="25">
        <v>2034</v>
      </c>
      <c r="G28" s="25">
        <v>2245</v>
      </c>
      <c r="H28" s="25">
        <v>575</v>
      </c>
      <c r="I28" s="22">
        <v>7287</v>
      </c>
      <c r="J28" s="40">
        <v>2237.3000000000002</v>
      </c>
      <c r="K28" s="41" t="s">
        <v>3591</v>
      </c>
      <c r="L28" s="42" t="s">
        <v>3592</v>
      </c>
    </row>
    <row r="29" spans="1:12" ht="15.75" customHeight="1">
      <c r="A29" s="44"/>
      <c r="B29" s="45" t="s">
        <v>3593</v>
      </c>
      <c r="C29" s="44"/>
      <c r="D29" s="44"/>
      <c r="E29" s="29">
        <f>SUM(E19:E28)</f>
        <v>53088</v>
      </c>
      <c r="F29" s="29">
        <f>SUM(F19:F28)</f>
        <v>44828</v>
      </c>
      <c r="G29" s="29">
        <f>SUM(G19:G28)</f>
        <v>44861</v>
      </c>
      <c r="H29" s="29">
        <f>SUM(H19:H28)</f>
        <v>12769</v>
      </c>
      <c r="I29" s="29">
        <f>SUM(I19:I28)</f>
        <v>155546</v>
      </c>
      <c r="J29" s="44"/>
      <c r="K29" s="44"/>
      <c r="L29" s="44"/>
    </row>
    <row r="32" spans="1:12" ht="21.75" customHeight="1">
      <c r="A32" s="10" t="s">
        <v>3595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30" customHeight="1">
      <c r="A33" s="46" t="s">
        <v>3586</v>
      </c>
      <c r="B33" s="46" t="s">
        <v>2</v>
      </c>
      <c r="C33" s="46" t="s">
        <v>3</v>
      </c>
      <c r="D33" s="46" t="s">
        <v>4</v>
      </c>
      <c r="E33" s="17" t="s">
        <v>3547</v>
      </c>
      <c r="F33" s="17" t="s">
        <v>3548</v>
      </c>
      <c r="G33" s="17" t="s">
        <v>3549</v>
      </c>
      <c r="H33" s="17" t="s">
        <v>3550</v>
      </c>
      <c r="I33" s="17" t="s">
        <v>3587</v>
      </c>
      <c r="J33" s="46" t="s">
        <v>3588</v>
      </c>
      <c r="K33" s="46" t="s">
        <v>3589</v>
      </c>
      <c r="L33" s="46" t="s">
        <v>3590</v>
      </c>
    </row>
    <row r="34" spans="1:12" ht="16.5" customHeight="1">
      <c r="A34" s="47">
        <v>1</v>
      </c>
      <c r="B34" s="20" t="s">
        <v>2244</v>
      </c>
      <c r="C34" s="20" t="s">
        <v>1504</v>
      </c>
      <c r="D34" s="20" t="s">
        <v>2245</v>
      </c>
      <c r="E34" s="21">
        <v>75461</v>
      </c>
      <c r="F34" s="21">
        <v>53445</v>
      </c>
      <c r="G34" s="21">
        <v>22164</v>
      </c>
      <c r="H34" s="21">
        <v>18240</v>
      </c>
      <c r="I34" s="22">
        <v>169310</v>
      </c>
      <c r="J34" s="40">
        <v>50356.7</v>
      </c>
      <c r="K34" s="41" t="s">
        <v>3591</v>
      </c>
      <c r="L34" s="42" t="s">
        <v>3592</v>
      </c>
    </row>
    <row r="35" spans="1:12" ht="16.5" customHeight="1">
      <c r="A35" s="48">
        <v>2</v>
      </c>
      <c r="B35" s="24" t="s">
        <v>2252</v>
      </c>
      <c r="C35" s="24" t="s">
        <v>1504</v>
      </c>
      <c r="D35" s="24" t="s">
        <v>2253</v>
      </c>
      <c r="E35" s="25">
        <v>78291</v>
      </c>
      <c r="F35" s="25">
        <v>37812</v>
      </c>
      <c r="G35" s="25">
        <v>23006</v>
      </c>
      <c r="H35" s="25">
        <v>14030</v>
      </c>
      <c r="I35" s="22">
        <v>153139</v>
      </c>
      <c r="J35" s="40">
        <v>46369.7</v>
      </c>
      <c r="K35" s="41" t="s">
        <v>3591</v>
      </c>
      <c r="L35" s="42" t="s">
        <v>3592</v>
      </c>
    </row>
    <row r="36" spans="1:12" ht="16.5" customHeight="1">
      <c r="A36" s="47">
        <v>3</v>
      </c>
      <c r="B36" s="20" t="s">
        <v>2250</v>
      </c>
      <c r="C36" s="20" t="s">
        <v>1504</v>
      </c>
      <c r="D36" s="20" t="s">
        <v>2251</v>
      </c>
      <c r="E36" s="21">
        <v>23860</v>
      </c>
      <c r="F36" s="21">
        <v>6440</v>
      </c>
      <c r="G36" s="21">
        <v>2585</v>
      </c>
      <c r="H36" s="21">
        <v>3640</v>
      </c>
      <c r="I36" s="22">
        <v>36525</v>
      </c>
      <c r="J36" s="40">
        <v>10961.7</v>
      </c>
      <c r="K36" s="41" t="s">
        <v>3591</v>
      </c>
      <c r="L36" s="49" t="s">
        <v>3596</v>
      </c>
    </row>
    <row r="37" spans="1:12" ht="16.5" customHeight="1">
      <c r="A37" s="48">
        <v>4</v>
      </c>
      <c r="B37" s="24" t="s">
        <v>1467</v>
      </c>
      <c r="C37" s="24" t="s">
        <v>1466</v>
      </c>
      <c r="D37" s="24" t="s">
        <v>24</v>
      </c>
      <c r="E37" s="25">
        <v>27898</v>
      </c>
      <c r="F37" s="25">
        <v>55</v>
      </c>
      <c r="G37" s="25"/>
      <c r="H37" s="25"/>
      <c r="I37" s="22">
        <v>27953</v>
      </c>
      <c r="J37" s="40">
        <v>9317.7000000000007</v>
      </c>
      <c r="K37" s="23" t="s">
        <v>3597</v>
      </c>
      <c r="L37" s="49" t="s">
        <v>3596</v>
      </c>
    </row>
    <row r="38" spans="1:12" ht="16.5" customHeight="1">
      <c r="A38" s="47">
        <v>5</v>
      </c>
      <c r="B38" s="20" t="s">
        <v>2233</v>
      </c>
      <c r="C38" s="20" t="s">
        <v>1493</v>
      </c>
      <c r="D38" s="20" t="s">
        <v>2234</v>
      </c>
      <c r="E38" s="21">
        <v>7785</v>
      </c>
      <c r="F38" s="21">
        <v>5769</v>
      </c>
      <c r="G38" s="21">
        <v>8230</v>
      </c>
      <c r="H38" s="21">
        <v>6710</v>
      </c>
      <c r="I38" s="22">
        <v>28494</v>
      </c>
      <c r="J38" s="40">
        <v>7261.3</v>
      </c>
      <c r="K38" s="41" t="s">
        <v>3591</v>
      </c>
      <c r="L38" s="42" t="s">
        <v>3592</v>
      </c>
    </row>
    <row r="39" spans="1:12" ht="16.5" customHeight="1">
      <c r="A39" s="48">
        <v>6</v>
      </c>
      <c r="B39" s="24" t="s">
        <v>2256</v>
      </c>
      <c r="C39" s="24" t="s">
        <v>1504</v>
      </c>
      <c r="D39" s="24" t="s">
        <v>2257</v>
      </c>
      <c r="E39" s="25">
        <v>12335</v>
      </c>
      <c r="F39" s="25">
        <v>6115</v>
      </c>
      <c r="G39" s="25">
        <v>2437</v>
      </c>
      <c r="H39" s="25">
        <v>2411</v>
      </c>
      <c r="I39" s="22">
        <v>23298</v>
      </c>
      <c r="J39" s="40">
        <v>6962.3</v>
      </c>
      <c r="K39" s="41" t="s">
        <v>3591</v>
      </c>
      <c r="L39" s="50" t="s">
        <v>3598</v>
      </c>
    </row>
    <row r="40" spans="1:12" ht="16.5" customHeight="1">
      <c r="A40" s="47">
        <v>7</v>
      </c>
      <c r="B40" s="20" t="s">
        <v>2239</v>
      </c>
      <c r="C40" s="20" t="s">
        <v>1504</v>
      </c>
      <c r="D40" s="20" t="s">
        <v>2240</v>
      </c>
      <c r="E40" s="21">
        <v>5647</v>
      </c>
      <c r="F40" s="21">
        <v>4649</v>
      </c>
      <c r="G40" s="21">
        <v>3008</v>
      </c>
      <c r="H40" s="21">
        <v>1140</v>
      </c>
      <c r="I40" s="22">
        <v>14444</v>
      </c>
      <c r="J40" s="40">
        <v>4434.7</v>
      </c>
      <c r="K40" s="41" t="s">
        <v>3591</v>
      </c>
      <c r="L40" s="42" t="s">
        <v>3592</v>
      </c>
    </row>
    <row r="41" spans="1:12" ht="16.5" customHeight="1">
      <c r="A41" s="48">
        <v>8</v>
      </c>
      <c r="B41" s="24" t="s">
        <v>2107</v>
      </c>
      <c r="C41" s="24" t="s">
        <v>1466</v>
      </c>
      <c r="D41" s="24" t="s">
        <v>2108</v>
      </c>
      <c r="E41" s="25">
        <v>2793</v>
      </c>
      <c r="F41" s="25">
        <v>2454</v>
      </c>
      <c r="G41" s="25">
        <v>2137</v>
      </c>
      <c r="H41" s="25">
        <v>295</v>
      </c>
      <c r="I41" s="22">
        <v>7679</v>
      </c>
      <c r="J41" s="40">
        <v>2461.3000000000002</v>
      </c>
      <c r="K41" s="41" t="s">
        <v>3591</v>
      </c>
      <c r="L41" s="42" t="s">
        <v>3592</v>
      </c>
    </row>
    <row r="42" spans="1:12" ht="16.5" customHeight="1">
      <c r="A42" s="47">
        <v>9</v>
      </c>
      <c r="B42" s="20" t="s">
        <v>2156</v>
      </c>
      <c r="C42" s="20" t="s">
        <v>1475</v>
      </c>
      <c r="D42" s="20" t="s">
        <v>1911</v>
      </c>
      <c r="E42" s="21">
        <v>3223</v>
      </c>
      <c r="F42" s="21">
        <v>2109</v>
      </c>
      <c r="G42" s="21">
        <v>1689</v>
      </c>
      <c r="H42" s="21">
        <v>619</v>
      </c>
      <c r="I42" s="22">
        <v>7640</v>
      </c>
      <c r="J42" s="40">
        <v>2340.3000000000002</v>
      </c>
      <c r="K42" s="41" t="s">
        <v>3591</v>
      </c>
      <c r="L42" s="42" t="s">
        <v>3592</v>
      </c>
    </row>
    <row r="43" spans="1:12" ht="16.5" customHeight="1">
      <c r="A43" s="48">
        <v>10</v>
      </c>
      <c r="B43" s="24" t="s">
        <v>2104</v>
      </c>
      <c r="C43" s="24" t="s">
        <v>1466</v>
      </c>
      <c r="D43" s="24" t="s">
        <v>2105</v>
      </c>
      <c r="E43" s="25">
        <v>2467</v>
      </c>
      <c r="F43" s="25">
        <v>1988</v>
      </c>
      <c r="G43" s="25">
        <v>1775</v>
      </c>
      <c r="H43" s="25">
        <v>675</v>
      </c>
      <c r="I43" s="22">
        <v>6905</v>
      </c>
      <c r="J43" s="40">
        <v>2076.6999999999998</v>
      </c>
      <c r="K43" s="41" t="s">
        <v>3591</v>
      </c>
      <c r="L43" s="42" t="s">
        <v>3592</v>
      </c>
    </row>
    <row r="44" spans="1:12" ht="15.75" customHeight="1">
      <c r="A44" s="51"/>
      <c r="B44" s="52" t="s">
        <v>3593</v>
      </c>
      <c r="C44" s="51"/>
      <c r="D44" s="51"/>
      <c r="E44" s="53">
        <f>SUM(E34:E43)</f>
        <v>239760</v>
      </c>
      <c r="F44" s="53">
        <f>SUM(F34:F43)</f>
        <v>120836</v>
      </c>
      <c r="G44" s="53">
        <f>SUM(G34:G43)</f>
        <v>67031</v>
      </c>
      <c r="H44" s="53">
        <f>SUM(H34:H43)</f>
        <v>47760</v>
      </c>
      <c r="I44" s="53">
        <f>SUM(I34:I43)</f>
        <v>475387</v>
      </c>
      <c r="J44" s="51"/>
      <c r="K44" s="51"/>
      <c r="L44" s="51"/>
    </row>
    <row r="46" spans="1:12" ht="21.75" customHeight="1">
      <c r="A46" s="10" t="s">
        <v>3599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30" customHeight="1">
      <c r="A47" s="46" t="s">
        <v>3586</v>
      </c>
      <c r="B47" s="46" t="s">
        <v>2</v>
      </c>
      <c r="C47" s="46" t="s">
        <v>3</v>
      </c>
      <c r="D47" s="46" t="s">
        <v>4</v>
      </c>
      <c r="E47" s="17" t="s">
        <v>3547</v>
      </c>
      <c r="F47" s="17" t="s">
        <v>3548</v>
      </c>
      <c r="G47" s="17" t="s">
        <v>3549</v>
      </c>
      <c r="H47" s="17" t="s">
        <v>3550</v>
      </c>
      <c r="I47" s="17" t="s">
        <v>3587</v>
      </c>
      <c r="J47" s="46" t="s">
        <v>3588</v>
      </c>
      <c r="K47" s="46" t="s">
        <v>3589</v>
      </c>
      <c r="L47" s="46" t="s">
        <v>3590</v>
      </c>
    </row>
    <row r="48" spans="1:12" ht="16.5" customHeight="1">
      <c r="A48" s="47">
        <v>1</v>
      </c>
      <c r="B48" s="20" t="s">
        <v>2244</v>
      </c>
      <c r="C48" s="20" t="s">
        <v>1504</v>
      </c>
      <c r="D48" s="20" t="s">
        <v>2245</v>
      </c>
      <c r="E48" s="21">
        <v>75461</v>
      </c>
      <c r="F48" s="21">
        <v>53445</v>
      </c>
      <c r="G48" s="21">
        <v>22164</v>
      </c>
      <c r="H48" s="21">
        <v>18240</v>
      </c>
      <c r="I48" s="22">
        <v>169310</v>
      </c>
      <c r="J48" s="40">
        <v>50356.7</v>
      </c>
      <c r="K48" s="41" t="s">
        <v>3591</v>
      </c>
      <c r="L48" s="42" t="s">
        <v>3592</v>
      </c>
    </row>
    <row r="49" spans="1:12" ht="16.5" customHeight="1">
      <c r="A49" s="48">
        <v>2</v>
      </c>
      <c r="B49" s="24" t="s">
        <v>2252</v>
      </c>
      <c r="C49" s="24" t="s">
        <v>1504</v>
      </c>
      <c r="D49" s="24" t="s">
        <v>2253</v>
      </c>
      <c r="E49" s="25">
        <v>78291</v>
      </c>
      <c r="F49" s="25">
        <v>37812</v>
      </c>
      <c r="G49" s="25">
        <v>23006</v>
      </c>
      <c r="H49" s="25">
        <v>14030</v>
      </c>
      <c r="I49" s="22">
        <v>153139</v>
      </c>
      <c r="J49" s="40">
        <v>46369.7</v>
      </c>
      <c r="K49" s="41" t="s">
        <v>3591</v>
      </c>
      <c r="L49" s="42" t="s">
        <v>3592</v>
      </c>
    </row>
    <row r="50" spans="1:12" ht="16.5" customHeight="1">
      <c r="A50" s="47">
        <v>3</v>
      </c>
      <c r="B50" s="20" t="s">
        <v>2233</v>
      </c>
      <c r="C50" s="20" t="s">
        <v>1493</v>
      </c>
      <c r="D50" s="20" t="s">
        <v>2234</v>
      </c>
      <c r="E50" s="21">
        <v>7785</v>
      </c>
      <c r="F50" s="21">
        <v>5769</v>
      </c>
      <c r="G50" s="21">
        <v>8230</v>
      </c>
      <c r="H50" s="21">
        <v>6710</v>
      </c>
      <c r="I50" s="22">
        <v>28494</v>
      </c>
      <c r="J50" s="40">
        <v>7261.3</v>
      </c>
      <c r="K50" s="41" t="s">
        <v>3591</v>
      </c>
      <c r="L50" s="42" t="s">
        <v>3592</v>
      </c>
    </row>
    <row r="51" spans="1:12" ht="16.5" customHeight="1">
      <c r="A51" s="48">
        <v>4</v>
      </c>
      <c r="B51" s="24" t="s">
        <v>2239</v>
      </c>
      <c r="C51" s="24" t="s">
        <v>1504</v>
      </c>
      <c r="D51" s="24" t="s">
        <v>2240</v>
      </c>
      <c r="E51" s="25">
        <v>5647</v>
      </c>
      <c r="F51" s="25">
        <v>4649</v>
      </c>
      <c r="G51" s="25">
        <v>3008</v>
      </c>
      <c r="H51" s="25">
        <v>1140</v>
      </c>
      <c r="I51" s="22">
        <v>14444</v>
      </c>
      <c r="J51" s="40">
        <v>4434.7</v>
      </c>
      <c r="K51" s="41" t="s">
        <v>3591</v>
      </c>
      <c r="L51" s="42" t="s">
        <v>3592</v>
      </c>
    </row>
    <row r="52" spans="1:12" ht="16.5" customHeight="1">
      <c r="A52" s="47">
        <v>5</v>
      </c>
      <c r="B52" s="20" t="s">
        <v>2107</v>
      </c>
      <c r="C52" s="20" t="s">
        <v>1466</v>
      </c>
      <c r="D52" s="20" t="s">
        <v>2108</v>
      </c>
      <c r="E52" s="21">
        <v>2793</v>
      </c>
      <c r="F52" s="21">
        <v>2454</v>
      </c>
      <c r="G52" s="21">
        <v>2137</v>
      </c>
      <c r="H52" s="21">
        <v>295</v>
      </c>
      <c r="I52" s="22">
        <v>7679</v>
      </c>
      <c r="J52" s="40">
        <v>2461.3000000000002</v>
      </c>
      <c r="K52" s="41" t="s">
        <v>3591</v>
      </c>
      <c r="L52" s="42" t="s">
        <v>3592</v>
      </c>
    </row>
    <row r="53" spans="1:12" ht="16.5" customHeight="1">
      <c r="A53" s="48">
        <v>6</v>
      </c>
      <c r="B53" s="24" t="s">
        <v>2156</v>
      </c>
      <c r="C53" s="24" t="s">
        <v>1475</v>
      </c>
      <c r="D53" s="24" t="s">
        <v>1911</v>
      </c>
      <c r="E53" s="25">
        <v>3223</v>
      </c>
      <c r="F53" s="25">
        <v>2109</v>
      </c>
      <c r="G53" s="25">
        <v>1689</v>
      </c>
      <c r="H53" s="25">
        <v>619</v>
      </c>
      <c r="I53" s="22">
        <v>7640</v>
      </c>
      <c r="J53" s="40">
        <v>2340.3000000000002</v>
      </c>
      <c r="K53" s="41" t="s">
        <v>3591</v>
      </c>
      <c r="L53" s="42" t="s">
        <v>3592</v>
      </c>
    </row>
    <row r="54" spans="1:12" ht="16.5" customHeight="1">
      <c r="A54" s="47">
        <v>7</v>
      </c>
      <c r="B54" s="20" t="s">
        <v>2104</v>
      </c>
      <c r="C54" s="20" t="s">
        <v>1466</v>
      </c>
      <c r="D54" s="20" t="s">
        <v>2105</v>
      </c>
      <c r="E54" s="21">
        <v>2467</v>
      </c>
      <c r="F54" s="21">
        <v>1988</v>
      </c>
      <c r="G54" s="21">
        <v>1775</v>
      </c>
      <c r="H54" s="21">
        <v>675</v>
      </c>
      <c r="I54" s="22">
        <v>6905</v>
      </c>
      <c r="J54" s="40">
        <v>2076.6999999999998</v>
      </c>
      <c r="K54" s="41" t="s">
        <v>3591</v>
      </c>
      <c r="L54" s="42" t="s">
        <v>3592</v>
      </c>
    </row>
    <row r="55" spans="1:12" ht="16.5" customHeight="1">
      <c r="A55" s="48">
        <v>8</v>
      </c>
      <c r="B55" s="24" t="s">
        <v>2192</v>
      </c>
      <c r="C55" s="24" t="s">
        <v>1481</v>
      </c>
      <c r="D55" s="24" t="s">
        <v>2193</v>
      </c>
      <c r="E55" s="25">
        <v>2274</v>
      </c>
      <c r="F55" s="25">
        <v>1830</v>
      </c>
      <c r="G55" s="25">
        <v>2015</v>
      </c>
      <c r="H55" s="25">
        <v>480</v>
      </c>
      <c r="I55" s="22">
        <v>6599</v>
      </c>
      <c r="J55" s="40">
        <v>2039.7</v>
      </c>
      <c r="K55" s="41" t="s">
        <v>3591</v>
      </c>
      <c r="L55" s="42" t="s">
        <v>3592</v>
      </c>
    </row>
    <row r="56" spans="1:12" ht="16.5" customHeight="1">
      <c r="A56" s="47">
        <v>9</v>
      </c>
      <c r="B56" s="20" t="s">
        <v>2231</v>
      </c>
      <c r="C56" s="20" t="s">
        <v>1493</v>
      </c>
      <c r="D56" s="20" t="s">
        <v>2232</v>
      </c>
      <c r="E56" s="21">
        <v>2458</v>
      </c>
      <c r="F56" s="21">
        <v>2471</v>
      </c>
      <c r="G56" s="21">
        <v>1090</v>
      </c>
      <c r="H56" s="21">
        <v>1150</v>
      </c>
      <c r="I56" s="22">
        <v>7169</v>
      </c>
      <c r="J56" s="40">
        <v>2006.3</v>
      </c>
      <c r="K56" s="41" t="s">
        <v>3591</v>
      </c>
      <c r="L56" s="42" t="s">
        <v>3592</v>
      </c>
    </row>
    <row r="57" spans="1:12" ht="16.5" customHeight="1">
      <c r="A57" s="48">
        <v>10</v>
      </c>
      <c r="B57" s="24" t="s">
        <v>2227</v>
      </c>
      <c r="C57" s="24" t="s">
        <v>1493</v>
      </c>
      <c r="D57" s="24" t="s">
        <v>2228</v>
      </c>
      <c r="E57" s="25">
        <v>2460</v>
      </c>
      <c r="F57" s="25">
        <v>1315</v>
      </c>
      <c r="G57" s="25">
        <v>1323</v>
      </c>
      <c r="H57" s="25">
        <v>180</v>
      </c>
      <c r="I57" s="22">
        <v>5278</v>
      </c>
      <c r="J57" s="40">
        <v>1699.3</v>
      </c>
      <c r="K57" s="41" t="s">
        <v>3591</v>
      </c>
      <c r="L57" s="42" t="s">
        <v>3592</v>
      </c>
    </row>
    <row r="58" spans="1:12" ht="15.75" customHeight="1">
      <c r="A58" s="51"/>
      <c r="B58" s="52" t="s">
        <v>3593</v>
      </c>
      <c r="C58" s="51"/>
      <c r="D58" s="51"/>
      <c r="E58" s="53">
        <f>SUM(E48:E57)</f>
        <v>182859</v>
      </c>
      <c r="F58" s="53">
        <f>SUM(F48:F57)</f>
        <v>113842</v>
      </c>
      <c r="G58" s="53">
        <f>SUM(G48:G57)</f>
        <v>66437</v>
      </c>
      <c r="H58" s="53">
        <f>SUM(H48:H57)</f>
        <v>43519</v>
      </c>
      <c r="I58" s="53">
        <f>SUM(I48:I57)</f>
        <v>406657</v>
      </c>
      <c r="J58" s="51"/>
      <c r="K58" s="51"/>
      <c r="L58" s="51"/>
    </row>
    <row r="61" spans="1:12" ht="21.75" customHeight="1">
      <c r="A61" s="9" t="s">
        <v>3600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30" customHeight="1">
      <c r="A62" s="54" t="s">
        <v>3586</v>
      </c>
      <c r="B62" s="54" t="s">
        <v>2</v>
      </c>
      <c r="C62" s="54" t="s">
        <v>3</v>
      </c>
      <c r="D62" s="54" t="s">
        <v>4</v>
      </c>
      <c r="E62" s="30" t="s">
        <v>3547</v>
      </c>
      <c r="F62" s="30" t="s">
        <v>3548</v>
      </c>
      <c r="G62" s="30" t="s">
        <v>3549</v>
      </c>
      <c r="H62" s="30" t="s">
        <v>3550</v>
      </c>
      <c r="I62" s="30" t="s">
        <v>3587</v>
      </c>
      <c r="J62" s="54" t="s">
        <v>3588</v>
      </c>
      <c r="K62" s="54" t="s">
        <v>3589</v>
      </c>
      <c r="L62" s="54" t="s">
        <v>3590</v>
      </c>
    </row>
    <row r="63" spans="1:12" ht="16.5" customHeight="1">
      <c r="A63" s="55">
        <v>1</v>
      </c>
      <c r="B63" s="20" t="s">
        <v>2003</v>
      </c>
      <c r="C63" s="20" t="s">
        <v>1357</v>
      </c>
      <c r="D63" s="20" t="s">
        <v>2004</v>
      </c>
      <c r="E63" s="21">
        <v>160</v>
      </c>
      <c r="F63" s="21">
        <v>302</v>
      </c>
      <c r="G63" s="21">
        <v>327</v>
      </c>
      <c r="H63" s="21">
        <v>92</v>
      </c>
      <c r="I63" s="22">
        <v>881</v>
      </c>
      <c r="J63" s="40">
        <v>263</v>
      </c>
      <c r="K63" s="41" t="s">
        <v>3591</v>
      </c>
      <c r="L63" s="42" t="s">
        <v>3592</v>
      </c>
    </row>
    <row r="64" spans="1:12" ht="16.5" customHeight="1">
      <c r="A64" s="56">
        <v>2</v>
      </c>
      <c r="B64" s="24" t="s">
        <v>1979</v>
      </c>
      <c r="C64" s="24" t="s">
        <v>1357</v>
      </c>
      <c r="D64" s="24" t="s">
        <v>1980</v>
      </c>
      <c r="E64" s="25">
        <v>208</v>
      </c>
      <c r="F64" s="25">
        <v>302</v>
      </c>
      <c r="G64" s="25">
        <v>210</v>
      </c>
      <c r="H64" s="25">
        <v>15</v>
      </c>
      <c r="I64" s="22">
        <v>735</v>
      </c>
      <c r="J64" s="40">
        <v>240</v>
      </c>
      <c r="K64" s="41" t="s">
        <v>3591</v>
      </c>
      <c r="L64" s="42" t="s">
        <v>3592</v>
      </c>
    </row>
    <row r="65" spans="1:12" ht="16.5" customHeight="1">
      <c r="A65" s="55">
        <v>3</v>
      </c>
      <c r="B65" s="20" t="s">
        <v>1969</v>
      </c>
      <c r="C65" s="20" t="s">
        <v>1357</v>
      </c>
      <c r="D65" s="20" t="s">
        <v>1970</v>
      </c>
      <c r="E65" s="21">
        <v>17</v>
      </c>
      <c r="F65" s="21">
        <v>81</v>
      </c>
      <c r="G65" s="21">
        <v>277</v>
      </c>
      <c r="H65" s="21"/>
      <c r="I65" s="22">
        <v>375</v>
      </c>
      <c r="J65" s="40">
        <v>125</v>
      </c>
      <c r="K65" s="41" t="s">
        <v>3591</v>
      </c>
      <c r="L65" s="49" t="s">
        <v>3596</v>
      </c>
    </row>
    <row r="66" spans="1:12" ht="16.5" customHeight="1">
      <c r="A66" s="56">
        <v>4</v>
      </c>
      <c r="B66" s="24" t="s">
        <v>1977</v>
      </c>
      <c r="C66" s="24" t="s">
        <v>1357</v>
      </c>
      <c r="D66" s="24" t="s">
        <v>1978</v>
      </c>
      <c r="E66" s="25">
        <v>64</v>
      </c>
      <c r="F66" s="25">
        <v>76</v>
      </c>
      <c r="G66" s="25">
        <v>226</v>
      </c>
      <c r="H66" s="25">
        <v>24</v>
      </c>
      <c r="I66" s="22">
        <v>390</v>
      </c>
      <c r="J66" s="40">
        <v>122</v>
      </c>
      <c r="K66" s="41" t="s">
        <v>3591</v>
      </c>
      <c r="L66" s="49" t="s">
        <v>3601</v>
      </c>
    </row>
    <row r="67" spans="1:12" ht="16.5" customHeight="1">
      <c r="A67" s="55">
        <v>5</v>
      </c>
      <c r="B67" s="20" t="s">
        <v>1993</v>
      </c>
      <c r="C67" s="20" t="s">
        <v>1363</v>
      </c>
      <c r="D67" s="20" t="s">
        <v>1994</v>
      </c>
      <c r="E67" s="21">
        <v>55</v>
      </c>
      <c r="F67" s="21">
        <v>117</v>
      </c>
      <c r="G67" s="21">
        <v>190</v>
      </c>
      <c r="H67" s="21">
        <v>1</v>
      </c>
      <c r="I67" s="22">
        <v>363</v>
      </c>
      <c r="J67" s="40">
        <v>120.7</v>
      </c>
      <c r="K67" s="41" t="s">
        <v>3591</v>
      </c>
      <c r="L67" s="42" t="s">
        <v>3592</v>
      </c>
    </row>
    <row r="68" spans="1:12" ht="16.5" customHeight="1">
      <c r="A68" s="56">
        <v>6</v>
      </c>
      <c r="B68" s="24" t="s">
        <v>2898</v>
      </c>
      <c r="C68" s="24" t="s">
        <v>1363</v>
      </c>
      <c r="D68" s="24" t="s">
        <v>2899</v>
      </c>
      <c r="E68" s="25"/>
      <c r="F68" s="25">
        <v>68</v>
      </c>
      <c r="G68" s="25">
        <v>255</v>
      </c>
      <c r="H68" s="25"/>
      <c r="I68" s="22">
        <v>323</v>
      </c>
      <c r="J68" s="40">
        <v>107.7</v>
      </c>
      <c r="K68" s="23" t="s">
        <v>3597</v>
      </c>
      <c r="L68" s="49" t="s">
        <v>3601</v>
      </c>
    </row>
    <row r="69" spans="1:12" ht="16.5" customHeight="1">
      <c r="A69" s="55">
        <v>7</v>
      </c>
      <c r="B69" s="20" t="s">
        <v>1975</v>
      </c>
      <c r="C69" s="20" t="s">
        <v>1357</v>
      </c>
      <c r="D69" s="20" t="s">
        <v>1976</v>
      </c>
      <c r="E69" s="21">
        <v>71</v>
      </c>
      <c r="F69" s="21">
        <v>146</v>
      </c>
      <c r="G69" s="21">
        <v>92</v>
      </c>
      <c r="H69" s="21"/>
      <c r="I69" s="22">
        <v>309</v>
      </c>
      <c r="J69" s="40">
        <v>103</v>
      </c>
      <c r="K69" s="41" t="s">
        <v>3591</v>
      </c>
      <c r="L69" s="42" t="s">
        <v>3592</v>
      </c>
    </row>
    <row r="70" spans="1:12" ht="16.5" customHeight="1">
      <c r="A70" s="56">
        <v>8</v>
      </c>
      <c r="B70" s="24" t="s">
        <v>1973</v>
      </c>
      <c r="C70" s="24" t="s">
        <v>1357</v>
      </c>
      <c r="D70" s="24" t="s">
        <v>1974</v>
      </c>
      <c r="E70" s="25">
        <v>45</v>
      </c>
      <c r="F70" s="25">
        <v>145</v>
      </c>
      <c r="G70" s="25">
        <v>103</v>
      </c>
      <c r="H70" s="25"/>
      <c r="I70" s="22">
        <v>293</v>
      </c>
      <c r="J70" s="40">
        <v>97.7</v>
      </c>
      <c r="K70" s="41" t="s">
        <v>3591</v>
      </c>
      <c r="L70" s="42" t="s">
        <v>3592</v>
      </c>
    </row>
    <row r="71" spans="1:12" ht="16.5" customHeight="1">
      <c r="A71" s="55">
        <v>9</v>
      </c>
      <c r="B71" s="20" t="s">
        <v>1971</v>
      </c>
      <c r="C71" s="20" t="s">
        <v>1357</v>
      </c>
      <c r="D71" s="20" t="s">
        <v>1972</v>
      </c>
      <c r="E71" s="21">
        <v>60</v>
      </c>
      <c r="F71" s="21">
        <v>75</v>
      </c>
      <c r="G71" s="21">
        <v>107</v>
      </c>
      <c r="H71" s="21"/>
      <c r="I71" s="22">
        <v>242</v>
      </c>
      <c r="J71" s="40">
        <v>80.7</v>
      </c>
      <c r="K71" s="41" t="s">
        <v>3591</v>
      </c>
      <c r="L71" s="42" t="s">
        <v>3592</v>
      </c>
    </row>
    <row r="72" spans="1:12" ht="16.5" customHeight="1">
      <c r="A72" s="56">
        <v>10</v>
      </c>
      <c r="B72" s="24" t="s">
        <v>1983</v>
      </c>
      <c r="C72" s="24" t="s">
        <v>1357</v>
      </c>
      <c r="D72" s="24" t="s">
        <v>1984</v>
      </c>
      <c r="E72" s="25">
        <v>45</v>
      </c>
      <c r="F72" s="25">
        <v>52</v>
      </c>
      <c r="G72" s="25">
        <v>143</v>
      </c>
      <c r="H72" s="25">
        <v>15</v>
      </c>
      <c r="I72" s="22">
        <v>255</v>
      </c>
      <c r="J72" s="40">
        <v>80</v>
      </c>
      <c r="K72" s="41" t="s">
        <v>3591</v>
      </c>
      <c r="L72" s="42" t="s">
        <v>3592</v>
      </c>
    </row>
    <row r="73" spans="1:12" ht="15.75" customHeight="1">
      <c r="A73" s="57"/>
      <c r="B73" s="58" t="s">
        <v>3593</v>
      </c>
      <c r="C73" s="57"/>
      <c r="D73" s="57"/>
      <c r="E73" s="59">
        <f>SUM(E63:E72)</f>
        <v>725</v>
      </c>
      <c r="F73" s="59">
        <f>SUM(F63:F72)</f>
        <v>1364</v>
      </c>
      <c r="G73" s="59">
        <f>SUM(G63:G72)</f>
        <v>1930</v>
      </c>
      <c r="H73" s="59">
        <f>SUM(H63:H72)</f>
        <v>147</v>
      </c>
      <c r="I73" s="59">
        <f>SUM(I63:I72)</f>
        <v>4166</v>
      </c>
      <c r="J73" s="57"/>
      <c r="K73" s="57"/>
      <c r="L73" s="57"/>
    </row>
    <row r="75" spans="1:12" ht="21.75" customHeight="1">
      <c r="A75" s="9" t="s">
        <v>3602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ht="30" customHeight="1">
      <c r="A76" s="54" t="s">
        <v>3586</v>
      </c>
      <c r="B76" s="54" t="s">
        <v>2</v>
      </c>
      <c r="C76" s="54" t="s">
        <v>3</v>
      </c>
      <c r="D76" s="54" t="s">
        <v>4</v>
      </c>
      <c r="E76" s="30" t="s">
        <v>3547</v>
      </c>
      <c r="F76" s="30" t="s">
        <v>3548</v>
      </c>
      <c r="G76" s="30" t="s">
        <v>3549</v>
      </c>
      <c r="H76" s="30" t="s">
        <v>3550</v>
      </c>
      <c r="I76" s="30" t="s">
        <v>3587</v>
      </c>
      <c r="J76" s="54" t="s">
        <v>3588</v>
      </c>
      <c r="K76" s="54" t="s">
        <v>3589</v>
      </c>
      <c r="L76" s="54" t="s">
        <v>3590</v>
      </c>
    </row>
    <row r="77" spans="1:12" ht="16.5" customHeight="1">
      <c r="A77" s="55">
        <v>1</v>
      </c>
      <c r="B77" s="20" t="s">
        <v>2003</v>
      </c>
      <c r="C77" s="20" t="s">
        <v>1357</v>
      </c>
      <c r="D77" s="20" t="s">
        <v>2004</v>
      </c>
      <c r="E77" s="21">
        <v>160</v>
      </c>
      <c r="F77" s="21">
        <v>302</v>
      </c>
      <c r="G77" s="21">
        <v>327</v>
      </c>
      <c r="H77" s="21">
        <v>92</v>
      </c>
      <c r="I77" s="22">
        <v>881</v>
      </c>
      <c r="J77" s="40">
        <v>263</v>
      </c>
      <c r="K77" s="41" t="s">
        <v>3591</v>
      </c>
      <c r="L77" s="42" t="s">
        <v>3592</v>
      </c>
    </row>
    <row r="78" spans="1:12" ht="16.5" customHeight="1">
      <c r="A78" s="56">
        <v>2</v>
      </c>
      <c r="B78" s="24" t="s">
        <v>1979</v>
      </c>
      <c r="C78" s="24" t="s">
        <v>1357</v>
      </c>
      <c r="D78" s="24" t="s">
        <v>1980</v>
      </c>
      <c r="E78" s="25">
        <v>208</v>
      </c>
      <c r="F78" s="25">
        <v>302</v>
      </c>
      <c r="G78" s="25">
        <v>210</v>
      </c>
      <c r="H78" s="25">
        <v>15</v>
      </c>
      <c r="I78" s="22">
        <v>735</v>
      </c>
      <c r="J78" s="40">
        <v>240</v>
      </c>
      <c r="K78" s="41" t="s">
        <v>3591</v>
      </c>
      <c r="L78" s="42" t="s">
        <v>3592</v>
      </c>
    </row>
    <row r="79" spans="1:12" ht="16.5" customHeight="1">
      <c r="A79" s="55">
        <v>3</v>
      </c>
      <c r="B79" s="20" t="s">
        <v>1993</v>
      </c>
      <c r="C79" s="20" t="s">
        <v>1363</v>
      </c>
      <c r="D79" s="20" t="s">
        <v>1994</v>
      </c>
      <c r="E79" s="21">
        <v>55</v>
      </c>
      <c r="F79" s="21">
        <v>117</v>
      </c>
      <c r="G79" s="21">
        <v>190</v>
      </c>
      <c r="H79" s="21">
        <v>1</v>
      </c>
      <c r="I79" s="22">
        <v>363</v>
      </c>
      <c r="J79" s="40">
        <v>120.7</v>
      </c>
      <c r="K79" s="41" t="s">
        <v>3591</v>
      </c>
      <c r="L79" s="42" t="s">
        <v>3592</v>
      </c>
    </row>
    <row r="80" spans="1:12" ht="16.5" customHeight="1">
      <c r="A80" s="56">
        <v>4</v>
      </c>
      <c r="B80" s="24" t="s">
        <v>1975</v>
      </c>
      <c r="C80" s="24" t="s">
        <v>1357</v>
      </c>
      <c r="D80" s="24" t="s">
        <v>1976</v>
      </c>
      <c r="E80" s="25">
        <v>71</v>
      </c>
      <c r="F80" s="25">
        <v>146</v>
      </c>
      <c r="G80" s="25">
        <v>92</v>
      </c>
      <c r="H80" s="25"/>
      <c r="I80" s="22">
        <v>309</v>
      </c>
      <c r="J80" s="40">
        <v>103</v>
      </c>
      <c r="K80" s="41" t="s">
        <v>3591</v>
      </c>
      <c r="L80" s="42" t="s">
        <v>3592</v>
      </c>
    </row>
    <row r="81" spans="1:12" ht="16.5" customHeight="1">
      <c r="A81" s="55">
        <v>5</v>
      </c>
      <c r="B81" s="20" t="s">
        <v>1973</v>
      </c>
      <c r="C81" s="20" t="s">
        <v>1357</v>
      </c>
      <c r="D81" s="20" t="s">
        <v>1974</v>
      </c>
      <c r="E81" s="21">
        <v>45</v>
      </c>
      <c r="F81" s="21">
        <v>145</v>
      </c>
      <c r="G81" s="21">
        <v>103</v>
      </c>
      <c r="H81" s="21"/>
      <c r="I81" s="22">
        <v>293</v>
      </c>
      <c r="J81" s="40">
        <v>97.7</v>
      </c>
      <c r="K81" s="41" t="s">
        <v>3591</v>
      </c>
      <c r="L81" s="42" t="s">
        <v>3592</v>
      </c>
    </row>
    <row r="82" spans="1:12" ht="16.5" customHeight="1">
      <c r="A82" s="56">
        <v>6</v>
      </c>
      <c r="B82" s="24" t="s">
        <v>1971</v>
      </c>
      <c r="C82" s="24" t="s">
        <v>1357</v>
      </c>
      <c r="D82" s="24" t="s">
        <v>1972</v>
      </c>
      <c r="E82" s="25">
        <v>60</v>
      </c>
      <c r="F82" s="25">
        <v>75</v>
      </c>
      <c r="G82" s="25">
        <v>107</v>
      </c>
      <c r="H82" s="25"/>
      <c r="I82" s="22">
        <v>242</v>
      </c>
      <c r="J82" s="40">
        <v>80.7</v>
      </c>
      <c r="K82" s="41" t="s">
        <v>3591</v>
      </c>
      <c r="L82" s="42" t="s">
        <v>3592</v>
      </c>
    </row>
    <row r="83" spans="1:12" ht="16.5" customHeight="1">
      <c r="A83" s="55">
        <v>7</v>
      </c>
      <c r="B83" s="20" t="s">
        <v>1983</v>
      </c>
      <c r="C83" s="20" t="s">
        <v>1357</v>
      </c>
      <c r="D83" s="20" t="s">
        <v>1984</v>
      </c>
      <c r="E83" s="21">
        <v>45</v>
      </c>
      <c r="F83" s="21">
        <v>52</v>
      </c>
      <c r="G83" s="21">
        <v>143</v>
      </c>
      <c r="H83" s="21">
        <v>15</v>
      </c>
      <c r="I83" s="22">
        <v>255</v>
      </c>
      <c r="J83" s="40">
        <v>80</v>
      </c>
      <c r="K83" s="41" t="s">
        <v>3591</v>
      </c>
      <c r="L83" s="42" t="s">
        <v>3592</v>
      </c>
    </row>
    <row r="84" spans="1:12" ht="16.5" customHeight="1">
      <c r="A84" s="56">
        <v>8</v>
      </c>
      <c r="B84" s="24" t="s">
        <v>1991</v>
      </c>
      <c r="C84" s="24" t="s">
        <v>1363</v>
      </c>
      <c r="D84" s="24" t="s">
        <v>1992</v>
      </c>
      <c r="E84" s="25">
        <v>74</v>
      </c>
      <c r="F84" s="25">
        <v>57</v>
      </c>
      <c r="G84" s="25">
        <v>95</v>
      </c>
      <c r="H84" s="25"/>
      <c r="I84" s="22">
        <v>226</v>
      </c>
      <c r="J84" s="40">
        <v>75.3</v>
      </c>
      <c r="K84" s="41" t="s">
        <v>3591</v>
      </c>
      <c r="L84" s="42" t="s">
        <v>3592</v>
      </c>
    </row>
    <row r="85" spans="1:12" ht="16.5" customHeight="1">
      <c r="A85" s="55">
        <v>9</v>
      </c>
      <c r="B85" s="20" t="s">
        <v>1981</v>
      </c>
      <c r="C85" s="20" t="s">
        <v>1357</v>
      </c>
      <c r="D85" s="20" t="s">
        <v>1982</v>
      </c>
      <c r="E85" s="21">
        <v>56</v>
      </c>
      <c r="F85" s="21">
        <v>44</v>
      </c>
      <c r="G85" s="21">
        <v>41</v>
      </c>
      <c r="H85" s="21">
        <v>15</v>
      </c>
      <c r="I85" s="22">
        <v>156</v>
      </c>
      <c r="J85" s="40">
        <v>47</v>
      </c>
      <c r="K85" s="41" t="s">
        <v>3591</v>
      </c>
      <c r="L85" s="42" t="s">
        <v>3592</v>
      </c>
    </row>
    <row r="86" spans="1:12" ht="16.5" customHeight="1">
      <c r="A86" s="56">
        <v>10</v>
      </c>
      <c r="B86" s="24" t="s">
        <v>1374</v>
      </c>
      <c r="C86" s="24" t="s">
        <v>1363</v>
      </c>
      <c r="D86" s="24" t="s">
        <v>118</v>
      </c>
      <c r="E86" s="25">
        <v>57</v>
      </c>
      <c r="F86" s="25">
        <v>49</v>
      </c>
      <c r="G86" s="25"/>
      <c r="H86" s="25"/>
      <c r="I86" s="22">
        <v>106</v>
      </c>
      <c r="J86" s="40">
        <v>35.299999999999997</v>
      </c>
      <c r="K86" s="23" t="s">
        <v>3597</v>
      </c>
      <c r="L86" s="42" t="s">
        <v>3592</v>
      </c>
    </row>
    <row r="87" spans="1:12" ht="15.75" customHeight="1">
      <c r="A87" s="57"/>
      <c r="B87" s="58" t="s">
        <v>3593</v>
      </c>
      <c r="C87" s="57"/>
      <c r="D87" s="57"/>
      <c r="E87" s="59">
        <f>SUM(E77:E86)</f>
        <v>831</v>
      </c>
      <c r="F87" s="59">
        <f>SUM(F77:F86)</f>
        <v>1289</v>
      </c>
      <c r="G87" s="59">
        <f>SUM(G77:G86)</f>
        <v>1308</v>
      </c>
      <c r="H87" s="59">
        <f>SUM(H77:H86)</f>
        <v>138</v>
      </c>
      <c r="I87" s="59">
        <f>SUM(I77:I86)</f>
        <v>3566</v>
      </c>
      <c r="J87" s="57"/>
      <c r="K87" s="57"/>
      <c r="L87" s="57"/>
    </row>
    <row r="90" spans="1:12" ht="21.75" customHeight="1">
      <c r="A90" s="8" t="s">
        <v>3603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 spans="1:12" ht="30" customHeight="1">
      <c r="A91" s="60" t="s">
        <v>3586</v>
      </c>
      <c r="B91" s="60" t="s">
        <v>2</v>
      </c>
      <c r="C91" s="60" t="s">
        <v>3</v>
      </c>
      <c r="D91" s="60" t="s">
        <v>4</v>
      </c>
      <c r="E91" s="31" t="s">
        <v>3547</v>
      </c>
      <c r="F91" s="31" t="s">
        <v>3548</v>
      </c>
      <c r="G91" s="31" t="s">
        <v>3549</v>
      </c>
      <c r="H91" s="31" t="s">
        <v>3550</v>
      </c>
      <c r="I91" s="31" t="s">
        <v>3587</v>
      </c>
      <c r="J91" s="60" t="s">
        <v>3588</v>
      </c>
      <c r="K91" s="60" t="s">
        <v>3589</v>
      </c>
      <c r="L91" s="60" t="s">
        <v>3590</v>
      </c>
    </row>
    <row r="92" spans="1:12" ht="16.5" customHeight="1">
      <c r="A92" s="61">
        <v>1</v>
      </c>
      <c r="B92" s="20" t="s">
        <v>868</v>
      </c>
      <c r="C92" s="20" t="s">
        <v>869</v>
      </c>
      <c r="D92" s="20" t="s">
        <v>870</v>
      </c>
      <c r="E92" s="21">
        <v>18322</v>
      </c>
      <c r="F92" s="21">
        <v>40364</v>
      </c>
      <c r="G92" s="21">
        <v>21752</v>
      </c>
      <c r="H92" s="21">
        <v>32036</v>
      </c>
      <c r="I92" s="22">
        <v>112474</v>
      </c>
      <c r="J92" s="40">
        <v>26812.7</v>
      </c>
      <c r="K92" s="41" t="s">
        <v>3591</v>
      </c>
      <c r="L92" s="42" t="s">
        <v>3592</v>
      </c>
    </row>
    <row r="93" spans="1:12" ht="16.5" customHeight="1">
      <c r="A93" s="62">
        <v>2</v>
      </c>
      <c r="B93" s="24" t="s">
        <v>1091</v>
      </c>
      <c r="C93" s="24" t="s">
        <v>869</v>
      </c>
      <c r="D93" s="24" t="s">
        <v>1092</v>
      </c>
      <c r="E93" s="25">
        <v>24350</v>
      </c>
      <c r="F93" s="25">
        <v>18700</v>
      </c>
      <c r="G93" s="25">
        <v>6018</v>
      </c>
      <c r="H93" s="25">
        <v>6800</v>
      </c>
      <c r="I93" s="22">
        <v>55868</v>
      </c>
      <c r="J93" s="40">
        <v>16356</v>
      </c>
      <c r="K93" s="41" t="s">
        <v>3591</v>
      </c>
      <c r="L93" s="50" t="s">
        <v>3598</v>
      </c>
    </row>
    <row r="94" spans="1:12" ht="16.5" customHeight="1">
      <c r="A94" s="61">
        <v>3</v>
      </c>
      <c r="B94" s="20" t="s">
        <v>859</v>
      </c>
      <c r="C94" s="20" t="s">
        <v>860</v>
      </c>
      <c r="D94" s="20" t="s">
        <v>861</v>
      </c>
      <c r="E94" s="21">
        <v>6324</v>
      </c>
      <c r="F94" s="21">
        <v>7548</v>
      </c>
      <c r="G94" s="21">
        <v>5558</v>
      </c>
      <c r="H94" s="21">
        <v>1140</v>
      </c>
      <c r="I94" s="22">
        <v>20570</v>
      </c>
      <c r="J94" s="40">
        <v>6476.7</v>
      </c>
      <c r="K94" s="41" t="s">
        <v>3591</v>
      </c>
      <c r="L94" s="42" t="s">
        <v>3592</v>
      </c>
    </row>
    <row r="95" spans="1:12" ht="16.5" customHeight="1">
      <c r="A95" s="62">
        <v>4</v>
      </c>
      <c r="B95" s="24" t="s">
        <v>1087</v>
      </c>
      <c r="C95" s="24" t="s">
        <v>814</v>
      </c>
      <c r="D95" s="24" t="s">
        <v>1088</v>
      </c>
      <c r="E95" s="25">
        <v>14160</v>
      </c>
      <c r="F95" s="25">
        <v>4500</v>
      </c>
      <c r="G95" s="25">
        <v>100</v>
      </c>
      <c r="H95" s="25">
        <v>28</v>
      </c>
      <c r="I95" s="22">
        <v>18788</v>
      </c>
      <c r="J95" s="40">
        <v>6253.3</v>
      </c>
      <c r="K95" s="41" t="s">
        <v>3591</v>
      </c>
      <c r="L95" s="49" t="s">
        <v>3596</v>
      </c>
    </row>
    <row r="96" spans="1:12" ht="16.5" customHeight="1">
      <c r="A96" s="61">
        <v>5</v>
      </c>
      <c r="B96" s="20" t="s">
        <v>663</v>
      </c>
      <c r="C96" s="20" t="s">
        <v>367</v>
      </c>
      <c r="D96" s="20" t="s">
        <v>664</v>
      </c>
      <c r="E96" s="21">
        <v>3282</v>
      </c>
      <c r="F96" s="21">
        <v>6947</v>
      </c>
      <c r="G96" s="21">
        <v>3073</v>
      </c>
      <c r="H96" s="21">
        <v>751</v>
      </c>
      <c r="I96" s="22">
        <v>14053</v>
      </c>
      <c r="J96" s="40">
        <v>4434</v>
      </c>
      <c r="K96" s="41" t="s">
        <v>3591</v>
      </c>
      <c r="L96" s="42" t="s">
        <v>3592</v>
      </c>
    </row>
    <row r="97" spans="1:12" ht="16.5" customHeight="1">
      <c r="A97" s="62">
        <v>6</v>
      </c>
      <c r="B97" s="24" t="s">
        <v>778</v>
      </c>
      <c r="C97" s="24" t="s">
        <v>779</v>
      </c>
      <c r="D97" s="24" t="s">
        <v>780</v>
      </c>
      <c r="E97" s="25">
        <v>5287</v>
      </c>
      <c r="F97" s="25">
        <v>2124</v>
      </c>
      <c r="G97" s="25">
        <v>5527</v>
      </c>
      <c r="H97" s="25">
        <v>956</v>
      </c>
      <c r="I97" s="22">
        <v>13894</v>
      </c>
      <c r="J97" s="40">
        <v>4312.7</v>
      </c>
      <c r="K97" s="41" t="s">
        <v>3591</v>
      </c>
      <c r="L97" s="42" t="s">
        <v>3592</v>
      </c>
    </row>
    <row r="98" spans="1:12" ht="16.5" customHeight="1">
      <c r="A98" s="61">
        <v>7</v>
      </c>
      <c r="B98" s="20" t="s">
        <v>699</v>
      </c>
      <c r="C98" s="20" t="s">
        <v>700</v>
      </c>
      <c r="D98" s="20" t="s">
        <v>701</v>
      </c>
      <c r="E98" s="21">
        <v>2739</v>
      </c>
      <c r="F98" s="21">
        <v>6251</v>
      </c>
      <c r="G98" s="21">
        <v>2799</v>
      </c>
      <c r="H98" s="21">
        <v>775</v>
      </c>
      <c r="I98" s="22">
        <v>12564</v>
      </c>
      <c r="J98" s="40">
        <v>3929.7</v>
      </c>
      <c r="K98" s="41" t="s">
        <v>3591</v>
      </c>
      <c r="L98" s="42" t="s">
        <v>3592</v>
      </c>
    </row>
    <row r="99" spans="1:12" ht="16.5" customHeight="1">
      <c r="A99" s="62">
        <v>8</v>
      </c>
      <c r="B99" s="24" t="s">
        <v>801</v>
      </c>
      <c r="C99" s="24" t="s">
        <v>802</v>
      </c>
      <c r="D99" s="24" t="s">
        <v>803</v>
      </c>
      <c r="E99" s="25">
        <v>5373</v>
      </c>
      <c r="F99" s="25">
        <v>2585</v>
      </c>
      <c r="G99" s="25">
        <v>3687</v>
      </c>
      <c r="H99" s="25">
        <v>558</v>
      </c>
      <c r="I99" s="22">
        <v>12203</v>
      </c>
      <c r="J99" s="40">
        <v>3881.7</v>
      </c>
      <c r="K99" s="41" t="s">
        <v>3591</v>
      </c>
      <c r="L99" s="42" t="s">
        <v>3592</v>
      </c>
    </row>
    <row r="100" spans="1:12" ht="16.5" customHeight="1">
      <c r="A100" s="61">
        <v>9</v>
      </c>
      <c r="B100" s="20" t="s">
        <v>683</v>
      </c>
      <c r="C100" s="20" t="s">
        <v>684</v>
      </c>
      <c r="D100" s="20" t="s">
        <v>685</v>
      </c>
      <c r="E100" s="21">
        <v>3093</v>
      </c>
      <c r="F100" s="21">
        <v>3422</v>
      </c>
      <c r="G100" s="21">
        <v>4546</v>
      </c>
      <c r="H100" s="21">
        <v>1178</v>
      </c>
      <c r="I100" s="22">
        <v>12239</v>
      </c>
      <c r="J100" s="40">
        <v>3687</v>
      </c>
      <c r="K100" s="41" t="s">
        <v>3591</v>
      </c>
      <c r="L100" s="42" t="s">
        <v>3592</v>
      </c>
    </row>
    <row r="101" spans="1:12" ht="16.5" customHeight="1">
      <c r="A101" s="62">
        <v>10</v>
      </c>
      <c r="B101" s="24" t="s">
        <v>822</v>
      </c>
      <c r="C101" s="24" t="s">
        <v>823</v>
      </c>
      <c r="D101" s="24" t="s">
        <v>824</v>
      </c>
      <c r="E101" s="25">
        <v>4099</v>
      </c>
      <c r="F101" s="25">
        <v>2341</v>
      </c>
      <c r="G101" s="25">
        <v>3087</v>
      </c>
      <c r="H101" s="25">
        <v>521</v>
      </c>
      <c r="I101" s="22">
        <v>10048</v>
      </c>
      <c r="J101" s="40">
        <v>3175.7</v>
      </c>
      <c r="K101" s="41" t="s">
        <v>3591</v>
      </c>
      <c r="L101" s="42" t="s">
        <v>3592</v>
      </c>
    </row>
    <row r="102" spans="1:12" ht="15.75" customHeight="1">
      <c r="A102" s="63"/>
      <c r="B102" s="64" t="s">
        <v>3593</v>
      </c>
      <c r="C102" s="63"/>
      <c r="D102" s="63"/>
      <c r="E102" s="65">
        <f>SUM(E92:E101)</f>
        <v>87029</v>
      </c>
      <c r="F102" s="65">
        <f>SUM(F92:F101)</f>
        <v>94782</v>
      </c>
      <c r="G102" s="65">
        <f>SUM(G92:G101)</f>
        <v>56147</v>
      </c>
      <c r="H102" s="65">
        <f>SUM(H92:H101)</f>
        <v>44743</v>
      </c>
      <c r="I102" s="65">
        <f>SUM(I92:I101)</f>
        <v>282701</v>
      </c>
      <c r="J102" s="63"/>
      <c r="K102" s="63"/>
      <c r="L102" s="63"/>
    </row>
    <row r="104" spans="1:12" ht="21.75" customHeight="1">
      <c r="A104" s="8" t="s">
        <v>3604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30" customHeight="1">
      <c r="A105" s="60" t="s">
        <v>3586</v>
      </c>
      <c r="B105" s="60" t="s">
        <v>2</v>
      </c>
      <c r="C105" s="60" t="s">
        <v>3</v>
      </c>
      <c r="D105" s="60" t="s">
        <v>4</v>
      </c>
      <c r="E105" s="31" t="s">
        <v>3547</v>
      </c>
      <c r="F105" s="31" t="s">
        <v>3548</v>
      </c>
      <c r="G105" s="31" t="s">
        <v>3549</v>
      </c>
      <c r="H105" s="31" t="s">
        <v>3550</v>
      </c>
      <c r="I105" s="31" t="s">
        <v>3587</v>
      </c>
      <c r="J105" s="60" t="s">
        <v>3588</v>
      </c>
      <c r="K105" s="60" t="s">
        <v>3589</v>
      </c>
      <c r="L105" s="60" t="s">
        <v>3590</v>
      </c>
    </row>
    <row r="106" spans="1:12" ht="16.5" customHeight="1">
      <c r="A106" s="61">
        <v>1</v>
      </c>
      <c r="B106" s="20" t="s">
        <v>868</v>
      </c>
      <c r="C106" s="20" t="s">
        <v>869</v>
      </c>
      <c r="D106" s="20" t="s">
        <v>870</v>
      </c>
      <c r="E106" s="21">
        <v>18322</v>
      </c>
      <c r="F106" s="21">
        <v>40364</v>
      </c>
      <c r="G106" s="21">
        <v>21752</v>
      </c>
      <c r="H106" s="21">
        <v>32036</v>
      </c>
      <c r="I106" s="22">
        <v>112474</v>
      </c>
      <c r="J106" s="40">
        <v>26812.7</v>
      </c>
      <c r="K106" s="41" t="s">
        <v>3591</v>
      </c>
      <c r="L106" s="42" t="s">
        <v>3592</v>
      </c>
    </row>
    <row r="107" spans="1:12" ht="16.5" customHeight="1">
      <c r="A107" s="62">
        <v>2</v>
      </c>
      <c r="B107" s="24" t="s">
        <v>859</v>
      </c>
      <c r="C107" s="24" t="s">
        <v>860</v>
      </c>
      <c r="D107" s="24" t="s">
        <v>861</v>
      </c>
      <c r="E107" s="25">
        <v>6324</v>
      </c>
      <c r="F107" s="25">
        <v>7548</v>
      </c>
      <c r="G107" s="25">
        <v>5558</v>
      </c>
      <c r="H107" s="25">
        <v>1140</v>
      </c>
      <c r="I107" s="22">
        <v>20570</v>
      </c>
      <c r="J107" s="40">
        <v>6476.7</v>
      </c>
      <c r="K107" s="41" t="s">
        <v>3591</v>
      </c>
      <c r="L107" s="42" t="s">
        <v>3592</v>
      </c>
    </row>
    <row r="108" spans="1:12" ht="16.5" customHeight="1">
      <c r="A108" s="61">
        <v>3</v>
      </c>
      <c r="B108" s="20" t="s">
        <v>663</v>
      </c>
      <c r="C108" s="20" t="s">
        <v>367</v>
      </c>
      <c r="D108" s="20" t="s">
        <v>664</v>
      </c>
      <c r="E108" s="21">
        <v>3282</v>
      </c>
      <c r="F108" s="21">
        <v>6947</v>
      </c>
      <c r="G108" s="21">
        <v>3073</v>
      </c>
      <c r="H108" s="21">
        <v>751</v>
      </c>
      <c r="I108" s="22">
        <v>14053</v>
      </c>
      <c r="J108" s="40">
        <v>4434</v>
      </c>
      <c r="K108" s="41" t="s">
        <v>3591</v>
      </c>
      <c r="L108" s="42" t="s">
        <v>3592</v>
      </c>
    </row>
    <row r="109" spans="1:12" ht="16.5" customHeight="1">
      <c r="A109" s="62">
        <v>4</v>
      </c>
      <c r="B109" s="24" t="s">
        <v>778</v>
      </c>
      <c r="C109" s="24" t="s">
        <v>779</v>
      </c>
      <c r="D109" s="24" t="s">
        <v>780</v>
      </c>
      <c r="E109" s="25">
        <v>5287</v>
      </c>
      <c r="F109" s="25">
        <v>2124</v>
      </c>
      <c r="G109" s="25">
        <v>5527</v>
      </c>
      <c r="H109" s="25">
        <v>956</v>
      </c>
      <c r="I109" s="22">
        <v>13894</v>
      </c>
      <c r="J109" s="40">
        <v>4312.7</v>
      </c>
      <c r="K109" s="41" t="s">
        <v>3591</v>
      </c>
      <c r="L109" s="42" t="s">
        <v>3592</v>
      </c>
    </row>
    <row r="110" spans="1:12" ht="16.5" customHeight="1">
      <c r="A110" s="61">
        <v>5</v>
      </c>
      <c r="B110" s="20" t="s">
        <v>699</v>
      </c>
      <c r="C110" s="20" t="s">
        <v>700</v>
      </c>
      <c r="D110" s="20" t="s">
        <v>701</v>
      </c>
      <c r="E110" s="21">
        <v>2739</v>
      </c>
      <c r="F110" s="21">
        <v>6251</v>
      </c>
      <c r="G110" s="21">
        <v>2799</v>
      </c>
      <c r="H110" s="21">
        <v>775</v>
      </c>
      <c r="I110" s="22">
        <v>12564</v>
      </c>
      <c r="J110" s="40">
        <v>3929.7</v>
      </c>
      <c r="K110" s="41" t="s">
        <v>3591</v>
      </c>
      <c r="L110" s="42" t="s">
        <v>3592</v>
      </c>
    </row>
    <row r="111" spans="1:12" ht="16.5" customHeight="1">
      <c r="A111" s="62">
        <v>6</v>
      </c>
      <c r="B111" s="24" t="s">
        <v>801</v>
      </c>
      <c r="C111" s="24" t="s">
        <v>802</v>
      </c>
      <c r="D111" s="24" t="s">
        <v>803</v>
      </c>
      <c r="E111" s="25">
        <v>5373</v>
      </c>
      <c r="F111" s="25">
        <v>2585</v>
      </c>
      <c r="G111" s="25">
        <v>3687</v>
      </c>
      <c r="H111" s="25">
        <v>558</v>
      </c>
      <c r="I111" s="22">
        <v>12203</v>
      </c>
      <c r="J111" s="40">
        <v>3881.7</v>
      </c>
      <c r="K111" s="41" t="s">
        <v>3591</v>
      </c>
      <c r="L111" s="42" t="s">
        <v>3592</v>
      </c>
    </row>
    <row r="112" spans="1:12" ht="16.5" customHeight="1">
      <c r="A112" s="61">
        <v>7</v>
      </c>
      <c r="B112" s="20" t="s">
        <v>683</v>
      </c>
      <c r="C112" s="20" t="s">
        <v>684</v>
      </c>
      <c r="D112" s="20" t="s">
        <v>685</v>
      </c>
      <c r="E112" s="21">
        <v>3093</v>
      </c>
      <c r="F112" s="21">
        <v>3422</v>
      </c>
      <c r="G112" s="21">
        <v>4546</v>
      </c>
      <c r="H112" s="21">
        <v>1178</v>
      </c>
      <c r="I112" s="22">
        <v>12239</v>
      </c>
      <c r="J112" s="40">
        <v>3687</v>
      </c>
      <c r="K112" s="41" t="s">
        <v>3591</v>
      </c>
      <c r="L112" s="42" t="s">
        <v>3592</v>
      </c>
    </row>
    <row r="113" spans="1:12" ht="16.5" customHeight="1">
      <c r="A113" s="62">
        <v>8</v>
      </c>
      <c r="B113" s="24" t="s">
        <v>822</v>
      </c>
      <c r="C113" s="24" t="s">
        <v>823</v>
      </c>
      <c r="D113" s="24" t="s">
        <v>824</v>
      </c>
      <c r="E113" s="25">
        <v>4099</v>
      </c>
      <c r="F113" s="25">
        <v>2341</v>
      </c>
      <c r="G113" s="25">
        <v>3087</v>
      </c>
      <c r="H113" s="25">
        <v>521</v>
      </c>
      <c r="I113" s="22">
        <v>10048</v>
      </c>
      <c r="J113" s="40">
        <v>3175.7</v>
      </c>
      <c r="K113" s="41" t="s">
        <v>3591</v>
      </c>
      <c r="L113" s="42" t="s">
        <v>3592</v>
      </c>
    </row>
    <row r="114" spans="1:12" ht="16.5" customHeight="1">
      <c r="A114" s="61">
        <v>9</v>
      </c>
      <c r="B114" s="20" t="s">
        <v>557</v>
      </c>
      <c r="C114" s="20" t="s">
        <v>558</v>
      </c>
      <c r="D114" s="20" t="s">
        <v>559</v>
      </c>
      <c r="E114" s="21">
        <v>3770</v>
      </c>
      <c r="F114" s="21">
        <v>1651</v>
      </c>
      <c r="G114" s="21">
        <v>2622</v>
      </c>
      <c r="H114" s="21">
        <v>249</v>
      </c>
      <c r="I114" s="22">
        <v>8292</v>
      </c>
      <c r="J114" s="40">
        <v>2681</v>
      </c>
      <c r="K114" s="41" t="s">
        <v>3591</v>
      </c>
      <c r="L114" s="42" t="s">
        <v>3592</v>
      </c>
    </row>
    <row r="115" spans="1:12" ht="16.5" customHeight="1">
      <c r="A115" s="62">
        <v>10</v>
      </c>
      <c r="B115" s="24" t="s">
        <v>567</v>
      </c>
      <c r="C115" s="24" t="s">
        <v>568</v>
      </c>
      <c r="D115" s="24" t="s">
        <v>569</v>
      </c>
      <c r="E115" s="25">
        <v>3372</v>
      </c>
      <c r="F115" s="25">
        <v>1542</v>
      </c>
      <c r="G115" s="25">
        <v>2807</v>
      </c>
      <c r="H115" s="25">
        <v>249</v>
      </c>
      <c r="I115" s="22">
        <v>7970</v>
      </c>
      <c r="J115" s="40">
        <v>2573.6999999999998</v>
      </c>
      <c r="K115" s="41" t="s">
        <v>3591</v>
      </c>
      <c r="L115" s="42" t="s">
        <v>3592</v>
      </c>
    </row>
    <row r="116" spans="1:12" ht="15.75" customHeight="1">
      <c r="A116" s="63"/>
      <c r="B116" s="64" t="s">
        <v>3593</v>
      </c>
      <c r="C116" s="63"/>
      <c r="D116" s="63"/>
      <c r="E116" s="65">
        <f>SUM(E106:E115)</f>
        <v>55661</v>
      </c>
      <c r="F116" s="65">
        <f>SUM(F106:F115)</f>
        <v>74775</v>
      </c>
      <c r="G116" s="65">
        <f>SUM(G106:G115)</f>
        <v>55458</v>
      </c>
      <c r="H116" s="65">
        <f>SUM(H106:H115)</f>
        <v>38413</v>
      </c>
      <c r="I116" s="65">
        <f>SUM(I106:I115)</f>
        <v>224307</v>
      </c>
      <c r="J116" s="63"/>
      <c r="K116" s="63"/>
      <c r="L116" s="63"/>
    </row>
    <row r="119" spans="1:12" ht="21.75" customHeight="1">
      <c r="A119" s="7" t="s">
        <v>3605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</row>
    <row r="120" spans="1:12" ht="30" customHeight="1">
      <c r="A120" s="66" t="s">
        <v>3586</v>
      </c>
      <c r="B120" s="66" t="s">
        <v>2</v>
      </c>
      <c r="C120" s="66" t="s">
        <v>3</v>
      </c>
      <c r="D120" s="66" t="s">
        <v>4</v>
      </c>
      <c r="E120" s="32" t="s">
        <v>3547</v>
      </c>
      <c r="F120" s="32" t="s">
        <v>3548</v>
      </c>
      <c r="G120" s="32" t="s">
        <v>3549</v>
      </c>
      <c r="H120" s="32" t="s">
        <v>3550</v>
      </c>
      <c r="I120" s="32" t="s">
        <v>3587</v>
      </c>
      <c r="J120" s="66" t="s">
        <v>3588</v>
      </c>
      <c r="K120" s="66" t="s">
        <v>3589</v>
      </c>
      <c r="L120" s="66" t="s">
        <v>3590</v>
      </c>
    </row>
    <row r="121" spans="1:12" ht="16.5" customHeight="1">
      <c r="A121" s="67">
        <v>1</v>
      </c>
      <c r="B121" s="20" t="s">
        <v>942</v>
      </c>
      <c r="C121" s="20" t="s">
        <v>943</v>
      </c>
      <c r="D121" s="20" t="s">
        <v>932</v>
      </c>
      <c r="E121" s="21">
        <v>1380</v>
      </c>
      <c r="F121" s="21">
        <v>100</v>
      </c>
      <c r="G121" s="21"/>
      <c r="H121" s="21"/>
      <c r="I121" s="22">
        <v>1480</v>
      </c>
      <c r="J121" s="40">
        <v>493.3</v>
      </c>
      <c r="K121" s="19" t="s">
        <v>3597</v>
      </c>
      <c r="L121" s="49" t="s">
        <v>3596</v>
      </c>
    </row>
    <row r="122" spans="1:12" ht="16.5" customHeight="1">
      <c r="A122" s="68">
        <v>2</v>
      </c>
      <c r="B122" s="24" t="s">
        <v>947</v>
      </c>
      <c r="C122" s="24" t="s">
        <v>948</v>
      </c>
      <c r="D122" s="24" t="s">
        <v>935</v>
      </c>
      <c r="E122" s="25">
        <v>619</v>
      </c>
      <c r="F122" s="25"/>
      <c r="G122" s="25">
        <v>70</v>
      </c>
      <c r="H122" s="25"/>
      <c r="I122" s="22">
        <v>689</v>
      </c>
      <c r="J122" s="40">
        <v>229.7</v>
      </c>
      <c r="K122" s="23" t="s">
        <v>3597</v>
      </c>
      <c r="L122" s="49" t="s">
        <v>3596</v>
      </c>
    </row>
    <row r="123" spans="1:12" ht="16.5" customHeight="1">
      <c r="A123" s="67">
        <v>3</v>
      </c>
      <c r="B123" s="20" t="s">
        <v>954</v>
      </c>
      <c r="C123" s="20" t="s">
        <v>955</v>
      </c>
      <c r="D123" s="20" t="s">
        <v>932</v>
      </c>
      <c r="E123" s="21">
        <v>200</v>
      </c>
      <c r="F123" s="21">
        <v>400</v>
      </c>
      <c r="G123" s="21"/>
      <c r="H123" s="21"/>
      <c r="I123" s="22">
        <v>600</v>
      </c>
      <c r="J123" s="40">
        <v>200</v>
      </c>
      <c r="K123" s="19" t="s">
        <v>3597</v>
      </c>
      <c r="L123" s="49" t="s">
        <v>3601</v>
      </c>
    </row>
    <row r="124" spans="1:12" ht="16.5" customHeight="1">
      <c r="A124" s="68">
        <v>4</v>
      </c>
      <c r="B124" s="24" t="s">
        <v>958</v>
      </c>
      <c r="C124" s="24" t="s">
        <v>959</v>
      </c>
      <c r="D124" s="24" t="s">
        <v>932</v>
      </c>
      <c r="E124" s="25">
        <v>300</v>
      </c>
      <c r="F124" s="25">
        <v>200</v>
      </c>
      <c r="G124" s="25">
        <v>15</v>
      </c>
      <c r="H124" s="25"/>
      <c r="I124" s="22">
        <v>515</v>
      </c>
      <c r="J124" s="40">
        <v>171.7</v>
      </c>
      <c r="K124" s="41" t="s">
        <v>3591</v>
      </c>
      <c r="L124" s="50" t="s">
        <v>3598</v>
      </c>
    </row>
    <row r="125" spans="1:12" ht="16.5" customHeight="1">
      <c r="A125" s="67">
        <v>5</v>
      </c>
      <c r="B125" s="20" t="s">
        <v>1279</v>
      </c>
      <c r="C125" s="20" t="s">
        <v>959</v>
      </c>
      <c r="D125" s="20" t="s">
        <v>1270</v>
      </c>
      <c r="E125" s="21">
        <v>55</v>
      </c>
      <c r="F125" s="21">
        <v>400</v>
      </c>
      <c r="G125" s="21"/>
      <c r="H125" s="21"/>
      <c r="I125" s="22">
        <v>455</v>
      </c>
      <c r="J125" s="40">
        <v>151.69999999999999</v>
      </c>
      <c r="K125" s="19" t="s">
        <v>3597</v>
      </c>
      <c r="L125" s="49" t="s">
        <v>3596</v>
      </c>
    </row>
    <row r="126" spans="1:12" ht="16.5" customHeight="1">
      <c r="A126" s="68">
        <v>6</v>
      </c>
      <c r="B126" s="24" t="s">
        <v>2560</v>
      </c>
      <c r="C126" s="24" t="s">
        <v>2561</v>
      </c>
      <c r="D126" s="24" t="s">
        <v>935</v>
      </c>
      <c r="E126" s="25"/>
      <c r="F126" s="25">
        <v>300</v>
      </c>
      <c r="G126" s="25">
        <v>137</v>
      </c>
      <c r="H126" s="25"/>
      <c r="I126" s="22">
        <v>437</v>
      </c>
      <c r="J126" s="40">
        <v>145.69999999999999</v>
      </c>
      <c r="K126" s="23" t="s">
        <v>3597</v>
      </c>
      <c r="L126" s="49" t="s">
        <v>3601</v>
      </c>
    </row>
    <row r="127" spans="1:12" ht="16.5" customHeight="1">
      <c r="A127" s="67">
        <v>7</v>
      </c>
      <c r="B127" s="20" t="s">
        <v>933</v>
      </c>
      <c r="C127" s="20" t="s">
        <v>934</v>
      </c>
      <c r="D127" s="20" t="s">
        <v>935</v>
      </c>
      <c r="E127" s="21">
        <v>98</v>
      </c>
      <c r="F127" s="21">
        <v>131</v>
      </c>
      <c r="G127" s="21">
        <v>128</v>
      </c>
      <c r="H127" s="21">
        <v>90</v>
      </c>
      <c r="I127" s="22">
        <v>447</v>
      </c>
      <c r="J127" s="40">
        <v>119</v>
      </c>
      <c r="K127" s="41" t="s">
        <v>3591</v>
      </c>
      <c r="L127" s="42" t="s">
        <v>3592</v>
      </c>
    </row>
    <row r="128" spans="1:12" ht="16.5" customHeight="1">
      <c r="A128" s="68">
        <v>8</v>
      </c>
      <c r="B128" s="24" t="s">
        <v>944</v>
      </c>
      <c r="C128" s="24" t="s">
        <v>945</v>
      </c>
      <c r="D128" s="24" t="s">
        <v>946</v>
      </c>
      <c r="E128" s="25">
        <v>154</v>
      </c>
      <c r="F128" s="25">
        <v>6</v>
      </c>
      <c r="G128" s="25"/>
      <c r="H128" s="25"/>
      <c r="I128" s="22">
        <v>160</v>
      </c>
      <c r="J128" s="40">
        <v>53.3</v>
      </c>
      <c r="K128" s="23" t="s">
        <v>3597</v>
      </c>
      <c r="L128" s="49" t="s">
        <v>3596</v>
      </c>
    </row>
    <row r="129" spans="1:12" ht="16.5" customHeight="1">
      <c r="A129" s="67">
        <v>9</v>
      </c>
      <c r="B129" s="20" t="s">
        <v>936</v>
      </c>
      <c r="C129" s="20" t="s">
        <v>937</v>
      </c>
      <c r="D129" s="20" t="s">
        <v>929</v>
      </c>
      <c r="E129" s="21">
        <v>105</v>
      </c>
      <c r="F129" s="21">
        <v>40</v>
      </c>
      <c r="G129" s="21">
        <v>10</v>
      </c>
      <c r="H129" s="21">
        <v>130</v>
      </c>
      <c r="I129" s="22">
        <v>285</v>
      </c>
      <c r="J129" s="40">
        <v>51.7</v>
      </c>
      <c r="K129" s="41" t="s">
        <v>3591</v>
      </c>
      <c r="L129" s="49" t="s">
        <v>3596</v>
      </c>
    </row>
    <row r="130" spans="1:12" ht="16.5" customHeight="1">
      <c r="A130" s="68">
        <v>10</v>
      </c>
      <c r="B130" s="24" t="s">
        <v>938</v>
      </c>
      <c r="C130" s="24" t="s">
        <v>939</v>
      </c>
      <c r="D130" s="24" t="s">
        <v>935</v>
      </c>
      <c r="E130" s="25">
        <v>10</v>
      </c>
      <c r="F130" s="25">
        <v>50</v>
      </c>
      <c r="G130" s="25">
        <v>84</v>
      </c>
      <c r="H130" s="25">
        <v>160</v>
      </c>
      <c r="I130" s="22">
        <v>304</v>
      </c>
      <c r="J130" s="40">
        <v>48</v>
      </c>
      <c r="K130" s="41" t="s">
        <v>3591</v>
      </c>
      <c r="L130" s="50" t="s">
        <v>3598</v>
      </c>
    </row>
    <row r="131" spans="1:12" ht="15.75" customHeight="1">
      <c r="A131" s="69"/>
      <c r="B131" s="70" t="s">
        <v>3593</v>
      </c>
      <c r="C131" s="69"/>
      <c r="D131" s="69"/>
      <c r="E131" s="71">
        <f>SUM(E121:E130)</f>
        <v>2921</v>
      </c>
      <c r="F131" s="71">
        <f>SUM(F121:F130)</f>
        <v>1627</v>
      </c>
      <c r="G131" s="71">
        <f>SUM(G121:G130)</f>
        <v>444</v>
      </c>
      <c r="H131" s="71">
        <f>SUM(H121:H130)</f>
        <v>380</v>
      </c>
      <c r="I131" s="71">
        <f>SUM(I121:I130)</f>
        <v>5372</v>
      </c>
      <c r="J131" s="69"/>
      <c r="K131" s="69"/>
      <c r="L131" s="69"/>
    </row>
    <row r="133" spans="1:12" ht="21.75" customHeight="1">
      <c r="A133" s="7" t="s">
        <v>3606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</row>
    <row r="134" spans="1:12" ht="30" customHeight="1">
      <c r="A134" s="66" t="s">
        <v>3586</v>
      </c>
      <c r="B134" s="66" t="s">
        <v>2</v>
      </c>
      <c r="C134" s="66" t="s">
        <v>3</v>
      </c>
      <c r="D134" s="66" t="s">
        <v>4</v>
      </c>
      <c r="E134" s="32" t="s">
        <v>3547</v>
      </c>
      <c r="F134" s="32" t="s">
        <v>3548</v>
      </c>
      <c r="G134" s="32" t="s">
        <v>3549</v>
      </c>
      <c r="H134" s="32" t="s">
        <v>3550</v>
      </c>
      <c r="I134" s="32" t="s">
        <v>3587</v>
      </c>
      <c r="J134" s="66" t="s">
        <v>3588</v>
      </c>
      <c r="K134" s="66" t="s">
        <v>3589</v>
      </c>
      <c r="L134" s="66" t="s">
        <v>3590</v>
      </c>
    </row>
    <row r="135" spans="1:12" ht="16.5" customHeight="1">
      <c r="A135" s="67">
        <v>1</v>
      </c>
      <c r="B135" s="20" t="s">
        <v>933</v>
      </c>
      <c r="C135" s="20" t="s">
        <v>934</v>
      </c>
      <c r="D135" s="20" t="s">
        <v>935</v>
      </c>
      <c r="E135" s="21">
        <v>98</v>
      </c>
      <c r="F135" s="21">
        <v>131</v>
      </c>
      <c r="G135" s="21">
        <v>128</v>
      </c>
      <c r="H135" s="21">
        <v>90</v>
      </c>
      <c r="I135" s="22">
        <v>447</v>
      </c>
      <c r="J135" s="40">
        <v>119</v>
      </c>
      <c r="K135" s="41" t="s">
        <v>3591</v>
      </c>
      <c r="L135" s="42" t="s">
        <v>3592</v>
      </c>
    </row>
    <row r="136" spans="1:12" ht="16.5" customHeight="1">
      <c r="A136" s="68">
        <v>2</v>
      </c>
      <c r="B136" s="24" t="s">
        <v>960</v>
      </c>
      <c r="C136" s="24" t="s">
        <v>961</v>
      </c>
      <c r="D136" s="24" t="s">
        <v>929</v>
      </c>
      <c r="E136" s="25">
        <v>80</v>
      </c>
      <c r="F136" s="25">
        <v>63</v>
      </c>
      <c r="G136" s="25"/>
      <c r="H136" s="25"/>
      <c r="I136" s="22">
        <v>143</v>
      </c>
      <c r="J136" s="40">
        <v>47.7</v>
      </c>
      <c r="K136" s="23" t="s">
        <v>3597</v>
      </c>
      <c r="L136" s="42" t="s">
        <v>3592</v>
      </c>
    </row>
    <row r="137" spans="1:12" ht="16.5" customHeight="1">
      <c r="A137" s="67">
        <v>3</v>
      </c>
      <c r="B137" s="20" t="s">
        <v>930</v>
      </c>
      <c r="C137" s="20" t="s">
        <v>931</v>
      </c>
      <c r="D137" s="20" t="s">
        <v>932</v>
      </c>
      <c r="E137" s="21">
        <v>50</v>
      </c>
      <c r="F137" s="21"/>
      <c r="G137" s="21">
        <v>40</v>
      </c>
      <c r="H137" s="21"/>
      <c r="I137" s="22">
        <v>90</v>
      </c>
      <c r="J137" s="40">
        <v>30</v>
      </c>
      <c r="K137" s="19" t="s">
        <v>3597</v>
      </c>
      <c r="L137" s="42" t="s">
        <v>3592</v>
      </c>
    </row>
    <row r="138" spans="1:12" ht="16.5" customHeight="1">
      <c r="A138" s="68">
        <v>4</v>
      </c>
      <c r="B138" s="24" t="s">
        <v>1032</v>
      </c>
      <c r="C138" s="24" t="s">
        <v>1033</v>
      </c>
      <c r="D138" s="24" t="s">
        <v>932</v>
      </c>
      <c r="E138" s="25">
        <v>10</v>
      </c>
      <c r="F138" s="25">
        <v>5</v>
      </c>
      <c r="G138" s="25">
        <v>4</v>
      </c>
      <c r="H138" s="25"/>
      <c r="I138" s="22">
        <v>19</v>
      </c>
      <c r="J138" s="40">
        <v>6.3</v>
      </c>
      <c r="K138" s="41" t="s">
        <v>3591</v>
      </c>
      <c r="L138" s="42" t="s">
        <v>3592</v>
      </c>
    </row>
    <row r="139" spans="1:12" ht="15.75" customHeight="1">
      <c r="A139" s="69"/>
      <c r="B139" s="70" t="s">
        <v>3593</v>
      </c>
      <c r="C139" s="69"/>
      <c r="D139" s="69"/>
      <c r="E139" s="71">
        <f>SUM(E135:E138)</f>
        <v>238</v>
      </c>
      <c r="F139" s="71">
        <f>SUM(F135:F138)</f>
        <v>199</v>
      </c>
      <c r="G139" s="71">
        <f>SUM(G135:G138)</f>
        <v>172</v>
      </c>
      <c r="H139" s="71">
        <f>SUM(H135:H138)</f>
        <v>90</v>
      </c>
      <c r="I139" s="71">
        <f>SUM(I135:I138)</f>
        <v>699</v>
      </c>
      <c r="J139" s="69"/>
      <c r="K139" s="69"/>
      <c r="L139" s="69"/>
    </row>
    <row r="142" spans="1:12" ht="21.75" customHeight="1">
      <c r="A142" s="6" t="s">
        <v>3607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spans="1:12" ht="30" customHeight="1">
      <c r="A143" s="72" t="s">
        <v>3586</v>
      </c>
      <c r="B143" s="72" t="s">
        <v>2</v>
      </c>
      <c r="C143" s="72" t="s">
        <v>3</v>
      </c>
      <c r="D143" s="72" t="s">
        <v>4</v>
      </c>
      <c r="E143" s="73" t="s">
        <v>3547</v>
      </c>
      <c r="F143" s="73" t="s">
        <v>3548</v>
      </c>
      <c r="G143" s="73" t="s">
        <v>3549</v>
      </c>
      <c r="H143" s="73" t="s">
        <v>3550</v>
      </c>
      <c r="I143" s="73" t="s">
        <v>3587</v>
      </c>
      <c r="J143" s="72" t="s">
        <v>3588</v>
      </c>
      <c r="K143" s="72" t="s">
        <v>3589</v>
      </c>
      <c r="L143" s="72" t="s">
        <v>3590</v>
      </c>
    </row>
    <row r="144" spans="1:12" ht="16.5" customHeight="1">
      <c r="A144" s="74">
        <v>1</v>
      </c>
      <c r="B144" s="20" t="s">
        <v>23</v>
      </c>
      <c r="C144" s="20" t="s">
        <v>19</v>
      </c>
      <c r="D144" s="20" t="s">
        <v>24</v>
      </c>
      <c r="E144" s="21">
        <v>1550</v>
      </c>
      <c r="F144" s="21">
        <v>880</v>
      </c>
      <c r="G144" s="21">
        <v>650</v>
      </c>
      <c r="H144" s="21">
        <v>50</v>
      </c>
      <c r="I144" s="22">
        <v>3130</v>
      </c>
      <c r="J144" s="40">
        <v>1026.7</v>
      </c>
      <c r="K144" s="41" t="s">
        <v>3591</v>
      </c>
      <c r="L144" s="42" t="s">
        <v>3592</v>
      </c>
    </row>
    <row r="145" spans="1:12" ht="16.5" customHeight="1">
      <c r="A145" s="75">
        <v>2</v>
      </c>
      <c r="B145" s="24" t="s">
        <v>25</v>
      </c>
      <c r="C145" s="24" t="s">
        <v>19</v>
      </c>
      <c r="D145" s="24" t="s">
        <v>26</v>
      </c>
      <c r="E145" s="25">
        <v>587</v>
      </c>
      <c r="F145" s="25">
        <v>480</v>
      </c>
      <c r="G145" s="25">
        <v>275</v>
      </c>
      <c r="H145" s="25">
        <v>10</v>
      </c>
      <c r="I145" s="22">
        <v>1352</v>
      </c>
      <c r="J145" s="40">
        <v>447.3</v>
      </c>
      <c r="K145" s="41" t="s">
        <v>3591</v>
      </c>
      <c r="L145" s="42" t="s">
        <v>3592</v>
      </c>
    </row>
    <row r="146" spans="1:12" ht="16.5" customHeight="1">
      <c r="A146" s="74">
        <v>3</v>
      </c>
      <c r="B146" s="20" t="s">
        <v>56</v>
      </c>
      <c r="C146" s="20" t="s">
        <v>38</v>
      </c>
      <c r="D146" s="20" t="s">
        <v>57</v>
      </c>
      <c r="E146" s="21">
        <v>500</v>
      </c>
      <c r="F146" s="21">
        <v>500</v>
      </c>
      <c r="G146" s="21">
        <v>240</v>
      </c>
      <c r="H146" s="21"/>
      <c r="I146" s="22">
        <v>1240</v>
      </c>
      <c r="J146" s="40">
        <v>413.3</v>
      </c>
      <c r="K146" s="41" t="s">
        <v>3591</v>
      </c>
      <c r="L146" s="42" t="s">
        <v>3592</v>
      </c>
    </row>
    <row r="147" spans="1:12" ht="16.5" customHeight="1">
      <c r="A147" s="75">
        <v>4</v>
      </c>
      <c r="B147" s="24" t="s">
        <v>122</v>
      </c>
      <c r="C147" s="24" t="s">
        <v>123</v>
      </c>
      <c r="D147" s="24" t="s">
        <v>124</v>
      </c>
      <c r="E147" s="25">
        <v>520</v>
      </c>
      <c r="F147" s="25">
        <v>407</v>
      </c>
      <c r="G147" s="25">
        <v>158</v>
      </c>
      <c r="H147" s="25">
        <v>30</v>
      </c>
      <c r="I147" s="22">
        <v>1115</v>
      </c>
      <c r="J147" s="40">
        <v>361.7</v>
      </c>
      <c r="K147" s="41" t="s">
        <v>3591</v>
      </c>
      <c r="L147" s="42" t="s">
        <v>3592</v>
      </c>
    </row>
    <row r="148" spans="1:12" ht="16.5" customHeight="1">
      <c r="A148" s="74">
        <v>5</v>
      </c>
      <c r="B148" s="20" t="s">
        <v>18</v>
      </c>
      <c r="C148" s="20" t="s">
        <v>19</v>
      </c>
      <c r="D148" s="20" t="s">
        <v>20</v>
      </c>
      <c r="E148" s="21">
        <v>525</v>
      </c>
      <c r="F148" s="21">
        <v>360</v>
      </c>
      <c r="G148" s="21">
        <v>30</v>
      </c>
      <c r="H148" s="21"/>
      <c r="I148" s="22">
        <v>915</v>
      </c>
      <c r="J148" s="40">
        <v>305</v>
      </c>
      <c r="K148" s="41" t="s">
        <v>3591</v>
      </c>
      <c r="L148" s="50" t="s">
        <v>3598</v>
      </c>
    </row>
    <row r="149" spans="1:12" ht="16.5" customHeight="1">
      <c r="A149" s="75">
        <v>6</v>
      </c>
      <c r="B149" s="24" t="s">
        <v>36</v>
      </c>
      <c r="C149" s="24" t="s">
        <v>30</v>
      </c>
      <c r="D149" s="24" t="s">
        <v>26</v>
      </c>
      <c r="E149" s="25">
        <v>290</v>
      </c>
      <c r="F149" s="25">
        <v>391</v>
      </c>
      <c r="G149" s="25">
        <v>150</v>
      </c>
      <c r="H149" s="25">
        <v>50</v>
      </c>
      <c r="I149" s="22">
        <v>881</v>
      </c>
      <c r="J149" s="40">
        <v>277</v>
      </c>
      <c r="K149" s="41" t="s">
        <v>3591</v>
      </c>
      <c r="L149" s="42" t="s">
        <v>3592</v>
      </c>
    </row>
    <row r="150" spans="1:12" ht="16.5" customHeight="1">
      <c r="A150" s="74">
        <v>7</v>
      </c>
      <c r="B150" s="20" t="s">
        <v>41</v>
      </c>
      <c r="C150" s="20" t="s">
        <v>38</v>
      </c>
      <c r="D150" s="20" t="s">
        <v>42</v>
      </c>
      <c r="E150" s="21">
        <v>120</v>
      </c>
      <c r="F150" s="21">
        <v>510</v>
      </c>
      <c r="G150" s="21">
        <v>110</v>
      </c>
      <c r="H150" s="21"/>
      <c r="I150" s="22">
        <v>740</v>
      </c>
      <c r="J150" s="40">
        <v>246.7</v>
      </c>
      <c r="K150" s="41" t="s">
        <v>3591</v>
      </c>
      <c r="L150" s="49" t="s">
        <v>3601</v>
      </c>
    </row>
    <row r="151" spans="1:12" ht="16.5" customHeight="1">
      <c r="A151" s="75">
        <v>8</v>
      </c>
      <c r="B151" s="24" t="s">
        <v>71</v>
      </c>
      <c r="C151" s="24" t="s">
        <v>19</v>
      </c>
      <c r="D151" s="24" t="s">
        <v>32</v>
      </c>
      <c r="E151" s="25">
        <v>273</v>
      </c>
      <c r="F151" s="25">
        <v>260</v>
      </c>
      <c r="G151" s="25">
        <v>100</v>
      </c>
      <c r="H151" s="25"/>
      <c r="I151" s="22">
        <v>633</v>
      </c>
      <c r="J151" s="40">
        <v>211</v>
      </c>
      <c r="K151" s="41" t="s">
        <v>3591</v>
      </c>
      <c r="L151" s="42" t="s">
        <v>3592</v>
      </c>
    </row>
    <row r="152" spans="1:12" ht="16.5" customHeight="1">
      <c r="A152" s="74">
        <v>9</v>
      </c>
      <c r="B152" s="20" t="s">
        <v>125</v>
      </c>
      <c r="C152" s="20" t="s">
        <v>123</v>
      </c>
      <c r="D152" s="20" t="s">
        <v>126</v>
      </c>
      <c r="E152" s="21">
        <v>340</v>
      </c>
      <c r="F152" s="21">
        <v>147</v>
      </c>
      <c r="G152" s="21">
        <v>21</v>
      </c>
      <c r="H152" s="21"/>
      <c r="I152" s="22">
        <v>508</v>
      </c>
      <c r="J152" s="40">
        <v>169.3</v>
      </c>
      <c r="K152" s="41" t="s">
        <v>3591</v>
      </c>
      <c r="L152" s="49" t="s">
        <v>3596</v>
      </c>
    </row>
    <row r="153" spans="1:12" ht="16.5" customHeight="1">
      <c r="A153" s="75">
        <v>10</v>
      </c>
      <c r="B153" s="24" t="s">
        <v>117</v>
      </c>
      <c r="C153" s="24" t="s">
        <v>75</v>
      </c>
      <c r="D153" s="24" t="s">
        <v>118</v>
      </c>
      <c r="E153" s="25">
        <v>100</v>
      </c>
      <c r="F153" s="25">
        <v>250</v>
      </c>
      <c r="G153" s="25">
        <v>100</v>
      </c>
      <c r="H153" s="25"/>
      <c r="I153" s="22">
        <v>450</v>
      </c>
      <c r="J153" s="40">
        <v>150</v>
      </c>
      <c r="K153" s="41" t="s">
        <v>3591</v>
      </c>
      <c r="L153" s="42" t="s">
        <v>3592</v>
      </c>
    </row>
    <row r="154" spans="1:12" ht="15.75" customHeight="1">
      <c r="A154" s="76"/>
      <c r="B154" s="77" t="s">
        <v>3593</v>
      </c>
      <c r="C154" s="76"/>
      <c r="D154" s="76"/>
      <c r="E154" s="78">
        <f>SUM(E144:E153)</f>
        <v>4805</v>
      </c>
      <c r="F154" s="78">
        <f>SUM(F144:F153)</f>
        <v>4185</v>
      </c>
      <c r="G154" s="78">
        <f>SUM(G144:G153)</f>
        <v>1834</v>
      </c>
      <c r="H154" s="78">
        <f>SUM(H144:H153)</f>
        <v>140</v>
      </c>
      <c r="I154" s="78">
        <f>SUM(I144:I153)</f>
        <v>10964</v>
      </c>
      <c r="J154" s="76"/>
      <c r="K154" s="76"/>
      <c r="L154" s="76"/>
    </row>
    <row r="156" spans="1:12" ht="21.75" customHeight="1">
      <c r="A156" s="6" t="s">
        <v>3608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1:12" ht="30" customHeight="1">
      <c r="A157" s="72" t="s">
        <v>3586</v>
      </c>
      <c r="B157" s="72" t="s">
        <v>2</v>
      </c>
      <c r="C157" s="72" t="s">
        <v>3</v>
      </c>
      <c r="D157" s="72" t="s">
        <v>4</v>
      </c>
      <c r="E157" s="73" t="s">
        <v>3547</v>
      </c>
      <c r="F157" s="73" t="s">
        <v>3548</v>
      </c>
      <c r="G157" s="73" t="s">
        <v>3549</v>
      </c>
      <c r="H157" s="73" t="s">
        <v>3550</v>
      </c>
      <c r="I157" s="73" t="s">
        <v>3587</v>
      </c>
      <c r="J157" s="72" t="s">
        <v>3588</v>
      </c>
      <c r="K157" s="72" t="s">
        <v>3589</v>
      </c>
      <c r="L157" s="72" t="s">
        <v>3590</v>
      </c>
    </row>
    <row r="158" spans="1:12" ht="16.5" customHeight="1">
      <c r="A158" s="74">
        <v>1</v>
      </c>
      <c r="B158" s="20" t="s">
        <v>23</v>
      </c>
      <c r="C158" s="20" t="s">
        <v>19</v>
      </c>
      <c r="D158" s="20" t="s">
        <v>24</v>
      </c>
      <c r="E158" s="21">
        <v>1550</v>
      </c>
      <c r="F158" s="21">
        <v>880</v>
      </c>
      <c r="G158" s="21">
        <v>650</v>
      </c>
      <c r="H158" s="21">
        <v>50</v>
      </c>
      <c r="I158" s="22">
        <v>3130</v>
      </c>
      <c r="J158" s="40">
        <v>1026.7</v>
      </c>
      <c r="K158" s="41" t="s">
        <v>3591</v>
      </c>
      <c r="L158" s="42" t="s">
        <v>3592</v>
      </c>
    </row>
    <row r="159" spans="1:12" ht="16.5" customHeight="1">
      <c r="A159" s="75">
        <v>2</v>
      </c>
      <c r="B159" s="24" t="s">
        <v>25</v>
      </c>
      <c r="C159" s="24" t="s">
        <v>19</v>
      </c>
      <c r="D159" s="24" t="s">
        <v>26</v>
      </c>
      <c r="E159" s="25">
        <v>587</v>
      </c>
      <c r="F159" s="25">
        <v>480</v>
      </c>
      <c r="G159" s="25">
        <v>275</v>
      </c>
      <c r="H159" s="25">
        <v>10</v>
      </c>
      <c r="I159" s="22">
        <v>1352</v>
      </c>
      <c r="J159" s="40">
        <v>447.3</v>
      </c>
      <c r="K159" s="41" t="s">
        <v>3591</v>
      </c>
      <c r="L159" s="42" t="s">
        <v>3592</v>
      </c>
    </row>
    <row r="160" spans="1:12" ht="16.5" customHeight="1">
      <c r="A160" s="74">
        <v>3</v>
      </c>
      <c r="B160" s="20" t="s">
        <v>56</v>
      </c>
      <c r="C160" s="20" t="s">
        <v>38</v>
      </c>
      <c r="D160" s="20" t="s">
        <v>57</v>
      </c>
      <c r="E160" s="21">
        <v>500</v>
      </c>
      <c r="F160" s="21">
        <v>500</v>
      </c>
      <c r="G160" s="21">
        <v>240</v>
      </c>
      <c r="H160" s="21"/>
      <c r="I160" s="22">
        <v>1240</v>
      </c>
      <c r="J160" s="40">
        <v>413.3</v>
      </c>
      <c r="K160" s="41" t="s">
        <v>3591</v>
      </c>
      <c r="L160" s="42" t="s">
        <v>3592</v>
      </c>
    </row>
    <row r="161" spans="1:12" ht="16.5" customHeight="1">
      <c r="A161" s="75">
        <v>4</v>
      </c>
      <c r="B161" s="24" t="s">
        <v>122</v>
      </c>
      <c r="C161" s="24" t="s">
        <v>123</v>
      </c>
      <c r="D161" s="24" t="s">
        <v>124</v>
      </c>
      <c r="E161" s="25">
        <v>520</v>
      </c>
      <c r="F161" s="25">
        <v>407</v>
      </c>
      <c r="G161" s="25">
        <v>158</v>
      </c>
      <c r="H161" s="25">
        <v>30</v>
      </c>
      <c r="I161" s="22">
        <v>1115</v>
      </c>
      <c r="J161" s="40">
        <v>361.7</v>
      </c>
      <c r="K161" s="41" t="s">
        <v>3591</v>
      </c>
      <c r="L161" s="42" t="s">
        <v>3592</v>
      </c>
    </row>
    <row r="162" spans="1:12" ht="16.5" customHeight="1">
      <c r="A162" s="74">
        <v>5</v>
      </c>
      <c r="B162" s="20" t="s">
        <v>36</v>
      </c>
      <c r="C162" s="20" t="s">
        <v>30</v>
      </c>
      <c r="D162" s="20" t="s">
        <v>26</v>
      </c>
      <c r="E162" s="21">
        <v>290</v>
      </c>
      <c r="F162" s="21">
        <v>391</v>
      </c>
      <c r="G162" s="21">
        <v>150</v>
      </c>
      <c r="H162" s="21">
        <v>50</v>
      </c>
      <c r="I162" s="22">
        <v>881</v>
      </c>
      <c r="J162" s="40">
        <v>277</v>
      </c>
      <c r="K162" s="41" t="s">
        <v>3591</v>
      </c>
      <c r="L162" s="42" t="s">
        <v>3592</v>
      </c>
    </row>
    <row r="163" spans="1:12" ht="16.5" customHeight="1">
      <c r="A163" s="75">
        <v>6</v>
      </c>
      <c r="B163" s="24" t="s">
        <v>71</v>
      </c>
      <c r="C163" s="24" t="s">
        <v>19</v>
      </c>
      <c r="D163" s="24" t="s">
        <v>32</v>
      </c>
      <c r="E163" s="25">
        <v>273</v>
      </c>
      <c r="F163" s="25">
        <v>260</v>
      </c>
      <c r="G163" s="25">
        <v>100</v>
      </c>
      <c r="H163" s="25"/>
      <c r="I163" s="22">
        <v>633</v>
      </c>
      <c r="J163" s="40">
        <v>211</v>
      </c>
      <c r="K163" s="41" t="s">
        <v>3591</v>
      </c>
      <c r="L163" s="42" t="s">
        <v>3592</v>
      </c>
    </row>
    <row r="164" spans="1:12" ht="16.5" customHeight="1">
      <c r="A164" s="74">
        <v>7</v>
      </c>
      <c r="B164" s="20" t="s">
        <v>117</v>
      </c>
      <c r="C164" s="20" t="s">
        <v>75</v>
      </c>
      <c r="D164" s="20" t="s">
        <v>118</v>
      </c>
      <c r="E164" s="21">
        <v>100</v>
      </c>
      <c r="F164" s="21">
        <v>250</v>
      </c>
      <c r="G164" s="21">
        <v>100</v>
      </c>
      <c r="H164" s="21"/>
      <c r="I164" s="22">
        <v>450</v>
      </c>
      <c r="J164" s="40">
        <v>150</v>
      </c>
      <c r="K164" s="41" t="s">
        <v>3591</v>
      </c>
      <c r="L164" s="42" t="s">
        <v>3592</v>
      </c>
    </row>
    <row r="165" spans="1:12" ht="16.5" customHeight="1">
      <c r="A165" s="75">
        <v>8</v>
      </c>
      <c r="B165" s="24" t="s">
        <v>66</v>
      </c>
      <c r="C165" s="24" t="s">
        <v>30</v>
      </c>
      <c r="D165" s="24" t="s">
        <v>24</v>
      </c>
      <c r="E165" s="25">
        <v>200</v>
      </c>
      <c r="F165" s="25">
        <v>240</v>
      </c>
      <c r="G165" s="25"/>
      <c r="H165" s="25"/>
      <c r="I165" s="22">
        <v>440</v>
      </c>
      <c r="J165" s="40">
        <v>146.69999999999999</v>
      </c>
      <c r="K165" s="23" t="s">
        <v>3597</v>
      </c>
      <c r="L165" s="42" t="s">
        <v>3592</v>
      </c>
    </row>
    <row r="166" spans="1:12" ht="16.5" customHeight="1">
      <c r="A166" s="74">
        <v>9</v>
      </c>
      <c r="B166" s="20" t="s">
        <v>116</v>
      </c>
      <c r="C166" s="20" t="s">
        <v>75</v>
      </c>
      <c r="D166" s="20" t="s">
        <v>20</v>
      </c>
      <c r="E166" s="21">
        <v>118</v>
      </c>
      <c r="F166" s="21">
        <v>161</v>
      </c>
      <c r="G166" s="21">
        <v>160</v>
      </c>
      <c r="H166" s="21"/>
      <c r="I166" s="22">
        <v>439</v>
      </c>
      <c r="J166" s="40">
        <v>146.30000000000001</v>
      </c>
      <c r="K166" s="41" t="s">
        <v>3591</v>
      </c>
      <c r="L166" s="42" t="s">
        <v>3592</v>
      </c>
    </row>
    <row r="167" spans="1:12" ht="16.5" customHeight="1">
      <c r="A167" s="75">
        <v>10</v>
      </c>
      <c r="B167" s="24" t="s">
        <v>21</v>
      </c>
      <c r="C167" s="24" t="s">
        <v>19</v>
      </c>
      <c r="D167" s="24" t="s">
        <v>22</v>
      </c>
      <c r="E167" s="25">
        <v>175</v>
      </c>
      <c r="F167" s="25">
        <v>230</v>
      </c>
      <c r="G167" s="25"/>
      <c r="H167" s="25"/>
      <c r="I167" s="22">
        <v>405</v>
      </c>
      <c r="J167" s="40">
        <v>135</v>
      </c>
      <c r="K167" s="23" t="s">
        <v>3597</v>
      </c>
      <c r="L167" s="42" t="s">
        <v>3592</v>
      </c>
    </row>
    <row r="168" spans="1:12" ht="15.75" customHeight="1">
      <c r="A168" s="76"/>
      <c r="B168" s="77" t="s">
        <v>3593</v>
      </c>
      <c r="C168" s="76"/>
      <c r="D168" s="76"/>
      <c r="E168" s="78">
        <f>SUM(E158:E167)</f>
        <v>4313</v>
      </c>
      <c r="F168" s="78">
        <f>SUM(F158:F167)</f>
        <v>3799</v>
      </c>
      <c r="G168" s="78">
        <f>SUM(G158:G167)</f>
        <v>1833</v>
      </c>
      <c r="H168" s="78">
        <f>SUM(H158:H167)</f>
        <v>140</v>
      </c>
      <c r="I168" s="78">
        <f>SUM(I158:I167)</f>
        <v>10085</v>
      </c>
      <c r="J168" s="76"/>
      <c r="K168" s="76"/>
      <c r="L168" s="76"/>
    </row>
    <row r="171" spans="1:12" ht="21.75" customHeight="1">
      <c r="A171" s="5" t="s">
        <v>3609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30" customHeight="1">
      <c r="A172" s="79" t="s">
        <v>3586</v>
      </c>
      <c r="B172" s="79" t="s">
        <v>2</v>
      </c>
      <c r="C172" s="79" t="s">
        <v>3</v>
      </c>
      <c r="D172" s="79" t="s">
        <v>4</v>
      </c>
      <c r="E172" s="80" t="s">
        <v>3547</v>
      </c>
      <c r="F172" s="80" t="s">
        <v>3548</v>
      </c>
      <c r="G172" s="80" t="s">
        <v>3549</v>
      </c>
      <c r="H172" s="80" t="s">
        <v>3550</v>
      </c>
      <c r="I172" s="80" t="s">
        <v>3587</v>
      </c>
      <c r="J172" s="79" t="s">
        <v>3588</v>
      </c>
      <c r="K172" s="79" t="s">
        <v>3589</v>
      </c>
      <c r="L172" s="79" t="s">
        <v>3590</v>
      </c>
    </row>
    <row r="173" spans="1:12" ht="16.5" customHeight="1">
      <c r="A173" s="81">
        <v>1</v>
      </c>
      <c r="B173" s="20" t="s">
        <v>1416</v>
      </c>
      <c r="C173" s="20" t="s">
        <v>1417</v>
      </c>
      <c r="D173" s="20" t="s">
        <v>284</v>
      </c>
      <c r="E173" s="21">
        <v>23303</v>
      </c>
      <c r="F173" s="21">
        <v>9725</v>
      </c>
      <c r="G173" s="21">
        <v>15442</v>
      </c>
      <c r="H173" s="21">
        <v>11788</v>
      </c>
      <c r="I173" s="22">
        <v>60258</v>
      </c>
      <c r="J173" s="40">
        <v>16156.7</v>
      </c>
      <c r="K173" s="41" t="s">
        <v>3591</v>
      </c>
      <c r="L173" s="42" t="s">
        <v>3592</v>
      </c>
    </row>
    <row r="174" spans="1:12" ht="16.5" customHeight="1">
      <c r="A174" s="82">
        <v>2</v>
      </c>
      <c r="B174" s="24" t="s">
        <v>1420</v>
      </c>
      <c r="C174" s="24" t="s">
        <v>1421</v>
      </c>
      <c r="D174" s="24" t="s">
        <v>284</v>
      </c>
      <c r="E174" s="25">
        <v>3802</v>
      </c>
      <c r="F174" s="25">
        <v>4749</v>
      </c>
      <c r="G174" s="25">
        <v>2875</v>
      </c>
      <c r="H174" s="25">
        <v>472</v>
      </c>
      <c r="I174" s="22">
        <v>11898</v>
      </c>
      <c r="J174" s="40">
        <v>3808.7</v>
      </c>
      <c r="K174" s="41" t="s">
        <v>3591</v>
      </c>
      <c r="L174" s="42" t="s">
        <v>3592</v>
      </c>
    </row>
    <row r="175" spans="1:12" ht="16.5" customHeight="1">
      <c r="A175" s="81">
        <v>3</v>
      </c>
      <c r="B175" s="20" t="s">
        <v>1407</v>
      </c>
      <c r="C175" s="20" t="s">
        <v>1408</v>
      </c>
      <c r="D175" s="20" t="s">
        <v>284</v>
      </c>
      <c r="E175" s="21">
        <v>1855</v>
      </c>
      <c r="F175" s="21">
        <v>2460</v>
      </c>
      <c r="G175" s="21">
        <v>2625</v>
      </c>
      <c r="H175" s="21">
        <v>750</v>
      </c>
      <c r="I175" s="22">
        <v>7690</v>
      </c>
      <c r="J175" s="40">
        <v>2313.3000000000002</v>
      </c>
      <c r="K175" s="41" t="s">
        <v>3591</v>
      </c>
      <c r="L175" s="42" t="s">
        <v>3592</v>
      </c>
    </row>
    <row r="176" spans="1:12" ht="16.5" customHeight="1">
      <c r="A176" s="82">
        <v>4</v>
      </c>
      <c r="B176" s="24" t="s">
        <v>1403</v>
      </c>
      <c r="C176" s="24" t="s">
        <v>1404</v>
      </c>
      <c r="D176" s="24" t="s">
        <v>284</v>
      </c>
      <c r="E176" s="25">
        <v>2276</v>
      </c>
      <c r="F176" s="25">
        <v>2598</v>
      </c>
      <c r="G176" s="25">
        <v>420</v>
      </c>
      <c r="H176" s="25"/>
      <c r="I176" s="22">
        <v>5294</v>
      </c>
      <c r="J176" s="40">
        <v>1764.7</v>
      </c>
      <c r="K176" s="41" t="s">
        <v>3591</v>
      </c>
      <c r="L176" s="50" t="s">
        <v>3598</v>
      </c>
    </row>
    <row r="177" spans="1:12" ht="16.5" customHeight="1">
      <c r="A177" s="81">
        <v>5</v>
      </c>
      <c r="B177" s="20" t="s">
        <v>1414</v>
      </c>
      <c r="C177" s="20" t="s">
        <v>1415</v>
      </c>
      <c r="D177" s="20" t="s">
        <v>1396</v>
      </c>
      <c r="E177" s="21">
        <v>3033</v>
      </c>
      <c r="F177" s="21">
        <v>484</v>
      </c>
      <c r="G177" s="21">
        <v>986</v>
      </c>
      <c r="H177" s="21">
        <v>111</v>
      </c>
      <c r="I177" s="22">
        <v>4614</v>
      </c>
      <c r="J177" s="40">
        <v>1501</v>
      </c>
      <c r="K177" s="41" t="s">
        <v>3591</v>
      </c>
      <c r="L177" s="49" t="s">
        <v>3596</v>
      </c>
    </row>
    <row r="178" spans="1:12" ht="16.5" customHeight="1">
      <c r="A178" s="82">
        <v>6</v>
      </c>
      <c r="B178" s="24" t="s">
        <v>1401</v>
      </c>
      <c r="C178" s="24" t="s">
        <v>1402</v>
      </c>
      <c r="D178" s="24" t="s">
        <v>1396</v>
      </c>
      <c r="E178" s="25">
        <v>1068</v>
      </c>
      <c r="F178" s="25">
        <v>811</v>
      </c>
      <c r="G178" s="25">
        <v>397</v>
      </c>
      <c r="H178" s="25">
        <v>100</v>
      </c>
      <c r="I178" s="22">
        <v>2376</v>
      </c>
      <c r="J178" s="40">
        <v>758.7</v>
      </c>
      <c r="K178" s="41" t="s">
        <v>3591</v>
      </c>
      <c r="L178" s="42" t="s">
        <v>3592</v>
      </c>
    </row>
    <row r="179" spans="1:12" ht="16.5" customHeight="1">
      <c r="A179" s="81">
        <v>7</v>
      </c>
      <c r="B179" s="20" t="s">
        <v>1405</v>
      </c>
      <c r="C179" s="20" t="s">
        <v>1406</v>
      </c>
      <c r="D179" s="20" t="s">
        <v>1396</v>
      </c>
      <c r="E179" s="21">
        <v>438</v>
      </c>
      <c r="F179" s="21">
        <v>500</v>
      </c>
      <c r="G179" s="21">
        <v>895</v>
      </c>
      <c r="H179" s="21">
        <v>20</v>
      </c>
      <c r="I179" s="22">
        <v>1853</v>
      </c>
      <c r="J179" s="40">
        <v>611</v>
      </c>
      <c r="K179" s="41" t="s">
        <v>3591</v>
      </c>
      <c r="L179" s="42" t="s">
        <v>3592</v>
      </c>
    </row>
    <row r="180" spans="1:12" ht="16.5" customHeight="1">
      <c r="A180" s="82">
        <v>8</v>
      </c>
      <c r="B180" s="24" t="s">
        <v>1424</v>
      </c>
      <c r="C180" s="24" t="s">
        <v>1415</v>
      </c>
      <c r="D180" s="24" t="s">
        <v>1425</v>
      </c>
      <c r="E180" s="25">
        <v>784</v>
      </c>
      <c r="F180" s="25">
        <v>638</v>
      </c>
      <c r="G180" s="25">
        <v>240</v>
      </c>
      <c r="H180" s="25">
        <v>153</v>
      </c>
      <c r="I180" s="22">
        <v>1815</v>
      </c>
      <c r="J180" s="40">
        <v>554</v>
      </c>
      <c r="K180" s="41" t="s">
        <v>3591</v>
      </c>
      <c r="L180" s="42" t="s">
        <v>3592</v>
      </c>
    </row>
    <row r="181" spans="1:12" ht="16.5" customHeight="1">
      <c r="A181" s="81">
        <v>9</v>
      </c>
      <c r="B181" s="20" t="s">
        <v>1409</v>
      </c>
      <c r="C181" s="20" t="s">
        <v>1410</v>
      </c>
      <c r="D181" s="20" t="s">
        <v>1411</v>
      </c>
      <c r="E181" s="21">
        <v>404</v>
      </c>
      <c r="F181" s="21">
        <v>11</v>
      </c>
      <c r="G181" s="21">
        <v>158</v>
      </c>
      <c r="H181" s="21"/>
      <c r="I181" s="22">
        <v>573</v>
      </c>
      <c r="J181" s="40">
        <v>191</v>
      </c>
      <c r="K181" s="41" t="s">
        <v>3591</v>
      </c>
      <c r="L181" s="49" t="s">
        <v>3596</v>
      </c>
    </row>
    <row r="182" spans="1:12" ht="16.5" customHeight="1">
      <c r="A182" s="82">
        <v>10</v>
      </c>
      <c r="B182" s="24" t="s">
        <v>1432</v>
      </c>
      <c r="C182" s="24" t="s">
        <v>1433</v>
      </c>
      <c r="D182" s="24" t="s">
        <v>284</v>
      </c>
      <c r="E182" s="25">
        <v>481</v>
      </c>
      <c r="F182" s="25">
        <v>12</v>
      </c>
      <c r="G182" s="25"/>
      <c r="H182" s="25"/>
      <c r="I182" s="22">
        <v>493</v>
      </c>
      <c r="J182" s="40">
        <v>164.3</v>
      </c>
      <c r="K182" s="23" t="s">
        <v>3597</v>
      </c>
      <c r="L182" s="49" t="s">
        <v>3596</v>
      </c>
    </row>
    <row r="183" spans="1:12" ht="15.75" customHeight="1">
      <c r="A183" s="83"/>
      <c r="B183" s="84" t="s">
        <v>3593</v>
      </c>
      <c r="C183" s="83"/>
      <c r="D183" s="83"/>
      <c r="E183" s="85">
        <f>SUM(E173:E182)</f>
        <v>37444</v>
      </c>
      <c r="F183" s="85">
        <f>SUM(F173:F182)</f>
        <v>21988</v>
      </c>
      <c r="G183" s="85">
        <f>SUM(G173:G182)</f>
        <v>24038</v>
      </c>
      <c r="H183" s="85">
        <f>SUM(H173:H182)</f>
        <v>13394</v>
      </c>
      <c r="I183" s="85">
        <f>SUM(I173:I182)</f>
        <v>96864</v>
      </c>
      <c r="J183" s="83"/>
      <c r="K183" s="83"/>
      <c r="L183" s="83"/>
    </row>
    <row r="185" spans="1:12" ht="21.75" customHeight="1">
      <c r="A185" s="5" t="s">
        <v>3610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1:12" ht="30" customHeight="1">
      <c r="A186" s="79" t="s">
        <v>3586</v>
      </c>
      <c r="B186" s="79" t="s">
        <v>2</v>
      </c>
      <c r="C186" s="79" t="s">
        <v>3</v>
      </c>
      <c r="D186" s="79" t="s">
        <v>4</v>
      </c>
      <c r="E186" s="80" t="s">
        <v>3547</v>
      </c>
      <c r="F186" s="80" t="s">
        <v>3548</v>
      </c>
      <c r="G186" s="80" t="s">
        <v>3549</v>
      </c>
      <c r="H186" s="80" t="s">
        <v>3550</v>
      </c>
      <c r="I186" s="80" t="s">
        <v>3587</v>
      </c>
      <c r="J186" s="79" t="s">
        <v>3588</v>
      </c>
      <c r="K186" s="79" t="s">
        <v>3589</v>
      </c>
      <c r="L186" s="79" t="s">
        <v>3590</v>
      </c>
    </row>
    <row r="187" spans="1:12" ht="16.5" customHeight="1">
      <c r="A187" s="81">
        <v>1</v>
      </c>
      <c r="B187" s="20" t="s">
        <v>1416</v>
      </c>
      <c r="C187" s="20" t="s">
        <v>1417</v>
      </c>
      <c r="D187" s="20" t="s">
        <v>284</v>
      </c>
      <c r="E187" s="21">
        <v>23303</v>
      </c>
      <c r="F187" s="21">
        <v>9725</v>
      </c>
      <c r="G187" s="21">
        <v>15442</v>
      </c>
      <c r="H187" s="21">
        <v>11788</v>
      </c>
      <c r="I187" s="22">
        <v>60258</v>
      </c>
      <c r="J187" s="40">
        <v>16156.7</v>
      </c>
      <c r="K187" s="41" t="s">
        <v>3591</v>
      </c>
      <c r="L187" s="42" t="s">
        <v>3592</v>
      </c>
    </row>
    <row r="188" spans="1:12" ht="16.5" customHeight="1">
      <c r="A188" s="82">
        <v>2</v>
      </c>
      <c r="B188" s="24" t="s">
        <v>1420</v>
      </c>
      <c r="C188" s="24" t="s">
        <v>1421</v>
      </c>
      <c r="D188" s="24" t="s">
        <v>284</v>
      </c>
      <c r="E188" s="25">
        <v>3802</v>
      </c>
      <c r="F188" s="25">
        <v>4749</v>
      </c>
      <c r="G188" s="25">
        <v>2875</v>
      </c>
      <c r="H188" s="25">
        <v>472</v>
      </c>
      <c r="I188" s="22">
        <v>11898</v>
      </c>
      <c r="J188" s="40">
        <v>3808.7</v>
      </c>
      <c r="K188" s="41" t="s">
        <v>3591</v>
      </c>
      <c r="L188" s="42" t="s">
        <v>3592</v>
      </c>
    </row>
    <row r="189" spans="1:12" ht="16.5" customHeight="1">
      <c r="A189" s="81">
        <v>3</v>
      </c>
      <c r="B189" s="20" t="s">
        <v>1407</v>
      </c>
      <c r="C189" s="20" t="s">
        <v>1408</v>
      </c>
      <c r="D189" s="20" t="s">
        <v>284</v>
      </c>
      <c r="E189" s="21">
        <v>1855</v>
      </c>
      <c r="F189" s="21">
        <v>2460</v>
      </c>
      <c r="G189" s="21">
        <v>2625</v>
      </c>
      <c r="H189" s="21">
        <v>750</v>
      </c>
      <c r="I189" s="22">
        <v>7690</v>
      </c>
      <c r="J189" s="40">
        <v>2313.3000000000002</v>
      </c>
      <c r="K189" s="41" t="s">
        <v>3591</v>
      </c>
      <c r="L189" s="42" t="s">
        <v>3592</v>
      </c>
    </row>
    <row r="190" spans="1:12" ht="16.5" customHeight="1">
      <c r="A190" s="82">
        <v>4</v>
      </c>
      <c r="B190" s="24" t="s">
        <v>1401</v>
      </c>
      <c r="C190" s="24" t="s">
        <v>1402</v>
      </c>
      <c r="D190" s="24" t="s">
        <v>1396</v>
      </c>
      <c r="E190" s="25">
        <v>1068</v>
      </c>
      <c r="F190" s="25">
        <v>811</v>
      </c>
      <c r="G190" s="25">
        <v>397</v>
      </c>
      <c r="H190" s="25">
        <v>100</v>
      </c>
      <c r="I190" s="22">
        <v>2376</v>
      </c>
      <c r="J190" s="40">
        <v>758.7</v>
      </c>
      <c r="K190" s="41" t="s">
        <v>3591</v>
      </c>
      <c r="L190" s="42" t="s">
        <v>3592</v>
      </c>
    </row>
    <row r="191" spans="1:12" ht="16.5" customHeight="1">
      <c r="A191" s="81">
        <v>5</v>
      </c>
      <c r="B191" s="20" t="s">
        <v>1405</v>
      </c>
      <c r="C191" s="20" t="s">
        <v>1406</v>
      </c>
      <c r="D191" s="20" t="s">
        <v>1396</v>
      </c>
      <c r="E191" s="21">
        <v>438</v>
      </c>
      <c r="F191" s="21">
        <v>500</v>
      </c>
      <c r="G191" s="21">
        <v>895</v>
      </c>
      <c r="H191" s="21">
        <v>20</v>
      </c>
      <c r="I191" s="22">
        <v>1853</v>
      </c>
      <c r="J191" s="40">
        <v>611</v>
      </c>
      <c r="K191" s="41" t="s">
        <v>3591</v>
      </c>
      <c r="L191" s="42" t="s">
        <v>3592</v>
      </c>
    </row>
    <row r="192" spans="1:12" ht="16.5" customHeight="1">
      <c r="A192" s="82">
        <v>6</v>
      </c>
      <c r="B192" s="24" t="s">
        <v>1424</v>
      </c>
      <c r="C192" s="24" t="s">
        <v>1415</v>
      </c>
      <c r="D192" s="24" t="s">
        <v>1425</v>
      </c>
      <c r="E192" s="25">
        <v>784</v>
      </c>
      <c r="F192" s="25">
        <v>638</v>
      </c>
      <c r="G192" s="25">
        <v>240</v>
      </c>
      <c r="H192" s="25">
        <v>153</v>
      </c>
      <c r="I192" s="22">
        <v>1815</v>
      </c>
      <c r="J192" s="40">
        <v>554</v>
      </c>
      <c r="K192" s="41" t="s">
        <v>3591</v>
      </c>
      <c r="L192" s="42" t="s">
        <v>3592</v>
      </c>
    </row>
    <row r="193" spans="1:12" ht="16.5" customHeight="1">
      <c r="A193" s="81">
        <v>7</v>
      </c>
      <c r="B193" s="20" t="s">
        <v>1412</v>
      </c>
      <c r="C193" s="20" t="s">
        <v>1413</v>
      </c>
      <c r="D193" s="20" t="s">
        <v>284</v>
      </c>
      <c r="E193" s="21">
        <v>173</v>
      </c>
      <c r="F193" s="21">
        <v>160</v>
      </c>
      <c r="G193" s="21">
        <v>94</v>
      </c>
      <c r="H193" s="21"/>
      <c r="I193" s="22">
        <v>427</v>
      </c>
      <c r="J193" s="40">
        <v>142.30000000000001</v>
      </c>
      <c r="K193" s="41" t="s">
        <v>3591</v>
      </c>
      <c r="L193" s="42" t="s">
        <v>3592</v>
      </c>
    </row>
    <row r="194" spans="1:12" ht="16.5" customHeight="1">
      <c r="A194" s="82">
        <v>8</v>
      </c>
      <c r="B194" s="24" t="s">
        <v>1422</v>
      </c>
      <c r="C194" s="24" t="s">
        <v>1423</v>
      </c>
      <c r="D194" s="24" t="s">
        <v>284</v>
      </c>
      <c r="E194" s="25">
        <v>120</v>
      </c>
      <c r="F194" s="25">
        <v>69</v>
      </c>
      <c r="G194" s="25">
        <v>209</v>
      </c>
      <c r="H194" s="25">
        <v>70</v>
      </c>
      <c r="I194" s="22">
        <v>468</v>
      </c>
      <c r="J194" s="40">
        <v>132.69999999999999</v>
      </c>
      <c r="K194" s="41" t="s">
        <v>3591</v>
      </c>
      <c r="L194" s="42" t="s">
        <v>3592</v>
      </c>
    </row>
    <row r="195" spans="1:12" ht="16.5" customHeight="1">
      <c r="A195" s="81">
        <v>9</v>
      </c>
      <c r="B195" s="20" t="s">
        <v>1427</v>
      </c>
      <c r="C195" s="20" t="s">
        <v>1428</v>
      </c>
      <c r="D195" s="20" t="s">
        <v>1429</v>
      </c>
      <c r="E195" s="21">
        <v>81</v>
      </c>
      <c r="F195" s="21">
        <v>160</v>
      </c>
      <c r="G195" s="21">
        <v>50</v>
      </c>
      <c r="H195" s="21"/>
      <c r="I195" s="22">
        <v>291</v>
      </c>
      <c r="J195" s="40">
        <v>97</v>
      </c>
      <c r="K195" s="41" t="s">
        <v>3591</v>
      </c>
      <c r="L195" s="42" t="s">
        <v>3592</v>
      </c>
    </row>
    <row r="196" spans="1:12" ht="16.5" customHeight="1">
      <c r="A196" s="82">
        <v>10</v>
      </c>
      <c r="B196" s="24" t="s">
        <v>1397</v>
      </c>
      <c r="C196" s="24" t="s">
        <v>1398</v>
      </c>
      <c r="D196" s="24" t="s">
        <v>1396</v>
      </c>
      <c r="E196" s="25">
        <v>107</v>
      </c>
      <c r="F196" s="25">
        <v>55</v>
      </c>
      <c r="G196" s="25">
        <v>62</v>
      </c>
      <c r="H196" s="25">
        <v>68</v>
      </c>
      <c r="I196" s="22">
        <v>292</v>
      </c>
      <c r="J196" s="40">
        <v>74.7</v>
      </c>
      <c r="K196" s="41" t="s">
        <v>3591</v>
      </c>
      <c r="L196" s="42" t="s">
        <v>3592</v>
      </c>
    </row>
    <row r="197" spans="1:12" ht="15.75" customHeight="1">
      <c r="A197" s="83"/>
      <c r="B197" s="84" t="s">
        <v>3593</v>
      </c>
      <c r="C197" s="83"/>
      <c r="D197" s="83"/>
      <c r="E197" s="85">
        <f>SUM(E187:E196)</f>
        <v>31731</v>
      </c>
      <c r="F197" s="85">
        <f>SUM(F187:F196)</f>
        <v>19327</v>
      </c>
      <c r="G197" s="85">
        <f>SUM(G187:G196)</f>
        <v>22889</v>
      </c>
      <c r="H197" s="85">
        <f>SUM(H187:H196)</f>
        <v>13421</v>
      </c>
      <c r="I197" s="85">
        <f>SUM(I187:I196)</f>
        <v>87368</v>
      </c>
      <c r="J197" s="83"/>
      <c r="K197" s="83"/>
      <c r="L197" s="83"/>
    </row>
    <row r="200" spans="1:12" ht="21.75" customHeight="1">
      <c r="A200" s="4" t="s">
        <v>3611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1:12" ht="30" customHeight="1">
      <c r="A201" s="86" t="s">
        <v>3586</v>
      </c>
      <c r="B201" s="86" t="s">
        <v>2</v>
      </c>
      <c r="C201" s="86" t="s">
        <v>3</v>
      </c>
      <c r="D201" s="86" t="s">
        <v>4</v>
      </c>
      <c r="E201" s="87" t="s">
        <v>3547</v>
      </c>
      <c r="F201" s="87" t="s">
        <v>3548</v>
      </c>
      <c r="G201" s="87" t="s">
        <v>3549</v>
      </c>
      <c r="H201" s="87" t="s">
        <v>3550</v>
      </c>
      <c r="I201" s="87" t="s">
        <v>3587</v>
      </c>
      <c r="J201" s="86" t="s">
        <v>3588</v>
      </c>
      <c r="K201" s="86" t="s">
        <v>3589</v>
      </c>
      <c r="L201" s="86" t="s">
        <v>3590</v>
      </c>
    </row>
    <row r="202" spans="1:12" ht="16.5" customHeight="1">
      <c r="A202" s="88">
        <v>1</v>
      </c>
      <c r="B202" s="20" t="s">
        <v>94</v>
      </c>
      <c r="C202" s="20" t="s">
        <v>95</v>
      </c>
      <c r="D202" s="20" t="s">
        <v>90</v>
      </c>
      <c r="E202" s="21">
        <v>407</v>
      </c>
      <c r="F202" s="21">
        <v>47</v>
      </c>
      <c r="G202" s="21">
        <v>10</v>
      </c>
      <c r="H202" s="21"/>
      <c r="I202" s="22">
        <v>464</v>
      </c>
      <c r="J202" s="40">
        <v>154.69999999999999</v>
      </c>
      <c r="K202" s="41" t="s">
        <v>3591</v>
      </c>
      <c r="L202" s="49" t="s">
        <v>3596</v>
      </c>
    </row>
    <row r="203" spans="1:12" ht="16.5" customHeight="1">
      <c r="A203" s="89">
        <v>2</v>
      </c>
      <c r="B203" s="24" t="s">
        <v>2344</v>
      </c>
      <c r="C203" s="24" t="s">
        <v>84</v>
      </c>
      <c r="D203" s="24" t="s">
        <v>2332</v>
      </c>
      <c r="E203" s="25"/>
      <c r="F203" s="25">
        <v>200</v>
      </c>
      <c r="G203" s="25">
        <v>250</v>
      </c>
      <c r="H203" s="25"/>
      <c r="I203" s="22">
        <v>450</v>
      </c>
      <c r="J203" s="40">
        <v>150</v>
      </c>
      <c r="K203" s="23" t="s">
        <v>3597</v>
      </c>
      <c r="L203" s="42" t="s">
        <v>3592</v>
      </c>
    </row>
    <row r="204" spans="1:12" ht="16.5" customHeight="1">
      <c r="A204" s="88">
        <v>3</v>
      </c>
      <c r="B204" s="20" t="s">
        <v>129</v>
      </c>
      <c r="C204" s="20" t="s">
        <v>93</v>
      </c>
      <c r="D204" s="20" t="s">
        <v>128</v>
      </c>
      <c r="E204" s="21">
        <v>150</v>
      </c>
      <c r="F204" s="21">
        <v>50</v>
      </c>
      <c r="G204" s="21">
        <v>200</v>
      </c>
      <c r="H204" s="21"/>
      <c r="I204" s="22">
        <v>400</v>
      </c>
      <c r="J204" s="40">
        <v>133.30000000000001</v>
      </c>
      <c r="K204" s="41" t="s">
        <v>3591</v>
      </c>
      <c r="L204" s="50" t="s">
        <v>3598</v>
      </c>
    </row>
    <row r="205" spans="1:12" ht="16.5" customHeight="1">
      <c r="A205" s="89">
        <v>4</v>
      </c>
      <c r="B205" s="24" t="s">
        <v>130</v>
      </c>
      <c r="C205" s="24" t="s">
        <v>95</v>
      </c>
      <c r="D205" s="24" t="s">
        <v>128</v>
      </c>
      <c r="E205" s="25">
        <v>150</v>
      </c>
      <c r="F205" s="25">
        <v>50</v>
      </c>
      <c r="G205" s="25">
        <v>180</v>
      </c>
      <c r="H205" s="25"/>
      <c r="I205" s="22">
        <v>380</v>
      </c>
      <c r="J205" s="40">
        <v>126.7</v>
      </c>
      <c r="K205" s="41" t="s">
        <v>3591</v>
      </c>
      <c r="L205" s="50" t="s">
        <v>3598</v>
      </c>
    </row>
    <row r="206" spans="1:12" ht="16.5" customHeight="1">
      <c r="A206" s="88">
        <v>5</v>
      </c>
      <c r="B206" s="20" t="s">
        <v>107</v>
      </c>
      <c r="C206" s="20" t="s">
        <v>108</v>
      </c>
      <c r="D206" s="20" t="s">
        <v>100</v>
      </c>
      <c r="E206" s="21">
        <v>260</v>
      </c>
      <c r="F206" s="21">
        <v>80</v>
      </c>
      <c r="G206" s="21">
        <v>12</v>
      </c>
      <c r="H206" s="21"/>
      <c r="I206" s="22">
        <v>352</v>
      </c>
      <c r="J206" s="40">
        <v>117.3</v>
      </c>
      <c r="K206" s="41" t="s">
        <v>3591</v>
      </c>
      <c r="L206" s="49" t="s">
        <v>3596</v>
      </c>
    </row>
    <row r="207" spans="1:12" ht="16.5" customHeight="1">
      <c r="A207" s="89">
        <v>6</v>
      </c>
      <c r="B207" s="24" t="s">
        <v>127</v>
      </c>
      <c r="C207" s="24" t="s">
        <v>77</v>
      </c>
      <c r="D207" s="24" t="s">
        <v>128</v>
      </c>
      <c r="E207" s="25">
        <v>150</v>
      </c>
      <c r="F207" s="25">
        <v>50</v>
      </c>
      <c r="G207" s="25">
        <v>150</v>
      </c>
      <c r="H207" s="25"/>
      <c r="I207" s="22">
        <v>350</v>
      </c>
      <c r="J207" s="40">
        <v>116.7</v>
      </c>
      <c r="K207" s="41" t="s">
        <v>3591</v>
      </c>
      <c r="L207" s="50" t="s">
        <v>3598</v>
      </c>
    </row>
    <row r="208" spans="1:12" ht="16.5" customHeight="1">
      <c r="A208" s="88">
        <v>7</v>
      </c>
      <c r="B208" s="20" t="s">
        <v>91</v>
      </c>
      <c r="C208" s="20" t="s">
        <v>77</v>
      </c>
      <c r="D208" s="20" t="s">
        <v>90</v>
      </c>
      <c r="E208" s="21">
        <v>246</v>
      </c>
      <c r="F208" s="21">
        <v>81</v>
      </c>
      <c r="G208" s="21">
        <v>22</v>
      </c>
      <c r="H208" s="21"/>
      <c r="I208" s="22">
        <v>349</v>
      </c>
      <c r="J208" s="40">
        <v>116.3</v>
      </c>
      <c r="K208" s="41" t="s">
        <v>3591</v>
      </c>
      <c r="L208" s="49" t="s">
        <v>3596</v>
      </c>
    </row>
    <row r="209" spans="1:12" ht="16.5" customHeight="1">
      <c r="A209" s="89">
        <v>8</v>
      </c>
      <c r="B209" s="24" t="s">
        <v>92</v>
      </c>
      <c r="C209" s="24" t="s">
        <v>93</v>
      </c>
      <c r="D209" s="24" t="s">
        <v>90</v>
      </c>
      <c r="E209" s="25">
        <v>251</v>
      </c>
      <c r="F209" s="25">
        <v>69</v>
      </c>
      <c r="G209" s="25"/>
      <c r="H209" s="25"/>
      <c r="I209" s="22">
        <v>320</v>
      </c>
      <c r="J209" s="40">
        <v>106.7</v>
      </c>
      <c r="K209" s="23" t="s">
        <v>3597</v>
      </c>
      <c r="L209" s="49" t="s">
        <v>3601</v>
      </c>
    </row>
    <row r="210" spans="1:12" ht="16.5" customHeight="1">
      <c r="A210" s="88">
        <v>9</v>
      </c>
      <c r="B210" s="20" t="s">
        <v>76</v>
      </c>
      <c r="C210" s="20" t="s">
        <v>77</v>
      </c>
      <c r="D210" s="20" t="s">
        <v>78</v>
      </c>
      <c r="E210" s="21">
        <v>100</v>
      </c>
      <c r="F210" s="21">
        <v>200</v>
      </c>
      <c r="G210" s="21"/>
      <c r="H210" s="21"/>
      <c r="I210" s="22">
        <v>300</v>
      </c>
      <c r="J210" s="40">
        <v>100</v>
      </c>
      <c r="K210" s="19" t="s">
        <v>3597</v>
      </c>
      <c r="L210" s="49" t="s">
        <v>3601</v>
      </c>
    </row>
    <row r="211" spans="1:12" ht="16.5" customHeight="1">
      <c r="A211" s="89">
        <v>10</v>
      </c>
      <c r="B211" s="24" t="s">
        <v>2363</v>
      </c>
      <c r="C211" s="24" t="s">
        <v>77</v>
      </c>
      <c r="D211" s="24" t="s">
        <v>2332</v>
      </c>
      <c r="E211" s="25"/>
      <c r="F211" s="25">
        <v>50</v>
      </c>
      <c r="G211" s="25">
        <v>250</v>
      </c>
      <c r="H211" s="25"/>
      <c r="I211" s="22">
        <v>300</v>
      </c>
      <c r="J211" s="40">
        <v>100</v>
      </c>
      <c r="K211" s="23" t="s">
        <v>3597</v>
      </c>
      <c r="L211" s="49" t="s">
        <v>3601</v>
      </c>
    </row>
    <row r="212" spans="1:12" ht="15.75" customHeight="1">
      <c r="A212" s="90"/>
      <c r="B212" s="91" t="s">
        <v>3593</v>
      </c>
      <c r="C212" s="90"/>
      <c r="D212" s="90"/>
      <c r="E212" s="92">
        <f>SUM(E202:E211)</f>
        <v>1714</v>
      </c>
      <c r="F212" s="92">
        <f>SUM(F202:F211)</f>
        <v>877</v>
      </c>
      <c r="G212" s="92">
        <f>SUM(G202:G211)</f>
        <v>1074</v>
      </c>
      <c r="H212" s="92">
        <f>SUM(H202:H211)</f>
        <v>0</v>
      </c>
      <c r="I212" s="92">
        <f>SUM(I202:I211)</f>
        <v>3665</v>
      </c>
      <c r="J212" s="90"/>
      <c r="K212" s="90"/>
      <c r="L212" s="90"/>
    </row>
    <row r="214" spans="1:12" ht="21.75" customHeight="1">
      <c r="A214" s="4" t="s">
        <v>3612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spans="1:12" ht="30" customHeight="1">
      <c r="A215" s="86" t="s">
        <v>3586</v>
      </c>
      <c r="B215" s="86" t="s">
        <v>2</v>
      </c>
      <c r="C215" s="86" t="s">
        <v>3</v>
      </c>
      <c r="D215" s="86" t="s">
        <v>4</v>
      </c>
      <c r="E215" s="87" t="s">
        <v>3547</v>
      </c>
      <c r="F215" s="87" t="s">
        <v>3548</v>
      </c>
      <c r="G215" s="87" t="s">
        <v>3549</v>
      </c>
      <c r="H215" s="87" t="s">
        <v>3550</v>
      </c>
      <c r="I215" s="87" t="s">
        <v>3587</v>
      </c>
      <c r="J215" s="86" t="s">
        <v>3588</v>
      </c>
      <c r="K215" s="86" t="s">
        <v>3589</v>
      </c>
      <c r="L215" s="86" t="s">
        <v>3590</v>
      </c>
    </row>
    <row r="216" spans="1:12" ht="16.5" customHeight="1">
      <c r="A216" s="88">
        <v>1</v>
      </c>
      <c r="B216" s="20" t="s">
        <v>2344</v>
      </c>
      <c r="C216" s="20" t="s">
        <v>84</v>
      </c>
      <c r="D216" s="20" t="s">
        <v>2332</v>
      </c>
      <c r="E216" s="21"/>
      <c r="F216" s="21">
        <v>200</v>
      </c>
      <c r="G216" s="21">
        <v>250</v>
      </c>
      <c r="H216" s="21"/>
      <c r="I216" s="22">
        <v>450</v>
      </c>
      <c r="J216" s="40">
        <v>150</v>
      </c>
      <c r="K216" s="19" t="s">
        <v>3597</v>
      </c>
      <c r="L216" s="42" t="s">
        <v>3592</v>
      </c>
    </row>
    <row r="217" spans="1:12" ht="16.5" customHeight="1">
      <c r="A217" s="89">
        <v>2</v>
      </c>
      <c r="B217" s="24" t="s">
        <v>132</v>
      </c>
      <c r="C217" s="24" t="s">
        <v>108</v>
      </c>
      <c r="D217" s="24" t="s">
        <v>128</v>
      </c>
      <c r="E217" s="25">
        <v>60</v>
      </c>
      <c r="F217" s="25"/>
      <c r="G217" s="25">
        <v>60</v>
      </c>
      <c r="H217" s="25"/>
      <c r="I217" s="22">
        <v>120</v>
      </c>
      <c r="J217" s="40">
        <v>40</v>
      </c>
      <c r="K217" s="23" t="s">
        <v>3597</v>
      </c>
      <c r="L217" s="42" t="s">
        <v>3592</v>
      </c>
    </row>
    <row r="218" spans="1:12" ht="16.5" customHeight="1">
      <c r="A218" s="88">
        <v>3</v>
      </c>
      <c r="B218" s="20" t="s">
        <v>162</v>
      </c>
      <c r="C218" s="20" t="s">
        <v>77</v>
      </c>
      <c r="D218" s="20" t="s">
        <v>161</v>
      </c>
      <c r="E218" s="21">
        <v>50</v>
      </c>
      <c r="F218" s="21">
        <v>50</v>
      </c>
      <c r="G218" s="21"/>
      <c r="H218" s="21"/>
      <c r="I218" s="22">
        <v>100</v>
      </c>
      <c r="J218" s="40">
        <v>33.299999999999997</v>
      </c>
      <c r="K218" s="19" t="s">
        <v>3597</v>
      </c>
      <c r="L218" s="42" t="s">
        <v>3592</v>
      </c>
    </row>
    <row r="219" spans="1:12" ht="16.5" customHeight="1">
      <c r="A219" s="89">
        <v>4</v>
      </c>
      <c r="B219" s="24" t="s">
        <v>163</v>
      </c>
      <c r="C219" s="24" t="s">
        <v>93</v>
      </c>
      <c r="D219" s="24" t="s">
        <v>161</v>
      </c>
      <c r="E219" s="25">
        <v>50</v>
      </c>
      <c r="F219" s="25">
        <v>50</v>
      </c>
      <c r="G219" s="25"/>
      <c r="H219" s="25"/>
      <c r="I219" s="22">
        <v>100</v>
      </c>
      <c r="J219" s="40">
        <v>33.299999999999997</v>
      </c>
      <c r="K219" s="23" t="s">
        <v>3597</v>
      </c>
      <c r="L219" s="42" t="s">
        <v>3592</v>
      </c>
    </row>
    <row r="220" spans="1:12" ht="16.5" customHeight="1">
      <c r="A220" s="88">
        <v>5</v>
      </c>
      <c r="B220" s="20" t="s">
        <v>133</v>
      </c>
      <c r="C220" s="20" t="s">
        <v>134</v>
      </c>
      <c r="D220" s="20" t="s">
        <v>128</v>
      </c>
      <c r="E220" s="21">
        <v>30</v>
      </c>
      <c r="F220" s="21"/>
      <c r="G220" s="21">
        <v>40</v>
      </c>
      <c r="H220" s="21"/>
      <c r="I220" s="22">
        <v>70</v>
      </c>
      <c r="J220" s="40">
        <v>23.3</v>
      </c>
      <c r="K220" s="19" t="s">
        <v>3597</v>
      </c>
      <c r="L220" s="42" t="s">
        <v>3592</v>
      </c>
    </row>
    <row r="221" spans="1:12" ht="15.75" customHeight="1">
      <c r="A221" s="90"/>
      <c r="B221" s="91" t="s">
        <v>3593</v>
      </c>
      <c r="C221" s="90"/>
      <c r="D221" s="90"/>
      <c r="E221" s="92">
        <f>SUM(E216:E220)</f>
        <v>190</v>
      </c>
      <c r="F221" s="92">
        <f>SUM(F216:F220)</f>
        <v>300</v>
      </c>
      <c r="G221" s="92">
        <f>SUM(G216:G220)</f>
        <v>350</v>
      </c>
      <c r="H221" s="92">
        <f>SUM(H216:H220)</f>
        <v>0</v>
      </c>
      <c r="I221" s="92">
        <f>SUM(I216:I220)</f>
        <v>840</v>
      </c>
      <c r="J221" s="90"/>
      <c r="K221" s="90"/>
      <c r="L221" s="90"/>
    </row>
  </sheetData>
  <mergeCells count="18">
    <mergeCell ref="A185:L185"/>
    <mergeCell ref="A200:L200"/>
    <mergeCell ref="A214:L214"/>
    <mergeCell ref="A119:L119"/>
    <mergeCell ref="A133:L133"/>
    <mergeCell ref="A142:L142"/>
    <mergeCell ref="A156:L156"/>
    <mergeCell ref="A171:L171"/>
    <mergeCell ref="A46:L46"/>
    <mergeCell ref="A61:L61"/>
    <mergeCell ref="A75:L75"/>
    <mergeCell ref="A90:L90"/>
    <mergeCell ref="A104:L104"/>
    <mergeCell ref="A1:L1"/>
    <mergeCell ref="A2:L2"/>
    <mergeCell ref="A3:L3"/>
    <mergeCell ref="A17:L17"/>
    <mergeCell ref="A32:L32"/>
  </mergeCells>
  <phoneticPr fontId="3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I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/>
  <cols>
    <col min="1" max="1" width="18" customWidth="1"/>
    <col min="2" max="3" width="10" customWidth="1"/>
    <col min="4" max="7" width="13" customWidth="1"/>
    <col min="8" max="8" width="10" customWidth="1"/>
    <col min="9" max="9" width="28" customWidth="1"/>
  </cols>
  <sheetData>
    <row r="1" spans="1:9" ht="24" customHeight="1">
      <c r="A1" s="13" t="s">
        <v>3613</v>
      </c>
      <c r="B1" s="13"/>
      <c r="C1" s="13"/>
      <c r="D1" s="13"/>
      <c r="E1" s="13"/>
      <c r="F1" s="13"/>
      <c r="G1" s="13"/>
      <c r="H1" s="13"/>
      <c r="I1" s="13"/>
    </row>
    <row r="2" spans="1:9" ht="18" customHeight="1">
      <c r="A2" s="12" t="s">
        <v>3614</v>
      </c>
      <c r="B2" s="12"/>
      <c r="C2" s="12"/>
      <c r="D2" s="12"/>
      <c r="E2" s="12"/>
      <c r="F2" s="12"/>
      <c r="G2" s="12"/>
      <c r="H2" s="12"/>
      <c r="I2" s="12"/>
    </row>
    <row r="3" spans="1:9" ht="30" customHeight="1">
      <c r="A3" s="18" t="s">
        <v>3615</v>
      </c>
      <c r="B3" s="18" t="s">
        <v>3616</v>
      </c>
      <c r="C3" s="38" t="s">
        <v>3617</v>
      </c>
      <c r="D3" s="18" t="s">
        <v>3618</v>
      </c>
      <c r="E3" s="18" t="s">
        <v>3619</v>
      </c>
      <c r="F3" s="18" t="s">
        <v>3620</v>
      </c>
      <c r="G3" s="18" t="s">
        <v>3621</v>
      </c>
      <c r="H3" s="18" t="s">
        <v>17</v>
      </c>
      <c r="I3" s="18" t="s">
        <v>3622</v>
      </c>
    </row>
    <row r="4" spans="1:9" ht="16.5" customHeight="1">
      <c r="A4" s="93" t="s">
        <v>3623</v>
      </c>
      <c r="B4" s="23">
        <v>551</v>
      </c>
      <c r="C4" s="23">
        <v>284</v>
      </c>
      <c r="D4" s="94">
        <v>45</v>
      </c>
      <c r="E4" s="95">
        <v>127</v>
      </c>
      <c r="F4" s="96">
        <v>79</v>
      </c>
      <c r="G4" s="97">
        <v>33</v>
      </c>
      <c r="H4" s="98">
        <v>284</v>
      </c>
      <c r="I4" s="26" t="s">
        <v>3624</v>
      </c>
    </row>
    <row r="5" spans="1:9" ht="16.5" customHeight="1">
      <c r="A5" s="99" t="s">
        <v>3625</v>
      </c>
      <c r="B5" s="19">
        <v>331</v>
      </c>
      <c r="C5" s="19">
        <v>148</v>
      </c>
      <c r="D5" s="94">
        <v>38</v>
      </c>
      <c r="E5" s="95">
        <v>60</v>
      </c>
      <c r="F5" s="96">
        <v>44</v>
      </c>
      <c r="G5" s="97">
        <v>6</v>
      </c>
      <c r="H5" s="100">
        <v>148</v>
      </c>
      <c r="I5" s="27" t="s">
        <v>3624</v>
      </c>
    </row>
    <row r="6" spans="1:9" ht="16.5" customHeight="1">
      <c r="A6" s="101" t="s">
        <v>3626</v>
      </c>
      <c r="B6" s="23">
        <v>79</v>
      </c>
      <c r="C6" s="23">
        <v>27</v>
      </c>
      <c r="D6" s="94">
        <v>4</v>
      </c>
      <c r="E6" s="95">
        <v>14</v>
      </c>
      <c r="F6" s="96">
        <v>7</v>
      </c>
      <c r="G6" s="97">
        <v>2</v>
      </c>
      <c r="H6" s="98">
        <v>27</v>
      </c>
      <c r="I6" s="26" t="s">
        <v>3624</v>
      </c>
    </row>
    <row r="7" spans="1:9" ht="16.5" customHeight="1">
      <c r="A7" s="102" t="s">
        <v>3627</v>
      </c>
      <c r="B7" s="19">
        <v>619</v>
      </c>
      <c r="C7" s="19">
        <v>277</v>
      </c>
      <c r="D7" s="94">
        <v>94</v>
      </c>
      <c r="E7" s="95">
        <v>107</v>
      </c>
      <c r="F7" s="96">
        <v>57</v>
      </c>
      <c r="G7" s="97">
        <v>19</v>
      </c>
      <c r="H7" s="100">
        <v>277</v>
      </c>
      <c r="I7" s="27" t="s">
        <v>3624</v>
      </c>
    </row>
    <row r="8" spans="1:9" ht="16.5" customHeight="1">
      <c r="A8" s="103" t="s">
        <v>3628</v>
      </c>
      <c r="B8" s="23">
        <v>128</v>
      </c>
      <c r="C8" s="23">
        <v>21</v>
      </c>
      <c r="D8" s="94">
        <v>6</v>
      </c>
      <c r="E8" s="95">
        <v>13</v>
      </c>
      <c r="F8" s="96">
        <v>1</v>
      </c>
      <c r="G8" s="97">
        <v>1</v>
      </c>
      <c r="H8" s="98">
        <v>21</v>
      </c>
      <c r="I8" s="26" t="s">
        <v>3624</v>
      </c>
    </row>
    <row r="9" spans="1:9" ht="16.5" customHeight="1">
      <c r="A9" s="104" t="s">
        <v>3629</v>
      </c>
      <c r="B9" s="19">
        <v>117</v>
      </c>
      <c r="C9" s="19">
        <v>46</v>
      </c>
      <c r="D9" s="94">
        <v>8</v>
      </c>
      <c r="E9" s="95">
        <v>26</v>
      </c>
      <c r="F9" s="96">
        <v>11</v>
      </c>
      <c r="G9" s="97">
        <v>1</v>
      </c>
      <c r="H9" s="100">
        <v>46</v>
      </c>
      <c r="I9" s="27" t="s">
        <v>3624</v>
      </c>
    </row>
    <row r="10" spans="1:9" ht="16.5" customHeight="1">
      <c r="A10" s="105" t="s">
        <v>3630</v>
      </c>
      <c r="B10" s="23">
        <v>46</v>
      </c>
      <c r="C10" s="23">
        <v>24</v>
      </c>
      <c r="D10" s="94">
        <v>9</v>
      </c>
      <c r="E10" s="95">
        <v>5</v>
      </c>
      <c r="F10" s="96">
        <v>10</v>
      </c>
      <c r="G10" s="97" t="s">
        <v>3631</v>
      </c>
      <c r="H10" s="98">
        <v>24</v>
      </c>
      <c r="I10" s="26" t="s">
        <v>3632</v>
      </c>
    </row>
    <row r="11" spans="1:9" ht="16.5" customHeight="1">
      <c r="A11" s="106" t="s">
        <v>3633</v>
      </c>
      <c r="B11" s="19">
        <v>52</v>
      </c>
      <c r="C11" s="19">
        <v>25</v>
      </c>
      <c r="D11" s="94">
        <v>10</v>
      </c>
      <c r="E11" s="95">
        <v>12</v>
      </c>
      <c r="F11" s="96">
        <v>3</v>
      </c>
      <c r="G11" s="97" t="s">
        <v>3631</v>
      </c>
      <c r="H11" s="100">
        <v>25</v>
      </c>
      <c r="I11" s="27" t="s">
        <v>3624</v>
      </c>
    </row>
  </sheetData>
  <mergeCells count="2">
    <mergeCell ref="A1:I1"/>
    <mergeCell ref="A2:I2"/>
  </mergeCells>
  <phoneticPr fontId="3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M854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/>
  <cols>
    <col min="1" max="1" width="5" customWidth="1"/>
    <col min="2" max="2" width="18" customWidth="1"/>
    <col min="3" max="3" width="16" customWidth="1"/>
    <col min="4" max="4" width="38" customWidth="1"/>
    <col min="5" max="5" width="22" customWidth="1"/>
    <col min="6" max="8" width="11" customWidth="1"/>
    <col min="9" max="9" width="12" customWidth="1"/>
    <col min="10" max="10" width="10" customWidth="1"/>
    <col min="11" max="11" width="9" customWidth="1"/>
    <col min="12" max="12" width="14" customWidth="1"/>
    <col min="13" max="13" width="22" customWidth="1"/>
  </cols>
  <sheetData>
    <row r="1" spans="1:13" ht="24" customHeight="1">
      <c r="A1" s="13" t="s">
        <v>3634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33.75" customHeight="1">
      <c r="A2" s="15" t="s">
        <v>1</v>
      </c>
      <c r="B2" s="16" t="s">
        <v>3615</v>
      </c>
      <c r="C2" s="16" t="s">
        <v>2</v>
      </c>
      <c r="D2" s="16" t="s">
        <v>3</v>
      </c>
      <c r="E2" s="16" t="s">
        <v>4</v>
      </c>
      <c r="F2" s="15" t="s">
        <v>3547</v>
      </c>
      <c r="G2" s="15" t="s">
        <v>3548</v>
      </c>
      <c r="H2" s="15" t="s">
        <v>3549</v>
      </c>
      <c r="I2" s="15" t="s">
        <v>3587</v>
      </c>
      <c r="J2" s="16" t="s">
        <v>3588</v>
      </c>
      <c r="K2" s="15" t="s">
        <v>3635</v>
      </c>
      <c r="L2" s="16" t="s">
        <v>3636</v>
      </c>
      <c r="M2" s="16" t="s">
        <v>3637</v>
      </c>
    </row>
    <row r="3" spans="1:13" ht="15.75" customHeight="1">
      <c r="A3" s="19">
        <v>1</v>
      </c>
      <c r="B3" s="107" t="s">
        <v>3623</v>
      </c>
      <c r="C3" s="20" t="s">
        <v>227</v>
      </c>
      <c r="D3" s="20" t="s">
        <v>203</v>
      </c>
      <c r="E3" s="20" t="s">
        <v>45</v>
      </c>
      <c r="F3" s="21">
        <v>322</v>
      </c>
      <c r="G3" s="21">
        <v>10</v>
      </c>
      <c r="H3" s="21"/>
      <c r="I3" s="22">
        <v>332</v>
      </c>
      <c r="J3" s="108">
        <v>110.7</v>
      </c>
      <c r="K3" s="109">
        <v>1.3508</v>
      </c>
      <c r="L3" s="110" t="s">
        <v>3618</v>
      </c>
      <c r="M3" s="111" t="s">
        <v>3638</v>
      </c>
    </row>
    <row r="4" spans="1:13" ht="15.75" customHeight="1">
      <c r="A4" s="23">
        <v>2</v>
      </c>
      <c r="B4" s="107" t="s">
        <v>3623</v>
      </c>
      <c r="C4" s="24" t="s">
        <v>2398</v>
      </c>
      <c r="D4" s="24" t="s">
        <v>203</v>
      </c>
      <c r="E4" s="24" t="s">
        <v>2399</v>
      </c>
      <c r="F4" s="25"/>
      <c r="G4" s="25">
        <v>10</v>
      </c>
      <c r="H4" s="25">
        <v>260</v>
      </c>
      <c r="I4" s="22">
        <v>270</v>
      </c>
      <c r="J4" s="112">
        <v>90</v>
      </c>
      <c r="K4" s="109">
        <v>1.3364</v>
      </c>
      <c r="L4" s="110" t="s">
        <v>3618</v>
      </c>
      <c r="M4" s="111" t="s">
        <v>3638</v>
      </c>
    </row>
    <row r="5" spans="1:13" ht="15.75" customHeight="1">
      <c r="A5" s="19">
        <v>3</v>
      </c>
      <c r="B5" s="107" t="s">
        <v>3623</v>
      </c>
      <c r="C5" s="20" t="s">
        <v>359</v>
      </c>
      <c r="D5" s="20" t="s">
        <v>203</v>
      </c>
      <c r="E5" s="20" t="s">
        <v>360</v>
      </c>
      <c r="F5" s="21">
        <v>1200</v>
      </c>
      <c r="G5" s="21"/>
      <c r="H5" s="21">
        <v>80</v>
      </c>
      <c r="I5" s="22">
        <v>1280</v>
      </c>
      <c r="J5" s="108">
        <v>426.7</v>
      </c>
      <c r="K5" s="109">
        <v>1.2839</v>
      </c>
      <c r="L5" s="110" t="s">
        <v>3618</v>
      </c>
      <c r="M5" s="111" t="s">
        <v>3638</v>
      </c>
    </row>
    <row r="6" spans="1:13" ht="15.75" customHeight="1">
      <c r="A6" s="23">
        <v>4</v>
      </c>
      <c r="B6" s="107" t="s">
        <v>3623</v>
      </c>
      <c r="C6" s="24" t="s">
        <v>1901</v>
      </c>
      <c r="D6" s="24" t="s">
        <v>362</v>
      </c>
      <c r="E6" s="24" t="s">
        <v>1902</v>
      </c>
      <c r="F6" s="25">
        <v>41</v>
      </c>
      <c r="G6" s="25">
        <v>560</v>
      </c>
      <c r="H6" s="25">
        <v>40</v>
      </c>
      <c r="I6" s="22">
        <v>641</v>
      </c>
      <c r="J6" s="112">
        <v>213.7</v>
      </c>
      <c r="K6" s="109">
        <v>1.1462000000000001</v>
      </c>
      <c r="L6" s="110" t="s">
        <v>3618</v>
      </c>
      <c r="M6" s="111" t="s">
        <v>3638</v>
      </c>
    </row>
    <row r="7" spans="1:13" ht="15.75" customHeight="1">
      <c r="A7" s="19">
        <v>5</v>
      </c>
      <c r="B7" s="107" t="s">
        <v>3623</v>
      </c>
      <c r="C7" s="20" t="s">
        <v>258</v>
      </c>
      <c r="D7" s="20" t="s">
        <v>253</v>
      </c>
      <c r="E7" s="20" t="s">
        <v>259</v>
      </c>
      <c r="F7" s="21">
        <v>30</v>
      </c>
      <c r="G7" s="21">
        <v>4</v>
      </c>
      <c r="H7" s="21">
        <v>202</v>
      </c>
      <c r="I7" s="22">
        <v>236</v>
      </c>
      <c r="J7" s="108">
        <v>78.7</v>
      </c>
      <c r="K7" s="109">
        <v>1.1168</v>
      </c>
      <c r="L7" s="110" t="s">
        <v>3618</v>
      </c>
      <c r="M7" s="111" t="s">
        <v>3638</v>
      </c>
    </row>
    <row r="8" spans="1:13" ht="15.75" customHeight="1">
      <c r="A8" s="23">
        <v>6</v>
      </c>
      <c r="B8" s="107" t="s">
        <v>3623</v>
      </c>
      <c r="C8" s="24" t="s">
        <v>1939</v>
      </c>
      <c r="D8" s="24" t="s">
        <v>362</v>
      </c>
      <c r="E8" s="24" t="s">
        <v>1940</v>
      </c>
      <c r="F8" s="25">
        <v>50</v>
      </c>
      <c r="G8" s="25">
        <v>302</v>
      </c>
      <c r="H8" s="25">
        <v>2</v>
      </c>
      <c r="I8" s="22">
        <v>354</v>
      </c>
      <c r="J8" s="112">
        <v>118</v>
      </c>
      <c r="K8" s="109">
        <v>1.115</v>
      </c>
      <c r="L8" s="110" t="s">
        <v>3618</v>
      </c>
      <c r="M8" s="111" t="s">
        <v>3638</v>
      </c>
    </row>
    <row r="9" spans="1:13" ht="15.75" customHeight="1">
      <c r="A9" s="19">
        <v>7</v>
      </c>
      <c r="B9" s="107" t="s">
        <v>3623</v>
      </c>
      <c r="C9" s="20" t="s">
        <v>1919</v>
      </c>
      <c r="D9" s="20" t="s">
        <v>362</v>
      </c>
      <c r="E9" s="20" t="s">
        <v>1920</v>
      </c>
      <c r="F9" s="21">
        <v>20</v>
      </c>
      <c r="G9" s="21">
        <v>347</v>
      </c>
      <c r="H9" s="21">
        <v>50</v>
      </c>
      <c r="I9" s="22">
        <v>442</v>
      </c>
      <c r="J9" s="108">
        <v>139</v>
      </c>
      <c r="K9" s="109">
        <v>1.0618000000000001</v>
      </c>
      <c r="L9" s="110" t="s">
        <v>3618</v>
      </c>
      <c r="M9" s="111" t="s">
        <v>3638</v>
      </c>
    </row>
    <row r="10" spans="1:13" ht="15.75" customHeight="1">
      <c r="A10" s="23">
        <v>8</v>
      </c>
      <c r="B10" s="107" t="s">
        <v>3623</v>
      </c>
      <c r="C10" s="24" t="s">
        <v>2825</v>
      </c>
      <c r="D10" s="24" t="s">
        <v>362</v>
      </c>
      <c r="E10" s="24" t="s">
        <v>2826</v>
      </c>
      <c r="F10" s="25"/>
      <c r="G10" s="25">
        <v>178</v>
      </c>
      <c r="H10" s="25">
        <v>40</v>
      </c>
      <c r="I10" s="22">
        <v>218</v>
      </c>
      <c r="J10" s="112">
        <v>72.7</v>
      </c>
      <c r="K10" s="109">
        <v>1.0492999999999999</v>
      </c>
      <c r="L10" s="110" t="s">
        <v>3618</v>
      </c>
      <c r="M10" s="111" t="s">
        <v>3638</v>
      </c>
    </row>
    <row r="11" spans="1:13" ht="15.75" customHeight="1">
      <c r="A11" s="19">
        <v>9</v>
      </c>
      <c r="B11" s="107" t="s">
        <v>3623</v>
      </c>
      <c r="C11" s="20" t="s">
        <v>348</v>
      </c>
      <c r="D11" s="20" t="s">
        <v>203</v>
      </c>
      <c r="E11" s="20" t="s">
        <v>349</v>
      </c>
      <c r="F11" s="21">
        <v>190</v>
      </c>
      <c r="G11" s="21">
        <v>50</v>
      </c>
      <c r="H11" s="21">
        <v>970</v>
      </c>
      <c r="I11" s="22">
        <v>1210</v>
      </c>
      <c r="J11" s="108">
        <v>403.3</v>
      </c>
      <c r="K11" s="109">
        <v>1.0035000000000001</v>
      </c>
      <c r="L11" s="110" t="s">
        <v>3618</v>
      </c>
      <c r="M11" s="111" t="s">
        <v>3638</v>
      </c>
    </row>
    <row r="12" spans="1:13" ht="15.75" customHeight="1">
      <c r="A12" s="23">
        <v>10</v>
      </c>
      <c r="B12" s="107" t="s">
        <v>3623</v>
      </c>
      <c r="C12" s="24" t="s">
        <v>1897</v>
      </c>
      <c r="D12" s="24" t="s">
        <v>294</v>
      </c>
      <c r="E12" s="24" t="s">
        <v>1898</v>
      </c>
      <c r="F12" s="25">
        <v>20</v>
      </c>
      <c r="G12" s="25">
        <v>40</v>
      </c>
      <c r="H12" s="25">
        <v>247</v>
      </c>
      <c r="I12" s="22">
        <v>317</v>
      </c>
      <c r="J12" s="112">
        <v>102.3</v>
      </c>
      <c r="K12" s="109">
        <v>1.0027999999999999</v>
      </c>
      <c r="L12" s="110" t="s">
        <v>3618</v>
      </c>
      <c r="M12" s="111" t="s">
        <v>3638</v>
      </c>
    </row>
    <row r="13" spans="1:13" ht="15.75" customHeight="1">
      <c r="A13" s="19">
        <v>11</v>
      </c>
      <c r="B13" s="107" t="s">
        <v>3623</v>
      </c>
      <c r="C13" s="20" t="s">
        <v>1723</v>
      </c>
      <c r="D13" s="20" t="s">
        <v>203</v>
      </c>
      <c r="E13" s="20" t="s">
        <v>1724</v>
      </c>
      <c r="F13" s="21">
        <v>836</v>
      </c>
      <c r="G13" s="21">
        <v>148</v>
      </c>
      <c r="H13" s="21">
        <v>60</v>
      </c>
      <c r="I13" s="22">
        <v>1164</v>
      </c>
      <c r="J13" s="108">
        <v>348</v>
      </c>
      <c r="K13" s="109">
        <v>0.99690000000000001</v>
      </c>
      <c r="L13" s="110" t="s">
        <v>3618</v>
      </c>
      <c r="M13" s="111" t="s">
        <v>3638</v>
      </c>
    </row>
    <row r="14" spans="1:13" ht="15.75" customHeight="1">
      <c r="A14" s="23">
        <v>12</v>
      </c>
      <c r="B14" s="107" t="s">
        <v>3623</v>
      </c>
      <c r="C14" s="24" t="s">
        <v>1717</v>
      </c>
      <c r="D14" s="24" t="s">
        <v>203</v>
      </c>
      <c r="E14" s="24" t="s">
        <v>1718</v>
      </c>
      <c r="F14" s="25">
        <v>50</v>
      </c>
      <c r="G14" s="25">
        <v>703</v>
      </c>
      <c r="H14" s="25">
        <v>155</v>
      </c>
      <c r="I14" s="22">
        <v>943</v>
      </c>
      <c r="J14" s="112">
        <v>302.7</v>
      </c>
      <c r="K14" s="109">
        <v>0.94589999999999996</v>
      </c>
      <c r="L14" s="110" t="s">
        <v>3618</v>
      </c>
      <c r="M14" s="111" t="s">
        <v>3638</v>
      </c>
    </row>
    <row r="15" spans="1:13" ht="15.75" customHeight="1">
      <c r="A15" s="19">
        <v>13</v>
      </c>
      <c r="B15" s="107" t="s">
        <v>3623</v>
      </c>
      <c r="C15" s="20" t="s">
        <v>1915</v>
      </c>
      <c r="D15" s="20" t="s">
        <v>294</v>
      </c>
      <c r="E15" s="20" t="s">
        <v>1916</v>
      </c>
      <c r="F15" s="21">
        <v>100</v>
      </c>
      <c r="G15" s="21">
        <v>300</v>
      </c>
      <c r="H15" s="21"/>
      <c r="I15" s="22">
        <v>400</v>
      </c>
      <c r="J15" s="108">
        <v>133.30000000000001</v>
      </c>
      <c r="K15" s="109">
        <v>0.93540000000000001</v>
      </c>
      <c r="L15" s="110" t="s">
        <v>3618</v>
      </c>
      <c r="M15" s="111" t="s">
        <v>3638</v>
      </c>
    </row>
    <row r="16" spans="1:13" ht="15.75" customHeight="1">
      <c r="A16" s="23">
        <v>14</v>
      </c>
      <c r="B16" s="107" t="s">
        <v>3623</v>
      </c>
      <c r="C16" s="24" t="s">
        <v>1891</v>
      </c>
      <c r="D16" s="24" t="s">
        <v>294</v>
      </c>
      <c r="E16" s="24" t="s">
        <v>1892</v>
      </c>
      <c r="F16" s="25">
        <v>905</v>
      </c>
      <c r="G16" s="25">
        <v>90</v>
      </c>
      <c r="H16" s="25">
        <v>180</v>
      </c>
      <c r="I16" s="22">
        <v>1275</v>
      </c>
      <c r="J16" s="112">
        <v>391.7</v>
      </c>
      <c r="K16" s="109">
        <v>0.93149999999999999</v>
      </c>
      <c r="L16" s="110" t="s">
        <v>3618</v>
      </c>
      <c r="M16" s="111" t="s">
        <v>3638</v>
      </c>
    </row>
    <row r="17" spans="1:13" ht="15.75" customHeight="1">
      <c r="A17" s="19">
        <v>15</v>
      </c>
      <c r="B17" s="107" t="s">
        <v>3623</v>
      </c>
      <c r="C17" s="20" t="s">
        <v>291</v>
      </c>
      <c r="D17" s="20" t="s">
        <v>283</v>
      </c>
      <c r="E17" s="20" t="s">
        <v>24</v>
      </c>
      <c r="F17" s="21">
        <v>500</v>
      </c>
      <c r="G17" s="21">
        <v>150</v>
      </c>
      <c r="H17" s="21">
        <v>15</v>
      </c>
      <c r="I17" s="22">
        <v>665</v>
      </c>
      <c r="J17" s="108">
        <v>221.7</v>
      </c>
      <c r="K17" s="109">
        <v>0.92200000000000004</v>
      </c>
      <c r="L17" s="110" t="s">
        <v>3618</v>
      </c>
      <c r="M17" s="111" t="s">
        <v>3638</v>
      </c>
    </row>
    <row r="18" spans="1:13" ht="15.75" customHeight="1">
      <c r="A18" s="23">
        <v>16</v>
      </c>
      <c r="B18" s="107" t="s">
        <v>3623</v>
      </c>
      <c r="C18" s="24" t="s">
        <v>1899</v>
      </c>
      <c r="D18" s="24" t="s">
        <v>362</v>
      </c>
      <c r="E18" s="24" t="s">
        <v>1900</v>
      </c>
      <c r="F18" s="25">
        <v>30</v>
      </c>
      <c r="G18" s="25">
        <v>506</v>
      </c>
      <c r="H18" s="25">
        <v>145</v>
      </c>
      <c r="I18" s="22">
        <v>706</v>
      </c>
      <c r="J18" s="112">
        <v>227</v>
      </c>
      <c r="K18" s="109">
        <v>0.89339999999999997</v>
      </c>
      <c r="L18" s="110" t="s">
        <v>3618</v>
      </c>
      <c r="M18" s="111" t="s">
        <v>3638</v>
      </c>
    </row>
    <row r="19" spans="1:13" ht="15.75" customHeight="1">
      <c r="A19" s="19">
        <v>17</v>
      </c>
      <c r="B19" s="107" t="s">
        <v>3623</v>
      </c>
      <c r="C19" s="20" t="s">
        <v>1806</v>
      </c>
      <c r="D19" s="20" t="s">
        <v>253</v>
      </c>
      <c r="E19" s="20" t="s">
        <v>1807</v>
      </c>
      <c r="F19" s="21">
        <v>95</v>
      </c>
      <c r="G19" s="21">
        <v>51</v>
      </c>
      <c r="H19" s="21">
        <v>394</v>
      </c>
      <c r="I19" s="22">
        <v>550</v>
      </c>
      <c r="J19" s="108">
        <v>180</v>
      </c>
      <c r="K19" s="109">
        <v>0.84660000000000002</v>
      </c>
      <c r="L19" s="110" t="s">
        <v>3618</v>
      </c>
      <c r="M19" s="111" t="s">
        <v>3638</v>
      </c>
    </row>
    <row r="20" spans="1:13" ht="15.75" customHeight="1">
      <c r="A20" s="23">
        <v>18</v>
      </c>
      <c r="B20" s="107" t="s">
        <v>3623</v>
      </c>
      <c r="C20" s="24" t="s">
        <v>2838</v>
      </c>
      <c r="D20" s="24" t="s">
        <v>253</v>
      </c>
      <c r="E20" s="24" t="s">
        <v>2839</v>
      </c>
      <c r="F20" s="25"/>
      <c r="G20" s="25">
        <v>242</v>
      </c>
      <c r="H20" s="25">
        <v>120</v>
      </c>
      <c r="I20" s="22">
        <v>377</v>
      </c>
      <c r="J20" s="112">
        <v>120.7</v>
      </c>
      <c r="K20" s="109">
        <v>0.81879999999999997</v>
      </c>
      <c r="L20" s="110" t="s">
        <v>3618</v>
      </c>
      <c r="M20" s="111" t="s">
        <v>3638</v>
      </c>
    </row>
    <row r="21" spans="1:13" ht="15.75" customHeight="1">
      <c r="A21" s="19">
        <v>19</v>
      </c>
      <c r="B21" s="107" t="s">
        <v>3623</v>
      </c>
      <c r="C21" s="20" t="s">
        <v>1852</v>
      </c>
      <c r="D21" s="20" t="s">
        <v>278</v>
      </c>
      <c r="E21" s="20" t="s">
        <v>1853</v>
      </c>
      <c r="F21" s="21">
        <v>186</v>
      </c>
      <c r="G21" s="21">
        <v>78</v>
      </c>
      <c r="H21" s="21">
        <v>10</v>
      </c>
      <c r="I21" s="22">
        <v>374</v>
      </c>
      <c r="J21" s="108">
        <v>91.3</v>
      </c>
      <c r="K21" s="109">
        <v>0.79339999999999999</v>
      </c>
      <c r="L21" s="110" t="s">
        <v>3618</v>
      </c>
      <c r="M21" s="111" t="s">
        <v>3638</v>
      </c>
    </row>
    <row r="22" spans="1:13" ht="15.75" customHeight="1">
      <c r="A22" s="23">
        <v>20</v>
      </c>
      <c r="B22" s="107" t="s">
        <v>3623</v>
      </c>
      <c r="C22" s="24" t="s">
        <v>1867</v>
      </c>
      <c r="D22" s="24" t="s">
        <v>283</v>
      </c>
      <c r="E22" s="24" t="s">
        <v>1868</v>
      </c>
      <c r="F22" s="25">
        <v>270</v>
      </c>
      <c r="G22" s="25">
        <v>40</v>
      </c>
      <c r="H22" s="25">
        <v>80</v>
      </c>
      <c r="I22" s="22">
        <v>390</v>
      </c>
      <c r="J22" s="112">
        <v>130</v>
      </c>
      <c r="K22" s="109">
        <v>0.77180000000000004</v>
      </c>
      <c r="L22" s="110" t="s">
        <v>3618</v>
      </c>
      <c r="M22" s="111" t="s">
        <v>3638</v>
      </c>
    </row>
    <row r="23" spans="1:13" ht="15.75" customHeight="1">
      <c r="A23" s="19">
        <v>21</v>
      </c>
      <c r="B23" s="107" t="s">
        <v>3623</v>
      </c>
      <c r="C23" s="20" t="s">
        <v>1903</v>
      </c>
      <c r="D23" s="20" t="s">
        <v>362</v>
      </c>
      <c r="E23" s="20" t="s">
        <v>1904</v>
      </c>
      <c r="F23" s="21">
        <v>10</v>
      </c>
      <c r="G23" s="21">
        <v>122</v>
      </c>
      <c r="H23" s="21">
        <v>55</v>
      </c>
      <c r="I23" s="22">
        <v>187</v>
      </c>
      <c r="J23" s="108">
        <v>62.3</v>
      </c>
      <c r="K23" s="109">
        <v>0.73819999999999997</v>
      </c>
      <c r="L23" s="110" t="s">
        <v>3618</v>
      </c>
      <c r="M23" s="111" t="s">
        <v>3638</v>
      </c>
    </row>
    <row r="24" spans="1:13" ht="15.75" customHeight="1">
      <c r="A24" s="23">
        <v>22</v>
      </c>
      <c r="B24" s="107" t="s">
        <v>3623</v>
      </c>
      <c r="C24" s="24" t="s">
        <v>1715</v>
      </c>
      <c r="D24" s="24" t="s">
        <v>203</v>
      </c>
      <c r="E24" s="24" t="s">
        <v>1716</v>
      </c>
      <c r="F24" s="25">
        <v>150</v>
      </c>
      <c r="G24" s="25">
        <v>638</v>
      </c>
      <c r="H24" s="25">
        <v>150</v>
      </c>
      <c r="I24" s="22">
        <v>988</v>
      </c>
      <c r="J24" s="112">
        <v>312.7</v>
      </c>
      <c r="K24" s="109">
        <v>0.73580000000000001</v>
      </c>
      <c r="L24" s="110" t="s">
        <v>3618</v>
      </c>
      <c r="M24" s="111" t="s">
        <v>3638</v>
      </c>
    </row>
    <row r="25" spans="1:13" ht="15.75" customHeight="1">
      <c r="A25" s="19">
        <v>23</v>
      </c>
      <c r="B25" s="107" t="s">
        <v>3623</v>
      </c>
      <c r="C25" s="20" t="s">
        <v>379</v>
      </c>
      <c r="D25" s="20" t="s">
        <v>203</v>
      </c>
      <c r="E25" s="20" t="s">
        <v>380</v>
      </c>
      <c r="F25" s="21">
        <v>120</v>
      </c>
      <c r="G25" s="21">
        <v>10</v>
      </c>
      <c r="H25" s="21">
        <v>200</v>
      </c>
      <c r="I25" s="22">
        <v>330</v>
      </c>
      <c r="J25" s="108">
        <v>110</v>
      </c>
      <c r="K25" s="109">
        <v>0.70809999999999995</v>
      </c>
      <c r="L25" s="110" t="s">
        <v>3618</v>
      </c>
      <c r="M25" s="111" t="s">
        <v>3638</v>
      </c>
    </row>
    <row r="26" spans="1:13" ht="15.75" customHeight="1">
      <c r="A26" s="23">
        <v>24</v>
      </c>
      <c r="B26" s="107" t="s">
        <v>3623</v>
      </c>
      <c r="C26" s="24" t="s">
        <v>202</v>
      </c>
      <c r="D26" s="24" t="s">
        <v>203</v>
      </c>
      <c r="E26" s="24" t="s">
        <v>204</v>
      </c>
      <c r="F26" s="25">
        <v>100</v>
      </c>
      <c r="G26" s="25">
        <v>100</v>
      </c>
      <c r="H26" s="25"/>
      <c r="I26" s="22">
        <v>200</v>
      </c>
      <c r="J26" s="112">
        <v>66.7</v>
      </c>
      <c r="K26" s="109">
        <v>0.70709999999999995</v>
      </c>
      <c r="L26" s="110" t="s">
        <v>3618</v>
      </c>
      <c r="M26" s="111" t="s">
        <v>3638</v>
      </c>
    </row>
    <row r="27" spans="1:13" ht="15.75" customHeight="1">
      <c r="A27" s="19">
        <v>25</v>
      </c>
      <c r="B27" s="107" t="s">
        <v>3623</v>
      </c>
      <c r="C27" s="20" t="s">
        <v>1931</v>
      </c>
      <c r="D27" s="20" t="s">
        <v>362</v>
      </c>
      <c r="E27" s="20" t="s">
        <v>1932</v>
      </c>
      <c r="F27" s="21">
        <v>141</v>
      </c>
      <c r="G27" s="21">
        <v>504</v>
      </c>
      <c r="H27" s="21">
        <v>112</v>
      </c>
      <c r="I27" s="22">
        <v>757</v>
      </c>
      <c r="J27" s="108">
        <v>252.3</v>
      </c>
      <c r="K27" s="109">
        <v>0.70679999999999998</v>
      </c>
      <c r="L27" s="110" t="s">
        <v>3618</v>
      </c>
      <c r="M27" s="111" t="s">
        <v>3638</v>
      </c>
    </row>
    <row r="28" spans="1:13" ht="15.75" customHeight="1">
      <c r="A28" s="23">
        <v>26</v>
      </c>
      <c r="B28" s="107" t="s">
        <v>3623</v>
      </c>
      <c r="C28" s="24" t="s">
        <v>387</v>
      </c>
      <c r="D28" s="24" t="s">
        <v>169</v>
      </c>
      <c r="E28" s="24" t="s">
        <v>240</v>
      </c>
      <c r="F28" s="25">
        <v>130</v>
      </c>
      <c r="G28" s="25">
        <v>70</v>
      </c>
      <c r="H28" s="25">
        <v>10</v>
      </c>
      <c r="I28" s="22">
        <v>220</v>
      </c>
      <c r="J28" s="112">
        <v>70</v>
      </c>
      <c r="K28" s="109">
        <v>0.69989999999999997</v>
      </c>
      <c r="L28" s="110" t="s">
        <v>3618</v>
      </c>
      <c r="M28" s="111" t="s">
        <v>3638</v>
      </c>
    </row>
    <row r="29" spans="1:13" ht="15.75" customHeight="1">
      <c r="A29" s="19">
        <v>27</v>
      </c>
      <c r="B29" s="107" t="s">
        <v>3623</v>
      </c>
      <c r="C29" s="20" t="s">
        <v>1641</v>
      </c>
      <c r="D29" s="20" t="s">
        <v>169</v>
      </c>
      <c r="E29" s="20" t="s">
        <v>20</v>
      </c>
      <c r="F29" s="21">
        <v>159</v>
      </c>
      <c r="G29" s="21">
        <v>42</v>
      </c>
      <c r="H29" s="21">
        <v>40</v>
      </c>
      <c r="I29" s="22">
        <v>340</v>
      </c>
      <c r="J29" s="108">
        <v>80.3</v>
      </c>
      <c r="K29" s="109">
        <v>0.6925</v>
      </c>
      <c r="L29" s="110" t="s">
        <v>3618</v>
      </c>
      <c r="M29" s="111" t="s">
        <v>3638</v>
      </c>
    </row>
    <row r="30" spans="1:13" ht="15.75" customHeight="1">
      <c r="A30" s="23">
        <v>28</v>
      </c>
      <c r="B30" s="107" t="s">
        <v>3623</v>
      </c>
      <c r="C30" s="24" t="s">
        <v>1645</v>
      </c>
      <c r="D30" s="24" t="s">
        <v>169</v>
      </c>
      <c r="E30" s="24" t="s">
        <v>26</v>
      </c>
      <c r="F30" s="25">
        <v>280</v>
      </c>
      <c r="G30" s="25">
        <v>23</v>
      </c>
      <c r="H30" s="25">
        <v>169</v>
      </c>
      <c r="I30" s="22">
        <v>502</v>
      </c>
      <c r="J30" s="112">
        <v>157.30000000000001</v>
      </c>
      <c r="K30" s="109">
        <v>0.66890000000000005</v>
      </c>
      <c r="L30" s="110" t="s">
        <v>3618</v>
      </c>
      <c r="M30" s="111" t="s">
        <v>3638</v>
      </c>
    </row>
    <row r="31" spans="1:13" ht="15.75" customHeight="1">
      <c r="A31" s="19">
        <v>29</v>
      </c>
      <c r="B31" s="107" t="s">
        <v>3623</v>
      </c>
      <c r="C31" s="20" t="s">
        <v>377</v>
      </c>
      <c r="D31" s="20" t="s">
        <v>203</v>
      </c>
      <c r="E31" s="20" t="s">
        <v>378</v>
      </c>
      <c r="F31" s="21">
        <v>160</v>
      </c>
      <c r="G31" s="21">
        <v>60</v>
      </c>
      <c r="H31" s="21">
        <v>30</v>
      </c>
      <c r="I31" s="22">
        <v>250</v>
      </c>
      <c r="J31" s="108">
        <v>83.3</v>
      </c>
      <c r="K31" s="109">
        <v>0.66690000000000005</v>
      </c>
      <c r="L31" s="110" t="s">
        <v>3618</v>
      </c>
      <c r="M31" s="111" t="s">
        <v>3638</v>
      </c>
    </row>
    <row r="32" spans="1:13" ht="15.75" customHeight="1">
      <c r="A32" s="23">
        <v>30</v>
      </c>
      <c r="B32" s="107" t="s">
        <v>3623</v>
      </c>
      <c r="C32" s="24" t="s">
        <v>1604</v>
      </c>
      <c r="D32" s="24" t="s">
        <v>294</v>
      </c>
      <c r="E32" s="24" t="s">
        <v>1605</v>
      </c>
      <c r="F32" s="25">
        <v>10</v>
      </c>
      <c r="G32" s="25">
        <v>70</v>
      </c>
      <c r="H32" s="25">
        <v>110</v>
      </c>
      <c r="I32" s="22">
        <v>290</v>
      </c>
      <c r="J32" s="112">
        <v>63.3</v>
      </c>
      <c r="K32" s="109">
        <v>0.64890000000000003</v>
      </c>
      <c r="L32" s="110" t="s">
        <v>3618</v>
      </c>
      <c r="M32" s="111" t="s">
        <v>3638</v>
      </c>
    </row>
    <row r="33" spans="1:13" ht="15.75" customHeight="1">
      <c r="A33" s="19">
        <v>31</v>
      </c>
      <c r="B33" s="107" t="s">
        <v>3623</v>
      </c>
      <c r="C33" s="20" t="s">
        <v>1869</v>
      </c>
      <c r="D33" s="20" t="s">
        <v>283</v>
      </c>
      <c r="E33" s="20" t="s">
        <v>1870</v>
      </c>
      <c r="F33" s="21">
        <v>410</v>
      </c>
      <c r="G33" s="21">
        <v>170</v>
      </c>
      <c r="H33" s="21">
        <v>77</v>
      </c>
      <c r="I33" s="22">
        <v>727</v>
      </c>
      <c r="J33" s="108">
        <v>219</v>
      </c>
      <c r="K33" s="109">
        <v>0.64059999999999995</v>
      </c>
      <c r="L33" s="110" t="s">
        <v>3618</v>
      </c>
      <c r="M33" s="111" t="s">
        <v>3638</v>
      </c>
    </row>
    <row r="34" spans="1:13" ht="15.75" customHeight="1">
      <c r="A34" s="23">
        <v>32</v>
      </c>
      <c r="B34" s="107" t="s">
        <v>3623</v>
      </c>
      <c r="C34" s="24" t="s">
        <v>1602</v>
      </c>
      <c r="D34" s="24" t="s">
        <v>294</v>
      </c>
      <c r="E34" s="24" t="s">
        <v>1603</v>
      </c>
      <c r="F34" s="25">
        <v>180</v>
      </c>
      <c r="G34" s="25">
        <v>30</v>
      </c>
      <c r="H34" s="25">
        <v>85</v>
      </c>
      <c r="I34" s="22">
        <v>295</v>
      </c>
      <c r="J34" s="112">
        <v>98.3</v>
      </c>
      <c r="K34" s="109">
        <v>0.63009999999999999</v>
      </c>
      <c r="L34" s="110" t="s">
        <v>3618</v>
      </c>
      <c r="M34" s="111" t="s">
        <v>3638</v>
      </c>
    </row>
    <row r="35" spans="1:13" ht="15.75" customHeight="1">
      <c r="A35" s="19">
        <v>33</v>
      </c>
      <c r="B35" s="107" t="s">
        <v>3623</v>
      </c>
      <c r="C35" s="20" t="s">
        <v>1850</v>
      </c>
      <c r="D35" s="20" t="s">
        <v>278</v>
      </c>
      <c r="E35" s="20" t="s">
        <v>1851</v>
      </c>
      <c r="F35" s="21">
        <v>302</v>
      </c>
      <c r="G35" s="21">
        <v>70</v>
      </c>
      <c r="H35" s="21">
        <v>120</v>
      </c>
      <c r="I35" s="22">
        <v>667</v>
      </c>
      <c r="J35" s="108">
        <v>164</v>
      </c>
      <c r="K35" s="109">
        <v>0.6079</v>
      </c>
      <c r="L35" s="110" t="s">
        <v>3618</v>
      </c>
      <c r="M35" s="111" t="s">
        <v>3638</v>
      </c>
    </row>
    <row r="36" spans="1:13" ht="15.75" customHeight="1">
      <c r="A36" s="23">
        <v>34</v>
      </c>
      <c r="B36" s="107" t="s">
        <v>3623</v>
      </c>
      <c r="C36" s="24" t="s">
        <v>174</v>
      </c>
      <c r="D36" s="24" t="s">
        <v>169</v>
      </c>
      <c r="E36" s="24" t="s">
        <v>24</v>
      </c>
      <c r="F36" s="25">
        <v>125</v>
      </c>
      <c r="G36" s="25">
        <v>30</v>
      </c>
      <c r="H36" s="25">
        <v>51</v>
      </c>
      <c r="I36" s="22">
        <v>206</v>
      </c>
      <c r="J36" s="112">
        <v>68.7</v>
      </c>
      <c r="K36" s="109">
        <v>0.59340000000000004</v>
      </c>
      <c r="L36" s="110" t="s">
        <v>3618</v>
      </c>
      <c r="M36" s="111" t="s">
        <v>3638</v>
      </c>
    </row>
    <row r="37" spans="1:13" ht="15.75" customHeight="1">
      <c r="A37" s="19">
        <v>35</v>
      </c>
      <c r="B37" s="107" t="s">
        <v>3623</v>
      </c>
      <c r="C37" s="20" t="s">
        <v>1612</v>
      </c>
      <c r="D37" s="20" t="s">
        <v>180</v>
      </c>
      <c r="E37" s="20" t="s">
        <v>1613</v>
      </c>
      <c r="F37" s="21">
        <v>130</v>
      </c>
      <c r="G37" s="21">
        <v>81</v>
      </c>
      <c r="H37" s="21">
        <v>20</v>
      </c>
      <c r="I37" s="22">
        <v>269</v>
      </c>
      <c r="J37" s="108">
        <v>77</v>
      </c>
      <c r="K37" s="109">
        <v>0.58440000000000003</v>
      </c>
      <c r="L37" s="110" t="s">
        <v>3618</v>
      </c>
      <c r="M37" s="111" t="s">
        <v>3638</v>
      </c>
    </row>
    <row r="38" spans="1:13" ht="15.75" customHeight="1">
      <c r="A38" s="23">
        <v>36</v>
      </c>
      <c r="B38" s="107" t="s">
        <v>3623</v>
      </c>
      <c r="C38" s="24" t="s">
        <v>1752</v>
      </c>
      <c r="D38" s="24" t="s">
        <v>203</v>
      </c>
      <c r="E38" s="24" t="s">
        <v>1753</v>
      </c>
      <c r="F38" s="25">
        <v>142</v>
      </c>
      <c r="G38" s="25">
        <v>171</v>
      </c>
      <c r="H38" s="25">
        <v>483</v>
      </c>
      <c r="I38" s="22">
        <v>871</v>
      </c>
      <c r="J38" s="112">
        <v>265.3</v>
      </c>
      <c r="K38" s="109">
        <v>0.58179999999999998</v>
      </c>
      <c r="L38" s="110" t="s">
        <v>3618</v>
      </c>
      <c r="M38" s="111" t="s">
        <v>3638</v>
      </c>
    </row>
    <row r="39" spans="1:13" ht="15.75" customHeight="1">
      <c r="A39" s="19">
        <v>37</v>
      </c>
      <c r="B39" s="107" t="s">
        <v>3623</v>
      </c>
      <c r="C39" s="20" t="s">
        <v>1760</v>
      </c>
      <c r="D39" s="20" t="s">
        <v>244</v>
      </c>
      <c r="E39" s="20" t="s">
        <v>1761</v>
      </c>
      <c r="F39" s="21">
        <v>59</v>
      </c>
      <c r="G39" s="21">
        <v>129</v>
      </c>
      <c r="H39" s="21">
        <v>272</v>
      </c>
      <c r="I39" s="22">
        <v>480</v>
      </c>
      <c r="J39" s="108">
        <v>153.30000000000001</v>
      </c>
      <c r="K39" s="109">
        <v>0.57809999999999995</v>
      </c>
      <c r="L39" s="110" t="s">
        <v>3618</v>
      </c>
      <c r="M39" s="111" t="s">
        <v>3638</v>
      </c>
    </row>
    <row r="40" spans="1:13" ht="15.75" customHeight="1">
      <c r="A40" s="23">
        <v>38</v>
      </c>
      <c r="B40" s="107" t="s">
        <v>3623</v>
      </c>
      <c r="C40" s="24" t="s">
        <v>1573</v>
      </c>
      <c r="D40" s="24" t="s">
        <v>253</v>
      </c>
      <c r="E40" s="24" t="s">
        <v>1574</v>
      </c>
      <c r="F40" s="25">
        <v>20</v>
      </c>
      <c r="G40" s="25">
        <v>93</v>
      </c>
      <c r="H40" s="25">
        <v>130</v>
      </c>
      <c r="I40" s="22">
        <v>293</v>
      </c>
      <c r="J40" s="112">
        <v>81</v>
      </c>
      <c r="K40" s="109">
        <v>0.56420000000000003</v>
      </c>
      <c r="L40" s="110" t="s">
        <v>3618</v>
      </c>
      <c r="M40" s="111" t="s">
        <v>3638</v>
      </c>
    </row>
    <row r="41" spans="1:13" ht="15.75" customHeight="1">
      <c r="A41" s="19">
        <v>39</v>
      </c>
      <c r="B41" s="107" t="s">
        <v>3623</v>
      </c>
      <c r="C41" s="20" t="s">
        <v>226</v>
      </c>
      <c r="D41" s="20" t="s">
        <v>203</v>
      </c>
      <c r="E41" s="20" t="s">
        <v>121</v>
      </c>
      <c r="F41" s="21">
        <v>80</v>
      </c>
      <c r="G41" s="21">
        <v>100</v>
      </c>
      <c r="H41" s="21">
        <v>250</v>
      </c>
      <c r="I41" s="22">
        <v>430</v>
      </c>
      <c r="J41" s="108">
        <v>143.30000000000001</v>
      </c>
      <c r="K41" s="109">
        <v>0.52929999999999999</v>
      </c>
      <c r="L41" s="110" t="s">
        <v>3618</v>
      </c>
      <c r="M41" s="111" t="s">
        <v>3638</v>
      </c>
    </row>
    <row r="42" spans="1:13" ht="15.75" customHeight="1">
      <c r="A42" s="23">
        <v>40</v>
      </c>
      <c r="B42" s="107" t="s">
        <v>3623</v>
      </c>
      <c r="C42" s="24" t="s">
        <v>1696</v>
      </c>
      <c r="D42" s="24" t="s">
        <v>211</v>
      </c>
      <c r="E42" s="24" t="s">
        <v>1697</v>
      </c>
      <c r="F42" s="25">
        <v>257</v>
      </c>
      <c r="G42" s="25">
        <v>103</v>
      </c>
      <c r="H42" s="25">
        <v>444</v>
      </c>
      <c r="I42" s="22">
        <v>814</v>
      </c>
      <c r="J42" s="112">
        <v>268</v>
      </c>
      <c r="K42" s="109">
        <v>0.52029999999999998</v>
      </c>
      <c r="L42" s="110" t="s">
        <v>3618</v>
      </c>
      <c r="M42" s="111" t="s">
        <v>3638</v>
      </c>
    </row>
    <row r="43" spans="1:13" ht="15.75" customHeight="1">
      <c r="A43" s="19">
        <v>41</v>
      </c>
      <c r="B43" s="107" t="s">
        <v>3623</v>
      </c>
      <c r="C43" s="20" t="s">
        <v>1758</v>
      </c>
      <c r="D43" s="20" t="s">
        <v>244</v>
      </c>
      <c r="E43" s="20" t="s">
        <v>1759</v>
      </c>
      <c r="F43" s="21">
        <v>120</v>
      </c>
      <c r="G43" s="21">
        <v>87</v>
      </c>
      <c r="H43" s="21">
        <v>280</v>
      </c>
      <c r="I43" s="22">
        <v>637</v>
      </c>
      <c r="J43" s="108">
        <v>162.30000000000001</v>
      </c>
      <c r="K43" s="109">
        <v>0.51919999999999999</v>
      </c>
      <c r="L43" s="110" t="s">
        <v>3618</v>
      </c>
      <c r="M43" s="111" t="s">
        <v>3638</v>
      </c>
    </row>
    <row r="44" spans="1:13" ht="15.75" customHeight="1">
      <c r="A44" s="23">
        <v>42</v>
      </c>
      <c r="B44" s="107" t="s">
        <v>3623</v>
      </c>
      <c r="C44" s="24" t="s">
        <v>1681</v>
      </c>
      <c r="D44" s="24" t="s">
        <v>206</v>
      </c>
      <c r="E44" s="24" t="s">
        <v>1682</v>
      </c>
      <c r="F44" s="25">
        <v>75</v>
      </c>
      <c r="G44" s="25">
        <v>85</v>
      </c>
      <c r="H44" s="25">
        <v>16</v>
      </c>
      <c r="I44" s="22">
        <v>205</v>
      </c>
      <c r="J44" s="112">
        <v>58.7</v>
      </c>
      <c r="K44" s="109">
        <v>0.51890000000000003</v>
      </c>
      <c r="L44" s="110" t="s">
        <v>3618</v>
      </c>
      <c r="M44" s="111" t="s">
        <v>3638</v>
      </c>
    </row>
    <row r="45" spans="1:13" ht="15.75" customHeight="1">
      <c r="A45" s="19">
        <v>43</v>
      </c>
      <c r="B45" s="107" t="s">
        <v>3623</v>
      </c>
      <c r="C45" s="20" t="s">
        <v>219</v>
      </c>
      <c r="D45" s="20" t="s">
        <v>203</v>
      </c>
      <c r="E45" s="20" t="s">
        <v>20</v>
      </c>
      <c r="F45" s="21">
        <v>505</v>
      </c>
      <c r="G45" s="21">
        <v>170</v>
      </c>
      <c r="H45" s="21">
        <v>200</v>
      </c>
      <c r="I45" s="22">
        <v>975</v>
      </c>
      <c r="J45" s="108">
        <v>291.7</v>
      </c>
      <c r="K45" s="109">
        <v>0.51890000000000003</v>
      </c>
      <c r="L45" s="110" t="s">
        <v>3618</v>
      </c>
      <c r="M45" s="111" t="s">
        <v>3638</v>
      </c>
    </row>
    <row r="46" spans="1:13" ht="15.75" customHeight="1">
      <c r="A46" s="23">
        <v>44</v>
      </c>
      <c r="B46" s="107" t="s">
        <v>3623</v>
      </c>
      <c r="C46" s="24" t="s">
        <v>1808</v>
      </c>
      <c r="D46" s="24" t="s">
        <v>263</v>
      </c>
      <c r="E46" s="24" t="s">
        <v>1809</v>
      </c>
      <c r="F46" s="25">
        <v>135</v>
      </c>
      <c r="G46" s="25">
        <v>35</v>
      </c>
      <c r="H46" s="25">
        <v>70</v>
      </c>
      <c r="I46" s="22">
        <v>240</v>
      </c>
      <c r="J46" s="112">
        <v>80</v>
      </c>
      <c r="K46" s="109">
        <v>0.51790000000000003</v>
      </c>
      <c r="L46" s="110" t="s">
        <v>3618</v>
      </c>
      <c r="M46" s="111" t="s">
        <v>3638</v>
      </c>
    </row>
    <row r="47" spans="1:13" ht="15.75" customHeight="1">
      <c r="A47" s="19">
        <v>45</v>
      </c>
      <c r="B47" s="107" t="s">
        <v>3623</v>
      </c>
      <c r="C47" s="20" t="s">
        <v>239</v>
      </c>
      <c r="D47" s="20" t="s">
        <v>203</v>
      </c>
      <c r="E47" s="20" t="s">
        <v>240</v>
      </c>
      <c r="F47" s="21">
        <v>1950</v>
      </c>
      <c r="G47" s="21">
        <v>950</v>
      </c>
      <c r="H47" s="21">
        <v>550</v>
      </c>
      <c r="I47" s="22">
        <v>4450</v>
      </c>
      <c r="J47" s="108">
        <v>1150</v>
      </c>
      <c r="K47" s="109">
        <v>0.51200000000000001</v>
      </c>
      <c r="L47" s="110" t="s">
        <v>3618</v>
      </c>
      <c r="M47" s="111" t="s">
        <v>3638</v>
      </c>
    </row>
    <row r="48" spans="1:13" ht="15.75" customHeight="1">
      <c r="A48" s="23">
        <v>46</v>
      </c>
      <c r="B48" s="107" t="s">
        <v>3623</v>
      </c>
      <c r="C48" s="24" t="s">
        <v>1567</v>
      </c>
      <c r="D48" s="24" t="s">
        <v>244</v>
      </c>
      <c r="E48" s="24" t="s">
        <v>1568</v>
      </c>
      <c r="F48" s="25">
        <v>50</v>
      </c>
      <c r="G48" s="25">
        <v>2</v>
      </c>
      <c r="H48" s="25"/>
      <c r="I48" s="22">
        <v>52</v>
      </c>
      <c r="J48" s="112">
        <v>17.3</v>
      </c>
      <c r="K48" s="113">
        <v>1.3334999999999999</v>
      </c>
      <c r="L48" s="114" t="s">
        <v>3619</v>
      </c>
      <c r="M48" s="115" t="s">
        <v>3639</v>
      </c>
    </row>
    <row r="49" spans="1:13" ht="15.75" customHeight="1">
      <c r="A49" s="19">
        <v>47</v>
      </c>
      <c r="B49" s="107" t="s">
        <v>3623</v>
      </c>
      <c r="C49" s="20" t="s">
        <v>1513</v>
      </c>
      <c r="D49" s="20" t="s">
        <v>169</v>
      </c>
      <c r="E49" s="20" t="s">
        <v>190</v>
      </c>
      <c r="F49" s="21">
        <v>22</v>
      </c>
      <c r="G49" s="21">
        <v>1</v>
      </c>
      <c r="H49" s="21"/>
      <c r="I49" s="22">
        <v>23</v>
      </c>
      <c r="J49" s="108">
        <v>7.7</v>
      </c>
      <c r="K49" s="113">
        <v>1.3230999999999999</v>
      </c>
      <c r="L49" s="114" t="s">
        <v>3619</v>
      </c>
      <c r="M49" s="115" t="s">
        <v>3639</v>
      </c>
    </row>
    <row r="50" spans="1:13" ht="15.75" customHeight="1">
      <c r="A50" s="23">
        <v>48</v>
      </c>
      <c r="B50" s="107" t="s">
        <v>3623</v>
      </c>
      <c r="C50" s="24" t="s">
        <v>434</v>
      </c>
      <c r="D50" s="24" t="s">
        <v>206</v>
      </c>
      <c r="E50" s="24" t="s">
        <v>435</v>
      </c>
      <c r="F50" s="25">
        <v>1</v>
      </c>
      <c r="G50" s="25">
        <v>20</v>
      </c>
      <c r="H50" s="25"/>
      <c r="I50" s="22">
        <v>21</v>
      </c>
      <c r="J50" s="112">
        <v>7</v>
      </c>
      <c r="K50" s="113">
        <v>1.3145</v>
      </c>
      <c r="L50" s="114" t="s">
        <v>3619</v>
      </c>
      <c r="M50" s="115" t="s">
        <v>3639</v>
      </c>
    </row>
    <row r="51" spans="1:13" ht="15.75" customHeight="1">
      <c r="A51" s="19">
        <v>49</v>
      </c>
      <c r="B51" s="107" t="s">
        <v>3623</v>
      </c>
      <c r="C51" s="20" t="s">
        <v>1721</v>
      </c>
      <c r="D51" s="20" t="s">
        <v>203</v>
      </c>
      <c r="E51" s="20" t="s">
        <v>1722</v>
      </c>
      <c r="F51" s="21">
        <v>3</v>
      </c>
      <c r="G51" s="21">
        <v>50</v>
      </c>
      <c r="H51" s="21"/>
      <c r="I51" s="22">
        <v>53</v>
      </c>
      <c r="J51" s="108">
        <v>17.7</v>
      </c>
      <c r="K51" s="113">
        <v>1.296</v>
      </c>
      <c r="L51" s="114" t="s">
        <v>3619</v>
      </c>
      <c r="M51" s="115" t="s">
        <v>3639</v>
      </c>
    </row>
    <row r="52" spans="1:13" ht="15.75" customHeight="1">
      <c r="A52" s="23">
        <v>50</v>
      </c>
      <c r="B52" s="107" t="s">
        <v>3623</v>
      </c>
      <c r="C52" s="24" t="s">
        <v>181</v>
      </c>
      <c r="D52" s="24" t="s">
        <v>180</v>
      </c>
      <c r="E52" s="24" t="s">
        <v>182</v>
      </c>
      <c r="F52" s="25">
        <v>160</v>
      </c>
      <c r="G52" s="25">
        <v>10</v>
      </c>
      <c r="H52" s="25"/>
      <c r="I52" s="22">
        <v>170</v>
      </c>
      <c r="J52" s="112">
        <v>56.7</v>
      </c>
      <c r="K52" s="113">
        <v>1.2914000000000001</v>
      </c>
      <c r="L52" s="114" t="s">
        <v>3619</v>
      </c>
      <c r="M52" s="115" t="s">
        <v>3639</v>
      </c>
    </row>
    <row r="53" spans="1:13" ht="15.75" customHeight="1">
      <c r="A53" s="19">
        <v>51</v>
      </c>
      <c r="B53" s="107" t="s">
        <v>3623</v>
      </c>
      <c r="C53" s="20" t="s">
        <v>200</v>
      </c>
      <c r="D53" s="20" t="s">
        <v>198</v>
      </c>
      <c r="E53" s="20" t="s">
        <v>45</v>
      </c>
      <c r="F53" s="21">
        <v>55</v>
      </c>
      <c r="G53" s="21">
        <v>4</v>
      </c>
      <c r="H53" s="21"/>
      <c r="I53" s="22">
        <v>59</v>
      </c>
      <c r="J53" s="108">
        <v>19.7</v>
      </c>
      <c r="K53" s="113">
        <v>1.2730999999999999</v>
      </c>
      <c r="L53" s="114" t="s">
        <v>3619</v>
      </c>
      <c r="M53" s="115" t="s">
        <v>3639</v>
      </c>
    </row>
    <row r="54" spans="1:13" ht="15.75" customHeight="1">
      <c r="A54" s="23">
        <v>52</v>
      </c>
      <c r="B54" s="107" t="s">
        <v>3623</v>
      </c>
      <c r="C54" s="24" t="s">
        <v>1606</v>
      </c>
      <c r="D54" s="24" t="s">
        <v>180</v>
      </c>
      <c r="E54" s="24" t="s">
        <v>1607</v>
      </c>
      <c r="F54" s="25">
        <v>38</v>
      </c>
      <c r="G54" s="25">
        <v>3</v>
      </c>
      <c r="H54" s="25"/>
      <c r="I54" s="22">
        <v>41</v>
      </c>
      <c r="J54" s="112">
        <v>13.7</v>
      </c>
      <c r="K54" s="113">
        <v>1.2622</v>
      </c>
      <c r="L54" s="114" t="s">
        <v>3619</v>
      </c>
      <c r="M54" s="115" t="s">
        <v>3639</v>
      </c>
    </row>
    <row r="55" spans="1:13" ht="15.75" customHeight="1">
      <c r="A55" s="19">
        <v>53</v>
      </c>
      <c r="B55" s="107" t="s">
        <v>3623</v>
      </c>
      <c r="C55" s="20" t="s">
        <v>183</v>
      </c>
      <c r="D55" s="20" t="s">
        <v>180</v>
      </c>
      <c r="E55" s="20" t="s">
        <v>184</v>
      </c>
      <c r="F55" s="21">
        <v>7</v>
      </c>
      <c r="G55" s="21">
        <v>84</v>
      </c>
      <c r="H55" s="21"/>
      <c r="I55" s="22">
        <v>91</v>
      </c>
      <c r="J55" s="108">
        <v>30.3</v>
      </c>
      <c r="K55" s="113">
        <v>1.2545999999999999</v>
      </c>
      <c r="L55" s="114" t="s">
        <v>3619</v>
      </c>
      <c r="M55" s="115" t="s">
        <v>3639</v>
      </c>
    </row>
    <row r="56" spans="1:13" ht="15.75" customHeight="1">
      <c r="A56" s="23">
        <v>54</v>
      </c>
      <c r="B56" s="107" t="s">
        <v>3623</v>
      </c>
      <c r="C56" s="24" t="s">
        <v>274</v>
      </c>
      <c r="D56" s="24" t="s">
        <v>271</v>
      </c>
      <c r="E56" s="24" t="s">
        <v>121</v>
      </c>
      <c r="F56" s="25">
        <v>10</v>
      </c>
      <c r="G56" s="25"/>
      <c r="H56" s="25">
        <v>1</v>
      </c>
      <c r="I56" s="22">
        <v>11</v>
      </c>
      <c r="J56" s="112">
        <v>3.7</v>
      </c>
      <c r="K56" s="113">
        <v>1.2263999999999999</v>
      </c>
      <c r="L56" s="114" t="s">
        <v>3619</v>
      </c>
      <c r="M56" s="115" t="s">
        <v>3639</v>
      </c>
    </row>
    <row r="57" spans="1:13" ht="15.75" customHeight="1">
      <c r="A57" s="19">
        <v>55</v>
      </c>
      <c r="B57" s="107" t="s">
        <v>3623</v>
      </c>
      <c r="C57" s="20" t="s">
        <v>313</v>
      </c>
      <c r="D57" s="20" t="s">
        <v>169</v>
      </c>
      <c r="E57" s="20" t="s">
        <v>259</v>
      </c>
      <c r="F57" s="21">
        <v>40</v>
      </c>
      <c r="G57" s="21">
        <v>4</v>
      </c>
      <c r="H57" s="21"/>
      <c r="I57" s="22">
        <v>64</v>
      </c>
      <c r="J57" s="108">
        <v>14.7</v>
      </c>
      <c r="K57" s="113">
        <v>1.2263999999999999</v>
      </c>
      <c r="L57" s="114" t="s">
        <v>3619</v>
      </c>
      <c r="M57" s="115" t="s">
        <v>3639</v>
      </c>
    </row>
    <row r="58" spans="1:13" ht="15.75" customHeight="1">
      <c r="A58" s="23">
        <v>56</v>
      </c>
      <c r="B58" s="107" t="s">
        <v>3623</v>
      </c>
      <c r="C58" s="24" t="s">
        <v>2836</v>
      </c>
      <c r="D58" s="24" t="s">
        <v>194</v>
      </c>
      <c r="E58" s="24" t="s">
        <v>2837</v>
      </c>
      <c r="F58" s="25"/>
      <c r="G58" s="25">
        <v>1</v>
      </c>
      <c r="H58" s="25">
        <v>10</v>
      </c>
      <c r="I58" s="22">
        <v>11</v>
      </c>
      <c r="J58" s="112">
        <v>3.7</v>
      </c>
      <c r="K58" s="113">
        <v>1.2263999999999999</v>
      </c>
      <c r="L58" s="114" t="s">
        <v>3619</v>
      </c>
      <c r="M58" s="115" t="s">
        <v>3639</v>
      </c>
    </row>
    <row r="59" spans="1:13" ht="15.75" customHeight="1">
      <c r="A59" s="19">
        <v>57</v>
      </c>
      <c r="B59" s="107" t="s">
        <v>3623</v>
      </c>
      <c r="C59" s="20" t="s">
        <v>177</v>
      </c>
      <c r="D59" s="20" t="s">
        <v>169</v>
      </c>
      <c r="E59" s="20" t="s">
        <v>50</v>
      </c>
      <c r="F59" s="21">
        <v>39</v>
      </c>
      <c r="G59" s="21">
        <v>4</v>
      </c>
      <c r="H59" s="21"/>
      <c r="I59" s="22">
        <v>43</v>
      </c>
      <c r="J59" s="108">
        <v>14.3</v>
      </c>
      <c r="K59" s="113">
        <v>1.2222</v>
      </c>
      <c r="L59" s="114" t="s">
        <v>3619</v>
      </c>
      <c r="M59" s="115" t="s">
        <v>3639</v>
      </c>
    </row>
    <row r="60" spans="1:13" ht="15.75" customHeight="1">
      <c r="A60" s="23">
        <v>58</v>
      </c>
      <c r="B60" s="107" t="s">
        <v>3623</v>
      </c>
      <c r="C60" s="24" t="s">
        <v>288</v>
      </c>
      <c r="D60" s="24" t="s">
        <v>283</v>
      </c>
      <c r="E60" s="24" t="s">
        <v>22</v>
      </c>
      <c r="F60" s="25">
        <v>54</v>
      </c>
      <c r="G60" s="25">
        <v>6</v>
      </c>
      <c r="H60" s="25"/>
      <c r="I60" s="22">
        <v>60</v>
      </c>
      <c r="J60" s="112">
        <v>20</v>
      </c>
      <c r="K60" s="113">
        <v>1.2082999999999999</v>
      </c>
      <c r="L60" s="114" t="s">
        <v>3619</v>
      </c>
      <c r="M60" s="115" t="s">
        <v>3639</v>
      </c>
    </row>
    <row r="61" spans="1:13" ht="15.75" customHeight="1">
      <c r="A61" s="19">
        <v>59</v>
      </c>
      <c r="B61" s="107" t="s">
        <v>3623</v>
      </c>
      <c r="C61" s="20" t="s">
        <v>282</v>
      </c>
      <c r="D61" s="20" t="s">
        <v>283</v>
      </c>
      <c r="E61" s="20" t="s">
        <v>284</v>
      </c>
      <c r="F61" s="21">
        <v>27</v>
      </c>
      <c r="G61" s="21"/>
      <c r="H61" s="21">
        <v>3</v>
      </c>
      <c r="I61" s="22">
        <v>30</v>
      </c>
      <c r="J61" s="108">
        <v>10</v>
      </c>
      <c r="K61" s="113">
        <v>1.2082999999999999</v>
      </c>
      <c r="L61" s="114" t="s">
        <v>3619</v>
      </c>
      <c r="M61" s="115" t="s">
        <v>3639</v>
      </c>
    </row>
    <row r="62" spans="1:13" ht="15.75" customHeight="1">
      <c r="A62" s="23">
        <v>60</v>
      </c>
      <c r="B62" s="107" t="s">
        <v>3623</v>
      </c>
      <c r="C62" s="24" t="s">
        <v>363</v>
      </c>
      <c r="D62" s="24" t="s">
        <v>169</v>
      </c>
      <c r="E62" s="24" t="s">
        <v>53</v>
      </c>
      <c r="F62" s="25">
        <v>26</v>
      </c>
      <c r="G62" s="25"/>
      <c r="H62" s="25">
        <v>3</v>
      </c>
      <c r="I62" s="22">
        <v>29</v>
      </c>
      <c r="J62" s="112">
        <v>9.6999999999999993</v>
      </c>
      <c r="K62" s="113">
        <v>1.2015</v>
      </c>
      <c r="L62" s="114" t="s">
        <v>3619</v>
      </c>
      <c r="M62" s="115" t="s">
        <v>3639</v>
      </c>
    </row>
    <row r="63" spans="1:13" ht="15.75" customHeight="1">
      <c r="A63" s="19">
        <v>61</v>
      </c>
      <c r="B63" s="107" t="s">
        <v>3623</v>
      </c>
      <c r="C63" s="20" t="s">
        <v>2866</v>
      </c>
      <c r="D63" s="20" t="s">
        <v>211</v>
      </c>
      <c r="E63" s="20" t="s">
        <v>1578</v>
      </c>
      <c r="F63" s="21"/>
      <c r="G63" s="21">
        <v>34</v>
      </c>
      <c r="H63" s="21">
        <v>4</v>
      </c>
      <c r="I63" s="22">
        <v>43</v>
      </c>
      <c r="J63" s="108">
        <v>12.7</v>
      </c>
      <c r="K63" s="113">
        <v>1.1979</v>
      </c>
      <c r="L63" s="114" t="s">
        <v>3619</v>
      </c>
      <c r="M63" s="115" t="s">
        <v>3639</v>
      </c>
    </row>
    <row r="64" spans="1:13" ht="15.75" customHeight="1">
      <c r="A64" s="23">
        <v>62</v>
      </c>
      <c r="B64" s="107" t="s">
        <v>3623</v>
      </c>
      <c r="C64" s="24" t="s">
        <v>1659</v>
      </c>
      <c r="D64" s="24" t="s">
        <v>1649</v>
      </c>
      <c r="E64" s="24" t="s">
        <v>1660</v>
      </c>
      <c r="F64" s="25">
        <v>70</v>
      </c>
      <c r="G64" s="25"/>
      <c r="H64" s="25">
        <v>9</v>
      </c>
      <c r="I64" s="22">
        <v>79</v>
      </c>
      <c r="J64" s="112">
        <v>26.3</v>
      </c>
      <c r="K64" s="113">
        <v>1.1808000000000001</v>
      </c>
      <c r="L64" s="114" t="s">
        <v>3619</v>
      </c>
      <c r="M64" s="115" t="s">
        <v>3639</v>
      </c>
    </row>
    <row r="65" spans="1:13" ht="15.75" customHeight="1">
      <c r="A65" s="19">
        <v>63</v>
      </c>
      <c r="B65" s="107" t="s">
        <v>3623</v>
      </c>
      <c r="C65" s="20" t="s">
        <v>1655</v>
      </c>
      <c r="D65" s="20" t="s">
        <v>1649</v>
      </c>
      <c r="E65" s="20" t="s">
        <v>1656</v>
      </c>
      <c r="F65" s="21">
        <v>5</v>
      </c>
      <c r="G65" s="21">
        <v>30</v>
      </c>
      <c r="H65" s="21"/>
      <c r="I65" s="22">
        <v>35</v>
      </c>
      <c r="J65" s="108">
        <v>11.7</v>
      </c>
      <c r="K65" s="113">
        <v>1.1249</v>
      </c>
      <c r="L65" s="114" t="s">
        <v>3619</v>
      </c>
      <c r="M65" s="115" t="s">
        <v>3639</v>
      </c>
    </row>
    <row r="66" spans="1:13" ht="15.75" customHeight="1">
      <c r="A66" s="23">
        <v>64</v>
      </c>
      <c r="B66" s="107" t="s">
        <v>3623</v>
      </c>
      <c r="C66" s="24" t="s">
        <v>264</v>
      </c>
      <c r="D66" s="24" t="s">
        <v>263</v>
      </c>
      <c r="E66" s="24" t="s">
        <v>42</v>
      </c>
      <c r="F66" s="25">
        <v>56</v>
      </c>
      <c r="G66" s="25"/>
      <c r="H66" s="25">
        <v>10</v>
      </c>
      <c r="I66" s="22">
        <v>66</v>
      </c>
      <c r="J66" s="112">
        <v>22</v>
      </c>
      <c r="K66" s="113">
        <v>1.1084000000000001</v>
      </c>
      <c r="L66" s="114" t="s">
        <v>3619</v>
      </c>
      <c r="M66" s="115" t="s">
        <v>3639</v>
      </c>
    </row>
    <row r="67" spans="1:13" ht="15.75" customHeight="1">
      <c r="A67" s="19">
        <v>65</v>
      </c>
      <c r="B67" s="107" t="s">
        <v>3623</v>
      </c>
      <c r="C67" s="20" t="s">
        <v>292</v>
      </c>
      <c r="D67" s="20" t="s">
        <v>283</v>
      </c>
      <c r="E67" s="20" t="s">
        <v>26</v>
      </c>
      <c r="F67" s="21">
        <v>32</v>
      </c>
      <c r="G67" s="21"/>
      <c r="H67" s="21">
        <v>6</v>
      </c>
      <c r="I67" s="22">
        <v>38</v>
      </c>
      <c r="J67" s="108">
        <v>12.7</v>
      </c>
      <c r="K67" s="113">
        <v>1.0965</v>
      </c>
      <c r="L67" s="114" t="s">
        <v>3619</v>
      </c>
      <c r="M67" s="115" t="s">
        <v>3639</v>
      </c>
    </row>
    <row r="68" spans="1:13" ht="15.75" customHeight="1">
      <c r="A68" s="23">
        <v>66</v>
      </c>
      <c r="B68" s="107" t="s">
        <v>3623</v>
      </c>
      <c r="C68" s="24" t="s">
        <v>243</v>
      </c>
      <c r="D68" s="24" t="s">
        <v>244</v>
      </c>
      <c r="E68" s="24" t="s">
        <v>20</v>
      </c>
      <c r="F68" s="25">
        <v>21</v>
      </c>
      <c r="G68" s="25"/>
      <c r="H68" s="25">
        <v>4</v>
      </c>
      <c r="I68" s="22">
        <v>25</v>
      </c>
      <c r="J68" s="112">
        <v>8.3000000000000007</v>
      </c>
      <c r="K68" s="113">
        <v>1.0925</v>
      </c>
      <c r="L68" s="114" t="s">
        <v>3619</v>
      </c>
      <c r="M68" s="115" t="s">
        <v>3639</v>
      </c>
    </row>
    <row r="69" spans="1:13" ht="15.75" customHeight="1">
      <c r="A69" s="19">
        <v>67</v>
      </c>
      <c r="B69" s="107" t="s">
        <v>3623</v>
      </c>
      <c r="C69" s="20" t="s">
        <v>1944</v>
      </c>
      <c r="D69" s="20" t="s">
        <v>1943</v>
      </c>
      <c r="E69" s="20" t="s">
        <v>1909</v>
      </c>
      <c r="F69" s="21">
        <v>5</v>
      </c>
      <c r="G69" s="21">
        <v>1</v>
      </c>
      <c r="H69" s="21"/>
      <c r="I69" s="22">
        <v>6</v>
      </c>
      <c r="J69" s="108">
        <v>2</v>
      </c>
      <c r="K69" s="113">
        <v>1.0801000000000001</v>
      </c>
      <c r="L69" s="114" t="s">
        <v>3619</v>
      </c>
      <c r="M69" s="115" t="s">
        <v>3639</v>
      </c>
    </row>
    <row r="70" spans="1:13" ht="15.75" customHeight="1">
      <c r="A70" s="23">
        <v>68</v>
      </c>
      <c r="B70" s="107" t="s">
        <v>3623</v>
      </c>
      <c r="C70" s="24" t="s">
        <v>189</v>
      </c>
      <c r="D70" s="24" t="s">
        <v>180</v>
      </c>
      <c r="E70" s="24" t="s">
        <v>190</v>
      </c>
      <c r="F70" s="25">
        <v>2</v>
      </c>
      <c r="G70" s="25"/>
      <c r="H70" s="25">
        <v>8</v>
      </c>
      <c r="I70" s="22">
        <v>15</v>
      </c>
      <c r="J70" s="112">
        <v>3.3</v>
      </c>
      <c r="K70" s="113">
        <v>1.0198</v>
      </c>
      <c r="L70" s="114" t="s">
        <v>3619</v>
      </c>
      <c r="M70" s="115" t="s">
        <v>3639</v>
      </c>
    </row>
    <row r="71" spans="1:13" ht="15.75" customHeight="1">
      <c r="A71" s="19">
        <v>69</v>
      </c>
      <c r="B71" s="107" t="s">
        <v>3623</v>
      </c>
      <c r="C71" s="20" t="s">
        <v>1926</v>
      </c>
      <c r="D71" s="20" t="s">
        <v>362</v>
      </c>
      <c r="E71" s="20" t="s">
        <v>1927</v>
      </c>
      <c r="F71" s="21">
        <v>5</v>
      </c>
      <c r="G71" s="21">
        <v>20</v>
      </c>
      <c r="H71" s="21"/>
      <c r="I71" s="22">
        <v>25</v>
      </c>
      <c r="J71" s="108">
        <v>8.3000000000000007</v>
      </c>
      <c r="K71" s="113">
        <v>1.0198</v>
      </c>
      <c r="L71" s="114" t="s">
        <v>3619</v>
      </c>
      <c r="M71" s="115" t="s">
        <v>3639</v>
      </c>
    </row>
    <row r="72" spans="1:13" ht="15.75" customHeight="1">
      <c r="A72" s="23">
        <v>70</v>
      </c>
      <c r="B72" s="107" t="s">
        <v>3623</v>
      </c>
      <c r="C72" s="24" t="s">
        <v>229</v>
      </c>
      <c r="D72" s="24" t="s">
        <v>203</v>
      </c>
      <c r="E72" s="24" t="s">
        <v>173</v>
      </c>
      <c r="F72" s="25">
        <v>14</v>
      </c>
      <c r="G72" s="25">
        <v>50</v>
      </c>
      <c r="H72" s="25"/>
      <c r="I72" s="22">
        <v>64</v>
      </c>
      <c r="J72" s="112">
        <v>21.3</v>
      </c>
      <c r="K72" s="113">
        <v>0.98719999999999997</v>
      </c>
      <c r="L72" s="114" t="s">
        <v>3619</v>
      </c>
      <c r="M72" s="115" t="s">
        <v>3639</v>
      </c>
    </row>
    <row r="73" spans="1:13" ht="15.75" customHeight="1">
      <c r="A73" s="19">
        <v>71</v>
      </c>
      <c r="B73" s="107" t="s">
        <v>3623</v>
      </c>
      <c r="C73" s="20" t="s">
        <v>1622</v>
      </c>
      <c r="D73" s="20" t="s">
        <v>194</v>
      </c>
      <c r="E73" s="20" t="s">
        <v>1623</v>
      </c>
      <c r="F73" s="21">
        <v>100</v>
      </c>
      <c r="G73" s="21">
        <v>30</v>
      </c>
      <c r="H73" s="21"/>
      <c r="I73" s="22">
        <v>130</v>
      </c>
      <c r="J73" s="108">
        <v>43.3</v>
      </c>
      <c r="K73" s="113">
        <v>0.96689999999999998</v>
      </c>
      <c r="L73" s="114" t="s">
        <v>3619</v>
      </c>
      <c r="M73" s="115" t="s">
        <v>3639</v>
      </c>
    </row>
    <row r="74" spans="1:13" ht="15.75" customHeight="1">
      <c r="A74" s="23">
        <v>72</v>
      </c>
      <c r="B74" s="107" t="s">
        <v>3623</v>
      </c>
      <c r="C74" s="24" t="s">
        <v>1575</v>
      </c>
      <c r="D74" s="24" t="s">
        <v>253</v>
      </c>
      <c r="E74" s="24" t="s">
        <v>1576</v>
      </c>
      <c r="F74" s="25">
        <v>6</v>
      </c>
      <c r="G74" s="25">
        <v>20</v>
      </c>
      <c r="H74" s="25"/>
      <c r="I74" s="22">
        <v>26</v>
      </c>
      <c r="J74" s="112">
        <v>8.6999999999999993</v>
      </c>
      <c r="K74" s="113">
        <v>0.96689999999999998</v>
      </c>
      <c r="L74" s="114" t="s">
        <v>3619</v>
      </c>
      <c r="M74" s="115" t="s">
        <v>3639</v>
      </c>
    </row>
    <row r="75" spans="1:13" ht="15.75" customHeight="1">
      <c r="A75" s="19">
        <v>73</v>
      </c>
      <c r="B75" s="107" t="s">
        <v>3623</v>
      </c>
      <c r="C75" s="20" t="s">
        <v>1881</v>
      </c>
      <c r="D75" s="20" t="s">
        <v>294</v>
      </c>
      <c r="E75" s="20" t="s">
        <v>1882</v>
      </c>
      <c r="F75" s="21">
        <v>135</v>
      </c>
      <c r="G75" s="21">
        <v>14</v>
      </c>
      <c r="H75" s="21">
        <v>23</v>
      </c>
      <c r="I75" s="22">
        <v>172</v>
      </c>
      <c r="J75" s="108">
        <v>57.3</v>
      </c>
      <c r="K75" s="113">
        <v>0.96</v>
      </c>
      <c r="L75" s="114" t="s">
        <v>3619</v>
      </c>
      <c r="M75" s="115" t="s">
        <v>3639</v>
      </c>
    </row>
    <row r="76" spans="1:13" ht="15.75" customHeight="1">
      <c r="A76" s="23">
        <v>74</v>
      </c>
      <c r="B76" s="107" t="s">
        <v>3623</v>
      </c>
      <c r="C76" s="24" t="s">
        <v>1657</v>
      </c>
      <c r="D76" s="24" t="s">
        <v>1649</v>
      </c>
      <c r="E76" s="24" t="s">
        <v>1658</v>
      </c>
      <c r="F76" s="25">
        <v>10</v>
      </c>
      <c r="G76" s="25">
        <v>32</v>
      </c>
      <c r="H76" s="25"/>
      <c r="I76" s="22">
        <v>47</v>
      </c>
      <c r="J76" s="112">
        <v>14</v>
      </c>
      <c r="K76" s="113">
        <v>0.95479999999999998</v>
      </c>
      <c r="L76" s="114" t="s">
        <v>3619</v>
      </c>
      <c r="M76" s="115" t="s">
        <v>3639</v>
      </c>
    </row>
    <row r="77" spans="1:13" ht="15.75" customHeight="1">
      <c r="A77" s="19">
        <v>75</v>
      </c>
      <c r="B77" s="107" t="s">
        <v>3623</v>
      </c>
      <c r="C77" s="20" t="s">
        <v>2368</v>
      </c>
      <c r="D77" s="20" t="s">
        <v>180</v>
      </c>
      <c r="E77" s="20" t="s">
        <v>50</v>
      </c>
      <c r="F77" s="21"/>
      <c r="G77" s="21">
        <v>16</v>
      </c>
      <c r="H77" s="21">
        <v>5</v>
      </c>
      <c r="I77" s="22">
        <v>25</v>
      </c>
      <c r="J77" s="108">
        <v>7</v>
      </c>
      <c r="K77" s="113">
        <v>0.95479999999999998</v>
      </c>
      <c r="L77" s="114" t="s">
        <v>3619</v>
      </c>
      <c r="M77" s="115" t="s">
        <v>3639</v>
      </c>
    </row>
    <row r="78" spans="1:13" ht="15.75" customHeight="1">
      <c r="A78" s="23">
        <v>76</v>
      </c>
      <c r="B78" s="107" t="s">
        <v>3623</v>
      </c>
      <c r="C78" s="24" t="s">
        <v>1596</v>
      </c>
      <c r="D78" s="24" t="s">
        <v>283</v>
      </c>
      <c r="E78" s="24" t="s">
        <v>1597</v>
      </c>
      <c r="F78" s="25">
        <v>8</v>
      </c>
      <c r="G78" s="25">
        <v>25</v>
      </c>
      <c r="H78" s="25"/>
      <c r="I78" s="22">
        <v>44</v>
      </c>
      <c r="J78" s="112">
        <v>11</v>
      </c>
      <c r="K78" s="113">
        <v>0.94769999999999999</v>
      </c>
      <c r="L78" s="114" t="s">
        <v>3619</v>
      </c>
      <c r="M78" s="115" t="s">
        <v>3639</v>
      </c>
    </row>
    <row r="79" spans="1:13" ht="15.75" customHeight="1">
      <c r="A79" s="19">
        <v>77</v>
      </c>
      <c r="B79" s="107" t="s">
        <v>3623</v>
      </c>
      <c r="C79" s="20" t="s">
        <v>254</v>
      </c>
      <c r="D79" s="20" t="s">
        <v>253</v>
      </c>
      <c r="E79" s="20" t="s">
        <v>22</v>
      </c>
      <c r="F79" s="21">
        <v>31</v>
      </c>
      <c r="G79" s="21">
        <v>10</v>
      </c>
      <c r="H79" s="21"/>
      <c r="I79" s="22">
        <v>41</v>
      </c>
      <c r="J79" s="108">
        <v>13.7</v>
      </c>
      <c r="K79" s="113">
        <v>0.94530000000000003</v>
      </c>
      <c r="L79" s="114" t="s">
        <v>3619</v>
      </c>
      <c r="M79" s="115" t="s">
        <v>3639</v>
      </c>
    </row>
    <row r="80" spans="1:13" ht="15.75" customHeight="1">
      <c r="A80" s="23">
        <v>78</v>
      </c>
      <c r="B80" s="107" t="s">
        <v>3623</v>
      </c>
      <c r="C80" s="24" t="s">
        <v>1582</v>
      </c>
      <c r="D80" s="24" t="s">
        <v>1580</v>
      </c>
      <c r="E80" s="24" t="s">
        <v>1583</v>
      </c>
      <c r="F80" s="25">
        <v>30</v>
      </c>
      <c r="G80" s="25"/>
      <c r="H80" s="25">
        <v>10</v>
      </c>
      <c r="I80" s="22">
        <v>40</v>
      </c>
      <c r="J80" s="112">
        <v>13.3</v>
      </c>
      <c r="K80" s="113">
        <v>0.93540000000000001</v>
      </c>
      <c r="L80" s="114" t="s">
        <v>3619</v>
      </c>
      <c r="M80" s="115" t="s">
        <v>3639</v>
      </c>
    </row>
    <row r="81" spans="1:13" ht="15.75" customHeight="1">
      <c r="A81" s="19">
        <v>79</v>
      </c>
      <c r="B81" s="107" t="s">
        <v>3623</v>
      </c>
      <c r="C81" s="20" t="s">
        <v>334</v>
      </c>
      <c r="D81" s="20" t="s">
        <v>203</v>
      </c>
      <c r="E81" s="20" t="s">
        <v>335</v>
      </c>
      <c r="F81" s="21">
        <v>30</v>
      </c>
      <c r="G81" s="21"/>
      <c r="H81" s="21">
        <v>10</v>
      </c>
      <c r="I81" s="22">
        <v>40</v>
      </c>
      <c r="J81" s="108">
        <v>13.3</v>
      </c>
      <c r="K81" s="113">
        <v>0.93540000000000001</v>
      </c>
      <c r="L81" s="114" t="s">
        <v>3619</v>
      </c>
      <c r="M81" s="115" t="s">
        <v>3639</v>
      </c>
    </row>
    <row r="82" spans="1:13" ht="15.75" customHeight="1">
      <c r="A82" s="23">
        <v>80</v>
      </c>
      <c r="B82" s="107" t="s">
        <v>3623</v>
      </c>
      <c r="C82" s="24" t="s">
        <v>1624</v>
      </c>
      <c r="D82" s="24" t="s">
        <v>194</v>
      </c>
      <c r="E82" s="24" t="s">
        <v>1625</v>
      </c>
      <c r="F82" s="25">
        <v>1</v>
      </c>
      <c r="G82" s="25">
        <v>3</v>
      </c>
      <c r="H82" s="25"/>
      <c r="I82" s="22">
        <v>4</v>
      </c>
      <c r="J82" s="112">
        <v>1.3</v>
      </c>
      <c r="K82" s="113">
        <v>0.93540000000000001</v>
      </c>
      <c r="L82" s="114" t="s">
        <v>3619</v>
      </c>
      <c r="M82" s="115" t="s">
        <v>3639</v>
      </c>
    </row>
    <row r="83" spans="1:13" ht="15.75" customHeight="1">
      <c r="A83" s="19">
        <v>81</v>
      </c>
      <c r="B83" s="107" t="s">
        <v>3623</v>
      </c>
      <c r="C83" s="20" t="s">
        <v>1951</v>
      </c>
      <c r="D83" s="20" t="s">
        <v>263</v>
      </c>
      <c r="E83" s="20" t="s">
        <v>1689</v>
      </c>
      <c r="F83" s="21">
        <v>1</v>
      </c>
      <c r="G83" s="21">
        <v>3</v>
      </c>
      <c r="H83" s="21"/>
      <c r="I83" s="22">
        <v>4</v>
      </c>
      <c r="J83" s="108">
        <v>1.3</v>
      </c>
      <c r="K83" s="113">
        <v>0.93540000000000001</v>
      </c>
      <c r="L83" s="114" t="s">
        <v>3619</v>
      </c>
      <c r="M83" s="115" t="s">
        <v>3639</v>
      </c>
    </row>
    <row r="84" spans="1:13" ht="15.75" customHeight="1">
      <c r="A84" s="23">
        <v>82</v>
      </c>
      <c r="B84" s="107" t="s">
        <v>3623</v>
      </c>
      <c r="C84" s="24" t="s">
        <v>330</v>
      </c>
      <c r="D84" s="24" t="s">
        <v>203</v>
      </c>
      <c r="E84" s="24" t="s">
        <v>331</v>
      </c>
      <c r="F84" s="25">
        <v>30</v>
      </c>
      <c r="G84" s="25">
        <v>10</v>
      </c>
      <c r="H84" s="25"/>
      <c r="I84" s="22">
        <v>40</v>
      </c>
      <c r="J84" s="112">
        <v>13.3</v>
      </c>
      <c r="K84" s="113">
        <v>0.93540000000000001</v>
      </c>
      <c r="L84" s="114" t="s">
        <v>3619</v>
      </c>
      <c r="M84" s="115" t="s">
        <v>3639</v>
      </c>
    </row>
    <row r="85" spans="1:13" ht="15.75" customHeight="1">
      <c r="A85" s="19">
        <v>83</v>
      </c>
      <c r="B85" s="107" t="s">
        <v>3623</v>
      </c>
      <c r="C85" s="20" t="s">
        <v>1552</v>
      </c>
      <c r="D85" s="20" t="s">
        <v>448</v>
      </c>
      <c r="E85" s="20" t="s">
        <v>1553</v>
      </c>
      <c r="F85" s="21">
        <v>30</v>
      </c>
      <c r="G85" s="21"/>
      <c r="H85" s="21">
        <v>10</v>
      </c>
      <c r="I85" s="22">
        <v>50</v>
      </c>
      <c r="J85" s="108">
        <v>13.3</v>
      </c>
      <c r="K85" s="113">
        <v>0.93540000000000001</v>
      </c>
      <c r="L85" s="114" t="s">
        <v>3619</v>
      </c>
      <c r="M85" s="115" t="s">
        <v>3639</v>
      </c>
    </row>
    <row r="86" spans="1:13" ht="15.75" customHeight="1">
      <c r="A86" s="23">
        <v>84</v>
      </c>
      <c r="B86" s="107" t="s">
        <v>3623</v>
      </c>
      <c r="C86" s="24" t="s">
        <v>1907</v>
      </c>
      <c r="D86" s="24" t="s">
        <v>1908</v>
      </c>
      <c r="E86" s="24" t="s">
        <v>1909</v>
      </c>
      <c r="F86" s="25">
        <v>20</v>
      </c>
      <c r="G86" s="25">
        <v>82</v>
      </c>
      <c r="H86" s="25">
        <v>7</v>
      </c>
      <c r="I86" s="22">
        <v>109</v>
      </c>
      <c r="J86" s="112">
        <v>36.299999999999997</v>
      </c>
      <c r="K86" s="113">
        <v>0.90069999999999995</v>
      </c>
      <c r="L86" s="114" t="s">
        <v>3619</v>
      </c>
      <c r="M86" s="115" t="s">
        <v>3639</v>
      </c>
    </row>
    <row r="87" spans="1:13" ht="15.75" customHeight="1">
      <c r="A87" s="19">
        <v>85</v>
      </c>
      <c r="B87" s="107" t="s">
        <v>3623</v>
      </c>
      <c r="C87" s="20" t="s">
        <v>470</v>
      </c>
      <c r="D87" s="20" t="s">
        <v>169</v>
      </c>
      <c r="E87" s="20" t="s">
        <v>184</v>
      </c>
      <c r="F87" s="21">
        <v>6</v>
      </c>
      <c r="G87" s="21">
        <v>16</v>
      </c>
      <c r="H87" s="21"/>
      <c r="I87" s="22">
        <v>22</v>
      </c>
      <c r="J87" s="108">
        <v>7.3</v>
      </c>
      <c r="K87" s="113">
        <v>0.9</v>
      </c>
      <c r="L87" s="114" t="s">
        <v>3619</v>
      </c>
      <c r="M87" s="115" t="s">
        <v>3639</v>
      </c>
    </row>
    <row r="88" spans="1:13" ht="15.75" customHeight="1">
      <c r="A88" s="23">
        <v>86</v>
      </c>
      <c r="B88" s="107" t="s">
        <v>3623</v>
      </c>
      <c r="C88" s="24" t="s">
        <v>1871</v>
      </c>
      <c r="D88" s="24" t="s">
        <v>283</v>
      </c>
      <c r="E88" s="24" t="s">
        <v>1872</v>
      </c>
      <c r="F88" s="25">
        <v>20</v>
      </c>
      <c r="G88" s="25">
        <v>10</v>
      </c>
      <c r="H88" s="25">
        <v>90</v>
      </c>
      <c r="I88" s="22">
        <v>120</v>
      </c>
      <c r="J88" s="112">
        <v>40</v>
      </c>
      <c r="K88" s="113">
        <v>0.88980000000000004</v>
      </c>
      <c r="L88" s="114" t="s">
        <v>3619</v>
      </c>
      <c r="M88" s="115" t="s">
        <v>3639</v>
      </c>
    </row>
    <row r="89" spans="1:13" ht="15.75" customHeight="1">
      <c r="A89" s="19">
        <v>87</v>
      </c>
      <c r="B89" s="107" t="s">
        <v>3623</v>
      </c>
      <c r="C89" s="20" t="s">
        <v>316</v>
      </c>
      <c r="D89" s="20" t="s">
        <v>203</v>
      </c>
      <c r="E89" s="20" t="s">
        <v>225</v>
      </c>
      <c r="F89" s="21">
        <v>50</v>
      </c>
      <c r="G89" s="21">
        <v>20</v>
      </c>
      <c r="H89" s="21"/>
      <c r="I89" s="22">
        <v>70</v>
      </c>
      <c r="J89" s="108">
        <v>23.3</v>
      </c>
      <c r="K89" s="113">
        <v>0.88060000000000005</v>
      </c>
      <c r="L89" s="114" t="s">
        <v>3619</v>
      </c>
      <c r="M89" s="115" t="s">
        <v>3639</v>
      </c>
    </row>
    <row r="90" spans="1:13" ht="15.75" customHeight="1">
      <c r="A90" s="23">
        <v>88</v>
      </c>
      <c r="B90" s="107" t="s">
        <v>3623</v>
      </c>
      <c r="C90" s="24" t="s">
        <v>322</v>
      </c>
      <c r="D90" s="24" t="s">
        <v>169</v>
      </c>
      <c r="E90" s="24" t="s">
        <v>42</v>
      </c>
      <c r="F90" s="25">
        <v>4</v>
      </c>
      <c r="G90" s="25">
        <v>10</v>
      </c>
      <c r="H90" s="25"/>
      <c r="I90" s="22">
        <v>104</v>
      </c>
      <c r="J90" s="112">
        <v>4.7</v>
      </c>
      <c r="K90" s="113">
        <v>0.88060000000000005</v>
      </c>
      <c r="L90" s="114" t="s">
        <v>3619</v>
      </c>
      <c r="M90" s="115" t="s">
        <v>3639</v>
      </c>
    </row>
    <row r="91" spans="1:13" ht="15.75" customHeight="1">
      <c r="A91" s="19">
        <v>89</v>
      </c>
      <c r="B91" s="107" t="s">
        <v>3623</v>
      </c>
      <c r="C91" s="20" t="s">
        <v>1825</v>
      </c>
      <c r="D91" s="20" t="s">
        <v>271</v>
      </c>
      <c r="E91" s="20" t="s">
        <v>1668</v>
      </c>
      <c r="F91" s="21">
        <v>4</v>
      </c>
      <c r="G91" s="21"/>
      <c r="H91" s="21">
        <v>10</v>
      </c>
      <c r="I91" s="22">
        <v>44</v>
      </c>
      <c r="J91" s="108">
        <v>4.7</v>
      </c>
      <c r="K91" s="113">
        <v>0.88060000000000005</v>
      </c>
      <c r="L91" s="114" t="s">
        <v>3619</v>
      </c>
      <c r="M91" s="115" t="s">
        <v>3639</v>
      </c>
    </row>
    <row r="92" spans="1:13" ht="15.75" customHeight="1">
      <c r="A92" s="23">
        <v>90</v>
      </c>
      <c r="B92" s="107" t="s">
        <v>3623</v>
      </c>
      <c r="C92" s="24" t="s">
        <v>1644</v>
      </c>
      <c r="D92" s="24" t="s">
        <v>169</v>
      </c>
      <c r="E92" s="24" t="s">
        <v>121</v>
      </c>
      <c r="F92" s="25">
        <v>26</v>
      </c>
      <c r="G92" s="25">
        <v>4</v>
      </c>
      <c r="H92" s="25">
        <v>5</v>
      </c>
      <c r="I92" s="22">
        <v>40</v>
      </c>
      <c r="J92" s="112">
        <v>11.7</v>
      </c>
      <c r="K92" s="113">
        <v>0.86939999999999995</v>
      </c>
      <c r="L92" s="114" t="s">
        <v>3619</v>
      </c>
      <c r="M92" s="115" t="s">
        <v>3639</v>
      </c>
    </row>
    <row r="93" spans="1:13" ht="15.75" customHeight="1">
      <c r="A93" s="19">
        <v>91</v>
      </c>
      <c r="B93" s="107" t="s">
        <v>3623</v>
      </c>
      <c r="C93" s="20" t="s">
        <v>296</v>
      </c>
      <c r="D93" s="20" t="s">
        <v>294</v>
      </c>
      <c r="E93" s="20" t="s">
        <v>121</v>
      </c>
      <c r="F93" s="21">
        <v>14</v>
      </c>
      <c r="G93" s="21"/>
      <c r="H93" s="21">
        <v>6</v>
      </c>
      <c r="I93" s="22">
        <v>20</v>
      </c>
      <c r="J93" s="108">
        <v>6.7</v>
      </c>
      <c r="K93" s="113">
        <v>0.86019999999999996</v>
      </c>
      <c r="L93" s="114" t="s">
        <v>3619</v>
      </c>
      <c r="M93" s="115" t="s">
        <v>3639</v>
      </c>
    </row>
    <row r="94" spans="1:13" ht="15.75" customHeight="1">
      <c r="A94" s="23">
        <v>92</v>
      </c>
      <c r="B94" s="107" t="s">
        <v>3623</v>
      </c>
      <c r="C94" s="24" t="s">
        <v>2396</v>
      </c>
      <c r="D94" s="24" t="s">
        <v>203</v>
      </c>
      <c r="E94" s="24" t="s">
        <v>2397</v>
      </c>
      <c r="F94" s="25"/>
      <c r="G94" s="25">
        <v>70</v>
      </c>
      <c r="H94" s="25">
        <v>30</v>
      </c>
      <c r="I94" s="22">
        <v>100</v>
      </c>
      <c r="J94" s="112">
        <v>33.299999999999997</v>
      </c>
      <c r="K94" s="113">
        <v>0.86019999999999996</v>
      </c>
      <c r="L94" s="114" t="s">
        <v>3619</v>
      </c>
      <c r="M94" s="115" t="s">
        <v>3639</v>
      </c>
    </row>
    <row r="95" spans="1:13" ht="15.75" customHeight="1">
      <c r="A95" s="19">
        <v>93</v>
      </c>
      <c r="B95" s="107" t="s">
        <v>3623</v>
      </c>
      <c r="C95" s="20" t="s">
        <v>266</v>
      </c>
      <c r="D95" s="20" t="s">
        <v>263</v>
      </c>
      <c r="E95" s="20" t="s">
        <v>45</v>
      </c>
      <c r="F95" s="21">
        <v>25</v>
      </c>
      <c r="G95" s="21">
        <v>3</v>
      </c>
      <c r="H95" s="21">
        <v>6</v>
      </c>
      <c r="I95" s="22">
        <v>34</v>
      </c>
      <c r="J95" s="108">
        <v>11.3</v>
      </c>
      <c r="K95" s="113">
        <v>0.85950000000000004</v>
      </c>
      <c r="L95" s="114" t="s">
        <v>3619</v>
      </c>
      <c r="M95" s="115" t="s">
        <v>3639</v>
      </c>
    </row>
    <row r="96" spans="1:13" ht="15.75" customHeight="1">
      <c r="A96" s="23">
        <v>94</v>
      </c>
      <c r="B96" s="107" t="s">
        <v>3623</v>
      </c>
      <c r="C96" s="24" t="s">
        <v>224</v>
      </c>
      <c r="D96" s="24" t="s">
        <v>203</v>
      </c>
      <c r="E96" s="24" t="s">
        <v>225</v>
      </c>
      <c r="F96" s="25">
        <v>64</v>
      </c>
      <c r="G96" s="25">
        <v>5</v>
      </c>
      <c r="H96" s="25">
        <v>20</v>
      </c>
      <c r="I96" s="22">
        <v>89</v>
      </c>
      <c r="J96" s="112">
        <v>29.7</v>
      </c>
      <c r="K96" s="113">
        <v>0.84399999999999997</v>
      </c>
      <c r="L96" s="114" t="s">
        <v>3619</v>
      </c>
      <c r="M96" s="115" t="s">
        <v>3639</v>
      </c>
    </row>
    <row r="97" spans="1:13" ht="15.75" customHeight="1">
      <c r="A97" s="19">
        <v>95</v>
      </c>
      <c r="B97" s="107" t="s">
        <v>3623</v>
      </c>
      <c r="C97" s="20" t="s">
        <v>2418</v>
      </c>
      <c r="D97" s="20" t="s">
        <v>1937</v>
      </c>
      <c r="E97" s="20" t="s">
        <v>42</v>
      </c>
      <c r="F97" s="21"/>
      <c r="G97" s="21">
        <v>11</v>
      </c>
      <c r="H97" s="21">
        <v>5</v>
      </c>
      <c r="I97" s="22">
        <v>16</v>
      </c>
      <c r="J97" s="108">
        <v>5.3</v>
      </c>
      <c r="K97" s="113">
        <v>0.84319999999999995</v>
      </c>
      <c r="L97" s="114" t="s">
        <v>3619</v>
      </c>
      <c r="M97" s="115" t="s">
        <v>3639</v>
      </c>
    </row>
    <row r="98" spans="1:13" ht="15.75" customHeight="1">
      <c r="A98" s="23">
        <v>96</v>
      </c>
      <c r="B98" s="107" t="s">
        <v>3623</v>
      </c>
      <c r="C98" s="24" t="s">
        <v>1711</v>
      </c>
      <c r="D98" s="24" t="s">
        <v>211</v>
      </c>
      <c r="E98" s="24" t="s">
        <v>1712</v>
      </c>
      <c r="F98" s="25">
        <v>19</v>
      </c>
      <c r="G98" s="25"/>
      <c r="H98" s="25">
        <v>41</v>
      </c>
      <c r="I98" s="22">
        <v>80</v>
      </c>
      <c r="J98" s="112">
        <v>20</v>
      </c>
      <c r="K98" s="113">
        <v>0.8377</v>
      </c>
      <c r="L98" s="114" t="s">
        <v>3619</v>
      </c>
      <c r="M98" s="115" t="s">
        <v>3639</v>
      </c>
    </row>
    <row r="99" spans="1:13" ht="15.75" customHeight="1">
      <c r="A99" s="19">
        <v>97</v>
      </c>
      <c r="B99" s="107" t="s">
        <v>3623</v>
      </c>
      <c r="C99" s="20" t="s">
        <v>179</v>
      </c>
      <c r="D99" s="20" t="s">
        <v>180</v>
      </c>
      <c r="E99" s="20" t="s">
        <v>170</v>
      </c>
      <c r="F99" s="21">
        <v>3</v>
      </c>
      <c r="G99" s="21">
        <v>16</v>
      </c>
      <c r="H99" s="21">
        <v>3</v>
      </c>
      <c r="I99" s="22">
        <v>22</v>
      </c>
      <c r="J99" s="108">
        <v>7.3</v>
      </c>
      <c r="K99" s="113">
        <v>0.8357</v>
      </c>
      <c r="L99" s="114" t="s">
        <v>3619</v>
      </c>
      <c r="M99" s="115" t="s">
        <v>3639</v>
      </c>
    </row>
    <row r="100" spans="1:13" ht="15.75" customHeight="1">
      <c r="A100" s="23">
        <v>98</v>
      </c>
      <c r="B100" s="107" t="s">
        <v>3623</v>
      </c>
      <c r="C100" s="24" t="s">
        <v>256</v>
      </c>
      <c r="D100" s="24" t="s">
        <v>253</v>
      </c>
      <c r="E100" s="24" t="s">
        <v>24</v>
      </c>
      <c r="F100" s="25">
        <v>54</v>
      </c>
      <c r="G100" s="25">
        <v>110</v>
      </c>
      <c r="H100" s="25"/>
      <c r="I100" s="22">
        <v>164</v>
      </c>
      <c r="J100" s="112">
        <v>54.7</v>
      </c>
      <c r="K100" s="113">
        <v>0.82150000000000001</v>
      </c>
      <c r="L100" s="114" t="s">
        <v>3619</v>
      </c>
      <c r="M100" s="115" t="s">
        <v>3639</v>
      </c>
    </row>
    <row r="101" spans="1:13" ht="15.75" customHeight="1">
      <c r="A101" s="19">
        <v>99</v>
      </c>
      <c r="B101" s="107" t="s">
        <v>3623</v>
      </c>
      <c r="C101" s="20" t="s">
        <v>1579</v>
      </c>
      <c r="D101" s="20" t="s">
        <v>1580</v>
      </c>
      <c r="E101" s="20" t="s">
        <v>1581</v>
      </c>
      <c r="F101" s="21">
        <v>20</v>
      </c>
      <c r="G101" s="21"/>
      <c r="H101" s="21">
        <v>10</v>
      </c>
      <c r="I101" s="22">
        <v>30</v>
      </c>
      <c r="J101" s="108">
        <v>10</v>
      </c>
      <c r="K101" s="113">
        <v>0.8165</v>
      </c>
      <c r="L101" s="114" t="s">
        <v>3619</v>
      </c>
      <c r="M101" s="115" t="s">
        <v>3639</v>
      </c>
    </row>
    <row r="102" spans="1:13" ht="15.75" customHeight="1">
      <c r="A102" s="23">
        <v>100</v>
      </c>
      <c r="B102" s="107" t="s">
        <v>3623</v>
      </c>
      <c r="C102" s="24" t="s">
        <v>281</v>
      </c>
      <c r="D102" s="24" t="s">
        <v>278</v>
      </c>
      <c r="E102" s="24" t="s">
        <v>24</v>
      </c>
      <c r="F102" s="25">
        <v>12</v>
      </c>
      <c r="G102" s="25">
        <v>6</v>
      </c>
      <c r="H102" s="25"/>
      <c r="I102" s="22">
        <v>18</v>
      </c>
      <c r="J102" s="112">
        <v>6</v>
      </c>
      <c r="K102" s="113">
        <v>0.8165</v>
      </c>
      <c r="L102" s="114" t="s">
        <v>3619</v>
      </c>
      <c r="M102" s="115" t="s">
        <v>3639</v>
      </c>
    </row>
    <row r="103" spans="1:13" ht="15.75" customHeight="1">
      <c r="A103" s="19">
        <v>101</v>
      </c>
      <c r="B103" s="107" t="s">
        <v>3623</v>
      </c>
      <c r="C103" s="20" t="s">
        <v>1843</v>
      </c>
      <c r="D103" s="20" t="s">
        <v>271</v>
      </c>
      <c r="E103" s="20" t="s">
        <v>1844</v>
      </c>
      <c r="F103" s="21">
        <v>20</v>
      </c>
      <c r="G103" s="21"/>
      <c r="H103" s="21">
        <v>40</v>
      </c>
      <c r="I103" s="22">
        <v>105</v>
      </c>
      <c r="J103" s="108">
        <v>20</v>
      </c>
      <c r="K103" s="113">
        <v>0.8165</v>
      </c>
      <c r="L103" s="114" t="s">
        <v>3619</v>
      </c>
      <c r="M103" s="115" t="s">
        <v>3639</v>
      </c>
    </row>
    <row r="104" spans="1:13" ht="15.75" customHeight="1">
      <c r="A104" s="23">
        <v>102</v>
      </c>
      <c r="B104" s="107" t="s">
        <v>3623</v>
      </c>
      <c r="C104" s="24" t="s">
        <v>1936</v>
      </c>
      <c r="D104" s="24" t="s">
        <v>1937</v>
      </c>
      <c r="E104" s="24" t="s">
        <v>1911</v>
      </c>
      <c r="F104" s="25">
        <v>5</v>
      </c>
      <c r="G104" s="25">
        <v>10</v>
      </c>
      <c r="H104" s="25"/>
      <c r="I104" s="22">
        <v>15</v>
      </c>
      <c r="J104" s="112">
        <v>5</v>
      </c>
      <c r="K104" s="113">
        <v>0.8165</v>
      </c>
      <c r="L104" s="114" t="s">
        <v>3619</v>
      </c>
      <c r="M104" s="115" t="s">
        <v>3639</v>
      </c>
    </row>
    <row r="105" spans="1:13" ht="15.75" customHeight="1">
      <c r="A105" s="19">
        <v>103</v>
      </c>
      <c r="B105" s="107" t="s">
        <v>3623</v>
      </c>
      <c r="C105" s="20" t="s">
        <v>1663</v>
      </c>
      <c r="D105" s="20" t="s">
        <v>448</v>
      </c>
      <c r="E105" s="20" t="s">
        <v>1664</v>
      </c>
      <c r="F105" s="21">
        <v>100</v>
      </c>
      <c r="G105" s="21"/>
      <c r="H105" s="21">
        <v>50</v>
      </c>
      <c r="I105" s="22">
        <v>150</v>
      </c>
      <c r="J105" s="108">
        <v>50</v>
      </c>
      <c r="K105" s="113">
        <v>0.8165</v>
      </c>
      <c r="L105" s="114" t="s">
        <v>3619</v>
      </c>
      <c r="M105" s="115" t="s">
        <v>3639</v>
      </c>
    </row>
    <row r="106" spans="1:13" ht="15.75" customHeight="1">
      <c r="A106" s="23">
        <v>104</v>
      </c>
      <c r="B106" s="107" t="s">
        <v>3623</v>
      </c>
      <c r="C106" s="24" t="s">
        <v>191</v>
      </c>
      <c r="D106" s="24" t="s">
        <v>180</v>
      </c>
      <c r="E106" s="24" t="s">
        <v>53</v>
      </c>
      <c r="F106" s="25">
        <v>2</v>
      </c>
      <c r="G106" s="25">
        <v>1</v>
      </c>
      <c r="H106" s="25"/>
      <c r="I106" s="22">
        <v>10</v>
      </c>
      <c r="J106" s="112">
        <v>1</v>
      </c>
      <c r="K106" s="113">
        <v>0.8165</v>
      </c>
      <c r="L106" s="114" t="s">
        <v>3619</v>
      </c>
      <c r="M106" s="115" t="s">
        <v>3639</v>
      </c>
    </row>
    <row r="107" spans="1:13" ht="15.75" customHeight="1">
      <c r="A107" s="19">
        <v>105</v>
      </c>
      <c r="B107" s="107" t="s">
        <v>3623</v>
      </c>
      <c r="C107" s="20" t="s">
        <v>1941</v>
      </c>
      <c r="D107" s="20" t="s">
        <v>1908</v>
      </c>
      <c r="E107" s="20" t="s">
        <v>45</v>
      </c>
      <c r="F107" s="21">
        <v>10</v>
      </c>
      <c r="G107" s="21"/>
      <c r="H107" s="21">
        <v>5</v>
      </c>
      <c r="I107" s="22">
        <v>15</v>
      </c>
      <c r="J107" s="108">
        <v>5</v>
      </c>
      <c r="K107" s="113">
        <v>0.8165</v>
      </c>
      <c r="L107" s="114" t="s">
        <v>3619</v>
      </c>
      <c r="M107" s="115" t="s">
        <v>3639</v>
      </c>
    </row>
    <row r="108" spans="1:13" ht="15.75" customHeight="1">
      <c r="A108" s="23">
        <v>106</v>
      </c>
      <c r="B108" s="107" t="s">
        <v>3623</v>
      </c>
      <c r="C108" s="24" t="s">
        <v>1942</v>
      </c>
      <c r="D108" s="24" t="s">
        <v>1943</v>
      </c>
      <c r="E108" s="24" t="s">
        <v>45</v>
      </c>
      <c r="F108" s="25">
        <v>10</v>
      </c>
      <c r="G108" s="25">
        <v>20</v>
      </c>
      <c r="H108" s="25"/>
      <c r="I108" s="22">
        <v>30</v>
      </c>
      <c r="J108" s="112">
        <v>10</v>
      </c>
      <c r="K108" s="113">
        <v>0.8165</v>
      </c>
      <c r="L108" s="114" t="s">
        <v>3619</v>
      </c>
      <c r="M108" s="115" t="s">
        <v>3639</v>
      </c>
    </row>
    <row r="109" spans="1:13" ht="15.75" customHeight="1">
      <c r="A109" s="19">
        <v>107</v>
      </c>
      <c r="B109" s="107" t="s">
        <v>3623</v>
      </c>
      <c r="C109" s="20" t="s">
        <v>1571</v>
      </c>
      <c r="D109" s="20" t="s">
        <v>194</v>
      </c>
      <c r="E109" s="20" t="s">
        <v>1572</v>
      </c>
      <c r="F109" s="21">
        <v>2</v>
      </c>
      <c r="G109" s="21">
        <v>1</v>
      </c>
      <c r="H109" s="21"/>
      <c r="I109" s="22">
        <v>3</v>
      </c>
      <c r="J109" s="108">
        <v>1</v>
      </c>
      <c r="K109" s="113">
        <v>0.8165</v>
      </c>
      <c r="L109" s="114" t="s">
        <v>3619</v>
      </c>
      <c r="M109" s="115" t="s">
        <v>3639</v>
      </c>
    </row>
    <row r="110" spans="1:13" ht="15.75" customHeight="1">
      <c r="A110" s="23">
        <v>108</v>
      </c>
      <c r="B110" s="107" t="s">
        <v>3623</v>
      </c>
      <c r="C110" s="24" t="s">
        <v>2840</v>
      </c>
      <c r="D110" s="24" t="s">
        <v>2841</v>
      </c>
      <c r="E110" s="24" t="s">
        <v>2842</v>
      </c>
      <c r="F110" s="25"/>
      <c r="G110" s="25">
        <v>5</v>
      </c>
      <c r="H110" s="25">
        <v>10</v>
      </c>
      <c r="I110" s="22">
        <v>15</v>
      </c>
      <c r="J110" s="112">
        <v>5</v>
      </c>
      <c r="K110" s="113">
        <v>0.8165</v>
      </c>
      <c r="L110" s="114" t="s">
        <v>3619</v>
      </c>
      <c r="M110" s="115" t="s">
        <v>3639</v>
      </c>
    </row>
    <row r="111" spans="1:13" ht="15.75" customHeight="1">
      <c r="A111" s="19">
        <v>109</v>
      </c>
      <c r="B111" s="107" t="s">
        <v>3623</v>
      </c>
      <c r="C111" s="20" t="s">
        <v>2827</v>
      </c>
      <c r="D111" s="20" t="s">
        <v>206</v>
      </c>
      <c r="E111" s="20" t="s">
        <v>2828</v>
      </c>
      <c r="F111" s="21"/>
      <c r="G111" s="21">
        <v>2</v>
      </c>
      <c r="H111" s="21">
        <v>4</v>
      </c>
      <c r="I111" s="22">
        <v>6</v>
      </c>
      <c r="J111" s="108">
        <v>2</v>
      </c>
      <c r="K111" s="113">
        <v>0.8165</v>
      </c>
      <c r="L111" s="114" t="s">
        <v>3619</v>
      </c>
      <c r="M111" s="115" t="s">
        <v>3639</v>
      </c>
    </row>
    <row r="112" spans="1:13" ht="15.75" customHeight="1">
      <c r="A112" s="23">
        <v>110</v>
      </c>
      <c r="B112" s="107" t="s">
        <v>3623</v>
      </c>
      <c r="C112" s="24" t="s">
        <v>1784</v>
      </c>
      <c r="D112" s="24" t="s">
        <v>253</v>
      </c>
      <c r="E112" s="24" t="s">
        <v>1722</v>
      </c>
      <c r="F112" s="25">
        <v>39</v>
      </c>
      <c r="G112" s="25"/>
      <c r="H112" s="25">
        <v>20</v>
      </c>
      <c r="I112" s="22">
        <v>59</v>
      </c>
      <c r="J112" s="112">
        <v>19.7</v>
      </c>
      <c r="K112" s="113">
        <v>0.80969999999999998</v>
      </c>
      <c r="L112" s="114" t="s">
        <v>3619</v>
      </c>
      <c r="M112" s="115" t="s">
        <v>3639</v>
      </c>
    </row>
    <row r="113" spans="1:13" ht="15.75" customHeight="1">
      <c r="A113" s="19">
        <v>111</v>
      </c>
      <c r="B113" s="107" t="s">
        <v>3623</v>
      </c>
      <c r="C113" s="20" t="s">
        <v>1686</v>
      </c>
      <c r="D113" s="20" t="s">
        <v>206</v>
      </c>
      <c r="E113" s="20" t="s">
        <v>1687</v>
      </c>
      <c r="F113" s="21">
        <v>10</v>
      </c>
      <c r="G113" s="21">
        <v>15</v>
      </c>
      <c r="H113" s="21">
        <v>59</v>
      </c>
      <c r="I113" s="22">
        <v>109</v>
      </c>
      <c r="J113" s="108">
        <v>28</v>
      </c>
      <c r="K113" s="113">
        <v>0.7863</v>
      </c>
      <c r="L113" s="114" t="s">
        <v>3619</v>
      </c>
      <c r="M113" s="115" t="s">
        <v>3639</v>
      </c>
    </row>
    <row r="114" spans="1:13" ht="15.75" customHeight="1">
      <c r="A114" s="23">
        <v>112</v>
      </c>
      <c r="B114" s="107" t="s">
        <v>3623</v>
      </c>
      <c r="C114" s="24" t="s">
        <v>1836</v>
      </c>
      <c r="D114" s="24" t="s">
        <v>271</v>
      </c>
      <c r="E114" s="24" t="s">
        <v>1837</v>
      </c>
      <c r="F114" s="25">
        <v>70</v>
      </c>
      <c r="G114" s="25"/>
      <c r="H114" s="25">
        <v>40</v>
      </c>
      <c r="I114" s="22">
        <v>110</v>
      </c>
      <c r="J114" s="112">
        <v>36.700000000000003</v>
      </c>
      <c r="K114" s="113">
        <v>0.78200000000000003</v>
      </c>
      <c r="L114" s="114" t="s">
        <v>3619</v>
      </c>
      <c r="M114" s="115" t="s">
        <v>3639</v>
      </c>
    </row>
    <row r="115" spans="1:13" ht="15.75" customHeight="1">
      <c r="A115" s="19">
        <v>113</v>
      </c>
      <c r="B115" s="107" t="s">
        <v>3623</v>
      </c>
      <c r="C115" s="20" t="s">
        <v>1924</v>
      </c>
      <c r="D115" s="20" t="s">
        <v>1925</v>
      </c>
      <c r="E115" s="20" t="s">
        <v>1911</v>
      </c>
      <c r="F115" s="21">
        <v>10</v>
      </c>
      <c r="G115" s="21">
        <v>17</v>
      </c>
      <c r="H115" s="21"/>
      <c r="I115" s="22">
        <v>27</v>
      </c>
      <c r="J115" s="108">
        <v>9</v>
      </c>
      <c r="K115" s="113">
        <v>0.77510000000000001</v>
      </c>
      <c r="L115" s="114" t="s">
        <v>3619</v>
      </c>
      <c r="M115" s="115" t="s">
        <v>3639</v>
      </c>
    </row>
    <row r="116" spans="1:13" ht="15.75" customHeight="1">
      <c r="A116" s="23">
        <v>114</v>
      </c>
      <c r="B116" s="107" t="s">
        <v>3623</v>
      </c>
      <c r="C116" s="24" t="s">
        <v>212</v>
      </c>
      <c r="D116" s="24" t="s">
        <v>211</v>
      </c>
      <c r="E116" s="24" t="s">
        <v>32</v>
      </c>
      <c r="F116" s="25">
        <v>6</v>
      </c>
      <c r="G116" s="25"/>
      <c r="H116" s="25">
        <v>10</v>
      </c>
      <c r="I116" s="22">
        <v>16</v>
      </c>
      <c r="J116" s="112">
        <v>5.3</v>
      </c>
      <c r="K116" s="113">
        <v>0.77059999999999995</v>
      </c>
      <c r="L116" s="114" t="s">
        <v>3619</v>
      </c>
      <c r="M116" s="115" t="s">
        <v>3639</v>
      </c>
    </row>
    <row r="117" spans="1:13" ht="15.75" customHeight="1">
      <c r="A117" s="19">
        <v>115</v>
      </c>
      <c r="B117" s="107" t="s">
        <v>3623</v>
      </c>
      <c r="C117" s="20" t="s">
        <v>1938</v>
      </c>
      <c r="D117" s="20" t="s">
        <v>1929</v>
      </c>
      <c r="E117" s="20" t="s">
        <v>1909</v>
      </c>
      <c r="F117" s="21">
        <v>5</v>
      </c>
      <c r="G117" s="21">
        <v>3</v>
      </c>
      <c r="H117" s="21"/>
      <c r="I117" s="22">
        <v>8</v>
      </c>
      <c r="J117" s="108">
        <v>2.7</v>
      </c>
      <c r="K117" s="113">
        <v>0.77059999999999995</v>
      </c>
      <c r="L117" s="114" t="s">
        <v>3619</v>
      </c>
      <c r="M117" s="115" t="s">
        <v>3639</v>
      </c>
    </row>
    <row r="118" spans="1:13" ht="15.75" customHeight="1">
      <c r="A118" s="23">
        <v>116</v>
      </c>
      <c r="B118" s="107" t="s">
        <v>3623</v>
      </c>
      <c r="C118" s="24" t="s">
        <v>171</v>
      </c>
      <c r="D118" s="24" t="s">
        <v>169</v>
      </c>
      <c r="E118" s="24" t="s">
        <v>47</v>
      </c>
      <c r="F118" s="25">
        <v>3</v>
      </c>
      <c r="G118" s="25">
        <v>28</v>
      </c>
      <c r="H118" s="25">
        <v>10</v>
      </c>
      <c r="I118" s="22">
        <v>41</v>
      </c>
      <c r="J118" s="112">
        <v>13.7</v>
      </c>
      <c r="K118" s="113">
        <v>0.77049999999999996</v>
      </c>
      <c r="L118" s="114" t="s">
        <v>3619</v>
      </c>
      <c r="M118" s="115" t="s">
        <v>3639</v>
      </c>
    </row>
    <row r="119" spans="1:13" ht="15.75" customHeight="1">
      <c r="A119" s="19">
        <v>117</v>
      </c>
      <c r="B119" s="107" t="s">
        <v>3623</v>
      </c>
      <c r="C119" s="20" t="s">
        <v>1694</v>
      </c>
      <c r="D119" s="20" t="s">
        <v>206</v>
      </c>
      <c r="E119" s="20" t="s">
        <v>1695</v>
      </c>
      <c r="F119" s="21">
        <v>25</v>
      </c>
      <c r="G119" s="21"/>
      <c r="H119" s="21">
        <v>40</v>
      </c>
      <c r="I119" s="22">
        <v>85</v>
      </c>
      <c r="J119" s="108">
        <v>21.7</v>
      </c>
      <c r="K119" s="113">
        <v>0.76149999999999995</v>
      </c>
      <c r="L119" s="114" t="s">
        <v>3619</v>
      </c>
      <c r="M119" s="115" t="s">
        <v>3639</v>
      </c>
    </row>
    <row r="120" spans="1:13" ht="15.75" customHeight="1">
      <c r="A120" s="23">
        <v>118</v>
      </c>
      <c r="B120" s="107" t="s">
        <v>3623</v>
      </c>
      <c r="C120" s="24" t="s">
        <v>328</v>
      </c>
      <c r="D120" s="24" t="s">
        <v>203</v>
      </c>
      <c r="E120" s="24" t="s">
        <v>329</v>
      </c>
      <c r="F120" s="25">
        <v>40</v>
      </c>
      <c r="G120" s="25">
        <v>60</v>
      </c>
      <c r="H120" s="25"/>
      <c r="I120" s="22">
        <v>100</v>
      </c>
      <c r="J120" s="112">
        <v>33.299999999999997</v>
      </c>
      <c r="K120" s="113">
        <v>0.74829999999999997</v>
      </c>
      <c r="L120" s="114" t="s">
        <v>3619</v>
      </c>
      <c r="M120" s="115" t="s">
        <v>3639</v>
      </c>
    </row>
    <row r="121" spans="1:13" ht="15.75" customHeight="1">
      <c r="A121" s="19">
        <v>119</v>
      </c>
      <c r="B121" s="107" t="s">
        <v>3623</v>
      </c>
      <c r="C121" s="20" t="s">
        <v>231</v>
      </c>
      <c r="D121" s="20" t="s">
        <v>203</v>
      </c>
      <c r="E121" s="20" t="s">
        <v>87</v>
      </c>
      <c r="F121" s="21">
        <v>30</v>
      </c>
      <c r="G121" s="21">
        <v>20</v>
      </c>
      <c r="H121" s="21"/>
      <c r="I121" s="22">
        <v>50</v>
      </c>
      <c r="J121" s="108">
        <v>16.7</v>
      </c>
      <c r="K121" s="113">
        <v>0.74829999999999997</v>
      </c>
      <c r="L121" s="114" t="s">
        <v>3619</v>
      </c>
      <c r="M121" s="115" t="s">
        <v>3639</v>
      </c>
    </row>
    <row r="122" spans="1:13" ht="15.75" customHeight="1">
      <c r="A122" s="23">
        <v>120</v>
      </c>
      <c r="B122" s="107" t="s">
        <v>3623</v>
      </c>
      <c r="C122" s="24" t="s">
        <v>205</v>
      </c>
      <c r="D122" s="24" t="s">
        <v>206</v>
      </c>
      <c r="E122" s="24" t="s">
        <v>32</v>
      </c>
      <c r="F122" s="25">
        <v>30</v>
      </c>
      <c r="G122" s="25">
        <v>20</v>
      </c>
      <c r="H122" s="25"/>
      <c r="I122" s="22">
        <v>50</v>
      </c>
      <c r="J122" s="112">
        <v>16.7</v>
      </c>
      <c r="K122" s="113">
        <v>0.74829999999999997</v>
      </c>
      <c r="L122" s="114" t="s">
        <v>3619</v>
      </c>
      <c r="M122" s="115" t="s">
        <v>3639</v>
      </c>
    </row>
    <row r="123" spans="1:13" ht="15.75" customHeight="1">
      <c r="A123" s="19">
        <v>121</v>
      </c>
      <c r="B123" s="107" t="s">
        <v>3623</v>
      </c>
      <c r="C123" s="20" t="s">
        <v>1933</v>
      </c>
      <c r="D123" s="20" t="s">
        <v>1925</v>
      </c>
      <c r="E123" s="20" t="s">
        <v>1909</v>
      </c>
      <c r="F123" s="21">
        <v>10</v>
      </c>
      <c r="G123" s="21">
        <v>15</v>
      </c>
      <c r="H123" s="21"/>
      <c r="I123" s="22">
        <v>25</v>
      </c>
      <c r="J123" s="108">
        <v>8.3000000000000007</v>
      </c>
      <c r="K123" s="113">
        <v>0.74829999999999997</v>
      </c>
      <c r="L123" s="114" t="s">
        <v>3619</v>
      </c>
      <c r="M123" s="115" t="s">
        <v>3639</v>
      </c>
    </row>
    <row r="124" spans="1:13" ht="15.75" customHeight="1">
      <c r="A124" s="23">
        <v>122</v>
      </c>
      <c r="B124" s="107" t="s">
        <v>3623</v>
      </c>
      <c r="C124" s="24" t="s">
        <v>373</v>
      </c>
      <c r="D124" s="24" t="s">
        <v>294</v>
      </c>
      <c r="E124" s="24" t="s">
        <v>374</v>
      </c>
      <c r="F124" s="25">
        <v>30</v>
      </c>
      <c r="G124" s="25">
        <v>20</v>
      </c>
      <c r="H124" s="25"/>
      <c r="I124" s="22">
        <v>50</v>
      </c>
      <c r="J124" s="112">
        <v>16.7</v>
      </c>
      <c r="K124" s="113">
        <v>0.74829999999999997</v>
      </c>
      <c r="L124" s="114" t="s">
        <v>3619</v>
      </c>
      <c r="M124" s="115" t="s">
        <v>3639</v>
      </c>
    </row>
    <row r="125" spans="1:13" ht="15.75" customHeight="1">
      <c r="A125" s="19">
        <v>123</v>
      </c>
      <c r="B125" s="107" t="s">
        <v>3623</v>
      </c>
      <c r="C125" s="20" t="s">
        <v>1667</v>
      </c>
      <c r="D125" s="20" t="s">
        <v>206</v>
      </c>
      <c r="E125" s="20" t="s">
        <v>1668</v>
      </c>
      <c r="F125" s="21">
        <v>2</v>
      </c>
      <c r="G125" s="21">
        <v>3</v>
      </c>
      <c r="H125" s="21"/>
      <c r="I125" s="22">
        <v>5</v>
      </c>
      <c r="J125" s="108">
        <v>1.7</v>
      </c>
      <c r="K125" s="113">
        <v>0.74829999999999997</v>
      </c>
      <c r="L125" s="114" t="s">
        <v>3619</v>
      </c>
      <c r="M125" s="115" t="s">
        <v>3639</v>
      </c>
    </row>
    <row r="126" spans="1:13" ht="15.75" customHeight="1">
      <c r="A126" s="23">
        <v>124</v>
      </c>
      <c r="B126" s="107" t="s">
        <v>3623</v>
      </c>
      <c r="C126" s="24" t="s">
        <v>2831</v>
      </c>
      <c r="D126" s="24" t="s">
        <v>203</v>
      </c>
      <c r="E126" s="24" t="s">
        <v>2832</v>
      </c>
      <c r="F126" s="25"/>
      <c r="G126" s="25">
        <v>20</v>
      </c>
      <c r="H126" s="25">
        <v>30</v>
      </c>
      <c r="I126" s="22">
        <v>95</v>
      </c>
      <c r="J126" s="112">
        <v>16.7</v>
      </c>
      <c r="K126" s="113">
        <v>0.74829999999999997</v>
      </c>
      <c r="L126" s="114" t="s">
        <v>3619</v>
      </c>
      <c r="M126" s="115" t="s">
        <v>3639</v>
      </c>
    </row>
    <row r="127" spans="1:13" ht="15.75" customHeight="1">
      <c r="A127" s="19">
        <v>125</v>
      </c>
      <c r="B127" s="107" t="s">
        <v>3623</v>
      </c>
      <c r="C127" s="20" t="s">
        <v>236</v>
      </c>
      <c r="D127" s="20" t="s">
        <v>203</v>
      </c>
      <c r="E127" s="20" t="s">
        <v>53</v>
      </c>
      <c r="F127" s="21">
        <v>40</v>
      </c>
      <c r="G127" s="21">
        <v>27</v>
      </c>
      <c r="H127" s="21"/>
      <c r="I127" s="22">
        <v>67</v>
      </c>
      <c r="J127" s="108">
        <v>22.3</v>
      </c>
      <c r="K127" s="113">
        <v>0.746</v>
      </c>
      <c r="L127" s="114" t="s">
        <v>3619</v>
      </c>
      <c r="M127" s="115" t="s">
        <v>3639</v>
      </c>
    </row>
    <row r="128" spans="1:13" ht="15.75" customHeight="1">
      <c r="A128" s="23">
        <v>126</v>
      </c>
      <c r="B128" s="107" t="s">
        <v>3623</v>
      </c>
      <c r="C128" s="24" t="s">
        <v>228</v>
      </c>
      <c r="D128" s="24" t="s">
        <v>203</v>
      </c>
      <c r="E128" s="24" t="s">
        <v>47</v>
      </c>
      <c r="F128" s="25">
        <v>62</v>
      </c>
      <c r="G128" s="25">
        <v>90</v>
      </c>
      <c r="H128" s="25"/>
      <c r="I128" s="22">
        <v>152</v>
      </c>
      <c r="J128" s="112">
        <v>50.7</v>
      </c>
      <c r="K128" s="113">
        <v>0.74219999999999997</v>
      </c>
      <c r="L128" s="114" t="s">
        <v>3619</v>
      </c>
      <c r="M128" s="115" t="s">
        <v>3639</v>
      </c>
    </row>
    <row r="129" spans="1:13" ht="15.75" customHeight="1">
      <c r="A129" s="19">
        <v>127</v>
      </c>
      <c r="B129" s="107" t="s">
        <v>3623</v>
      </c>
      <c r="C129" s="20" t="s">
        <v>2835</v>
      </c>
      <c r="D129" s="20" t="s">
        <v>203</v>
      </c>
      <c r="E129" s="20" t="s">
        <v>1578</v>
      </c>
      <c r="F129" s="21"/>
      <c r="G129" s="21">
        <v>10</v>
      </c>
      <c r="H129" s="21">
        <v>14</v>
      </c>
      <c r="I129" s="22">
        <v>36</v>
      </c>
      <c r="J129" s="108">
        <v>8</v>
      </c>
      <c r="K129" s="113">
        <v>0.73599999999999999</v>
      </c>
      <c r="L129" s="114" t="s">
        <v>3619</v>
      </c>
      <c r="M129" s="115" t="s">
        <v>3639</v>
      </c>
    </row>
    <row r="130" spans="1:13" ht="15.75" customHeight="1">
      <c r="A130" s="23">
        <v>128</v>
      </c>
      <c r="B130" s="107" t="s">
        <v>3623</v>
      </c>
      <c r="C130" s="24" t="s">
        <v>286</v>
      </c>
      <c r="D130" s="24" t="s">
        <v>283</v>
      </c>
      <c r="E130" s="24" t="s">
        <v>32</v>
      </c>
      <c r="F130" s="25">
        <v>31</v>
      </c>
      <c r="G130" s="25"/>
      <c r="H130" s="25">
        <v>23</v>
      </c>
      <c r="I130" s="22">
        <v>54</v>
      </c>
      <c r="J130" s="112">
        <v>18</v>
      </c>
      <c r="K130" s="113">
        <v>0.73</v>
      </c>
      <c r="L130" s="114" t="s">
        <v>3619</v>
      </c>
      <c r="M130" s="115" t="s">
        <v>3639</v>
      </c>
    </row>
    <row r="131" spans="1:13" ht="15.75" customHeight="1">
      <c r="A131" s="19">
        <v>129</v>
      </c>
      <c r="B131" s="107" t="s">
        <v>3623</v>
      </c>
      <c r="C131" s="20" t="s">
        <v>2864</v>
      </c>
      <c r="D131" s="20" t="s">
        <v>1908</v>
      </c>
      <c r="E131" s="20" t="s">
        <v>1904</v>
      </c>
      <c r="F131" s="21"/>
      <c r="G131" s="21">
        <v>20</v>
      </c>
      <c r="H131" s="21">
        <v>15</v>
      </c>
      <c r="I131" s="22">
        <v>35</v>
      </c>
      <c r="J131" s="108">
        <v>11.7</v>
      </c>
      <c r="K131" s="113">
        <v>0.72840000000000005</v>
      </c>
      <c r="L131" s="114" t="s">
        <v>3619</v>
      </c>
      <c r="M131" s="115" t="s">
        <v>3639</v>
      </c>
    </row>
    <row r="132" spans="1:13" ht="15.75" customHeight="1">
      <c r="A132" s="23">
        <v>130</v>
      </c>
      <c r="B132" s="107" t="s">
        <v>3623</v>
      </c>
      <c r="C132" s="24" t="s">
        <v>372</v>
      </c>
      <c r="D132" s="24" t="s">
        <v>169</v>
      </c>
      <c r="E132" s="24" t="s">
        <v>182</v>
      </c>
      <c r="F132" s="25">
        <v>8</v>
      </c>
      <c r="G132" s="25">
        <v>10</v>
      </c>
      <c r="H132" s="25"/>
      <c r="I132" s="22">
        <v>18</v>
      </c>
      <c r="J132" s="112">
        <v>6</v>
      </c>
      <c r="K132" s="113">
        <v>0.72009999999999996</v>
      </c>
      <c r="L132" s="114" t="s">
        <v>3619</v>
      </c>
      <c r="M132" s="115" t="s">
        <v>3639</v>
      </c>
    </row>
    <row r="133" spans="1:13" ht="15.75" customHeight="1">
      <c r="A133" s="19">
        <v>131</v>
      </c>
      <c r="B133" s="107" t="s">
        <v>3623</v>
      </c>
      <c r="C133" s="20" t="s">
        <v>307</v>
      </c>
      <c r="D133" s="20" t="s">
        <v>169</v>
      </c>
      <c r="E133" s="20" t="s">
        <v>118</v>
      </c>
      <c r="F133" s="21">
        <v>40</v>
      </c>
      <c r="G133" s="21"/>
      <c r="H133" s="21">
        <v>50</v>
      </c>
      <c r="I133" s="22">
        <v>140</v>
      </c>
      <c r="J133" s="108">
        <v>30</v>
      </c>
      <c r="K133" s="113">
        <v>0.72009999999999996</v>
      </c>
      <c r="L133" s="114" t="s">
        <v>3619</v>
      </c>
      <c r="M133" s="115" t="s">
        <v>3639</v>
      </c>
    </row>
    <row r="134" spans="1:13" ht="15.75" customHeight="1">
      <c r="A134" s="23">
        <v>132</v>
      </c>
      <c r="B134" s="107" t="s">
        <v>3623</v>
      </c>
      <c r="C134" s="24" t="s">
        <v>192</v>
      </c>
      <c r="D134" s="24" t="s">
        <v>180</v>
      </c>
      <c r="E134" s="24" t="s">
        <v>55</v>
      </c>
      <c r="F134" s="25">
        <v>5</v>
      </c>
      <c r="G134" s="25"/>
      <c r="H134" s="25">
        <v>4</v>
      </c>
      <c r="I134" s="22">
        <v>9</v>
      </c>
      <c r="J134" s="112">
        <v>3</v>
      </c>
      <c r="K134" s="113">
        <v>0.72009999999999996</v>
      </c>
      <c r="L134" s="114" t="s">
        <v>3619</v>
      </c>
      <c r="M134" s="115" t="s">
        <v>3639</v>
      </c>
    </row>
    <row r="135" spans="1:13" ht="15.75" customHeight="1">
      <c r="A135" s="19">
        <v>133</v>
      </c>
      <c r="B135" s="107" t="s">
        <v>3623</v>
      </c>
      <c r="C135" s="20" t="s">
        <v>2877</v>
      </c>
      <c r="D135" s="20" t="s">
        <v>1925</v>
      </c>
      <c r="E135" s="20" t="s">
        <v>1913</v>
      </c>
      <c r="F135" s="21"/>
      <c r="G135" s="21">
        <v>36</v>
      </c>
      <c r="H135" s="21">
        <v>45</v>
      </c>
      <c r="I135" s="22">
        <v>81</v>
      </c>
      <c r="J135" s="108">
        <v>27</v>
      </c>
      <c r="K135" s="113">
        <v>0.72009999999999996</v>
      </c>
      <c r="L135" s="114" t="s">
        <v>3619</v>
      </c>
      <c r="M135" s="115" t="s">
        <v>3639</v>
      </c>
    </row>
    <row r="136" spans="1:13" ht="15.75" customHeight="1">
      <c r="A136" s="23">
        <v>134</v>
      </c>
      <c r="B136" s="107" t="s">
        <v>3623</v>
      </c>
      <c r="C136" s="24" t="s">
        <v>2821</v>
      </c>
      <c r="D136" s="24" t="s">
        <v>1544</v>
      </c>
      <c r="E136" s="24" t="s">
        <v>2822</v>
      </c>
      <c r="F136" s="25"/>
      <c r="G136" s="25">
        <v>10</v>
      </c>
      <c r="H136" s="25">
        <v>8</v>
      </c>
      <c r="I136" s="22">
        <v>18</v>
      </c>
      <c r="J136" s="112">
        <v>6</v>
      </c>
      <c r="K136" s="113">
        <v>0.72009999999999996</v>
      </c>
      <c r="L136" s="114" t="s">
        <v>3619</v>
      </c>
      <c r="M136" s="115" t="s">
        <v>3639</v>
      </c>
    </row>
    <row r="137" spans="1:13" ht="15.75" customHeight="1">
      <c r="A137" s="19">
        <v>135</v>
      </c>
      <c r="B137" s="107" t="s">
        <v>3623</v>
      </c>
      <c r="C137" s="20" t="s">
        <v>398</v>
      </c>
      <c r="D137" s="20" t="s">
        <v>169</v>
      </c>
      <c r="E137" s="20" t="s">
        <v>24</v>
      </c>
      <c r="F137" s="21">
        <v>23</v>
      </c>
      <c r="G137" s="21"/>
      <c r="H137" s="21">
        <v>28</v>
      </c>
      <c r="I137" s="22">
        <v>71</v>
      </c>
      <c r="J137" s="108">
        <v>17</v>
      </c>
      <c r="K137" s="113">
        <v>0.71719999999999995</v>
      </c>
      <c r="L137" s="114" t="s">
        <v>3619</v>
      </c>
      <c r="M137" s="115" t="s">
        <v>3639</v>
      </c>
    </row>
    <row r="138" spans="1:13" ht="15.75" customHeight="1">
      <c r="A138" s="23">
        <v>136</v>
      </c>
      <c r="B138" s="107" t="s">
        <v>3623</v>
      </c>
      <c r="C138" s="24" t="s">
        <v>1835</v>
      </c>
      <c r="D138" s="24" t="s">
        <v>271</v>
      </c>
      <c r="E138" s="24" t="s">
        <v>1678</v>
      </c>
      <c r="F138" s="25">
        <v>5</v>
      </c>
      <c r="G138" s="25"/>
      <c r="H138" s="25">
        <v>6</v>
      </c>
      <c r="I138" s="22">
        <v>21</v>
      </c>
      <c r="J138" s="112">
        <v>3.7</v>
      </c>
      <c r="K138" s="113">
        <v>0.71579999999999999</v>
      </c>
      <c r="L138" s="114" t="s">
        <v>3619</v>
      </c>
      <c r="M138" s="115" t="s">
        <v>3639</v>
      </c>
    </row>
    <row r="139" spans="1:13" ht="15.75" customHeight="1">
      <c r="A139" s="19">
        <v>137</v>
      </c>
      <c r="B139" s="107" t="s">
        <v>3623</v>
      </c>
      <c r="C139" s="20" t="s">
        <v>213</v>
      </c>
      <c r="D139" s="20" t="s">
        <v>211</v>
      </c>
      <c r="E139" s="20" t="s">
        <v>121</v>
      </c>
      <c r="F139" s="21">
        <v>6</v>
      </c>
      <c r="G139" s="21"/>
      <c r="H139" s="21">
        <v>7</v>
      </c>
      <c r="I139" s="22">
        <v>13</v>
      </c>
      <c r="J139" s="108">
        <v>4.3</v>
      </c>
      <c r="K139" s="113">
        <v>0.71340000000000003</v>
      </c>
      <c r="L139" s="114" t="s">
        <v>3619</v>
      </c>
      <c r="M139" s="115" t="s">
        <v>3639</v>
      </c>
    </row>
    <row r="140" spans="1:13" ht="15.75" customHeight="1">
      <c r="A140" s="23">
        <v>138</v>
      </c>
      <c r="B140" s="107" t="s">
        <v>3623</v>
      </c>
      <c r="C140" s="24" t="s">
        <v>188</v>
      </c>
      <c r="D140" s="24" t="s">
        <v>180</v>
      </c>
      <c r="E140" s="24" t="s">
        <v>87</v>
      </c>
      <c r="F140" s="25">
        <v>12</v>
      </c>
      <c r="G140" s="25"/>
      <c r="H140" s="25">
        <v>14</v>
      </c>
      <c r="I140" s="22">
        <v>33</v>
      </c>
      <c r="J140" s="112">
        <v>8.6999999999999993</v>
      </c>
      <c r="K140" s="113">
        <v>0.71340000000000003</v>
      </c>
      <c r="L140" s="114" t="s">
        <v>3619</v>
      </c>
      <c r="M140" s="115" t="s">
        <v>3639</v>
      </c>
    </row>
    <row r="141" spans="1:13" ht="15.75" customHeight="1">
      <c r="A141" s="19">
        <v>139</v>
      </c>
      <c r="B141" s="107" t="s">
        <v>3623</v>
      </c>
      <c r="C141" s="20" t="s">
        <v>172</v>
      </c>
      <c r="D141" s="20" t="s">
        <v>169</v>
      </c>
      <c r="E141" s="20" t="s">
        <v>173</v>
      </c>
      <c r="F141" s="21">
        <v>20</v>
      </c>
      <c r="G141" s="21"/>
      <c r="H141" s="21">
        <v>23</v>
      </c>
      <c r="I141" s="22">
        <v>43</v>
      </c>
      <c r="J141" s="108">
        <v>14.3</v>
      </c>
      <c r="K141" s="113">
        <v>0.71230000000000004</v>
      </c>
      <c r="L141" s="114" t="s">
        <v>3619</v>
      </c>
      <c r="M141" s="115" t="s">
        <v>3639</v>
      </c>
    </row>
    <row r="142" spans="1:13" ht="15.75" customHeight="1">
      <c r="A142" s="23">
        <v>140</v>
      </c>
      <c r="B142" s="107" t="s">
        <v>3623</v>
      </c>
      <c r="C142" s="24" t="s">
        <v>1646</v>
      </c>
      <c r="D142" s="24" t="s">
        <v>169</v>
      </c>
      <c r="E142" s="24" t="s">
        <v>1647</v>
      </c>
      <c r="F142" s="25">
        <v>14</v>
      </c>
      <c r="G142" s="25">
        <v>16</v>
      </c>
      <c r="H142" s="25"/>
      <c r="I142" s="22">
        <v>30</v>
      </c>
      <c r="J142" s="112">
        <v>10</v>
      </c>
      <c r="K142" s="113">
        <v>0.71179999999999999</v>
      </c>
      <c r="L142" s="114" t="s">
        <v>3619</v>
      </c>
      <c r="M142" s="115" t="s">
        <v>3639</v>
      </c>
    </row>
    <row r="143" spans="1:13" ht="15.75" customHeight="1">
      <c r="A143" s="19">
        <v>141</v>
      </c>
      <c r="B143" s="107" t="s">
        <v>3623</v>
      </c>
      <c r="C143" s="20" t="s">
        <v>1743</v>
      </c>
      <c r="D143" s="20" t="s">
        <v>203</v>
      </c>
      <c r="E143" s="20" t="s">
        <v>1744</v>
      </c>
      <c r="F143" s="21">
        <v>3</v>
      </c>
      <c r="G143" s="21">
        <v>2</v>
      </c>
      <c r="H143" s="21">
        <v>10</v>
      </c>
      <c r="I143" s="22">
        <v>26</v>
      </c>
      <c r="J143" s="108">
        <v>5</v>
      </c>
      <c r="K143" s="113">
        <v>0.71179999999999999</v>
      </c>
      <c r="L143" s="114" t="s">
        <v>3619</v>
      </c>
      <c r="M143" s="115" t="s">
        <v>3639</v>
      </c>
    </row>
    <row r="144" spans="1:13" ht="15.75" customHeight="1">
      <c r="A144" s="23">
        <v>142</v>
      </c>
      <c r="B144" s="107" t="s">
        <v>3623</v>
      </c>
      <c r="C144" s="24" t="s">
        <v>1782</v>
      </c>
      <c r="D144" s="24" t="s">
        <v>253</v>
      </c>
      <c r="E144" s="24" t="s">
        <v>1783</v>
      </c>
      <c r="F144" s="25">
        <v>8</v>
      </c>
      <c r="G144" s="25">
        <v>7</v>
      </c>
      <c r="H144" s="25"/>
      <c r="I144" s="22">
        <v>15</v>
      </c>
      <c r="J144" s="112">
        <v>5</v>
      </c>
      <c r="K144" s="113">
        <v>0.71179999999999999</v>
      </c>
      <c r="L144" s="114" t="s">
        <v>3619</v>
      </c>
      <c r="M144" s="115" t="s">
        <v>3639</v>
      </c>
    </row>
    <row r="145" spans="1:13" ht="15.75" customHeight="1">
      <c r="A145" s="19">
        <v>143</v>
      </c>
      <c r="B145" s="107" t="s">
        <v>3623</v>
      </c>
      <c r="C145" s="20" t="s">
        <v>168</v>
      </c>
      <c r="D145" s="20" t="s">
        <v>169</v>
      </c>
      <c r="E145" s="20" t="s">
        <v>170</v>
      </c>
      <c r="F145" s="21">
        <v>15</v>
      </c>
      <c r="G145" s="21">
        <v>16</v>
      </c>
      <c r="H145" s="21"/>
      <c r="I145" s="22">
        <v>38</v>
      </c>
      <c r="J145" s="108">
        <v>10.3</v>
      </c>
      <c r="K145" s="113">
        <v>0.70820000000000005</v>
      </c>
      <c r="L145" s="114" t="s">
        <v>3619</v>
      </c>
      <c r="M145" s="115" t="s">
        <v>3639</v>
      </c>
    </row>
    <row r="146" spans="1:13" ht="15.75" customHeight="1">
      <c r="A146" s="23">
        <v>144</v>
      </c>
      <c r="B146" s="107" t="s">
        <v>3623</v>
      </c>
      <c r="C146" s="24" t="s">
        <v>197</v>
      </c>
      <c r="D146" s="24" t="s">
        <v>198</v>
      </c>
      <c r="E146" s="24" t="s">
        <v>42</v>
      </c>
      <c r="F146" s="25">
        <v>34</v>
      </c>
      <c r="G146" s="25"/>
      <c r="H146" s="25">
        <v>35</v>
      </c>
      <c r="I146" s="22">
        <v>69</v>
      </c>
      <c r="J146" s="112">
        <v>23</v>
      </c>
      <c r="K146" s="113">
        <v>0.70730000000000004</v>
      </c>
      <c r="L146" s="114" t="s">
        <v>3619</v>
      </c>
      <c r="M146" s="115" t="s">
        <v>3639</v>
      </c>
    </row>
    <row r="147" spans="1:13" ht="15.75" customHeight="1">
      <c r="A147" s="19">
        <v>145</v>
      </c>
      <c r="B147" s="107" t="s">
        <v>3623</v>
      </c>
      <c r="C147" s="20" t="s">
        <v>245</v>
      </c>
      <c r="D147" s="20" t="s">
        <v>244</v>
      </c>
      <c r="E147" s="20" t="s">
        <v>32</v>
      </c>
      <c r="F147" s="21">
        <v>2</v>
      </c>
      <c r="G147" s="21"/>
      <c r="H147" s="21">
        <v>2</v>
      </c>
      <c r="I147" s="22">
        <v>4</v>
      </c>
      <c r="J147" s="108">
        <v>1.3</v>
      </c>
      <c r="K147" s="113">
        <v>0.70709999999999995</v>
      </c>
      <c r="L147" s="114" t="s">
        <v>3619</v>
      </c>
      <c r="M147" s="115" t="s">
        <v>3639</v>
      </c>
    </row>
    <row r="148" spans="1:13" ht="15.75" customHeight="1">
      <c r="A148" s="23">
        <v>146</v>
      </c>
      <c r="B148" s="107" t="s">
        <v>3623</v>
      </c>
      <c r="C148" s="24" t="s">
        <v>392</v>
      </c>
      <c r="D148" s="24" t="s">
        <v>294</v>
      </c>
      <c r="E148" s="24" t="s">
        <v>393</v>
      </c>
      <c r="F148" s="25">
        <v>20</v>
      </c>
      <c r="G148" s="25">
        <v>20</v>
      </c>
      <c r="H148" s="25"/>
      <c r="I148" s="22">
        <v>40</v>
      </c>
      <c r="J148" s="112">
        <v>13.3</v>
      </c>
      <c r="K148" s="113">
        <v>0.70709999999999995</v>
      </c>
      <c r="L148" s="114" t="s">
        <v>3619</v>
      </c>
      <c r="M148" s="115" t="s">
        <v>3639</v>
      </c>
    </row>
    <row r="149" spans="1:13" ht="15.75" customHeight="1">
      <c r="A149" s="19">
        <v>147</v>
      </c>
      <c r="B149" s="107" t="s">
        <v>3623</v>
      </c>
      <c r="C149" s="20" t="s">
        <v>1934</v>
      </c>
      <c r="D149" s="20" t="s">
        <v>362</v>
      </c>
      <c r="E149" s="20" t="s">
        <v>1935</v>
      </c>
      <c r="F149" s="21">
        <v>20</v>
      </c>
      <c r="G149" s="21">
        <v>20</v>
      </c>
      <c r="H149" s="21"/>
      <c r="I149" s="22">
        <v>90</v>
      </c>
      <c r="J149" s="108">
        <v>13.3</v>
      </c>
      <c r="K149" s="113">
        <v>0.70709999999999995</v>
      </c>
      <c r="L149" s="114" t="s">
        <v>3619</v>
      </c>
      <c r="M149" s="115" t="s">
        <v>3639</v>
      </c>
    </row>
    <row r="150" spans="1:13" ht="15.75" customHeight="1">
      <c r="A150" s="23">
        <v>148</v>
      </c>
      <c r="B150" s="107" t="s">
        <v>3623</v>
      </c>
      <c r="C150" s="24" t="s">
        <v>250</v>
      </c>
      <c r="D150" s="24" t="s">
        <v>244</v>
      </c>
      <c r="E150" s="24" t="s">
        <v>87</v>
      </c>
      <c r="F150" s="25">
        <v>2</v>
      </c>
      <c r="G150" s="25">
        <v>2</v>
      </c>
      <c r="H150" s="25"/>
      <c r="I150" s="22">
        <v>4</v>
      </c>
      <c r="J150" s="112">
        <v>1.3</v>
      </c>
      <c r="K150" s="113">
        <v>0.70709999999999995</v>
      </c>
      <c r="L150" s="114" t="s">
        <v>3619</v>
      </c>
      <c r="M150" s="115" t="s">
        <v>3639</v>
      </c>
    </row>
    <row r="151" spans="1:13" ht="15.75" customHeight="1">
      <c r="A151" s="19">
        <v>149</v>
      </c>
      <c r="B151" s="107" t="s">
        <v>3623</v>
      </c>
      <c r="C151" s="20" t="s">
        <v>2857</v>
      </c>
      <c r="D151" s="20" t="s">
        <v>203</v>
      </c>
      <c r="E151" s="20" t="s">
        <v>374</v>
      </c>
      <c r="F151" s="21"/>
      <c r="G151" s="21">
        <v>20</v>
      </c>
      <c r="H151" s="21">
        <v>20</v>
      </c>
      <c r="I151" s="22">
        <v>40</v>
      </c>
      <c r="J151" s="108">
        <v>13.3</v>
      </c>
      <c r="K151" s="113">
        <v>0.70709999999999995</v>
      </c>
      <c r="L151" s="114" t="s">
        <v>3619</v>
      </c>
      <c r="M151" s="115" t="s">
        <v>3639</v>
      </c>
    </row>
    <row r="152" spans="1:13" ht="15.75" customHeight="1">
      <c r="A152" s="23">
        <v>150</v>
      </c>
      <c r="B152" s="107" t="s">
        <v>3623</v>
      </c>
      <c r="C152" s="24" t="s">
        <v>2376</v>
      </c>
      <c r="D152" s="24" t="s">
        <v>244</v>
      </c>
      <c r="E152" s="24" t="s">
        <v>121</v>
      </c>
      <c r="F152" s="25"/>
      <c r="G152" s="25">
        <v>4</v>
      </c>
      <c r="H152" s="25">
        <v>4</v>
      </c>
      <c r="I152" s="22">
        <v>8</v>
      </c>
      <c r="J152" s="112">
        <v>2.7</v>
      </c>
      <c r="K152" s="113">
        <v>0.70709999999999995</v>
      </c>
      <c r="L152" s="114" t="s">
        <v>3619</v>
      </c>
      <c r="M152" s="115" t="s">
        <v>3639</v>
      </c>
    </row>
    <row r="153" spans="1:13" ht="15.75" customHeight="1">
      <c r="A153" s="19">
        <v>151</v>
      </c>
      <c r="B153" s="107" t="s">
        <v>3623</v>
      </c>
      <c r="C153" s="20" t="s">
        <v>2851</v>
      </c>
      <c r="D153" s="20" t="s">
        <v>278</v>
      </c>
      <c r="E153" s="20" t="s">
        <v>2852</v>
      </c>
      <c r="F153" s="21"/>
      <c r="G153" s="21">
        <v>5</v>
      </c>
      <c r="H153" s="21">
        <v>5</v>
      </c>
      <c r="I153" s="22">
        <v>10</v>
      </c>
      <c r="J153" s="108">
        <v>3.3</v>
      </c>
      <c r="K153" s="113">
        <v>0.70709999999999995</v>
      </c>
      <c r="L153" s="114" t="s">
        <v>3619</v>
      </c>
      <c r="M153" s="115" t="s">
        <v>3639</v>
      </c>
    </row>
    <row r="154" spans="1:13" ht="15.75" customHeight="1">
      <c r="A154" s="23">
        <v>152</v>
      </c>
      <c r="B154" s="107" t="s">
        <v>3623</v>
      </c>
      <c r="C154" s="24" t="s">
        <v>2833</v>
      </c>
      <c r="D154" s="24" t="s">
        <v>203</v>
      </c>
      <c r="E154" s="24" t="s">
        <v>2834</v>
      </c>
      <c r="F154" s="25"/>
      <c r="G154" s="25">
        <v>20</v>
      </c>
      <c r="H154" s="25">
        <v>20</v>
      </c>
      <c r="I154" s="22">
        <v>85</v>
      </c>
      <c r="J154" s="112">
        <v>13.3</v>
      </c>
      <c r="K154" s="113">
        <v>0.70709999999999995</v>
      </c>
      <c r="L154" s="114" t="s">
        <v>3619</v>
      </c>
      <c r="M154" s="115" t="s">
        <v>3639</v>
      </c>
    </row>
    <row r="155" spans="1:13" ht="15.75" customHeight="1">
      <c r="A155" s="19">
        <v>153</v>
      </c>
      <c r="B155" s="107" t="s">
        <v>3623</v>
      </c>
      <c r="C155" s="20" t="s">
        <v>1768</v>
      </c>
      <c r="D155" s="20" t="s">
        <v>244</v>
      </c>
      <c r="E155" s="20" t="s">
        <v>1678</v>
      </c>
      <c r="F155" s="21">
        <v>10</v>
      </c>
      <c r="G155" s="21">
        <v>20</v>
      </c>
      <c r="H155" s="21">
        <v>2</v>
      </c>
      <c r="I155" s="22">
        <v>32</v>
      </c>
      <c r="J155" s="108">
        <v>10.7</v>
      </c>
      <c r="K155" s="113">
        <v>0.69030000000000002</v>
      </c>
      <c r="L155" s="114" t="s">
        <v>3619</v>
      </c>
      <c r="M155" s="115" t="s">
        <v>3639</v>
      </c>
    </row>
    <row r="156" spans="1:13" ht="15.75" customHeight="1">
      <c r="A156" s="23">
        <v>154</v>
      </c>
      <c r="B156" s="107" t="s">
        <v>3623</v>
      </c>
      <c r="C156" s="24" t="s">
        <v>221</v>
      </c>
      <c r="D156" s="24" t="s">
        <v>203</v>
      </c>
      <c r="E156" s="24" t="s">
        <v>222</v>
      </c>
      <c r="F156" s="25">
        <v>1</v>
      </c>
      <c r="G156" s="25">
        <v>25</v>
      </c>
      <c r="H156" s="25">
        <v>20</v>
      </c>
      <c r="I156" s="22">
        <v>46</v>
      </c>
      <c r="J156" s="112">
        <v>15.3</v>
      </c>
      <c r="K156" s="113">
        <v>0.67430000000000001</v>
      </c>
      <c r="L156" s="114" t="s">
        <v>3619</v>
      </c>
      <c r="M156" s="115" t="s">
        <v>3639</v>
      </c>
    </row>
    <row r="157" spans="1:13" ht="15.75" customHeight="1">
      <c r="A157" s="19">
        <v>155</v>
      </c>
      <c r="B157" s="107" t="s">
        <v>3623</v>
      </c>
      <c r="C157" s="20" t="s">
        <v>1569</v>
      </c>
      <c r="D157" s="20" t="s">
        <v>194</v>
      </c>
      <c r="E157" s="20" t="s">
        <v>1570</v>
      </c>
      <c r="F157" s="21">
        <v>22</v>
      </c>
      <c r="G157" s="21">
        <v>22</v>
      </c>
      <c r="H157" s="21">
        <v>1</v>
      </c>
      <c r="I157" s="22">
        <v>45</v>
      </c>
      <c r="J157" s="108">
        <v>15</v>
      </c>
      <c r="K157" s="113">
        <v>0.66</v>
      </c>
      <c r="L157" s="114" t="s">
        <v>3619</v>
      </c>
      <c r="M157" s="115" t="s">
        <v>3639</v>
      </c>
    </row>
    <row r="158" spans="1:13" ht="15.75" customHeight="1">
      <c r="A158" s="23">
        <v>156</v>
      </c>
      <c r="B158" s="107" t="s">
        <v>3623</v>
      </c>
      <c r="C158" s="24" t="s">
        <v>1548</v>
      </c>
      <c r="D158" s="24" t="s">
        <v>448</v>
      </c>
      <c r="E158" s="24" t="s">
        <v>1549</v>
      </c>
      <c r="F158" s="25">
        <v>20</v>
      </c>
      <c r="G158" s="25">
        <v>10</v>
      </c>
      <c r="H158" s="25">
        <v>50</v>
      </c>
      <c r="I158" s="22">
        <v>105</v>
      </c>
      <c r="J158" s="112">
        <v>26.7</v>
      </c>
      <c r="K158" s="113">
        <v>0.63739999999999997</v>
      </c>
      <c r="L158" s="114" t="s">
        <v>3619</v>
      </c>
      <c r="M158" s="115" t="s">
        <v>3639</v>
      </c>
    </row>
    <row r="159" spans="1:13" ht="15.75" customHeight="1">
      <c r="A159" s="19">
        <v>157</v>
      </c>
      <c r="B159" s="107" t="s">
        <v>3623</v>
      </c>
      <c r="C159" s="20" t="s">
        <v>1558</v>
      </c>
      <c r="D159" s="20" t="s">
        <v>211</v>
      </c>
      <c r="E159" s="20" t="s">
        <v>1559</v>
      </c>
      <c r="F159" s="21">
        <v>10</v>
      </c>
      <c r="G159" s="21">
        <v>3</v>
      </c>
      <c r="H159" s="21">
        <v>20</v>
      </c>
      <c r="I159" s="22">
        <v>33</v>
      </c>
      <c r="J159" s="108">
        <v>11</v>
      </c>
      <c r="K159" s="113">
        <v>0.63419999999999999</v>
      </c>
      <c r="L159" s="114" t="s">
        <v>3619</v>
      </c>
      <c r="M159" s="115" t="s">
        <v>3639</v>
      </c>
    </row>
    <row r="160" spans="1:13" ht="15.75" customHeight="1">
      <c r="A160" s="23">
        <v>158</v>
      </c>
      <c r="B160" s="107" t="s">
        <v>3623</v>
      </c>
      <c r="C160" s="24" t="s">
        <v>1710</v>
      </c>
      <c r="D160" s="24" t="s">
        <v>211</v>
      </c>
      <c r="E160" s="24" t="s">
        <v>1682</v>
      </c>
      <c r="F160" s="25">
        <v>7</v>
      </c>
      <c r="G160" s="25">
        <v>27</v>
      </c>
      <c r="H160" s="25">
        <v>9</v>
      </c>
      <c r="I160" s="22">
        <v>43</v>
      </c>
      <c r="J160" s="112">
        <v>14.3</v>
      </c>
      <c r="K160" s="113">
        <v>0.62749999999999995</v>
      </c>
      <c r="L160" s="114" t="s">
        <v>3619</v>
      </c>
      <c r="M160" s="115" t="s">
        <v>3639</v>
      </c>
    </row>
    <row r="161" spans="1:13" ht="15.75" customHeight="1">
      <c r="A161" s="19">
        <v>159</v>
      </c>
      <c r="B161" s="107" t="s">
        <v>3623</v>
      </c>
      <c r="C161" s="20" t="s">
        <v>255</v>
      </c>
      <c r="D161" s="20" t="s">
        <v>253</v>
      </c>
      <c r="E161" s="20" t="s">
        <v>45</v>
      </c>
      <c r="F161" s="21">
        <v>10</v>
      </c>
      <c r="G161" s="21">
        <v>26</v>
      </c>
      <c r="H161" s="21">
        <v>6</v>
      </c>
      <c r="I161" s="22">
        <v>42</v>
      </c>
      <c r="J161" s="108">
        <v>14</v>
      </c>
      <c r="K161" s="113">
        <v>0.61719999999999997</v>
      </c>
      <c r="L161" s="114" t="s">
        <v>3619</v>
      </c>
      <c r="M161" s="115" t="s">
        <v>3639</v>
      </c>
    </row>
    <row r="162" spans="1:13" ht="15.75" customHeight="1">
      <c r="A162" s="23">
        <v>160</v>
      </c>
      <c r="B162" s="107" t="s">
        <v>3623</v>
      </c>
      <c r="C162" s="24" t="s">
        <v>1550</v>
      </c>
      <c r="D162" s="24" t="s">
        <v>448</v>
      </c>
      <c r="E162" s="24" t="s">
        <v>1551</v>
      </c>
      <c r="F162" s="25">
        <v>10</v>
      </c>
      <c r="G162" s="25">
        <v>30</v>
      </c>
      <c r="H162" s="25">
        <v>60</v>
      </c>
      <c r="I162" s="22">
        <v>100</v>
      </c>
      <c r="J162" s="112">
        <v>33.299999999999997</v>
      </c>
      <c r="K162" s="113">
        <v>0.61639999999999995</v>
      </c>
      <c r="L162" s="114" t="s">
        <v>3619</v>
      </c>
      <c r="M162" s="115" t="s">
        <v>3639</v>
      </c>
    </row>
    <row r="163" spans="1:13" ht="15.75" customHeight="1">
      <c r="A163" s="19">
        <v>161</v>
      </c>
      <c r="B163" s="107" t="s">
        <v>3623</v>
      </c>
      <c r="C163" s="20" t="s">
        <v>1592</v>
      </c>
      <c r="D163" s="20" t="s">
        <v>263</v>
      </c>
      <c r="E163" s="20" t="s">
        <v>1593</v>
      </c>
      <c r="F163" s="21">
        <v>50</v>
      </c>
      <c r="G163" s="21">
        <v>45</v>
      </c>
      <c r="H163" s="21">
        <v>5</v>
      </c>
      <c r="I163" s="22">
        <v>100</v>
      </c>
      <c r="J163" s="108">
        <v>33.299999999999997</v>
      </c>
      <c r="K163" s="113">
        <v>0.60419999999999996</v>
      </c>
      <c r="L163" s="114" t="s">
        <v>3619</v>
      </c>
      <c r="M163" s="115" t="s">
        <v>3639</v>
      </c>
    </row>
    <row r="164" spans="1:13" ht="15.75" customHeight="1">
      <c r="A164" s="23">
        <v>162</v>
      </c>
      <c r="B164" s="107" t="s">
        <v>3623</v>
      </c>
      <c r="C164" s="24" t="s">
        <v>268</v>
      </c>
      <c r="D164" s="24" t="s">
        <v>263</v>
      </c>
      <c r="E164" s="24" t="s">
        <v>24</v>
      </c>
      <c r="F164" s="25">
        <v>37</v>
      </c>
      <c r="G164" s="25">
        <v>4</v>
      </c>
      <c r="H164" s="25">
        <v>32</v>
      </c>
      <c r="I164" s="22">
        <v>73</v>
      </c>
      <c r="J164" s="112">
        <v>24.3</v>
      </c>
      <c r="K164" s="113">
        <v>0.5968</v>
      </c>
      <c r="L164" s="114" t="s">
        <v>3619</v>
      </c>
      <c r="M164" s="115" t="s">
        <v>3639</v>
      </c>
    </row>
    <row r="165" spans="1:13" ht="15.75" customHeight="1">
      <c r="A165" s="19">
        <v>163</v>
      </c>
      <c r="B165" s="107" t="s">
        <v>3623</v>
      </c>
      <c r="C165" s="20" t="s">
        <v>233</v>
      </c>
      <c r="D165" s="20" t="s">
        <v>203</v>
      </c>
      <c r="E165" s="20" t="s">
        <v>50</v>
      </c>
      <c r="F165" s="21">
        <v>70</v>
      </c>
      <c r="G165" s="21">
        <v>16</v>
      </c>
      <c r="H165" s="21">
        <v>30</v>
      </c>
      <c r="I165" s="22">
        <v>116</v>
      </c>
      <c r="J165" s="108">
        <v>38.700000000000003</v>
      </c>
      <c r="K165" s="113">
        <v>0.59179999999999999</v>
      </c>
      <c r="L165" s="114" t="s">
        <v>3619</v>
      </c>
      <c r="M165" s="115" t="s">
        <v>3639</v>
      </c>
    </row>
    <row r="166" spans="1:13" ht="15.75" customHeight="1">
      <c r="A166" s="23">
        <v>164</v>
      </c>
      <c r="B166" s="107" t="s">
        <v>3623</v>
      </c>
      <c r="C166" s="24" t="s">
        <v>1912</v>
      </c>
      <c r="D166" s="24" t="s">
        <v>1908</v>
      </c>
      <c r="E166" s="24" t="s">
        <v>1913</v>
      </c>
      <c r="F166" s="25">
        <v>10</v>
      </c>
      <c r="G166" s="25">
        <v>53</v>
      </c>
      <c r="H166" s="25">
        <v>75</v>
      </c>
      <c r="I166" s="22">
        <v>138</v>
      </c>
      <c r="J166" s="112">
        <v>46</v>
      </c>
      <c r="K166" s="113">
        <v>0.58679999999999999</v>
      </c>
      <c r="L166" s="114" t="s">
        <v>3619</v>
      </c>
      <c r="M166" s="115" t="s">
        <v>3639</v>
      </c>
    </row>
    <row r="167" spans="1:13" ht="15.75" customHeight="1">
      <c r="A167" s="19">
        <v>165</v>
      </c>
      <c r="B167" s="107" t="s">
        <v>3623</v>
      </c>
      <c r="C167" s="20" t="s">
        <v>1910</v>
      </c>
      <c r="D167" s="20" t="s">
        <v>1908</v>
      </c>
      <c r="E167" s="20" t="s">
        <v>1911</v>
      </c>
      <c r="F167" s="21">
        <v>30</v>
      </c>
      <c r="G167" s="21">
        <v>65</v>
      </c>
      <c r="H167" s="21">
        <v>15</v>
      </c>
      <c r="I167" s="22">
        <v>110</v>
      </c>
      <c r="J167" s="108">
        <v>36.700000000000003</v>
      </c>
      <c r="K167" s="113">
        <v>0.57140000000000002</v>
      </c>
      <c r="L167" s="114" t="s">
        <v>3619</v>
      </c>
      <c r="M167" s="115" t="s">
        <v>3639</v>
      </c>
    </row>
    <row r="168" spans="1:13" ht="15.75" customHeight="1">
      <c r="A168" s="23">
        <v>166</v>
      </c>
      <c r="B168" s="107" t="s">
        <v>3623</v>
      </c>
      <c r="C168" s="24" t="s">
        <v>187</v>
      </c>
      <c r="D168" s="24" t="s">
        <v>180</v>
      </c>
      <c r="E168" s="24" t="s">
        <v>173</v>
      </c>
      <c r="F168" s="25">
        <v>76</v>
      </c>
      <c r="G168" s="25">
        <v>12</v>
      </c>
      <c r="H168" s="25">
        <v>51</v>
      </c>
      <c r="I168" s="22">
        <v>142</v>
      </c>
      <c r="J168" s="112">
        <v>46.3</v>
      </c>
      <c r="K168" s="113">
        <v>0.56840000000000002</v>
      </c>
      <c r="L168" s="114" t="s">
        <v>3619</v>
      </c>
      <c r="M168" s="115" t="s">
        <v>3639</v>
      </c>
    </row>
    <row r="169" spans="1:13" ht="15.75" customHeight="1">
      <c r="A169" s="19">
        <v>167</v>
      </c>
      <c r="B169" s="107" t="s">
        <v>3623</v>
      </c>
      <c r="C169" s="20" t="s">
        <v>1692</v>
      </c>
      <c r="D169" s="20" t="s">
        <v>206</v>
      </c>
      <c r="E169" s="20" t="s">
        <v>1693</v>
      </c>
      <c r="F169" s="21">
        <v>12</v>
      </c>
      <c r="G169" s="21">
        <v>10</v>
      </c>
      <c r="H169" s="21">
        <v>31</v>
      </c>
      <c r="I169" s="22">
        <v>71</v>
      </c>
      <c r="J169" s="108">
        <v>17.7</v>
      </c>
      <c r="K169" s="113">
        <v>0.53569999999999995</v>
      </c>
      <c r="L169" s="114" t="s">
        <v>3619</v>
      </c>
      <c r="M169" s="115" t="s">
        <v>3639</v>
      </c>
    </row>
    <row r="170" spans="1:13" ht="15.75" customHeight="1">
      <c r="A170" s="23">
        <v>168</v>
      </c>
      <c r="B170" s="107" t="s">
        <v>3623</v>
      </c>
      <c r="C170" s="24" t="s">
        <v>175</v>
      </c>
      <c r="D170" s="24" t="s">
        <v>169</v>
      </c>
      <c r="E170" s="24" t="s">
        <v>87</v>
      </c>
      <c r="F170" s="25">
        <v>33</v>
      </c>
      <c r="G170" s="25">
        <v>17</v>
      </c>
      <c r="H170" s="25">
        <v>8</v>
      </c>
      <c r="I170" s="22">
        <v>58</v>
      </c>
      <c r="J170" s="112">
        <v>19.3</v>
      </c>
      <c r="K170" s="113">
        <v>0.53480000000000005</v>
      </c>
      <c r="L170" s="114" t="s">
        <v>3619</v>
      </c>
      <c r="M170" s="115" t="s">
        <v>3639</v>
      </c>
    </row>
    <row r="171" spans="1:13" ht="15.75" customHeight="1">
      <c r="A171" s="19">
        <v>169</v>
      </c>
      <c r="B171" s="107" t="s">
        <v>3623</v>
      </c>
      <c r="C171" s="20" t="s">
        <v>1930</v>
      </c>
      <c r="D171" s="20" t="s">
        <v>1929</v>
      </c>
      <c r="E171" s="20" t="s">
        <v>1911</v>
      </c>
      <c r="F171" s="21">
        <v>10</v>
      </c>
      <c r="G171" s="21">
        <v>20</v>
      </c>
      <c r="H171" s="21">
        <v>5</v>
      </c>
      <c r="I171" s="22">
        <v>35</v>
      </c>
      <c r="J171" s="108">
        <v>11.7</v>
      </c>
      <c r="K171" s="113">
        <v>0.53449999999999998</v>
      </c>
      <c r="L171" s="114" t="s">
        <v>3619</v>
      </c>
      <c r="M171" s="115" t="s">
        <v>3639</v>
      </c>
    </row>
    <row r="172" spans="1:13" ht="15.75" customHeight="1">
      <c r="A172" s="23">
        <v>170</v>
      </c>
      <c r="B172" s="107" t="s">
        <v>3623</v>
      </c>
      <c r="C172" s="24" t="s">
        <v>1577</v>
      </c>
      <c r="D172" s="24" t="s">
        <v>253</v>
      </c>
      <c r="E172" s="24" t="s">
        <v>1578</v>
      </c>
      <c r="F172" s="25">
        <v>10</v>
      </c>
      <c r="G172" s="25">
        <v>2</v>
      </c>
      <c r="H172" s="25">
        <v>8</v>
      </c>
      <c r="I172" s="22">
        <v>27</v>
      </c>
      <c r="J172" s="112">
        <v>6.7</v>
      </c>
      <c r="K172" s="113">
        <v>0.50990000000000002</v>
      </c>
      <c r="L172" s="114" t="s">
        <v>3619</v>
      </c>
      <c r="M172" s="115" t="s">
        <v>3639</v>
      </c>
    </row>
    <row r="173" spans="1:13" ht="15.75" customHeight="1">
      <c r="A173" s="19">
        <v>171</v>
      </c>
      <c r="B173" s="107" t="s">
        <v>3623</v>
      </c>
      <c r="C173" s="20" t="s">
        <v>1684</v>
      </c>
      <c r="D173" s="20" t="s">
        <v>206</v>
      </c>
      <c r="E173" s="20" t="s">
        <v>1685</v>
      </c>
      <c r="F173" s="21">
        <v>15</v>
      </c>
      <c r="G173" s="21">
        <v>3</v>
      </c>
      <c r="H173" s="21">
        <v>12</v>
      </c>
      <c r="I173" s="22">
        <v>30</v>
      </c>
      <c r="J173" s="108">
        <v>10</v>
      </c>
      <c r="K173" s="113">
        <v>0.50990000000000002</v>
      </c>
      <c r="L173" s="114" t="s">
        <v>3619</v>
      </c>
      <c r="M173" s="115" t="s">
        <v>3639</v>
      </c>
    </row>
    <row r="174" spans="1:13" ht="15.75" customHeight="1">
      <c r="A174" s="23">
        <v>172</v>
      </c>
      <c r="B174" s="107" t="s">
        <v>3623</v>
      </c>
      <c r="C174" s="24" t="s">
        <v>1747</v>
      </c>
      <c r="D174" s="24" t="s">
        <v>203</v>
      </c>
      <c r="E174" s="24" t="s">
        <v>1689</v>
      </c>
      <c r="F174" s="25">
        <v>7</v>
      </c>
      <c r="G174" s="25">
        <v>3</v>
      </c>
      <c r="H174" s="25">
        <v>12</v>
      </c>
      <c r="I174" s="22">
        <v>29</v>
      </c>
      <c r="J174" s="112">
        <v>7.3</v>
      </c>
      <c r="K174" s="113">
        <v>0.50209999999999999</v>
      </c>
      <c r="L174" s="114" t="s">
        <v>3619</v>
      </c>
      <c r="M174" s="115" t="s">
        <v>3639</v>
      </c>
    </row>
    <row r="175" spans="1:13" ht="15.75" customHeight="1">
      <c r="A175" s="19">
        <v>173</v>
      </c>
      <c r="B175" s="107" t="s">
        <v>3623</v>
      </c>
      <c r="C175" s="20" t="s">
        <v>220</v>
      </c>
      <c r="D175" s="20" t="s">
        <v>203</v>
      </c>
      <c r="E175" s="20" t="s">
        <v>32</v>
      </c>
      <c r="F175" s="21">
        <v>220</v>
      </c>
      <c r="G175" s="21">
        <v>50</v>
      </c>
      <c r="H175" s="21">
        <v>200</v>
      </c>
      <c r="I175" s="22">
        <v>470</v>
      </c>
      <c r="J175" s="108">
        <v>156.69999999999999</v>
      </c>
      <c r="K175" s="116">
        <v>0.48420000000000002</v>
      </c>
      <c r="L175" s="117" t="s">
        <v>3620</v>
      </c>
      <c r="M175" s="118" t="s">
        <v>3640</v>
      </c>
    </row>
    <row r="176" spans="1:13" ht="15.75" customHeight="1">
      <c r="A176" s="23">
        <v>174</v>
      </c>
      <c r="B176" s="107" t="s">
        <v>3623</v>
      </c>
      <c r="C176" s="24" t="s">
        <v>1893</v>
      </c>
      <c r="D176" s="24" t="s">
        <v>294</v>
      </c>
      <c r="E176" s="24" t="s">
        <v>1894</v>
      </c>
      <c r="F176" s="25">
        <v>1490</v>
      </c>
      <c r="G176" s="25">
        <v>804</v>
      </c>
      <c r="H176" s="25">
        <v>435</v>
      </c>
      <c r="I176" s="22">
        <v>2854</v>
      </c>
      <c r="J176" s="112">
        <v>909.7</v>
      </c>
      <c r="K176" s="116">
        <v>0.48049999999999998</v>
      </c>
      <c r="L176" s="117" t="s">
        <v>3620</v>
      </c>
      <c r="M176" s="118" t="s">
        <v>3640</v>
      </c>
    </row>
    <row r="177" spans="1:13" ht="15.75" customHeight="1">
      <c r="A177" s="19">
        <v>175</v>
      </c>
      <c r="B177" s="107" t="s">
        <v>3623</v>
      </c>
      <c r="C177" s="20" t="s">
        <v>1740</v>
      </c>
      <c r="D177" s="20" t="s">
        <v>203</v>
      </c>
      <c r="E177" s="20" t="s">
        <v>1741</v>
      </c>
      <c r="F177" s="21">
        <v>97</v>
      </c>
      <c r="G177" s="21">
        <v>100</v>
      </c>
      <c r="H177" s="21">
        <v>250</v>
      </c>
      <c r="I177" s="22">
        <v>547</v>
      </c>
      <c r="J177" s="108">
        <v>149</v>
      </c>
      <c r="K177" s="116">
        <v>0.47939999999999999</v>
      </c>
      <c r="L177" s="117" t="s">
        <v>3620</v>
      </c>
      <c r="M177" s="118" t="s">
        <v>3640</v>
      </c>
    </row>
    <row r="178" spans="1:13" ht="15.75" customHeight="1">
      <c r="A178" s="23">
        <v>176</v>
      </c>
      <c r="B178" s="107" t="s">
        <v>3623</v>
      </c>
      <c r="C178" s="24" t="s">
        <v>1642</v>
      </c>
      <c r="D178" s="24" t="s">
        <v>169</v>
      </c>
      <c r="E178" s="24" t="s">
        <v>32</v>
      </c>
      <c r="F178" s="25">
        <v>108</v>
      </c>
      <c r="G178" s="25">
        <v>77</v>
      </c>
      <c r="H178" s="25">
        <v>29</v>
      </c>
      <c r="I178" s="22">
        <v>284</v>
      </c>
      <c r="J178" s="112">
        <v>71.3</v>
      </c>
      <c r="K178" s="116">
        <v>0.4556</v>
      </c>
      <c r="L178" s="117" t="s">
        <v>3620</v>
      </c>
      <c r="M178" s="118" t="s">
        <v>3640</v>
      </c>
    </row>
    <row r="179" spans="1:13" ht="15.75" customHeight="1">
      <c r="A179" s="19">
        <v>177</v>
      </c>
      <c r="B179" s="107" t="s">
        <v>3623</v>
      </c>
      <c r="C179" s="20" t="s">
        <v>1857</v>
      </c>
      <c r="D179" s="20" t="s">
        <v>283</v>
      </c>
      <c r="E179" s="20" t="s">
        <v>1858</v>
      </c>
      <c r="F179" s="21">
        <v>159</v>
      </c>
      <c r="G179" s="21">
        <v>64</v>
      </c>
      <c r="H179" s="21">
        <v>230</v>
      </c>
      <c r="I179" s="22">
        <v>503</v>
      </c>
      <c r="J179" s="108">
        <v>151</v>
      </c>
      <c r="K179" s="116">
        <v>0.45040000000000002</v>
      </c>
      <c r="L179" s="117" t="s">
        <v>3620</v>
      </c>
      <c r="M179" s="118" t="s">
        <v>3640</v>
      </c>
    </row>
    <row r="180" spans="1:13" ht="15.75" customHeight="1">
      <c r="A180" s="23">
        <v>178</v>
      </c>
      <c r="B180" s="107" t="s">
        <v>3623</v>
      </c>
      <c r="C180" s="24" t="s">
        <v>1773</v>
      </c>
      <c r="D180" s="24" t="s">
        <v>244</v>
      </c>
      <c r="E180" s="24" t="s">
        <v>1774</v>
      </c>
      <c r="F180" s="25">
        <v>30</v>
      </c>
      <c r="G180" s="25">
        <v>80</v>
      </c>
      <c r="H180" s="25">
        <v>110</v>
      </c>
      <c r="I180" s="22">
        <v>220</v>
      </c>
      <c r="J180" s="112">
        <v>73.3</v>
      </c>
      <c r="K180" s="116">
        <v>0.45</v>
      </c>
      <c r="L180" s="117" t="s">
        <v>3620</v>
      </c>
      <c r="M180" s="118" t="s">
        <v>3640</v>
      </c>
    </row>
    <row r="181" spans="1:13" ht="15.75" customHeight="1">
      <c r="A181" s="19">
        <v>179</v>
      </c>
      <c r="B181" s="107" t="s">
        <v>3623</v>
      </c>
      <c r="C181" s="20" t="s">
        <v>1879</v>
      </c>
      <c r="D181" s="20" t="s">
        <v>294</v>
      </c>
      <c r="E181" s="20" t="s">
        <v>1880</v>
      </c>
      <c r="F181" s="21">
        <v>155</v>
      </c>
      <c r="G181" s="21">
        <v>89</v>
      </c>
      <c r="H181" s="21">
        <v>270</v>
      </c>
      <c r="I181" s="22">
        <v>586</v>
      </c>
      <c r="J181" s="108">
        <v>171.3</v>
      </c>
      <c r="K181" s="116">
        <v>0.4365</v>
      </c>
      <c r="L181" s="117" t="s">
        <v>3620</v>
      </c>
      <c r="M181" s="118" t="s">
        <v>3640</v>
      </c>
    </row>
    <row r="182" spans="1:13" ht="15.75" customHeight="1">
      <c r="A182" s="23">
        <v>180</v>
      </c>
      <c r="B182" s="107" t="s">
        <v>3623</v>
      </c>
      <c r="C182" s="24" t="s">
        <v>1863</v>
      </c>
      <c r="D182" s="24" t="s">
        <v>283</v>
      </c>
      <c r="E182" s="24" t="s">
        <v>1864</v>
      </c>
      <c r="F182" s="25">
        <v>317</v>
      </c>
      <c r="G182" s="25">
        <v>890</v>
      </c>
      <c r="H182" s="25">
        <v>470</v>
      </c>
      <c r="I182" s="22">
        <v>2357</v>
      </c>
      <c r="J182" s="112">
        <v>559</v>
      </c>
      <c r="K182" s="116">
        <v>0.43340000000000001</v>
      </c>
      <c r="L182" s="117" t="s">
        <v>3620</v>
      </c>
      <c r="M182" s="118" t="s">
        <v>3640</v>
      </c>
    </row>
    <row r="183" spans="1:13" ht="15.75" customHeight="1">
      <c r="A183" s="19">
        <v>181</v>
      </c>
      <c r="B183" s="107" t="s">
        <v>3623</v>
      </c>
      <c r="C183" s="20" t="s">
        <v>1616</v>
      </c>
      <c r="D183" s="20" t="s">
        <v>194</v>
      </c>
      <c r="E183" s="20" t="s">
        <v>1617</v>
      </c>
      <c r="F183" s="21">
        <v>105</v>
      </c>
      <c r="G183" s="21">
        <v>82</v>
      </c>
      <c r="H183" s="21">
        <v>32</v>
      </c>
      <c r="I183" s="22">
        <v>219</v>
      </c>
      <c r="J183" s="108">
        <v>73</v>
      </c>
      <c r="K183" s="116">
        <v>0.41749999999999998</v>
      </c>
      <c r="L183" s="117" t="s">
        <v>3620</v>
      </c>
      <c r="M183" s="118" t="s">
        <v>3640</v>
      </c>
    </row>
    <row r="184" spans="1:13" ht="15.75" customHeight="1">
      <c r="A184" s="23">
        <v>182</v>
      </c>
      <c r="B184" s="107" t="s">
        <v>3623</v>
      </c>
      <c r="C184" s="24" t="s">
        <v>1797</v>
      </c>
      <c r="D184" s="24" t="s">
        <v>253</v>
      </c>
      <c r="E184" s="24" t="s">
        <v>1798</v>
      </c>
      <c r="F184" s="25">
        <v>160</v>
      </c>
      <c r="G184" s="25">
        <v>55</v>
      </c>
      <c r="H184" s="25">
        <v>180</v>
      </c>
      <c r="I184" s="22">
        <v>445</v>
      </c>
      <c r="J184" s="112">
        <v>131.69999999999999</v>
      </c>
      <c r="K184" s="116">
        <v>0.41639999999999999</v>
      </c>
      <c r="L184" s="117" t="s">
        <v>3620</v>
      </c>
      <c r="M184" s="118" t="s">
        <v>3640</v>
      </c>
    </row>
    <row r="185" spans="1:13" ht="15.75" customHeight="1">
      <c r="A185" s="19">
        <v>183</v>
      </c>
      <c r="B185" s="107" t="s">
        <v>3623</v>
      </c>
      <c r="C185" s="20" t="s">
        <v>1877</v>
      </c>
      <c r="D185" s="20" t="s">
        <v>294</v>
      </c>
      <c r="E185" s="20" t="s">
        <v>1878</v>
      </c>
      <c r="F185" s="21">
        <v>785</v>
      </c>
      <c r="G185" s="21">
        <v>382</v>
      </c>
      <c r="H185" s="21">
        <v>1160</v>
      </c>
      <c r="I185" s="22">
        <v>2507</v>
      </c>
      <c r="J185" s="108">
        <v>775.7</v>
      </c>
      <c r="K185" s="116">
        <v>0.40960000000000002</v>
      </c>
      <c r="L185" s="117" t="s">
        <v>3620</v>
      </c>
      <c r="M185" s="118" t="s">
        <v>3640</v>
      </c>
    </row>
    <row r="186" spans="1:13" ht="15.75" customHeight="1">
      <c r="A186" s="23">
        <v>184</v>
      </c>
      <c r="B186" s="107" t="s">
        <v>3623</v>
      </c>
      <c r="C186" s="24" t="s">
        <v>1707</v>
      </c>
      <c r="D186" s="24" t="s">
        <v>211</v>
      </c>
      <c r="E186" s="24" t="s">
        <v>1708</v>
      </c>
      <c r="F186" s="25">
        <v>81</v>
      </c>
      <c r="G186" s="25">
        <v>71</v>
      </c>
      <c r="H186" s="25">
        <v>167</v>
      </c>
      <c r="I186" s="22">
        <v>349</v>
      </c>
      <c r="J186" s="112">
        <v>106.3</v>
      </c>
      <c r="K186" s="116">
        <v>0.40529999999999999</v>
      </c>
      <c r="L186" s="117" t="s">
        <v>3620</v>
      </c>
      <c r="M186" s="118" t="s">
        <v>3640</v>
      </c>
    </row>
    <row r="187" spans="1:13" ht="15.75" customHeight="1">
      <c r="A187" s="19">
        <v>185</v>
      </c>
      <c r="B187" s="107" t="s">
        <v>3623</v>
      </c>
      <c r="C187" s="20" t="s">
        <v>1705</v>
      </c>
      <c r="D187" s="20" t="s">
        <v>211</v>
      </c>
      <c r="E187" s="20" t="s">
        <v>1706</v>
      </c>
      <c r="F187" s="21">
        <v>167</v>
      </c>
      <c r="G187" s="21">
        <v>193</v>
      </c>
      <c r="H187" s="21">
        <v>375</v>
      </c>
      <c r="I187" s="22">
        <v>745</v>
      </c>
      <c r="J187" s="108">
        <v>245</v>
      </c>
      <c r="K187" s="116">
        <v>0.37769999999999998</v>
      </c>
      <c r="L187" s="117" t="s">
        <v>3620</v>
      </c>
      <c r="M187" s="118" t="s">
        <v>3640</v>
      </c>
    </row>
    <row r="188" spans="1:13" ht="15.75" customHeight="1">
      <c r="A188" s="23">
        <v>186</v>
      </c>
      <c r="B188" s="107" t="s">
        <v>3623</v>
      </c>
      <c r="C188" s="24" t="s">
        <v>1748</v>
      </c>
      <c r="D188" s="24" t="s">
        <v>203</v>
      </c>
      <c r="E188" s="24" t="s">
        <v>1749</v>
      </c>
      <c r="F188" s="25">
        <v>58</v>
      </c>
      <c r="G188" s="25">
        <v>56</v>
      </c>
      <c r="H188" s="25">
        <v>118</v>
      </c>
      <c r="I188" s="22">
        <v>1792</v>
      </c>
      <c r="J188" s="112">
        <v>77.3</v>
      </c>
      <c r="K188" s="116">
        <v>0.372</v>
      </c>
      <c r="L188" s="117" t="s">
        <v>3620</v>
      </c>
      <c r="M188" s="118" t="s">
        <v>3640</v>
      </c>
    </row>
    <row r="189" spans="1:13" ht="15.75" customHeight="1">
      <c r="A189" s="19">
        <v>187</v>
      </c>
      <c r="B189" s="107" t="s">
        <v>3623</v>
      </c>
      <c r="C189" s="20" t="s">
        <v>249</v>
      </c>
      <c r="D189" s="20" t="s">
        <v>244</v>
      </c>
      <c r="E189" s="20" t="s">
        <v>24</v>
      </c>
      <c r="F189" s="21">
        <v>40</v>
      </c>
      <c r="G189" s="21">
        <v>110</v>
      </c>
      <c r="H189" s="21">
        <v>90</v>
      </c>
      <c r="I189" s="22">
        <v>240</v>
      </c>
      <c r="J189" s="108">
        <v>80</v>
      </c>
      <c r="K189" s="116">
        <v>0.36799999999999999</v>
      </c>
      <c r="L189" s="117" t="s">
        <v>3620</v>
      </c>
      <c r="M189" s="118" t="s">
        <v>3640</v>
      </c>
    </row>
    <row r="190" spans="1:13" ht="15.75" customHeight="1">
      <c r="A190" s="23">
        <v>188</v>
      </c>
      <c r="B190" s="107" t="s">
        <v>3623</v>
      </c>
      <c r="C190" s="24" t="s">
        <v>1608</v>
      </c>
      <c r="D190" s="24" t="s">
        <v>180</v>
      </c>
      <c r="E190" s="24" t="s">
        <v>1609</v>
      </c>
      <c r="F190" s="25">
        <v>65</v>
      </c>
      <c r="G190" s="25">
        <v>126</v>
      </c>
      <c r="H190" s="25">
        <v>59</v>
      </c>
      <c r="I190" s="22">
        <v>255</v>
      </c>
      <c r="J190" s="112">
        <v>83.3</v>
      </c>
      <c r="K190" s="116">
        <v>0.36320000000000002</v>
      </c>
      <c r="L190" s="117" t="s">
        <v>3620</v>
      </c>
      <c r="M190" s="118" t="s">
        <v>3640</v>
      </c>
    </row>
    <row r="191" spans="1:13" ht="15.75" customHeight="1">
      <c r="A191" s="19">
        <v>189</v>
      </c>
      <c r="B191" s="107" t="s">
        <v>3623</v>
      </c>
      <c r="C191" s="20" t="s">
        <v>1777</v>
      </c>
      <c r="D191" s="20" t="s">
        <v>253</v>
      </c>
      <c r="E191" s="20" t="s">
        <v>1778</v>
      </c>
      <c r="F191" s="21">
        <v>85</v>
      </c>
      <c r="G191" s="21">
        <v>210</v>
      </c>
      <c r="H191" s="21">
        <v>140</v>
      </c>
      <c r="I191" s="22">
        <v>445</v>
      </c>
      <c r="J191" s="108">
        <v>145</v>
      </c>
      <c r="K191" s="116">
        <v>0.3528</v>
      </c>
      <c r="L191" s="117" t="s">
        <v>3620</v>
      </c>
      <c r="M191" s="118" t="s">
        <v>3640</v>
      </c>
    </row>
    <row r="192" spans="1:13" ht="15.75" customHeight="1">
      <c r="A192" s="23">
        <v>190</v>
      </c>
      <c r="B192" s="107" t="s">
        <v>3623</v>
      </c>
      <c r="C192" s="24" t="s">
        <v>1845</v>
      </c>
      <c r="D192" s="24" t="s">
        <v>278</v>
      </c>
      <c r="E192" s="24" t="s">
        <v>1846</v>
      </c>
      <c r="F192" s="25">
        <v>104</v>
      </c>
      <c r="G192" s="25">
        <v>55</v>
      </c>
      <c r="H192" s="25">
        <v>50</v>
      </c>
      <c r="I192" s="22">
        <v>259</v>
      </c>
      <c r="J192" s="112">
        <v>69.7</v>
      </c>
      <c r="K192" s="116">
        <v>0.34970000000000001</v>
      </c>
      <c r="L192" s="117" t="s">
        <v>3620</v>
      </c>
      <c r="M192" s="118" t="s">
        <v>3640</v>
      </c>
    </row>
    <row r="193" spans="1:13" ht="15.75" customHeight="1">
      <c r="A193" s="19">
        <v>191</v>
      </c>
      <c r="B193" s="107" t="s">
        <v>3623</v>
      </c>
      <c r="C193" s="20" t="s">
        <v>1665</v>
      </c>
      <c r="D193" s="20" t="s">
        <v>206</v>
      </c>
      <c r="E193" s="20" t="s">
        <v>1666</v>
      </c>
      <c r="F193" s="21">
        <v>543</v>
      </c>
      <c r="G193" s="21">
        <v>560</v>
      </c>
      <c r="H193" s="21">
        <v>1053</v>
      </c>
      <c r="I193" s="22">
        <v>2481</v>
      </c>
      <c r="J193" s="108">
        <v>718.7</v>
      </c>
      <c r="K193" s="116">
        <v>0.3291</v>
      </c>
      <c r="L193" s="117" t="s">
        <v>3620</v>
      </c>
      <c r="M193" s="118" t="s">
        <v>3640</v>
      </c>
    </row>
    <row r="194" spans="1:13" ht="15.75" customHeight="1">
      <c r="A194" s="23">
        <v>192</v>
      </c>
      <c r="B194" s="107" t="s">
        <v>3623</v>
      </c>
      <c r="C194" s="24" t="s">
        <v>1831</v>
      </c>
      <c r="D194" s="24" t="s">
        <v>271</v>
      </c>
      <c r="E194" s="24" t="s">
        <v>1832</v>
      </c>
      <c r="F194" s="25">
        <v>106</v>
      </c>
      <c r="G194" s="25">
        <v>124</v>
      </c>
      <c r="H194" s="25">
        <v>216</v>
      </c>
      <c r="I194" s="22">
        <v>501</v>
      </c>
      <c r="J194" s="112">
        <v>148.69999999999999</v>
      </c>
      <c r="K194" s="116">
        <v>0.3241</v>
      </c>
      <c r="L194" s="117" t="s">
        <v>3620</v>
      </c>
      <c r="M194" s="118" t="s">
        <v>3640</v>
      </c>
    </row>
    <row r="195" spans="1:13" ht="15.75" customHeight="1">
      <c r="A195" s="19">
        <v>193</v>
      </c>
      <c r="B195" s="107" t="s">
        <v>3623</v>
      </c>
      <c r="C195" s="20" t="s">
        <v>1875</v>
      </c>
      <c r="D195" s="20" t="s">
        <v>294</v>
      </c>
      <c r="E195" s="20" t="s">
        <v>1876</v>
      </c>
      <c r="F195" s="21">
        <v>828</v>
      </c>
      <c r="G195" s="21">
        <v>447</v>
      </c>
      <c r="H195" s="21">
        <v>445</v>
      </c>
      <c r="I195" s="22">
        <v>1841</v>
      </c>
      <c r="J195" s="108">
        <v>573.29999999999995</v>
      </c>
      <c r="K195" s="116">
        <v>0.31409999999999999</v>
      </c>
      <c r="L195" s="117" t="s">
        <v>3620</v>
      </c>
      <c r="M195" s="118" t="s">
        <v>3640</v>
      </c>
    </row>
    <row r="196" spans="1:13" ht="15.75" customHeight="1">
      <c r="A196" s="23">
        <v>194</v>
      </c>
      <c r="B196" s="107" t="s">
        <v>3623</v>
      </c>
      <c r="C196" s="24" t="s">
        <v>1883</v>
      </c>
      <c r="D196" s="24" t="s">
        <v>294</v>
      </c>
      <c r="E196" s="24" t="s">
        <v>1884</v>
      </c>
      <c r="F196" s="25">
        <v>339</v>
      </c>
      <c r="G196" s="25">
        <v>700</v>
      </c>
      <c r="H196" s="25">
        <v>430</v>
      </c>
      <c r="I196" s="22">
        <v>1549</v>
      </c>
      <c r="J196" s="112">
        <v>489.7</v>
      </c>
      <c r="K196" s="116">
        <v>0.31309999999999999</v>
      </c>
      <c r="L196" s="117" t="s">
        <v>3620</v>
      </c>
      <c r="M196" s="118" t="s">
        <v>3640</v>
      </c>
    </row>
    <row r="197" spans="1:13" ht="15.75" customHeight="1">
      <c r="A197" s="19">
        <v>195</v>
      </c>
      <c r="B197" s="107" t="s">
        <v>3623</v>
      </c>
      <c r="C197" s="20" t="s">
        <v>235</v>
      </c>
      <c r="D197" s="20" t="s">
        <v>203</v>
      </c>
      <c r="E197" s="20" t="s">
        <v>26</v>
      </c>
      <c r="F197" s="21">
        <v>145</v>
      </c>
      <c r="G197" s="21">
        <v>90</v>
      </c>
      <c r="H197" s="21">
        <v>70</v>
      </c>
      <c r="I197" s="22">
        <v>305</v>
      </c>
      <c r="J197" s="108">
        <v>101.7</v>
      </c>
      <c r="K197" s="116">
        <v>0.31190000000000001</v>
      </c>
      <c r="L197" s="117" t="s">
        <v>3620</v>
      </c>
      <c r="M197" s="118" t="s">
        <v>3640</v>
      </c>
    </row>
    <row r="198" spans="1:13" ht="15.75" customHeight="1">
      <c r="A198" s="23">
        <v>196</v>
      </c>
      <c r="B198" s="107" t="s">
        <v>3623</v>
      </c>
      <c r="C198" s="24" t="s">
        <v>1653</v>
      </c>
      <c r="D198" s="24" t="s">
        <v>1649</v>
      </c>
      <c r="E198" s="24" t="s">
        <v>1654</v>
      </c>
      <c r="F198" s="25">
        <v>65</v>
      </c>
      <c r="G198" s="25">
        <v>97</v>
      </c>
      <c r="H198" s="25">
        <v>45</v>
      </c>
      <c r="I198" s="22">
        <v>207</v>
      </c>
      <c r="J198" s="112">
        <v>69</v>
      </c>
      <c r="K198" s="116">
        <v>0.31040000000000001</v>
      </c>
      <c r="L198" s="117" t="s">
        <v>3620</v>
      </c>
      <c r="M198" s="118" t="s">
        <v>3640</v>
      </c>
    </row>
    <row r="199" spans="1:13" ht="15.75" customHeight="1">
      <c r="A199" s="19">
        <v>197</v>
      </c>
      <c r="B199" s="107" t="s">
        <v>3623</v>
      </c>
      <c r="C199" s="20" t="s">
        <v>1804</v>
      </c>
      <c r="D199" s="20" t="s">
        <v>253</v>
      </c>
      <c r="E199" s="20" t="s">
        <v>1805</v>
      </c>
      <c r="F199" s="21">
        <v>175</v>
      </c>
      <c r="G199" s="21">
        <v>370</v>
      </c>
      <c r="H199" s="21">
        <v>350</v>
      </c>
      <c r="I199" s="22">
        <v>995</v>
      </c>
      <c r="J199" s="108">
        <v>298.3</v>
      </c>
      <c r="K199" s="116">
        <v>0.29360000000000003</v>
      </c>
      <c r="L199" s="117" t="s">
        <v>3620</v>
      </c>
      <c r="M199" s="118" t="s">
        <v>3640</v>
      </c>
    </row>
    <row r="200" spans="1:13" ht="15.75" customHeight="1">
      <c r="A200" s="23">
        <v>198</v>
      </c>
      <c r="B200" s="107" t="s">
        <v>3623</v>
      </c>
      <c r="C200" s="24" t="s">
        <v>1833</v>
      </c>
      <c r="D200" s="24" t="s">
        <v>271</v>
      </c>
      <c r="E200" s="24" t="s">
        <v>1834</v>
      </c>
      <c r="F200" s="25">
        <v>103</v>
      </c>
      <c r="G200" s="25">
        <v>61</v>
      </c>
      <c r="H200" s="25">
        <v>127</v>
      </c>
      <c r="I200" s="22">
        <v>371</v>
      </c>
      <c r="J200" s="112">
        <v>97</v>
      </c>
      <c r="K200" s="116">
        <v>0.28120000000000001</v>
      </c>
      <c r="L200" s="117" t="s">
        <v>3620</v>
      </c>
      <c r="M200" s="118" t="s">
        <v>3640</v>
      </c>
    </row>
    <row r="201" spans="1:13" ht="15.75" customHeight="1">
      <c r="A201" s="19">
        <v>199</v>
      </c>
      <c r="B201" s="107" t="s">
        <v>3623</v>
      </c>
      <c r="C201" s="20" t="s">
        <v>1854</v>
      </c>
      <c r="D201" s="20" t="s">
        <v>283</v>
      </c>
      <c r="E201" s="20" t="s">
        <v>1855</v>
      </c>
      <c r="F201" s="21">
        <v>310</v>
      </c>
      <c r="G201" s="21">
        <v>207</v>
      </c>
      <c r="H201" s="21">
        <v>159</v>
      </c>
      <c r="I201" s="22">
        <v>751</v>
      </c>
      <c r="J201" s="108">
        <v>225.3</v>
      </c>
      <c r="K201" s="116">
        <v>0.27960000000000002</v>
      </c>
      <c r="L201" s="117" t="s">
        <v>3620</v>
      </c>
      <c r="M201" s="118" t="s">
        <v>3640</v>
      </c>
    </row>
    <row r="202" spans="1:13" ht="15.75" customHeight="1">
      <c r="A202" s="23">
        <v>200</v>
      </c>
      <c r="B202" s="107" t="s">
        <v>3623</v>
      </c>
      <c r="C202" s="24" t="s">
        <v>1729</v>
      </c>
      <c r="D202" s="24" t="s">
        <v>203</v>
      </c>
      <c r="E202" s="24" t="s">
        <v>1730</v>
      </c>
      <c r="F202" s="25">
        <v>596</v>
      </c>
      <c r="G202" s="25">
        <v>800</v>
      </c>
      <c r="H202" s="25">
        <v>1170</v>
      </c>
      <c r="I202" s="22">
        <v>3046</v>
      </c>
      <c r="J202" s="112">
        <v>855.3</v>
      </c>
      <c r="K202" s="116">
        <v>0.27779999999999999</v>
      </c>
      <c r="L202" s="117" t="s">
        <v>3620</v>
      </c>
      <c r="M202" s="118" t="s">
        <v>3640</v>
      </c>
    </row>
    <row r="203" spans="1:13" ht="15.75" customHeight="1">
      <c r="A203" s="19">
        <v>201</v>
      </c>
      <c r="B203" s="107" t="s">
        <v>3623</v>
      </c>
      <c r="C203" s="20" t="s">
        <v>1628</v>
      </c>
      <c r="D203" s="20" t="s">
        <v>180</v>
      </c>
      <c r="E203" s="20" t="s">
        <v>1629</v>
      </c>
      <c r="F203" s="21">
        <v>1049</v>
      </c>
      <c r="G203" s="21">
        <v>642</v>
      </c>
      <c r="H203" s="21">
        <v>1304</v>
      </c>
      <c r="I203" s="22">
        <v>3178</v>
      </c>
      <c r="J203" s="108">
        <v>998.3</v>
      </c>
      <c r="K203" s="116">
        <v>0.27310000000000001</v>
      </c>
      <c r="L203" s="117" t="s">
        <v>3620</v>
      </c>
      <c r="M203" s="118" t="s">
        <v>3640</v>
      </c>
    </row>
    <row r="204" spans="1:13" ht="15.75" customHeight="1">
      <c r="A204" s="23">
        <v>202</v>
      </c>
      <c r="B204" s="107" t="s">
        <v>3623</v>
      </c>
      <c r="C204" s="24" t="s">
        <v>1742</v>
      </c>
      <c r="D204" s="24" t="s">
        <v>203</v>
      </c>
      <c r="E204" s="24" t="s">
        <v>1685</v>
      </c>
      <c r="F204" s="25">
        <v>81</v>
      </c>
      <c r="G204" s="25">
        <v>45</v>
      </c>
      <c r="H204" s="25">
        <v>50</v>
      </c>
      <c r="I204" s="22">
        <v>183</v>
      </c>
      <c r="J204" s="112">
        <v>58.7</v>
      </c>
      <c r="K204" s="116">
        <v>0.27139999999999997</v>
      </c>
      <c r="L204" s="117" t="s">
        <v>3620</v>
      </c>
      <c r="M204" s="118" t="s">
        <v>3640</v>
      </c>
    </row>
    <row r="205" spans="1:13" ht="15.75" customHeight="1">
      <c r="A205" s="19">
        <v>203</v>
      </c>
      <c r="B205" s="107" t="s">
        <v>3623</v>
      </c>
      <c r="C205" s="20" t="s">
        <v>230</v>
      </c>
      <c r="D205" s="20" t="s">
        <v>203</v>
      </c>
      <c r="E205" s="20" t="s">
        <v>24</v>
      </c>
      <c r="F205" s="21">
        <v>182</v>
      </c>
      <c r="G205" s="21">
        <v>200</v>
      </c>
      <c r="H205" s="21">
        <v>100</v>
      </c>
      <c r="I205" s="22">
        <v>482</v>
      </c>
      <c r="J205" s="108">
        <v>160.69999999999999</v>
      </c>
      <c r="K205" s="116">
        <v>0.27089999999999997</v>
      </c>
      <c r="L205" s="117" t="s">
        <v>3620</v>
      </c>
      <c r="M205" s="118" t="s">
        <v>3640</v>
      </c>
    </row>
    <row r="206" spans="1:13" ht="15.75" customHeight="1">
      <c r="A206" s="23">
        <v>204</v>
      </c>
      <c r="B206" s="107" t="s">
        <v>3623</v>
      </c>
      <c r="C206" s="24" t="s">
        <v>1703</v>
      </c>
      <c r="D206" s="24" t="s">
        <v>211</v>
      </c>
      <c r="E206" s="24" t="s">
        <v>1704</v>
      </c>
      <c r="F206" s="25">
        <v>430</v>
      </c>
      <c r="G206" s="25">
        <v>436</v>
      </c>
      <c r="H206" s="25">
        <v>724</v>
      </c>
      <c r="I206" s="22">
        <v>1720</v>
      </c>
      <c r="J206" s="112">
        <v>530</v>
      </c>
      <c r="K206" s="116">
        <v>0.25890000000000002</v>
      </c>
      <c r="L206" s="117" t="s">
        <v>3620</v>
      </c>
      <c r="M206" s="118" t="s">
        <v>3640</v>
      </c>
    </row>
    <row r="207" spans="1:13" ht="15.75" customHeight="1">
      <c r="A207" s="19">
        <v>205</v>
      </c>
      <c r="B207" s="107" t="s">
        <v>3623</v>
      </c>
      <c r="C207" s="20" t="s">
        <v>1639</v>
      </c>
      <c r="D207" s="20" t="s">
        <v>180</v>
      </c>
      <c r="E207" s="20" t="s">
        <v>1640</v>
      </c>
      <c r="F207" s="21">
        <v>237</v>
      </c>
      <c r="G207" s="21">
        <v>127</v>
      </c>
      <c r="H207" s="21">
        <v>237</v>
      </c>
      <c r="I207" s="22">
        <v>612</v>
      </c>
      <c r="J207" s="108">
        <v>200.3</v>
      </c>
      <c r="K207" s="116">
        <v>0.25879999999999997</v>
      </c>
      <c r="L207" s="117" t="s">
        <v>3620</v>
      </c>
      <c r="M207" s="118" t="s">
        <v>3640</v>
      </c>
    </row>
    <row r="208" spans="1:13" ht="15.75" customHeight="1">
      <c r="A208" s="23">
        <v>206</v>
      </c>
      <c r="B208" s="107" t="s">
        <v>3623</v>
      </c>
      <c r="C208" s="24" t="s">
        <v>1733</v>
      </c>
      <c r="D208" s="24" t="s">
        <v>203</v>
      </c>
      <c r="E208" s="24" t="s">
        <v>1734</v>
      </c>
      <c r="F208" s="25">
        <v>261</v>
      </c>
      <c r="G208" s="25">
        <v>480</v>
      </c>
      <c r="H208" s="25">
        <v>483</v>
      </c>
      <c r="I208" s="22">
        <v>1302</v>
      </c>
      <c r="J208" s="112">
        <v>408</v>
      </c>
      <c r="K208" s="116">
        <v>0.25480000000000003</v>
      </c>
      <c r="L208" s="117" t="s">
        <v>3620</v>
      </c>
      <c r="M208" s="118" t="s">
        <v>3640</v>
      </c>
    </row>
    <row r="209" spans="1:13" ht="15.75" customHeight="1">
      <c r="A209" s="19">
        <v>207</v>
      </c>
      <c r="B209" s="107" t="s">
        <v>3623</v>
      </c>
      <c r="C209" s="20" t="s">
        <v>1823</v>
      </c>
      <c r="D209" s="20" t="s">
        <v>271</v>
      </c>
      <c r="E209" s="20" t="s">
        <v>1824</v>
      </c>
      <c r="F209" s="21">
        <v>361</v>
      </c>
      <c r="G209" s="21">
        <v>231</v>
      </c>
      <c r="H209" s="21">
        <v>440</v>
      </c>
      <c r="I209" s="22">
        <v>1262</v>
      </c>
      <c r="J209" s="108">
        <v>344</v>
      </c>
      <c r="K209" s="116">
        <v>0.2505</v>
      </c>
      <c r="L209" s="117" t="s">
        <v>3620</v>
      </c>
      <c r="M209" s="118" t="s">
        <v>3640</v>
      </c>
    </row>
    <row r="210" spans="1:13" ht="15.75" customHeight="1">
      <c r="A210" s="23">
        <v>208</v>
      </c>
      <c r="B210" s="107" t="s">
        <v>3623</v>
      </c>
      <c r="C210" s="24" t="s">
        <v>471</v>
      </c>
      <c r="D210" s="24" t="s">
        <v>203</v>
      </c>
      <c r="E210" s="24" t="s">
        <v>472</v>
      </c>
      <c r="F210" s="25">
        <v>111</v>
      </c>
      <c r="G210" s="25">
        <v>90</v>
      </c>
      <c r="H210" s="25">
        <v>160</v>
      </c>
      <c r="I210" s="22">
        <v>361</v>
      </c>
      <c r="J210" s="112">
        <v>120.3</v>
      </c>
      <c r="K210" s="116">
        <v>0.2437</v>
      </c>
      <c r="L210" s="117" t="s">
        <v>3620</v>
      </c>
      <c r="M210" s="118" t="s">
        <v>3640</v>
      </c>
    </row>
    <row r="211" spans="1:13" ht="15.75" customHeight="1">
      <c r="A211" s="19">
        <v>209</v>
      </c>
      <c r="B211" s="107" t="s">
        <v>3623</v>
      </c>
      <c r="C211" s="20" t="s">
        <v>1829</v>
      </c>
      <c r="D211" s="20" t="s">
        <v>271</v>
      </c>
      <c r="E211" s="20" t="s">
        <v>1830</v>
      </c>
      <c r="F211" s="21">
        <v>556</v>
      </c>
      <c r="G211" s="21">
        <v>321</v>
      </c>
      <c r="H211" s="21">
        <v>585</v>
      </c>
      <c r="I211" s="22">
        <v>1944</v>
      </c>
      <c r="J211" s="108">
        <v>487.3</v>
      </c>
      <c r="K211" s="116">
        <v>0.24260000000000001</v>
      </c>
      <c r="L211" s="117" t="s">
        <v>3620</v>
      </c>
      <c r="M211" s="118" t="s">
        <v>3640</v>
      </c>
    </row>
    <row r="212" spans="1:13" ht="15.75" customHeight="1">
      <c r="A212" s="23">
        <v>210</v>
      </c>
      <c r="B212" s="107" t="s">
        <v>3623</v>
      </c>
      <c r="C212" s="24" t="s">
        <v>1754</v>
      </c>
      <c r="D212" s="24" t="s">
        <v>244</v>
      </c>
      <c r="E212" s="24" t="s">
        <v>1755</v>
      </c>
      <c r="F212" s="25">
        <v>401</v>
      </c>
      <c r="G212" s="25">
        <v>246</v>
      </c>
      <c r="H212" s="25">
        <v>443</v>
      </c>
      <c r="I212" s="22">
        <v>1158</v>
      </c>
      <c r="J212" s="112">
        <v>363.3</v>
      </c>
      <c r="K212" s="116">
        <v>0.23319999999999999</v>
      </c>
      <c r="L212" s="117" t="s">
        <v>3620</v>
      </c>
      <c r="M212" s="118" t="s">
        <v>3640</v>
      </c>
    </row>
    <row r="213" spans="1:13" ht="15.75" customHeight="1">
      <c r="A213" s="19">
        <v>211</v>
      </c>
      <c r="B213" s="107" t="s">
        <v>3623</v>
      </c>
      <c r="C213" s="20" t="s">
        <v>1799</v>
      </c>
      <c r="D213" s="20" t="s">
        <v>253</v>
      </c>
      <c r="E213" s="20" t="s">
        <v>1800</v>
      </c>
      <c r="F213" s="21">
        <v>425</v>
      </c>
      <c r="G213" s="21">
        <v>385</v>
      </c>
      <c r="H213" s="21">
        <v>236</v>
      </c>
      <c r="I213" s="22">
        <v>1141</v>
      </c>
      <c r="J213" s="108">
        <v>348.7</v>
      </c>
      <c r="K213" s="116">
        <v>0.23319999999999999</v>
      </c>
      <c r="L213" s="117" t="s">
        <v>3620</v>
      </c>
      <c r="M213" s="118" t="s">
        <v>3640</v>
      </c>
    </row>
    <row r="214" spans="1:13" ht="15.75" customHeight="1">
      <c r="A214" s="23">
        <v>212</v>
      </c>
      <c r="B214" s="107" t="s">
        <v>3623</v>
      </c>
      <c r="C214" s="24" t="s">
        <v>1873</v>
      </c>
      <c r="D214" s="24" t="s">
        <v>294</v>
      </c>
      <c r="E214" s="24" t="s">
        <v>1874</v>
      </c>
      <c r="F214" s="25">
        <v>602</v>
      </c>
      <c r="G214" s="25">
        <v>1039</v>
      </c>
      <c r="H214" s="25">
        <v>926</v>
      </c>
      <c r="I214" s="22">
        <v>2718</v>
      </c>
      <c r="J214" s="112">
        <v>855.7</v>
      </c>
      <c r="K214" s="116">
        <v>0.21640000000000001</v>
      </c>
      <c r="L214" s="117" t="s">
        <v>3620</v>
      </c>
      <c r="M214" s="118" t="s">
        <v>3640</v>
      </c>
    </row>
    <row r="215" spans="1:13" ht="15.75" customHeight="1">
      <c r="A215" s="19">
        <v>213</v>
      </c>
      <c r="B215" s="107" t="s">
        <v>3623</v>
      </c>
      <c r="C215" s="20" t="s">
        <v>1750</v>
      </c>
      <c r="D215" s="20" t="s">
        <v>203</v>
      </c>
      <c r="E215" s="20" t="s">
        <v>1751</v>
      </c>
      <c r="F215" s="21">
        <v>660</v>
      </c>
      <c r="G215" s="21">
        <v>809</v>
      </c>
      <c r="H215" s="21">
        <v>1106</v>
      </c>
      <c r="I215" s="22">
        <v>2751</v>
      </c>
      <c r="J215" s="108">
        <v>858.3</v>
      </c>
      <c r="K215" s="116">
        <v>0.216</v>
      </c>
      <c r="L215" s="117" t="s">
        <v>3620</v>
      </c>
      <c r="M215" s="118" t="s">
        <v>3640</v>
      </c>
    </row>
    <row r="216" spans="1:13" ht="15.75" customHeight="1">
      <c r="A216" s="23">
        <v>214</v>
      </c>
      <c r="B216" s="107" t="s">
        <v>3623</v>
      </c>
      <c r="C216" s="24" t="s">
        <v>1785</v>
      </c>
      <c r="D216" s="24" t="s">
        <v>253</v>
      </c>
      <c r="E216" s="24" t="s">
        <v>1786</v>
      </c>
      <c r="F216" s="25">
        <v>2203</v>
      </c>
      <c r="G216" s="25">
        <v>1398</v>
      </c>
      <c r="H216" s="25">
        <v>1487</v>
      </c>
      <c r="I216" s="22">
        <v>5758</v>
      </c>
      <c r="J216" s="112">
        <v>1696</v>
      </c>
      <c r="K216" s="116">
        <v>0.21249999999999999</v>
      </c>
      <c r="L216" s="117" t="s">
        <v>3620</v>
      </c>
      <c r="M216" s="118" t="s">
        <v>3640</v>
      </c>
    </row>
    <row r="217" spans="1:13" ht="15.75" customHeight="1">
      <c r="A217" s="19">
        <v>215</v>
      </c>
      <c r="B217" s="107" t="s">
        <v>3623</v>
      </c>
      <c r="C217" s="20" t="s">
        <v>1701</v>
      </c>
      <c r="D217" s="20" t="s">
        <v>211</v>
      </c>
      <c r="E217" s="20" t="s">
        <v>1702</v>
      </c>
      <c r="F217" s="21">
        <v>823</v>
      </c>
      <c r="G217" s="21">
        <v>540</v>
      </c>
      <c r="H217" s="21">
        <v>887</v>
      </c>
      <c r="I217" s="22">
        <v>2370</v>
      </c>
      <c r="J217" s="108">
        <v>750</v>
      </c>
      <c r="K217" s="116">
        <v>0.20100000000000001</v>
      </c>
      <c r="L217" s="117" t="s">
        <v>3620</v>
      </c>
      <c r="M217" s="118" t="s">
        <v>3640</v>
      </c>
    </row>
    <row r="218" spans="1:13" ht="15.75" customHeight="1">
      <c r="A218" s="23">
        <v>216</v>
      </c>
      <c r="B218" s="107" t="s">
        <v>3623</v>
      </c>
      <c r="C218" s="24" t="s">
        <v>1756</v>
      </c>
      <c r="D218" s="24" t="s">
        <v>244</v>
      </c>
      <c r="E218" s="24" t="s">
        <v>1757</v>
      </c>
      <c r="F218" s="25">
        <v>344</v>
      </c>
      <c r="G218" s="25">
        <v>377</v>
      </c>
      <c r="H218" s="25">
        <v>531</v>
      </c>
      <c r="I218" s="22">
        <v>1319</v>
      </c>
      <c r="J218" s="112">
        <v>417.3</v>
      </c>
      <c r="K218" s="116">
        <v>0.1953</v>
      </c>
      <c r="L218" s="117" t="s">
        <v>3620</v>
      </c>
      <c r="M218" s="118" t="s">
        <v>3640</v>
      </c>
    </row>
    <row r="219" spans="1:13" ht="15.75" customHeight="1">
      <c r="A219" s="19">
        <v>217</v>
      </c>
      <c r="B219" s="107" t="s">
        <v>3623</v>
      </c>
      <c r="C219" s="20" t="s">
        <v>1789</v>
      </c>
      <c r="D219" s="20" t="s">
        <v>253</v>
      </c>
      <c r="E219" s="20" t="s">
        <v>1790</v>
      </c>
      <c r="F219" s="21">
        <v>480</v>
      </c>
      <c r="G219" s="21">
        <v>320</v>
      </c>
      <c r="H219" s="21">
        <v>331</v>
      </c>
      <c r="I219" s="22">
        <v>1211</v>
      </c>
      <c r="J219" s="108">
        <v>377</v>
      </c>
      <c r="K219" s="116">
        <v>0.19359999999999999</v>
      </c>
      <c r="L219" s="117" t="s">
        <v>3620</v>
      </c>
      <c r="M219" s="118" t="s">
        <v>3640</v>
      </c>
    </row>
    <row r="220" spans="1:13" ht="15.75" customHeight="1">
      <c r="A220" s="23">
        <v>218</v>
      </c>
      <c r="B220" s="107" t="s">
        <v>3623</v>
      </c>
      <c r="C220" s="24" t="s">
        <v>326</v>
      </c>
      <c r="D220" s="24" t="s">
        <v>203</v>
      </c>
      <c r="E220" s="24" t="s">
        <v>327</v>
      </c>
      <c r="F220" s="25">
        <v>70</v>
      </c>
      <c r="G220" s="25">
        <v>100</v>
      </c>
      <c r="H220" s="25">
        <v>67</v>
      </c>
      <c r="I220" s="22">
        <v>237</v>
      </c>
      <c r="J220" s="112">
        <v>79</v>
      </c>
      <c r="K220" s="116">
        <v>0.18859999999999999</v>
      </c>
      <c r="L220" s="117" t="s">
        <v>3620</v>
      </c>
      <c r="M220" s="118" t="s">
        <v>3640</v>
      </c>
    </row>
    <row r="221" spans="1:13" ht="15.75" customHeight="1">
      <c r="A221" s="19">
        <v>219</v>
      </c>
      <c r="B221" s="107" t="s">
        <v>3623</v>
      </c>
      <c r="C221" s="20" t="s">
        <v>1771</v>
      </c>
      <c r="D221" s="20" t="s">
        <v>244</v>
      </c>
      <c r="E221" s="20" t="s">
        <v>1772</v>
      </c>
      <c r="F221" s="21">
        <v>180</v>
      </c>
      <c r="G221" s="21">
        <v>125</v>
      </c>
      <c r="H221" s="21">
        <v>200</v>
      </c>
      <c r="I221" s="22">
        <v>533</v>
      </c>
      <c r="J221" s="108">
        <v>168.3</v>
      </c>
      <c r="K221" s="116">
        <v>0.18840000000000001</v>
      </c>
      <c r="L221" s="117" t="s">
        <v>3620</v>
      </c>
      <c r="M221" s="118" t="s">
        <v>3640</v>
      </c>
    </row>
    <row r="222" spans="1:13" ht="15.75" customHeight="1">
      <c r="A222" s="23">
        <v>220</v>
      </c>
      <c r="B222" s="107" t="s">
        <v>3623</v>
      </c>
      <c r="C222" s="24" t="s">
        <v>1865</v>
      </c>
      <c r="D222" s="24" t="s">
        <v>283</v>
      </c>
      <c r="E222" s="24" t="s">
        <v>1866</v>
      </c>
      <c r="F222" s="25">
        <v>1842</v>
      </c>
      <c r="G222" s="25">
        <v>2451</v>
      </c>
      <c r="H222" s="25">
        <v>2902</v>
      </c>
      <c r="I222" s="22">
        <v>8625</v>
      </c>
      <c r="J222" s="112">
        <v>2398.3000000000002</v>
      </c>
      <c r="K222" s="116">
        <v>0.18110000000000001</v>
      </c>
      <c r="L222" s="117" t="s">
        <v>3620</v>
      </c>
      <c r="M222" s="118" t="s">
        <v>3640</v>
      </c>
    </row>
    <row r="223" spans="1:13" ht="15.75" customHeight="1">
      <c r="A223" s="19">
        <v>221</v>
      </c>
      <c r="B223" s="107" t="s">
        <v>3623</v>
      </c>
      <c r="C223" s="20" t="s">
        <v>1713</v>
      </c>
      <c r="D223" s="20" t="s">
        <v>203</v>
      </c>
      <c r="E223" s="20" t="s">
        <v>1714</v>
      </c>
      <c r="F223" s="21">
        <v>15342</v>
      </c>
      <c r="G223" s="21">
        <v>10349</v>
      </c>
      <c r="H223" s="21">
        <v>11030</v>
      </c>
      <c r="I223" s="22">
        <v>39545</v>
      </c>
      <c r="J223" s="108">
        <v>12240.3</v>
      </c>
      <c r="K223" s="116">
        <v>0.18060000000000001</v>
      </c>
      <c r="L223" s="117" t="s">
        <v>3620</v>
      </c>
      <c r="M223" s="118" t="s">
        <v>3640</v>
      </c>
    </row>
    <row r="224" spans="1:13" ht="15.75" customHeight="1">
      <c r="A224" s="23">
        <v>222</v>
      </c>
      <c r="B224" s="107" t="s">
        <v>3623</v>
      </c>
      <c r="C224" s="24" t="s">
        <v>1780</v>
      </c>
      <c r="D224" s="24" t="s">
        <v>253</v>
      </c>
      <c r="E224" s="24" t="s">
        <v>1781</v>
      </c>
      <c r="F224" s="25">
        <v>3318</v>
      </c>
      <c r="G224" s="25">
        <v>2131</v>
      </c>
      <c r="H224" s="25">
        <v>3026</v>
      </c>
      <c r="I224" s="22">
        <v>9205</v>
      </c>
      <c r="J224" s="112">
        <v>2825</v>
      </c>
      <c r="K224" s="116">
        <v>0.17879999999999999</v>
      </c>
      <c r="L224" s="117" t="s">
        <v>3620</v>
      </c>
      <c r="M224" s="118" t="s">
        <v>3640</v>
      </c>
    </row>
    <row r="225" spans="1:13" ht="15.75" customHeight="1">
      <c r="A225" s="19">
        <v>223</v>
      </c>
      <c r="B225" s="107" t="s">
        <v>3623</v>
      </c>
      <c r="C225" s="20" t="s">
        <v>1764</v>
      </c>
      <c r="D225" s="20" t="s">
        <v>244</v>
      </c>
      <c r="E225" s="20" t="s">
        <v>1765</v>
      </c>
      <c r="F225" s="21">
        <v>820</v>
      </c>
      <c r="G225" s="21">
        <v>530</v>
      </c>
      <c r="H225" s="21">
        <v>714</v>
      </c>
      <c r="I225" s="22">
        <v>2264</v>
      </c>
      <c r="J225" s="108">
        <v>688</v>
      </c>
      <c r="K225" s="116">
        <v>0.1741</v>
      </c>
      <c r="L225" s="117" t="s">
        <v>3620</v>
      </c>
      <c r="M225" s="118" t="s">
        <v>3640</v>
      </c>
    </row>
    <row r="226" spans="1:13" ht="15.75" customHeight="1">
      <c r="A226" s="23">
        <v>224</v>
      </c>
      <c r="B226" s="107" t="s">
        <v>3623</v>
      </c>
      <c r="C226" s="24" t="s">
        <v>1793</v>
      </c>
      <c r="D226" s="24" t="s">
        <v>253</v>
      </c>
      <c r="E226" s="24" t="s">
        <v>1794</v>
      </c>
      <c r="F226" s="25">
        <v>1890</v>
      </c>
      <c r="G226" s="25">
        <v>1280</v>
      </c>
      <c r="H226" s="25">
        <v>1449</v>
      </c>
      <c r="I226" s="22">
        <v>4914</v>
      </c>
      <c r="J226" s="112">
        <v>1539.7</v>
      </c>
      <c r="K226" s="116">
        <v>0.16700000000000001</v>
      </c>
      <c r="L226" s="117" t="s">
        <v>3620</v>
      </c>
      <c r="M226" s="118" t="s">
        <v>3640</v>
      </c>
    </row>
    <row r="227" spans="1:13" ht="15.75" customHeight="1">
      <c r="A227" s="19">
        <v>225</v>
      </c>
      <c r="B227" s="107" t="s">
        <v>3623</v>
      </c>
      <c r="C227" s="20" t="s">
        <v>1791</v>
      </c>
      <c r="D227" s="20" t="s">
        <v>253</v>
      </c>
      <c r="E227" s="20" t="s">
        <v>1792</v>
      </c>
      <c r="F227" s="21">
        <v>274</v>
      </c>
      <c r="G227" s="21">
        <v>189</v>
      </c>
      <c r="H227" s="21">
        <v>267</v>
      </c>
      <c r="I227" s="22">
        <v>855</v>
      </c>
      <c r="J227" s="108">
        <v>243.3</v>
      </c>
      <c r="K227" s="116">
        <v>0.1583</v>
      </c>
      <c r="L227" s="117" t="s">
        <v>3620</v>
      </c>
      <c r="M227" s="118" t="s">
        <v>3640</v>
      </c>
    </row>
    <row r="228" spans="1:13" ht="15.75" customHeight="1">
      <c r="A228" s="23">
        <v>226</v>
      </c>
      <c r="B228" s="107" t="s">
        <v>3623</v>
      </c>
      <c r="C228" s="24" t="s">
        <v>1725</v>
      </c>
      <c r="D228" s="24" t="s">
        <v>203</v>
      </c>
      <c r="E228" s="24" t="s">
        <v>1726</v>
      </c>
      <c r="F228" s="25">
        <v>6085</v>
      </c>
      <c r="G228" s="25">
        <v>5201</v>
      </c>
      <c r="H228" s="25">
        <v>4156</v>
      </c>
      <c r="I228" s="22">
        <v>16592</v>
      </c>
      <c r="J228" s="112">
        <v>5147.3</v>
      </c>
      <c r="K228" s="116">
        <v>0.1532</v>
      </c>
      <c r="L228" s="117" t="s">
        <v>3620</v>
      </c>
      <c r="M228" s="118" t="s">
        <v>3640</v>
      </c>
    </row>
    <row r="229" spans="1:13" ht="15.75" customHeight="1">
      <c r="A229" s="19">
        <v>227</v>
      </c>
      <c r="B229" s="107" t="s">
        <v>3623</v>
      </c>
      <c r="C229" s="20" t="s">
        <v>1633</v>
      </c>
      <c r="D229" s="20" t="s">
        <v>180</v>
      </c>
      <c r="E229" s="20" t="s">
        <v>1634</v>
      </c>
      <c r="F229" s="21">
        <v>284</v>
      </c>
      <c r="G229" s="21">
        <v>217</v>
      </c>
      <c r="H229" s="21">
        <v>317</v>
      </c>
      <c r="I229" s="22">
        <v>897</v>
      </c>
      <c r="J229" s="108">
        <v>272.7</v>
      </c>
      <c r="K229" s="116">
        <v>0.15260000000000001</v>
      </c>
      <c r="L229" s="117" t="s">
        <v>3620</v>
      </c>
      <c r="M229" s="118" t="s">
        <v>3640</v>
      </c>
    </row>
    <row r="230" spans="1:13" ht="15.75" customHeight="1">
      <c r="A230" s="23">
        <v>228</v>
      </c>
      <c r="B230" s="107" t="s">
        <v>3623</v>
      </c>
      <c r="C230" s="24" t="s">
        <v>1675</v>
      </c>
      <c r="D230" s="24" t="s">
        <v>206</v>
      </c>
      <c r="E230" s="24" t="s">
        <v>1676</v>
      </c>
      <c r="F230" s="25">
        <v>219</v>
      </c>
      <c r="G230" s="25">
        <v>316</v>
      </c>
      <c r="H230" s="25">
        <v>274</v>
      </c>
      <c r="I230" s="22">
        <v>906</v>
      </c>
      <c r="J230" s="112">
        <v>269.7</v>
      </c>
      <c r="K230" s="116">
        <v>0.14729999999999999</v>
      </c>
      <c r="L230" s="117" t="s">
        <v>3620</v>
      </c>
      <c r="M230" s="118" t="s">
        <v>3640</v>
      </c>
    </row>
    <row r="231" spans="1:13" ht="15.75" customHeight="1">
      <c r="A231" s="19">
        <v>229</v>
      </c>
      <c r="B231" s="107" t="s">
        <v>3623</v>
      </c>
      <c r="C231" s="20" t="s">
        <v>1848</v>
      </c>
      <c r="D231" s="20" t="s">
        <v>278</v>
      </c>
      <c r="E231" s="20" t="s">
        <v>1849</v>
      </c>
      <c r="F231" s="21">
        <v>255</v>
      </c>
      <c r="G231" s="21">
        <v>180</v>
      </c>
      <c r="H231" s="21">
        <v>233</v>
      </c>
      <c r="I231" s="22">
        <v>860</v>
      </c>
      <c r="J231" s="108">
        <v>222.7</v>
      </c>
      <c r="K231" s="116">
        <v>0.1414</v>
      </c>
      <c r="L231" s="117" t="s">
        <v>3620</v>
      </c>
      <c r="M231" s="118" t="s">
        <v>3640</v>
      </c>
    </row>
    <row r="232" spans="1:13" ht="15.75" customHeight="1">
      <c r="A232" s="23">
        <v>230</v>
      </c>
      <c r="B232" s="107" t="s">
        <v>3623</v>
      </c>
      <c r="C232" s="24" t="s">
        <v>223</v>
      </c>
      <c r="D232" s="24" t="s">
        <v>203</v>
      </c>
      <c r="E232" s="24" t="s">
        <v>22</v>
      </c>
      <c r="F232" s="25">
        <v>145</v>
      </c>
      <c r="G232" s="25">
        <v>200</v>
      </c>
      <c r="H232" s="25">
        <v>190</v>
      </c>
      <c r="I232" s="22">
        <v>535</v>
      </c>
      <c r="J232" s="112">
        <v>178.3</v>
      </c>
      <c r="K232" s="116">
        <v>0.1341</v>
      </c>
      <c r="L232" s="117" t="s">
        <v>3620</v>
      </c>
      <c r="M232" s="118" t="s">
        <v>3640</v>
      </c>
    </row>
    <row r="233" spans="1:13" ht="15.75" customHeight="1">
      <c r="A233" s="19">
        <v>231</v>
      </c>
      <c r="B233" s="107" t="s">
        <v>3623</v>
      </c>
      <c r="C233" s="20" t="s">
        <v>1631</v>
      </c>
      <c r="D233" s="20" t="s">
        <v>180</v>
      </c>
      <c r="E233" s="20" t="s">
        <v>1632</v>
      </c>
      <c r="F233" s="21">
        <v>1082</v>
      </c>
      <c r="G233" s="21">
        <v>852</v>
      </c>
      <c r="H233" s="21">
        <v>810</v>
      </c>
      <c r="I233" s="22">
        <v>2972</v>
      </c>
      <c r="J233" s="108">
        <v>914.7</v>
      </c>
      <c r="K233" s="116">
        <v>0.13070000000000001</v>
      </c>
      <c r="L233" s="117" t="s">
        <v>3620</v>
      </c>
      <c r="M233" s="118" t="s">
        <v>3640</v>
      </c>
    </row>
    <row r="234" spans="1:13" ht="15.75" customHeight="1">
      <c r="A234" s="23">
        <v>232</v>
      </c>
      <c r="B234" s="107" t="s">
        <v>3623</v>
      </c>
      <c r="C234" s="24" t="s">
        <v>1787</v>
      </c>
      <c r="D234" s="24" t="s">
        <v>253</v>
      </c>
      <c r="E234" s="24" t="s">
        <v>1788</v>
      </c>
      <c r="F234" s="25">
        <v>789</v>
      </c>
      <c r="G234" s="25">
        <v>573</v>
      </c>
      <c r="H234" s="25">
        <v>667</v>
      </c>
      <c r="I234" s="22">
        <v>2174</v>
      </c>
      <c r="J234" s="112">
        <v>676.3</v>
      </c>
      <c r="K234" s="116">
        <v>0.13070000000000001</v>
      </c>
      <c r="L234" s="117" t="s">
        <v>3620</v>
      </c>
      <c r="M234" s="118" t="s">
        <v>3640</v>
      </c>
    </row>
    <row r="235" spans="1:13" ht="15.75" customHeight="1">
      <c r="A235" s="19">
        <v>233</v>
      </c>
      <c r="B235" s="107" t="s">
        <v>3623</v>
      </c>
      <c r="C235" s="20" t="s">
        <v>1635</v>
      </c>
      <c r="D235" s="20" t="s">
        <v>180</v>
      </c>
      <c r="E235" s="20" t="s">
        <v>1636</v>
      </c>
      <c r="F235" s="21">
        <v>174</v>
      </c>
      <c r="G235" s="21">
        <v>180</v>
      </c>
      <c r="H235" s="21">
        <v>226</v>
      </c>
      <c r="I235" s="22">
        <v>592</v>
      </c>
      <c r="J235" s="108">
        <v>193.3</v>
      </c>
      <c r="K235" s="116">
        <v>0.1201</v>
      </c>
      <c r="L235" s="117" t="s">
        <v>3620</v>
      </c>
      <c r="M235" s="118" t="s">
        <v>3640</v>
      </c>
    </row>
    <row r="236" spans="1:13" ht="15.75" customHeight="1">
      <c r="A236" s="23">
        <v>234</v>
      </c>
      <c r="B236" s="107" t="s">
        <v>3623</v>
      </c>
      <c r="C236" s="24" t="s">
        <v>1737</v>
      </c>
      <c r="D236" s="24" t="s">
        <v>203</v>
      </c>
      <c r="E236" s="24" t="s">
        <v>1738</v>
      </c>
      <c r="F236" s="25">
        <v>214</v>
      </c>
      <c r="G236" s="25">
        <v>280</v>
      </c>
      <c r="H236" s="25">
        <v>279</v>
      </c>
      <c r="I236" s="22">
        <v>899</v>
      </c>
      <c r="J236" s="112">
        <v>257.7</v>
      </c>
      <c r="K236" s="116">
        <v>0.1198</v>
      </c>
      <c r="L236" s="117" t="s">
        <v>3620</v>
      </c>
      <c r="M236" s="118" t="s">
        <v>3640</v>
      </c>
    </row>
    <row r="237" spans="1:13" ht="15.75" customHeight="1">
      <c r="A237" s="19">
        <v>235</v>
      </c>
      <c r="B237" s="107" t="s">
        <v>3623</v>
      </c>
      <c r="C237" s="20" t="s">
        <v>1745</v>
      </c>
      <c r="D237" s="20" t="s">
        <v>203</v>
      </c>
      <c r="E237" s="20" t="s">
        <v>1746</v>
      </c>
      <c r="F237" s="21">
        <v>1354</v>
      </c>
      <c r="G237" s="21">
        <v>1052</v>
      </c>
      <c r="H237" s="21">
        <v>1088</v>
      </c>
      <c r="I237" s="22">
        <v>3969</v>
      </c>
      <c r="J237" s="108">
        <v>1164.7</v>
      </c>
      <c r="K237" s="116">
        <v>0.11559999999999999</v>
      </c>
      <c r="L237" s="117" t="s">
        <v>3620</v>
      </c>
      <c r="M237" s="118" t="s">
        <v>3640</v>
      </c>
    </row>
    <row r="238" spans="1:13" ht="15.75" customHeight="1">
      <c r="A238" s="23">
        <v>236</v>
      </c>
      <c r="B238" s="107" t="s">
        <v>3623</v>
      </c>
      <c r="C238" s="24" t="s">
        <v>1887</v>
      </c>
      <c r="D238" s="24" t="s">
        <v>294</v>
      </c>
      <c r="E238" s="24" t="s">
        <v>1888</v>
      </c>
      <c r="F238" s="25">
        <v>2645</v>
      </c>
      <c r="G238" s="25">
        <v>3420</v>
      </c>
      <c r="H238" s="25">
        <v>2956</v>
      </c>
      <c r="I238" s="22">
        <v>9634</v>
      </c>
      <c r="J238" s="112">
        <v>3007</v>
      </c>
      <c r="K238" s="116">
        <v>0.10589999999999999</v>
      </c>
      <c r="L238" s="117" t="s">
        <v>3620</v>
      </c>
      <c r="M238" s="118" t="s">
        <v>3640</v>
      </c>
    </row>
    <row r="239" spans="1:13" ht="15.75" customHeight="1">
      <c r="A239" s="19">
        <v>237</v>
      </c>
      <c r="B239" s="107" t="s">
        <v>3623</v>
      </c>
      <c r="C239" s="20" t="s">
        <v>1669</v>
      </c>
      <c r="D239" s="20" t="s">
        <v>206</v>
      </c>
      <c r="E239" s="20" t="s">
        <v>1670</v>
      </c>
      <c r="F239" s="21">
        <v>1726</v>
      </c>
      <c r="G239" s="21">
        <v>1492</v>
      </c>
      <c r="H239" s="21">
        <v>1894</v>
      </c>
      <c r="I239" s="22">
        <v>5628</v>
      </c>
      <c r="J239" s="108">
        <v>1704</v>
      </c>
      <c r="K239" s="116">
        <v>9.6699999999999994E-2</v>
      </c>
      <c r="L239" s="117" t="s">
        <v>3620</v>
      </c>
      <c r="M239" s="118" t="s">
        <v>3640</v>
      </c>
    </row>
    <row r="240" spans="1:13" ht="15.75" customHeight="1">
      <c r="A240" s="23">
        <v>238</v>
      </c>
      <c r="B240" s="107" t="s">
        <v>3623</v>
      </c>
      <c r="C240" s="24" t="s">
        <v>1671</v>
      </c>
      <c r="D240" s="24" t="s">
        <v>206</v>
      </c>
      <c r="E240" s="24" t="s">
        <v>1672</v>
      </c>
      <c r="F240" s="25">
        <v>832</v>
      </c>
      <c r="G240" s="25">
        <v>847</v>
      </c>
      <c r="H240" s="25">
        <v>1023</v>
      </c>
      <c r="I240" s="22">
        <v>3053</v>
      </c>
      <c r="J240" s="112">
        <v>900.7</v>
      </c>
      <c r="K240" s="116">
        <v>9.6299999999999997E-2</v>
      </c>
      <c r="L240" s="117" t="s">
        <v>3620</v>
      </c>
      <c r="M240" s="118" t="s">
        <v>3640</v>
      </c>
    </row>
    <row r="241" spans="1:13" ht="15.75" customHeight="1">
      <c r="A241" s="19">
        <v>239</v>
      </c>
      <c r="B241" s="107" t="s">
        <v>3623</v>
      </c>
      <c r="C241" s="20" t="s">
        <v>1769</v>
      </c>
      <c r="D241" s="20" t="s">
        <v>244</v>
      </c>
      <c r="E241" s="20" t="s">
        <v>1770</v>
      </c>
      <c r="F241" s="21">
        <v>3292</v>
      </c>
      <c r="G241" s="21">
        <v>2616</v>
      </c>
      <c r="H241" s="21">
        <v>3127</v>
      </c>
      <c r="I241" s="22">
        <v>9870</v>
      </c>
      <c r="J241" s="108">
        <v>3011.7</v>
      </c>
      <c r="K241" s="116">
        <v>9.5600000000000004E-2</v>
      </c>
      <c r="L241" s="117" t="s">
        <v>3620</v>
      </c>
      <c r="M241" s="118" t="s">
        <v>3640</v>
      </c>
    </row>
    <row r="242" spans="1:13" ht="15.75" customHeight="1">
      <c r="A242" s="23">
        <v>240</v>
      </c>
      <c r="B242" s="107" t="s">
        <v>3623</v>
      </c>
      <c r="C242" s="24" t="s">
        <v>1731</v>
      </c>
      <c r="D242" s="24" t="s">
        <v>203</v>
      </c>
      <c r="E242" s="24" t="s">
        <v>1732</v>
      </c>
      <c r="F242" s="25">
        <v>958</v>
      </c>
      <c r="G242" s="25">
        <v>1175</v>
      </c>
      <c r="H242" s="25">
        <v>1188</v>
      </c>
      <c r="I242" s="22">
        <v>3591</v>
      </c>
      <c r="J242" s="112">
        <v>1107</v>
      </c>
      <c r="K242" s="116">
        <v>9.5299999999999996E-2</v>
      </c>
      <c r="L242" s="117" t="s">
        <v>3620</v>
      </c>
      <c r="M242" s="118" t="s">
        <v>3640</v>
      </c>
    </row>
    <row r="243" spans="1:13" ht="15.75" customHeight="1">
      <c r="A243" s="19">
        <v>241</v>
      </c>
      <c r="B243" s="107" t="s">
        <v>3623</v>
      </c>
      <c r="C243" s="20" t="s">
        <v>1719</v>
      </c>
      <c r="D243" s="20" t="s">
        <v>203</v>
      </c>
      <c r="E243" s="20" t="s">
        <v>1720</v>
      </c>
      <c r="F243" s="21">
        <v>11303</v>
      </c>
      <c r="G243" s="21">
        <v>10245</v>
      </c>
      <c r="H243" s="21">
        <v>8968</v>
      </c>
      <c r="I243" s="22">
        <v>33493</v>
      </c>
      <c r="J243" s="108">
        <v>10172</v>
      </c>
      <c r="K243" s="116">
        <v>9.3899999999999997E-2</v>
      </c>
      <c r="L243" s="117" t="s">
        <v>3620</v>
      </c>
      <c r="M243" s="118" t="s">
        <v>3640</v>
      </c>
    </row>
    <row r="244" spans="1:13" ht="15.75" customHeight="1">
      <c r="A244" s="23">
        <v>242</v>
      </c>
      <c r="B244" s="107" t="s">
        <v>3623</v>
      </c>
      <c r="C244" s="24" t="s">
        <v>1735</v>
      </c>
      <c r="D244" s="24" t="s">
        <v>203</v>
      </c>
      <c r="E244" s="24" t="s">
        <v>1736</v>
      </c>
      <c r="F244" s="25">
        <v>4506</v>
      </c>
      <c r="G244" s="25">
        <v>3620</v>
      </c>
      <c r="H244" s="25">
        <v>3927</v>
      </c>
      <c r="I244" s="22">
        <v>13155</v>
      </c>
      <c r="J244" s="112">
        <v>4017.7</v>
      </c>
      <c r="K244" s="116">
        <v>9.1399999999999995E-2</v>
      </c>
      <c r="L244" s="117" t="s">
        <v>3620</v>
      </c>
      <c r="M244" s="118" t="s">
        <v>3640</v>
      </c>
    </row>
    <row r="245" spans="1:13" ht="15.75" customHeight="1">
      <c r="A245" s="19">
        <v>243</v>
      </c>
      <c r="B245" s="107" t="s">
        <v>3623</v>
      </c>
      <c r="C245" s="20" t="s">
        <v>1817</v>
      </c>
      <c r="D245" s="20" t="s">
        <v>263</v>
      </c>
      <c r="E245" s="20" t="s">
        <v>1818</v>
      </c>
      <c r="F245" s="21">
        <v>328</v>
      </c>
      <c r="G245" s="21">
        <v>390</v>
      </c>
      <c r="H245" s="21">
        <v>340</v>
      </c>
      <c r="I245" s="22">
        <v>1108</v>
      </c>
      <c r="J245" s="108">
        <v>352.7</v>
      </c>
      <c r="K245" s="116">
        <v>7.6100000000000001E-2</v>
      </c>
      <c r="L245" s="117" t="s">
        <v>3620</v>
      </c>
      <c r="M245" s="118" t="s">
        <v>3640</v>
      </c>
    </row>
    <row r="246" spans="1:13" ht="15.75" customHeight="1">
      <c r="A246" s="23">
        <v>244</v>
      </c>
      <c r="B246" s="107" t="s">
        <v>3623</v>
      </c>
      <c r="C246" s="24" t="s">
        <v>1775</v>
      </c>
      <c r="D246" s="24" t="s">
        <v>253</v>
      </c>
      <c r="E246" s="24" t="s">
        <v>1776</v>
      </c>
      <c r="F246" s="25">
        <v>2433</v>
      </c>
      <c r="G246" s="25">
        <v>2034</v>
      </c>
      <c r="H246" s="25">
        <v>2245</v>
      </c>
      <c r="I246" s="22">
        <v>7287</v>
      </c>
      <c r="J246" s="112">
        <v>2237.3000000000002</v>
      </c>
      <c r="K246" s="116">
        <v>7.2800000000000004E-2</v>
      </c>
      <c r="L246" s="117" t="s">
        <v>3620</v>
      </c>
      <c r="M246" s="118" t="s">
        <v>3640</v>
      </c>
    </row>
    <row r="247" spans="1:13" ht="15.75" customHeight="1">
      <c r="A247" s="19">
        <v>245</v>
      </c>
      <c r="B247" s="107" t="s">
        <v>3623</v>
      </c>
      <c r="C247" s="20" t="s">
        <v>1739</v>
      </c>
      <c r="D247" s="20" t="s">
        <v>203</v>
      </c>
      <c r="E247" s="20" t="s">
        <v>1578</v>
      </c>
      <c r="F247" s="21">
        <v>90</v>
      </c>
      <c r="G247" s="21">
        <v>100</v>
      </c>
      <c r="H247" s="21">
        <v>84</v>
      </c>
      <c r="I247" s="22">
        <v>293</v>
      </c>
      <c r="J247" s="108">
        <v>91.3</v>
      </c>
      <c r="K247" s="116">
        <v>7.2300000000000003E-2</v>
      </c>
      <c r="L247" s="117" t="s">
        <v>3620</v>
      </c>
      <c r="M247" s="118" t="s">
        <v>3640</v>
      </c>
    </row>
    <row r="248" spans="1:13" ht="15.75" customHeight="1">
      <c r="A248" s="23">
        <v>246</v>
      </c>
      <c r="B248" s="107" t="s">
        <v>3623</v>
      </c>
      <c r="C248" s="24" t="s">
        <v>1727</v>
      </c>
      <c r="D248" s="24" t="s">
        <v>203</v>
      </c>
      <c r="E248" s="24" t="s">
        <v>1728</v>
      </c>
      <c r="F248" s="25">
        <v>2322</v>
      </c>
      <c r="G248" s="25">
        <v>2761</v>
      </c>
      <c r="H248" s="25">
        <v>2524</v>
      </c>
      <c r="I248" s="22">
        <v>8140</v>
      </c>
      <c r="J248" s="112">
        <v>2535.6999999999998</v>
      </c>
      <c r="K248" s="116">
        <v>7.0800000000000002E-2</v>
      </c>
      <c r="L248" s="117" t="s">
        <v>3620</v>
      </c>
      <c r="M248" s="118" t="s">
        <v>3640</v>
      </c>
    </row>
    <row r="249" spans="1:13" ht="15.75" customHeight="1">
      <c r="A249" s="19">
        <v>247</v>
      </c>
      <c r="B249" s="107" t="s">
        <v>3623</v>
      </c>
      <c r="C249" s="20" t="s">
        <v>1811</v>
      </c>
      <c r="D249" s="20" t="s">
        <v>263</v>
      </c>
      <c r="E249" s="20" t="s">
        <v>1812</v>
      </c>
      <c r="F249" s="21">
        <v>62</v>
      </c>
      <c r="G249" s="21">
        <v>70</v>
      </c>
      <c r="H249" s="21">
        <v>60</v>
      </c>
      <c r="I249" s="22">
        <v>222</v>
      </c>
      <c r="J249" s="108">
        <v>64</v>
      </c>
      <c r="K249" s="116">
        <v>6.7500000000000004E-2</v>
      </c>
      <c r="L249" s="117" t="s">
        <v>3620</v>
      </c>
      <c r="M249" s="118" t="s">
        <v>3640</v>
      </c>
    </row>
    <row r="250" spans="1:13" ht="15.75" customHeight="1">
      <c r="A250" s="23">
        <v>248</v>
      </c>
      <c r="B250" s="107" t="s">
        <v>3623</v>
      </c>
      <c r="C250" s="24" t="s">
        <v>1826</v>
      </c>
      <c r="D250" s="24" t="s">
        <v>271</v>
      </c>
      <c r="E250" s="24" t="s">
        <v>1827</v>
      </c>
      <c r="F250" s="25">
        <v>808</v>
      </c>
      <c r="G250" s="25">
        <v>723</v>
      </c>
      <c r="H250" s="25">
        <v>715</v>
      </c>
      <c r="I250" s="22">
        <v>2696</v>
      </c>
      <c r="J250" s="112">
        <v>748.7</v>
      </c>
      <c r="K250" s="116">
        <v>5.62E-2</v>
      </c>
      <c r="L250" s="117" t="s">
        <v>3620</v>
      </c>
      <c r="M250" s="118" t="s">
        <v>3640</v>
      </c>
    </row>
    <row r="251" spans="1:13" ht="15.75" customHeight="1">
      <c r="A251" s="19">
        <v>249</v>
      </c>
      <c r="B251" s="107" t="s">
        <v>3623</v>
      </c>
      <c r="C251" s="20" t="s">
        <v>1637</v>
      </c>
      <c r="D251" s="20" t="s">
        <v>180</v>
      </c>
      <c r="E251" s="20" t="s">
        <v>1638</v>
      </c>
      <c r="F251" s="21">
        <v>316</v>
      </c>
      <c r="G251" s="21">
        <v>347</v>
      </c>
      <c r="H251" s="21">
        <v>307</v>
      </c>
      <c r="I251" s="22">
        <v>995</v>
      </c>
      <c r="J251" s="108">
        <v>323.3</v>
      </c>
      <c r="K251" s="116">
        <v>5.2999999999999999E-2</v>
      </c>
      <c r="L251" s="117" t="s">
        <v>3620</v>
      </c>
      <c r="M251" s="118" t="s">
        <v>3640</v>
      </c>
    </row>
    <row r="252" spans="1:13" ht="15.75" customHeight="1">
      <c r="A252" s="23">
        <v>250</v>
      </c>
      <c r="B252" s="107" t="s">
        <v>3623</v>
      </c>
      <c r="C252" s="24" t="s">
        <v>1673</v>
      </c>
      <c r="D252" s="24" t="s">
        <v>206</v>
      </c>
      <c r="E252" s="24" t="s">
        <v>1674</v>
      </c>
      <c r="F252" s="25">
        <v>539</v>
      </c>
      <c r="G252" s="25">
        <v>509</v>
      </c>
      <c r="H252" s="25">
        <v>542</v>
      </c>
      <c r="I252" s="22">
        <v>1733</v>
      </c>
      <c r="J252" s="112">
        <v>530</v>
      </c>
      <c r="K252" s="116">
        <v>2.81E-2</v>
      </c>
      <c r="L252" s="117" t="s">
        <v>3620</v>
      </c>
      <c r="M252" s="118" t="s">
        <v>3640</v>
      </c>
    </row>
    <row r="253" spans="1:13" ht="15.75" customHeight="1">
      <c r="A253" s="19">
        <v>251</v>
      </c>
      <c r="B253" s="107" t="s">
        <v>3623</v>
      </c>
      <c r="C253" s="20" t="s">
        <v>1861</v>
      </c>
      <c r="D253" s="20" t="s">
        <v>283</v>
      </c>
      <c r="E253" s="20" t="s">
        <v>1862</v>
      </c>
      <c r="F253" s="21">
        <v>61</v>
      </c>
      <c r="G253" s="21">
        <v>58</v>
      </c>
      <c r="H253" s="21">
        <v>60</v>
      </c>
      <c r="I253" s="22">
        <v>179</v>
      </c>
      <c r="J253" s="108">
        <v>59.7</v>
      </c>
      <c r="K253" s="116">
        <v>2.0899999999999998E-2</v>
      </c>
      <c r="L253" s="117" t="s">
        <v>3620</v>
      </c>
      <c r="M253" s="118" t="s">
        <v>3640</v>
      </c>
    </row>
    <row r="254" spans="1:13" ht="15.75" customHeight="1">
      <c r="A254" s="23">
        <v>252</v>
      </c>
      <c r="B254" s="107" t="s">
        <v>3623</v>
      </c>
      <c r="C254" s="24" t="s">
        <v>1766</v>
      </c>
      <c r="D254" s="24" t="s">
        <v>244</v>
      </c>
      <c r="E254" s="24" t="s">
        <v>1767</v>
      </c>
      <c r="F254" s="25">
        <v>63</v>
      </c>
      <c r="G254" s="25">
        <v>14</v>
      </c>
      <c r="H254" s="25">
        <v>52</v>
      </c>
      <c r="I254" s="22">
        <v>130</v>
      </c>
      <c r="J254" s="112">
        <v>43</v>
      </c>
      <c r="K254" s="119">
        <v>0.48820000000000002</v>
      </c>
      <c r="L254" s="120" t="s">
        <v>3621</v>
      </c>
      <c r="M254" s="121" t="s">
        <v>3641</v>
      </c>
    </row>
    <row r="255" spans="1:13" ht="15.75" customHeight="1">
      <c r="A255" s="19">
        <v>253</v>
      </c>
      <c r="B255" s="107" t="s">
        <v>3623</v>
      </c>
      <c r="C255" s="20" t="s">
        <v>1560</v>
      </c>
      <c r="D255" s="20" t="s">
        <v>211</v>
      </c>
      <c r="E255" s="20" t="s">
        <v>1561</v>
      </c>
      <c r="F255" s="21">
        <v>35</v>
      </c>
      <c r="G255" s="21">
        <v>10</v>
      </c>
      <c r="H255" s="21">
        <v>20</v>
      </c>
      <c r="I255" s="22">
        <v>65</v>
      </c>
      <c r="J255" s="108">
        <v>21.7</v>
      </c>
      <c r="K255" s="119">
        <v>0.47420000000000001</v>
      </c>
      <c r="L255" s="120" t="s">
        <v>3621</v>
      </c>
      <c r="M255" s="121" t="s">
        <v>3641</v>
      </c>
    </row>
    <row r="256" spans="1:13" ht="15.75" customHeight="1">
      <c r="A256" s="23">
        <v>254</v>
      </c>
      <c r="B256" s="107" t="s">
        <v>3623</v>
      </c>
      <c r="C256" s="24" t="s">
        <v>1821</v>
      </c>
      <c r="D256" s="24" t="s">
        <v>263</v>
      </c>
      <c r="E256" s="24" t="s">
        <v>1822</v>
      </c>
      <c r="F256" s="25">
        <v>32</v>
      </c>
      <c r="G256" s="25">
        <v>10</v>
      </c>
      <c r="H256" s="25">
        <v>40</v>
      </c>
      <c r="I256" s="22">
        <v>112</v>
      </c>
      <c r="J256" s="112">
        <v>27.3</v>
      </c>
      <c r="K256" s="119">
        <v>0.46410000000000001</v>
      </c>
      <c r="L256" s="120" t="s">
        <v>3621</v>
      </c>
      <c r="M256" s="121" t="s">
        <v>3641</v>
      </c>
    </row>
    <row r="257" spans="1:13" ht="15.75" customHeight="1">
      <c r="A257" s="19">
        <v>255</v>
      </c>
      <c r="B257" s="107" t="s">
        <v>3623</v>
      </c>
      <c r="C257" s="20" t="s">
        <v>232</v>
      </c>
      <c r="D257" s="20" t="s">
        <v>203</v>
      </c>
      <c r="E257" s="20" t="s">
        <v>35</v>
      </c>
      <c r="F257" s="21">
        <v>60</v>
      </c>
      <c r="G257" s="21">
        <v>20</v>
      </c>
      <c r="H257" s="21">
        <v>30</v>
      </c>
      <c r="I257" s="22">
        <v>110</v>
      </c>
      <c r="J257" s="108">
        <v>36.700000000000003</v>
      </c>
      <c r="K257" s="119">
        <v>0.46350000000000002</v>
      </c>
      <c r="L257" s="120" t="s">
        <v>3621</v>
      </c>
      <c r="M257" s="121" t="s">
        <v>3641</v>
      </c>
    </row>
    <row r="258" spans="1:13" ht="15.75" customHeight="1">
      <c r="A258" s="23">
        <v>256</v>
      </c>
      <c r="B258" s="107" t="s">
        <v>3623</v>
      </c>
      <c r="C258" s="24" t="s">
        <v>1661</v>
      </c>
      <c r="D258" s="24" t="s">
        <v>448</v>
      </c>
      <c r="E258" s="24" t="s">
        <v>1662</v>
      </c>
      <c r="F258" s="25">
        <v>60</v>
      </c>
      <c r="G258" s="25">
        <v>30</v>
      </c>
      <c r="H258" s="25">
        <v>20</v>
      </c>
      <c r="I258" s="22">
        <v>110</v>
      </c>
      <c r="J258" s="112">
        <v>36.700000000000003</v>
      </c>
      <c r="K258" s="119">
        <v>0.46350000000000002</v>
      </c>
      <c r="L258" s="120" t="s">
        <v>3621</v>
      </c>
      <c r="M258" s="121" t="s">
        <v>3641</v>
      </c>
    </row>
    <row r="259" spans="1:13" ht="15.75" customHeight="1">
      <c r="A259" s="19">
        <v>257</v>
      </c>
      <c r="B259" s="107" t="s">
        <v>3623</v>
      </c>
      <c r="C259" s="20" t="s">
        <v>1598</v>
      </c>
      <c r="D259" s="20" t="s">
        <v>283</v>
      </c>
      <c r="E259" s="20" t="s">
        <v>1599</v>
      </c>
      <c r="F259" s="21">
        <v>15</v>
      </c>
      <c r="G259" s="21">
        <v>30</v>
      </c>
      <c r="H259" s="21">
        <v>50</v>
      </c>
      <c r="I259" s="22">
        <v>115</v>
      </c>
      <c r="J259" s="108">
        <v>31.7</v>
      </c>
      <c r="K259" s="119">
        <v>0.45279999999999998</v>
      </c>
      <c r="L259" s="120" t="s">
        <v>3621</v>
      </c>
      <c r="M259" s="121" t="s">
        <v>3641</v>
      </c>
    </row>
    <row r="260" spans="1:13" ht="15.75" customHeight="1">
      <c r="A260" s="23">
        <v>258</v>
      </c>
      <c r="B260" s="107" t="s">
        <v>3623</v>
      </c>
      <c r="C260" s="24" t="s">
        <v>1885</v>
      </c>
      <c r="D260" s="24" t="s">
        <v>294</v>
      </c>
      <c r="E260" s="24" t="s">
        <v>1886</v>
      </c>
      <c r="F260" s="25">
        <v>30</v>
      </c>
      <c r="G260" s="25">
        <v>30</v>
      </c>
      <c r="H260" s="25">
        <v>72</v>
      </c>
      <c r="I260" s="22">
        <v>147</v>
      </c>
      <c r="J260" s="112">
        <v>44</v>
      </c>
      <c r="K260" s="119">
        <v>0.45</v>
      </c>
      <c r="L260" s="120" t="s">
        <v>3621</v>
      </c>
      <c r="M260" s="121" t="s">
        <v>3641</v>
      </c>
    </row>
    <row r="261" spans="1:13" ht="15.75" customHeight="1">
      <c r="A261" s="19">
        <v>259</v>
      </c>
      <c r="B261" s="107" t="s">
        <v>3623</v>
      </c>
      <c r="C261" s="20" t="s">
        <v>1626</v>
      </c>
      <c r="D261" s="20" t="s">
        <v>180</v>
      </c>
      <c r="E261" s="20" t="s">
        <v>1627</v>
      </c>
      <c r="F261" s="21">
        <v>5</v>
      </c>
      <c r="G261" s="21">
        <v>18</v>
      </c>
      <c r="H261" s="21">
        <v>18</v>
      </c>
      <c r="I261" s="22">
        <v>46</v>
      </c>
      <c r="J261" s="108">
        <v>13.7</v>
      </c>
      <c r="K261" s="119">
        <v>0.44840000000000002</v>
      </c>
      <c r="L261" s="120" t="s">
        <v>3621</v>
      </c>
      <c r="M261" s="121" t="s">
        <v>3641</v>
      </c>
    </row>
    <row r="262" spans="1:13" ht="15.75" customHeight="1">
      <c r="A262" s="23">
        <v>260</v>
      </c>
      <c r="B262" s="107" t="s">
        <v>3623</v>
      </c>
      <c r="C262" s="24" t="s">
        <v>1709</v>
      </c>
      <c r="D262" s="24" t="s">
        <v>211</v>
      </c>
      <c r="E262" s="24" t="s">
        <v>1678</v>
      </c>
      <c r="F262" s="25">
        <v>50</v>
      </c>
      <c r="G262" s="25">
        <v>15</v>
      </c>
      <c r="H262" s="25">
        <v>55</v>
      </c>
      <c r="I262" s="22">
        <v>120</v>
      </c>
      <c r="J262" s="112">
        <v>40</v>
      </c>
      <c r="K262" s="119">
        <v>0.44490000000000002</v>
      </c>
      <c r="L262" s="120" t="s">
        <v>3621</v>
      </c>
      <c r="M262" s="121" t="s">
        <v>3641</v>
      </c>
    </row>
    <row r="263" spans="1:13" ht="15.75" customHeight="1">
      <c r="A263" s="19">
        <v>261</v>
      </c>
      <c r="B263" s="107" t="s">
        <v>3623</v>
      </c>
      <c r="C263" s="20" t="s">
        <v>178</v>
      </c>
      <c r="D263" s="20" t="s">
        <v>169</v>
      </c>
      <c r="E263" s="20" t="s">
        <v>57</v>
      </c>
      <c r="F263" s="21">
        <v>80</v>
      </c>
      <c r="G263" s="21">
        <v>40</v>
      </c>
      <c r="H263" s="21">
        <v>30</v>
      </c>
      <c r="I263" s="22">
        <v>200</v>
      </c>
      <c r="J263" s="108">
        <v>50</v>
      </c>
      <c r="K263" s="119">
        <v>0.432</v>
      </c>
      <c r="L263" s="120" t="s">
        <v>3621</v>
      </c>
      <c r="M263" s="121" t="s">
        <v>3641</v>
      </c>
    </row>
    <row r="264" spans="1:13" ht="15.75" customHeight="1">
      <c r="A264" s="23">
        <v>262</v>
      </c>
      <c r="B264" s="107" t="s">
        <v>3623</v>
      </c>
      <c r="C264" s="24" t="s">
        <v>1643</v>
      </c>
      <c r="D264" s="24" t="s">
        <v>169</v>
      </c>
      <c r="E264" s="24" t="s">
        <v>22</v>
      </c>
      <c r="F264" s="25">
        <v>49</v>
      </c>
      <c r="G264" s="25">
        <v>20</v>
      </c>
      <c r="H264" s="25">
        <v>25</v>
      </c>
      <c r="I264" s="22">
        <v>99</v>
      </c>
      <c r="J264" s="112">
        <v>31.3</v>
      </c>
      <c r="K264" s="119">
        <v>0.40400000000000003</v>
      </c>
      <c r="L264" s="120" t="s">
        <v>3621</v>
      </c>
      <c r="M264" s="121" t="s">
        <v>3641</v>
      </c>
    </row>
    <row r="265" spans="1:13" ht="15.75" customHeight="1">
      <c r="A265" s="19">
        <v>263</v>
      </c>
      <c r="B265" s="107" t="s">
        <v>3623</v>
      </c>
      <c r="C265" s="20" t="s">
        <v>1594</v>
      </c>
      <c r="D265" s="20" t="s">
        <v>278</v>
      </c>
      <c r="E265" s="20" t="s">
        <v>1595</v>
      </c>
      <c r="F265" s="21">
        <v>30</v>
      </c>
      <c r="G265" s="21">
        <v>10</v>
      </c>
      <c r="H265" s="21">
        <v>27</v>
      </c>
      <c r="I265" s="22">
        <v>77</v>
      </c>
      <c r="J265" s="108">
        <v>22.3</v>
      </c>
      <c r="K265" s="119">
        <v>0.39429999999999998</v>
      </c>
      <c r="L265" s="120" t="s">
        <v>3621</v>
      </c>
      <c r="M265" s="121" t="s">
        <v>3641</v>
      </c>
    </row>
    <row r="266" spans="1:13" ht="15.75" customHeight="1">
      <c r="A266" s="23">
        <v>264</v>
      </c>
      <c r="B266" s="107" t="s">
        <v>3623</v>
      </c>
      <c r="C266" s="24" t="s">
        <v>1679</v>
      </c>
      <c r="D266" s="24" t="s">
        <v>206</v>
      </c>
      <c r="E266" s="24" t="s">
        <v>1680</v>
      </c>
      <c r="F266" s="25">
        <v>80</v>
      </c>
      <c r="G266" s="25">
        <v>35</v>
      </c>
      <c r="H266" s="25">
        <v>40</v>
      </c>
      <c r="I266" s="22">
        <v>160</v>
      </c>
      <c r="J266" s="112">
        <v>51.7</v>
      </c>
      <c r="K266" s="119">
        <v>0.38979999999999998</v>
      </c>
      <c r="L266" s="120" t="s">
        <v>3621</v>
      </c>
      <c r="M266" s="121" t="s">
        <v>3641</v>
      </c>
    </row>
    <row r="267" spans="1:13" ht="15.75" customHeight="1">
      <c r="A267" s="19">
        <v>265</v>
      </c>
      <c r="B267" s="107" t="s">
        <v>3623</v>
      </c>
      <c r="C267" s="20" t="s">
        <v>1859</v>
      </c>
      <c r="D267" s="20" t="s">
        <v>283</v>
      </c>
      <c r="E267" s="20" t="s">
        <v>1860</v>
      </c>
      <c r="F267" s="21">
        <v>14</v>
      </c>
      <c r="G267" s="21">
        <v>37</v>
      </c>
      <c r="H267" s="21">
        <v>40</v>
      </c>
      <c r="I267" s="22">
        <v>91</v>
      </c>
      <c r="J267" s="108">
        <v>30.3</v>
      </c>
      <c r="K267" s="119">
        <v>0.38290000000000002</v>
      </c>
      <c r="L267" s="120" t="s">
        <v>3621</v>
      </c>
      <c r="M267" s="121" t="s">
        <v>3641</v>
      </c>
    </row>
    <row r="268" spans="1:13" ht="15.75" customHeight="1">
      <c r="A268" s="23">
        <v>266</v>
      </c>
      <c r="B268" s="107" t="s">
        <v>3623</v>
      </c>
      <c r="C268" s="24" t="s">
        <v>1614</v>
      </c>
      <c r="D268" s="24" t="s">
        <v>194</v>
      </c>
      <c r="E268" s="24" t="s">
        <v>1615</v>
      </c>
      <c r="F268" s="25">
        <v>59</v>
      </c>
      <c r="G268" s="25">
        <v>21</v>
      </c>
      <c r="H268" s="25">
        <v>46</v>
      </c>
      <c r="I268" s="22">
        <v>126</v>
      </c>
      <c r="J268" s="112">
        <v>42</v>
      </c>
      <c r="K268" s="119">
        <v>0.3755</v>
      </c>
      <c r="L268" s="120" t="s">
        <v>3621</v>
      </c>
      <c r="M268" s="121" t="s">
        <v>3641</v>
      </c>
    </row>
    <row r="269" spans="1:13" ht="15.75" customHeight="1">
      <c r="A269" s="19">
        <v>267</v>
      </c>
      <c r="B269" s="107" t="s">
        <v>3623</v>
      </c>
      <c r="C269" s="20" t="s">
        <v>234</v>
      </c>
      <c r="D269" s="20" t="s">
        <v>203</v>
      </c>
      <c r="E269" s="20" t="s">
        <v>190</v>
      </c>
      <c r="F269" s="21">
        <v>50</v>
      </c>
      <c r="G269" s="21">
        <v>30</v>
      </c>
      <c r="H269" s="21">
        <v>20</v>
      </c>
      <c r="I269" s="22">
        <v>100</v>
      </c>
      <c r="J269" s="108">
        <v>33.299999999999997</v>
      </c>
      <c r="K269" s="119">
        <v>0.37419999999999998</v>
      </c>
      <c r="L269" s="120" t="s">
        <v>3621</v>
      </c>
      <c r="M269" s="121" t="s">
        <v>3641</v>
      </c>
    </row>
    <row r="270" spans="1:13" ht="15.75" customHeight="1">
      <c r="A270" s="23">
        <v>268</v>
      </c>
      <c r="B270" s="107" t="s">
        <v>3623</v>
      </c>
      <c r="C270" s="24" t="s">
        <v>1762</v>
      </c>
      <c r="D270" s="24" t="s">
        <v>244</v>
      </c>
      <c r="E270" s="24" t="s">
        <v>1763</v>
      </c>
      <c r="F270" s="25">
        <v>34</v>
      </c>
      <c r="G270" s="25">
        <v>61</v>
      </c>
      <c r="H270" s="25">
        <v>26</v>
      </c>
      <c r="I270" s="22">
        <v>121</v>
      </c>
      <c r="J270" s="112">
        <v>40.299999999999997</v>
      </c>
      <c r="K270" s="119">
        <v>0.37130000000000002</v>
      </c>
      <c r="L270" s="120" t="s">
        <v>3621</v>
      </c>
      <c r="M270" s="121" t="s">
        <v>3641</v>
      </c>
    </row>
    <row r="271" spans="1:13" ht="15.75" customHeight="1">
      <c r="A271" s="19">
        <v>269</v>
      </c>
      <c r="B271" s="107" t="s">
        <v>3623</v>
      </c>
      <c r="C271" s="20" t="s">
        <v>1620</v>
      </c>
      <c r="D271" s="20" t="s">
        <v>194</v>
      </c>
      <c r="E271" s="20" t="s">
        <v>1621</v>
      </c>
      <c r="F271" s="21">
        <v>13</v>
      </c>
      <c r="G271" s="21">
        <v>8</v>
      </c>
      <c r="H271" s="21">
        <v>20</v>
      </c>
      <c r="I271" s="22">
        <v>41</v>
      </c>
      <c r="J271" s="108">
        <v>13.7</v>
      </c>
      <c r="K271" s="119">
        <v>0.36009999999999998</v>
      </c>
      <c r="L271" s="120" t="s">
        <v>3621</v>
      </c>
      <c r="M271" s="121" t="s">
        <v>3641</v>
      </c>
    </row>
    <row r="272" spans="1:13" ht="15.75" customHeight="1">
      <c r="A272" s="23">
        <v>270</v>
      </c>
      <c r="B272" s="107" t="s">
        <v>3623</v>
      </c>
      <c r="C272" s="24" t="s">
        <v>1795</v>
      </c>
      <c r="D272" s="24" t="s">
        <v>253</v>
      </c>
      <c r="E272" s="24" t="s">
        <v>1796</v>
      </c>
      <c r="F272" s="25">
        <v>43</v>
      </c>
      <c r="G272" s="25">
        <v>24</v>
      </c>
      <c r="H272" s="25">
        <v>61</v>
      </c>
      <c r="I272" s="22">
        <v>130</v>
      </c>
      <c r="J272" s="112">
        <v>42.7</v>
      </c>
      <c r="K272" s="119">
        <v>0.35410000000000003</v>
      </c>
      <c r="L272" s="120" t="s">
        <v>3621</v>
      </c>
      <c r="M272" s="121" t="s">
        <v>3641</v>
      </c>
    </row>
    <row r="273" spans="1:13" ht="15.75" customHeight="1">
      <c r="A273" s="19">
        <v>271</v>
      </c>
      <c r="B273" s="107" t="s">
        <v>3623</v>
      </c>
      <c r="C273" s="20" t="s">
        <v>1928</v>
      </c>
      <c r="D273" s="20" t="s">
        <v>1929</v>
      </c>
      <c r="E273" s="20" t="s">
        <v>1913</v>
      </c>
      <c r="F273" s="21">
        <v>10</v>
      </c>
      <c r="G273" s="21">
        <v>26</v>
      </c>
      <c r="H273" s="21">
        <v>20</v>
      </c>
      <c r="I273" s="22">
        <v>56</v>
      </c>
      <c r="J273" s="108">
        <v>18.7</v>
      </c>
      <c r="K273" s="119">
        <v>0.35360000000000003</v>
      </c>
      <c r="L273" s="120" t="s">
        <v>3621</v>
      </c>
      <c r="M273" s="121" t="s">
        <v>3641</v>
      </c>
    </row>
    <row r="274" spans="1:13" ht="15.75" customHeight="1">
      <c r="A274" s="23">
        <v>272</v>
      </c>
      <c r="B274" s="107" t="s">
        <v>3623</v>
      </c>
      <c r="C274" s="24" t="s">
        <v>1554</v>
      </c>
      <c r="D274" s="24" t="s">
        <v>448</v>
      </c>
      <c r="E274" s="24" t="s">
        <v>1555</v>
      </c>
      <c r="F274" s="25">
        <v>20</v>
      </c>
      <c r="G274" s="25">
        <v>10</v>
      </c>
      <c r="H274" s="25">
        <v>10</v>
      </c>
      <c r="I274" s="22">
        <v>40</v>
      </c>
      <c r="J274" s="112">
        <v>13.3</v>
      </c>
      <c r="K274" s="119">
        <v>0.35360000000000003</v>
      </c>
      <c r="L274" s="120" t="s">
        <v>3621</v>
      </c>
      <c r="M274" s="121" t="s">
        <v>3641</v>
      </c>
    </row>
    <row r="275" spans="1:13" ht="15.75" customHeight="1">
      <c r="A275" s="19">
        <v>273</v>
      </c>
      <c r="B275" s="107" t="s">
        <v>3623</v>
      </c>
      <c r="C275" s="20" t="s">
        <v>1802</v>
      </c>
      <c r="D275" s="20" t="s">
        <v>253</v>
      </c>
      <c r="E275" s="20" t="s">
        <v>1803</v>
      </c>
      <c r="F275" s="21">
        <v>26</v>
      </c>
      <c r="G275" s="21">
        <v>60</v>
      </c>
      <c r="H275" s="21">
        <v>50</v>
      </c>
      <c r="I275" s="22">
        <v>136</v>
      </c>
      <c r="J275" s="108">
        <v>45.3</v>
      </c>
      <c r="K275" s="119">
        <v>0.31469999999999998</v>
      </c>
      <c r="L275" s="120" t="s">
        <v>3621</v>
      </c>
      <c r="M275" s="121" t="s">
        <v>3641</v>
      </c>
    </row>
    <row r="276" spans="1:13" ht="15.75" customHeight="1">
      <c r="A276" s="23">
        <v>274</v>
      </c>
      <c r="B276" s="107" t="s">
        <v>3623</v>
      </c>
      <c r="C276" s="24" t="s">
        <v>1813</v>
      </c>
      <c r="D276" s="24" t="s">
        <v>263</v>
      </c>
      <c r="E276" s="24" t="s">
        <v>1814</v>
      </c>
      <c r="F276" s="25">
        <v>20</v>
      </c>
      <c r="G276" s="25">
        <v>14</v>
      </c>
      <c r="H276" s="25">
        <v>30</v>
      </c>
      <c r="I276" s="22">
        <v>64</v>
      </c>
      <c r="J276" s="112">
        <v>21.3</v>
      </c>
      <c r="K276" s="119">
        <v>0.30940000000000001</v>
      </c>
      <c r="L276" s="120" t="s">
        <v>3621</v>
      </c>
      <c r="M276" s="121" t="s">
        <v>3641</v>
      </c>
    </row>
    <row r="277" spans="1:13" ht="15.75" customHeight="1">
      <c r="A277" s="19">
        <v>275</v>
      </c>
      <c r="B277" s="107" t="s">
        <v>3623</v>
      </c>
      <c r="C277" s="20" t="s">
        <v>1677</v>
      </c>
      <c r="D277" s="20" t="s">
        <v>206</v>
      </c>
      <c r="E277" s="20" t="s">
        <v>1678</v>
      </c>
      <c r="F277" s="21">
        <v>60</v>
      </c>
      <c r="G277" s="21">
        <v>33</v>
      </c>
      <c r="H277" s="21">
        <v>62</v>
      </c>
      <c r="I277" s="22">
        <v>182</v>
      </c>
      <c r="J277" s="108">
        <v>51.7</v>
      </c>
      <c r="K277" s="119">
        <v>0.25600000000000001</v>
      </c>
      <c r="L277" s="120" t="s">
        <v>3621</v>
      </c>
      <c r="M277" s="121" t="s">
        <v>3641</v>
      </c>
    </row>
    <row r="278" spans="1:13" ht="15.75" customHeight="1">
      <c r="A278" s="23">
        <v>276</v>
      </c>
      <c r="B278" s="107" t="s">
        <v>3623</v>
      </c>
      <c r="C278" s="24" t="s">
        <v>1648</v>
      </c>
      <c r="D278" s="24" t="s">
        <v>1649</v>
      </c>
      <c r="E278" s="24" t="s">
        <v>1650</v>
      </c>
      <c r="F278" s="25">
        <v>61</v>
      </c>
      <c r="G278" s="25">
        <v>35</v>
      </c>
      <c r="H278" s="25">
        <v>43</v>
      </c>
      <c r="I278" s="22">
        <v>169</v>
      </c>
      <c r="J278" s="112">
        <v>46.3</v>
      </c>
      <c r="K278" s="119">
        <v>0.23469999999999999</v>
      </c>
      <c r="L278" s="120" t="s">
        <v>3621</v>
      </c>
      <c r="M278" s="121" t="s">
        <v>3641</v>
      </c>
    </row>
    <row r="279" spans="1:13" ht="15.75" customHeight="1">
      <c r="A279" s="19">
        <v>277</v>
      </c>
      <c r="B279" s="107" t="s">
        <v>3623</v>
      </c>
      <c r="C279" s="20" t="s">
        <v>1840</v>
      </c>
      <c r="D279" s="20" t="s">
        <v>271</v>
      </c>
      <c r="E279" s="20" t="s">
        <v>1841</v>
      </c>
      <c r="F279" s="21">
        <v>20</v>
      </c>
      <c r="G279" s="21">
        <v>35</v>
      </c>
      <c r="H279" s="21">
        <v>25</v>
      </c>
      <c r="I279" s="22">
        <v>85</v>
      </c>
      <c r="J279" s="108">
        <v>26.7</v>
      </c>
      <c r="K279" s="119">
        <v>0.2339</v>
      </c>
      <c r="L279" s="120" t="s">
        <v>3621</v>
      </c>
      <c r="M279" s="121" t="s">
        <v>3641</v>
      </c>
    </row>
    <row r="280" spans="1:13" ht="15.75" customHeight="1">
      <c r="A280" s="23">
        <v>278</v>
      </c>
      <c r="B280" s="107" t="s">
        <v>3623</v>
      </c>
      <c r="C280" s="24" t="s">
        <v>1618</v>
      </c>
      <c r="D280" s="24" t="s">
        <v>194</v>
      </c>
      <c r="E280" s="24" t="s">
        <v>1619</v>
      </c>
      <c r="F280" s="25">
        <v>56</v>
      </c>
      <c r="G280" s="25">
        <v>40</v>
      </c>
      <c r="H280" s="25">
        <v>35</v>
      </c>
      <c r="I280" s="22">
        <v>131</v>
      </c>
      <c r="J280" s="112">
        <v>43.7</v>
      </c>
      <c r="K280" s="119">
        <v>0.2051</v>
      </c>
      <c r="L280" s="120" t="s">
        <v>3621</v>
      </c>
      <c r="M280" s="121" t="s">
        <v>3641</v>
      </c>
    </row>
    <row r="281" spans="1:13" ht="15.75" customHeight="1">
      <c r="A281" s="19">
        <v>279</v>
      </c>
      <c r="B281" s="107" t="s">
        <v>3623</v>
      </c>
      <c r="C281" s="20" t="s">
        <v>276</v>
      </c>
      <c r="D281" s="20" t="s">
        <v>271</v>
      </c>
      <c r="E281" s="20" t="s">
        <v>24</v>
      </c>
      <c r="F281" s="21">
        <v>10</v>
      </c>
      <c r="G281" s="21">
        <v>6</v>
      </c>
      <c r="H281" s="21">
        <v>9</v>
      </c>
      <c r="I281" s="22">
        <v>26</v>
      </c>
      <c r="J281" s="108">
        <v>8.3000000000000007</v>
      </c>
      <c r="K281" s="119">
        <v>0.20399999999999999</v>
      </c>
      <c r="L281" s="120" t="s">
        <v>3621</v>
      </c>
      <c r="M281" s="121" t="s">
        <v>3641</v>
      </c>
    </row>
    <row r="282" spans="1:13" ht="15.75" customHeight="1">
      <c r="A282" s="23">
        <v>280</v>
      </c>
      <c r="B282" s="107" t="s">
        <v>3623</v>
      </c>
      <c r="C282" s="24" t="s">
        <v>1543</v>
      </c>
      <c r="D282" s="24" t="s">
        <v>1544</v>
      </c>
      <c r="E282" s="24" t="s">
        <v>1545</v>
      </c>
      <c r="F282" s="25">
        <v>15</v>
      </c>
      <c r="G282" s="25">
        <v>10</v>
      </c>
      <c r="H282" s="25">
        <v>10</v>
      </c>
      <c r="I282" s="22">
        <v>35</v>
      </c>
      <c r="J282" s="112">
        <v>11.7</v>
      </c>
      <c r="K282" s="119">
        <v>0.20200000000000001</v>
      </c>
      <c r="L282" s="120" t="s">
        <v>3621</v>
      </c>
      <c r="M282" s="121" t="s">
        <v>3641</v>
      </c>
    </row>
    <row r="283" spans="1:13" ht="15.75" customHeight="1">
      <c r="A283" s="19">
        <v>281</v>
      </c>
      <c r="B283" s="107" t="s">
        <v>3623</v>
      </c>
      <c r="C283" s="20" t="s">
        <v>1610</v>
      </c>
      <c r="D283" s="20" t="s">
        <v>180</v>
      </c>
      <c r="E283" s="20" t="s">
        <v>1611</v>
      </c>
      <c r="F283" s="21">
        <v>20</v>
      </c>
      <c r="G283" s="21">
        <v>27</v>
      </c>
      <c r="H283" s="21">
        <v>33</v>
      </c>
      <c r="I283" s="22">
        <v>90</v>
      </c>
      <c r="J283" s="108">
        <v>26.7</v>
      </c>
      <c r="K283" s="119">
        <v>0.19919999999999999</v>
      </c>
      <c r="L283" s="120" t="s">
        <v>3621</v>
      </c>
      <c r="M283" s="121" t="s">
        <v>3641</v>
      </c>
    </row>
    <row r="284" spans="1:13" ht="15.75" customHeight="1">
      <c r="A284" s="23">
        <v>282</v>
      </c>
      <c r="B284" s="107" t="s">
        <v>3623</v>
      </c>
      <c r="C284" s="24" t="s">
        <v>1651</v>
      </c>
      <c r="D284" s="24" t="s">
        <v>1649</v>
      </c>
      <c r="E284" s="24" t="s">
        <v>1652</v>
      </c>
      <c r="F284" s="25">
        <v>55</v>
      </c>
      <c r="G284" s="25">
        <v>40</v>
      </c>
      <c r="H284" s="25">
        <v>39</v>
      </c>
      <c r="I284" s="22">
        <v>138</v>
      </c>
      <c r="J284" s="112">
        <v>44.7</v>
      </c>
      <c r="K284" s="119">
        <v>0.1638</v>
      </c>
      <c r="L284" s="120" t="s">
        <v>3621</v>
      </c>
      <c r="M284" s="121" t="s">
        <v>3641</v>
      </c>
    </row>
    <row r="285" spans="1:13" ht="15.75" customHeight="1">
      <c r="A285" s="19">
        <v>283</v>
      </c>
      <c r="B285" s="107" t="s">
        <v>3623</v>
      </c>
      <c r="C285" s="20" t="s">
        <v>1683</v>
      </c>
      <c r="D285" s="20" t="s">
        <v>206</v>
      </c>
      <c r="E285" s="20" t="s">
        <v>1578</v>
      </c>
      <c r="F285" s="21">
        <v>24</v>
      </c>
      <c r="G285" s="21">
        <v>23</v>
      </c>
      <c r="H285" s="21">
        <v>30</v>
      </c>
      <c r="I285" s="22">
        <v>77</v>
      </c>
      <c r="J285" s="108">
        <v>25.7</v>
      </c>
      <c r="K285" s="119">
        <v>0.12039999999999999</v>
      </c>
      <c r="L285" s="120" t="s">
        <v>3621</v>
      </c>
      <c r="M285" s="121" t="s">
        <v>3641</v>
      </c>
    </row>
    <row r="286" spans="1:13" ht="15.75" customHeight="1">
      <c r="A286" s="23">
        <v>284</v>
      </c>
      <c r="B286" s="107" t="s">
        <v>3623</v>
      </c>
      <c r="C286" s="24" t="s">
        <v>1630</v>
      </c>
      <c r="D286" s="24" t="s">
        <v>180</v>
      </c>
      <c r="E286" s="24" t="s">
        <v>1629</v>
      </c>
      <c r="F286" s="25">
        <v>20</v>
      </c>
      <c r="G286" s="25">
        <v>22</v>
      </c>
      <c r="H286" s="25">
        <v>20</v>
      </c>
      <c r="I286" s="22">
        <v>62</v>
      </c>
      <c r="J286" s="112">
        <v>20.7</v>
      </c>
      <c r="K286" s="119">
        <v>4.5600000000000002E-2</v>
      </c>
      <c r="L286" s="120" t="s">
        <v>3621</v>
      </c>
      <c r="M286" s="121" t="s">
        <v>3641</v>
      </c>
    </row>
    <row r="287" spans="1:13" ht="15.75" customHeight="1">
      <c r="A287" s="19">
        <v>285</v>
      </c>
      <c r="B287" s="34" t="s">
        <v>3625</v>
      </c>
      <c r="C287" s="20" t="s">
        <v>1467</v>
      </c>
      <c r="D287" s="20" t="s">
        <v>1466</v>
      </c>
      <c r="E287" s="20" t="s">
        <v>24</v>
      </c>
      <c r="F287" s="21">
        <v>27898</v>
      </c>
      <c r="G287" s="21">
        <v>55</v>
      </c>
      <c r="H287" s="21"/>
      <c r="I287" s="22">
        <v>27953</v>
      </c>
      <c r="J287" s="108">
        <v>9317.7000000000007</v>
      </c>
      <c r="K287" s="109">
        <v>1.41</v>
      </c>
      <c r="L287" s="110" t="s">
        <v>3618</v>
      </c>
      <c r="M287" s="111" t="s">
        <v>3638</v>
      </c>
    </row>
    <row r="288" spans="1:13" ht="15.75" customHeight="1">
      <c r="A288" s="23">
        <v>286</v>
      </c>
      <c r="B288" s="34" t="s">
        <v>3625</v>
      </c>
      <c r="C288" s="24" t="s">
        <v>1503</v>
      </c>
      <c r="D288" s="24" t="s">
        <v>1504</v>
      </c>
      <c r="E288" s="24" t="s">
        <v>20</v>
      </c>
      <c r="F288" s="25">
        <v>500</v>
      </c>
      <c r="G288" s="25">
        <v>5</v>
      </c>
      <c r="H288" s="25"/>
      <c r="I288" s="22">
        <v>505</v>
      </c>
      <c r="J288" s="112">
        <v>168.3</v>
      </c>
      <c r="K288" s="109">
        <v>1.3933</v>
      </c>
      <c r="L288" s="110" t="s">
        <v>3618</v>
      </c>
      <c r="M288" s="111" t="s">
        <v>3638</v>
      </c>
    </row>
    <row r="289" spans="1:13" ht="15.75" customHeight="1">
      <c r="A289" s="19">
        <v>287</v>
      </c>
      <c r="B289" s="34" t="s">
        <v>3625</v>
      </c>
      <c r="C289" s="20" t="s">
        <v>2065</v>
      </c>
      <c r="D289" s="20" t="s">
        <v>1493</v>
      </c>
      <c r="E289" s="20" t="s">
        <v>2066</v>
      </c>
      <c r="F289" s="21">
        <v>830</v>
      </c>
      <c r="G289" s="21">
        <v>12</v>
      </c>
      <c r="H289" s="21"/>
      <c r="I289" s="22">
        <v>842</v>
      </c>
      <c r="J289" s="108">
        <v>280.7</v>
      </c>
      <c r="K289" s="109">
        <v>1.3841000000000001</v>
      </c>
      <c r="L289" s="110" t="s">
        <v>3618</v>
      </c>
      <c r="M289" s="111" t="s">
        <v>3638</v>
      </c>
    </row>
    <row r="290" spans="1:13" ht="15.75" customHeight="1">
      <c r="A290" s="23">
        <v>288</v>
      </c>
      <c r="B290" s="34" t="s">
        <v>3625</v>
      </c>
      <c r="C290" s="24" t="s">
        <v>1514</v>
      </c>
      <c r="D290" s="24" t="s">
        <v>1471</v>
      </c>
      <c r="E290" s="24" t="s">
        <v>1515</v>
      </c>
      <c r="F290" s="25">
        <v>10</v>
      </c>
      <c r="G290" s="25"/>
      <c r="H290" s="25">
        <v>200</v>
      </c>
      <c r="I290" s="22">
        <v>260</v>
      </c>
      <c r="J290" s="112">
        <v>70</v>
      </c>
      <c r="K290" s="109">
        <v>1.3145</v>
      </c>
      <c r="L290" s="110" t="s">
        <v>3618</v>
      </c>
      <c r="M290" s="111" t="s">
        <v>3638</v>
      </c>
    </row>
    <row r="291" spans="1:13" ht="15.75" customHeight="1">
      <c r="A291" s="19">
        <v>289</v>
      </c>
      <c r="B291" s="34" t="s">
        <v>3625</v>
      </c>
      <c r="C291" s="20" t="s">
        <v>1501</v>
      </c>
      <c r="D291" s="20" t="s">
        <v>1493</v>
      </c>
      <c r="E291" s="20" t="s">
        <v>26</v>
      </c>
      <c r="F291" s="21">
        <v>524</v>
      </c>
      <c r="G291" s="21">
        <v>17</v>
      </c>
      <c r="H291" s="21">
        <v>13</v>
      </c>
      <c r="I291" s="22">
        <v>554</v>
      </c>
      <c r="J291" s="108">
        <v>184.7</v>
      </c>
      <c r="K291" s="109">
        <v>1.2994000000000001</v>
      </c>
      <c r="L291" s="110" t="s">
        <v>3618</v>
      </c>
      <c r="M291" s="111" t="s">
        <v>3638</v>
      </c>
    </row>
    <row r="292" spans="1:13" ht="15.75" customHeight="1">
      <c r="A292" s="23">
        <v>290</v>
      </c>
      <c r="B292" s="34" t="s">
        <v>3625</v>
      </c>
      <c r="C292" s="24" t="s">
        <v>1465</v>
      </c>
      <c r="D292" s="24" t="s">
        <v>1466</v>
      </c>
      <c r="E292" s="24" t="s">
        <v>32</v>
      </c>
      <c r="F292" s="25">
        <v>50</v>
      </c>
      <c r="G292" s="25"/>
      <c r="H292" s="25">
        <v>530</v>
      </c>
      <c r="I292" s="22">
        <v>580</v>
      </c>
      <c r="J292" s="112">
        <v>193.3</v>
      </c>
      <c r="K292" s="109">
        <v>1.2359</v>
      </c>
      <c r="L292" s="110" t="s">
        <v>3618</v>
      </c>
      <c r="M292" s="111" t="s">
        <v>3638</v>
      </c>
    </row>
    <row r="293" spans="1:13" ht="15.75" customHeight="1">
      <c r="A293" s="19">
        <v>291</v>
      </c>
      <c r="B293" s="34" t="s">
        <v>3625</v>
      </c>
      <c r="C293" s="20" t="s">
        <v>2075</v>
      </c>
      <c r="D293" s="20" t="s">
        <v>2068</v>
      </c>
      <c r="E293" s="20" t="s">
        <v>2076</v>
      </c>
      <c r="F293" s="21">
        <v>15</v>
      </c>
      <c r="G293" s="21">
        <v>10</v>
      </c>
      <c r="H293" s="21">
        <v>200</v>
      </c>
      <c r="I293" s="22">
        <v>225</v>
      </c>
      <c r="J293" s="108">
        <v>75</v>
      </c>
      <c r="K293" s="109">
        <v>1.1788000000000001</v>
      </c>
      <c r="L293" s="110" t="s">
        <v>3618</v>
      </c>
      <c r="M293" s="111" t="s">
        <v>3638</v>
      </c>
    </row>
    <row r="294" spans="1:13" ht="15.75" customHeight="1">
      <c r="A294" s="23">
        <v>292</v>
      </c>
      <c r="B294" s="34" t="s">
        <v>3625</v>
      </c>
      <c r="C294" s="24" t="s">
        <v>1486</v>
      </c>
      <c r="D294" s="24" t="s">
        <v>1481</v>
      </c>
      <c r="E294" s="24" t="s">
        <v>24</v>
      </c>
      <c r="F294" s="25">
        <v>2048</v>
      </c>
      <c r="G294" s="25">
        <v>334</v>
      </c>
      <c r="H294" s="25">
        <v>6</v>
      </c>
      <c r="I294" s="22">
        <v>2405</v>
      </c>
      <c r="J294" s="112">
        <v>796</v>
      </c>
      <c r="K294" s="109">
        <v>1.1248</v>
      </c>
      <c r="L294" s="110" t="s">
        <v>3618</v>
      </c>
      <c r="M294" s="111" t="s">
        <v>3638</v>
      </c>
    </row>
    <row r="295" spans="1:13" ht="15.75" customHeight="1">
      <c r="A295" s="19">
        <v>293</v>
      </c>
      <c r="B295" s="34" t="s">
        <v>3625</v>
      </c>
      <c r="C295" s="20" t="s">
        <v>2139</v>
      </c>
      <c r="D295" s="20" t="s">
        <v>1471</v>
      </c>
      <c r="E295" s="20" t="s">
        <v>2140</v>
      </c>
      <c r="F295" s="21">
        <v>250</v>
      </c>
      <c r="G295" s="21">
        <v>35</v>
      </c>
      <c r="H295" s="21">
        <v>8</v>
      </c>
      <c r="I295" s="22">
        <v>313</v>
      </c>
      <c r="J295" s="108">
        <v>97.7</v>
      </c>
      <c r="K295" s="109">
        <v>1.1087</v>
      </c>
      <c r="L295" s="110" t="s">
        <v>3618</v>
      </c>
      <c r="M295" s="111" t="s">
        <v>3638</v>
      </c>
    </row>
    <row r="296" spans="1:13" ht="15.75" customHeight="1">
      <c r="A296" s="23">
        <v>294</v>
      </c>
      <c r="B296" s="34" t="s">
        <v>3625</v>
      </c>
      <c r="C296" s="24" t="s">
        <v>2106</v>
      </c>
      <c r="D296" s="24" t="s">
        <v>1466</v>
      </c>
      <c r="E296" s="24" t="s">
        <v>1668</v>
      </c>
      <c r="F296" s="25">
        <v>33</v>
      </c>
      <c r="G296" s="25">
        <v>170</v>
      </c>
      <c r="H296" s="25"/>
      <c r="I296" s="22">
        <v>203</v>
      </c>
      <c r="J296" s="112">
        <v>67.7</v>
      </c>
      <c r="K296" s="109">
        <v>1.0876999999999999</v>
      </c>
      <c r="L296" s="110" t="s">
        <v>3618</v>
      </c>
      <c r="M296" s="111" t="s">
        <v>3638</v>
      </c>
    </row>
    <row r="297" spans="1:13" ht="15.75" customHeight="1">
      <c r="A297" s="19">
        <v>295</v>
      </c>
      <c r="B297" s="34" t="s">
        <v>3625</v>
      </c>
      <c r="C297" s="20" t="s">
        <v>2237</v>
      </c>
      <c r="D297" s="20" t="s">
        <v>1493</v>
      </c>
      <c r="E297" s="20" t="s">
        <v>2238</v>
      </c>
      <c r="F297" s="21">
        <v>150</v>
      </c>
      <c r="G297" s="21">
        <v>30</v>
      </c>
      <c r="H297" s="21"/>
      <c r="I297" s="22">
        <v>180</v>
      </c>
      <c r="J297" s="108">
        <v>60</v>
      </c>
      <c r="K297" s="109">
        <v>1.0801000000000001</v>
      </c>
      <c r="L297" s="110" t="s">
        <v>3618</v>
      </c>
      <c r="M297" s="111" t="s">
        <v>3638</v>
      </c>
    </row>
    <row r="298" spans="1:13" ht="15.75" customHeight="1">
      <c r="A298" s="23">
        <v>296</v>
      </c>
      <c r="B298" s="34" t="s">
        <v>3625</v>
      </c>
      <c r="C298" s="24" t="s">
        <v>2223</v>
      </c>
      <c r="D298" s="24" t="s">
        <v>1493</v>
      </c>
      <c r="E298" s="24" t="s">
        <v>2224</v>
      </c>
      <c r="F298" s="25">
        <v>825</v>
      </c>
      <c r="G298" s="25">
        <v>135</v>
      </c>
      <c r="H298" s="25">
        <v>36</v>
      </c>
      <c r="I298" s="22">
        <v>1176</v>
      </c>
      <c r="J298" s="112">
        <v>332</v>
      </c>
      <c r="K298" s="109">
        <v>1.0569999999999999</v>
      </c>
      <c r="L298" s="110" t="s">
        <v>3618</v>
      </c>
      <c r="M298" s="111" t="s">
        <v>3638</v>
      </c>
    </row>
    <row r="299" spans="1:13" ht="15.75" customHeight="1">
      <c r="A299" s="19">
        <v>297</v>
      </c>
      <c r="B299" s="34" t="s">
        <v>3625</v>
      </c>
      <c r="C299" s="20" t="s">
        <v>1496</v>
      </c>
      <c r="D299" s="20" t="s">
        <v>1493</v>
      </c>
      <c r="E299" s="20" t="s">
        <v>42</v>
      </c>
      <c r="F299" s="21">
        <v>366</v>
      </c>
      <c r="G299" s="21">
        <v>45</v>
      </c>
      <c r="H299" s="21">
        <v>40</v>
      </c>
      <c r="I299" s="22">
        <v>469</v>
      </c>
      <c r="J299" s="108">
        <v>150.30000000000001</v>
      </c>
      <c r="K299" s="109">
        <v>1.0145</v>
      </c>
      <c r="L299" s="110" t="s">
        <v>3618</v>
      </c>
      <c r="M299" s="111" t="s">
        <v>3638</v>
      </c>
    </row>
    <row r="300" spans="1:13" ht="15.75" customHeight="1">
      <c r="A300" s="23">
        <v>298</v>
      </c>
      <c r="B300" s="34" t="s">
        <v>3625</v>
      </c>
      <c r="C300" s="24" t="s">
        <v>1485</v>
      </c>
      <c r="D300" s="24" t="s">
        <v>1481</v>
      </c>
      <c r="E300" s="24" t="s">
        <v>45</v>
      </c>
      <c r="F300" s="25">
        <v>296</v>
      </c>
      <c r="G300" s="25">
        <v>78</v>
      </c>
      <c r="H300" s="25">
        <v>17</v>
      </c>
      <c r="I300" s="22">
        <v>395</v>
      </c>
      <c r="J300" s="112">
        <v>130.30000000000001</v>
      </c>
      <c r="K300" s="109">
        <v>0.91890000000000005</v>
      </c>
      <c r="L300" s="110" t="s">
        <v>3618</v>
      </c>
      <c r="M300" s="111" t="s">
        <v>3638</v>
      </c>
    </row>
    <row r="301" spans="1:13" ht="15.75" customHeight="1">
      <c r="A301" s="19">
        <v>299</v>
      </c>
      <c r="B301" s="34" t="s">
        <v>3625</v>
      </c>
      <c r="C301" s="20" t="s">
        <v>2250</v>
      </c>
      <c r="D301" s="20" t="s">
        <v>1504</v>
      </c>
      <c r="E301" s="20" t="s">
        <v>2251</v>
      </c>
      <c r="F301" s="21">
        <v>23860</v>
      </c>
      <c r="G301" s="21">
        <v>6440</v>
      </c>
      <c r="H301" s="21">
        <v>2585</v>
      </c>
      <c r="I301" s="22">
        <v>36525</v>
      </c>
      <c r="J301" s="108">
        <v>10961.7</v>
      </c>
      <c r="K301" s="109">
        <v>0.84430000000000005</v>
      </c>
      <c r="L301" s="110" t="s">
        <v>3618</v>
      </c>
      <c r="M301" s="111" t="s">
        <v>3638</v>
      </c>
    </row>
    <row r="302" spans="1:13" ht="15.75" customHeight="1">
      <c r="A302" s="23">
        <v>300</v>
      </c>
      <c r="B302" s="34" t="s">
        <v>3625</v>
      </c>
      <c r="C302" s="24" t="s">
        <v>2121</v>
      </c>
      <c r="D302" s="24" t="s">
        <v>1466</v>
      </c>
      <c r="E302" s="24" t="s">
        <v>2122</v>
      </c>
      <c r="F302" s="25">
        <v>208</v>
      </c>
      <c r="G302" s="25">
        <v>28</v>
      </c>
      <c r="H302" s="25">
        <v>50</v>
      </c>
      <c r="I302" s="22">
        <v>286</v>
      </c>
      <c r="J302" s="112">
        <v>95.3</v>
      </c>
      <c r="K302" s="109">
        <v>0.84099999999999997</v>
      </c>
      <c r="L302" s="110" t="s">
        <v>3618</v>
      </c>
      <c r="M302" s="111" t="s">
        <v>3638</v>
      </c>
    </row>
    <row r="303" spans="1:13" ht="15.75" customHeight="1">
      <c r="A303" s="19">
        <v>301</v>
      </c>
      <c r="B303" s="34" t="s">
        <v>3625</v>
      </c>
      <c r="C303" s="20" t="s">
        <v>2181</v>
      </c>
      <c r="D303" s="20" t="s">
        <v>1481</v>
      </c>
      <c r="E303" s="20" t="s">
        <v>2182</v>
      </c>
      <c r="F303" s="21">
        <v>60</v>
      </c>
      <c r="G303" s="21">
        <v>353</v>
      </c>
      <c r="H303" s="21">
        <v>72</v>
      </c>
      <c r="I303" s="22">
        <v>515</v>
      </c>
      <c r="J303" s="108">
        <v>161.69999999999999</v>
      </c>
      <c r="K303" s="109">
        <v>0.83740000000000003</v>
      </c>
      <c r="L303" s="110" t="s">
        <v>3618</v>
      </c>
      <c r="M303" s="111" t="s">
        <v>3638</v>
      </c>
    </row>
    <row r="304" spans="1:13" ht="15.75" customHeight="1">
      <c r="A304" s="23">
        <v>302</v>
      </c>
      <c r="B304" s="34" t="s">
        <v>3625</v>
      </c>
      <c r="C304" s="24" t="s">
        <v>2190</v>
      </c>
      <c r="D304" s="24" t="s">
        <v>1481</v>
      </c>
      <c r="E304" s="24" t="s">
        <v>2191</v>
      </c>
      <c r="F304" s="25">
        <v>108</v>
      </c>
      <c r="G304" s="25">
        <v>211</v>
      </c>
      <c r="H304" s="25"/>
      <c r="I304" s="22">
        <v>319</v>
      </c>
      <c r="J304" s="112">
        <v>106.3</v>
      </c>
      <c r="K304" s="109">
        <v>0.81020000000000003</v>
      </c>
      <c r="L304" s="110" t="s">
        <v>3618</v>
      </c>
      <c r="M304" s="111" t="s">
        <v>3638</v>
      </c>
    </row>
    <row r="305" spans="1:13" ht="15.75" customHeight="1">
      <c r="A305" s="19">
        <v>303</v>
      </c>
      <c r="B305" s="34" t="s">
        <v>3625</v>
      </c>
      <c r="C305" s="20" t="s">
        <v>2219</v>
      </c>
      <c r="D305" s="20" t="s">
        <v>1493</v>
      </c>
      <c r="E305" s="20" t="s">
        <v>2220</v>
      </c>
      <c r="F305" s="21">
        <v>1285</v>
      </c>
      <c r="G305" s="21">
        <v>2320</v>
      </c>
      <c r="H305" s="21"/>
      <c r="I305" s="22">
        <v>3605</v>
      </c>
      <c r="J305" s="108">
        <v>1201.7</v>
      </c>
      <c r="K305" s="109">
        <v>0.78969999999999996</v>
      </c>
      <c r="L305" s="110" t="s">
        <v>3618</v>
      </c>
      <c r="M305" s="111" t="s">
        <v>3638</v>
      </c>
    </row>
    <row r="306" spans="1:13" ht="15.75" customHeight="1">
      <c r="A306" s="23">
        <v>304</v>
      </c>
      <c r="B306" s="34" t="s">
        <v>3625</v>
      </c>
      <c r="C306" s="24" t="s">
        <v>2123</v>
      </c>
      <c r="D306" s="24" t="s">
        <v>1466</v>
      </c>
      <c r="E306" s="24" t="s">
        <v>2124</v>
      </c>
      <c r="F306" s="25">
        <v>203</v>
      </c>
      <c r="G306" s="25">
        <v>30</v>
      </c>
      <c r="H306" s="25">
        <v>72</v>
      </c>
      <c r="I306" s="22">
        <v>305</v>
      </c>
      <c r="J306" s="112">
        <v>101.7</v>
      </c>
      <c r="K306" s="109">
        <v>0.72470000000000001</v>
      </c>
      <c r="L306" s="110" t="s">
        <v>3618</v>
      </c>
      <c r="M306" s="111" t="s">
        <v>3638</v>
      </c>
    </row>
    <row r="307" spans="1:13" ht="15.75" customHeight="1">
      <c r="A307" s="19">
        <v>305</v>
      </c>
      <c r="B307" s="34" t="s">
        <v>3625</v>
      </c>
      <c r="C307" s="20" t="s">
        <v>2241</v>
      </c>
      <c r="D307" s="20" t="s">
        <v>1504</v>
      </c>
      <c r="E307" s="20" t="s">
        <v>1668</v>
      </c>
      <c r="F307" s="21">
        <v>240</v>
      </c>
      <c r="G307" s="21">
        <v>200</v>
      </c>
      <c r="H307" s="21"/>
      <c r="I307" s="22">
        <v>540</v>
      </c>
      <c r="J307" s="108">
        <v>146.69999999999999</v>
      </c>
      <c r="K307" s="109">
        <v>0.71579999999999999</v>
      </c>
      <c r="L307" s="110" t="s">
        <v>3618</v>
      </c>
      <c r="M307" s="111" t="s">
        <v>3638</v>
      </c>
    </row>
    <row r="308" spans="1:13" ht="15.75" customHeight="1">
      <c r="A308" s="23">
        <v>306</v>
      </c>
      <c r="B308" s="34" t="s">
        <v>3625</v>
      </c>
      <c r="C308" s="24" t="s">
        <v>2135</v>
      </c>
      <c r="D308" s="24" t="s">
        <v>1471</v>
      </c>
      <c r="E308" s="24" t="s">
        <v>2136</v>
      </c>
      <c r="F308" s="25">
        <v>294</v>
      </c>
      <c r="G308" s="25">
        <v>101</v>
      </c>
      <c r="H308" s="25">
        <v>49</v>
      </c>
      <c r="I308" s="22">
        <v>464</v>
      </c>
      <c r="J308" s="112">
        <v>148</v>
      </c>
      <c r="K308" s="109">
        <v>0.71209999999999996</v>
      </c>
      <c r="L308" s="110" t="s">
        <v>3618</v>
      </c>
      <c r="M308" s="111" t="s">
        <v>3638</v>
      </c>
    </row>
    <row r="309" spans="1:13" ht="15.75" customHeight="1">
      <c r="A309" s="19">
        <v>307</v>
      </c>
      <c r="B309" s="34" t="s">
        <v>3625</v>
      </c>
      <c r="C309" s="20" t="s">
        <v>2147</v>
      </c>
      <c r="D309" s="20" t="s">
        <v>1471</v>
      </c>
      <c r="E309" s="20" t="s">
        <v>2148</v>
      </c>
      <c r="F309" s="21">
        <v>17</v>
      </c>
      <c r="G309" s="21">
        <v>57</v>
      </c>
      <c r="H309" s="21">
        <v>131</v>
      </c>
      <c r="I309" s="22">
        <v>205</v>
      </c>
      <c r="J309" s="108">
        <v>68.3</v>
      </c>
      <c r="K309" s="109">
        <v>0.69110000000000005</v>
      </c>
      <c r="L309" s="110" t="s">
        <v>3618</v>
      </c>
      <c r="M309" s="111" t="s">
        <v>3638</v>
      </c>
    </row>
    <row r="310" spans="1:13" ht="15.75" customHeight="1">
      <c r="A310" s="23">
        <v>308</v>
      </c>
      <c r="B310" s="34" t="s">
        <v>3625</v>
      </c>
      <c r="C310" s="24" t="s">
        <v>1500</v>
      </c>
      <c r="D310" s="24" t="s">
        <v>1493</v>
      </c>
      <c r="E310" s="24" t="s">
        <v>24</v>
      </c>
      <c r="F310" s="25">
        <v>60</v>
      </c>
      <c r="G310" s="25">
        <v>210</v>
      </c>
      <c r="H310" s="25">
        <v>450</v>
      </c>
      <c r="I310" s="22">
        <v>720</v>
      </c>
      <c r="J310" s="112">
        <v>240</v>
      </c>
      <c r="K310" s="109">
        <v>0.66930000000000001</v>
      </c>
      <c r="L310" s="110" t="s">
        <v>3618</v>
      </c>
      <c r="M310" s="111" t="s">
        <v>3638</v>
      </c>
    </row>
    <row r="311" spans="1:13" ht="15.75" customHeight="1">
      <c r="A311" s="19">
        <v>309</v>
      </c>
      <c r="B311" s="34" t="s">
        <v>3625</v>
      </c>
      <c r="C311" s="20" t="s">
        <v>2260</v>
      </c>
      <c r="D311" s="20" t="s">
        <v>1504</v>
      </c>
      <c r="E311" s="20" t="s">
        <v>2261</v>
      </c>
      <c r="F311" s="21">
        <v>1198</v>
      </c>
      <c r="G311" s="21">
        <v>390</v>
      </c>
      <c r="H311" s="21">
        <v>290</v>
      </c>
      <c r="I311" s="22">
        <v>1878</v>
      </c>
      <c r="J311" s="108">
        <v>626</v>
      </c>
      <c r="K311" s="109">
        <v>0.64939999999999998</v>
      </c>
      <c r="L311" s="110" t="s">
        <v>3618</v>
      </c>
      <c r="M311" s="111" t="s">
        <v>3638</v>
      </c>
    </row>
    <row r="312" spans="1:13" ht="15.75" customHeight="1">
      <c r="A312" s="23">
        <v>310</v>
      </c>
      <c r="B312" s="34" t="s">
        <v>3625</v>
      </c>
      <c r="C312" s="24" t="s">
        <v>1507</v>
      </c>
      <c r="D312" s="24" t="s">
        <v>1504</v>
      </c>
      <c r="E312" s="24" t="s">
        <v>24</v>
      </c>
      <c r="F312" s="25">
        <v>1000</v>
      </c>
      <c r="G312" s="25">
        <v>280</v>
      </c>
      <c r="H312" s="25">
        <v>300</v>
      </c>
      <c r="I312" s="22">
        <v>1580</v>
      </c>
      <c r="J312" s="112">
        <v>526.70000000000005</v>
      </c>
      <c r="K312" s="109">
        <v>0.63570000000000004</v>
      </c>
      <c r="L312" s="110" t="s">
        <v>3618</v>
      </c>
      <c r="M312" s="111" t="s">
        <v>3638</v>
      </c>
    </row>
    <row r="313" spans="1:13" ht="15.75" customHeight="1">
      <c r="A313" s="19">
        <v>311</v>
      </c>
      <c r="B313" s="34" t="s">
        <v>3625</v>
      </c>
      <c r="C313" s="20" t="s">
        <v>2229</v>
      </c>
      <c r="D313" s="20" t="s">
        <v>1493</v>
      </c>
      <c r="E313" s="20" t="s">
        <v>2230</v>
      </c>
      <c r="F313" s="21">
        <v>123</v>
      </c>
      <c r="G313" s="21">
        <v>38</v>
      </c>
      <c r="H313" s="21">
        <v>34</v>
      </c>
      <c r="I313" s="22">
        <v>195</v>
      </c>
      <c r="J313" s="108">
        <v>65</v>
      </c>
      <c r="K313" s="109">
        <v>0.63149999999999995</v>
      </c>
      <c r="L313" s="110" t="s">
        <v>3618</v>
      </c>
      <c r="M313" s="111" t="s">
        <v>3638</v>
      </c>
    </row>
    <row r="314" spans="1:13" ht="15.75" customHeight="1">
      <c r="A314" s="23">
        <v>312</v>
      </c>
      <c r="B314" s="34" t="s">
        <v>3625</v>
      </c>
      <c r="C314" s="24" t="s">
        <v>2235</v>
      </c>
      <c r="D314" s="24" t="s">
        <v>1493</v>
      </c>
      <c r="E314" s="24" t="s">
        <v>2236</v>
      </c>
      <c r="F314" s="25">
        <v>250</v>
      </c>
      <c r="G314" s="25">
        <v>91</v>
      </c>
      <c r="H314" s="25">
        <v>60</v>
      </c>
      <c r="I314" s="22">
        <v>441</v>
      </c>
      <c r="J314" s="112">
        <v>133.69999999999999</v>
      </c>
      <c r="K314" s="109">
        <v>0.62270000000000003</v>
      </c>
      <c r="L314" s="110" t="s">
        <v>3618</v>
      </c>
      <c r="M314" s="111" t="s">
        <v>3638</v>
      </c>
    </row>
    <row r="315" spans="1:13" ht="15.75" customHeight="1">
      <c r="A315" s="19">
        <v>313</v>
      </c>
      <c r="B315" s="34" t="s">
        <v>3625</v>
      </c>
      <c r="C315" s="20" t="s">
        <v>2096</v>
      </c>
      <c r="D315" s="20" t="s">
        <v>1463</v>
      </c>
      <c r="E315" s="20" t="s">
        <v>2097</v>
      </c>
      <c r="F315" s="21">
        <v>140</v>
      </c>
      <c r="G315" s="21">
        <v>57</v>
      </c>
      <c r="H315" s="21">
        <v>30</v>
      </c>
      <c r="I315" s="22">
        <v>227</v>
      </c>
      <c r="J315" s="108">
        <v>75.7</v>
      </c>
      <c r="K315" s="109">
        <v>0.61860000000000004</v>
      </c>
      <c r="L315" s="110" t="s">
        <v>3618</v>
      </c>
      <c r="M315" s="111" t="s">
        <v>3638</v>
      </c>
    </row>
    <row r="316" spans="1:13" ht="15.75" customHeight="1">
      <c r="A316" s="23">
        <v>314</v>
      </c>
      <c r="B316" s="34" t="s">
        <v>3625</v>
      </c>
      <c r="C316" s="24" t="s">
        <v>2172</v>
      </c>
      <c r="D316" s="24" t="s">
        <v>1475</v>
      </c>
      <c r="E316" s="24" t="s">
        <v>2173</v>
      </c>
      <c r="F316" s="25">
        <v>125</v>
      </c>
      <c r="G316" s="25">
        <v>28</v>
      </c>
      <c r="H316" s="25">
        <v>50</v>
      </c>
      <c r="I316" s="22">
        <v>213</v>
      </c>
      <c r="J316" s="112">
        <v>67.7</v>
      </c>
      <c r="K316" s="109">
        <v>0.61370000000000002</v>
      </c>
      <c r="L316" s="110" t="s">
        <v>3618</v>
      </c>
      <c r="M316" s="111" t="s">
        <v>3638</v>
      </c>
    </row>
    <row r="317" spans="1:13" ht="15.75" customHeight="1">
      <c r="A317" s="19">
        <v>315</v>
      </c>
      <c r="B317" s="34" t="s">
        <v>3625</v>
      </c>
      <c r="C317" s="20" t="s">
        <v>2098</v>
      </c>
      <c r="D317" s="20" t="s">
        <v>1463</v>
      </c>
      <c r="E317" s="20" t="s">
        <v>2099</v>
      </c>
      <c r="F317" s="21">
        <v>303</v>
      </c>
      <c r="G317" s="21">
        <v>123</v>
      </c>
      <c r="H317" s="21">
        <v>70</v>
      </c>
      <c r="I317" s="22">
        <v>496</v>
      </c>
      <c r="J317" s="108">
        <v>165.3</v>
      </c>
      <c r="K317" s="109">
        <v>0.60309999999999997</v>
      </c>
      <c r="L317" s="110" t="s">
        <v>3618</v>
      </c>
      <c r="M317" s="111" t="s">
        <v>3638</v>
      </c>
    </row>
    <row r="318" spans="1:13" ht="15.75" customHeight="1">
      <c r="A318" s="23">
        <v>316</v>
      </c>
      <c r="B318" s="34" t="s">
        <v>3625</v>
      </c>
      <c r="C318" s="24" t="s">
        <v>2225</v>
      </c>
      <c r="D318" s="24" t="s">
        <v>1493</v>
      </c>
      <c r="E318" s="24" t="s">
        <v>2226</v>
      </c>
      <c r="F318" s="25">
        <v>596</v>
      </c>
      <c r="G318" s="25">
        <v>232</v>
      </c>
      <c r="H318" s="25">
        <v>149</v>
      </c>
      <c r="I318" s="22">
        <v>1027</v>
      </c>
      <c r="J318" s="112">
        <v>325.7</v>
      </c>
      <c r="K318" s="109">
        <v>0.59609999999999996</v>
      </c>
      <c r="L318" s="110" t="s">
        <v>3618</v>
      </c>
      <c r="M318" s="111" t="s">
        <v>3638</v>
      </c>
    </row>
    <row r="319" spans="1:13" ht="15.75" customHeight="1">
      <c r="A319" s="19">
        <v>317</v>
      </c>
      <c r="B319" s="34" t="s">
        <v>3625</v>
      </c>
      <c r="C319" s="20" t="s">
        <v>2256</v>
      </c>
      <c r="D319" s="20" t="s">
        <v>1504</v>
      </c>
      <c r="E319" s="20" t="s">
        <v>2257</v>
      </c>
      <c r="F319" s="21">
        <v>12335</v>
      </c>
      <c r="G319" s="21">
        <v>6115</v>
      </c>
      <c r="H319" s="21">
        <v>2437</v>
      </c>
      <c r="I319" s="22">
        <v>23298</v>
      </c>
      <c r="J319" s="108">
        <v>6962.3</v>
      </c>
      <c r="K319" s="109">
        <v>0.5867</v>
      </c>
      <c r="L319" s="110" t="s">
        <v>3618</v>
      </c>
      <c r="M319" s="111" t="s">
        <v>3638</v>
      </c>
    </row>
    <row r="320" spans="1:13" ht="15.75" customHeight="1">
      <c r="A320" s="23">
        <v>318</v>
      </c>
      <c r="B320" s="34" t="s">
        <v>3625</v>
      </c>
      <c r="C320" s="24" t="s">
        <v>1482</v>
      </c>
      <c r="D320" s="24" t="s">
        <v>1481</v>
      </c>
      <c r="E320" s="24" t="s">
        <v>32</v>
      </c>
      <c r="F320" s="25">
        <v>59</v>
      </c>
      <c r="G320" s="25">
        <v>111</v>
      </c>
      <c r="H320" s="25">
        <v>22</v>
      </c>
      <c r="I320" s="22">
        <v>193</v>
      </c>
      <c r="J320" s="112">
        <v>64</v>
      </c>
      <c r="K320" s="109">
        <v>0.57040000000000002</v>
      </c>
      <c r="L320" s="110" t="s">
        <v>3618</v>
      </c>
      <c r="M320" s="111" t="s">
        <v>3638</v>
      </c>
    </row>
    <row r="321" spans="1:13" ht="15.75" customHeight="1">
      <c r="A321" s="19">
        <v>319</v>
      </c>
      <c r="B321" s="34" t="s">
        <v>3625</v>
      </c>
      <c r="C321" s="20" t="s">
        <v>2248</v>
      </c>
      <c r="D321" s="20" t="s">
        <v>1504</v>
      </c>
      <c r="E321" s="20" t="s">
        <v>2249</v>
      </c>
      <c r="F321" s="21">
        <v>68</v>
      </c>
      <c r="G321" s="21">
        <v>109</v>
      </c>
      <c r="H321" s="21">
        <v>20</v>
      </c>
      <c r="I321" s="22">
        <v>227</v>
      </c>
      <c r="J321" s="108">
        <v>65.7</v>
      </c>
      <c r="K321" s="109">
        <v>0.55389999999999995</v>
      </c>
      <c r="L321" s="110" t="s">
        <v>3618</v>
      </c>
      <c r="M321" s="111" t="s">
        <v>3638</v>
      </c>
    </row>
    <row r="322" spans="1:13" ht="15.75" customHeight="1">
      <c r="A322" s="23">
        <v>320</v>
      </c>
      <c r="B322" s="34" t="s">
        <v>3625</v>
      </c>
      <c r="C322" s="24" t="s">
        <v>2149</v>
      </c>
      <c r="D322" s="24" t="s">
        <v>1471</v>
      </c>
      <c r="E322" s="24" t="s">
        <v>2150</v>
      </c>
      <c r="F322" s="25">
        <v>350</v>
      </c>
      <c r="G322" s="25">
        <v>155</v>
      </c>
      <c r="H322" s="25">
        <v>95</v>
      </c>
      <c r="I322" s="22">
        <v>610</v>
      </c>
      <c r="J322" s="112">
        <v>200</v>
      </c>
      <c r="K322" s="109">
        <v>0.54430000000000001</v>
      </c>
      <c r="L322" s="110" t="s">
        <v>3618</v>
      </c>
      <c r="M322" s="111" t="s">
        <v>3638</v>
      </c>
    </row>
    <row r="323" spans="1:13" ht="15.75" customHeight="1">
      <c r="A323" s="19">
        <v>321</v>
      </c>
      <c r="B323" s="34" t="s">
        <v>3625</v>
      </c>
      <c r="C323" s="20" t="s">
        <v>2246</v>
      </c>
      <c r="D323" s="20" t="s">
        <v>1504</v>
      </c>
      <c r="E323" s="20" t="s">
        <v>2247</v>
      </c>
      <c r="F323" s="21">
        <v>372</v>
      </c>
      <c r="G323" s="21">
        <v>167</v>
      </c>
      <c r="H323" s="21">
        <v>112</v>
      </c>
      <c r="I323" s="22">
        <v>707</v>
      </c>
      <c r="J323" s="108">
        <v>217</v>
      </c>
      <c r="K323" s="109">
        <v>0.51559999999999995</v>
      </c>
      <c r="L323" s="110" t="s">
        <v>3618</v>
      </c>
      <c r="M323" s="111" t="s">
        <v>3638</v>
      </c>
    </row>
    <row r="324" spans="1:13" ht="15.75" customHeight="1">
      <c r="A324" s="23">
        <v>322</v>
      </c>
      <c r="B324" s="34" t="s">
        <v>3625</v>
      </c>
      <c r="C324" s="24" t="s">
        <v>2252</v>
      </c>
      <c r="D324" s="24" t="s">
        <v>1504</v>
      </c>
      <c r="E324" s="24" t="s">
        <v>2253</v>
      </c>
      <c r="F324" s="25">
        <v>78291</v>
      </c>
      <c r="G324" s="25">
        <v>37812</v>
      </c>
      <c r="H324" s="25">
        <v>23006</v>
      </c>
      <c r="I324" s="22">
        <v>153139</v>
      </c>
      <c r="J324" s="112">
        <v>46369.7</v>
      </c>
      <c r="K324" s="109">
        <v>0.50390000000000001</v>
      </c>
      <c r="L324" s="110" t="s">
        <v>3618</v>
      </c>
      <c r="M324" s="111" t="s">
        <v>3638</v>
      </c>
    </row>
    <row r="325" spans="1:13" ht="15.75" customHeight="1">
      <c r="A325" s="19">
        <v>323</v>
      </c>
      <c r="B325" s="34" t="s">
        <v>3625</v>
      </c>
      <c r="C325" s="20" t="s">
        <v>2916</v>
      </c>
      <c r="D325" s="20" t="s">
        <v>1491</v>
      </c>
      <c r="E325" s="20" t="s">
        <v>2917</v>
      </c>
      <c r="F325" s="21"/>
      <c r="G325" s="21">
        <v>1</v>
      </c>
      <c r="H325" s="21">
        <v>50</v>
      </c>
      <c r="I325" s="22">
        <v>51</v>
      </c>
      <c r="J325" s="108">
        <v>17</v>
      </c>
      <c r="K325" s="113">
        <v>1.3728</v>
      </c>
      <c r="L325" s="114" t="s">
        <v>3619</v>
      </c>
      <c r="M325" s="115" t="s">
        <v>3639</v>
      </c>
    </row>
    <row r="326" spans="1:13" ht="15.75" customHeight="1">
      <c r="A326" s="23">
        <v>324</v>
      </c>
      <c r="B326" s="34" t="s">
        <v>3625</v>
      </c>
      <c r="C326" s="24" t="s">
        <v>2072</v>
      </c>
      <c r="D326" s="24" t="s">
        <v>2068</v>
      </c>
      <c r="E326" s="24" t="s">
        <v>2073</v>
      </c>
      <c r="F326" s="25">
        <v>30</v>
      </c>
      <c r="G326" s="25">
        <v>2</v>
      </c>
      <c r="H326" s="25"/>
      <c r="I326" s="22">
        <v>32</v>
      </c>
      <c r="J326" s="112">
        <v>10.7</v>
      </c>
      <c r="K326" s="113">
        <v>1.2839</v>
      </c>
      <c r="L326" s="114" t="s">
        <v>3619</v>
      </c>
      <c r="M326" s="115" t="s">
        <v>3639</v>
      </c>
    </row>
    <row r="327" spans="1:13" ht="15.75" customHeight="1">
      <c r="A327" s="19">
        <v>325</v>
      </c>
      <c r="B327" s="34" t="s">
        <v>3625</v>
      </c>
      <c r="C327" s="20" t="s">
        <v>2178</v>
      </c>
      <c r="D327" s="20" t="s">
        <v>1475</v>
      </c>
      <c r="E327" s="20" t="s">
        <v>2179</v>
      </c>
      <c r="F327" s="21">
        <v>10</v>
      </c>
      <c r="G327" s="21"/>
      <c r="H327" s="21">
        <v>120</v>
      </c>
      <c r="I327" s="22">
        <v>150</v>
      </c>
      <c r="J327" s="108">
        <v>43.3</v>
      </c>
      <c r="K327" s="113">
        <v>1.2545999999999999</v>
      </c>
      <c r="L327" s="114" t="s">
        <v>3619</v>
      </c>
      <c r="M327" s="115" t="s">
        <v>3639</v>
      </c>
    </row>
    <row r="328" spans="1:13" ht="15.75" customHeight="1">
      <c r="A328" s="23">
        <v>326</v>
      </c>
      <c r="B328" s="34" t="s">
        <v>3625</v>
      </c>
      <c r="C328" s="24" t="s">
        <v>1476</v>
      </c>
      <c r="D328" s="24" t="s">
        <v>1475</v>
      </c>
      <c r="E328" s="24" t="s">
        <v>182</v>
      </c>
      <c r="F328" s="25">
        <v>3</v>
      </c>
      <c r="G328" s="25">
        <v>30</v>
      </c>
      <c r="H328" s="25"/>
      <c r="I328" s="22">
        <v>33</v>
      </c>
      <c r="J328" s="112">
        <v>11</v>
      </c>
      <c r="K328" s="113">
        <v>1.2263999999999999</v>
      </c>
      <c r="L328" s="114" t="s">
        <v>3619</v>
      </c>
      <c r="M328" s="115" t="s">
        <v>3639</v>
      </c>
    </row>
    <row r="329" spans="1:13" ht="15.75" customHeight="1">
      <c r="A329" s="19">
        <v>327</v>
      </c>
      <c r="B329" s="34" t="s">
        <v>3625</v>
      </c>
      <c r="C329" s="20" t="s">
        <v>2792</v>
      </c>
      <c r="D329" s="20" t="s">
        <v>1481</v>
      </c>
      <c r="E329" s="20" t="s">
        <v>26</v>
      </c>
      <c r="F329" s="21"/>
      <c r="G329" s="21">
        <v>50</v>
      </c>
      <c r="H329" s="21">
        <v>5</v>
      </c>
      <c r="I329" s="22">
        <v>55</v>
      </c>
      <c r="J329" s="108">
        <v>18.3</v>
      </c>
      <c r="K329" s="113">
        <v>1.2263999999999999</v>
      </c>
      <c r="L329" s="114" t="s">
        <v>3619</v>
      </c>
      <c r="M329" s="115" t="s">
        <v>3639</v>
      </c>
    </row>
    <row r="330" spans="1:13" ht="15.75" customHeight="1">
      <c r="A330" s="23">
        <v>328</v>
      </c>
      <c r="B330" s="34" t="s">
        <v>3625</v>
      </c>
      <c r="C330" s="24" t="s">
        <v>2910</v>
      </c>
      <c r="D330" s="24" t="s">
        <v>2041</v>
      </c>
      <c r="E330" s="24" t="s">
        <v>2911</v>
      </c>
      <c r="F330" s="25"/>
      <c r="G330" s="25">
        <v>10</v>
      </c>
      <c r="H330" s="25">
        <v>100</v>
      </c>
      <c r="I330" s="22">
        <v>110</v>
      </c>
      <c r="J330" s="112">
        <v>36.700000000000003</v>
      </c>
      <c r="K330" s="113">
        <v>1.2263999999999999</v>
      </c>
      <c r="L330" s="114" t="s">
        <v>3619</v>
      </c>
      <c r="M330" s="115" t="s">
        <v>3639</v>
      </c>
    </row>
    <row r="331" spans="1:13" ht="15.75" customHeight="1">
      <c r="A331" s="19">
        <v>329</v>
      </c>
      <c r="B331" s="34" t="s">
        <v>3625</v>
      </c>
      <c r="C331" s="20" t="s">
        <v>2077</v>
      </c>
      <c r="D331" s="20" t="s">
        <v>2008</v>
      </c>
      <c r="E331" s="20" t="s">
        <v>2078</v>
      </c>
      <c r="F331" s="21">
        <v>91</v>
      </c>
      <c r="G331" s="21"/>
      <c r="H331" s="21">
        <v>10</v>
      </c>
      <c r="I331" s="22">
        <v>101</v>
      </c>
      <c r="J331" s="108">
        <v>33.700000000000003</v>
      </c>
      <c r="K331" s="113">
        <v>1.2102999999999999</v>
      </c>
      <c r="L331" s="114" t="s">
        <v>3619</v>
      </c>
      <c r="M331" s="115" t="s">
        <v>3639</v>
      </c>
    </row>
    <row r="332" spans="1:13" ht="15.75" customHeight="1">
      <c r="A332" s="23">
        <v>330</v>
      </c>
      <c r="B332" s="34" t="s">
        <v>3625</v>
      </c>
      <c r="C332" s="24" t="s">
        <v>2303</v>
      </c>
      <c r="D332" s="24" t="s">
        <v>1504</v>
      </c>
      <c r="E332" s="24" t="s">
        <v>2304</v>
      </c>
      <c r="F332" s="25">
        <v>1</v>
      </c>
      <c r="G332" s="25"/>
      <c r="H332" s="25">
        <v>7</v>
      </c>
      <c r="I332" s="22">
        <v>18</v>
      </c>
      <c r="J332" s="112">
        <v>2.7</v>
      </c>
      <c r="K332" s="113">
        <v>1.1592</v>
      </c>
      <c r="L332" s="114" t="s">
        <v>3619</v>
      </c>
      <c r="M332" s="115" t="s">
        <v>3639</v>
      </c>
    </row>
    <row r="333" spans="1:13" ht="15.75" customHeight="1">
      <c r="A333" s="19">
        <v>331</v>
      </c>
      <c r="B333" s="34" t="s">
        <v>3625</v>
      </c>
      <c r="C333" s="20" t="s">
        <v>1469</v>
      </c>
      <c r="D333" s="20" t="s">
        <v>1466</v>
      </c>
      <c r="E333" s="20" t="s">
        <v>26</v>
      </c>
      <c r="F333" s="21">
        <v>60</v>
      </c>
      <c r="G333" s="21"/>
      <c r="H333" s="21">
        <v>10</v>
      </c>
      <c r="I333" s="22">
        <v>70</v>
      </c>
      <c r="J333" s="108">
        <v>23.3</v>
      </c>
      <c r="K333" s="113">
        <v>1.1249</v>
      </c>
      <c r="L333" s="114" t="s">
        <v>3619</v>
      </c>
      <c r="M333" s="115" t="s">
        <v>3639</v>
      </c>
    </row>
    <row r="334" spans="1:13" ht="15.75" customHeight="1">
      <c r="A334" s="23">
        <v>332</v>
      </c>
      <c r="B334" s="34" t="s">
        <v>3625</v>
      </c>
      <c r="C334" s="24" t="s">
        <v>2932</v>
      </c>
      <c r="D334" s="24" t="s">
        <v>1466</v>
      </c>
      <c r="E334" s="24" t="s">
        <v>1700</v>
      </c>
      <c r="F334" s="25"/>
      <c r="G334" s="25">
        <v>110</v>
      </c>
      <c r="H334" s="25">
        <v>20</v>
      </c>
      <c r="I334" s="22">
        <v>140</v>
      </c>
      <c r="J334" s="112">
        <v>43.3</v>
      </c>
      <c r="K334" s="113">
        <v>1.1041000000000001</v>
      </c>
      <c r="L334" s="114" t="s">
        <v>3619</v>
      </c>
      <c r="M334" s="115" t="s">
        <v>3639</v>
      </c>
    </row>
    <row r="335" spans="1:13" ht="15.75" customHeight="1">
      <c r="A335" s="19">
        <v>333</v>
      </c>
      <c r="B335" s="34" t="s">
        <v>3625</v>
      </c>
      <c r="C335" s="20" t="s">
        <v>2293</v>
      </c>
      <c r="D335" s="20" t="s">
        <v>2294</v>
      </c>
      <c r="E335" s="20" t="s">
        <v>1911</v>
      </c>
      <c r="F335" s="21">
        <v>15</v>
      </c>
      <c r="G335" s="21">
        <v>3</v>
      </c>
      <c r="H335" s="21"/>
      <c r="I335" s="22">
        <v>18</v>
      </c>
      <c r="J335" s="108">
        <v>6</v>
      </c>
      <c r="K335" s="113">
        <v>1.0801000000000001</v>
      </c>
      <c r="L335" s="114" t="s">
        <v>3619</v>
      </c>
      <c r="M335" s="115" t="s">
        <v>3639</v>
      </c>
    </row>
    <row r="336" spans="1:13" ht="15.75" customHeight="1">
      <c r="A336" s="23">
        <v>334</v>
      </c>
      <c r="B336" s="34" t="s">
        <v>3625</v>
      </c>
      <c r="C336" s="24" t="s">
        <v>2277</v>
      </c>
      <c r="D336" s="24" t="s">
        <v>1523</v>
      </c>
      <c r="E336" s="24" t="s">
        <v>2278</v>
      </c>
      <c r="F336" s="25">
        <v>1</v>
      </c>
      <c r="G336" s="25">
        <v>5</v>
      </c>
      <c r="H336" s="25"/>
      <c r="I336" s="22">
        <v>56</v>
      </c>
      <c r="J336" s="112">
        <v>2</v>
      </c>
      <c r="K336" s="113">
        <v>1.0801000000000001</v>
      </c>
      <c r="L336" s="114" t="s">
        <v>3619</v>
      </c>
      <c r="M336" s="115" t="s">
        <v>3639</v>
      </c>
    </row>
    <row r="337" spans="1:13" ht="15.75" customHeight="1">
      <c r="A337" s="19">
        <v>335</v>
      </c>
      <c r="B337" s="34" t="s">
        <v>3625</v>
      </c>
      <c r="C337" s="20" t="s">
        <v>2079</v>
      </c>
      <c r="D337" s="20" t="s">
        <v>2008</v>
      </c>
      <c r="E337" s="20" t="s">
        <v>2080</v>
      </c>
      <c r="F337" s="21">
        <v>45</v>
      </c>
      <c r="G337" s="21"/>
      <c r="H337" s="21">
        <v>10</v>
      </c>
      <c r="I337" s="22">
        <v>55</v>
      </c>
      <c r="J337" s="108">
        <v>18.3</v>
      </c>
      <c r="K337" s="113">
        <v>1.0523</v>
      </c>
      <c r="L337" s="114" t="s">
        <v>3619</v>
      </c>
      <c r="M337" s="115" t="s">
        <v>3639</v>
      </c>
    </row>
    <row r="338" spans="1:13" ht="15.75" customHeight="1">
      <c r="A338" s="23">
        <v>336</v>
      </c>
      <c r="B338" s="34" t="s">
        <v>3625</v>
      </c>
      <c r="C338" s="24" t="s">
        <v>2043</v>
      </c>
      <c r="D338" s="24" t="s">
        <v>2041</v>
      </c>
      <c r="E338" s="24" t="s">
        <v>2044</v>
      </c>
      <c r="F338" s="25">
        <v>45</v>
      </c>
      <c r="G338" s="25"/>
      <c r="H338" s="25">
        <v>10</v>
      </c>
      <c r="I338" s="22">
        <v>55</v>
      </c>
      <c r="J338" s="112">
        <v>18.3</v>
      </c>
      <c r="K338" s="113">
        <v>1.0523</v>
      </c>
      <c r="L338" s="114" t="s">
        <v>3619</v>
      </c>
      <c r="M338" s="115" t="s">
        <v>3639</v>
      </c>
    </row>
    <row r="339" spans="1:13" ht="15.75" customHeight="1">
      <c r="A339" s="19">
        <v>337</v>
      </c>
      <c r="B339" s="34" t="s">
        <v>3625</v>
      </c>
      <c r="C339" s="20" t="s">
        <v>2145</v>
      </c>
      <c r="D339" s="20" t="s">
        <v>1471</v>
      </c>
      <c r="E339" s="20" t="s">
        <v>2146</v>
      </c>
      <c r="F339" s="21">
        <v>88</v>
      </c>
      <c r="G339" s="21">
        <v>20</v>
      </c>
      <c r="H339" s="21"/>
      <c r="I339" s="22">
        <v>108</v>
      </c>
      <c r="J339" s="108">
        <v>36</v>
      </c>
      <c r="K339" s="113">
        <v>1.0463</v>
      </c>
      <c r="L339" s="114" t="s">
        <v>3619</v>
      </c>
      <c r="M339" s="115" t="s">
        <v>3639</v>
      </c>
    </row>
    <row r="340" spans="1:13" ht="15.75" customHeight="1">
      <c r="A340" s="23">
        <v>338</v>
      </c>
      <c r="B340" s="34" t="s">
        <v>3625</v>
      </c>
      <c r="C340" s="24" t="s">
        <v>2266</v>
      </c>
      <c r="D340" s="24" t="s">
        <v>1510</v>
      </c>
      <c r="E340" s="24" t="s">
        <v>2267</v>
      </c>
      <c r="F340" s="25">
        <v>68</v>
      </c>
      <c r="G340" s="25">
        <v>16</v>
      </c>
      <c r="H340" s="25"/>
      <c r="I340" s="22">
        <v>84</v>
      </c>
      <c r="J340" s="112">
        <v>28</v>
      </c>
      <c r="K340" s="113">
        <v>1.0367</v>
      </c>
      <c r="L340" s="114" t="s">
        <v>3619</v>
      </c>
      <c r="M340" s="115" t="s">
        <v>3639</v>
      </c>
    </row>
    <row r="341" spans="1:13" ht="15.75" customHeight="1">
      <c r="A341" s="19">
        <v>339</v>
      </c>
      <c r="B341" s="34" t="s">
        <v>3625</v>
      </c>
      <c r="C341" s="20" t="s">
        <v>1511</v>
      </c>
      <c r="D341" s="20" t="s">
        <v>1510</v>
      </c>
      <c r="E341" s="20" t="s">
        <v>32</v>
      </c>
      <c r="F341" s="21">
        <v>1</v>
      </c>
      <c r="G341" s="21"/>
      <c r="H341" s="21">
        <v>4</v>
      </c>
      <c r="I341" s="22">
        <v>5</v>
      </c>
      <c r="J341" s="108">
        <v>1.7</v>
      </c>
      <c r="K341" s="113">
        <v>1.0198</v>
      </c>
      <c r="L341" s="114" t="s">
        <v>3619</v>
      </c>
      <c r="M341" s="115" t="s">
        <v>3639</v>
      </c>
    </row>
    <row r="342" spans="1:13" ht="15.75" customHeight="1">
      <c r="A342" s="23">
        <v>340</v>
      </c>
      <c r="B342" s="34" t="s">
        <v>3625</v>
      </c>
      <c r="C342" s="24" t="s">
        <v>1484</v>
      </c>
      <c r="D342" s="24" t="s">
        <v>1481</v>
      </c>
      <c r="E342" s="24" t="s">
        <v>22</v>
      </c>
      <c r="F342" s="25">
        <v>15</v>
      </c>
      <c r="G342" s="25">
        <v>50</v>
      </c>
      <c r="H342" s="25"/>
      <c r="I342" s="22">
        <v>65</v>
      </c>
      <c r="J342" s="112">
        <v>21.7</v>
      </c>
      <c r="K342" s="113">
        <v>0.96689999999999998</v>
      </c>
      <c r="L342" s="114" t="s">
        <v>3619</v>
      </c>
      <c r="M342" s="115" t="s">
        <v>3639</v>
      </c>
    </row>
    <row r="343" spans="1:13" ht="15.75" customHeight="1">
      <c r="A343" s="19">
        <v>341</v>
      </c>
      <c r="B343" s="34" t="s">
        <v>3625</v>
      </c>
      <c r="C343" s="20" t="s">
        <v>2085</v>
      </c>
      <c r="D343" s="20" t="s">
        <v>1460</v>
      </c>
      <c r="E343" s="20" t="s">
        <v>1700</v>
      </c>
      <c r="F343" s="21">
        <v>10</v>
      </c>
      <c r="G343" s="21"/>
      <c r="H343" s="21">
        <v>30</v>
      </c>
      <c r="I343" s="22">
        <v>40</v>
      </c>
      <c r="J343" s="108">
        <v>13.3</v>
      </c>
      <c r="K343" s="113">
        <v>0.93540000000000001</v>
      </c>
      <c r="L343" s="114" t="s">
        <v>3619</v>
      </c>
      <c r="M343" s="115" t="s">
        <v>3639</v>
      </c>
    </row>
    <row r="344" spans="1:13" ht="15.75" customHeight="1">
      <c r="A344" s="23">
        <v>342</v>
      </c>
      <c r="B344" s="34" t="s">
        <v>3625</v>
      </c>
      <c r="C344" s="24" t="s">
        <v>2279</v>
      </c>
      <c r="D344" s="24" t="s">
        <v>1466</v>
      </c>
      <c r="E344" s="24" t="s">
        <v>2280</v>
      </c>
      <c r="F344" s="25">
        <v>30</v>
      </c>
      <c r="G344" s="25"/>
      <c r="H344" s="25">
        <v>10</v>
      </c>
      <c r="I344" s="22">
        <v>40</v>
      </c>
      <c r="J344" s="112">
        <v>13.3</v>
      </c>
      <c r="K344" s="113">
        <v>0.93540000000000001</v>
      </c>
      <c r="L344" s="114" t="s">
        <v>3619</v>
      </c>
      <c r="M344" s="115" t="s">
        <v>3639</v>
      </c>
    </row>
    <row r="345" spans="1:13" ht="15.75" customHeight="1">
      <c r="A345" s="19">
        <v>343</v>
      </c>
      <c r="B345" s="34" t="s">
        <v>3625</v>
      </c>
      <c r="C345" s="20" t="s">
        <v>2272</v>
      </c>
      <c r="D345" s="20" t="s">
        <v>2273</v>
      </c>
      <c r="E345" s="20" t="s">
        <v>1909</v>
      </c>
      <c r="F345" s="21">
        <v>120</v>
      </c>
      <c r="G345" s="21">
        <v>22</v>
      </c>
      <c r="H345" s="21">
        <v>15</v>
      </c>
      <c r="I345" s="22">
        <v>158</v>
      </c>
      <c r="J345" s="108">
        <v>52.3</v>
      </c>
      <c r="K345" s="113">
        <v>0.91590000000000005</v>
      </c>
      <c r="L345" s="114" t="s">
        <v>3619</v>
      </c>
      <c r="M345" s="115" t="s">
        <v>3639</v>
      </c>
    </row>
    <row r="346" spans="1:13" ht="15.75" customHeight="1">
      <c r="A346" s="23">
        <v>344</v>
      </c>
      <c r="B346" s="34" t="s">
        <v>3625</v>
      </c>
      <c r="C346" s="24" t="s">
        <v>1488</v>
      </c>
      <c r="D346" s="24" t="s">
        <v>1489</v>
      </c>
      <c r="E346" s="24" t="s">
        <v>259</v>
      </c>
      <c r="F346" s="25">
        <v>2</v>
      </c>
      <c r="G346" s="25">
        <v>12</v>
      </c>
      <c r="H346" s="25">
        <v>2</v>
      </c>
      <c r="I346" s="22">
        <v>16</v>
      </c>
      <c r="J346" s="112">
        <v>5.3</v>
      </c>
      <c r="K346" s="113">
        <v>0.88390000000000002</v>
      </c>
      <c r="L346" s="114" t="s">
        <v>3619</v>
      </c>
      <c r="M346" s="115" t="s">
        <v>3639</v>
      </c>
    </row>
    <row r="347" spans="1:13" ht="15.75" customHeight="1">
      <c r="A347" s="19">
        <v>345</v>
      </c>
      <c r="B347" s="34" t="s">
        <v>3625</v>
      </c>
      <c r="C347" s="20" t="s">
        <v>2045</v>
      </c>
      <c r="D347" s="20" t="s">
        <v>2041</v>
      </c>
      <c r="E347" s="20" t="s">
        <v>2046</v>
      </c>
      <c r="F347" s="21">
        <v>2</v>
      </c>
      <c r="G347" s="21">
        <v>5</v>
      </c>
      <c r="H347" s="21"/>
      <c r="I347" s="22">
        <v>7</v>
      </c>
      <c r="J347" s="108">
        <v>2.2999999999999998</v>
      </c>
      <c r="K347" s="113">
        <v>0.88060000000000005</v>
      </c>
      <c r="L347" s="114" t="s">
        <v>3619</v>
      </c>
      <c r="M347" s="115" t="s">
        <v>3639</v>
      </c>
    </row>
    <row r="348" spans="1:13" ht="15.75" customHeight="1">
      <c r="A348" s="23">
        <v>346</v>
      </c>
      <c r="B348" s="34" t="s">
        <v>3625</v>
      </c>
      <c r="C348" s="24" t="s">
        <v>2906</v>
      </c>
      <c r="D348" s="24" t="s">
        <v>1460</v>
      </c>
      <c r="E348" s="24" t="s">
        <v>2907</v>
      </c>
      <c r="F348" s="25"/>
      <c r="G348" s="25">
        <v>25</v>
      </c>
      <c r="H348" s="25">
        <v>10</v>
      </c>
      <c r="I348" s="22">
        <v>35</v>
      </c>
      <c r="J348" s="112">
        <v>11.7</v>
      </c>
      <c r="K348" s="113">
        <v>0.88060000000000005</v>
      </c>
      <c r="L348" s="114" t="s">
        <v>3619</v>
      </c>
      <c r="M348" s="115" t="s">
        <v>3639</v>
      </c>
    </row>
    <row r="349" spans="1:13" ht="15.75" customHeight="1">
      <c r="A349" s="19">
        <v>347</v>
      </c>
      <c r="B349" s="34" t="s">
        <v>3625</v>
      </c>
      <c r="C349" s="20" t="s">
        <v>2092</v>
      </c>
      <c r="D349" s="20" t="s">
        <v>1460</v>
      </c>
      <c r="E349" s="20" t="s">
        <v>2093</v>
      </c>
      <c r="F349" s="21">
        <v>52</v>
      </c>
      <c r="G349" s="21">
        <v>20</v>
      </c>
      <c r="H349" s="21">
        <v>1</v>
      </c>
      <c r="I349" s="22">
        <v>73</v>
      </c>
      <c r="J349" s="108">
        <v>24.3</v>
      </c>
      <c r="K349" s="113">
        <v>0.8649</v>
      </c>
      <c r="L349" s="114" t="s">
        <v>3619</v>
      </c>
      <c r="M349" s="115" t="s">
        <v>3639</v>
      </c>
    </row>
    <row r="350" spans="1:13" ht="15.75" customHeight="1">
      <c r="A350" s="23">
        <v>348</v>
      </c>
      <c r="B350" s="34" t="s">
        <v>3625</v>
      </c>
      <c r="C350" s="24" t="s">
        <v>2129</v>
      </c>
      <c r="D350" s="24" t="s">
        <v>1466</v>
      </c>
      <c r="E350" s="24" t="s">
        <v>2130</v>
      </c>
      <c r="F350" s="25">
        <v>60</v>
      </c>
      <c r="G350" s="25">
        <v>3</v>
      </c>
      <c r="H350" s="25">
        <v>20</v>
      </c>
      <c r="I350" s="22">
        <v>103</v>
      </c>
      <c r="J350" s="112">
        <v>27.7</v>
      </c>
      <c r="K350" s="113">
        <v>0.86360000000000003</v>
      </c>
      <c r="L350" s="114" t="s">
        <v>3619</v>
      </c>
      <c r="M350" s="115" t="s">
        <v>3639</v>
      </c>
    </row>
    <row r="351" spans="1:13" ht="15.75" customHeight="1">
      <c r="A351" s="19">
        <v>349</v>
      </c>
      <c r="B351" s="34" t="s">
        <v>3625</v>
      </c>
      <c r="C351" s="20" t="s">
        <v>2151</v>
      </c>
      <c r="D351" s="20" t="s">
        <v>1471</v>
      </c>
      <c r="E351" s="20" t="s">
        <v>2152</v>
      </c>
      <c r="F351" s="21">
        <v>70</v>
      </c>
      <c r="G351" s="21">
        <v>30</v>
      </c>
      <c r="H351" s="21"/>
      <c r="I351" s="22">
        <v>100</v>
      </c>
      <c r="J351" s="108">
        <v>33.299999999999997</v>
      </c>
      <c r="K351" s="113">
        <v>0.86019999999999996</v>
      </c>
      <c r="L351" s="114" t="s">
        <v>3619</v>
      </c>
      <c r="M351" s="115" t="s">
        <v>3639</v>
      </c>
    </row>
    <row r="352" spans="1:13" ht="15.75" customHeight="1">
      <c r="A352" s="23">
        <v>350</v>
      </c>
      <c r="B352" s="34" t="s">
        <v>3625</v>
      </c>
      <c r="C352" s="24" t="s">
        <v>2023</v>
      </c>
      <c r="D352" s="24" t="s">
        <v>1460</v>
      </c>
      <c r="E352" s="24" t="s">
        <v>2024</v>
      </c>
      <c r="F352" s="25">
        <v>10</v>
      </c>
      <c r="G352" s="25"/>
      <c r="H352" s="25">
        <v>20</v>
      </c>
      <c r="I352" s="22">
        <v>30</v>
      </c>
      <c r="J352" s="112">
        <v>10</v>
      </c>
      <c r="K352" s="113">
        <v>0.8165</v>
      </c>
      <c r="L352" s="114" t="s">
        <v>3619</v>
      </c>
      <c r="M352" s="115" t="s">
        <v>3639</v>
      </c>
    </row>
    <row r="353" spans="1:13" ht="15.75" customHeight="1">
      <c r="A353" s="19">
        <v>351</v>
      </c>
      <c r="B353" s="34" t="s">
        <v>3625</v>
      </c>
      <c r="C353" s="20" t="s">
        <v>2285</v>
      </c>
      <c r="D353" s="20" t="s">
        <v>1463</v>
      </c>
      <c r="E353" s="20" t="s">
        <v>1700</v>
      </c>
      <c r="F353" s="21">
        <v>20</v>
      </c>
      <c r="G353" s="21"/>
      <c r="H353" s="21">
        <v>10</v>
      </c>
      <c r="I353" s="22">
        <v>30</v>
      </c>
      <c r="J353" s="108">
        <v>10</v>
      </c>
      <c r="K353" s="113">
        <v>0.8165</v>
      </c>
      <c r="L353" s="114" t="s">
        <v>3619</v>
      </c>
      <c r="M353" s="115" t="s">
        <v>3639</v>
      </c>
    </row>
    <row r="354" spans="1:13" ht="15.75" customHeight="1">
      <c r="A354" s="23">
        <v>352</v>
      </c>
      <c r="B354" s="34" t="s">
        <v>3625</v>
      </c>
      <c r="C354" s="24" t="s">
        <v>2296</v>
      </c>
      <c r="D354" s="24" t="s">
        <v>1523</v>
      </c>
      <c r="E354" s="24" t="s">
        <v>1911</v>
      </c>
      <c r="F354" s="25">
        <v>100</v>
      </c>
      <c r="G354" s="25">
        <v>20</v>
      </c>
      <c r="H354" s="25">
        <v>20</v>
      </c>
      <c r="I354" s="22">
        <v>140</v>
      </c>
      <c r="J354" s="112">
        <v>46.7</v>
      </c>
      <c r="K354" s="113">
        <v>0.80810000000000004</v>
      </c>
      <c r="L354" s="114" t="s">
        <v>3619</v>
      </c>
      <c r="M354" s="115" t="s">
        <v>3639</v>
      </c>
    </row>
    <row r="355" spans="1:13" ht="15.75" customHeight="1">
      <c r="A355" s="19">
        <v>353</v>
      </c>
      <c r="B355" s="34" t="s">
        <v>3625</v>
      </c>
      <c r="C355" s="20" t="s">
        <v>2112</v>
      </c>
      <c r="D355" s="20" t="s">
        <v>1466</v>
      </c>
      <c r="E355" s="20" t="s">
        <v>1722</v>
      </c>
      <c r="F355" s="21">
        <v>6</v>
      </c>
      <c r="G355" s="21">
        <v>20</v>
      </c>
      <c r="H355" s="21">
        <v>60</v>
      </c>
      <c r="I355" s="22">
        <v>96</v>
      </c>
      <c r="J355" s="108">
        <v>28.7</v>
      </c>
      <c r="K355" s="113">
        <v>0.79820000000000002</v>
      </c>
      <c r="L355" s="114" t="s">
        <v>3619</v>
      </c>
      <c r="M355" s="115" t="s">
        <v>3639</v>
      </c>
    </row>
    <row r="356" spans="1:13" ht="15.75" customHeight="1">
      <c r="A356" s="23">
        <v>354</v>
      </c>
      <c r="B356" s="34" t="s">
        <v>3625</v>
      </c>
      <c r="C356" s="24" t="s">
        <v>2183</v>
      </c>
      <c r="D356" s="24" t="s">
        <v>1481</v>
      </c>
      <c r="E356" s="24" t="s">
        <v>1668</v>
      </c>
      <c r="F356" s="25">
        <v>7</v>
      </c>
      <c r="G356" s="25">
        <v>12</v>
      </c>
      <c r="H356" s="25"/>
      <c r="I356" s="22">
        <v>19</v>
      </c>
      <c r="J356" s="112">
        <v>6.3</v>
      </c>
      <c r="K356" s="113">
        <v>0.77710000000000001</v>
      </c>
      <c r="L356" s="114" t="s">
        <v>3619</v>
      </c>
      <c r="M356" s="115" t="s">
        <v>3639</v>
      </c>
    </row>
    <row r="357" spans="1:13" ht="15.75" customHeight="1">
      <c r="A357" s="19">
        <v>355</v>
      </c>
      <c r="B357" s="34" t="s">
        <v>3625</v>
      </c>
      <c r="C357" s="20" t="s">
        <v>2793</v>
      </c>
      <c r="D357" s="20" t="s">
        <v>1493</v>
      </c>
      <c r="E357" s="20" t="s">
        <v>32</v>
      </c>
      <c r="F357" s="21"/>
      <c r="G357" s="21">
        <v>50</v>
      </c>
      <c r="H357" s="21">
        <v>30</v>
      </c>
      <c r="I357" s="22">
        <v>80</v>
      </c>
      <c r="J357" s="108">
        <v>26.7</v>
      </c>
      <c r="K357" s="113">
        <v>0.77059999999999995</v>
      </c>
      <c r="L357" s="114" t="s">
        <v>3619</v>
      </c>
      <c r="M357" s="115" t="s">
        <v>3639</v>
      </c>
    </row>
    <row r="358" spans="1:13" ht="15.75" customHeight="1">
      <c r="A358" s="23">
        <v>356</v>
      </c>
      <c r="B358" s="34" t="s">
        <v>3625</v>
      </c>
      <c r="C358" s="24" t="s">
        <v>2090</v>
      </c>
      <c r="D358" s="24" t="s">
        <v>1460</v>
      </c>
      <c r="E358" s="24" t="s">
        <v>2091</v>
      </c>
      <c r="F358" s="25">
        <v>61</v>
      </c>
      <c r="G358" s="25">
        <v>38</v>
      </c>
      <c r="H358" s="25"/>
      <c r="I358" s="22">
        <v>99</v>
      </c>
      <c r="J358" s="112">
        <v>33</v>
      </c>
      <c r="K358" s="113">
        <v>0.76219999999999999</v>
      </c>
      <c r="L358" s="114" t="s">
        <v>3619</v>
      </c>
      <c r="M358" s="115" t="s">
        <v>3639</v>
      </c>
    </row>
    <row r="359" spans="1:13" ht="15.75" customHeight="1">
      <c r="A359" s="19">
        <v>357</v>
      </c>
      <c r="B359" s="34" t="s">
        <v>3625</v>
      </c>
      <c r="C359" s="20" t="s">
        <v>2133</v>
      </c>
      <c r="D359" s="20" t="s">
        <v>1466</v>
      </c>
      <c r="E359" s="20" t="s">
        <v>2134</v>
      </c>
      <c r="F359" s="21">
        <v>50</v>
      </c>
      <c r="G359" s="21">
        <v>80</v>
      </c>
      <c r="H359" s="21"/>
      <c r="I359" s="22">
        <v>150</v>
      </c>
      <c r="J359" s="108">
        <v>43.3</v>
      </c>
      <c r="K359" s="113">
        <v>0.76149999999999995</v>
      </c>
      <c r="L359" s="114" t="s">
        <v>3619</v>
      </c>
      <c r="M359" s="115" t="s">
        <v>3639</v>
      </c>
    </row>
    <row r="360" spans="1:13" ht="15.75" customHeight="1">
      <c r="A360" s="23">
        <v>358</v>
      </c>
      <c r="B360" s="34" t="s">
        <v>3625</v>
      </c>
      <c r="C360" s="24" t="s">
        <v>2949</v>
      </c>
      <c r="D360" s="24" t="s">
        <v>2929</v>
      </c>
      <c r="E360" s="24" t="s">
        <v>1909</v>
      </c>
      <c r="F360" s="25"/>
      <c r="G360" s="25">
        <v>21</v>
      </c>
      <c r="H360" s="25">
        <v>33</v>
      </c>
      <c r="I360" s="22">
        <v>71</v>
      </c>
      <c r="J360" s="112">
        <v>18</v>
      </c>
      <c r="K360" s="113">
        <v>0.75770000000000004</v>
      </c>
      <c r="L360" s="114" t="s">
        <v>3619</v>
      </c>
      <c r="M360" s="115" t="s">
        <v>3639</v>
      </c>
    </row>
    <row r="361" spans="1:13" ht="15.75" customHeight="1">
      <c r="A361" s="19">
        <v>359</v>
      </c>
      <c r="B361" s="34" t="s">
        <v>3625</v>
      </c>
      <c r="C361" s="20" t="s">
        <v>2186</v>
      </c>
      <c r="D361" s="20" t="s">
        <v>1481</v>
      </c>
      <c r="E361" s="20" t="s">
        <v>2187</v>
      </c>
      <c r="F361" s="21">
        <v>51</v>
      </c>
      <c r="G361" s="21">
        <v>5</v>
      </c>
      <c r="H361" s="21">
        <v>20</v>
      </c>
      <c r="I361" s="22">
        <v>96</v>
      </c>
      <c r="J361" s="108">
        <v>25.3</v>
      </c>
      <c r="K361" s="113">
        <v>0.75609999999999999</v>
      </c>
      <c r="L361" s="114" t="s">
        <v>3619</v>
      </c>
      <c r="M361" s="115" t="s">
        <v>3639</v>
      </c>
    </row>
    <row r="362" spans="1:13" ht="15.75" customHeight="1">
      <c r="A362" s="23">
        <v>360</v>
      </c>
      <c r="B362" s="34" t="s">
        <v>3625</v>
      </c>
      <c r="C362" s="24" t="s">
        <v>2305</v>
      </c>
      <c r="D362" s="24" t="s">
        <v>1481</v>
      </c>
      <c r="E362" s="24" t="s">
        <v>20</v>
      </c>
      <c r="F362" s="25">
        <v>3</v>
      </c>
      <c r="G362" s="25"/>
      <c r="H362" s="25">
        <v>2</v>
      </c>
      <c r="I362" s="22">
        <v>15</v>
      </c>
      <c r="J362" s="112">
        <v>1.7</v>
      </c>
      <c r="K362" s="113">
        <v>0.74829999999999997</v>
      </c>
      <c r="L362" s="114" t="s">
        <v>3619</v>
      </c>
      <c r="M362" s="115" t="s">
        <v>3639</v>
      </c>
    </row>
    <row r="363" spans="1:13" ht="15.75" customHeight="1">
      <c r="A363" s="19">
        <v>361</v>
      </c>
      <c r="B363" s="34" t="s">
        <v>3625</v>
      </c>
      <c r="C363" s="20" t="s">
        <v>2040</v>
      </c>
      <c r="D363" s="20" t="s">
        <v>2041</v>
      </c>
      <c r="E363" s="20" t="s">
        <v>2042</v>
      </c>
      <c r="F363" s="21">
        <v>16</v>
      </c>
      <c r="G363" s="21">
        <v>24</v>
      </c>
      <c r="H363" s="21"/>
      <c r="I363" s="22">
        <v>40</v>
      </c>
      <c r="J363" s="108">
        <v>13.3</v>
      </c>
      <c r="K363" s="113">
        <v>0.74829999999999997</v>
      </c>
      <c r="L363" s="114" t="s">
        <v>3619</v>
      </c>
      <c r="M363" s="115" t="s">
        <v>3639</v>
      </c>
    </row>
    <row r="364" spans="1:13" ht="15.75" customHeight="1">
      <c r="A364" s="23">
        <v>362</v>
      </c>
      <c r="B364" s="34" t="s">
        <v>3625</v>
      </c>
      <c r="C364" s="24" t="s">
        <v>2033</v>
      </c>
      <c r="D364" s="24" t="s">
        <v>1463</v>
      </c>
      <c r="E364" s="24" t="s">
        <v>2034</v>
      </c>
      <c r="F364" s="25">
        <v>20</v>
      </c>
      <c r="G364" s="25"/>
      <c r="H364" s="25">
        <v>30</v>
      </c>
      <c r="I364" s="22">
        <v>50</v>
      </c>
      <c r="J364" s="112">
        <v>16.7</v>
      </c>
      <c r="K364" s="113">
        <v>0.74829999999999997</v>
      </c>
      <c r="L364" s="114" t="s">
        <v>3619</v>
      </c>
      <c r="M364" s="115" t="s">
        <v>3639</v>
      </c>
    </row>
    <row r="365" spans="1:13" ht="15.75" customHeight="1">
      <c r="A365" s="19">
        <v>363</v>
      </c>
      <c r="B365" s="34" t="s">
        <v>3625</v>
      </c>
      <c r="C365" s="20" t="s">
        <v>2283</v>
      </c>
      <c r="D365" s="20" t="s">
        <v>1466</v>
      </c>
      <c r="E365" s="20" t="s">
        <v>2284</v>
      </c>
      <c r="F365" s="21">
        <v>2</v>
      </c>
      <c r="G365" s="21">
        <v>3</v>
      </c>
      <c r="H365" s="21"/>
      <c r="I365" s="22">
        <v>5</v>
      </c>
      <c r="J365" s="108">
        <v>1.7</v>
      </c>
      <c r="K365" s="113">
        <v>0.74829999999999997</v>
      </c>
      <c r="L365" s="114" t="s">
        <v>3619</v>
      </c>
      <c r="M365" s="115" t="s">
        <v>3639</v>
      </c>
    </row>
    <row r="366" spans="1:13" ht="15.75" customHeight="1">
      <c r="A366" s="23">
        <v>364</v>
      </c>
      <c r="B366" s="34" t="s">
        <v>3625</v>
      </c>
      <c r="C366" s="24" t="s">
        <v>1483</v>
      </c>
      <c r="D366" s="24" t="s">
        <v>1481</v>
      </c>
      <c r="E366" s="24" t="s">
        <v>42</v>
      </c>
      <c r="F366" s="25">
        <v>3</v>
      </c>
      <c r="G366" s="25">
        <v>82</v>
      </c>
      <c r="H366" s="25">
        <v>46</v>
      </c>
      <c r="I366" s="22">
        <v>248</v>
      </c>
      <c r="J366" s="112">
        <v>43.7</v>
      </c>
      <c r="K366" s="113">
        <v>0.73960000000000004</v>
      </c>
      <c r="L366" s="114" t="s">
        <v>3619</v>
      </c>
      <c r="M366" s="115" t="s">
        <v>3639</v>
      </c>
    </row>
    <row r="367" spans="1:13" ht="15.75" customHeight="1">
      <c r="A367" s="19">
        <v>365</v>
      </c>
      <c r="B367" s="34" t="s">
        <v>3625</v>
      </c>
      <c r="C367" s="20" t="s">
        <v>2928</v>
      </c>
      <c r="D367" s="20" t="s">
        <v>2929</v>
      </c>
      <c r="E367" s="20" t="s">
        <v>1911</v>
      </c>
      <c r="F367" s="21"/>
      <c r="G367" s="21">
        <v>35</v>
      </c>
      <c r="H367" s="21">
        <v>48</v>
      </c>
      <c r="I367" s="22">
        <v>102</v>
      </c>
      <c r="J367" s="108">
        <v>27.7</v>
      </c>
      <c r="K367" s="113">
        <v>0.73270000000000002</v>
      </c>
      <c r="L367" s="114" t="s">
        <v>3619</v>
      </c>
      <c r="M367" s="115" t="s">
        <v>3639</v>
      </c>
    </row>
    <row r="368" spans="1:13" ht="15.75" customHeight="1">
      <c r="A368" s="23">
        <v>366</v>
      </c>
      <c r="B368" s="34" t="s">
        <v>3625</v>
      </c>
      <c r="C368" s="24" t="s">
        <v>2931</v>
      </c>
      <c r="D368" s="24" t="s">
        <v>2929</v>
      </c>
      <c r="E368" s="24" t="s">
        <v>1904</v>
      </c>
      <c r="F368" s="25"/>
      <c r="G368" s="25">
        <v>15</v>
      </c>
      <c r="H368" s="25">
        <v>11</v>
      </c>
      <c r="I368" s="22">
        <v>36</v>
      </c>
      <c r="J368" s="112">
        <v>8.6999999999999993</v>
      </c>
      <c r="K368" s="113">
        <v>0.73180000000000001</v>
      </c>
      <c r="L368" s="114" t="s">
        <v>3619</v>
      </c>
      <c r="M368" s="115" t="s">
        <v>3639</v>
      </c>
    </row>
    <row r="369" spans="1:13" ht="15.75" customHeight="1">
      <c r="A369" s="19">
        <v>367</v>
      </c>
      <c r="B369" s="34" t="s">
        <v>3625</v>
      </c>
      <c r="C369" s="20" t="s">
        <v>2070</v>
      </c>
      <c r="D369" s="20" t="s">
        <v>1504</v>
      </c>
      <c r="E369" s="20" t="s">
        <v>2071</v>
      </c>
      <c r="F369" s="21">
        <v>14</v>
      </c>
      <c r="G369" s="21"/>
      <c r="H369" s="21">
        <v>11</v>
      </c>
      <c r="I369" s="22">
        <v>25</v>
      </c>
      <c r="J369" s="108">
        <v>8.3000000000000007</v>
      </c>
      <c r="K369" s="113">
        <v>0.72219999999999995</v>
      </c>
      <c r="L369" s="114" t="s">
        <v>3619</v>
      </c>
      <c r="M369" s="115" t="s">
        <v>3639</v>
      </c>
    </row>
    <row r="370" spans="1:13" ht="15.75" customHeight="1">
      <c r="A370" s="23">
        <v>368</v>
      </c>
      <c r="B370" s="34" t="s">
        <v>3625</v>
      </c>
      <c r="C370" s="24" t="s">
        <v>1470</v>
      </c>
      <c r="D370" s="24" t="s">
        <v>1471</v>
      </c>
      <c r="E370" s="24" t="s">
        <v>121</v>
      </c>
      <c r="F370" s="25">
        <v>4</v>
      </c>
      <c r="G370" s="25">
        <v>5</v>
      </c>
      <c r="H370" s="25"/>
      <c r="I370" s="22">
        <v>9</v>
      </c>
      <c r="J370" s="112">
        <v>3</v>
      </c>
      <c r="K370" s="113">
        <v>0.72009999999999996</v>
      </c>
      <c r="L370" s="114" t="s">
        <v>3619</v>
      </c>
      <c r="M370" s="115" t="s">
        <v>3639</v>
      </c>
    </row>
    <row r="371" spans="1:13" ht="15.75" customHeight="1">
      <c r="A371" s="19">
        <v>369</v>
      </c>
      <c r="B371" s="34" t="s">
        <v>3625</v>
      </c>
      <c r="C371" s="20" t="s">
        <v>2059</v>
      </c>
      <c r="D371" s="20" t="s">
        <v>1491</v>
      </c>
      <c r="E371" s="20" t="s">
        <v>2060</v>
      </c>
      <c r="F371" s="21">
        <v>10</v>
      </c>
      <c r="G371" s="21">
        <v>8</v>
      </c>
      <c r="H371" s="21"/>
      <c r="I371" s="22">
        <v>26</v>
      </c>
      <c r="J371" s="108">
        <v>6</v>
      </c>
      <c r="K371" s="113">
        <v>0.72009999999999996</v>
      </c>
      <c r="L371" s="114" t="s">
        <v>3619</v>
      </c>
      <c r="M371" s="115" t="s">
        <v>3639</v>
      </c>
    </row>
    <row r="372" spans="1:13" ht="15.75" customHeight="1">
      <c r="A372" s="23">
        <v>370</v>
      </c>
      <c r="B372" s="34" t="s">
        <v>3625</v>
      </c>
      <c r="C372" s="24" t="s">
        <v>2939</v>
      </c>
      <c r="D372" s="24" t="s">
        <v>2273</v>
      </c>
      <c r="E372" s="24" t="s">
        <v>1913</v>
      </c>
      <c r="F372" s="25"/>
      <c r="G372" s="25">
        <v>20</v>
      </c>
      <c r="H372" s="25">
        <v>17</v>
      </c>
      <c r="I372" s="22">
        <v>37</v>
      </c>
      <c r="J372" s="112">
        <v>12.3</v>
      </c>
      <c r="K372" s="113">
        <v>0.71399999999999997</v>
      </c>
      <c r="L372" s="114" t="s">
        <v>3619</v>
      </c>
      <c r="M372" s="115" t="s">
        <v>3639</v>
      </c>
    </row>
    <row r="373" spans="1:13" ht="15.75" customHeight="1">
      <c r="A373" s="19">
        <v>371</v>
      </c>
      <c r="B373" s="34" t="s">
        <v>3625</v>
      </c>
      <c r="C373" s="20" t="s">
        <v>2061</v>
      </c>
      <c r="D373" s="20" t="s">
        <v>1493</v>
      </c>
      <c r="E373" s="20" t="s">
        <v>2062</v>
      </c>
      <c r="F373" s="21">
        <v>10</v>
      </c>
      <c r="G373" s="21">
        <v>9</v>
      </c>
      <c r="H373" s="21"/>
      <c r="I373" s="22">
        <v>19</v>
      </c>
      <c r="J373" s="108">
        <v>6.3</v>
      </c>
      <c r="K373" s="113">
        <v>0.71</v>
      </c>
      <c r="L373" s="114" t="s">
        <v>3619</v>
      </c>
      <c r="M373" s="115" t="s">
        <v>3639</v>
      </c>
    </row>
    <row r="374" spans="1:13" ht="15.75" customHeight="1">
      <c r="A374" s="23">
        <v>372</v>
      </c>
      <c r="B374" s="34" t="s">
        <v>3625</v>
      </c>
      <c r="C374" s="24" t="s">
        <v>2930</v>
      </c>
      <c r="D374" s="24" t="s">
        <v>2929</v>
      </c>
      <c r="E374" s="24" t="s">
        <v>1913</v>
      </c>
      <c r="F374" s="25"/>
      <c r="G374" s="25">
        <v>42</v>
      </c>
      <c r="H374" s="25">
        <v>39</v>
      </c>
      <c r="I374" s="22">
        <v>92</v>
      </c>
      <c r="J374" s="112">
        <v>27</v>
      </c>
      <c r="K374" s="113">
        <v>0.70860000000000001</v>
      </c>
      <c r="L374" s="114" t="s">
        <v>3619</v>
      </c>
      <c r="M374" s="115" t="s">
        <v>3639</v>
      </c>
    </row>
    <row r="375" spans="1:13" ht="15.75" customHeight="1">
      <c r="A375" s="19">
        <v>373</v>
      </c>
      <c r="B375" s="34" t="s">
        <v>3625</v>
      </c>
      <c r="C375" s="20" t="s">
        <v>2031</v>
      </c>
      <c r="D375" s="20" t="s">
        <v>1463</v>
      </c>
      <c r="E375" s="20" t="s">
        <v>2032</v>
      </c>
      <c r="F375" s="21">
        <v>3</v>
      </c>
      <c r="G375" s="21">
        <v>15</v>
      </c>
      <c r="H375" s="21">
        <v>30</v>
      </c>
      <c r="I375" s="22">
        <v>48</v>
      </c>
      <c r="J375" s="108">
        <v>16</v>
      </c>
      <c r="K375" s="113">
        <v>0.69030000000000002</v>
      </c>
      <c r="L375" s="114" t="s">
        <v>3619</v>
      </c>
      <c r="M375" s="115" t="s">
        <v>3639</v>
      </c>
    </row>
    <row r="376" spans="1:13" ht="15.75" customHeight="1">
      <c r="A376" s="23">
        <v>374</v>
      </c>
      <c r="B376" s="34" t="s">
        <v>3625</v>
      </c>
      <c r="C376" s="24" t="s">
        <v>2306</v>
      </c>
      <c r="D376" s="24" t="s">
        <v>1504</v>
      </c>
      <c r="E376" s="24" t="s">
        <v>24</v>
      </c>
      <c r="F376" s="25">
        <v>43</v>
      </c>
      <c r="G376" s="25">
        <v>13</v>
      </c>
      <c r="H376" s="25">
        <v>10</v>
      </c>
      <c r="I376" s="22">
        <v>66</v>
      </c>
      <c r="J376" s="112">
        <v>22</v>
      </c>
      <c r="K376" s="113">
        <v>0.67730000000000001</v>
      </c>
      <c r="L376" s="114" t="s">
        <v>3619</v>
      </c>
      <c r="M376" s="115" t="s">
        <v>3639</v>
      </c>
    </row>
    <row r="377" spans="1:13" ht="15.75" customHeight="1">
      <c r="A377" s="19">
        <v>375</v>
      </c>
      <c r="B377" s="34" t="s">
        <v>3625</v>
      </c>
      <c r="C377" s="20" t="s">
        <v>2271</v>
      </c>
      <c r="D377" s="20" t="s">
        <v>1523</v>
      </c>
      <c r="E377" s="20" t="s">
        <v>1909</v>
      </c>
      <c r="F377" s="21">
        <v>1</v>
      </c>
      <c r="G377" s="21">
        <v>25</v>
      </c>
      <c r="H377" s="21">
        <v>20</v>
      </c>
      <c r="I377" s="22">
        <v>46</v>
      </c>
      <c r="J377" s="108">
        <v>15.3</v>
      </c>
      <c r="K377" s="113">
        <v>0.67430000000000001</v>
      </c>
      <c r="L377" s="114" t="s">
        <v>3619</v>
      </c>
      <c r="M377" s="115" t="s">
        <v>3639</v>
      </c>
    </row>
    <row r="378" spans="1:13" ht="15.75" customHeight="1">
      <c r="A378" s="23">
        <v>376</v>
      </c>
      <c r="B378" s="34" t="s">
        <v>3625</v>
      </c>
      <c r="C378" s="24" t="s">
        <v>2067</v>
      </c>
      <c r="D378" s="24" t="s">
        <v>2068</v>
      </c>
      <c r="E378" s="24" t="s">
        <v>2069</v>
      </c>
      <c r="F378" s="25">
        <v>40</v>
      </c>
      <c r="G378" s="25">
        <v>25</v>
      </c>
      <c r="H378" s="25">
        <v>3</v>
      </c>
      <c r="I378" s="22">
        <v>68</v>
      </c>
      <c r="J378" s="112">
        <v>22.7</v>
      </c>
      <c r="K378" s="113">
        <v>0.6704</v>
      </c>
      <c r="L378" s="114" t="s">
        <v>3619</v>
      </c>
      <c r="M378" s="115" t="s">
        <v>3639</v>
      </c>
    </row>
    <row r="379" spans="1:13" ht="15.75" customHeight="1">
      <c r="A379" s="19">
        <v>377</v>
      </c>
      <c r="B379" s="34" t="s">
        <v>3625</v>
      </c>
      <c r="C379" s="20" t="s">
        <v>2155</v>
      </c>
      <c r="D379" s="20" t="s">
        <v>1475</v>
      </c>
      <c r="E379" s="20" t="s">
        <v>1668</v>
      </c>
      <c r="F379" s="21">
        <v>60</v>
      </c>
      <c r="G379" s="21">
        <v>10</v>
      </c>
      <c r="H379" s="21">
        <v>25</v>
      </c>
      <c r="I379" s="22">
        <v>115</v>
      </c>
      <c r="J379" s="108">
        <v>31.7</v>
      </c>
      <c r="K379" s="113">
        <v>0.66159999999999997</v>
      </c>
      <c r="L379" s="114" t="s">
        <v>3619</v>
      </c>
      <c r="M379" s="115" t="s">
        <v>3639</v>
      </c>
    </row>
    <row r="380" spans="1:13" ht="15.75" customHeight="1">
      <c r="A380" s="23">
        <v>378</v>
      </c>
      <c r="B380" s="34" t="s">
        <v>3625</v>
      </c>
      <c r="C380" s="24" t="s">
        <v>2295</v>
      </c>
      <c r="D380" s="24" t="s">
        <v>2294</v>
      </c>
      <c r="E380" s="24" t="s">
        <v>1913</v>
      </c>
      <c r="F380" s="25">
        <v>5</v>
      </c>
      <c r="G380" s="25">
        <v>2</v>
      </c>
      <c r="H380" s="25">
        <v>1</v>
      </c>
      <c r="I380" s="22">
        <v>8</v>
      </c>
      <c r="J380" s="112">
        <v>2.7</v>
      </c>
      <c r="K380" s="113">
        <v>0.63739999999999997</v>
      </c>
      <c r="L380" s="114" t="s">
        <v>3619</v>
      </c>
      <c r="M380" s="115" t="s">
        <v>3639</v>
      </c>
    </row>
    <row r="381" spans="1:13" ht="15.75" customHeight="1">
      <c r="A381" s="19">
        <v>379</v>
      </c>
      <c r="B381" s="34" t="s">
        <v>3625</v>
      </c>
      <c r="C381" s="20" t="s">
        <v>2102</v>
      </c>
      <c r="D381" s="20" t="s">
        <v>1463</v>
      </c>
      <c r="E381" s="20" t="s">
        <v>2103</v>
      </c>
      <c r="F381" s="21">
        <v>16</v>
      </c>
      <c r="G381" s="21">
        <v>7</v>
      </c>
      <c r="H381" s="21">
        <v>3</v>
      </c>
      <c r="I381" s="22">
        <v>56</v>
      </c>
      <c r="J381" s="108">
        <v>8.6999999999999993</v>
      </c>
      <c r="K381" s="113">
        <v>0.62729999999999997</v>
      </c>
      <c r="L381" s="114" t="s">
        <v>3619</v>
      </c>
      <c r="M381" s="115" t="s">
        <v>3639</v>
      </c>
    </row>
    <row r="382" spans="1:13" ht="15.75" customHeight="1">
      <c r="A382" s="23">
        <v>380</v>
      </c>
      <c r="B382" s="34" t="s">
        <v>3625</v>
      </c>
      <c r="C382" s="24" t="s">
        <v>2202</v>
      </c>
      <c r="D382" s="24" t="s">
        <v>1489</v>
      </c>
      <c r="E382" s="24" t="s">
        <v>2203</v>
      </c>
      <c r="F382" s="25">
        <v>38</v>
      </c>
      <c r="G382" s="25">
        <v>16</v>
      </c>
      <c r="H382" s="25">
        <v>84</v>
      </c>
      <c r="I382" s="22">
        <v>267</v>
      </c>
      <c r="J382" s="112">
        <v>46</v>
      </c>
      <c r="K382" s="113">
        <v>0.6159</v>
      </c>
      <c r="L382" s="114" t="s">
        <v>3619</v>
      </c>
      <c r="M382" s="115" t="s">
        <v>3639</v>
      </c>
    </row>
    <row r="383" spans="1:13" ht="15.75" customHeight="1">
      <c r="A383" s="19">
        <v>381</v>
      </c>
      <c r="B383" s="34" t="s">
        <v>3625</v>
      </c>
      <c r="C383" s="20" t="s">
        <v>1497</v>
      </c>
      <c r="D383" s="20" t="s">
        <v>1493</v>
      </c>
      <c r="E383" s="20" t="s">
        <v>22</v>
      </c>
      <c r="F383" s="21">
        <v>80</v>
      </c>
      <c r="G383" s="21">
        <v>50</v>
      </c>
      <c r="H383" s="21">
        <v>10</v>
      </c>
      <c r="I383" s="22">
        <v>140</v>
      </c>
      <c r="J383" s="108">
        <v>46.7</v>
      </c>
      <c r="K383" s="113">
        <v>0.61450000000000005</v>
      </c>
      <c r="L383" s="114" t="s">
        <v>3619</v>
      </c>
      <c r="M383" s="115" t="s">
        <v>3639</v>
      </c>
    </row>
    <row r="384" spans="1:13" ht="15.75" customHeight="1">
      <c r="A384" s="23">
        <v>382</v>
      </c>
      <c r="B384" s="34" t="s">
        <v>3625</v>
      </c>
      <c r="C384" s="24" t="s">
        <v>2027</v>
      </c>
      <c r="D384" s="24" t="s">
        <v>1463</v>
      </c>
      <c r="E384" s="24" t="s">
        <v>2028</v>
      </c>
      <c r="F384" s="25">
        <v>20</v>
      </c>
      <c r="G384" s="25">
        <v>5</v>
      </c>
      <c r="H384" s="25">
        <v>30</v>
      </c>
      <c r="I384" s="22">
        <v>55</v>
      </c>
      <c r="J384" s="112">
        <v>18.3</v>
      </c>
      <c r="K384" s="113">
        <v>0.56040000000000001</v>
      </c>
      <c r="L384" s="114" t="s">
        <v>3619</v>
      </c>
      <c r="M384" s="115" t="s">
        <v>3639</v>
      </c>
    </row>
    <row r="385" spans="1:13" ht="15.75" customHeight="1">
      <c r="A385" s="19">
        <v>383</v>
      </c>
      <c r="B385" s="34" t="s">
        <v>3625</v>
      </c>
      <c r="C385" s="20" t="s">
        <v>2204</v>
      </c>
      <c r="D385" s="20" t="s">
        <v>1489</v>
      </c>
      <c r="E385" s="20" t="s">
        <v>2205</v>
      </c>
      <c r="F385" s="21">
        <v>55</v>
      </c>
      <c r="G385" s="21">
        <v>156</v>
      </c>
      <c r="H385" s="21">
        <v>67</v>
      </c>
      <c r="I385" s="22">
        <v>428</v>
      </c>
      <c r="J385" s="108">
        <v>92.7</v>
      </c>
      <c r="K385" s="116">
        <v>0.48620000000000002</v>
      </c>
      <c r="L385" s="117" t="s">
        <v>3620</v>
      </c>
      <c r="M385" s="118" t="s">
        <v>3640</v>
      </c>
    </row>
    <row r="386" spans="1:13" ht="15.75" customHeight="1">
      <c r="A386" s="23">
        <v>384</v>
      </c>
      <c r="B386" s="34" t="s">
        <v>3625</v>
      </c>
      <c r="C386" s="24" t="s">
        <v>2213</v>
      </c>
      <c r="D386" s="24" t="s">
        <v>1491</v>
      </c>
      <c r="E386" s="24" t="s">
        <v>2214</v>
      </c>
      <c r="F386" s="25">
        <v>141</v>
      </c>
      <c r="G386" s="25">
        <v>80</v>
      </c>
      <c r="H386" s="25">
        <v>259</v>
      </c>
      <c r="I386" s="22">
        <v>520</v>
      </c>
      <c r="J386" s="112">
        <v>160</v>
      </c>
      <c r="K386" s="116">
        <v>0.46439999999999998</v>
      </c>
      <c r="L386" s="117" t="s">
        <v>3620</v>
      </c>
      <c r="M386" s="118" t="s">
        <v>3640</v>
      </c>
    </row>
    <row r="387" spans="1:13" ht="15.75" customHeight="1">
      <c r="A387" s="19">
        <v>385</v>
      </c>
      <c r="B387" s="34" t="s">
        <v>3625</v>
      </c>
      <c r="C387" s="20" t="s">
        <v>2170</v>
      </c>
      <c r="D387" s="20" t="s">
        <v>1475</v>
      </c>
      <c r="E387" s="20" t="s">
        <v>2171</v>
      </c>
      <c r="F387" s="21">
        <v>310</v>
      </c>
      <c r="G387" s="21">
        <v>687</v>
      </c>
      <c r="H387" s="21">
        <v>264</v>
      </c>
      <c r="I387" s="22">
        <v>1411</v>
      </c>
      <c r="J387" s="108">
        <v>420.3</v>
      </c>
      <c r="K387" s="116">
        <v>0.45079999999999998</v>
      </c>
      <c r="L387" s="117" t="s">
        <v>3620</v>
      </c>
      <c r="M387" s="118" t="s">
        <v>3640</v>
      </c>
    </row>
    <row r="388" spans="1:13" ht="15.75" customHeight="1">
      <c r="A388" s="23">
        <v>386</v>
      </c>
      <c r="B388" s="34" t="s">
        <v>3625</v>
      </c>
      <c r="C388" s="24" t="s">
        <v>2210</v>
      </c>
      <c r="D388" s="24" t="s">
        <v>1491</v>
      </c>
      <c r="E388" s="24" t="s">
        <v>2211</v>
      </c>
      <c r="F388" s="25">
        <v>65</v>
      </c>
      <c r="G388" s="25">
        <v>50</v>
      </c>
      <c r="H388" s="25">
        <v>135</v>
      </c>
      <c r="I388" s="22">
        <v>320</v>
      </c>
      <c r="J388" s="112">
        <v>83.3</v>
      </c>
      <c r="K388" s="116">
        <v>0.44450000000000001</v>
      </c>
      <c r="L388" s="117" t="s">
        <v>3620</v>
      </c>
      <c r="M388" s="118" t="s">
        <v>3640</v>
      </c>
    </row>
    <row r="389" spans="1:13" ht="15.75" customHeight="1">
      <c r="A389" s="19">
        <v>387</v>
      </c>
      <c r="B389" s="34" t="s">
        <v>3625</v>
      </c>
      <c r="C389" s="20" t="s">
        <v>2244</v>
      </c>
      <c r="D389" s="20" t="s">
        <v>1504</v>
      </c>
      <c r="E389" s="20" t="s">
        <v>2245</v>
      </c>
      <c r="F389" s="21">
        <v>75461</v>
      </c>
      <c r="G389" s="21">
        <v>53445</v>
      </c>
      <c r="H389" s="21">
        <v>22164</v>
      </c>
      <c r="I389" s="22">
        <v>169310</v>
      </c>
      <c r="J389" s="108">
        <v>50356.7</v>
      </c>
      <c r="K389" s="116">
        <v>0.43430000000000002</v>
      </c>
      <c r="L389" s="117" t="s">
        <v>3620</v>
      </c>
      <c r="M389" s="118" t="s">
        <v>3640</v>
      </c>
    </row>
    <row r="390" spans="1:13" ht="15.75" customHeight="1">
      <c r="A390" s="23">
        <v>388</v>
      </c>
      <c r="B390" s="34" t="s">
        <v>3625</v>
      </c>
      <c r="C390" s="24" t="s">
        <v>2100</v>
      </c>
      <c r="D390" s="24" t="s">
        <v>1463</v>
      </c>
      <c r="E390" s="24" t="s">
        <v>2101</v>
      </c>
      <c r="F390" s="25">
        <v>228</v>
      </c>
      <c r="G390" s="25">
        <v>117</v>
      </c>
      <c r="H390" s="25">
        <v>90</v>
      </c>
      <c r="I390" s="22">
        <v>455</v>
      </c>
      <c r="J390" s="112">
        <v>145</v>
      </c>
      <c r="K390" s="116">
        <v>0.4118</v>
      </c>
      <c r="L390" s="117" t="s">
        <v>3620</v>
      </c>
      <c r="M390" s="118" t="s">
        <v>3640</v>
      </c>
    </row>
    <row r="391" spans="1:13" ht="15.75" customHeight="1">
      <c r="A391" s="19">
        <v>389</v>
      </c>
      <c r="B391" s="34" t="s">
        <v>3625</v>
      </c>
      <c r="C391" s="20" t="s">
        <v>2119</v>
      </c>
      <c r="D391" s="20" t="s">
        <v>1466</v>
      </c>
      <c r="E391" s="20" t="s">
        <v>2120</v>
      </c>
      <c r="F391" s="21">
        <v>79</v>
      </c>
      <c r="G391" s="21">
        <v>92</v>
      </c>
      <c r="H391" s="21">
        <v>189</v>
      </c>
      <c r="I391" s="22">
        <v>383</v>
      </c>
      <c r="J391" s="108">
        <v>120</v>
      </c>
      <c r="K391" s="116">
        <v>0.40899999999999997</v>
      </c>
      <c r="L391" s="117" t="s">
        <v>3620</v>
      </c>
      <c r="M391" s="118" t="s">
        <v>3640</v>
      </c>
    </row>
    <row r="392" spans="1:13" ht="15.75" customHeight="1">
      <c r="A392" s="23">
        <v>390</v>
      </c>
      <c r="B392" s="34" t="s">
        <v>3625</v>
      </c>
      <c r="C392" s="24" t="s">
        <v>2158</v>
      </c>
      <c r="D392" s="24" t="s">
        <v>1475</v>
      </c>
      <c r="E392" s="24" t="s">
        <v>2159</v>
      </c>
      <c r="F392" s="25">
        <v>144</v>
      </c>
      <c r="G392" s="25">
        <v>386</v>
      </c>
      <c r="H392" s="25">
        <v>419</v>
      </c>
      <c r="I392" s="22">
        <v>949</v>
      </c>
      <c r="J392" s="112">
        <v>316.3</v>
      </c>
      <c r="K392" s="116">
        <v>0.3876</v>
      </c>
      <c r="L392" s="117" t="s">
        <v>3620</v>
      </c>
      <c r="M392" s="118" t="s">
        <v>3640</v>
      </c>
    </row>
    <row r="393" spans="1:13" ht="15.75" customHeight="1">
      <c r="A393" s="19">
        <v>391</v>
      </c>
      <c r="B393" s="34" t="s">
        <v>3625</v>
      </c>
      <c r="C393" s="20" t="s">
        <v>2127</v>
      </c>
      <c r="D393" s="20" t="s">
        <v>1466</v>
      </c>
      <c r="E393" s="20" t="s">
        <v>2128</v>
      </c>
      <c r="F393" s="21">
        <v>153</v>
      </c>
      <c r="G393" s="21">
        <v>429</v>
      </c>
      <c r="H393" s="21">
        <v>320</v>
      </c>
      <c r="I393" s="22">
        <v>932</v>
      </c>
      <c r="J393" s="108">
        <v>300.7</v>
      </c>
      <c r="K393" s="116">
        <v>0.3775</v>
      </c>
      <c r="L393" s="117" t="s">
        <v>3620</v>
      </c>
      <c r="M393" s="118" t="s">
        <v>3640</v>
      </c>
    </row>
    <row r="394" spans="1:13" ht="15.75" customHeight="1">
      <c r="A394" s="23">
        <v>392</v>
      </c>
      <c r="B394" s="34" t="s">
        <v>3625</v>
      </c>
      <c r="C394" s="24" t="s">
        <v>2184</v>
      </c>
      <c r="D394" s="24" t="s">
        <v>1481</v>
      </c>
      <c r="E394" s="24" t="s">
        <v>2185</v>
      </c>
      <c r="F394" s="25">
        <v>110</v>
      </c>
      <c r="G394" s="25">
        <v>65</v>
      </c>
      <c r="H394" s="25">
        <v>45</v>
      </c>
      <c r="I394" s="22">
        <v>220</v>
      </c>
      <c r="J394" s="112">
        <v>73.3</v>
      </c>
      <c r="K394" s="116">
        <v>0.37069999999999997</v>
      </c>
      <c r="L394" s="117" t="s">
        <v>3620</v>
      </c>
      <c r="M394" s="118" t="s">
        <v>3640</v>
      </c>
    </row>
    <row r="395" spans="1:13" ht="15.75" customHeight="1">
      <c r="A395" s="19">
        <v>393</v>
      </c>
      <c r="B395" s="34" t="s">
        <v>3625</v>
      </c>
      <c r="C395" s="20" t="s">
        <v>2125</v>
      </c>
      <c r="D395" s="20" t="s">
        <v>1466</v>
      </c>
      <c r="E395" s="20" t="s">
        <v>2126</v>
      </c>
      <c r="F395" s="21">
        <v>2182</v>
      </c>
      <c r="G395" s="21">
        <v>1570</v>
      </c>
      <c r="H395" s="21">
        <v>867</v>
      </c>
      <c r="I395" s="22">
        <v>4689</v>
      </c>
      <c r="J395" s="108">
        <v>1539.7</v>
      </c>
      <c r="K395" s="116">
        <v>0.34899999999999998</v>
      </c>
      <c r="L395" s="117" t="s">
        <v>3620</v>
      </c>
      <c r="M395" s="118" t="s">
        <v>3640</v>
      </c>
    </row>
    <row r="396" spans="1:13" ht="15.75" customHeight="1">
      <c r="A396" s="23">
        <v>394</v>
      </c>
      <c r="B396" s="34" t="s">
        <v>3625</v>
      </c>
      <c r="C396" s="24" t="s">
        <v>2113</v>
      </c>
      <c r="D396" s="24" t="s">
        <v>1466</v>
      </c>
      <c r="E396" s="24" t="s">
        <v>2114</v>
      </c>
      <c r="F396" s="25">
        <v>85</v>
      </c>
      <c r="G396" s="25">
        <v>175</v>
      </c>
      <c r="H396" s="25">
        <v>218</v>
      </c>
      <c r="I396" s="22">
        <v>728</v>
      </c>
      <c r="J396" s="112">
        <v>159.30000000000001</v>
      </c>
      <c r="K396" s="116">
        <v>0.3478</v>
      </c>
      <c r="L396" s="117" t="s">
        <v>3620</v>
      </c>
      <c r="M396" s="118" t="s">
        <v>3640</v>
      </c>
    </row>
    <row r="397" spans="1:13" ht="15.75" customHeight="1">
      <c r="A397" s="19">
        <v>395</v>
      </c>
      <c r="B397" s="34" t="s">
        <v>3625</v>
      </c>
      <c r="C397" s="20" t="s">
        <v>2242</v>
      </c>
      <c r="D397" s="20" t="s">
        <v>1504</v>
      </c>
      <c r="E397" s="20" t="s">
        <v>2243</v>
      </c>
      <c r="F397" s="21">
        <v>1964</v>
      </c>
      <c r="G397" s="21">
        <v>1355</v>
      </c>
      <c r="H397" s="21">
        <v>813</v>
      </c>
      <c r="I397" s="22">
        <v>4296</v>
      </c>
      <c r="J397" s="108">
        <v>1377.3</v>
      </c>
      <c r="K397" s="116">
        <v>0.34139999999999998</v>
      </c>
      <c r="L397" s="117" t="s">
        <v>3620</v>
      </c>
      <c r="M397" s="118" t="s">
        <v>3640</v>
      </c>
    </row>
    <row r="398" spans="1:13" ht="15.75" customHeight="1">
      <c r="A398" s="23">
        <v>396</v>
      </c>
      <c r="B398" s="34" t="s">
        <v>3625</v>
      </c>
      <c r="C398" s="24" t="s">
        <v>2231</v>
      </c>
      <c r="D398" s="24" t="s">
        <v>1493</v>
      </c>
      <c r="E398" s="24" t="s">
        <v>2232</v>
      </c>
      <c r="F398" s="25">
        <v>2458</v>
      </c>
      <c r="G398" s="25">
        <v>2471</v>
      </c>
      <c r="H398" s="25">
        <v>1090</v>
      </c>
      <c r="I398" s="22">
        <v>7169</v>
      </c>
      <c r="J398" s="112">
        <v>2006.3</v>
      </c>
      <c r="K398" s="116">
        <v>0.32300000000000001</v>
      </c>
      <c r="L398" s="117" t="s">
        <v>3620</v>
      </c>
      <c r="M398" s="118" t="s">
        <v>3640</v>
      </c>
    </row>
    <row r="399" spans="1:13" ht="15.75" customHeight="1">
      <c r="A399" s="19">
        <v>397</v>
      </c>
      <c r="B399" s="34" t="s">
        <v>3625</v>
      </c>
      <c r="C399" s="20" t="s">
        <v>2162</v>
      </c>
      <c r="D399" s="20" t="s">
        <v>1475</v>
      </c>
      <c r="E399" s="20" t="s">
        <v>2163</v>
      </c>
      <c r="F399" s="21">
        <v>282</v>
      </c>
      <c r="G399" s="21">
        <v>241</v>
      </c>
      <c r="H399" s="21">
        <v>120</v>
      </c>
      <c r="I399" s="22">
        <v>776</v>
      </c>
      <c r="J399" s="108">
        <v>214.3</v>
      </c>
      <c r="K399" s="116">
        <v>0.32090000000000002</v>
      </c>
      <c r="L399" s="117" t="s">
        <v>3620</v>
      </c>
      <c r="M399" s="118" t="s">
        <v>3640</v>
      </c>
    </row>
    <row r="400" spans="1:13" ht="15.75" customHeight="1">
      <c r="A400" s="23">
        <v>398</v>
      </c>
      <c r="B400" s="34" t="s">
        <v>3625</v>
      </c>
      <c r="C400" s="24" t="s">
        <v>2227</v>
      </c>
      <c r="D400" s="24" t="s">
        <v>1493</v>
      </c>
      <c r="E400" s="24" t="s">
        <v>2228</v>
      </c>
      <c r="F400" s="25">
        <v>2460</v>
      </c>
      <c r="G400" s="25">
        <v>1315</v>
      </c>
      <c r="H400" s="25">
        <v>1323</v>
      </c>
      <c r="I400" s="22">
        <v>5278</v>
      </c>
      <c r="J400" s="112">
        <v>1699.3</v>
      </c>
      <c r="K400" s="116">
        <v>0.3165</v>
      </c>
      <c r="L400" s="117" t="s">
        <v>3620</v>
      </c>
      <c r="M400" s="118" t="s">
        <v>3640</v>
      </c>
    </row>
    <row r="401" spans="1:13" ht="15.75" customHeight="1">
      <c r="A401" s="19">
        <v>399</v>
      </c>
      <c r="B401" s="34" t="s">
        <v>3625</v>
      </c>
      <c r="C401" s="20" t="s">
        <v>2215</v>
      </c>
      <c r="D401" s="20" t="s">
        <v>1491</v>
      </c>
      <c r="E401" s="20" t="s">
        <v>2216</v>
      </c>
      <c r="F401" s="21">
        <v>105</v>
      </c>
      <c r="G401" s="21">
        <v>60</v>
      </c>
      <c r="H401" s="21">
        <v>133</v>
      </c>
      <c r="I401" s="22">
        <v>363</v>
      </c>
      <c r="J401" s="108">
        <v>99.3</v>
      </c>
      <c r="K401" s="116">
        <v>0.30270000000000002</v>
      </c>
      <c r="L401" s="117" t="s">
        <v>3620</v>
      </c>
      <c r="M401" s="118" t="s">
        <v>3640</v>
      </c>
    </row>
    <row r="402" spans="1:13" ht="15.75" customHeight="1">
      <c r="A402" s="23">
        <v>400</v>
      </c>
      <c r="B402" s="34" t="s">
        <v>3625</v>
      </c>
      <c r="C402" s="24" t="s">
        <v>2131</v>
      </c>
      <c r="D402" s="24" t="s">
        <v>1466</v>
      </c>
      <c r="E402" s="24" t="s">
        <v>2132</v>
      </c>
      <c r="F402" s="25">
        <v>160</v>
      </c>
      <c r="G402" s="25">
        <v>345</v>
      </c>
      <c r="H402" s="25">
        <v>250</v>
      </c>
      <c r="I402" s="22">
        <v>777</v>
      </c>
      <c r="J402" s="112">
        <v>251.7</v>
      </c>
      <c r="K402" s="116">
        <v>0.30009999999999998</v>
      </c>
      <c r="L402" s="117" t="s">
        <v>3620</v>
      </c>
      <c r="M402" s="118" t="s">
        <v>3640</v>
      </c>
    </row>
    <row r="403" spans="1:13" ht="15.75" customHeight="1">
      <c r="A403" s="19">
        <v>401</v>
      </c>
      <c r="B403" s="34" t="s">
        <v>3625</v>
      </c>
      <c r="C403" s="20" t="s">
        <v>2137</v>
      </c>
      <c r="D403" s="20" t="s">
        <v>1471</v>
      </c>
      <c r="E403" s="20" t="s">
        <v>2138</v>
      </c>
      <c r="F403" s="21">
        <v>325</v>
      </c>
      <c r="G403" s="21">
        <v>180</v>
      </c>
      <c r="H403" s="21">
        <v>180</v>
      </c>
      <c r="I403" s="22">
        <v>715</v>
      </c>
      <c r="J403" s="108">
        <v>228.3</v>
      </c>
      <c r="K403" s="116">
        <v>0.2994</v>
      </c>
      <c r="L403" s="117" t="s">
        <v>3620</v>
      </c>
      <c r="M403" s="118" t="s">
        <v>3640</v>
      </c>
    </row>
    <row r="404" spans="1:13" ht="15.75" customHeight="1">
      <c r="A404" s="23">
        <v>402</v>
      </c>
      <c r="B404" s="34" t="s">
        <v>3625</v>
      </c>
      <c r="C404" s="24" t="s">
        <v>2141</v>
      </c>
      <c r="D404" s="24" t="s">
        <v>1471</v>
      </c>
      <c r="E404" s="24" t="s">
        <v>2142</v>
      </c>
      <c r="F404" s="25">
        <v>40</v>
      </c>
      <c r="G404" s="25">
        <v>66</v>
      </c>
      <c r="H404" s="25">
        <v>84</v>
      </c>
      <c r="I404" s="22">
        <v>190</v>
      </c>
      <c r="J404" s="112">
        <v>63.3</v>
      </c>
      <c r="K404" s="116">
        <v>0.28520000000000001</v>
      </c>
      <c r="L404" s="117" t="s">
        <v>3620</v>
      </c>
      <c r="M404" s="118" t="s">
        <v>3640</v>
      </c>
    </row>
    <row r="405" spans="1:13" ht="15.75" customHeight="1">
      <c r="A405" s="19">
        <v>403</v>
      </c>
      <c r="B405" s="34" t="s">
        <v>3625</v>
      </c>
      <c r="C405" s="20" t="s">
        <v>2264</v>
      </c>
      <c r="D405" s="20" t="s">
        <v>1504</v>
      </c>
      <c r="E405" s="20" t="s">
        <v>2265</v>
      </c>
      <c r="F405" s="21">
        <v>105</v>
      </c>
      <c r="G405" s="21">
        <v>215</v>
      </c>
      <c r="H405" s="21">
        <v>204</v>
      </c>
      <c r="I405" s="22">
        <v>524</v>
      </c>
      <c r="J405" s="108">
        <v>174.7</v>
      </c>
      <c r="K405" s="116">
        <v>0.28320000000000001</v>
      </c>
      <c r="L405" s="117" t="s">
        <v>3620</v>
      </c>
      <c r="M405" s="118" t="s">
        <v>3640</v>
      </c>
    </row>
    <row r="406" spans="1:13" ht="15.75" customHeight="1">
      <c r="A406" s="23">
        <v>404</v>
      </c>
      <c r="B406" s="34" t="s">
        <v>3625</v>
      </c>
      <c r="C406" s="24" t="s">
        <v>2156</v>
      </c>
      <c r="D406" s="24" t="s">
        <v>1475</v>
      </c>
      <c r="E406" s="24" t="s">
        <v>1911</v>
      </c>
      <c r="F406" s="25">
        <v>3223</v>
      </c>
      <c r="G406" s="25">
        <v>2109</v>
      </c>
      <c r="H406" s="25">
        <v>1689</v>
      </c>
      <c r="I406" s="22">
        <v>7640</v>
      </c>
      <c r="J406" s="112">
        <v>2340.3000000000002</v>
      </c>
      <c r="K406" s="116">
        <v>0.27660000000000001</v>
      </c>
      <c r="L406" s="117" t="s">
        <v>3620</v>
      </c>
      <c r="M406" s="118" t="s">
        <v>3640</v>
      </c>
    </row>
    <row r="407" spans="1:13" ht="15.75" customHeight="1">
      <c r="A407" s="19">
        <v>405</v>
      </c>
      <c r="B407" s="34" t="s">
        <v>3625</v>
      </c>
      <c r="C407" s="20" t="s">
        <v>2086</v>
      </c>
      <c r="D407" s="20" t="s">
        <v>1460</v>
      </c>
      <c r="E407" s="20" t="s">
        <v>2087</v>
      </c>
      <c r="F407" s="21">
        <v>556</v>
      </c>
      <c r="G407" s="21">
        <v>282</v>
      </c>
      <c r="H407" s="21">
        <v>469</v>
      </c>
      <c r="I407" s="22">
        <v>1407</v>
      </c>
      <c r="J407" s="108">
        <v>435.7</v>
      </c>
      <c r="K407" s="116">
        <v>0.26240000000000002</v>
      </c>
      <c r="L407" s="117" t="s">
        <v>3620</v>
      </c>
      <c r="M407" s="118" t="s">
        <v>3640</v>
      </c>
    </row>
    <row r="408" spans="1:13" ht="15.75" customHeight="1">
      <c r="A408" s="23">
        <v>406</v>
      </c>
      <c r="B408" s="34" t="s">
        <v>3625</v>
      </c>
      <c r="C408" s="24" t="s">
        <v>1498</v>
      </c>
      <c r="D408" s="24" t="s">
        <v>1493</v>
      </c>
      <c r="E408" s="24" t="s">
        <v>45</v>
      </c>
      <c r="F408" s="25">
        <v>225</v>
      </c>
      <c r="G408" s="25">
        <v>150</v>
      </c>
      <c r="H408" s="25">
        <v>123</v>
      </c>
      <c r="I408" s="22">
        <v>529</v>
      </c>
      <c r="J408" s="112">
        <v>166</v>
      </c>
      <c r="K408" s="116">
        <v>0.25990000000000002</v>
      </c>
      <c r="L408" s="117" t="s">
        <v>3620</v>
      </c>
      <c r="M408" s="118" t="s">
        <v>3640</v>
      </c>
    </row>
    <row r="409" spans="1:13" ht="15.75" customHeight="1">
      <c r="A409" s="19">
        <v>407</v>
      </c>
      <c r="B409" s="34" t="s">
        <v>3625</v>
      </c>
      <c r="C409" s="20" t="s">
        <v>2160</v>
      </c>
      <c r="D409" s="20" t="s">
        <v>1475</v>
      </c>
      <c r="E409" s="20" t="s">
        <v>2161</v>
      </c>
      <c r="F409" s="21">
        <v>1151</v>
      </c>
      <c r="G409" s="21">
        <v>1055</v>
      </c>
      <c r="H409" s="21">
        <v>597</v>
      </c>
      <c r="I409" s="22">
        <v>3207</v>
      </c>
      <c r="J409" s="108">
        <v>934.3</v>
      </c>
      <c r="K409" s="116">
        <v>0.25869999999999999</v>
      </c>
      <c r="L409" s="117" t="s">
        <v>3620</v>
      </c>
      <c r="M409" s="118" t="s">
        <v>3640</v>
      </c>
    </row>
    <row r="410" spans="1:13" ht="15.75" customHeight="1">
      <c r="A410" s="23">
        <v>408</v>
      </c>
      <c r="B410" s="34" t="s">
        <v>3625</v>
      </c>
      <c r="C410" s="24" t="s">
        <v>2217</v>
      </c>
      <c r="D410" s="24" t="s">
        <v>1491</v>
      </c>
      <c r="E410" s="24" t="s">
        <v>2218</v>
      </c>
      <c r="F410" s="25">
        <v>74</v>
      </c>
      <c r="G410" s="25">
        <v>73</v>
      </c>
      <c r="H410" s="25">
        <v>40</v>
      </c>
      <c r="I410" s="22">
        <v>262</v>
      </c>
      <c r="J410" s="112">
        <v>62.3</v>
      </c>
      <c r="K410" s="116">
        <v>0.25340000000000001</v>
      </c>
      <c r="L410" s="117" t="s">
        <v>3620</v>
      </c>
      <c r="M410" s="118" t="s">
        <v>3640</v>
      </c>
    </row>
    <row r="411" spans="1:13" ht="15.75" customHeight="1">
      <c r="A411" s="19">
        <v>409</v>
      </c>
      <c r="B411" s="34" t="s">
        <v>3625</v>
      </c>
      <c r="C411" s="20" t="s">
        <v>2239</v>
      </c>
      <c r="D411" s="20" t="s">
        <v>1504</v>
      </c>
      <c r="E411" s="20" t="s">
        <v>2240</v>
      </c>
      <c r="F411" s="21">
        <v>5647</v>
      </c>
      <c r="G411" s="21">
        <v>4649</v>
      </c>
      <c r="H411" s="21">
        <v>3008</v>
      </c>
      <c r="I411" s="22">
        <v>14444</v>
      </c>
      <c r="J411" s="108">
        <v>4434.7</v>
      </c>
      <c r="K411" s="116">
        <v>0.24529999999999999</v>
      </c>
      <c r="L411" s="117" t="s">
        <v>3620</v>
      </c>
      <c r="M411" s="118" t="s">
        <v>3640</v>
      </c>
    </row>
    <row r="412" spans="1:13" ht="15.75" customHeight="1">
      <c r="A412" s="23">
        <v>410</v>
      </c>
      <c r="B412" s="34" t="s">
        <v>3625</v>
      </c>
      <c r="C412" s="24" t="s">
        <v>2115</v>
      </c>
      <c r="D412" s="24" t="s">
        <v>1466</v>
      </c>
      <c r="E412" s="24" t="s">
        <v>2116</v>
      </c>
      <c r="F412" s="25">
        <v>1493</v>
      </c>
      <c r="G412" s="25">
        <v>1149</v>
      </c>
      <c r="H412" s="25">
        <v>835</v>
      </c>
      <c r="I412" s="22">
        <v>3612</v>
      </c>
      <c r="J412" s="112">
        <v>1159</v>
      </c>
      <c r="K412" s="116">
        <v>0.2319</v>
      </c>
      <c r="L412" s="117" t="s">
        <v>3620</v>
      </c>
      <c r="M412" s="118" t="s">
        <v>3640</v>
      </c>
    </row>
    <row r="413" spans="1:13" ht="15.75" customHeight="1">
      <c r="A413" s="19">
        <v>411</v>
      </c>
      <c r="B413" s="34" t="s">
        <v>3625</v>
      </c>
      <c r="C413" s="20" t="s">
        <v>2200</v>
      </c>
      <c r="D413" s="20" t="s">
        <v>1489</v>
      </c>
      <c r="E413" s="20" t="s">
        <v>2201</v>
      </c>
      <c r="F413" s="21">
        <v>152</v>
      </c>
      <c r="G413" s="21">
        <v>205</v>
      </c>
      <c r="H413" s="21">
        <v>270</v>
      </c>
      <c r="I413" s="22">
        <v>786</v>
      </c>
      <c r="J413" s="108">
        <v>209</v>
      </c>
      <c r="K413" s="116">
        <v>0.23089999999999999</v>
      </c>
      <c r="L413" s="117" t="s">
        <v>3620</v>
      </c>
      <c r="M413" s="118" t="s">
        <v>3640</v>
      </c>
    </row>
    <row r="414" spans="1:13" ht="15.75" customHeight="1">
      <c r="A414" s="23">
        <v>412</v>
      </c>
      <c r="B414" s="34" t="s">
        <v>3625</v>
      </c>
      <c r="C414" s="24" t="s">
        <v>2174</v>
      </c>
      <c r="D414" s="24" t="s">
        <v>1475</v>
      </c>
      <c r="E414" s="24" t="s">
        <v>2175</v>
      </c>
      <c r="F414" s="25">
        <v>169</v>
      </c>
      <c r="G414" s="25">
        <v>120</v>
      </c>
      <c r="H414" s="25">
        <v>212</v>
      </c>
      <c r="I414" s="22">
        <v>631</v>
      </c>
      <c r="J414" s="112">
        <v>167</v>
      </c>
      <c r="K414" s="116">
        <v>0.22509999999999999</v>
      </c>
      <c r="L414" s="117" t="s">
        <v>3620</v>
      </c>
      <c r="M414" s="118" t="s">
        <v>3640</v>
      </c>
    </row>
    <row r="415" spans="1:13" ht="15.75" customHeight="1">
      <c r="A415" s="19">
        <v>413</v>
      </c>
      <c r="B415" s="34" t="s">
        <v>3625</v>
      </c>
      <c r="C415" s="20" t="s">
        <v>2254</v>
      </c>
      <c r="D415" s="20" t="s">
        <v>1504</v>
      </c>
      <c r="E415" s="20" t="s">
        <v>2255</v>
      </c>
      <c r="F415" s="21">
        <v>550</v>
      </c>
      <c r="G415" s="21">
        <v>805</v>
      </c>
      <c r="H415" s="21">
        <v>490</v>
      </c>
      <c r="I415" s="22">
        <v>1845</v>
      </c>
      <c r="J415" s="108">
        <v>615</v>
      </c>
      <c r="K415" s="116">
        <v>0.22209999999999999</v>
      </c>
      <c r="L415" s="117" t="s">
        <v>3620</v>
      </c>
      <c r="M415" s="118" t="s">
        <v>3640</v>
      </c>
    </row>
    <row r="416" spans="1:13" ht="15.75" customHeight="1">
      <c r="A416" s="23">
        <v>414</v>
      </c>
      <c r="B416" s="34" t="s">
        <v>3625</v>
      </c>
      <c r="C416" s="24" t="s">
        <v>2088</v>
      </c>
      <c r="D416" s="24" t="s">
        <v>1460</v>
      </c>
      <c r="E416" s="24" t="s">
        <v>2089</v>
      </c>
      <c r="F416" s="25">
        <v>330</v>
      </c>
      <c r="G416" s="25">
        <v>201</v>
      </c>
      <c r="H416" s="25">
        <v>305</v>
      </c>
      <c r="I416" s="22">
        <v>846</v>
      </c>
      <c r="J416" s="112">
        <v>278.7</v>
      </c>
      <c r="K416" s="116">
        <v>0.20050000000000001</v>
      </c>
      <c r="L416" s="117" t="s">
        <v>3620</v>
      </c>
      <c r="M416" s="118" t="s">
        <v>3640</v>
      </c>
    </row>
    <row r="417" spans="1:13" ht="15.75" customHeight="1">
      <c r="A417" s="19">
        <v>415</v>
      </c>
      <c r="B417" s="34" t="s">
        <v>3625</v>
      </c>
      <c r="C417" s="20" t="s">
        <v>2198</v>
      </c>
      <c r="D417" s="20" t="s">
        <v>1489</v>
      </c>
      <c r="E417" s="20" t="s">
        <v>2199</v>
      </c>
      <c r="F417" s="21">
        <v>440</v>
      </c>
      <c r="G417" s="21">
        <v>345</v>
      </c>
      <c r="H417" s="21">
        <v>558</v>
      </c>
      <c r="I417" s="22">
        <v>1796</v>
      </c>
      <c r="J417" s="108">
        <v>447.7</v>
      </c>
      <c r="K417" s="116">
        <v>0.1946</v>
      </c>
      <c r="L417" s="117" t="s">
        <v>3620</v>
      </c>
      <c r="M417" s="118" t="s">
        <v>3640</v>
      </c>
    </row>
    <row r="418" spans="1:13" ht="15.75" customHeight="1">
      <c r="A418" s="23">
        <v>416</v>
      </c>
      <c r="B418" s="34" t="s">
        <v>3625</v>
      </c>
      <c r="C418" s="24" t="s">
        <v>2168</v>
      </c>
      <c r="D418" s="24" t="s">
        <v>1475</v>
      </c>
      <c r="E418" s="24" t="s">
        <v>2169</v>
      </c>
      <c r="F418" s="25">
        <v>982</v>
      </c>
      <c r="G418" s="25">
        <v>1110</v>
      </c>
      <c r="H418" s="25">
        <v>718</v>
      </c>
      <c r="I418" s="22">
        <v>3080</v>
      </c>
      <c r="J418" s="112">
        <v>936.7</v>
      </c>
      <c r="K418" s="116">
        <v>0.17419999999999999</v>
      </c>
      <c r="L418" s="117" t="s">
        <v>3620</v>
      </c>
      <c r="M418" s="118" t="s">
        <v>3640</v>
      </c>
    </row>
    <row r="419" spans="1:13" ht="15.75" customHeight="1">
      <c r="A419" s="19">
        <v>417</v>
      </c>
      <c r="B419" s="34" t="s">
        <v>3625</v>
      </c>
      <c r="C419" s="20" t="s">
        <v>2153</v>
      </c>
      <c r="D419" s="20" t="s">
        <v>1475</v>
      </c>
      <c r="E419" s="20" t="s">
        <v>2154</v>
      </c>
      <c r="F419" s="21">
        <v>1887</v>
      </c>
      <c r="G419" s="21">
        <v>1278</v>
      </c>
      <c r="H419" s="21">
        <v>1741</v>
      </c>
      <c r="I419" s="22">
        <v>5730</v>
      </c>
      <c r="J419" s="108">
        <v>1635.3</v>
      </c>
      <c r="K419" s="116">
        <v>0.15870000000000001</v>
      </c>
      <c r="L419" s="117" t="s">
        <v>3620</v>
      </c>
      <c r="M419" s="118" t="s">
        <v>3640</v>
      </c>
    </row>
    <row r="420" spans="1:13" ht="15.75" customHeight="1">
      <c r="A420" s="23">
        <v>418</v>
      </c>
      <c r="B420" s="34" t="s">
        <v>3625</v>
      </c>
      <c r="C420" s="24" t="s">
        <v>2233</v>
      </c>
      <c r="D420" s="24" t="s">
        <v>1493</v>
      </c>
      <c r="E420" s="24" t="s">
        <v>2234</v>
      </c>
      <c r="F420" s="25">
        <v>7785</v>
      </c>
      <c r="G420" s="25">
        <v>5769</v>
      </c>
      <c r="H420" s="25">
        <v>8230</v>
      </c>
      <c r="I420" s="22">
        <v>28494</v>
      </c>
      <c r="J420" s="112">
        <v>7261.3</v>
      </c>
      <c r="K420" s="116">
        <v>0.14749999999999999</v>
      </c>
      <c r="L420" s="117" t="s">
        <v>3620</v>
      </c>
      <c r="M420" s="118" t="s">
        <v>3640</v>
      </c>
    </row>
    <row r="421" spans="1:13" ht="15.75" customHeight="1">
      <c r="A421" s="19">
        <v>419</v>
      </c>
      <c r="B421" s="34" t="s">
        <v>3625</v>
      </c>
      <c r="C421" s="20" t="s">
        <v>2104</v>
      </c>
      <c r="D421" s="20" t="s">
        <v>1466</v>
      </c>
      <c r="E421" s="20" t="s">
        <v>2105</v>
      </c>
      <c r="F421" s="21">
        <v>2467</v>
      </c>
      <c r="G421" s="21">
        <v>1988</v>
      </c>
      <c r="H421" s="21">
        <v>1775</v>
      </c>
      <c r="I421" s="22">
        <v>6905</v>
      </c>
      <c r="J421" s="108">
        <v>2076.6999999999998</v>
      </c>
      <c r="K421" s="116">
        <v>0.13930000000000001</v>
      </c>
      <c r="L421" s="117" t="s">
        <v>3620</v>
      </c>
      <c r="M421" s="118" t="s">
        <v>3640</v>
      </c>
    </row>
    <row r="422" spans="1:13" ht="15.75" customHeight="1">
      <c r="A422" s="23">
        <v>420</v>
      </c>
      <c r="B422" s="34" t="s">
        <v>3625</v>
      </c>
      <c r="C422" s="24" t="s">
        <v>2258</v>
      </c>
      <c r="D422" s="24" t="s">
        <v>1504</v>
      </c>
      <c r="E422" s="24" t="s">
        <v>2259</v>
      </c>
      <c r="F422" s="25">
        <v>890</v>
      </c>
      <c r="G422" s="25">
        <v>660</v>
      </c>
      <c r="H422" s="25">
        <v>746</v>
      </c>
      <c r="I422" s="22">
        <v>2390</v>
      </c>
      <c r="J422" s="112">
        <v>765.3</v>
      </c>
      <c r="K422" s="116">
        <v>0.124</v>
      </c>
      <c r="L422" s="117" t="s">
        <v>3620</v>
      </c>
      <c r="M422" s="118" t="s">
        <v>3640</v>
      </c>
    </row>
    <row r="423" spans="1:13" ht="15.75" customHeight="1">
      <c r="A423" s="19">
        <v>421</v>
      </c>
      <c r="B423" s="34" t="s">
        <v>3625</v>
      </c>
      <c r="C423" s="20" t="s">
        <v>2196</v>
      </c>
      <c r="D423" s="20" t="s">
        <v>1489</v>
      </c>
      <c r="E423" s="20" t="s">
        <v>2197</v>
      </c>
      <c r="F423" s="21">
        <v>235</v>
      </c>
      <c r="G423" s="21">
        <v>292</v>
      </c>
      <c r="H423" s="21">
        <v>316</v>
      </c>
      <c r="I423" s="22">
        <v>1188</v>
      </c>
      <c r="J423" s="108">
        <v>281</v>
      </c>
      <c r="K423" s="116">
        <v>0.12089999999999999</v>
      </c>
      <c r="L423" s="117" t="s">
        <v>3620</v>
      </c>
      <c r="M423" s="118" t="s">
        <v>3640</v>
      </c>
    </row>
    <row r="424" spans="1:13" ht="15.75" customHeight="1">
      <c r="A424" s="23">
        <v>422</v>
      </c>
      <c r="B424" s="34" t="s">
        <v>3625</v>
      </c>
      <c r="C424" s="24" t="s">
        <v>2107</v>
      </c>
      <c r="D424" s="24" t="s">
        <v>1466</v>
      </c>
      <c r="E424" s="24" t="s">
        <v>2108</v>
      </c>
      <c r="F424" s="25">
        <v>2793</v>
      </c>
      <c r="G424" s="25">
        <v>2454</v>
      </c>
      <c r="H424" s="25">
        <v>2137</v>
      </c>
      <c r="I424" s="22">
        <v>7679</v>
      </c>
      <c r="J424" s="112">
        <v>2461.3000000000002</v>
      </c>
      <c r="K424" s="116">
        <v>0.10879999999999999</v>
      </c>
      <c r="L424" s="117" t="s">
        <v>3620</v>
      </c>
      <c r="M424" s="118" t="s">
        <v>3640</v>
      </c>
    </row>
    <row r="425" spans="1:13" ht="15.75" customHeight="1">
      <c r="A425" s="19">
        <v>423</v>
      </c>
      <c r="B425" s="34" t="s">
        <v>3625</v>
      </c>
      <c r="C425" s="20" t="s">
        <v>2082</v>
      </c>
      <c r="D425" s="20" t="s">
        <v>1460</v>
      </c>
      <c r="E425" s="20" t="s">
        <v>2083</v>
      </c>
      <c r="F425" s="21">
        <v>274</v>
      </c>
      <c r="G425" s="21">
        <v>260</v>
      </c>
      <c r="H425" s="21">
        <v>220</v>
      </c>
      <c r="I425" s="22">
        <v>847</v>
      </c>
      <c r="J425" s="108">
        <v>251.3</v>
      </c>
      <c r="K425" s="116">
        <v>9.0999999999999998E-2</v>
      </c>
      <c r="L425" s="117" t="s">
        <v>3620</v>
      </c>
      <c r="M425" s="118" t="s">
        <v>3640</v>
      </c>
    </row>
    <row r="426" spans="1:13" ht="15.75" customHeight="1">
      <c r="A426" s="23">
        <v>424</v>
      </c>
      <c r="B426" s="34" t="s">
        <v>3625</v>
      </c>
      <c r="C426" s="24" t="s">
        <v>2192</v>
      </c>
      <c r="D426" s="24" t="s">
        <v>1481</v>
      </c>
      <c r="E426" s="24" t="s">
        <v>2193</v>
      </c>
      <c r="F426" s="25">
        <v>2274</v>
      </c>
      <c r="G426" s="25">
        <v>1830</v>
      </c>
      <c r="H426" s="25">
        <v>2015</v>
      </c>
      <c r="I426" s="22">
        <v>6599</v>
      </c>
      <c r="J426" s="112">
        <v>2039.7</v>
      </c>
      <c r="K426" s="116">
        <v>8.9300000000000004E-2</v>
      </c>
      <c r="L426" s="117" t="s">
        <v>3620</v>
      </c>
      <c r="M426" s="118" t="s">
        <v>3640</v>
      </c>
    </row>
    <row r="427" spans="1:13" ht="15.75" customHeight="1">
      <c r="A427" s="19">
        <v>425</v>
      </c>
      <c r="B427" s="34" t="s">
        <v>3625</v>
      </c>
      <c r="C427" s="20" t="s">
        <v>2176</v>
      </c>
      <c r="D427" s="20" t="s">
        <v>1475</v>
      </c>
      <c r="E427" s="20" t="s">
        <v>2177</v>
      </c>
      <c r="F427" s="21">
        <v>162</v>
      </c>
      <c r="G427" s="21">
        <v>138</v>
      </c>
      <c r="H427" s="21">
        <v>140</v>
      </c>
      <c r="I427" s="22">
        <v>480</v>
      </c>
      <c r="J427" s="108">
        <v>146.69999999999999</v>
      </c>
      <c r="K427" s="116">
        <v>7.4099999999999999E-2</v>
      </c>
      <c r="L427" s="117" t="s">
        <v>3620</v>
      </c>
      <c r="M427" s="118" t="s">
        <v>3640</v>
      </c>
    </row>
    <row r="428" spans="1:13" ht="15.75" customHeight="1">
      <c r="A428" s="23">
        <v>426</v>
      </c>
      <c r="B428" s="34" t="s">
        <v>3625</v>
      </c>
      <c r="C428" s="24" t="s">
        <v>2164</v>
      </c>
      <c r="D428" s="24" t="s">
        <v>1475</v>
      </c>
      <c r="E428" s="24" t="s">
        <v>2165</v>
      </c>
      <c r="F428" s="25">
        <v>168</v>
      </c>
      <c r="G428" s="25">
        <v>183</v>
      </c>
      <c r="H428" s="25">
        <v>160</v>
      </c>
      <c r="I428" s="22">
        <v>521</v>
      </c>
      <c r="J428" s="112">
        <v>170.3</v>
      </c>
      <c r="K428" s="116">
        <v>5.6000000000000001E-2</v>
      </c>
      <c r="L428" s="117" t="s">
        <v>3620</v>
      </c>
      <c r="M428" s="118" t="s">
        <v>3640</v>
      </c>
    </row>
    <row r="429" spans="1:13" ht="15.75" customHeight="1">
      <c r="A429" s="19">
        <v>427</v>
      </c>
      <c r="B429" s="34" t="s">
        <v>3625</v>
      </c>
      <c r="C429" s="20" t="s">
        <v>2206</v>
      </c>
      <c r="D429" s="20" t="s">
        <v>1489</v>
      </c>
      <c r="E429" s="20" t="s">
        <v>2207</v>
      </c>
      <c r="F429" s="21">
        <v>30</v>
      </c>
      <c r="G429" s="21">
        <v>20</v>
      </c>
      <c r="H429" s="21">
        <v>55</v>
      </c>
      <c r="I429" s="22">
        <v>165</v>
      </c>
      <c r="J429" s="108">
        <v>35</v>
      </c>
      <c r="K429" s="119">
        <v>0.42059999999999997</v>
      </c>
      <c r="L429" s="120" t="s">
        <v>3621</v>
      </c>
      <c r="M429" s="121" t="s">
        <v>3641</v>
      </c>
    </row>
    <row r="430" spans="1:13" ht="15.75" customHeight="1">
      <c r="A430" s="23">
        <v>428</v>
      </c>
      <c r="B430" s="34" t="s">
        <v>3625</v>
      </c>
      <c r="C430" s="24" t="s">
        <v>2194</v>
      </c>
      <c r="D430" s="24" t="s">
        <v>1481</v>
      </c>
      <c r="E430" s="24" t="s">
        <v>2195</v>
      </c>
      <c r="F430" s="25">
        <v>50</v>
      </c>
      <c r="G430" s="25">
        <v>65</v>
      </c>
      <c r="H430" s="25">
        <v>20</v>
      </c>
      <c r="I430" s="22">
        <v>135</v>
      </c>
      <c r="J430" s="112">
        <v>45</v>
      </c>
      <c r="K430" s="119">
        <v>0.41570000000000001</v>
      </c>
      <c r="L430" s="120" t="s">
        <v>3621</v>
      </c>
      <c r="M430" s="121" t="s">
        <v>3641</v>
      </c>
    </row>
    <row r="431" spans="1:13" ht="15.75" customHeight="1">
      <c r="A431" s="19">
        <v>429</v>
      </c>
      <c r="B431" s="34" t="s">
        <v>3625</v>
      </c>
      <c r="C431" s="20" t="s">
        <v>2057</v>
      </c>
      <c r="D431" s="20" t="s">
        <v>1489</v>
      </c>
      <c r="E431" s="20" t="s">
        <v>2058</v>
      </c>
      <c r="F431" s="21">
        <v>25</v>
      </c>
      <c r="G431" s="21">
        <v>10</v>
      </c>
      <c r="H431" s="21">
        <v>20</v>
      </c>
      <c r="I431" s="22">
        <v>67</v>
      </c>
      <c r="J431" s="108">
        <v>18.3</v>
      </c>
      <c r="K431" s="119">
        <v>0.3402</v>
      </c>
      <c r="L431" s="120" t="s">
        <v>3621</v>
      </c>
      <c r="M431" s="121" t="s">
        <v>3641</v>
      </c>
    </row>
    <row r="432" spans="1:13" ht="15.75" customHeight="1">
      <c r="A432" s="23">
        <v>430</v>
      </c>
      <c r="B432" s="34" t="s">
        <v>3625</v>
      </c>
      <c r="C432" s="24" t="s">
        <v>2292</v>
      </c>
      <c r="D432" s="24" t="s">
        <v>2273</v>
      </c>
      <c r="E432" s="24" t="s">
        <v>1911</v>
      </c>
      <c r="F432" s="25">
        <v>60</v>
      </c>
      <c r="G432" s="25">
        <v>51</v>
      </c>
      <c r="H432" s="25">
        <v>27</v>
      </c>
      <c r="I432" s="22">
        <v>144</v>
      </c>
      <c r="J432" s="112">
        <v>46</v>
      </c>
      <c r="K432" s="119">
        <v>0.30280000000000001</v>
      </c>
      <c r="L432" s="120" t="s">
        <v>3621</v>
      </c>
      <c r="M432" s="121" t="s">
        <v>3641</v>
      </c>
    </row>
    <row r="433" spans="1:13" ht="15.75" customHeight="1">
      <c r="A433" s="19">
        <v>431</v>
      </c>
      <c r="B433" s="34" t="s">
        <v>3625</v>
      </c>
      <c r="C433" s="20" t="s">
        <v>2166</v>
      </c>
      <c r="D433" s="20" t="s">
        <v>1475</v>
      </c>
      <c r="E433" s="20" t="s">
        <v>2167</v>
      </c>
      <c r="F433" s="21">
        <v>59</v>
      </c>
      <c r="G433" s="21">
        <v>52</v>
      </c>
      <c r="H433" s="21">
        <v>42</v>
      </c>
      <c r="I433" s="22">
        <v>185</v>
      </c>
      <c r="J433" s="108">
        <v>51</v>
      </c>
      <c r="K433" s="119">
        <v>0.1368</v>
      </c>
      <c r="L433" s="120" t="s">
        <v>3621</v>
      </c>
      <c r="M433" s="121" t="s">
        <v>3641</v>
      </c>
    </row>
    <row r="434" spans="1:13" ht="15.75" customHeight="1">
      <c r="A434" s="23">
        <v>432</v>
      </c>
      <c r="B434" s="34" t="s">
        <v>3625</v>
      </c>
      <c r="C434" s="24" t="s">
        <v>2017</v>
      </c>
      <c r="D434" s="24" t="s">
        <v>1460</v>
      </c>
      <c r="E434" s="24" t="s">
        <v>2018</v>
      </c>
      <c r="F434" s="25">
        <v>35</v>
      </c>
      <c r="G434" s="25">
        <v>30</v>
      </c>
      <c r="H434" s="25">
        <v>40</v>
      </c>
      <c r="I434" s="22">
        <v>105</v>
      </c>
      <c r="J434" s="112">
        <v>35</v>
      </c>
      <c r="K434" s="119">
        <v>0.1166</v>
      </c>
      <c r="L434" s="120" t="s">
        <v>3621</v>
      </c>
      <c r="M434" s="121" t="s">
        <v>3641</v>
      </c>
    </row>
    <row r="435" spans="1:13" ht="15.75" customHeight="1">
      <c r="A435" s="19">
        <v>433</v>
      </c>
      <c r="B435" s="35" t="s">
        <v>3626</v>
      </c>
      <c r="C435" s="20" t="s">
        <v>2898</v>
      </c>
      <c r="D435" s="20" t="s">
        <v>1363</v>
      </c>
      <c r="E435" s="20" t="s">
        <v>2899</v>
      </c>
      <c r="F435" s="21"/>
      <c r="G435" s="21">
        <v>68</v>
      </c>
      <c r="H435" s="21">
        <v>255</v>
      </c>
      <c r="I435" s="22">
        <v>323</v>
      </c>
      <c r="J435" s="108">
        <v>107.7</v>
      </c>
      <c r="K435" s="109">
        <v>1.0014000000000001</v>
      </c>
      <c r="L435" s="110" t="s">
        <v>3618</v>
      </c>
      <c r="M435" s="111" t="s">
        <v>3638</v>
      </c>
    </row>
    <row r="436" spans="1:13" ht="15.75" customHeight="1">
      <c r="A436" s="23">
        <v>434</v>
      </c>
      <c r="B436" s="35" t="s">
        <v>3626</v>
      </c>
      <c r="C436" s="24" t="s">
        <v>1969</v>
      </c>
      <c r="D436" s="24" t="s">
        <v>1357</v>
      </c>
      <c r="E436" s="24" t="s">
        <v>1970</v>
      </c>
      <c r="F436" s="25">
        <v>17</v>
      </c>
      <c r="G436" s="25">
        <v>81</v>
      </c>
      <c r="H436" s="25">
        <v>277</v>
      </c>
      <c r="I436" s="22">
        <v>375</v>
      </c>
      <c r="J436" s="112">
        <v>125</v>
      </c>
      <c r="K436" s="109">
        <v>0.88490000000000002</v>
      </c>
      <c r="L436" s="110" t="s">
        <v>3618</v>
      </c>
      <c r="M436" s="111" t="s">
        <v>3638</v>
      </c>
    </row>
    <row r="437" spans="1:13" ht="15.75" customHeight="1">
      <c r="A437" s="19">
        <v>435</v>
      </c>
      <c r="B437" s="35" t="s">
        <v>3626</v>
      </c>
      <c r="C437" s="20" t="s">
        <v>1977</v>
      </c>
      <c r="D437" s="20" t="s">
        <v>1357</v>
      </c>
      <c r="E437" s="20" t="s">
        <v>1978</v>
      </c>
      <c r="F437" s="21">
        <v>64</v>
      </c>
      <c r="G437" s="21">
        <v>76</v>
      </c>
      <c r="H437" s="21">
        <v>226</v>
      </c>
      <c r="I437" s="22">
        <v>390</v>
      </c>
      <c r="J437" s="108">
        <v>122</v>
      </c>
      <c r="K437" s="109">
        <v>0.60409999999999997</v>
      </c>
      <c r="L437" s="110" t="s">
        <v>3618</v>
      </c>
      <c r="M437" s="111" t="s">
        <v>3638</v>
      </c>
    </row>
    <row r="438" spans="1:13" ht="15.75" customHeight="1">
      <c r="A438" s="23">
        <v>436</v>
      </c>
      <c r="B438" s="35" t="s">
        <v>3626</v>
      </c>
      <c r="C438" s="24" t="s">
        <v>1983</v>
      </c>
      <c r="D438" s="24" t="s">
        <v>1357</v>
      </c>
      <c r="E438" s="24" t="s">
        <v>1984</v>
      </c>
      <c r="F438" s="25">
        <v>45</v>
      </c>
      <c r="G438" s="25">
        <v>52</v>
      </c>
      <c r="H438" s="25">
        <v>143</v>
      </c>
      <c r="I438" s="22">
        <v>255</v>
      </c>
      <c r="J438" s="112">
        <v>80</v>
      </c>
      <c r="K438" s="109">
        <v>0.55800000000000005</v>
      </c>
      <c r="L438" s="110" t="s">
        <v>3618</v>
      </c>
      <c r="M438" s="111" t="s">
        <v>3638</v>
      </c>
    </row>
    <row r="439" spans="1:13" ht="15.75" customHeight="1">
      <c r="A439" s="19">
        <v>437</v>
      </c>
      <c r="B439" s="35" t="s">
        <v>3626</v>
      </c>
      <c r="C439" s="20" t="s">
        <v>2900</v>
      </c>
      <c r="D439" s="20" t="s">
        <v>1363</v>
      </c>
      <c r="E439" s="20" t="s">
        <v>2901</v>
      </c>
      <c r="F439" s="21"/>
      <c r="G439" s="21">
        <v>4</v>
      </c>
      <c r="H439" s="21">
        <v>68</v>
      </c>
      <c r="I439" s="22">
        <v>80</v>
      </c>
      <c r="J439" s="108">
        <v>24</v>
      </c>
      <c r="K439" s="113">
        <v>1.2981</v>
      </c>
      <c r="L439" s="114" t="s">
        <v>3619</v>
      </c>
      <c r="M439" s="115" t="s">
        <v>3639</v>
      </c>
    </row>
    <row r="440" spans="1:13" ht="15.75" customHeight="1">
      <c r="A440" s="23">
        <v>438</v>
      </c>
      <c r="B440" s="35" t="s">
        <v>3626</v>
      </c>
      <c r="C440" s="24" t="s">
        <v>1987</v>
      </c>
      <c r="D440" s="24" t="s">
        <v>1390</v>
      </c>
      <c r="E440" s="24" t="s">
        <v>1988</v>
      </c>
      <c r="F440" s="25">
        <v>10</v>
      </c>
      <c r="G440" s="25"/>
      <c r="H440" s="25">
        <v>3</v>
      </c>
      <c r="I440" s="22">
        <v>13</v>
      </c>
      <c r="J440" s="112">
        <v>4.3</v>
      </c>
      <c r="K440" s="113">
        <v>0.96689999999999998</v>
      </c>
      <c r="L440" s="114" t="s">
        <v>3619</v>
      </c>
      <c r="M440" s="115" t="s">
        <v>3639</v>
      </c>
    </row>
    <row r="441" spans="1:13" ht="15.75" customHeight="1">
      <c r="A441" s="19">
        <v>439</v>
      </c>
      <c r="B441" s="35" t="s">
        <v>3626</v>
      </c>
      <c r="C441" s="20" t="s">
        <v>2883</v>
      </c>
      <c r="D441" s="20" t="s">
        <v>1350</v>
      </c>
      <c r="E441" s="20" t="s">
        <v>2884</v>
      </c>
      <c r="F441" s="21"/>
      <c r="G441" s="21">
        <v>2</v>
      </c>
      <c r="H441" s="21">
        <v>6</v>
      </c>
      <c r="I441" s="22">
        <v>8</v>
      </c>
      <c r="J441" s="108">
        <v>2.7</v>
      </c>
      <c r="K441" s="113">
        <v>0.93540000000000001</v>
      </c>
      <c r="L441" s="114" t="s">
        <v>3619</v>
      </c>
      <c r="M441" s="115" t="s">
        <v>3639</v>
      </c>
    </row>
    <row r="442" spans="1:13" ht="15.75" customHeight="1">
      <c r="A442" s="23">
        <v>440</v>
      </c>
      <c r="B442" s="35" t="s">
        <v>3626</v>
      </c>
      <c r="C442" s="24" t="s">
        <v>2896</v>
      </c>
      <c r="D442" s="24" t="s">
        <v>1363</v>
      </c>
      <c r="E442" s="24" t="s">
        <v>2897</v>
      </c>
      <c r="F442" s="25"/>
      <c r="G442" s="25">
        <v>36</v>
      </c>
      <c r="H442" s="25">
        <v>77</v>
      </c>
      <c r="I442" s="22">
        <v>113</v>
      </c>
      <c r="J442" s="112">
        <v>37.700000000000003</v>
      </c>
      <c r="K442" s="113">
        <v>0.83509999999999995</v>
      </c>
      <c r="L442" s="114" t="s">
        <v>3619</v>
      </c>
      <c r="M442" s="115" t="s">
        <v>3639</v>
      </c>
    </row>
    <row r="443" spans="1:13" ht="15.75" customHeight="1">
      <c r="A443" s="19">
        <v>441</v>
      </c>
      <c r="B443" s="35" t="s">
        <v>3626</v>
      </c>
      <c r="C443" s="20" t="s">
        <v>1957</v>
      </c>
      <c r="D443" s="20" t="s">
        <v>1955</v>
      </c>
      <c r="E443" s="20" t="s">
        <v>1958</v>
      </c>
      <c r="F443" s="21">
        <v>2</v>
      </c>
      <c r="G443" s="21">
        <v>4</v>
      </c>
      <c r="H443" s="21"/>
      <c r="I443" s="22">
        <v>6</v>
      </c>
      <c r="J443" s="108">
        <v>2</v>
      </c>
      <c r="K443" s="113">
        <v>0.8165</v>
      </c>
      <c r="L443" s="114" t="s">
        <v>3619</v>
      </c>
      <c r="M443" s="115" t="s">
        <v>3639</v>
      </c>
    </row>
    <row r="444" spans="1:13" ht="15.75" customHeight="1">
      <c r="A444" s="23">
        <v>442</v>
      </c>
      <c r="B444" s="35" t="s">
        <v>3626</v>
      </c>
      <c r="C444" s="24" t="s">
        <v>1349</v>
      </c>
      <c r="D444" s="24" t="s">
        <v>1350</v>
      </c>
      <c r="E444" s="24" t="s">
        <v>32</v>
      </c>
      <c r="F444" s="25">
        <v>20</v>
      </c>
      <c r="G444" s="25"/>
      <c r="H444" s="25">
        <v>12</v>
      </c>
      <c r="I444" s="22">
        <v>32</v>
      </c>
      <c r="J444" s="112">
        <v>10.7</v>
      </c>
      <c r="K444" s="113">
        <v>0.77059999999999995</v>
      </c>
      <c r="L444" s="114" t="s">
        <v>3619</v>
      </c>
      <c r="M444" s="115" t="s">
        <v>3639</v>
      </c>
    </row>
    <row r="445" spans="1:13" ht="15.75" customHeight="1">
      <c r="A445" s="19">
        <v>443</v>
      </c>
      <c r="B445" s="35" t="s">
        <v>3626</v>
      </c>
      <c r="C445" s="20" t="s">
        <v>1963</v>
      </c>
      <c r="D445" s="20" t="s">
        <v>1370</v>
      </c>
      <c r="E445" s="20" t="s">
        <v>1964</v>
      </c>
      <c r="F445" s="21">
        <v>7</v>
      </c>
      <c r="G445" s="21">
        <v>11</v>
      </c>
      <c r="H445" s="21"/>
      <c r="I445" s="22">
        <v>18</v>
      </c>
      <c r="J445" s="108">
        <v>6</v>
      </c>
      <c r="K445" s="113">
        <v>0.75770000000000004</v>
      </c>
      <c r="L445" s="114" t="s">
        <v>3619</v>
      </c>
      <c r="M445" s="115" t="s">
        <v>3639</v>
      </c>
    </row>
    <row r="446" spans="1:13" ht="15.75" customHeight="1">
      <c r="A446" s="23">
        <v>444</v>
      </c>
      <c r="B446" s="35" t="s">
        <v>3626</v>
      </c>
      <c r="C446" s="24" t="s">
        <v>1387</v>
      </c>
      <c r="D446" s="24" t="s">
        <v>1388</v>
      </c>
      <c r="E446" s="24" t="s">
        <v>24</v>
      </c>
      <c r="F446" s="25">
        <v>41</v>
      </c>
      <c r="G446" s="25"/>
      <c r="H446" s="25">
        <v>28</v>
      </c>
      <c r="I446" s="22">
        <v>69</v>
      </c>
      <c r="J446" s="112">
        <v>23</v>
      </c>
      <c r="K446" s="113">
        <v>0.74380000000000002</v>
      </c>
      <c r="L446" s="114" t="s">
        <v>3619</v>
      </c>
      <c r="M446" s="115" t="s">
        <v>3639</v>
      </c>
    </row>
    <row r="447" spans="1:13" ht="15.75" customHeight="1">
      <c r="A447" s="19">
        <v>445</v>
      </c>
      <c r="B447" s="35" t="s">
        <v>3626</v>
      </c>
      <c r="C447" s="20" t="s">
        <v>2881</v>
      </c>
      <c r="D447" s="20" t="s">
        <v>1350</v>
      </c>
      <c r="E447" s="20" t="s">
        <v>2882</v>
      </c>
      <c r="F447" s="21"/>
      <c r="G447" s="21">
        <v>10</v>
      </c>
      <c r="H447" s="21">
        <v>7</v>
      </c>
      <c r="I447" s="22">
        <v>17</v>
      </c>
      <c r="J447" s="108">
        <v>5.7</v>
      </c>
      <c r="K447" s="113">
        <v>0.73939999999999995</v>
      </c>
      <c r="L447" s="114" t="s">
        <v>3619</v>
      </c>
      <c r="M447" s="115" t="s">
        <v>3639</v>
      </c>
    </row>
    <row r="448" spans="1:13" ht="15.75" customHeight="1">
      <c r="A448" s="23">
        <v>446</v>
      </c>
      <c r="B448" s="35" t="s">
        <v>3626</v>
      </c>
      <c r="C448" s="24" t="s">
        <v>1374</v>
      </c>
      <c r="D448" s="24" t="s">
        <v>1363</v>
      </c>
      <c r="E448" s="24" t="s">
        <v>118</v>
      </c>
      <c r="F448" s="25">
        <v>57</v>
      </c>
      <c r="G448" s="25">
        <v>49</v>
      </c>
      <c r="H448" s="25"/>
      <c r="I448" s="22">
        <v>106</v>
      </c>
      <c r="J448" s="112">
        <v>35.299999999999997</v>
      </c>
      <c r="K448" s="113">
        <v>0.71309999999999996</v>
      </c>
      <c r="L448" s="114" t="s">
        <v>3619</v>
      </c>
      <c r="M448" s="115" t="s">
        <v>3639</v>
      </c>
    </row>
    <row r="449" spans="1:13" ht="15.75" customHeight="1">
      <c r="A449" s="19">
        <v>447</v>
      </c>
      <c r="B449" s="35" t="s">
        <v>3626</v>
      </c>
      <c r="C449" s="20" t="s">
        <v>1989</v>
      </c>
      <c r="D449" s="20" t="s">
        <v>1363</v>
      </c>
      <c r="E449" s="20" t="s">
        <v>1990</v>
      </c>
      <c r="F449" s="21">
        <v>18</v>
      </c>
      <c r="G449" s="21">
        <v>3</v>
      </c>
      <c r="H449" s="21">
        <v>36</v>
      </c>
      <c r="I449" s="22">
        <v>57</v>
      </c>
      <c r="J449" s="108">
        <v>19</v>
      </c>
      <c r="K449" s="113">
        <v>0.71</v>
      </c>
      <c r="L449" s="114" t="s">
        <v>3619</v>
      </c>
      <c r="M449" s="115" t="s">
        <v>3639</v>
      </c>
    </row>
    <row r="450" spans="1:13" ht="15.75" customHeight="1">
      <c r="A450" s="23">
        <v>448</v>
      </c>
      <c r="B450" s="35" t="s">
        <v>3626</v>
      </c>
      <c r="C450" s="24" t="s">
        <v>2001</v>
      </c>
      <c r="D450" s="24" t="s">
        <v>1363</v>
      </c>
      <c r="E450" s="24" t="s">
        <v>2002</v>
      </c>
      <c r="F450" s="25">
        <v>50</v>
      </c>
      <c r="G450" s="25">
        <v>18</v>
      </c>
      <c r="H450" s="25">
        <v>96</v>
      </c>
      <c r="I450" s="22">
        <v>164</v>
      </c>
      <c r="J450" s="112">
        <v>54.7</v>
      </c>
      <c r="K450" s="113">
        <v>0.58560000000000001</v>
      </c>
      <c r="L450" s="114" t="s">
        <v>3619</v>
      </c>
      <c r="M450" s="115" t="s">
        <v>3639</v>
      </c>
    </row>
    <row r="451" spans="1:13" ht="15.75" customHeight="1">
      <c r="A451" s="19">
        <v>449</v>
      </c>
      <c r="B451" s="35" t="s">
        <v>3626</v>
      </c>
      <c r="C451" s="20" t="s">
        <v>1985</v>
      </c>
      <c r="D451" s="20" t="s">
        <v>1357</v>
      </c>
      <c r="E451" s="20" t="s">
        <v>1986</v>
      </c>
      <c r="F451" s="21">
        <v>3</v>
      </c>
      <c r="G451" s="21">
        <v>20</v>
      </c>
      <c r="H451" s="21">
        <v>23</v>
      </c>
      <c r="I451" s="22">
        <v>46</v>
      </c>
      <c r="J451" s="108">
        <v>15.3</v>
      </c>
      <c r="K451" s="113">
        <v>0.57430000000000003</v>
      </c>
      <c r="L451" s="114" t="s">
        <v>3619</v>
      </c>
      <c r="M451" s="115" t="s">
        <v>3639</v>
      </c>
    </row>
    <row r="452" spans="1:13" ht="15.75" customHeight="1">
      <c r="A452" s="23">
        <v>450</v>
      </c>
      <c r="B452" s="35" t="s">
        <v>3626</v>
      </c>
      <c r="C452" s="24" t="s">
        <v>1995</v>
      </c>
      <c r="D452" s="24" t="s">
        <v>1363</v>
      </c>
      <c r="E452" s="24" t="s">
        <v>1996</v>
      </c>
      <c r="F452" s="25">
        <v>25</v>
      </c>
      <c r="G452" s="25">
        <v>5</v>
      </c>
      <c r="H452" s="25">
        <v>28</v>
      </c>
      <c r="I452" s="22">
        <v>58</v>
      </c>
      <c r="J452" s="112">
        <v>19.3</v>
      </c>
      <c r="K452" s="113">
        <v>0.52800000000000002</v>
      </c>
      <c r="L452" s="114" t="s">
        <v>3619</v>
      </c>
      <c r="M452" s="115" t="s">
        <v>3639</v>
      </c>
    </row>
    <row r="453" spans="1:13" ht="15.75" customHeight="1">
      <c r="A453" s="19">
        <v>451</v>
      </c>
      <c r="B453" s="35" t="s">
        <v>3626</v>
      </c>
      <c r="C453" s="20" t="s">
        <v>1993</v>
      </c>
      <c r="D453" s="20" t="s">
        <v>1363</v>
      </c>
      <c r="E453" s="20" t="s">
        <v>1994</v>
      </c>
      <c r="F453" s="21">
        <v>55</v>
      </c>
      <c r="G453" s="21">
        <v>117</v>
      </c>
      <c r="H453" s="21">
        <v>190</v>
      </c>
      <c r="I453" s="22">
        <v>363</v>
      </c>
      <c r="J453" s="108">
        <v>120.7</v>
      </c>
      <c r="K453" s="116">
        <v>0.4572</v>
      </c>
      <c r="L453" s="117" t="s">
        <v>3620</v>
      </c>
      <c r="M453" s="118" t="s">
        <v>3640</v>
      </c>
    </row>
    <row r="454" spans="1:13" ht="15.75" customHeight="1">
      <c r="A454" s="23">
        <v>452</v>
      </c>
      <c r="B454" s="35" t="s">
        <v>3626</v>
      </c>
      <c r="C454" s="24" t="s">
        <v>1973</v>
      </c>
      <c r="D454" s="24" t="s">
        <v>1357</v>
      </c>
      <c r="E454" s="24" t="s">
        <v>1974</v>
      </c>
      <c r="F454" s="25">
        <v>45</v>
      </c>
      <c r="G454" s="25">
        <v>145</v>
      </c>
      <c r="H454" s="25">
        <v>103</v>
      </c>
      <c r="I454" s="22">
        <v>293</v>
      </c>
      <c r="J454" s="112">
        <v>97.7</v>
      </c>
      <c r="K454" s="116">
        <v>0.41980000000000001</v>
      </c>
      <c r="L454" s="117" t="s">
        <v>3620</v>
      </c>
      <c r="M454" s="118" t="s">
        <v>3640</v>
      </c>
    </row>
    <row r="455" spans="1:13" ht="15.75" customHeight="1">
      <c r="A455" s="19">
        <v>453</v>
      </c>
      <c r="B455" s="35" t="s">
        <v>3626</v>
      </c>
      <c r="C455" s="20" t="s">
        <v>1975</v>
      </c>
      <c r="D455" s="20" t="s">
        <v>1357</v>
      </c>
      <c r="E455" s="20" t="s">
        <v>1976</v>
      </c>
      <c r="F455" s="21">
        <v>71</v>
      </c>
      <c r="G455" s="21">
        <v>146</v>
      </c>
      <c r="H455" s="21">
        <v>92</v>
      </c>
      <c r="I455" s="22">
        <v>309</v>
      </c>
      <c r="J455" s="108">
        <v>103</v>
      </c>
      <c r="K455" s="116">
        <v>0.30669999999999997</v>
      </c>
      <c r="L455" s="117" t="s">
        <v>3620</v>
      </c>
      <c r="M455" s="118" t="s">
        <v>3640</v>
      </c>
    </row>
    <row r="456" spans="1:13" ht="15.75" customHeight="1">
      <c r="A456" s="23">
        <v>454</v>
      </c>
      <c r="B456" s="35" t="s">
        <v>3626</v>
      </c>
      <c r="C456" s="24" t="s">
        <v>2003</v>
      </c>
      <c r="D456" s="24" t="s">
        <v>1357</v>
      </c>
      <c r="E456" s="24" t="s">
        <v>2004</v>
      </c>
      <c r="F456" s="25">
        <v>160</v>
      </c>
      <c r="G456" s="25">
        <v>302</v>
      </c>
      <c r="H456" s="25">
        <v>327</v>
      </c>
      <c r="I456" s="22">
        <v>881</v>
      </c>
      <c r="J456" s="112">
        <v>263</v>
      </c>
      <c r="K456" s="116">
        <v>0.27960000000000002</v>
      </c>
      <c r="L456" s="117" t="s">
        <v>3620</v>
      </c>
      <c r="M456" s="118" t="s">
        <v>3640</v>
      </c>
    </row>
    <row r="457" spans="1:13" ht="15.75" customHeight="1">
      <c r="A457" s="19">
        <v>455</v>
      </c>
      <c r="B457" s="35" t="s">
        <v>3626</v>
      </c>
      <c r="C457" s="20" t="s">
        <v>1971</v>
      </c>
      <c r="D457" s="20" t="s">
        <v>1357</v>
      </c>
      <c r="E457" s="20" t="s">
        <v>1972</v>
      </c>
      <c r="F457" s="21">
        <v>60</v>
      </c>
      <c r="G457" s="21">
        <v>75</v>
      </c>
      <c r="H457" s="21">
        <v>107</v>
      </c>
      <c r="I457" s="22">
        <v>242</v>
      </c>
      <c r="J457" s="108">
        <v>80.7</v>
      </c>
      <c r="K457" s="116">
        <v>0.24299999999999999</v>
      </c>
      <c r="L457" s="117" t="s">
        <v>3620</v>
      </c>
      <c r="M457" s="118" t="s">
        <v>3640</v>
      </c>
    </row>
    <row r="458" spans="1:13" ht="15.75" customHeight="1">
      <c r="A458" s="23">
        <v>456</v>
      </c>
      <c r="B458" s="35" t="s">
        <v>3626</v>
      </c>
      <c r="C458" s="24" t="s">
        <v>1991</v>
      </c>
      <c r="D458" s="24" t="s">
        <v>1363</v>
      </c>
      <c r="E458" s="24" t="s">
        <v>1992</v>
      </c>
      <c r="F458" s="25">
        <v>74</v>
      </c>
      <c r="G458" s="25">
        <v>57</v>
      </c>
      <c r="H458" s="25">
        <v>95</v>
      </c>
      <c r="I458" s="22">
        <v>226</v>
      </c>
      <c r="J458" s="112">
        <v>75.3</v>
      </c>
      <c r="K458" s="116">
        <v>0.20630000000000001</v>
      </c>
      <c r="L458" s="117" t="s">
        <v>3620</v>
      </c>
      <c r="M458" s="118" t="s">
        <v>3640</v>
      </c>
    </row>
    <row r="459" spans="1:13" ht="15.75" customHeight="1">
      <c r="A459" s="19">
        <v>457</v>
      </c>
      <c r="B459" s="35" t="s">
        <v>3626</v>
      </c>
      <c r="C459" s="20" t="s">
        <v>1979</v>
      </c>
      <c r="D459" s="20" t="s">
        <v>1357</v>
      </c>
      <c r="E459" s="20" t="s">
        <v>1980</v>
      </c>
      <c r="F459" s="21">
        <v>208</v>
      </c>
      <c r="G459" s="21">
        <v>302</v>
      </c>
      <c r="H459" s="21">
        <v>210</v>
      </c>
      <c r="I459" s="22">
        <v>735</v>
      </c>
      <c r="J459" s="108">
        <v>240</v>
      </c>
      <c r="K459" s="116">
        <v>0.1827</v>
      </c>
      <c r="L459" s="117" t="s">
        <v>3620</v>
      </c>
      <c r="M459" s="118" t="s">
        <v>3640</v>
      </c>
    </row>
    <row r="460" spans="1:13" ht="15.75" customHeight="1">
      <c r="A460" s="23">
        <v>458</v>
      </c>
      <c r="B460" s="35" t="s">
        <v>3626</v>
      </c>
      <c r="C460" s="24" t="s">
        <v>2005</v>
      </c>
      <c r="D460" s="24" t="s">
        <v>1363</v>
      </c>
      <c r="E460" s="24" t="s">
        <v>2006</v>
      </c>
      <c r="F460" s="25">
        <v>15</v>
      </c>
      <c r="G460" s="25">
        <v>5</v>
      </c>
      <c r="H460" s="25">
        <v>15</v>
      </c>
      <c r="I460" s="22">
        <v>35</v>
      </c>
      <c r="J460" s="112">
        <v>11.7</v>
      </c>
      <c r="K460" s="119">
        <v>0.40410000000000001</v>
      </c>
      <c r="L460" s="120" t="s">
        <v>3621</v>
      </c>
      <c r="M460" s="121" t="s">
        <v>3641</v>
      </c>
    </row>
    <row r="461" spans="1:13" ht="15.75" customHeight="1">
      <c r="A461" s="19">
        <v>459</v>
      </c>
      <c r="B461" s="35" t="s">
        <v>3626</v>
      </c>
      <c r="C461" s="20" t="s">
        <v>1981</v>
      </c>
      <c r="D461" s="20" t="s">
        <v>1357</v>
      </c>
      <c r="E461" s="20" t="s">
        <v>1982</v>
      </c>
      <c r="F461" s="21">
        <v>56</v>
      </c>
      <c r="G461" s="21">
        <v>44</v>
      </c>
      <c r="H461" s="21">
        <v>41</v>
      </c>
      <c r="I461" s="22">
        <v>156</v>
      </c>
      <c r="J461" s="108">
        <v>47</v>
      </c>
      <c r="K461" s="119">
        <v>0.13789999999999999</v>
      </c>
      <c r="L461" s="120" t="s">
        <v>3621</v>
      </c>
      <c r="M461" s="121" t="s">
        <v>3641</v>
      </c>
    </row>
    <row r="462" spans="1:13" ht="15.75" customHeight="1">
      <c r="A462" s="23">
        <v>460</v>
      </c>
      <c r="B462" s="36" t="s">
        <v>3627</v>
      </c>
      <c r="C462" s="24" t="s">
        <v>915</v>
      </c>
      <c r="D462" s="24" t="s">
        <v>916</v>
      </c>
      <c r="E462" s="24"/>
      <c r="F462" s="25">
        <v>1</v>
      </c>
      <c r="G462" s="25">
        <v>175</v>
      </c>
      <c r="H462" s="25"/>
      <c r="I462" s="22">
        <v>186</v>
      </c>
      <c r="J462" s="112">
        <v>58.7</v>
      </c>
      <c r="K462" s="109">
        <v>1.4021999999999999</v>
      </c>
      <c r="L462" s="110" t="s">
        <v>3618</v>
      </c>
      <c r="M462" s="111" t="s">
        <v>3638</v>
      </c>
    </row>
    <row r="463" spans="1:13" ht="15.75" customHeight="1">
      <c r="A463" s="19">
        <v>461</v>
      </c>
      <c r="B463" s="36" t="s">
        <v>3627</v>
      </c>
      <c r="C463" s="20" t="s">
        <v>1137</v>
      </c>
      <c r="D463" s="20" t="s">
        <v>1138</v>
      </c>
      <c r="E463" s="20" t="s">
        <v>1139</v>
      </c>
      <c r="F463" s="21">
        <v>6</v>
      </c>
      <c r="G463" s="21">
        <v>680</v>
      </c>
      <c r="H463" s="21"/>
      <c r="I463" s="22">
        <v>686</v>
      </c>
      <c r="J463" s="108">
        <v>228.7</v>
      </c>
      <c r="K463" s="109">
        <v>1.3956999999999999</v>
      </c>
      <c r="L463" s="110" t="s">
        <v>3618</v>
      </c>
      <c r="M463" s="111" t="s">
        <v>3638</v>
      </c>
    </row>
    <row r="464" spans="1:13" ht="15.75" customHeight="1">
      <c r="A464" s="23">
        <v>462</v>
      </c>
      <c r="B464" s="36" t="s">
        <v>3627</v>
      </c>
      <c r="C464" s="24" t="s">
        <v>765</v>
      </c>
      <c r="D464" s="24" t="s">
        <v>766</v>
      </c>
      <c r="E464" s="24"/>
      <c r="F464" s="25">
        <v>3</v>
      </c>
      <c r="G464" s="25"/>
      <c r="H464" s="25">
        <v>200</v>
      </c>
      <c r="I464" s="22">
        <v>203</v>
      </c>
      <c r="J464" s="112">
        <v>67.7</v>
      </c>
      <c r="K464" s="109">
        <v>1.383</v>
      </c>
      <c r="L464" s="110" t="s">
        <v>3618</v>
      </c>
      <c r="M464" s="111" t="s">
        <v>3638</v>
      </c>
    </row>
    <row r="465" spans="1:13" ht="15.75" customHeight="1">
      <c r="A465" s="19">
        <v>463</v>
      </c>
      <c r="B465" s="36" t="s">
        <v>3627</v>
      </c>
      <c r="C465" s="20" t="s">
        <v>1159</v>
      </c>
      <c r="D465" s="20" t="s">
        <v>1160</v>
      </c>
      <c r="E465" s="20"/>
      <c r="F465" s="21">
        <v>4</v>
      </c>
      <c r="G465" s="21">
        <v>237</v>
      </c>
      <c r="H465" s="21"/>
      <c r="I465" s="22">
        <v>241</v>
      </c>
      <c r="J465" s="108">
        <v>80.3</v>
      </c>
      <c r="K465" s="109">
        <v>1.3792</v>
      </c>
      <c r="L465" s="110" t="s">
        <v>3618</v>
      </c>
      <c r="M465" s="111" t="s">
        <v>3638</v>
      </c>
    </row>
    <row r="466" spans="1:13" ht="15.75" customHeight="1">
      <c r="A466" s="23">
        <v>464</v>
      </c>
      <c r="B466" s="36" t="s">
        <v>3627</v>
      </c>
      <c r="C466" s="24" t="s">
        <v>1147</v>
      </c>
      <c r="D466" s="24" t="s">
        <v>697</v>
      </c>
      <c r="E466" s="24" t="s">
        <v>1148</v>
      </c>
      <c r="F466" s="25">
        <v>314</v>
      </c>
      <c r="G466" s="25">
        <v>6</v>
      </c>
      <c r="H466" s="25"/>
      <c r="I466" s="22">
        <v>320</v>
      </c>
      <c r="J466" s="112">
        <v>106.7</v>
      </c>
      <c r="K466" s="109">
        <v>1.3746</v>
      </c>
      <c r="L466" s="110" t="s">
        <v>3618</v>
      </c>
      <c r="M466" s="111" t="s">
        <v>3638</v>
      </c>
    </row>
    <row r="467" spans="1:13" ht="15.75" customHeight="1">
      <c r="A467" s="19">
        <v>465</v>
      </c>
      <c r="B467" s="36" t="s">
        <v>3627</v>
      </c>
      <c r="C467" s="20" t="s">
        <v>1097</v>
      </c>
      <c r="D467" s="20" t="s">
        <v>869</v>
      </c>
      <c r="E467" s="20" t="s">
        <v>1098</v>
      </c>
      <c r="F467" s="21">
        <v>22</v>
      </c>
      <c r="G467" s="21">
        <v>1000</v>
      </c>
      <c r="H467" s="21"/>
      <c r="I467" s="22">
        <v>1022</v>
      </c>
      <c r="J467" s="108">
        <v>340.7</v>
      </c>
      <c r="K467" s="109">
        <v>1.3688</v>
      </c>
      <c r="L467" s="110" t="s">
        <v>3618</v>
      </c>
      <c r="M467" s="111" t="s">
        <v>3638</v>
      </c>
    </row>
    <row r="468" spans="1:13" ht="15.75" customHeight="1">
      <c r="A468" s="23">
        <v>466</v>
      </c>
      <c r="B468" s="36" t="s">
        <v>3627</v>
      </c>
      <c r="C468" s="24" t="s">
        <v>584</v>
      </c>
      <c r="D468" s="24" t="s">
        <v>585</v>
      </c>
      <c r="E468" s="24" t="s">
        <v>586</v>
      </c>
      <c r="F468" s="25">
        <v>5</v>
      </c>
      <c r="G468" s="25"/>
      <c r="H468" s="25">
        <v>221</v>
      </c>
      <c r="I468" s="22">
        <v>226</v>
      </c>
      <c r="J468" s="112">
        <v>75.3</v>
      </c>
      <c r="K468" s="109">
        <v>1.3675999999999999</v>
      </c>
      <c r="L468" s="110" t="s">
        <v>3618</v>
      </c>
      <c r="M468" s="111" t="s">
        <v>3638</v>
      </c>
    </row>
    <row r="469" spans="1:13" ht="15.75" customHeight="1">
      <c r="A469" s="19">
        <v>467</v>
      </c>
      <c r="B469" s="36" t="s">
        <v>3627</v>
      </c>
      <c r="C469" s="20" t="s">
        <v>2524</v>
      </c>
      <c r="D469" s="20" t="s">
        <v>2525</v>
      </c>
      <c r="E469" s="20"/>
      <c r="F469" s="21"/>
      <c r="G469" s="21">
        <v>301</v>
      </c>
      <c r="H469" s="21">
        <v>8</v>
      </c>
      <c r="I469" s="22">
        <v>349</v>
      </c>
      <c r="J469" s="108">
        <v>103</v>
      </c>
      <c r="K469" s="109">
        <v>1.3596999999999999</v>
      </c>
      <c r="L469" s="110" t="s">
        <v>3618</v>
      </c>
      <c r="M469" s="111" t="s">
        <v>3638</v>
      </c>
    </row>
    <row r="470" spans="1:13" ht="15.75" customHeight="1">
      <c r="A470" s="23">
        <v>468</v>
      </c>
      <c r="B470" s="36" t="s">
        <v>3627</v>
      </c>
      <c r="C470" s="24" t="s">
        <v>996</v>
      </c>
      <c r="D470" s="24" t="s">
        <v>823</v>
      </c>
      <c r="E470" s="24" t="s">
        <v>997</v>
      </c>
      <c r="F470" s="25">
        <v>59</v>
      </c>
      <c r="G470" s="25">
        <v>750</v>
      </c>
      <c r="H470" s="25"/>
      <c r="I470" s="22">
        <v>809</v>
      </c>
      <c r="J470" s="112">
        <v>269.7</v>
      </c>
      <c r="K470" s="109">
        <v>1.2626999999999999</v>
      </c>
      <c r="L470" s="110" t="s">
        <v>3618</v>
      </c>
      <c r="M470" s="111" t="s">
        <v>3638</v>
      </c>
    </row>
    <row r="471" spans="1:13" ht="15.75" customHeight="1">
      <c r="A471" s="19">
        <v>469</v>
      </c>
      <c r="B471" s="36" t="s">
        <v>3627</v>
      </c>
      <c r="C471" s="20" t="s">
        <v>903</v>
      </c>
      <c r="D471" s="20" t="s">
        <v>904</v>
      </c>
      <c r="E471" s="20" t="s">
        <v>905</v>
      </c>
      <c r="F471" s="21">
        <v>300</v>
      </c>
      <c r="G471" s="21">
        <v>32</v>
      </c>
      <c r="H471" s="21"/>
      <c r="I471" s="22">
        <v>332</v>
      </c>
      <c r="J471" s="108">
        <v>110.7</v>
      </c>
      <c r="K471" s="109">
        <v>1.2155</v>
      </c>
      <c r="L471" s="110" t="s">
        <v>3618</v>
      </c>
      <c r="M471" s="111" t="s">
        <v>3638</v>
      </c>
    </row>
    <row r="472" spans="1:13" ht="15.75" customHeight="1">
      <c r="A472" s="23">
        <v>470</v>
      </c>
      <c r="B472" s="36" t="s">
        <v>3627</v>
      </c>
      <c r="C472" s="24" t="s">
        <v>2599</v>
      </c>
      <c r="D472" s="24" t="s">
        <v>776</v>
      </c>
      <c r="E472" s="24" t="s">
        <v>2600</v>
      </c>
      <c r="F472" s="25"/>
      <c r="G472" s="25">
        <v>280</v>
      </c>
      <c r="H472" s="25">
        <v>30</v>
      </c>
      <c r="I472" s="22">
        <v>310</v>
      </c>
      <c r="J472" s="112">
        <v>103.3</v>
      </c>
      <c r="K472" s="109">
        <v>1.2146999999999999</v>
      </c>
      <c r="L472" s="110" t="s">
        <v>3618</v>
      </c>
      <c r="M472" s="111" t="s">
        <v>3638</v>
      </c>
    </row>
    <row r="473" spans="1:13" ht="15.75" customHeight="1">
      <c r="A473" s="19">
        <v>471</v>
      </c>
      <c r="B473" s="36" t="s">
        <v>3627</v>
      </c>
      <c r="C473" s="20" t="s">
        <v>593</v>
      </c>
      <c r="D473" s="20" t="s">
        <v>594</v>
      </c>
      <c r="E473" s="20" t="s">
        <v>595</v>
      </c>
      <c r="F473" s="21">
        <v>8</v>
      </c>
      <c r="G473" s="21">
        <v>10</v>
      </c>
      <c r="H473" s="21">
        <v>161</v>
      </c>
      <c r="I473" s="22">
        <v>179</v>
      </c>
      <c r="J473" s="108">
        <v>59.7</v>
      </c>
      <c r="K473" s="109">
        <v>1.2010000000000001</v>
      </c>
      <c r="L473" s="110" t="s">
        <v>3618</v>
      </c>
      <c r="M473" s="111" t="s">
        <v>3638</v>
      </c>
    </row>
    <row r="474" spans="1:13" ht="15.75" customHeight="1">
      <c r="A474" s="23">
        <v>472</v>
      </c>
      <c r="B474" s="36" t="s">
        <v>3627</v>
      </c>
      <c r="C474" s="24" t="s">
        <v>906</v>
      </c>
      <c r="D474" s="24" t="s">
        <v>907</v>
      </c>
      <c r="E474" s="24" t="s">
        <v>908</v>
      </c>
      <c r="F474" s="25">
        <v>604</v>
      </c>
      <c r="G474" s="25">
        <v>56</v>
      </c>
      <c r="H474" s="25">
        <v>14</v>
      </c>
      <c r="I474" s="22">
        <v>684</v>
      </c>
      <c r="J474" s="112">
        <v>224.7</v>
      </c>
      <c r="K474" s="109">
        <v>1.1962999999999999</v>
      </c>
      <c r="L474" s="110" t="s">
        <v>3618</v>
      </c>
      <c r="M474" s="111" t="s">
        <v>3638</v>
      </c>
    </row>
    <row r="475" spans="1:13" ht="15.75" customHeight="1">
      <c r="A475" s="19">
        <v>473</v>
      </c>
      <c r="B475" s="36" t="s">
        <v>3627</v>
      </c>
      <c r="C475" s="20" t="s">
        <v>369</v>
      </c>
      <c r="D475" s="20" t="s">
        <v>370</v>
      </c>
      <c r="E475" s="20" t="s">
        <v>371</v>
      </c>
      <c r="F475" s="21">
        <v>43</v>
      </c>
      <c r="G475" s="21">
        <v>340</v>
      </c>
      <c r="H475" s="21"/>
      <c r="I475" s="22">
        <v>383</v>
      </c>
      <c r="J475" s="108">
        <v>127.7</v>
      </c>
      <c r="K475" s="109">
        <v>1.1840999999999999</v>
      </c>
      <c r="L475" s="110" t="s">
        <v>3618</v>
      </c>
      <c r="M475" s="111" t="s">
        <v>3638</v>
      </c>
    </row>
    <row r="476" spans="1:13" ht="15.75" customHeight="1">
      <c r="A476" s="23">
        <v>474</v>
      </c>
      <c r="B476" s="36" t="s">
        <v>3627</v>
      </c>
      <c r="C476" s="24" t="s">
        <v>994</v>
      </c>
      <c r="D476" s="24" t="s">
        <v>799</v>
      </c>
      <c r="E476" s="24" t="s">
        <v>995</v>
      </c>
      <c r="F476" s="25">
        <v>30</v>
      </c>
      <c r="G476" s="25">
        <v>914</v>
      </c>
      <c r="H476" s="25">
        <v>100</v>
      </c>
      <c r="I476" s="22">
        <v>1044</v>
      </c>
      <c r="J476" s="112">
        <v>348</v>
      </c>
      <c r="K476" s="109">
        <v>1.153</v>
      </c>
      <c r="L476" s="110" t="s">
        <v>3618</v>
      </c>
      <c r="M476" s="111" t="s">
        <v>3638</v>
      </c>
    </row>
    <row r="477" spans="1:13" ht="15.75" customHeight="1">
      <c r="A477" s="19">
        <v>475</v>
      </c>
      <c r="B477" s="36" t="s">
        <v>3627</v>
      </c>
      <c r="C477" s="20" t="s">
        <v>912</v>
      </c>
      <c r="D477" s="20" t="s">
        <v>913</v>
      </c>
      <c r="E477" s="20" t="s">
        <v>914</v>
      </c>
      <c r="F477" s="21">
        <v>200</v>
      </c>
      <c r="G477" s="21"/>
      <c r="H477" s="21">
        <v>30</v>
      </c>
      <c r="I477" s="22">
        <v>230</v>
      </c>
      <c r="J477" s="108">
        <v>76.7</v>
      </c>
      <c r="K477" s="109">
        <v>1.1487000000000001</v>
      </c>
      <c r="L477" s="110" t="s">
        <v>3618</v>
      </c>
      <c r="M477" s="111" t="s">
        <v>3638</v>
      </c>
    </row>
    <row r="478" spans="1:13" ht="15.75" customHeight="1">
      <c r="A478" s="23">
        <v>476</v>
      </c>
      <c r="B478" s="36" t="s">
        <v>3627</v>
      </c>
      <c r="C478" s="24" t="s">
        <v>350</v>
      </c>
      <c r="D478" s="24" t="s">
        <v>351</v>
      </c>
      <c r="E478" s="24" t="s">
        <v>352</v>
      </c>
      <c r="F478" s="25">
        <v>1108</v>
      </c>
      <c r="G478" s="25">
        <v>179</v>
      </c>
      <c r="H478" s="25">
        <v>2</v>
      </c>
      <c r="I478" s="22">
        <v>1289</v>
      </c>
      <c r="J478" s="112">
        <v>429.7</v>
      </c>
      <c r="K478" s="109">
        <v>1.1289</v>
      </c>
      <c r="L478" s="110" t="s">
        <v>3618</v>
      </c>
      <c r="M478" s="111" t="s">
        <v>3638</v>
      </c>
    </row>
    <row r="479" spans="1:13" ht="15.75" customHeight="1">
      <c r="A479" s="19">
        <v>477</v>
      </c>
      <c r="B479" s="36" t="s">
        <v>3627</v>
      </c>
      <c r="C479" s="20" t="s">
        <v>2805</v>
      </c>
      <c r="D479" s="20" t="s">
        <v>869</v>
      </c>
      <c r="E479" s="20" t="s">
        <v>2806</v>
      </c>
      <c r="F479" s="21"/>
      <c r="G479" s="21">
        <v>600</v>
      </c>
      <c r="H479" s="21">
        <v>100</v>
      </c>
      <c r="I479" s="22">
        <v>700</v>
      </c>
      <c r="J479" s="108">
        <v>233.3</v>
      </c>
      <c r="K479" s="109">
        <v>1.1249</v>
      </c>
      <c r="L479" s="110" t="s">
        <v>3618</v>
      </c>
      <c r="M479" s="111" t="s">
        <v>3638</v>
      </c>
    </row>
    <row r="480" spans="1:13" ht="15.75" customHeight="1">
      <c r="A480" s="23">
        <v>478</v>
      </c>
      <c r="B480" s="36" t="s">
        <v>3627</v>
      </c>
      <c r="C480" s="24" t="s">
        <v>909</v>
      </c>
      <c r="D480" s="24" t="s">
        <v>910</v>
      </c>
      <c r="E480" s="24" t="s">
        <v>911</v>
      </c>
      <c r="F480" s="25">
        <v>700</v>
      </c>
      <c r="G480" s="25">
        <v>60</v>
      </c>
      <c r="H480" s="25">
        <v>55</v>
      </c>
      <c r="I480" s="22">
        <v>815</v>
      </c>
      <c r="J480" s="112">
        <v>271.7</v>
      </c>
      <c r="K480" s="109">
        <v>1.1149</v>
      </c>
      <c r="L480" s="110" t="s">
        <v>3618</v>
      </c>
      <c r="M480" s="111" t="s">
        <v>3638</v>
      </c>
    </row>
    <row r="481" spans="1:13" ht="15.75" customHeight="1">
      <c r="A481" s="19">
        <v>479</v>
      </c>
      <c r="B481" s="36" t="s">
        <v>3627</v>
      </c>
      <c r="C481" s="20" t="s">
        <v>767</v>
      </c>
      <c r="D481" s="20" t="s">
        <v>768</v>
      </c>
      <c r="E481" s="20"/>
      <c r="F481" s="21">
        <v>40</v>
      </c>
      <c r="G481" s="21">
        <v>459</v>
      </c>
      <c r="H481" s="21">
        <v>46</v>
      </c>
      <c r="I481" s="22">
        <v>590</v>
      </c>
      <c r="J481" s="108">
        <v>181.7</v>
      </c>
      <c r="K481" s="109">
        <v>1.0795999999999999</v>
      </c>
      <c r="L481" s="110" t="s">
        <v>3618</v>
      </c>
      <c r="M481" s="111" t="s">
        <v>3638</v>
      </c>
    </row>
    <row r="482" spans="1:13" ht="15.75" customHeight="1">
      <c r="A482" s="23">
        <v>480</v>
      </c>
      <c r="B482" s="36" t="s">
        <v>3627</v>
      </c>
      <c r="C482" s="24" t="s">
        <v>1008</v>
      </c>
      <c r="D482" s="24" t="s">
        <v>779</v>
      </c>
      <c r="E482" s="24" t="s">
        <v>1009</v>
      </c>
      <c r="F482" s="25">
        <v>80</v>
      </c>
      <c r="G482" s="25">
        <v>383</v>
      </c>
      <c r="H482" s="25">
        <v>2</v>
      </c>
      <c r="I482" s="22">
        <v>465</v>
      </c>
      <c r="J482" s="112">
        <v>155</v>
      </c>
      <c r="K482" s="109">
        <v>1.0602</v>
      </c>
      <c r="L482" s="110" t="s">
        <v>3618</v>
      </c>
      <c r="M482" s="111" t="s">
        <v>3638</v>
      </c>
    </row>
    <row r="483" spans="1:13" ht="15.75" customHeight="1">
      <c r="A483" s="19">
        <v>481</v>
      </c>
      <c r="B483" s="36" t="s">
        <v>3627</v>
      </c>
      <c r="C483" s="20" t="s">
        <v>570</v>
      </c>
      <c r="D483" s="20" t="s">
        <v>571</v>
      </c>
      <c r="E483" s="20" t="s">
        <v>572</v>
      </c>
      <c r="F483" s="21">
        <v>192</v>
      </c>
      <c r="G483" s="21">
        <v>15</v>
      </c>
      <c r="H483" s="21">
        <v>794</v>
      </c>
      <c r="I483" s="22">
        <v>1001</v>
      </c>
      <c r="J483" s="108">
        <v>333.7</v>
      </c>
      <c r="K483" s="109">
        <v>0.99929999999999997</v>
      </c>
      <c r="L483" s="110" t="s">
        <v>3618</v>
      </c>
      <c r="M483" s="111" t="s">
        <v>3638</v>
      </c>
    </row>
    <row r="484" spans="1:13" ht="15.75" customHeight="1">
      <c r="A484" s="23">
        <v>482</v>
      </c>
      <c r="B484" s="36" t="s">
        <v>3627</v>
      </c>
      <c r="C484" s="24" t="s">
        <v>1066</v>
      </c>
      <c r="D484" s="24" t="s">
        <v>899</v>
      </c>
      <c r="E484" s="24" t="s">
        <v>1067</v>
      </c>
      <c r="F484" s="25">
        <v>453</v>
      </c>
      <c r="G484" s="25">
        <v>127</v>
      </c>
      <c r="H484" s="25">
        <v>1</v>
      </c>
      <c r="I484" s="22">
        <v>581</v>
      </c>
      <c r="J484" s="112">
        <v>193.7</v>
      </c>
      <c r="K484" s="109">
        <v>0.98340000000000005</v>
      </c>
      <c r="L484" s="110" t="s">
        <v>3618</v>
      </c>
      <c r="M484" s="111" t="s">
        <v>3638</v>
      </c>
    </row>
    <row r="485" spans="1:13" ht="15.75" customHeight="1">
      <c r="A485" s="19">
        <v>483</v>
      </c>
      <c r="B485" s="36" t="s">
        <v>3627</v>
      </c>
      <c r="C485" s="20" t="s">
        <v>506</v>
      </c>
      <c r="D485" s="20" t="s">
        <v>507</v>
      </c>
      <c r="E485" s="20" t="s">
        <v>508</v>
      </c>
      <c r="F485" s="21">
        <v>545</v>
      </c>
      <c r="G485" s="21">
        <v>61</v>
      </c>
      <c r="H485" s="21">
        <v>85</v>
      </c>
      <c r="I485" s="22">
        <v>761</v>
      </c>
      <c r="J485" s="108">
        <v>230.3</v>
      </c>
      <c r="K485" s="109">
        <v>0.96689999999999998</v>
      </c>
      <c r="L485" s="110" t="s">
        <v>3618</v>
      </c>
      <c r="M485" s="111" t="s">
        <v>3638</v>
      </c>
    </row>
    <row r="486" spans="1:13" ht="15.75" customHeight="1">
      <c r="A486" s="23">
        <v>484</v>
      </c>
      <c r="B486" s="36" t="s">
        <v>3627</v>
      </c>
      <c r="C486" s="24" t="s">
        <v>560</v>
      </c>
      <c r="D486" s="24" t="s">
        <v>561</v>
      </c>
      <c r="E486" s="24" t="s">
        <v>562</v>
      </c>
      <c r="F486" s="25">
        <v>590</v>
      </c>
      <c r="G486" s="25">
        <v>60</v>
      </c>
      <c r="H486" s="25">
        <v>99</v>
      </c>
      <c r="I486" s="22">
        <v>749</v>
      </c>
      <c r="J486" s="112">
        <v>249.7</v>
      </c>
      <c r="K486" s="109">
        <v>0.96599999999999997</v>
      </c>
      <c r="L486" s="110" t="s">
        <v>3618</v>
      </c>
      <c r="M486" s="111" t="s">
        <v>3638</v>
      </c>
    </row>
    <row r="487" spans="1:13" ht="15.75" customHeight="1">
      <c r="A487" s="19">
        <v>485</v>
      </c>
      <c r="B487" s="36" t="s">
        <v>3627</v>
      </c>
      <c r="C487" s="20" t="s">
        <v>813</v>
      </c>
      <c r="D487" s="20" t="s">
        <v>814</v>
      </c>
      <c r="E487" s="20" t="s">
        <v>815</v>
      </c>
      <c r="F487" s="21">
        <v>4815</v>
      </c>
      <c r="G487" s="21">
        <v>275</v>
      </c>
      <c r="H487" s="21">
        <v>1071</v>
      </c>
      <c r="I487" s="22">
        <v>6925</v>
      </c>
      <c r="J487" s="108">
        <v>2053.6999999999998</v>
      </c>
      <c r="K487" s="109">
        <v>0.96379999999999999</v>
      </c>
      <c r="L487" s="110" t="s">
        <v>3618</v>
      </c>
      <c r="M487" s="111" t="s">
        <v>3638</v>
      </c>
    </row>
    <row r="488" spans="1:13" ht="15.75" customHeight="1">
      <c r="A488" s="23">
        <v>486</v>
      </c>
      <c r="B488" s="36" t="s">
        <v>3627</v>
      </c>
      <c r="C488" s="24" t="s">
        <v>2535</v>
      </c>
      <c r="D488" s="24" t="s">
        <v>2536</v>
      </c>
      <c r="E488" s="24" t="s">
        <v>2537</v>
      </c>
      <c r="F488" s="25"/>
      <c r="G488" s="25">
        <v>100</v>
      </c>
      <c r="H488" s="25">
        <v>320</v>
      </c>
      <c r="I488" s="22">
        <v>420</v>
      </c>
      <c r="J488" s="112">
        <v>140</v>
      </c>
      <c r="K488" s="109">
        <v>0.95479999999999998</v>
      </c>
      <c r="L488" s="110" t="s">
        <v>3618</v>
      </c>
      <c r="M488" s="111" t="s">
        <v>3638</v>
      </c>
    </row>
    <row r="489" spans="1:13" ht="15.75" customHeight="1">
      <c r="A489" s="19">
        <v>487</v>
      </c>
      <c r="B489" s="36" t="s">
        <v>3627</v>
      </c>
      <c r="C489" s="20" t="s">
        <v>837</v>
      </c>
      <c r="D489" s="20" t="s">
        <v>838</v>
      </c>
      <c r="E489" s="20" t="s">
        <v>839</v>
      </c>
      <c r="F489" s="21">
        <v>1269</v>
      </c>
      <c r="G489" s="21">
        <v>153</v>
      </c>
      <c r="H489" s="21">
        <v>204</v>
      </c>
      <c r="I489" s="22">
        <v>1626</v>
      </c>
      <c r="J489" s="108">
        <v>542</v>
      </c>
      <c r="K489" s="109">
        <v>0.94920000000000004</v>
      </c>
      <c r="L489" s="110" t="s">
        <v>3618</v>
      </c>
      <c r="M489" s="111" t="s">
        <v>3638</v>
      </c>
    </row>
    <row r="490" spans="1:13" ht="15.75" customHeight="1">
      <c r="A490" s="23">
        <v>488</v>
      </c>
      <c r="B490" s="36" t="s">
        <v>3627</v>
      </c>
      <c r="C490" s="24" t="s">
        <v>1087</v>
      </c>
      <c r="D490" s="24" t="s">
        <v>814</v>
      </c>
      <c r="E490" s="24" t="s">
        <v>1088</v>
      </c>
      <c r="F490" s="25">
        <v>14160</v>
      </c>
      <c r="G490" s="25">
        <v>4500</v>
      </c>
      <c r="H490" s="25">
        <v>100</v>
      </c>
      <c r="I490" s="22">
        <v>18788</v>
      </c>
      <c r="J490" s="112">
        <v>6253.3</v>
      </c>
      <c r="K490" s="109">
        <v>0.93910000000000005</v>
      </c>
      <c r="L490" s="110" t="s">
        <v>3618</v>
      </c>
      <c r="M490" s="111" t="s">
        <v>3638</v>
      </c>
    </row>
    <row r="491" spans="1:13" ht="15.75" customHeight="1">
      <c r="A491" s="19">
        <v>489</v>
      </c>
      <c r="B491" s="36" t="s">
        <v>3627</v>
      </c>
      <c r="C491" s="20" t="s">
        <v>1030</v>
      </c>
      <c r="D491" s="20" t="s">
        <v>835</v>
      </c>
      <c r="E491" s="20" t="s">
        <v>1031</v>
      </c>
      <c r="F491" s="21">
        <v>50</v>
      </c>
      <c r="G491" s="21">
        <v>150</v>
      </c>
      <c r="H491" s="21"/>
      <c r="I491" s="22">
        <v>200</v>
      </c>
      <c r="J491" s="108">
        <v>66.7</v>
      </c>
      <c r="K491" s="109">
        <v>0.93540000000000001</v>
      </c>
      <c r="L491" s="110" t="s">
        <v>3618</v>
      </c>
      <c r="M491" s="111" t="s">
        <v>3638</v>
      </c>
    </row>
    <row r="492" spans="1:13" ht="15.75" customHeight="1">
      <c r="A492" s="23">
        <v>490</v>
      </c>
      <c r="B492" s="36" t="s">
        <v>3627</v>
      </c>
      <c r="C492" s="24" t="s">
        <v>627</v>
      </c>
      <c r="D492" s="24" t="s">
        <v>628</v>
      </c>
      <c r="E492" s="24"/>
      <c r="F492" s="25">
        <v>20</v>
      </c>
      <c r="G492" s="25">
        <v>54</v>
      </c>
      <c r="H492" s="25">
        <v>247</v>
      </c>
      <c r="I492" s="22">
        <v>321</v>
      </c>
      <c r="J492" s="112">
        <v>107</v>
      </c>
      <c r="K492" s="109">
        <v>0.93420000000000003</v>
      </c>
      <c r="L492" s="110" t="s">
        <v>3618</v>
      </c>
      <c r="M492" s="111" t="s">
        <v>3638</v>
      </c>
    </row>
    <row r="493" spans="1:13" ht="15.75" customHeight="1">
      <c r="A493" s="19">
        <v>491</v>
      </c>
      <c r="B493" s="36" t="s">
        <v>3627</v>
      </c>
      <c r="C493" s="20" t="s">
        <v>889</v>
      </c>
      <c r="D493" s="20" t="s">
        <v>890</v>
      </c>
      <c r="E493" s="20" t="s">
        <v>891</v>
      </c>
      <c r="F493" s="21">
        <v>145</v>
      </c>
      <c r="G493" s="21">
        <v>50</v>
      </c>
      <c r="H493" s="21"/>
      <c r="I493" s="22">
        <v>195</v>
      </c>
      <c r="J493" s="108">
        <v>65</v>
      </c>
      <c r="K493" s="109">
        <v>0.92520000000000002</v>
      </c>
      <c r="L493" s="110" t="s">
        <v>3618</v>
      </c>
      <c r="M493" s="111" t="s">
        <v>3638</v>
      </c>
    </row>
    <row r="494" spans="1:13" ht="15.75" customHeight="1">
      <c r="A494" s="23">
        <v>492</v>
      </c>
      <c r="B494" s="36" t="s">
        <v>3627</v>
      </c>
      <c r="C494" s="24" t="s">
        <v>2505</v>
      </c>
      <c r="D494" s="24" t="s">
        <v>2506</v>
      </c>
      <c r="E494" s="24"/>
      <c r="F494" s="25"/>
      <c r="G494" s="25">
        <v>74</v>
      </c>
      <c r="H494" s="25">
        <v>200</v>
      </c>
      <c r="I494" s="22">
        <v>274</v>
      </c>
      <c r="J494" s="112">
        <v>91.3</v>
      </c>
      <c r="K494" s="109">
        <v>0.90400000000000003</v>
      </c>
      <c r="L494" s="110" t="s">
        <v>3618</v>
      </c>
      <c r="M494" s="111" t="s">
        <v>3638</v>
      </c>
    </row>
    <row r="495" spans="1:13" ht="15.75" customHeight="1">
      <c r="A495" s="19">
        <v>493</v>
      </c>
      <c r="B495" s="36" t="s">
        <v>3627</v>
      </c>
      <c r="C495" s="20" t="s">
        <v>807</v>
      </c>
      <c r="D495" s="20" t="s">
        <v>808</v>
      </c>
      <c r="E495" s="20" t="s">
        <v>809</v>
      </c>
      <c r="F495" s="21">
        <v>56</v>
      </c>
      <c r="G495" s="21">
        <v>330</v>
      </c>
      <c r="H495" s="21">
        <v>50</v>
      </c>
      <c r="I495" s="22">
        <v>436</v>
      </c>
      <c r="J495" s="108">
        <v>145.30000000000001</v>
      </c>
      <c r="K495" s="109">
        <v>0.89859999999999995</v>
      </c>
      <c r="L495" s="110" t="s">
        <v>3618</v>
      </c>
      <c r="M495" s="111" t="s">
        <v>3638</v>
      </c>
    </row>
    <row r="496" spans="1:13" ht="15.75" customHeight="1">
      <c r="A496" s="23">
        <v>494</v>
      </c>
      <c r="B496" s="36" t="s">
        <v>3627</v>
      </c>
      <c r="C496" s="24" t="s">
        <v>515</v>
      </c>
      <c r="D496" s="24" t="s">
        <v>516</v>
      </c>
      <c r="E496" s="24" t="s">
        <v>517</v>
      </c>
      <c r="F496" s="25">
        <v>249</v>
      </c>
      <c r="G496" s="25">
        <v>1025</v>
      </c>
      <c r="H496" s="25">
        <v>108</v>
      </c>
      <c r="I496" s="22">
        <v>1382</v>
      </c>
      <c r="J496" s="112">
        <v>460.7</v>
      </c>
      <c r="K496" s="109">
        <v>0.87519999999999998</v>
      </c>
      <c r="L496" s="110" t="s">
        <v>3618</v>
      </c>
      <c r="M496" s="111" t="s">
        <v>3638</v>
      </c>
    </row>
    <row r="497" spans="1:13" ht="15.75" customHeight="1">
      <c r="A497" s="19">
        <v>495</v>
      </c>
      <c r="B497" s="36" t="s">
        <v>3627</v>
      </c>
      <c r="C497" s="20" t="s">
        <v>883</v>
      </c>
      <c r="D497" s="20" t="s">
        <v>884</v>
      </c>
      <c r="E497" s="20" t="s">
        <v>885</v>
      </c>
      <c r="F497" s="21">
        <v>490</v>
      </c>
      <c r="G497" s="21">
        <v>200</v>
      </c>
      <c r="H497" s="21"/>
      <c r="I497" s="22">
        <v>690</v>
      </c>
      <c r="J497" s="108">
        <v>230</v>
      </c>
      <c r="K497" s="109">
        <v>0.87460000000000004</v>
      </c>
      <c r="L497" s="110" t="s">
        <v>3618</v>
      </c>
      <c r="M497" s="111" t="s">
        <v>3638</v>
      </c>
    </row>
    <row r="498" spans="1:13" ht="15.75" customHeight="1">
      <c r="A498" s="23">
        <v>496</v>
      </c>
      <c r="B498" s="36" t="s">
        <v>3627</v>
      </c>
      <c r="C498" s="24" t="s">
        <v>523</v>
      </c>
      <c r="D498" s="24" t="s">
        <v>524</v>
      </c>
      <c r="E498" s="24" t="s">
        <v>525</v>
      </c>
      <c r="F498" s="25">
        <v>415</v>
      </c>
      <c r="G498" s="25">
        <v>111</v>
      </c>
      <c r="H498" s="25">
        <v>38</v>
      </c>
      <c r="I498" s="22">
        <v>564</v>
      </c>
      <c r="J498" s="112">
        <v>188</v>
      </c>
      <c r="K498" s="109">
        <v>0.86839999999999995</v>
      </c>
      <c r="L498" s="110" t="s">
        <v>3618</v>
      </c>
      <c r="M498" s="111" t="s">
        <v>3638</v>
      </c>
    </row>
    <row r="499" spans="1:13" ht="15.75" customHeight="1">
      <c r="A499" s="19">
        <v>497</v>
      </c>
      <c r="B499" s="36" t="s">
        <v>3627</v>
      </c>
      <c r="C499" s="20" t="s">
        <v>2597</v>
      </c>
      <c r="D499" s="20" t="s">
        <v>820</v>
      </c>
      <c r="E499" s="20" t="s">
        <v>2598</v>
      </c>
      <c r="F499" s="21"/>
      <c r="G499" s="21">
        <v>311</v>
      </c>
      <c r="H499" s="21">
        <v>130</v>
      </c>
      <c r="I499" s="22">
        <v>441</v>
      </c>
      <c r="J499" s="108">
        <v>147</v>
      </c>
      <c r="K499" s="109">
        <v>0.86760000000000004</v>
      </c>
      <c r="L499" s="110" t="s">
        <v>3618</v>
      </c>
      <c r="M499" s="111" t="s">
        <v>3638</v>
      </c>
    </row>
    <row r="500" spans="1:13" ht="15.75" customHeight="1">
      <c r="A500" s="23">
        <v>498</v>
      </c>
      <c r="B500" s="36" t="s">
        <v>3627</v>
      </c>
      <c r="C500" s="24" t="s">
        <v>1127</v>
      </c>
      <c r="D500" s="24" t="s">
        <v>692</v>
      </c>
      <c r="E500" s="24" t="s">
        <v>1128</v>
      </c>
      <c r="F500" s="25">
        <v>167</v>
      </c>
      <c r="G500" s="25">
        <v>75</v>
      </c>
      <c r="H500" s="25"/>
      <c r="I500" s="22">
        <v>242</v>
      </c>
      <c r="J500" s="112">
        <v>80.7</v>
      </c>
      <c r="K500" s="109">
        <v>0.84660000000000002</v>
      </c>
      <c r="L500" s="110" t="s">
        <v>3618</v>
      </c>
      <c r="M500" s="111" t="s">
        <v>3638</v>
      </c>
    </row>
    <row r="501" spans="1:13" ht="15.75" customHeight="1">
      <c r="A501" s="19">
        <v>499</v>
      </c>
      <c r="B501" s="36" t="s">
        <v>3627</v>
      </c>
      <c r="C501" s="20" t="s">
        <v>1083</v>
      </c>
      <c r="D501" s="20" t="s">
        <v>841</v>
      </c>
      <c r="E501" s="20" t="s">
        <v>1084</v>
      </c>
      <c r="F501" s="21">
        <v>3300</v>
      </c>
      <c r="G501" s="21">
        <v>1496</v>
      </c>
      <c r="H501" s="21"/>
      <c r="I501" s="22">
        <v>4796</v>
      </c>
      <c r="J501" s="108">
        <v>1598.7</v>
      </c>
      <c r="K501" s="109">
        <v>0.84389999999999998</v>
      </c>
      <c r="L501" s="110" t="s">
        <v>3618</v>
      </c>
      <c r="M501" s="111" t="s">
        <v>3638</v>
      </c>
    </row>
    <row r="502" spans="1:13" ht="15.75" customHeight="1">
      <c r="A502" s="23">
        <v>500</v>
      </c>
      <c r="B502" s="36" t="s">
        <v>3627</v>
      </c>
      <c r="C502" s="24" t="s">
        <v>353</v>
      </c>
      <c r="D502" s="24" t="s">
        <v>354</v>
      </c>
      <c r="E502" s="24" t="s">
        <v>355</v>
      </c>
      <c r="F502" s="25">
        <v>214</v>
      </c>
      <c r="G502" s="25">
        <v>78</v>
      </c>
      <c r="H502" s="25">
        <v>12</v>
      </c>
      <c r="I502" s="22">
        <v>304</v>
      </c>
      <c r="J502" s="112">
        <v>101.3</v>
      </c>
      <c r="K502" s="109">
        <v>0.82989999999999997</v>
      </c>
      <c r="L502" s="110" t="s">
        <v>3618</v>
      </c>
      <c r="M502" s="111" t="s">
        <v>3638</v>
      </c>
    </row>
    <row r="503" spans="1:13" ht="15.75" customHeight="1">
      <c r="A503" s="19">
        <v>501</v>
      </c>
      <c r="B503" s="36" t="s">
        <v>3627</v>
      </c>
      <c r="C503" s="20" t="s">
        <v>1000</v>
      </c>
      <c r="D503" s="20" t="s">
        <v>832</v>
      </c>
      <c r="E503" s="20" t="s">
        <v>1001</v>
      </c>
      <c r="F503" s="21">
        <v>20</v>
      </c>
      <c r="G503" s="21">
        <v>130</v>
      </c>
      <c r="H503" s="21">
        <v>30</v>
      </c>
      <c r="I503" s="22">
        <v>180</v>
      </c>
      <c r="J503" s="108">
        <v>60</v>
      </c>
      <c r="K503" s="109">
        <v>0.82779999999999998</v>
      </c>
      <c r="L503" s="110" t="s">
        <v>3618</v>
      </c>
      <c r="M503" s="111" t="s">
        <v>3638</v>
      </c>
    </row>
    <row r="504" spans="1:13" ht="15.75" customHeight="1">
      <c r="A504" s="23">
        <v>502</v>
      </c>
      <c r="B504" s="36" t="s">
        <v>3627</v>
      </c>
      <c r="C504" s="24" t="s">
        <v>605</v>
      </c>
      <c r="D504" s="24" t="s">
        <v>606</v>
      </c>
      <c r="E504" s="24" t="s">
        <v>607</v>
      </c>
      <c r="F504" s="25">
        <v>77</v>
      </c>
      <c r="G504" s="25">
        <v>69</v>
      </c>
      <c r="H504" s="25">
        <v>374</v>
      </c>
      <c r="I504" s="22">
        <v>520</v>
      </c>
      <c r="J504" s="112">
        <v>173.3</v>
      </c>
      <c r="K504" s="109">
        <v>0.81879999999999997</v>
      </c>
      <c r="L504" s="110" t="s">
        <v>3618</v>
      </c>
      <c r="M504" s="111" t="s">
        <v>3638</v>
      </c>
    </row>
    <row r="505" spans="1:13" ht="15.75" customHeight="1">
      <c r="A505" s="19">
        <v>503</v>
      </c>
      <c r="B505" s="36" t="s">
        <v>3627</v>
      </c>
      <c r="C505" s="20" t="s">
        <v>998</v>
      </c>
      <c r="D505" s="20" t="s">
        <v>852</v>
      </c>
      <c r="E505" s="20" t="s">
        <v>999</v>
      </c>
      <c r="F505" s="21">
        <v>100</v>
      </c>
      <c r="G505" s="21">
        <v>200</v>
      </c>
      <c r="H505" s="21"/>
      <c r="I505" s="22">
        <v>300</v>
      </c>
      <c r="J505" s="108">
        <v>100</v>
      </c>
      <c r="K505" s="109">
        <v>0.8165</v>
      </c>
      <c r="L505" s="110" t="s">
        <v>3618</v>
      </c>
      <c r="M505" s="111" t="s">
        <v>3638</v>
      </c>
    </row>
    <row r="506" spans="1:13" ht="15.75" customHeight="1">
      <c r="A506" s="23">
        <v>504</v>
      </c>
      <c r="B506" s="36" t="s">
        <v>3627</v>
      </c>
      <c r="C506" s="24" t="s">
        <v>538</v>
      </c>
      <c r="D506" s="24" t="s">
        <v>539</v>
      </c>
      <c r="E506" s="24" t="s">
        <v>540</v>
      </c>
      <c r="F506" s="25">
        <v>64</v>
      </c>
      <c r="G506" s="25">
        <v>5</v>
      </c>
      <c r="H506" s="25">
        <v>140</v>
      </c>
      <c r="I506" s="22">
        <v>209</v>
      </c>
      <c r="J506" s="112">
        <v>69.7</v>
      </c>
      <c r="K506" s="109">
        <v>0.79320000000000002</v>
      </c>
      <c r="L506" s="110" t="s">
        <v>3618</v>
      </c>
      <c r="M506" s="111" t="s">
        <v>3638</v>
      </c>
    </row>
    <row r="507" spans="1:13" ht="15.75" customHeight="1">
      <c r="A507" s="19">
        <v>505</v>
      </c>
      <c r="B507" s="36" t="s">
        <v>3627</v>
      </c>
      <c r="C507" s="20" t="s">
        <v>737</v>
      </c>
      <c r="D507" s="20" t="s">
        <v>738</v>
      </c>
      <c r="E507" s="20" t="s">
        <v>739</v>
      </c>
      <c r="F507" s="21">
        <v>1020</v>
      </c>
      <c r="G507" s="21">
        <v>210</v>
      </c>
      <c r="H507" s="21">
        <v>220</v>
      </c>
      <c r="I507" s="22">
        <v>1750</v>
      </c>
      <c r="J507" s="108">
        <v>483.3</v>
      </c>
      <c r="K507" s="109">
        <v>0.78520000000000001</v>
      </c>
      <c r="L507" s="110" t="s">
        <v>3618</v>
      </c>
      <c r="M507" s="111" t="s">
        <v>3638</v>
      </c>
    </row>
    <row r="508" spans="1:13" ht="15.75" customHeight="1">
      <c r="A508" s="23">
        <v>506</v>
      </c>
      <c r="B508" s="36" t="s">
        <v>3627</v>
      </c>
      <c r="C508" s="24" t="s">
        <v>892</v>
      </c>
      <c r="D508" s="24" t="s">
        <v>893</v>
      </c>
      <c r="E508" s="24" t="s">
        <v>894</v>
      </c>
      <c r="F508" s="25">
        <v>149</v>
      </c>
      <c r="G508" s="25">
        <v>54</v>
      </c>
      <c r="H508" s="25">
        <v>14</v>
      </c>
      <c r="I508" s="22">
        <v>217</v>
      </c>
      <c r="J508" s="112">
        <v>72.3</v>
      </c>
      <c r="K508" s="109">
        <v>0.78269999999999995</v>
      </c>
      <c r="L508" s="110" t="s">
        <v>3618</v>
      </c>
      <c r="M508" s="111" t="s">
        <v>3638</v>
      </c>
    </row>
    <row r="509" spans="1:13" ht="15.75" customHeight="1">
      <c r="A509" s="19">
        <v>507</v>
      </c>
      <c r="B509" s="36" t="s">
        <v>3627</v>
      </c>
      <c r="C509" s="20" t="s">
        <v>798</v>
      </c>
      <c r="D509" s="20" t="s">
        <v>799</v>
      </c>
      <c r="E509" s="20" t="s">
        <v>800</v>
      </c>
      <c r="F509" s="21">
        <v>4368</v>
      </c>
      <c r="G509" s="21">
        <v>1080</v>
      </c>
      <c r="H509" s="21">
        <v>782</v>
      </c>
      <c r="I509" s="22">
        <v>6940</v>
      </c>
      <c r="J509" s="108">
        <v>2076.6999999999998</v>
      </c>
      <c r="K509" s="109">
        <v>0.78239999999999998</v>
      </c>
      <c r="L509" s="110" t="s">
        <v>3618</v>
      </c>
      <c r="M509" s="111" t="s">
        <v>3638</v>
      </c>
    </row>
    <row r="510" spans="1:13" ht="15.75" customHeight="1">
      <c r="A510" s="23">
        <v>508</v>
      </c>
      <c r="B510" s="36" t="s">
        <v>3627</v>
      </c>
      <c r="C510" s="24" t="s">
        <v>2492</v>
      </c>
      <c r="D510" s="24" t="s">
        <v>2493</v>
      </c>
      <c r="E510" s="24"/>
      <c r="F510" s="25"/>
      <c r="G510" s="25">
        <v>210</v>
      </c>
      <c r="H510" s="25">
        <v>120</v>
      </c>
      <c r="I510" s="22">
        <v>330</v>
      </c>
      <c r="J510" s="112">
        <v>110</v>
      </c>
      <c r="K510" s="109">
        <v>0.78200000000000003</v>
      </c>
      <c r="L510" s="110" t="s">
        <v>3618</v>
      </c>
      <c r="M510" s="111" t="s">
        <v>3638</v>
      </c>
    </row>
    <row r="511" spans="1:13" ht="15.75" customHeight="1">
      <c r="A511" s="19">
        <v>509</v>
      </c>
      <c r="B511" s="36" t="s">
        <v>3627</v>
      </c>
      <c r="C511" s="20" t="s">
        <v>1095</v>
      </c>
      <c r="D511" s="20" t="s">
        <v>814</v>
      </c>
      <c r="E511" s="20" t="s">
        <v>1096</v>
      </c>
      <c r="F511" s="21">
        <v>2520</v>
      </c>
      <c r="G511" s="21">
        <v>1500</v>
      </c>
      <c r="H511" s="21"/>
      <c r="I511" s="22">
        <v>7020</v>
      </c>
      <c r="J511" s="108">
        <v>1340</v>
      </c>
      <c r="K511" s="109">
        <v>0.77239999999999998</v>
      </c>
      <c r="L511" s="110" t="s">
        <v>3618</v>
      </c>
      <c r="M511" s="111" t="s">
        <v>3638</v>
      </c>
    </row>
    <row r="512" spans="1:13" ht="15.75" customHeight="1">
      <c r="A512" s="23">
        <v>510</v>
      </c>
      <c r="B512" s="36" t="s">
        <v>3627</v>
      </c>
      <c r="C512" s="24" t="s">
        <v>1010</v>
      </c>
      <c r="D512" s="24" t="s">
        <v>802</v>
      </c>
      <c r="E512" s="24" t="s">
        <v>1011</v>
      </c>
      <c r="F512" s="25">
        <v>155</v>
      </c>
      <c r="G512" s="25">
        <v>258</v>
      </c>
      <c r="H512" s="25">
        <v>2</v>
      </c>
      <c r="I512" s="22">
        <v>415</v>
      </c>
      <c r="J512" s="112">
        <v>138.30000000000001</v>
      </c>
      <c r="K512" s="109">
        <v>0.76029999999999998</v>
      </c>
      <c r="L512" s="110" t="s">
        <v>3618</v>
      </c>
      <c r="M512" s="111" t="s">
        <v>3638</v>
      </c>
    </row>
    <row r="513" spans="1:13" ht="15.75" customHeight="1">
      <c r="A513" s="19">
        <v>511</v>
      </c>
      <c r="B513" s="36" t="s">
        <v>3627</v>
      </c>
      <c r="C513" s="20" t="s">
        <v>790</v>
      </c>
      <c r="D513" s="20" t="s">
        <v>791</v>
      </c>
      <c r="E513" s="20"/>
      <c r="F513" s="21">
        <v>18</v>
      </c>
      <c r="G513" s="21">
        <v>170</v>
      </c>
      <c r="H513" s="21">
        <v>64</v>
      </c>
      <c r="I513" s="22">
        <v>292</v>
      </c>
      <c r="J513" s="108">
        <v>84</v>
      </c>
      <c r="K513" s="109">
        <v>0.75770000000000004</v>
      </c>
      <c r="L513" s="110" t="s">
        <v>3618</v>
      </c>
      <c r="M513" s="111" t="s">
        <v>3638</v>
      </c>
    </row>
    <row r="514" spans="1:13" ht="15.75" customHeight="1">
      <c r="A514" s="23">
        <v>512</v>
      </c>
      <c r="B514" s="36" t="s">
        <v>3627</v>
      </c>
      <c r="C514" s="24" t="s">
        <v>1099</v>
      </c>
      <c r="D514" s="24" t="s">
        <v>370</v>
      </c>
      <c r="E514" s="24" t="s">
        <v>1100</v>
      </c>
      <c r="F514" s="25">
        <v>1450</v>
      </c>
      <c r="G514" s="25">
        <v>2703</v>
      </c>
      <c r="H514" s="25">
        <v>100</v>
      </c>
      <c r="I514" s="22">
        <v>4253</v>
      </c>
      <c r="J514" s="112">
        <v>1417.7</v>
      </c>
      <c r="K514" s="109">
        <v>0.74980000000000002</v>
      </c>
      <c r="L514" s="110" t="s">
        <v>3618</v>
      </c>
      <c r="M514" s="111" t="s">
        <v>3638</v>
      </c>
    </row>
    <row r="515" spans="1:13" ht="15.75" customHeight="1">
      <c r="A515" s="19">
        <v>513</v>
      </c>
      <c r="B515" s="36" t="s">
        <v>3627</v>
      </c>
      <c r="C515" s="20" t="s">
        <v>1062</v>
      </c>
      <c r="D515" s="20" t="s">
        <v>1063</v>
      </c>
      <c r="E515" s="20"/>
      <c r="F515" s="21">
        <v>300</v>
      </c>
      <c r="G515" s="21">
        <v>200</v>
      </c>
      <c r="H515" s="21"/>
      <c r="I515" s="22">
        <v>500</v>
      </c>
      <c r="J515" s="108">
        <v>166.7</v>
      </c>
      <c r="K515" s="109">
        <v>0.74829999999999997</v>
      </c>
      <c r="L515" s="110" t="s">
        <v>3618</v>
      </c>
      <c r="M515" s="111" t="s">
        <v>3638</v>
      </c>
    </row>
    <row r="516" spans="1:13" ht="15.75" customHeight="1">
      <c r="A516" s="23">
        <v>514</v>
      </c>
      <c r="B516" s="36" t="s">
        <v>3627</v>
      </c>
      <c r="C516" s="24" t="s">
        <v>1129</v>
      </c>
      <c r="D516" s="24" t="s">
        <v>723</v>
      </c>
      <c r="E516" s="24" t="s">
        <v>1130</v>
      </c>
      <c r="F516" s="25">
        <v>89</v>
      </c>
      <c r="G516" s="25">
        <v>127</v>
      </c>
      <c r="H516" s="25"/>
      <c r="I516" s="22">
        <v>216</v>
      </c>
      <c r="J516" s="112">
        <v>72</v>
      </c>
      <c r="K516" s="109">
        <v>0.73919999999999997</v>
      </c>
      <c r="L516" s="110" t="s">
        <v>3618</v>
      </c>
      <c r="M516" s="111" t="s">
        <v>3638</v>
      </c>
    </row>
    <row r="517" spans="1:13" ht="15.75" customHeight="1">
      <c r="A517" s="19">
        <v>515</v>
      </c>
      <c r="B517" s="36" t="s">
        <v>3627</v>
      </c>
      <c r="C517" s="20" t="s">
        <v>754</v>
      </c>
      <c r="D517" s="20" t="s">
        <v>755</v>
      </c>
      <c r="E517" s="20"/>
      <c r="F517" s="21">
        <v>230</v>
      </c>
      <c r="G517" s="21">
        <v>34</v>
      </c>
      <c r="H517" s="21">
        <v>78</v>
      </c>
      <c r="I517" s="22">
        <v>342</v>
      </c>
      <c r="J517" s="108">
        <v>114</v>
      </c>
      <c r="K517" s="109">
        <v>0.73660000000000003</v>
      </c>
      <c r="L517" s="110" t="s">
        <v>3618</v>
      </c>
      <c r="M517" s="111" t="s">
        <v>3638</v>
      </c>
    </row>
    <row r="518" spans="1:13" ht="15.75" customHeight="1">
      <c r="A518" s="23">
        <v>516</v>
      </c>
      <c r="B518" s="36" t="s">
        <v>3627</v>
      </c>
      <c r="C518" s="24" t="s">
        <v>1044</v>
      </c>
      <c r="D518" s="24" t="s">
        <v>357</v>
      </c>
      <c r="E518" s="24" t="s">
        <v>1045</v>
      </c>
      <c r="F518" s="25">
        <v>90</v>
      </c>
      <c r="G518" s="25">
        <v>100</v>
      </c>
      <c r="H518" s="25"/>
      <c r="I518" s="22">
        <v>190</v>
      </c>
      <c r="J518" s="112">
        <v>63.3</v>
      </c>
      <c r="K518" s="109">
        <v>0.71</v>
      </c>
      <c r="L518" s="110" t="s">
        <v>3618</v>
      </c>
      <c r="M518" s="111" t="s">
        <v>3638</v>
      </c>
    </row>
    <row r="519" spans="1:13" ht="15.75" customHeight="1">
      <c r="A519" s="19">
        <v>517</v>
      </c>
      <c r="B519" s="36" t="s">
        <v>3627</v>
      </c>
      <c r="C519" s="20" t="s">
        <v>731</v>
      </c>
      <c r="D519" s="20" t="s">
        <v>732</v>
      </c>
      <c r="E519" s="20" t="s">
        <v>733</v>
      </c>
      <c r="F519" s="21">
        <v>165</v>
      </c>
      <c r="G519" s="21">
        <v>15</v>
      </c>
      <c r="H519" s="21">
        <v>80</v>
      </c>
      <c r="I519" s="22">
        <v>280</v>
      </c>
      <c r="J519" s="108">
        <v>86.7</v>
      </c>
      <c r="K519" s="109">
        <v>0.7087</v>
      </c>
      <c r="L519" s="110" t="s">
        <v>3618</v>
      </c>
      <c r="M519" s="111" t="s">
        <v>3638</v>
      </c>
    </row>
    <row r="520" spans="1:13" ht="15.75" customHeight="1">
      <c r="A520" s="23">
        <v>518</v>
      </c>
      <c r="B520" s="36" t="s">
        <v>3627</v>
      </c>
      <c r="C520" s="24" t="s">
        <v>975</v>
      </c>
      <c r="D520" s="24" t="s">
        <v>976</v>
      </c>
      <c r="E520" s="24" t="s">
        <v>977</v>
      </c>
      <c r="F520" s="25">
        <v>100</v>
      </c>
      <c r="G520" s="25"/>
      <c r="H520" s="25">
        <v>100</v>
      </c>
      <c r="I520" s="22">
        <v>200</v>
      </c>
      <c r="J520" s="112">
        <v>66.7</v>
      </c>
      <c r="K520" s="109">
        <v>0.70709999999999995</v>
      </c>
      <c r="L520" s="110" t="s">
        <v>3618</v>
      </c>
      <c r="M520" s="111" t="s">
        <v>3638</v>
      </c>
    </row>
    <row r="521" spans="1:13" ht="15.75" customHeight="1">
      <c r="A521" s="19">
        <v>519</v>
      </c>
      <c r="B521" s="36" t="s">
        <v>3627</v>
      </c>
      <c r="C521" s="20" t="s">
        <v>787</v>
      </c>
      <c r="D521" s="20" t="s">
        <v>788</v>
      </c>
      <c r="E521" s="20" t="s">
        <v>789</v>
      </c>
      <c r="F521" s="21">
        <v>100</v>
      </c>
      <c r="G521" s="21"/>
      <c r="H521" s="21">
        <v>101</v>
      </c>
      <c r="I521" s="22">
        <v>201</v>
      </c>
      <c r="J521" s="108">
        <v>67</v>
      </c>
      <c r="K521" s="109">
        <v>0.70709999999999995</v>
      </c>
      <c r="L521" s="110" t="s">
        <v>3618</v>
      </c>
      <c r="M521" s="111" t="s">
        <v>3638</v>
      </c>
    </row>
    <row r="522" spans="1:13" ht="15.75" customHeight="1">
      <c r="A522" s="23">
        <v>520</v>
      </c>
      <c r="B522" s="36" t="s">
        <v>3627</v>
      </c>
      <c r="C522" s="24" t="s">
        <v>652</v>
      </c>
      <c r="D522" s="24" t="s">
        <v>653</v>
      </c>
      <c r="E522" s="24" t="s">
        <v>654</v>
      </c>
      <c r="F522" s="25">
        <v>135</v>
      </c>
      <c r="G522" s="25">
        <v>184</v>
      </c>
      <c r="H522" s="25">
        <v>4</v>
      </c>
      <c r="I522" s="22">
        <v>323</v>
      </c>
      <c r="J522" s="112">
        <v>107.7</v>
      </c>
      <c r="K522" s="109">
        <v>0.70569999999999999</v>
      </c>
      <c r="L522" s="110" t="s">
        <v>3618</v>
      </c>
      <c r="M522" s="111" t="s">
        <v>3638</v>
      </c>
    </row>
    <row r="523" spans="1:13" ht="15.75" customHeight="1">
      <c r="A523" s="19">
        <v>521</v>
      </c>
      <c r="B523" s="36" t="s">
        <v>3627</v>
      </c>
      <c r="C523" s="20" t="s">
        <v>816</v>
      </c>
      <c r="D523" s="20" t="s">
        <v>817</v>
      </c>
      <c r="E523" s="20" t="s">
        <v>818</v>
      </c>
      <c r="F523" s="21">
        <v>115</v>
      </c>
      <c r="G523" s="21">
        <v>9</v>
      </c>
      <c r="H523" s="21">
        <v>60</v>
      </c>
      <c r="I523" s="22">
        <v>184</v>
      </c>
      <c r="J523" s="108">
        <v>61.3</v>
      </c>
      <c r="K523" s="109">
        <v>0.70569999999999999</v>
      </c>
      <c r="L523" s="110" t="s">
        <v>3618</v>
      </c>
      <c r="M523" s="111" t="s">
        <v>3638</v>
      </c>
    </row>
    <row r="524" spans="1:13" ht="15.75" customHeight="1">
      <c r="A524" s="23">
        <v>522</v>
      </c>
      <c r="B524" s="36" t="s">
        <v>3627</v>
      </c>
      <c r="C524" s="24" t="s">
        <v>862</v>
      </c>
      <c r="D524" s="24" t="s">
        <v>863</v>
      </c>
      <c r="E524" s="24" t="s">
        <v>864</v>
      </c>
      <c r="F524" s="25">
        <v>797</v>
      </c>
      <c r="G524" s="25">
        <v>642</v>
      </c>
      <c r="H524" s="25">
        <v>12</v>
      </c>
      <c r="I524" s="22">
        <v>1781</v>
      </c>
      <c r="J524" s="112">
        <v>483.7</v>
      </c>
      <c r="K524" s="109">
        <v>0.70189999999999997</v>
      </c>
      <c r="L524" s="110" t="s">
        <v>3618</v>
      </c>
      <c r="M524" s="111" t="s">
        <v>3638</v>
      </c>
    </row>
    <row r="525" spans="1:13" ht="15.75" customHeight="1">
      <c r="A525" s="19">
        <v>523</v>
      </c>
      <c r="B525" s="36" t="s">
        <v>3627</v>
      </c>
      <c r="C525" s="20" t="s">
        <v>772</v>
      </c>
      <c r="D525" s="20" t="s">
        <v>773</v>
      </c>
      <c r="E525" s="20" t="s">
        <v>774</v>
      </c>
      <c r="F525" s="21">
        <v>432</v>
      </c>
      <c r="G525" s="21">
        <v>367</v>
      </c>
      <c r="H525" s="21">
        <v>10</v>
      </c>
      <c r="I525" s="22">
        <v>815</v>
      </c>
      <c r="J525" s="108">
        <v>269.7</v>
      </c>
      <c r="K525" s="109">
        <v>0.68799999999999994</v>
      </c>
      <c r="L525" s="110" t="s">
        <v>3618</v>
      </c>
      <c r="M525" s="111" t="s">
        <v>3638</v>
      </c>
    </row>
    <row r="526" spans="1:13" ht="15.75" customHeight="1">
      <c r="A526" s="23">
        <v>524</v>
      </c>
      <c r="B526" s="36" t="s">
        <v>3627</v>
      </c>
      <c r="C526" s="24" t="s">
        <v>988</v>
      </c>
      <c r="D526" s="24" t="s">
        <v>351</v>
      </c>
      <c r="E526" s="24" t="s">
        <v>989</v>
      </c>
      <c r="F526" s="25">
        <v>50</v>
      </c>
      <c r="G526" s="25">
        <v>210</v>
      </c>
      <c r="H526" s="25">
        <v>60</v>
      </c>
      <c r="I526" s="22">
        <v>320</v>
      </c>
      <c r="J526" s="112">
        <v>106.7</v>
      </c>
      <c r="K526" s="109">
        <v>0.68610000000000004</v>
      </c>
      <c r="L526" s="110" t="s">
        <v>3618</v>
      </c>
      <c r="M526" s="111" t="s">
        <v>3638</v>
      </c>
    </row>
    <row r="527" spans="1:13" ht="15.75" customHeight="1">
      <c r="A527" s="19">
        <v>525</v>
      </c>
      <c r="B527" s="36" t="s">
        <v>3627</v>
      </c>
      <c r="C527" s="20" t="s">
        <v>1089</v>
      </c>
      <c r="D527" s="20" t="s">
        <v>841</v>
      </c>
      <c r="E527" s="20" t="s">
        <v>1090</v>
      </c>
      <c r="F527" s="21">
        <v>4100</v>
      </c>
      <c r="G527" s="21">
        <v>4000</v>
      </c>
      <c r="H527" s="21">
        <v>120</v>
      </c>
      <c r="I527" s="22">
        <v>8220</v>
      </c>
      <c r="J527" s="108">
        <v>2740</v>
      </c>
      <c r="K527" s="109">
        <v>0.67630000000000001</v>
      </c>
      <c r="L527" s="110" t="s">
        <v>3618</v>
      </c>
      <c r="M527" s="111" t="s">
        <v>3638</v>
      </c>
    </row>
    <row r="528" spans="1:13" ht="15.75" customHeight="1">
      <c r="A528" s="23">
        <v>526</v>
      </c>
      <c r="B528" s="36" t="s">
        <v>3627</v>
      </c>
      <c r="C528" s="24" t="s">
        <v>488</v>
      </c>
      <c r="D528" s="24" t="s">
        <v>489</v>
      </c>
      <c r="E528" s="24"/>
      <c r="F528" s="25">
        <v>173</v>
      </c>
      <c r="G528" s="25">
        <v>49</v>
      </c>
      <c r="H528" s="25">
        <v>44</v>
      </c>
      <c r="I528" s="22">
        <v>308</v>
      </c>
      <c r="J528" s="112">
        <v>88.7</v>
      </c>
      <c r="K528" s="109">
        <v>0.67290000000000005</v>
      </c>
      <c r="L528" s="110" t="s">
        <v>3618</v>
      </c>
      <c r="M528" s="111" t="s">
        <v>3638</v>
      </c>
    </row>
    <row r="529" spans="1:13" ht="15.75" customHeight="1">
      <c r="A529" s="19">
        <v>527</v>
      </c>
      <c r="B529" s="36" t="s">
        <v>3627</v>
      </c>
      <c r="C529" s="20" t="s">
        <v>578</v>
      </c>
      <c r="D529" s="20" t="s">
        <v>579</v>
      </c>
      <c r="E529" s="20" t="s">
        <v>580</v>
      </c>
      <c r="F529" s="21">
        <v>219</v>
      </c>
      <c r="G529" s="21">
        <v>10</v>
      </c>
      <c r="H529" s="21">
        <v>180</v>
      </c>
      <c r="I529" s="22">
        <v>409</v>
      </c>
      <c r="J529" s="108">
        <v>136.30000000000001</v>
      </c>
      <c r="K529" s="109">
        <v>0.66559999999999997</v>
      </c>
      <c r="L529" s="110" t="s">
        <v>3618</v>
      </c>
      <c r="M529" s="111" t="s">
        <v>3638</v>
      </c>
    </row>
    <row r="530" spans="1:13" ht="15.75" customHeight="1">
      <c r="A530" s="23">
        <v>528</v>
      </c>
      <c r="B530" s="36" t="s">
        <v>3627</v>
      </c>
      <c r="C530" s="24" t="s">
        <v>719</v>
      </c>
      <c r="D530" s="24" t="s">
        <v>720</v>
      </c>
      <c r="E530" s="24" t="s">
        <v>721</v>
      </c>
      <c r="F530" s="25">
        <v>1468</v>
      </c>
      <c r="G530" s="25">
        <v>384</v>
      </c>
      <c r="H530" s="25">
        <v>425</v>
      </c>
      <c r="I530" s="22">
        <v>2499</v>
      </c>
      <c r="J530" s="112">
        <v>759</v>
      </c>
      <c r="K530" s="109">
        <v>0.66090000000000004</v>
      </c>
      <c r="L530" s="110" t="s">
        <v>3618</v>
      </c>
      <c r="M530" s="111" t="s">
        <v>3638</v>
      </c>
    </row>
    <row r="531" spans="1:13" ht="15.75" customHeight="1">
      <c r="A531" s="19">
        <v>529</v>
      </c>
      <c r="B531" s="36" t="s">
        <v>3627</v>
      </c>
      <c r="C531" s="20" t="s">
        <v>851</v>
      </c>
      <c r="D531" s="20" t="s">
        <v>852</v>
      </c>
      <c r="E531" s="20" t="s">
        <v>853</v>
      </c>
      <c r="F531" s="21">
        <v>463</v>
      </c>
      <c r="G531" s="21">
        <v>104</v>
      </c>
      <c r="H531" s="21">
        <v>155</v>
      </c>
      <c r="I531" s="22">
        <v>822</v>
      </c>
      <c r="J531" s="108">
        <v>240.7</v>
      </c>
      <c r="K531" s="109">
        <v>0.65890000000000004</v>
      </c>
      <c r="L531" s="110" t="s">
        <v>3618</v>
      </c>
      <c r="M531" s="111" t="s">
        <v>3638</v>
      </c>
    </row>
    <row r="532" spans="1:13" ht="15.75" customHeight="1">
      <c r="A532" s="23">
        <v>530</v>
      </c>
      <c r="B532" s="36" t="s">
        <v>3627</v>
      </c>
      <c r="C532" s="24" t="s">
        <v>992</v>
      </c>
      <c r="D532" s="24" t="s">
        <v>832</v>
      </c>
      <c r="E532" s="24" t="s">
        <v>993</v>
      </c>
      <c r="F532" s="25">
        <v>100</v>
      </c>
      <c r="G532" s="25">
        <v>589</v>
      </c>
      <c r="H532" s="25">
        <v>250</v>
      </c>
      <c r="I532" s="22">
        <v>939</v>
      </c>
      <c r="J532" s="112">
        <v>313</v>
      </c>
      <c r="K532" s="109">
        <v>0.65349999999999997</v>
      </c>
      <c r="L532" s="110" t="s">
        <v>3618</v>
      </c>
      <c r="M532" s="111" t="s">
        <v>3638</v>
      </c>
    </row>
    <row r="533" spans="1:13" ht="15.75" customHeight="1">
      <c r="A533" s="19">
        <v>531</v>
      </c>
      <c r="B533" s="36" t="s">
        <v>3627</v>
      </c>
      <c r="C533" s="20" t="s">
        <v>795</v>
      </c>
      <c r="D533" s="20" t="s">
        <v>796</v>
      </c>
      <c r="E533" s="20" t="s">
        <v>797</v>
      </c>
      <c r="F533" s="21">
        <v>184</v>
      </c>
      <c r="G533" s="21">
        <v>36</v>
      </c>
      <c r="H533" s="21">
        <v>300</v>
      </c>
      <c r="I533" s="22">
        <v>522</v>
      </c>
      <c r="J533" s="108">
        <v>173.3</v>
      </c>
      <c r="K533" s="109">
        <v>0.62329999999999997</v>
      </c>
      <c r="L533" s="110" t="s">
        <v>3618</v>
      </c>
      <c r="M533" s="111" t="s">
        <v>3638</v>
      </c>
    </row>
    <row r="534" spans="1:13" ht="15.75" customHeight="1">
      <c r="A534" s="23">
        <v>532</v>
      </c>
      <c r="B534" s="36" t="s">
        <v>3627</v>
      </c>
      <c r="C534" s="24" t="s">
        <v>675</v>
      </c>
      <c r="D534" s="24" t="s">
        <v>370</v>
      </c>
      <c r="E534" s="24" t="s">
        <v>676</v>
      </c>
      <c r="F534" s="25">
        <v>2747</v>
      </c>
      <c r="G534" s="25">
        <v>5507</v>
      </c>
      <c r="H534" s="25">
        <v>897</v>
      </c>
      <c r="I534" s="22">
        <v>9535</v>
      </c>
      <c r="J534" s="112">
        <v>3050.3</v>
      </c>
      <c r="K534" s="109">
        <v>0.621</v>
      </c>
      <c r="L534" s="110" t="s">
        <v>3618</v>
      </c>
      <c r="M534" s="111" t="s">
        <v>3638</v>
      </c>
    </row>
    <row r="535" spans="1:13" ht="15.75" customHeight="1">
      <c r="A535" s="19">
        <v>533</v>
      </c>
      <c r="B535" s="36" t="s">
        <v>3627</v>
      </c>
      <c r="C535" s="20" t="s">
        <v>643</v>
      </c>
      <c r="D535" s="20" t="s">
        <v>644</v>
      </c>
      <c r="E535" s="20" t="s">
        <v>645</v>
      </c>
      <c r="F535" s="21">
        <v>12</v>
      </c>
      <c r="G535" s="21">
        <v>128</v>
      </c>
      <c r="H535" s="21">
        <v>100</v>
      </c>
      <c r="I535" s="22">
        <v>240</v>
      </c>
      <c r="J535" s="108">
        <v>80</v>
      </c>
      <c r="K535" s="109">
        <v>0.61780000000000002</v>
      </c>
      <c r="L535" s="110" t="s">
        <v>3618</v>
      </c>
      <c r="M535" s="111" t="s">
        <v>3638</v>
      </c>
    </row>
    <row r="536" spans="1:13" ht="15.75" customHeight="1">
      <c r="A536" s="23">
        <v>534</v>
      </c>
      <c r="B536" s="36" t="s">
        <v>3627</v>
      </c>
      <c r="C536" s="24" t="s">
        <v>804</v>
      </c>
      <c r="D536" s="24" t="s">
        <v>805</v>
      </c>
      <c r="E536" s="24" t="s">
        <v>806</v>
      </c>
      <c r="F536" s="25">
        <v>301</v>
      </c>
      <c r="G536" s="25">
        <v>150</v>
      </c>
      <c r="H536" s="25">
        <v>50</v>
      </c>
      <c r="I536" s="22">
        <v>501</v>
      </c>
      <c r="J536" s="112">
        <v>167</v>
      </c>
      <c r="K536" s="109">
        <v>0.61780000000000002</v>
      </c>
      <c r="L536" s="110" t="s">
        <v>3618</v>
      </c>
      <c r="M536" s="111" t="s">
        <v>3638</v>
      </c>
    </row>
    <row r="537" spans="1:13" ht="15.75" customHeight="1">
      <c r="A537" s="19">
        <v>535</v>
      </c>
      <c r="B537" s="36" t="s">
        <v>3627</v>
      </c>
      <c r="C537" s="20" t="s">
        <v>1028</v>
      </c>
      <c r="D537" s="20" t="s">
        <v>558</v>
      </c>
      <c r="E537" s="20" t="s">
        <v>1029</v>
      </c>
      <c r="F537" s="21">
        <v>100</v>
      </c>
      <c r="G537" s="21">
        <v>80</v>
      </c>
      <c r="H537" s="21">
        <v>10</v>
      </c>
      <c r="I537" s="22">
        <v>190</v>
      </c>
      <c r="J537" s="108">
        <v>63.3</v>
      </c>
      <c r="K537" s="109">
        <v>0.60929999999999995</v>
      </c>
      <c r="L537" s="110" t="s">
        <v>3618</v>
      </c>
      <c r="M537" s="111" t="s">
        <v>3638</v>
      </c>
    </row>
    <row r="538" spans="1:13" ht="15.75" customHeight="1">
      <c r="A538" s="23">
        <v>536</v>
      </c>
      <c r="B538" s="36" t="s">
        <v>3627</v>
      </c>
      <c r="C538" s="24" t="s">
        <v>573</v>
      </c>
      <c r="D538" s="24" t="s">
        <v>574</v>
      </c>
      <c r="E538" s="24" t="s">
        <v>575</v>
      </c>
      <c r="F538" s="25">
        <v>596</v>
      </c>
      <c r="G538" s="25">
        <v>1006</v>
      </c>
      <c r="H538" s="25">
        <v>140</v>
      </c>
      <c r="I538" s="22">
        <v>2082</v>
      </c>
      <c r="J538" s="112">
        <v>580.70000000000005</v>
      </c>
      <c r="K538" s="109">
        <v>0.60909999999999997</v>
      </c>
      <c r="L538" s="110" t="s">
        <v>3618</v>
      </c>
      <c r="M538" s="111" t="s">
        <v>3638</v>
      </c>
    </row>
    <row r="539" spans="1:13" ht="15.75" customHeight="1">
      <c r="A539" s="19">
        <v>537</v>
      </c>
      <c r="B539" s="36" t="s">
        <v>3627</v>
      </c>
      <c r="C539" s="20" t="s">
        <v>622</v>
      </c>
      <c r="D539" s="20" t="s">
        <v>623</v>
      </c>
      <c r="E539" s="20" t="s">
        <v>624</v>
      </c>
      <c r="F539" s="21">
        <v>100</v>
      </c>
      <c r="G539" s="21">
        <v>10</v>
      </c>
      <c r="H539" s="21">
        <v>98</v>
      </c>
      <c r="I539" s="22">
        <v>208</v>
      </c>
      <c r="J539" s="108">
        <v>69.3</v>
      </c>
      <c r="K539" s="109">
        <v>0.60519999999999996</v>
      </c>
      <c r="L539" s="110" t="s">
        <v>3618</v>
      </c>
      <c r="M539" s="111" t="s">
        <v>3638</v>
      </c>
    </row>
    <row r="540" spans="1:13" ht="15.75" customHeight="1">
      <c r="A540" s="23">
        <v>538</v>
      </c>
      <c r="B540" s="36" t="s">
        <v>3627</v>
      </c>
      <c r="C540" s="24" t="s">
        <v>854</v>
      </c>
      <c r="D540" s="24" t="s">
        <v>855</v>
      </c>
      <c r="E540" s="24" t="s">
        <v>856</v>
      </c>
      <c r="F540" s="25">
        <v>530</v>
      </c>
      <c r="G540" s="25">
        <v>80</v>
      </c>
      <c r="H540" s="25">
        <v>315</v>
      </c>
      <c r="I540" s="22">
        <v>925</v>
      </c>
      <c r="J540" s="112">
        <v>308.3</v>
      </c>
      <c r="K540" s="109">
        <v>0.59599999999999997</v>
      </c>
      <c r="L540" s="110" t="s">
        <v>3618</v>
      </c>
      <c r="M540" s="111" t="s">
        <v>3638</v>
      </c>
    </row>
    <row r="541" spans="1:13" ht="15.75" customHeight="1">
      <c r="A541" s="19">
        <v>539</v>
      </c>
      <c r="B541" s="36" t="s">
        <v>3627</v>
      </c>
      <c r="C541" s="20" t="s">
        <v>874</v>
      </c>
      <c r="D541" s="20" t="s">
        <v>875</v>
      </c>
      <c r="E541" s="20" t="s">
        <v>876</v>
      </c>
      <c r="F541" s="21">
        <v>49</v>
      </c>
      <c r="G541" s="21">
        <v>191</v>
      </c>
      <c r="H541" s="21">
        <v>73</v>
      </c>
      <c r="I541" s="22">
        <v>319</v>
      </c>
      <c r="J541" s="108">
        <v>104.3</v>
      </c>
      <c r="K541" s="109">
        <v>0.5948</v>
      </c>
      <c r="L541" s="110" t="s">
        <v>3618</v>
      </c>
      <c r="M541" s="111" t="s">
        <v>3638</v>
      </c>
    </row>
    <row r="542" spans="1:13" ht="15.75" customHeight="1">
      <c r="A542" s="23">
        <v>540</v>
      </c>
      <c r="B542" s="36" t="s">
        <v>3627</v>
      </c>
      <c r="C542" s="24" t="s">
        <v>611</v>
      </c>
      <c r="D542" s="24" t="s">
        <v>612</v>
      </c>
      <c r="E542" s="24" t="s">
        <v>613</v>
      </c>
      <c r="F542" s="25">
        <v>64</v>
      </c>
      <c r="G542" s="25">
        <v>86</v>
      </c>
      <c r="H542" s="25">
        <v>235</v>
      </c>
      <c r="I542" s="22">
        <v>385</v>
      </c>
      <c r="J542" s="112">
        <v>128.30000000000001</v>
      </c>
      <c r="K542" s="109">
        <v>0.59189999999999998</v>
      </c>
      <c r="L542" s="110" t="s">
        <v>3618</v>
      </c>
      <c r="M542" s="111" t="s">
        <v>3638</v>
      </c>
    </row>
    <row r="543" spans="1:13" ht="15.75" customHeight="1">
      <c r="A543" s="19">
        <v>541</v>
      </c>
      <c r="B543" s="36" t="s">
        <v>3627</v>
      </c>
      <c r="C543" s="20" t="s">
        <v>848</v>
      </c>
      <c r="D543" s="20" t="s">
        <v>849</v>
      </c>
      <c r="E543" s="20" t="s">
        <v>850</v>
      </c>
      <c r="F543" s="21">
        <v>1499</v>
      </c>
      <c r="G543" s="21">
        <v>258</v>
      </c>
      <c r="H543" s="21">
        <v>816</v>
      </c>
      <c r="I543" s="22">
        <v>2683</v>
      </c>
      <c r="J543" s="108">
        <v>857.7</v>
      </c>
      <c r="K543" s="109">
        <v>0.5917</v>
      </c>
      <c r="L543" s="110" t="s">
        <v>3618</v>
      </c>
      <c r="M543" s="111" t="s">
        <v>3638</v>
      </c>
    </row>
    <row r="544" spans="1:13" ht="15.75" customHeight="1">
      <c r="A544" s="23">
        <v>542</v>
      </c>
      <c r="B544" s="36" t="s">
        <v>3627</v>
      </c>
      <c r="C544" s="24" t="s">
        <v>746</v>
      </c>
      <c r="D544" s="24" t="s">
        <v>747</v>
      </c>
      <c r="E544" s="24" t="s">
        <v>748</v>
      </c>
      <c r="F544" s="25">
        <v>202</v>
      </c>
      <c r="G544" s="25">
        <v>135</v>
      </c>
      <c r="H544" s="25">
        <v>518</v>
      </c>
      <c r="I544" s="22">
        <v>902</v>
      </c>
      <c r="J544" s="112">
        <v>285</v>
      </c>
      <c r="K544" s="109">
        <v>0.58599999999999997</v>
      </c>
      <c r="L544" s="110" t="s">
        <v>3618</v>
      </c>
      <c r="M544" s="111" t="s">
        <v>3638</v>
      </c>
    </row>
    <row r="545" spans="1:13" ht="15.75" customHeight="1">
      <c r="A545" s="19">
        <v>543</v>
      </c>
      <c r="B545" s="36" t="s">
        <v>3627</v>
      </c>
      <c r="C545" s="20" t="s">
        <v>1046</v>
      </c>
      <c r="D545" s="20" t="s">
        <v>354</v>
      </c>
      <c r="E545" s="20" t="s">
        <v>1047</v>
      </c>
      <c r="F545" s="21">
        <v>60</v>
      </c>
      <c r="G545" s="21">
        <v>30</v>
      </c>
      <c r="H545" s="21">
        <v>130</v>
      </c>
      <c r="I545" s="22">
        <v>220</v>
      </c>
      <c r="J545" s="108">
        <v>73.3</v>
      </c>
      <c r="K545" s="109">
        <v>0.57140000000000002</v>
      </c>
      <c r="L545" s="110" t="s">
        <v>3618</v>
      </c>
      <c r="M545" s="111" t="s">
        <v>3638</v>
      </c>
    </row>
    <row r="546" spans="1:13" ht="15.75" customHeight="1">
      <c r="A546" s="23">
        <v>544</v>
      </c>
      <c r="B546" s="36" t="s">
        <v>3627</v>
      </c>
      <c r="C546" s="24" t="s">
        <v>532</v>
      </c>
      <c r="D546" s="24" t="s">
        <v>533</v>
      </c>
      <c r="E546" s="24" t="s">
        <v>534</v>
      </c>
      <c r="F546" s="25">
        <v>361</v>
      </c>
      <c r="G546" s="25">
        <v>103</v>
      </c>
      <c r="H546" s="25">
        <v>137</v>
      </c>
      <c r="I546" s="22">
        <v>601</v>
      </c>
      <c r="J546" s="112">
        <v>200.3</v>
      </c>
      <c r="K546" s="109">
        <v>0.57130000000000003</v>
      </c>
      <c r="L546" s="110" t="s">
        <v>3618</v>
      </c>
      <c r="M546" s="111" t="s">
        <v>3638</v>
      </c>
    </row>
    <row r="547" spans="1:13" ht="15.75" customHeight="1">
      <c r="A547" s="19">
        <v>545</v>
      </c>
      <c r="B547" s="36" t="s">
        <v>3627</v>
      </c>
      <c r="C547" s="20" t="s">
        <v>895</v>
      </c>
      <c r="D547" s="20" t="s">
        <v>896</v>
      </c>
      <c r="E547" s="20" t="s">
        <v>897</v>
      </c>
      <c r="F547" s="21">
        <v>1653</v>
      </c>
      <c r="G547" s="21">
        <v>646</v>
      </c>
      <c r="H547" s="21">
        <v>463</v>
      </c>
      <c r="I547" s="22">
        <v>3552</v>
      </c>
      <c r="J547" s="108">
        <v>920.7</v>
      </c>
      <c r="K547" s="109">
        <v>0.56830000000000003</v>
      </c>
      <c r="L547" s="110" t="s">
        <v>3618</v>
      </c>
      <c r="M547" s="111" t="s">
        <v>3638</v>
      </c>
    </row>
    <row r="548" spans="1:13" ht="15.75" customHeight="1">
      <c r="A548" s="23">
        <v>546</v>
      </c>
      <c r="B548" s="36" t="s">
        <v>3627</v>
      </c>
      <c r="C548" s="24" t="s">
        <v>986</v>
      </c>
      <c r="D548" s="24" t="s">
        <v>370</v>
      </c>
      <c r="E548" s="24" t="s">
        <v>987</v>
      </c>
      <c r="F548" s="25">
        <v>150</v>
      </c>
      <c r="G548" s="25">
        <v>50</v>
      </c>
      <c r="H548" s="25">
        <v>50</v>
      </c>
      <c r="I548" s="22">
        <v>250</v>
      </c>
      <c r="J548" s="112">
        <v>83.3</v>
      </c>
      <c r="K548" s="109">
        <v>0.56569999999999998</v>
      </c>
      <c r="L548" s="110" t="s">
        <v>3618</v>
      </c>
      <c r="M548" s="111" t="s">
        <v>3638</v>
      </c>
    </row>
    <row r="549" spans="1:13" ht="15.75" customHeight="1">
      <c r="A549" s="19">
        <v>547</v>
      </c>
      <c r="B549" s="36" t="s">
        <v>3627</v>
      </c>
      <c r="C549" s="20" t="s">
        <v>845</v>
      </c>
      <c r="D549" s="20" t="s">
        <v>846</v>
      </c>
      <c r="E549" s="20" t="s">
        <v>847</v>
      </c>
      <c r="F549" s="21">
        <v>771</v>
      </c>
      <c r="G549" s="21">
        <v>153</v>
      </c>
      <c r="H549" s="21">
        <v>951</v>
      </c>
      <c r="I549" s="22">
        <v>2183</v>
      </c>
      <c r="J549" s="108">
        <v>625</v>
      </c>
      <c r="K549" s="109">
        <v>0.54679999999999995</v>
      </c>
      <c r="L549" s="110" t="s">
        <v>3618</v>
      </c>
      <c r="M549" s="111" t="s">
        <v>3638</v>
      </c>
    </row>
    <row r="550" spans="1:13" ht="15.75" customHeight="1">
      <c r="A550" s="23">
        <v>548</v>
      </c>
      <c r="B550" s="36" t="s">
        <v>3627</v>
      </c>
      <c r="C550" s="24" t="s">
        <v>871</v>
      </c>
      <c r="D550" s="24" t="s">
        <v>872</v>
      </c>
      <c r="E550" s="24" t="s">
        <v>873</v>
      </c>
      <c r="F550" s="25">
        <v>253</v>
      </c>
      <c r="G550" s="25">
        <v>48</v>
      </c>
      <c r="H550" s="25">
        <v>275</v>
      </c>
      <c r="I550" s="22">
        <v>626</v>
      </c>
      <c r="J550" s="112">
        <v>192</v>
      </c>
      <c r="K550" s="109">
        <v>0.53239999999999998</v>
      </c>
      <c r="L550" s="110" t="s">
        <v>3618</v>
      </c>
      <c r="M550" s="111" t="s">
        <v>3638</v>
      </c>
    </row>
    <row r="551" spans="1:13" ht="15.75" customHeight="1">
      <c r="A551" s="19">
        <v>549</v>
      </c>
      <c r="B551" s="36" t="s">
        <v>3627</v>
      </c>
      <c r="C551" s="20" t="s">
        <v>831</v>
      </c>
      <c r="D551" s="20" t="s">
        <v>832</v>
      </c>
      <c r="E551" s="20" t="s">
        <v>833</v>
      </c>
      <c r="F551" s="21">
        <v>1495</v>
      </c>
      <c r="G551" s="21">
        <v>401</v>
      </c>
      <c r="H551" s="21">
        <v>706</v>
      </c>
      <c r="I551" s="22">
        <v>3057</v>
      </c>
      <c r="J551" s="108">
        <v>867.3</v>
      </c>
      <c r="K551" s="109">
        <v>0.53149999999999997</v>
      </c>
      <c r="L551" s="110" t="s">
        <v>3618</v>
      </c>
      <c r="M551" s="111" t="s">
        <v>3638</v>
      </c>
    </row>
    <row r="552" spans="1:13" ht="15.75" customHeight="1">
      <c r="A552" s="23">
        <v>550</v>
      </c>
      <c r="B552" s="36" t="s">
        <v>3627</v>
      </c>
      <c r="C552" s="24" t="s">
        <v>677</v>
      </c>
      <c r="D552" s="24" t="s">
        <v>678</v>
      </c>
      <c r="E552" s="24" t="s">
        <v>679</v>
      </c>
      <c r="F552" s="25">
        <v>979</v>
      </c>
      <c r="G552" s="25">
        <v>900</v>
      </c>
      <c r="H552" s="25">
        <v>2582</v>
      </c>
      <c r="I552" s="22">
        <v>4845</v>
      </c>
      <c r="J552" s="112">
        <v>1487</v>
      </c>
      <c r="K552" s="109">
        <v>0.5212</v>
      </c>
      <c r="L552" s="110" t="s">
        <v>3618</v>
      </c>
      <c r="M552" s="111" t="s">
        <v>3638</v>
      </c>
    </row>
    <row r="553" spans="1:13" ht="15.75" customHeight="1">
      <c r="A553" s="19">
        <v>551</v>
      </c>
      <c r="B553" s="36" t="s">
        <v>3627</v>
      </c>
      <c r="C553" s="20" t="s">
        <v>494</v>
      </c>
      <c r="D553" s="20" t="s">
        <v>495</v>
      </c>
      <c r="E553" s="20"/>
      <c r="F553" s="21">
        <v>169</v>
      </c>
      <c r="G553" s="21">
        <v>341</v>
      </c>
      <c r="H553" s="21">
        <v>92</v>
      </c>
      <c r="I553" s="22">
        <v>612</v>
      </c>
      <c r="J553" s="108">
        <v>200.7</v>
      </c>
      <c r="K553" s="109">
        <v>0.51870000000000005</v>
      </c>
      <c r="L553" s="110" t="s">
        <v>3618</v>
      </c>
      <c r="M553" s="111" t="s">
        <v>3638</v>
      </c>
    </row>
    <row r="554" spans="1:13" ht="15.75" customHeight="1">
      <c r="A554" s="23">
        <v>552</v>
      </c>
      <c r="B554" s="36" t="s">
        <v>3627</v>
      </c>
      <c r="C554" s="24" t="s">
        <v>705</v>
      </c>
      <c r="D554" s="24" t="s">
        <v>480</v>
      </c>
      <c r="E554" s="24" t="s">
        <v>706</v>
      </c>
      <c r="F554" s="25">
        <v>137</v>
      </c>
      <c r="G554" s="25">
        <v>668</v>
      </c>
      <c r="H554" s="25">
        <v>692</v>
      </c>
      <c r="I554" s="22">
        <v>1833</v>
      </c>
      <c r="J554" s="112">
        <v>499</v>
      </c>
      <c r="K554" s="109">
        <v>0.51329999999999998</v>
      </c>
      <c r="L554" s="110" t="s">
        <v>3618</v>
      </c>
      <c r="M554" s="111" t="s">
        <v>3638</v>
      </c>
    </row>
    <row r="555" spans="1:13" ht="15.75" customHeight="1">
      <c r="A555" s="19">
        <v>553</v>
      </c>
      <c r="B555" s="36" t="s">
        <v>3627</v>
      </c>
      <c r="C555" s="20" t="s">
        <v>631</v>
      </c>
      <c r="D555" s="20" t="s">
        <v>632</v>
      </c>
      <c r="E555" s="20" t="s">
        <v>633</v>
      </c>
      <c r="F555" s="21">
        <v>28</v>
      </c>
      <c r="G555" s="21">
        <v>50</v>
      </c>
      <c r="H555" s="21">
        <v>100</v>
      </c>
      <c r="I555" s="22">
        <v>178</v>
      </c>
      <c r="J555" s="108">
        <v>59.3</v>
      </c>
      <c r="K555" s="109">
        <v>0.50770000000000004</v>
      </c>
      <c r="L555" s="110" t="s">
        <v>3618</v>
      </c>
      <c r="M555" s="111" t="s">
        <v>3638</v>
      </c>
    </row>
    <row r="556" spans="1:13" ht="15.75" customHeight="1">
      <c r="A556" s="23">
        <v>554</v>
      </c>
      <c r="B556" s="36" t="s">
        <v>3627</v>
      </c>
      <c r="C556" s="24" t="s">
        <v>555</v>
      </c>
      <c r="D556" s="24" t="s">
        <v>556</v>
      </c>
      <c r="E556" s="24"/>
      <c r="F556" s="25">
        <v>1</v>
      </c>
      <c r="G556" s="25">
        <v>35</v>
      </c>
      <c r="H556" s="25"/>
      <c r="I556" s="22">
        <v>36</v>
      </c>
      <c r="J556" s="112">
        <v>12</v>
      </c>
      <c r="K556" s="113">
        <v>1.3556999999999999</v>
      </c>
      <c r="L556" s="114" t="s">
        <v>3619</v>
      </c>
      <c r="M556" s="115" t="s">
        <v>3639</v>
      </c>
    </row>
    <row r="557" spans="1:13" ht="15.75" customHeight="1">
      <c r="A557" s="19">
        <v>555</v>
      </c>
      <c r="B557" s="36" t="s">
        <v>3627</v>
      </c>
      <c r="C557" s="20" t="s">
        <v>2518</v>
      </c>
      <c r="D557" s="20" t="s">
        <v>2519</v>
      </c>
      <c r="E557" s="20"/>
      <c r="F557" s="21"/>
      <c r="G557" s="21">
        <v>100</v>
      </c>
      <c r="H557" s="21">
        <v>3</v>
      </c>
      <c r="I557" s="22">
        <v>113</v>
      </c>
      <c r="J557" s="108">
        <v>34.299999999999997</v>
      </c>
      <c r="K557" s="113">
        <v>1.3529</v>
      </c>
      <c r="L557" s="114" t="s">
        <v>3619</v>
      </c>
      <c r="M557" s="115" t="s">
        <v>3639</v>
      </c>
    </row>
    <row r="558" spans="1:13" ht="15.75" customHeight="1">
      <c r="A558" s="23">
        <v>556</v>
      </c>
      <c r="B558" s="36" t="s">
        <v>3627</v>
      </c>
      <c r="C558" s="24" t="s">
        <v>1123</v>
      </c>
      <c r="D558" s="24" t="s">
        <v>666</v>
      </c>
      <c r="E558" s="24" t="s">
        <v>1124</v>
      </c>
      <c r="F558" s="25">
        <v>81</v>
      </c>
      <c r="G558" s="25">
        <v>3</v>
      </c>
      <c r="H558" s="25"/>
      <c r="I558" s="22">
        <v>84</v>
      </c>
      <c r="J558" s="112">
        <v>28</v>
      </c>
      <c r="K558" s="113">
        <v>1.3391999999999999</v>
      </c>
      <c r="L558" s="114" t="s">
        <v>3619</v>
      </c>
      <c r="M558" s="115" t="s">
        <v>3639</v>
      </c>
    </row>
    <row r="559" spans="1:13" ht="15.75" customHeight="1">
      <c r="A559" s="19">
        <v>557</v>
      </c>
      <c r="B559" s="36" t="s">
        <v>3627</v>
      </c>
      <c r="C559" s="20" t="s">
        <v>2509</v>
      </c>
      <c r="D559" s="20" t="s">
        <v>2510</v>
      </c>
      <c r="E559" s="20"/>
      <c r="F559" s="21"/>
      <c r="G559" s="21">
        <v>130</v>
      </c>
      <c r="H559" s="21">
        <v>5</v>
      </c>
      <c r="I559" s="22">
        <v>135</v>
      </c>
      <c r="J559" s="108">
        <v>45</v>
      </c>
      <c r="K559" s="113">
        <v>1.3364</v>
      </c>
      <c r="L559" s="114" t="s">
        <v>3619</v>
      </c>
      <c r="M559" s="115" t="s">
        <v>3639</v>
      </c>
    </row>
    <row r="560" spans="1:13" ht="15.75" customHeight="1">
      <c r="A560" s="23">
        <v>558</v>
      </c>
      <c r="B560" s="36" t="s">
        <v>3627</v>
      </c>
      <c r="C560" s="24" t="s">
        <v>792</v>
      </c>
      <c r="D560" s="24" t="s">
        <v>793</v>
      </c>
      <c r="E560" s="24" t="s">
        <v>794</v>
      </c>
      <c r="F560" s="25">
        <v>100</v>
      </c>
      <c r="G560" s="25"/>
      <c r="H560" s="25">
        <v>4</v>
      </c>
      <c r="I560" s="22">
        <v>104</v>
      </c>
      <c r="J560" s="112">
        <v>34.700000000000003</v>
      </c>
      <c r="K560" s="113">
        <v>1.3334999999999999</v>
      </c>
      <c r="L560" s="114" t="s">
        <v>3619</v>
      </c>
      <c r="M560" s="115" t="s">
        <v>3639</v>
      </c>
    </row>
    <row r="561" spans="1:13" ht="15.75" customHeight="1">
      <c r="A561" s="19">
        <v>559</v>
      </c>
      <c r="B561" s="36" t="s">
        <v>3627</v>
      </c>
      <c r="C561" s="20" t="s">
        <v>2474</v>
      </c>
      <c r="D561" s="20" t="s">
        <v>2475</v>
      </c>
      <c r="E561" s="20"/>
      <c r="F561" s="21"/>
      <c r="G561" s="21">
        <v>146</v>
      </c>
      <c r="H561" s="21">
        <v>6</v>
      </c>
      <c r="I561" s="22">
        <v>162</v>
      </c>
      <c r="J561" s="108">
        <v>50.7</v>
      </c>
      <c r="K561" s="113">
        <v>1.3313999999999999</v>
      </c>
      <c r="L561" s="114" t="s">
        <v>3619</v>
      </c>
      <c r="M561" s="115" t="s">
        <v>3639</v>
      </c>
    </row>
    <row r="562" spans="1:13" ht="15.75" customHeight="1">
      <c r="A562" s="23">
        <v>560</v>
      </c>
      <c r="B562" s="36" t="s">
        <v>3627</v>
      </c>
      <c r="C562" s="24" t="s">
        <v>366</v>
      </c>
      <c r="D562" s="24" t="s">
        <v>367</v>
      </c>
      <c r="E562" s="24" t="s">
        <v>368</v>
      </c>
      <c r="F562" s="25">
        <v>102</v>
      </c>
      <c r="G562" s="25">
        <v>6</v>
      </c>
      <c r="H562" s="25"/>
      <c r="I562" s="22">
        <v>108</v>
      </c>
      <c r="J562" s="112">
        <v>36</v>
      </c>
      <c r="K562" s="113">
        <v>1.2981</v>
      </c>
      <c r="L562" s="114" t="s">
        <v>3619</v>
      </c>
      <c r="M562" s="115" t="s">
        <v>3639</v>
      </c>
    </row>
    <row r="563" spans="1:13" ht="15.75" customHeight="1">
      <c r="A563" s="19">
        <v>561</v>
      </c>
      <c r="B563" s="36" t="s">
        <v>3627</v>
      </c>
      <c r="C563" s="20" t="s">
        <v>1145</v>
      </c>
      <c r="D563" s="20" t="s">
        <v>1146</v>
      </c>
      <c r="E563" s="20"/>
      <c r="F563" s="21">
        <v>4</v>
      </c>
      <c r="G563" s="21">
        <v>68</v>
      </c>
      <c r="H563" s="21"/>
      <c r="I563" s="22">
        <v>72</v>
      </c>
      <c r="J563" s="108">
        <v>24</v>
      </c>
      <c r="K563" s="113">
        <v>1.2981</v>
      </c>
      <c r="L563" s="114" t="s">
        <v>3619</v>
      </c>
      <c r="M563" s="115" t="s">
        <v>3639</v>
      </c>
    </row>
    <row r="564" spans="1:13" ht="15.75" customHeight="1">
      <c r="A564" s="23">
        <v>562</v>
      </c>
      <c r="B564" s="36" t="s">
        <v>3627</v>
      </c>
      <c r="C564" s="24" t="s">
        <v>1161</v>
      </c>
      <c r="D564" s="24" t="s">
        <v>485</v>
      </c>
      <c r="E564" s="24" t="s">
        <v>1162</v>
      </c>
      <c r="F564" s="25">
        <v>5</v>
      </c>
      <c r="G564" s="25"/>
      <c r="H564" s="25">
        <v>85</v>
      </c>
      <c r="I564" s="22">
        <v>90</v>
      </c>
      <c r="J564" s="112">
        <v>30</v>
      </c>
      <c r="K564" s="113">
        <v>1.2981</v>
      </c>
      <c r="L564" s="114" t="s">
        <v>3619</v>
      </c>
      <c r="M564" s="115" t="s">
        <v>3639</v>
      </c>
    </row>
    <row r="565" spans="1:13" ht="15.75" customHeight="1">
      <c r="A565" s="19">
        <v>563</v>
      </c>
      <c r="B565" s="36" t="s">
        <v>3627</v>
      </c>
      <c r="C565" s="20" t="s">
        <v>2679</v>
      </c>
      <c r="D565" s="20" t="s">
        <v>1260</v>
      </c>
      <c r="E565" s="20" t="s">
        <v>613</v>
      </c>
      <c r="F565" s="21"/>
      <c r="G565" s="21">
        <v>3</v>
      </c>
      <c r="H565" s="21">
        <v>50</v>
      </c>
      <c r="I565" s="22">
        <v>58</v>
      </c>
      <c r="J565" s="108">
        <v>17.7</v>
      </c>
      <c r="K565" s="113">
        <v>1.296</v>
      </c>
      <c r="L565" s="114" t="s">
        <v>3619</v>
      </c>
      <c r="M565" s="115" t="s">
        <v>3639</v>
      </c>
    </row>
    <row r="566" spans="1:13" ht="15.75" customHeight="1">
      <c r="A566" s="23">
        <v>564</v>
      </c>
      <c r="B566" s="36" t="s">
        <v>3627</v>
      </c>
      <c r="C566" s="24" t="s">
        <v>1225</v>
      </c>
      <c r="D566" s="24" t="s">
        <v>591</v>
      </c>
      <c r="E566" s="26" t="s">
        <v>1226</v>
      </c>
      <c r="F566" s="25">
        <v>80</v>
      </c>
      <c r="G566" s="25">
        <v>5</v>
      </c>
      <c r="H566" s="25"/>
      <c r="I566" s="22">
        <v>85</v>
      </c>
      <c r="J566" s="112">
        <v>28.3</v>
      </c>
      <c r="K566" s="113">
        <v>1.2914000000000001</v>
      </c>
      <c r="L566" s="114" t="s">
        <v>3619</v>
      </c>
      <c r="M566" s="115" t="s">
        <v>3639</v>
      </c>
    </row>
    <row r="567" spans="1:13" ht="15.75" customHeight="1">
      <c r="A567" s="19">
        <v>565</v>
      </c>
      <c r="B567" s="36" t="s">
        <v>3627</v>
      </c>
      <c r="C567" s="20" t="s">
        <v>1133</v>
      </c>
      <c r="D567" s="20" t="s">
        <v>708</v>
      </c>
      <c r="E567" s="20" t="s">
        <v>1134</v>
      </c>
      <c r="F567" s="21">
        <v>81</v>
      </c>
      <c r="G567" s="21">
        <v>6</v>
      </c>
      <c r="H567" s="21"/>
      <c r="I567" s="22">
        <v>87</v>
      </c>
      <c r="J567" s="108">
        <v>29</v>
      </c>
      <c r="K567" s="113">
        <v>1.2706999999999999</v>
      </c>
      <c r="L567" s="114" t="s">
        <v>3619</v>
      </c>
      <c r="M567" s="115" t="s">
        <v>3639</v>
      </c>
    </row>
    <row r="568" spans="1:13" ht="15.75" customHeight="1">
      <c r="A568" s="23">
        <v>566</v>
      </c>
      <c r="B568" s="36" t="s">
        <v>3627</v>
      </c>
      <c r="C568" s="24" t="s">
        <v>2642</v>
      </c>
      <c r="D568" s="24" t="s">
        <v>2643</v>
      </c>
      <c r="E568" s="24"/>
      <c r="F568" s="25"/>
      <c r="G568" s="25">
        <v>3</v>
      </c>
      <c r="H568" s="25">
        <v>38</v>
      </c>
      <c r="I568" s="22">
        <v>41</v>
      </c>
      <c r="J568" s="112">
        <v>13.7</v>
      </c>
      <c r="K568" s="113">
        <v>1.2622</v>
      </c>
      <c r="L568" s="114" t="s">
        <v>3619</v>
      </c>
      <c r="M568" s="115" t="s">
        <v>3639</v>
      </c>
    </row>
    <row r="569" spans="1:13" ht="15.75" customHeight="1">
      <c r="A569" s="19">
        <v>567</v>
      </c>
      <c r="B569" s="36" t="s">
        <v>3627</v>
      </c>
      <c r="C569" s="20" t="s">
        <v>2710</v>
      </c>
      <c r="D569" s="20" t="s">
        <v>2711</v>
      </c>
      <c r="E569" s="20"/>
      <c r="F569" s="21"/>
      <c r="G569" s="21">
        <v>55</v>
      </c>
      <c r="H569" s="21">
        <v>5</v>
      </c>
      <c r="I569" s="22">
        <v>70</v>
      </c>
      <c r="J569" s="108">
        <v>20</v>
      </c>
      <c r="K569" s="113">
        <v>1.2416</v>
      </c>
      <c r="L569" s="114" t="s">
        <v>3619</v>
      </c>
      <c r="M569" s="115" t="s">
        <v>3639</v>
      </c>
    </row>
    <row r="570" spans="1:13" ht="15.75" customHeight="1">
      <c r="A570" s="23">
        <v>568</v>
      </c>
      <c r="B570" s="36" t="s">
        <v>3627</v>
      </c>
      <c r="C570" s="24" t="s">
        <v>1152</v>
      </c>
      <c r="D570" s="24" t="s">
        <v>1153</v>
      </c>
      <c r="E570" s="26" t="s">
        <v>1154</v>
      </c>
      <c r="F570" s="25">
        <v>1</v>
      </c>
      <c r="G570" s="25">
        <v>10</v>
      </c>
      <c r="H570" s="25"/>
      <c r="I570" s="22">
        <v>11</v>
      </c>
      <c r="J570" s="112">
        <v>3.7</v>
      </c>
      <c r="K570" s="113">
        <v>1.2263999999999999</v>
      </c>
      <c r="L570" s="114" t="s">
        <v>3619</v>
      </c>
      <c r="M570" s="115" t="s">
        <v>3639</v>
      </c>
    </row>
    <row r="571" spans="1:13" ht="15.75" customHeight="1">
      <c r="A571" s="19">
        <v>569</v>
      </c>
      <c r="B571" s="36" t="s">
        <v>3627</v>
      </c>
      <c r="C571" s="20" t="s">
        <v>2731</v>
      </c>
      <c r="D571" s="20" t="s">
        <v>2732</v>
      </c>
      <c r="E571" s="20"/>
      <c r="F571" s="21"/>
      <c r="G571" s="21">
        <v>50</v>
      </c>
      <c r="H571" s="21">
        <v>5</v>
      </c>
      <c r="I571" s="22">
        <v>65</v>
      </c>
      <c r="J571" s="108">
        <v>18.3</v>
      </c>
      <c r="K571" s="113">
        <v>1.2263999999999999</v>
      </c>
      <c r="L571" s="114" t="s">
        <v>3619</v>
      </c>
      <c r="M571" s="115" t="s">
        <v>3639</v>
      </c>
    </row>
    <row r="572" spans="1:13" ht="15.75" customHeight="1">
      <c r="A572" s="23">
        <v>570</v>
      </c>
      <c r="B572" s="36" t="s">
        <v>3627</v>
      </c>
      <c r="C572" s="24" t="s">
        <v>2490</v>
      </c>
      <c r="D572" s="24" t="s">
        <v>2491</v>
      </c>
      <c r="E572" s="24"/>
      <c r="F572" s="25"/>
      <c r="G572" s="25">
        <v>99</v>
      </c>
      <c r="H572" s="25">
        <v>10</v>
      </c>
      <c r="I572" s="22">
        <v>109</v>
      </c>
      <c r="J572" s="112">
        <v>36.299999999999997</v>
      </c>
      <c r="K572" s="113">
        <v>1.2248000000000001</v>
      </c>
      <c r="L572" s="114" t="s">
        <v>3619</v>
      </c>
      <c r="M572" s="115" t="s">
        <v>3639</v>
      </c>
    </row>
    <row r="573" spans="1:13" ht="15.75" customHeight="1">
      <c r="A573" s="19">
        <v>571</v>
      </c>
      <c r="B573" s="36" t="s">
        <v>3627</v>
      </c>
      <c r="C573" s="20" t="s">
        <v>1119</v>
      </c>
      <c r="D573" s="20" t="s">
        <v>351</v>
      </c>
      <c r="E573" s="20" t="s">
        <v>1115</v>
      </c>
      <c r="F573" s="21">
        <v>30</v>
      </c>
      <c r="G573" s="21">
        <v>2</v>
      </c>
      <c r="H573" s="21">
        <v>1</v>
      </c>
      <c r="I573" s="22">
        <v>37</v>
      </c>
      <c r="J573" s="108">
        <v>11</v>
      </c>
      <c r="K573" s="113">
        <v>1.2219</v>
      </c>
      <c r="L573" s="114" t="s">
        <v>3619</v>
      </c>
      <c r="M573" s="115" t="s">
        <v>3639</v>
      </c>
    </row>
    <row r="574" spans="1:13" ht="15.75" customHeight="1">
      <c r="A574" s="23">
        <v>572</v>
      </c>
      <c r="B574" s="36" t="s">
        <v>3627</v>
      </c>
      <c r="C574" s="24" t="s">
        <v>2455</v>
      </c>
      <c r="D574" s="24" t="s">
        <v>2456</v>
      </c>
      <c r="E574" s="24"/>
      <c r="F574" s="25"/>
      <c r="G574" s="25">
        <v>35</v>
      </c>
      <c r="H574" s="25">
        <v>4</v>
      </c>
      <c r="I574" s="22">
        <v>39</v>
      </c>
      <c r="J574" s="112">
        <v>13</v>
      </c>
      <c r="K574" s="113">
        <v>1.2032</v>
      </c>
      <c r="L574" s="114" t="s">
        <v>3619</v>
      </c>
      <c r="M574" s="115" t="s">
        <v>3639</v>
      </c>
    </row>
    <row r="575" spans="1:13" ht="15.75" customHeight="1">
      <c r="A575" s="19">
        <v>573</v>
      </c>
      <c r="B575" s="36" t="s">
        <v>3627</v>
      </c>
      <c r="C575" s="20" t="s">
        <v>668</v>
      </c>
      <c r="D575" s="20" t="s">
        <v>669</v>
      </c>
      <c r="E575" s="20"/>
      <c r="F575" s="21">
        <v>50</v>
      </c>
      <c r="G575" s="21"/>
      <c r="H575" s="21">
        <v>6</v>
      </c>
      <c r="I575" s="22">
        <v>56</v>
      </c>
      <c r="J575" s="108">
        <v>18.7</v>
      </c>
      <c r="K575" s="113">
        <v>1.1941999999999999</v>
      </c>
      <c r="L575" s="114" t="s">
        <v>3619</v>
      </c>
      <c r="M575" s="115" t="s">
        <v>3639</v>
      </c>
    </row>
    <row r="576" spans="1:13" ht="15.75" customHeight="1">
      <c r="A576" s="23">
        <v>574</v>
      </c>
      <c r="B576" s="36" t="s">
        <v>3627</v>
      </c>
      <c r="C576" s="24" t="s">
        <v>962</v>
      </c>
      <c r="D576" s="24" t="s">
        <v>963</v>
      </c>
      <c r="E576" s="24"/>
      <c r="F576" s="25">
        <v>50</v>
      </c>
      <c r="G576" s="25"/>
      <c r="H576" s="25">
        <v>6</v>
      </c>
      <c r="I576" s="22">
        <v>56</v>
      </c>
      <c r="J576" s="112">
        <v>18.7</v>
      </c>
      <c r="K576" s="113">
        <v>1.1941999999999999</v>
      </c>
      <c r="L576" s="114" t="s">
        <v>3619</v>
      </c>
      <c r="M576" s="115" t="s">
        <v>3639</v>
      </c>
    </row>
    <row r="577" spans="1:13" ht="15.75" customHeight="1">
      <c r="A577" s="19">
        <v>575</v>
      </c>
      <c r="B577" s="36" t="s">
        <v>3627</v>
      </c>
      <c r="C577" s="20" t="s">
        <v>781</v>
      </c>
      <c r="D577" s="20" t="s">
        <v>782</v>
      </c>
      <c r="E577" s="20" t="s">
        <v>783</v>
      </c>
      <c r="F577" s="21">
        <v>15</v>
      </c>
      <c r="G577" s="21"/>
      <c r="H577" s="21">
        <v>120</v>
      </c>
      <c r="I577" s="22">
        <v>135</v>
      </c>
      <c r="J577" s="108">
        <v>45</v>
      </c>
      <c r="K577" s="113">
        <v>1.1862999999999999</v>
      </c>
      <c r="L577" s="114" t="s">
        <v>3619</v>
      </c>
      <c r="M577" s="115" t="s">
        <v>3639</v>
      </c>
    </row>
    <row r="578" spans="1:13" ht="15.75" customHeight="1">
      <c r="A578" s="23">
        <v>576</v>
      </c>
      <c r="B578" s="36" t="s">
        <v>3627</v>
      </c>
      <c r="C578" s="24" t="s">
        <v>2471</v>
      </c>
      <c r="D578" s="24" t="s">
        <v>2472</v>
      </c>
      <c r="E578" s="24" t="s">
        <v>2473</v>
      </c>
      <c r="F578" s="25"/>
      <c r="G578" s="25">
        <v>16</v>
      </c>
      <c r="H578" s="25">
        <v>2</v>
      </c>
      <c r="I578" s="22">
        <v>18</v>
      </c>
      <c r="J578" s="112">
        <v>6</v>
      </c>
      <c r="K578" s="113">
        <v>1.1862999999999999</v>
      </c>
      <c r="L578" s="114" t="s">
        <v>3619</v>
      </c>
      <c r="M578" s="115" t="s">
        <v>3639</v>
      </c>
    </row>
    <row r="579" spans="1:13" ht="15.75" customHeight="1">
      <c r="A579" s="19">
        <v>577</v>
      </c>
      <c r="B579" s="36" t="s">
        <v>3627</v>
      </c>
      <c r="C579" s="20" t="s">
        <v>1261</v>
      </c>
      <c r="D579" s="20" t="s">
        <v>558</v>
      </c>
      <c r="E579" s="20" t="s">
        <v>1262</v>
      </c>
      <c r="F579" s="21">
        <v>94</v>
      </c>
      <c r="G579" s="21">
        <v>12</v>
      </c>
      <c r="H579" s="21"/>
      <c r="I579" s="22">
        <v>106</v>
      </c>
      <c r="J579" s="108">
        <v>35.299999999999997</v>
      </c>
      <c r="K579" s="113">
        <v>1.1821999999999999</v>
      </c>
      <c r="L579" s="114" t="s">
        <v>3619</v>
      </c>
      <c r="M579" s="115" t="s">
        <v>3639</v>
      </c>
    </row>
    <row r="580" spans="1:13" ht="15.75" customHeight="1">
      <c r="A580" s="23">
        <v>578</v>
      </c>
      <c r="B580" s="36" t="s">
        <v>3627</v>
      </c>
      <c r="C580" s="24" t="s">
        <v>769</v>
      </c>
      <c r="D580" s="24" t="s">
        <v>770</v>
      </c>
      <c r="E580" s="24" t="s">
        <v>771</v>
      </c>
      <c r="F580" s="25">
        <v>2</v>
      </c>
      <c r="G580" s="25">
        <v>3</v>
      </c>
      <c r="H580" s="25">
        <v>40</v>
      </c>
      <c r="I580" s="22">
        <v>45</v>
      </c>
      <c r="J580" s="112">
        <v>15</v>
      </c>
      <c r="K580" s="113">
        <v>1.1788000000000001</v>
      </c>
      <c r="L580" s="114" t="s">
        <v>3619</v>
      </c>
      <c r="M580" s="115" t="s">
        <v>3639</v>
      </c>
    </row>
    <row r="581" spans="1:13" ht="15.75" customHeight="1">
      <c r="A581" s="19">
        <v>579</v>
      </c>
      <c r="B581" s="36" t="s">
        <v>3627</v>
      </c>
      <c r="C581" s="20" t="s">
        <v>1038</v>
      </c>
      <c r="D581" s="20" t="s">
        <v>820</v>
      </c>
      <c r="E581" s="20" t="s">
        <v>1039</v>
      </c>
      <c r="F581" s="21">
        <v>5</v>
      </c>
      <c r="G581" s="21"/>
      <c r="H581" s="21">
        <v>30</v>
      </c>
      <c r="I581" s="22">
        <v>35</v>
      </c>
      <c r="J581" s="108">
        <v>11.7</v>
      </c>
      <c r="K581" s="113">
        <v>1.1249</v>
      </c>
      <c r="L581" s="114" t="s">
        <v>3619</v>
      </c>
      <c r="M581" s="115" t="s">
        <v>3639</v>
      </c>
    </row>
    <row r="582" spans="1:13" ht="15.75" customHeight="1">
      <c r="A582" s="23">
        <v>580</v>
      </c>
      <c r="B582" s="36" t="s">
        <v>3627</v>
      </c>
      <c r="C582" s="24" t="s">
        <v>1110</v>
      </c>
      <c r="D582" s="24" t="s">
        <v>835</v>
      </c>
      <c r="E582" s="24" t="s">
        <v>1111</v>
      </c>
      <c r="F582" s="25">
        <v>50</v>
      </c>
      <c r="G582" s="25"/>
      <c r="H582" s="25">
        <v>10</v>
      </c>
      <c r="I582" s="22">
        <v>60</v>
      </c>
      <c r="J582" s="112">
        <v>20</v>
      </c>
      <c r="K582" s="113">
        <v>1.0801000000000001</v>
      </c>
      <c r="L582" s="114" t="s">
        <v>3619</v>
      </c>
      <c r="M582" s="115" t="s">
        <v>3639</v>
      </c>
    </row>
    <row r="583" spans="1:13" ht="15.75" customHeight="1">
      <c r="A583" s="19">
        <v>581</v>
      </c>
      <c r="B583" s="36" t="s">
        <v>3627</v>
      </c>
      <c r="C583" s="20" t="s">
        <v>646</v>
      </c>
      <c r="D583" s="20" t="s">
        <v>647</v>
      </c>
      <c r="E583" s="20" t="s">
        <v>648</v>
      </c>
      <c r="F583" s="21">
        <v>10</v>
      </c>
      <c r="G583" s="21"/>
      <c r="H583" s="21">
        <v>2</v>
      </c>
      <c r="I583" s="22">
        <v>12</v>
      </c>
      <c r="J583" s="108">
        <v>4</v>
      </c>
      <c r="K583" s="113">
        <v>1.0801000000000001</v>
      </c>
      <c r="L583" s="114" t="s">
        <v>3619</v>
      </c>
      <c r="M583" s="115" t="s">
        <v>3639</v>
      </c>
    </row>
    <row r="584" spans="1:13" ht="15.75" customHeight="1">
      <c r="A584" s="23">
        <v>582</v>
      </c>
      <c r="B584" s="36" t="s">
        <v>3627</v>
      </c>
      <c r="C584" s="24" t="s">
        <v>759</v>
      </c>
      <c r="D584" s="24" t="s">
        <v>760</v>
      </c>
      <c r="E584" s="24" t="s">
        <v>761</v>
      </c>
      <c r="F584" s="25">
        <v>40</v>
      </c>
      <c r="G584" s="25">
        <v>8</v>
      </c>
      <c r="H584" s="25"/>
      <c r="I584" s="22">
        <v>48</v>
      </c>
      <c r="J584" s="112">
        <v>16</v>
      </c>
      <c r="K584" s="113">
        <v>1.0801000000000001</v>
      </c>
      <c r="L584" s="114" t="s">
        <v>3619</v>
      </c>
      <c r="M584" s="115" t="s">
        <v>3639</v>
      </c>
    </row>
    <row r="585" spans="1:13" ht="15.75" customHeight="1">
      <c r="A585" s="19">
        <v>583</v>
      </c>
      <c r="B585" s="36" t="s">
        <v>3627</v>
      </c>
      <c r="C585" s="20" t="s">
        <v>2497</v>
      </c>
      <c r="D585" s="20" t="s">
        <v>2498</v>
      </c>
      <c r="E585" s="20"/>
      <c r="F585" s="21"/>
      <c r="G585" s="21">
        <v>50</v>
      </c>
      <c r="H585" s="21">
        <v>10</v>
      </c>
      <c r="I585" s="22">
        <v>60</v>
      </c>
      <c r="J585" s="108">
        <v>20</v>
      </c>
      <c r="K585" s="113">
        <v>1.0801000000000001</v>
      </c>
      <c r="L585" s="114" t="s">
        <v>3619</v>
      </c>
      <c r="M585" s="115" t="s">
        <v>3639</v>
      </c>
    </row>
    <row r="586" spans="1:13" ht="15.75" customHeight="1">
      <c r="A586" s="23">
        <v>584</v>
      </c>
      <c r="B586" s="36" t="s">
        <v>3627</v>
      </c>
      <c r="C586" s="24" t="s">
        <v>2494</v>
      </c>
      <c r="D586" s="24" t="s">
        <v>2495</v>
      </c>
      <c r="E586" s="24" t="s">
        <v>2496</v>
      </c>
      <c r="F586" s="25"/>
      <c r="G586" s="25">
        <v>50</v>
      </c>
      <c r="H586" s="25">
        <v>10</v>
      </c>
      <c r="I586" s="22">
        <v>60</v>
      </c>
      <c r="J586" s="112">
        <v>20</v>
      </c>
      <c r="K586" s="113">
        <v>1.0801000000000001</v>
      </c>
      <c r="L586" s="114" t="s">
        <v>3619</v>
      </c>
      <c r="M586" s="115" t="s">
        <v>3639</v>
      </c>
    </row>
    <row r="587" spans="1:13" ht="15.75" customHeight="1">
      <c r="A587" s="19">
        <v>585</v>
      </c>
      <c r="B587" s="36" t="s">
        <v>3627</v>
      </c>
      <c r="C587" s="20" t="s">
        <v>2682</v>
      </c>
      <c r="D587" s="20" t="s">
        <v>588</v>
      </c>
      <c r="E587" s="27" t="s">
        <v>1154</v>
      </c>
      <c r="F587" s="21"/>
      <c r="G587" s="21">
        <v>20</v>
      </c>
      <c r="H587" s="21">
        <v>100</v>
      </c>
      <c r="I587" s="22">
        <v>120</v>
      </c>
      <c r="J587" s="108">
        <v>40</v>
      </c>
      <c r="K587" s="113">
        <v>1.0801000000000001</v>
      </c>
      <c r="L587" s="114" t="s">
        <v>3619</v>
      </c>
      <c r="M587" s="115" t="s">
        <v>3639</v>
      </c>
    </row>
    <row r="588" spans="1:13" ht="15.75" customHeight="1">
      <c r="A588" s="23">
        <v>586</v>
      </c>
      <c r="B588" s="36" t="s">
        <v>3627</v>
      </c>
      <c r="C588" s="24" t="s">
        <v>2461</v>
      </c>
      <c r="D588" s="24" t="s">
        <v>2462</v>
      </c>
      <c r="E588" s="24" t="s">
        <v>2463</v>
      </c>
      <c r="F588" s="25"/>
      <c r="G588" s="25">
        <v>15</v>
      </c>
      <c r="H588" s="25">
        <v>70</v>
      </c>
      <c r="I588" s="22">
        <v>85</v>
      </c>
      <c r="J588" s="112">
        <v>28.3</v>
      </c>
      <c r="K588" s="113">
        <v>1.0621</v>
      </c>
      <c r="L588" s="114" t="s">
        <v>3619</v>
      </c>
      <c r="M588" s="115" t="s">
        <v>3639</v>
      </c>
    </row>
    <row r="589" spans="1:13" ht="15.75" customHeight="1">
      <c r="A589" s="19">
        <v>587</v>
      </c>
      <c r="B589" s="36" t="s">
        <v>3627</v>
      </c>
      <c r="C589" s="20" t="s">
        <v>617</v>
      </c>
      <c r="D589" s="20" t="s">
        <v>618</v>
      </c>
      <c r="E589" s="20"/>
      <c r="F589" s="21">
        <v>4</v>
      </c>
      <c r="G589" s="21"/>
      <c r="H589" s="21">
        <v>1</v>
      </c>
      <c r="I589" s="22">
        <v>5</v>
      </c>
      <c r="J589" s="108">
        <v>1.7</v>
      </c>
      <c r="K589" s="113">
        <v>1.0198</v>
      </c>
      <c r="L589" s="114" t="s">
        <v>3619</v>
      </c>
      <c r="M589" s="115" t="s">
        <v>3639</v>
      </c>
    </row>
    <row r="590" spans="1:13" ht="15.75" customHeight="1">
      <c r="A590" s="23">
        <v>588</v>
      </c>
      <c r="B590" s="36" t="s">
        <v>3627</v>
      </c>
      <c r="C590" s="24" t="s">
        <v>1266</v>
      </c>
      <c r="D590" s="24" t="s">
        <v>1267</v>
      </c>
      <c r="E590" s="24"/>
      <c r="F590" s="25">
        <v>5</v>
      </c>
      <c r="G590" s="25"/>
      <c r="H590" s="25">
        <v>20</v>
      </c>
      <c r="I590" s="22">
        <v>25</v>
      </c>
      <c r="J590" s="112">
        <v>8.3000000000000007</v>
      </c>
      <c r="K590" s="113">
        <v>1.0198</v>
      </c>
      <c r="L590" s="114" t="s">
        <v>3619</v>
      </c>
      <c r="M590" s="115" t="s">
        <v>3639</v>
      </c>
    </row>
    <row r="591" spans="1:13" ht="15.75" customHeight="1">
      <c r="A591" s="19">
        <v>589</v>
      </c>
      <c r="B591" s="36" t="s">
        <v>3627</v>
      </c>
      <c r="C591" s="20" t="s">
        <v>2526</v>
      </c>
      <c r="D591" s="20" t="s">
        <v>2527</v>
      </c>
      <c r="E591" s="20" t="s">
        <v>2528</v>
      </c>
      <c r="F591" s="21"/>
      <c r="G591" s="21">
        <v>2</v>
      </c>
      <c r="H591" s="21">
        <v>8</v>
      </c>
      <c r="I591" s="22">
        <v>10</v>
      </c>
      <c r="J591" s="108">
        <v>3.3</v>
      </c>
      <c r="K591" s="113">
        <v>1.0198</v>
      </c>
      <c r="L591" s="114" t="s">
        <v>3619</v>
      </c>
      <c r="M591" s="115" t="s">
        <v>3639</v>
      </c>
    </row>
    <row r="592" spans="1:13" ht="15.75" customHeight="1">
      <c r="A592" s="23">
        <v>590</v>
      </c>
      <c r="B592" s="36" t="s">
        <v>3627</v>
      </c>
      <c r="C592" s="24" t="s">
        <v>2623</v>
      </c>
      <c r="D592" s="24" t="s">
        <v>2624</v>
      </c>
      <c r="E592" s="24"/>
      <c r="F592" s="25"/>
      <c r="G592" s="25">
        <v>1</v>
      </c>
      <c r="H592" s="25">
        <v>4</v>
      </c>
      <c r="I592" s="22">
        <v>5</v>
      </c>
      <c r="J592" s="112">
        <v>1.7</v>
      </c>
      <c r="K592" s="113">
        <v>1.0198</v>
      </c>
      <c r="L592" s="114" t="s">
        <v>3619</v>
      </c>
      <c r="M592" s="115" t="s">
        <v>3639</v>
      </c>
    </row>
    <row r="593" spans="1:13" ht="15.75" customHeight="1">
      <c r="A593" s="19">
        <v>591</v>
      </c>
      <c r="B593" s="36" t="s">
        <v>3627</v>
      </c>
      <c r="C593" s="20" t="s">
        <v>2569</v>
      </c>
      <c r="D593" s="20" t="s">
        <v>2570</v>
      </c>
      <c r="E593" s="20"/>
      <c r="F593" s="21"/>
      <c r="G593" s="21">
        <v>15</v>
      </c>
      <c r="H593" s="21">
        <v>60</v>
      </c>
      <c r="I593" s="22">
        <v>85</v>
      </c>
      <c r="J593" s="108">
        <v>25</v>
      </c>
      <c r="K593" s="113">
        <v>1.0198</v>
      </c>
      <c r="L593" s="114" t="s">
        <v>3619</v>
      </c>
      <c r="M593" s="115" t="s">
        <v>3639</v>
      </c>
    </row>
    <row r="594" spans="1:13" ht="15.75" customHeight="1">
      <c r="A594" s="23">
        <v>592</v>
      </c>
      <c r="B594" s="36" t="s">
        <v>3627</v>
      </c>
      <c r="C594" s="24" t="s">
        <v>2579</v>
      </c>
      <c r="D594" s="24" t="s">
        <v>2580</v>
      </c>
      <c r="E594" s="24"/>
      <c r="F594" s="25"/>
      <c r="G594" s="25">
        <v>18</v>
      </c>
      <c r="H594" s="25">
        <v>5</v>
      </c>
      <c r="I594" s="22">
        <v>23</v>
      </c>
      <c r="J594" s="112">
        <v>7.7</v>
      </c>
      <c r="K594" s="113">
        <v>0.98950000000000005</v>
      </c>
      <c r="L594" s="114" t="s">
        <v>3619</v>
      </c>
      <c r="M594" s="115" t="s">
        <v>3639</v>
      </c>
    </row>
    <row r="595" spans="1:13" ht="15.75" customHeight="1">
      <c r="A595" s="19">
        <v>593</v>
      </c>
      <c r="B595" s="36" t="s">
        <v>3627</v>
      </c>
      <c r="C595" s="20" t="s">
        <v>2603</v>
      </c>
      <c r="D595" s="20" t="s">
        <v>846</v>
      </c>
      <c r="E595" s="20" t="s">
        <v>2604</v>
      </c>
      <c r="F595" s="21"/>
      <c r="G595" s="21">
        <v>106</v>
      </c>
      <c r="H595" s="21">
        <v>30</v>
      </c>
      <c r="I595" s="22">
        <v>136</v>
      </c>
      <c r="J595" s="108">
        <v>45.3</v>
      </c>
      <c r="K595" s="113">
        <v>0.98409999999999997</v>
      </c>
      <c r="L595" s="114" t="s">
        <v>3619</v>
      </c>
      <c r="M595" s="115" t="s">
        <v>3639</v>
      </c>
    </row>
    <row r="596" spans="1:13" ht="15.75" customHeight="1">
      <c r="A596" s="23">
        <v>594</v>
      </c>
      <c r="B596" s="36" t="s">
        <v>3627</v>
      </c>
      <c r="C596" s="24" t="s">
        <v>877</v>
      </c>
      <c r="D596" s="24" t="s">
        <v>878</v>
      </c>
      <c r="E596" s="24" t="s">
        <v>879</v>
      </c>
      <c r="F596" s="25">
        <v>35</v>
      </c>
      <c r="G596" s="25">
        <v>5</v>
      </c>
      <c r="H596" s="25">
        <v>4</v>
      </c>
      <c r="I596" s="22">
        <v>54</v>
      </c>
      <c r="J596" s="112">
        <v>14.7</v>
      </c>
      <c r="K596" s="113">
        <v>0.98070000000000002</v>
      </c>
      <c r="L596" s="114" t="s">
        <v>3619</v>
      </c>
      <c r="M596" s="115" t="s">
        <v>3639</v>
      </c>
    </row>
    <row r="597" spans="1:13" ht="15.75" customHeight="1">
      <c r="A597" s="19">
        <v>595</v>
      </c>
      <c r="B597" s="36" t="s">
        <v>3627</v>
      </c>
      <c r="C597" s="20" t="s">
        <v>2566</v>
      </c>
      <c r="D597" s="20" t="s">
        <v>2567</v>
      </c>
      <c r="E597" s="20" t="s">
        <v>2568</v>
      </c>
      <c r="F597" s="21"/>
      <c r="G597" s="21">
        <v>15</v>
      </c>
      <c r="H597" s="21">
        <v>52</v>
      </c>
      <c r="I597" s="22">
        <v>67</v>
      </c>
      <c r="J597" s="108">
        <v>22.3</v>
      </c>
      <c r="K597" s="113">
        <v>0.97850000000000004</v>
      </c>
      <c r="L597" s="114" t="s">
        <v>3619</v>
      </c>
      <c r="M597" s="115" t="s">
        <v>3639</v>
      </c>
    </row>
    <row r="598" spans="1:13" ht="15.75" customHeight="1">
      <c r="A598" s="23">
        <v>596</v>
      </c>
      <c r="B598" s="36" t="s">
        <v>3627</v>
      </c>
      <c r="C598" s="24" t="s">
        <v>1002</v>
      </c>
      <c r="D598" s="24" t="s">
        <v>799</v>
      </c>
      <c r="E598" s="24" t="s">
        <v>1003</v>
      </c>
      <c r="F598" s="25">
        <v>10</v>
      </c>
      <c r="G598" s="25"/>
      <c r="H598" s="25">
        <v>30</v>
      </c>
      <c r="I598" s="22">
        <v>70</v>
      </c>
      <c r="J598" s="112">
        <v>13.3</v>
      </c>
      <c r="K598" s="113">
        <v>0.93540000000000001</v>
      </c>
      <c r="L598" s="114" t="s">
        <v>3619</v>
      </c>
      <c r="M598" s="115" t="s">
        <v>3639</v>
      </c>
    </row>
    <row r="599" spans="1:13" ht="15.75" customHeight="1">
      <c r="A599" s="19">
        <v>597</v>
      </c>
      <c r="B599" s="36" t="s">
        <v>3627</v>
      </c>
      <c r="C599" s="20" t="s">
        <v>545</v>
      </c>
      <c r="D599" s="20" t="s">
        <v>546</v>
      </c>
      <c r="E599" s="20"/>
      <c r="F599" s="21">
        <v>6</v>
      </c>
      <c r="G599" s="21"/>
      <c r="H599" s="21">
        <v>2</v>
      </c>
      <c r="I599" s="22">
        <v>8</v>
      </c>
      <c r="J599" s="108">
        <v>2.7</v>
      </c>
      <c r="K599" s="113">
        <v>0.93540000000000001</v>
      </c>
      <c r="L599" s="114" t="s">
        <v>3619</v>
      </c>
      <c r="M599" s="115" t="s">
        <v>3639</v>
      </c>
    </row>
    <row r="600" spans="1:13" ht="15.75" customHeight="1">
      <c r="A600" s="23">
        <v>598</v>
      </c>
      <c r="B600" s="36" t="s">
        <v>3627</v>
      </c>
      <c r="C600" s="24" t="s">
        <v>2676</v>
      </c>
      <c r="D600" s="24" t="s">
        <v>483</v>
      </c>
      <c r="E600" s="24" t="s">
        <v>1162</v>
      </c>
      <c r="F600" s="25"/>
      <c r="G600" s="25">
        <v>110</v>
      </c>
      <c r="H600" s="25">
        <v>37</v>
      </c>
      <c r="I600" s="22">
        <v>147</v>
      </c>
      <c r="J600" s="112">
        <v>49</v>
      </c>
      <c r="K600" s="113">
        <v>0.93269999999999997</v>
      </c>
      <c r="L600" s="114" t="s">
        <v>3619</v>
      </c>
      <c r="M600" s="115" t="s">
        <v>3639</v>
      </c>
    </row>
    <row r="601" spans="1:13" ht="15.75" customHeight="1">
      <c r="A601" s="19">
        <v>599</v>
      </c>
      <c r="B601" s="36" t="s">
        <v>3627</v>
      </c>
      <c r="C601" s="20" t="s">
        <v>388</v>
      </c>
      <c r="D601" s="20" t="s">
        <v>389</v>
      </c>
      <c r="E601" s="20"/>
      <c r="F601" s="21">
        <v>30</v>
      </c>
      <c r="G601" s="21">
        <v>80</v>
      </c>
      <c r="H601" s="21"/>
      <c r="I601" s="22">
        <v>110</v>
      </c>
      <c r="J601" s="108">
        <v>36.700000000000003</v>
      </c>
      <c r="K601" s="113">
        <v>0.9</v>
      </c>
      <c r="L601" s="114" t="s">
        <v>3619</v>
      </c>
      <c r="M601" s="115" t="s">
        <v>3639</v>
      </c>
    </row>
    <row r="602" spans="1:13" ht="15.75" customHeight="1">
      <c r="A602" s="23">
        <v>600</v>
      </c>
      <c r="B602" s="36" t="s">
        <v>3627</v>
      </c>
      <c r="C602" s="24" t="s">
        <v>2446</v>
      </c>
      <c r="D602" s="24" t="s">
        <v>2447</v>
      </c>
      <c r="E602" s="24"/>
      <c r="F602" s="25"/>
      <c r="G602" s="25">
        <v>25</v>
      </c>
      <c r="H602" s="25">
        <v>10</v>
      </c>
      <c r="I602" s="22">
        <v>35</v>
      </c>
      <c r="J602" s="112">
        <v>11.7</v>
      </c>
      <c r="K602" s="113">
        <v>0.88060000000000005</v>
      </c>
      <c r="L602" s="114" t="s">
        <v>3619</v>
      </c>
      <c r="M602" s="115" t="s">
        <v>3639</v>
      </c>
    </row>
    <row r="603" spans="1:13" ht="15.75" customHeight="1">
      <c r="A603" s="19">
        <v>601</v>
      </c>
      <c r="B603" s="36" t="s">
        <v>3627</v>
      </c>
      <c r="C603" s="20" t="s">
        <v>637</v>
      </c>
      <c r="D603" s="20" t="s">
        <v>638</v>
      </c>
      <c r="E603" s="20" t="s">
        <v>639</v>
      </c>
      <c r="F603" s="21">
        <v>22</v>
      </c>
      <c r="G603" s="21">
        <v>50</v>
      </c>
      <c r="H603" s="21"/>
      <c r="I603" s="22">
        <v>72</v>
      </c>
      <c r="J603" s="108">
        <v>24</v>
      </c>
      <c r="K603" s="113">
        <v>0.85260000000000002</v>
      </c>
      <c r="L603" s="114" t="s">
        <v>3619</v>
      </c>
      <c r="M603" s="115" t="s">
        <v>3639</v>
      </c>
    </row>
    <row r="604" spans="1:13" ht="15.75" customHeight="1">
      <c r="A604" s="23">
        <v>602</v>
      </c>
      <c r="B604" s="36" t="s">
        <v>3627</v>
      </c>
      <c r="C604" s="24" t="s">
        <v>553</v>
      </c>
      <c r="D604" s="24" t="s">
        <v>554</v>
      </c>
      <c r="E604" s="24"/>
      <c r="F604" s="25">
        <v>10</v>
      </c>
      <c r="G604" s="25"/>
      <c r="H604" s="25">
        <v>22</v>
      </c>
      <c r="I604" s="22">
        <v>32</v>
      </c>
      <c r="J604" s="112">
        <v>10.7</v>
      </c>
      <c r="K604" s="113">
        <v>0.84319999999999995</v>
      </c>
      <c r="L604" s="114" t="s">
        <v>3619</v>
      </c>
      <c r="M604" s="115" t="s">
        <v>3639</v>
      </c>
    </row>
    <row r="605" spans="1:13" ht="15.75" customHeight="1">
      <c r="A605" s="19">
        <v>603</v>
      </c>
      <c r="B605" s="36" t="s">
        <v>3627</v>
      </c>
      <c r="C605" s="20" t="s">
        <v>984</v>
      </c>
      <c r="D605" s="20" t="s">
        <v>367</v>
      </c>
      <c r="E605" s="20" t="s">
        <v>985</v>
      </c>
      <c r="F605" s="21">
        <v>50</v>
      </c>
      <c r="G605" s="21">
        <v>110</v>
      </c>
      <c r="H605" s="21"/>
      <c r="I605" s="22">
        <v>160</v>
      </c>
      <c r="J605" s="108">
        <v>53.3</v>
      </c>
      <c r="K605" s="113">
        <v>0.84319999999999995</v>
      </c>
      <c r="L605" s="114" t="s">
        <v>3619</v>
      </c>
      <c r="M605" s="115" t="s">
        <v>3639</v>
      </c>
    </row>
    <row r="606" spans="1:13" ht="15.75" customHeight="1">
      <c r="A606" s="23">
        <v>604</v>
      </c>
      <c r="B606" s="36" t="s">
        <v>3627</v>
      </c>
      <c r="C606" s="24" t="s">
        <v>2621</v>
      </c>
      <c r="D606" s="24" t="s">
        <v>2622</v>
      </c>
      <c r="E606" s="24"/>
      <c r="F606" s="25"/>
      <c r="G606" s="25">
        <v>10</v>
      </c>
      <c r="H606" s="25">
        <v>22</v>
      </c>
      <c r="I606" s="22">
        <v>32</v>
      </c>
      <c r="J606" s="112">
        <v>10.7</v>
      </c>
      <c r="K606" s="113">
        <v>0.84319999999999995</v>
      </c>
      <c r="L606" s="114" t="s">
        <v>3619</v>
      </c>
      <c r="M606" s="115" t="s">
        <v>3639</v>
      </c>
    </row>
    <row r="607" spans="1:13" ht="15.75" customHeight="1">
      <c r="A607" s="19">
        <v>605</v>
      </c>
      <c r="B607" s="36" t="s">
        <v>3627</v>
      </c>
      <c r="C607" s="20" t="s">
        <v>2657</v>
      </c>
      <c r="D607" s="20" t="s">
        <v>354</v>
      </c>
      <c r="E607" s="20" t="s">
        <v>1115</v>
      </c>
      <c r="F607" s="21"/>
      <c r="G607" s="21">
        <v>10</v>
      </c>
      <c r="H607" s="21">
        <v>22</v>
      </c>
      <c r="I607" s="22">
        <v>32</v>
      </c>
      <c r="J607" s="108">
        <v>10.7</v>
      </c>
      <c r="K607" s="113">
        <v>0.84319999999999995</v>
      </c>
      <c r="L607" s="114" t="s">
        <v>3619</v>
      </c>
      <c r="M607" s="115" t="s">
        <v>3639</v>
      </c>
    </row>
    <row r="608" spans="1:13" ht="15.75" customHeight="1">
      <c r="A608" s="23">
        <v>606</v>
      </c>
      <c r="B608" s="36" t="s">
        <v>3627</v>
      </c>
      <c r="C608" s="24" t="s">
        <v>1157</v>
      </c>
      <c r="D608" s="24" t="s">
        <v>582</v>
      </c>
      <c r="E608" s="24" t="s">
        <v>1158</v>
      </c>
      <c r="F608" s="25">
        <v>67</v>
      </c>
      <c r="G608" s="25">
        <v>31</v>
      </c>
      <c r="H608" s="25"/>
      <c r="I608" s="22">
        <v>98</v>
      </c>
      <c r="J608" s="112">
        <v>32.700000000000003</v>
      </c>
      <c r="K608" s="113">
        <v>0.83809999999999996</v>
      </c>
      <c r="L608" s="114" t="s">
        <v>3619</v>
      </c>
      <c r="M608" s="115" t="s">
        <v>3639</v>
      </c>
    </row>
    <row r="609" spans="1:13" ht="15.75" customHeight="1">
      <c r="A609" s="19">
        <v>607</v>
      </c>
      <c r="B609" s="36" t="s">
        <v>3627</v>
      </c>
      <c r="C609" s="20" t="s">
        <v>1125</v>
      </c>
      <c r="D609" s="20" t="s">
        <v>678</v>
      </c>
      <c r="E609" s="20" t="s">
        <v>1126</v>
      </c>
      <c r="F609" s="21">
        <v>30</v>
      </c>
      <c r="G609" s="21">
        <v>15</v>
      </c>
      <c r="H609" s="21"/>
      <c r="I609" s="22">
        <v>45</v>
      </c>
      <c r="J609" s="108">
        <v>15</v>
      </c>
      <c r="K609" s="113">
        <v>0.8165</v>
      </c>
      <c r="L609" s="114" t="s">
        <v>3619</v>
      </c>
      <c r="M609" s="115" t="s">
        <v>3639</v>
      </c>
    </row>
    <row r="610" spans="1:13" ht="15.75" customHeight="1">
      <c r="A610" s="23">
        <v>608</v>
      </c>
      <c r="B610" s="36" t="s">
        <v>3627</v>
      </c>
      <c r="C610" s="24" t="s">
        <v>828</v>
      </c>
      <c r="D610" s="24" t="s">
        <v>829</v>
      </c>
      <c r="E610" s="24" t="s">
        <v>830</v>
      </c>
      <c r="F610" s="25">
        <v>5</v>
      </c>
      <c r="G610" s="25"/>
      <c r="H610" s="25">
        <v>10</v>
      </c>
      <c r="I610" s="22">
        <v>15</v>
      </c>
      <c r="J610" s="112">
        <v>5</v>
      </c>
      <c r="K610" s="113">
        <v>0.8165</v>
      </c>
      <c r="L610" s="114" t="s">
        <v>3619</v>
      </c>
      <c r="M610" s="115" t="s">
        <v>3639</v>
      </c>
    </row>
    <row r="611" spans="1:13" ht="15.75" customHeight="1">
      <c r="A611" s="19">
        <v>609</v>
      </c>
      <c r="B611" s="36" t="s">
        <v>3627</v>
      </c>
      <c r="C611" s="20" t="s">
        <v>1200</v>
      </c>
      <c r="D611" s="20" t="s">
        <v>991</v>
      </c>
      <c r="E611" s="20" t="s">
        <v>1201</v>
      </c>
      <c r="F611" s="21">
        <v>12</v>
      </c>
      <c r="G611" s="21"/>
      <c r="H611" s="21">
        <v>6</v>
      </c>
      <c r="I611" s="22">
        <v>18</v>
      </c>
      <c r="J611" s="108">
        <v>6</v>
      </c>
      <c r="K611" s="113">
        <v>0.8165</v>
      </c>
      <c r="L611" s="114" t="s">
        <v>3619</v>
      </c>
      <c r="M611" s="115" t="s">
        <v>3639</v>
      </c>
    </row>
    <row r="612" spans="1:13" ht="15.75" customHeight="1">
      <c r="A612" s="23">
        <v>610</v>
      </c>
      <c r="B612" s="36" t="s">
        <v>3627</v>
      </c>
      <c r="C612" s="24" t="s">
        <v>880</v>
      </c>
      <c r="D612" s="24" t="s">
        <v>881</v>
      </c>
      <c r="E612" s="24" t="s">
        <v>882</v>
      </c>
      <c r="F612" s="25">
        <v>95</v>
      </c>
      <c r="G612" s="25">
        <v>30</v>
      </c>
      <c r="H612" s="25">
        <v>10</v>
      </c>
      <c r="I612" s="22">
        <v>135</v>
      </c>
      <c r="J612" s="112">
        <v>45</v>
      </c>
      <c r="K612" s="113">
        <v>0.80640000000000001</v>
      </c>
      <c r="L612" s="114" t="s">
        <v>3619</v>
      </c>
      <c r="M612" s="115" t="s">
        <v>3639</v>
      </c>
    </row>
    <row r="613" spans="1:13" ht="15.75" customHeight="1">
      <c r="A613" s="19">
        <v>611</v>
      </c>
      <c r="B613" s="36" t="s">
        <v>3627</v>
      </c>
      <c r="C613" s="20" t="s">
        <v>2578</v>
      </c>
      <c r="D613" s="20" t="s">
        <v>1233</v>
      </c>
      <c r="E613" s="20"/>
      <c r="F613" s="21"/>
      <c r="G613" s="21">
        <v>26</v>
      </c>
      <c r="H613" s="21">
        <v>50</v>
      </c>
      <c r="I613" s="22">
        <v>76</v>
      </c>
      <c r="J613" s="108">
        <v>25.3</v>
      </c>
      <c r="K613" s="113">
        <v>0.80600000000000005</v>
      </c>
      <c r="L613" s="114" t="s">
        <v>3619</v>
      </c>
      <c r="M613" s="115" t="s">
        <v>3639</v>
      </c>
    </row>
    <row r="614" spans="1:13" ht="15.75" customHeight="1">
      <c r="A614" s="23">
        <v>612</v>
      </c>
      <c r="B614" s="36" t="s">
        <v>3627</v>
      </c>
      <c r="C614" s="24" t="s">
        <v>649</v>
      </c>
      <c r="D614" s="24" t="s">
        <v>650</v>
      </c>
      <c r="E614" s="24" t="s">
        <v>651</v>
      </c>
      <c r="F614" s="25">
        <v>36</v>
      </c>
      <c r="G614" s="25"/>
      <c r="H614" s="25">
        <v>20</v>
      </c>
      <c r="I614" s="22">
        <v>56</v>
      </c>
      <c r="J614" s="112">
        <v>18.7</v>
      </c>
      <c r="K614" s="113">
        <v>0.78900000000000003</v>
      </c>
      <c r="L614" s="114" t="s">
        <v>3619</v>
      </c>
      <c r="M614" s="115" t="s">
        <v>3639</v>
      </c>
    </row>
    <row r="615" spans="1:13" ht="15.75" customHeight="1">
      <c r="A615" s="19">
        <v>613</v>
      </c>
      <c r="B615" s="36" t="s">
        <v>3627</v>
      </c>
      <c r="C615" s="20" t="s">
        <v>512</v>
      </c>
      <c r="D615" s="20" t="s">
        <v>513</v>
      </c>
      <c r="E615" s="20" t="s">
        <v>514</v>
      </c>
      <c r="F615" s="21">
        <v>18</v>
      </c>
      <c r="G615" s="21"/>
      <c r="H615" s="21">
        <v>10</v>
      </c>
      <c r="I615" s="22">
        <v>28</v>
      </c>
      <c r="J615" s="108">
        <v>9.3000000000000007</v>
      </c>
      <c r="K615" s="113">
        <v>0.78900000000000003</v>
      </c>
      <c r="L615" s="114" t="s">
        <v>3619</v>
      </c>
      <c r="M615" s="115" t="s">
        <v>3639</v>
      </c>
    </row>
    <row r="616" spans="1:13" ht="15.75" customHeight="1">
      <c r="A616" s="23">
        <v>614</v>
      </c>
      <c r="B616" s="36" t="s">
        <v>3627</v>
      </c>
      <c r="C616" s="24" t="s">
        <v>2476</v>
      </c>
      <c r="D616" s="24" t="s">
        <v>2477</v>
      </c>
      <c r="E616" s="24"/>
      <c r="F616" s="25"/>
      <c r="G616" s="25">
        <v>14</v>
      </c>
      <c r="H616" s="25">
        <v>25</v>
      </c>
      <c r="I616" s="22">
        <v>39</v>
      </c>
      <c r="J616" s="112">
        <v>13</v>
      </c>
      <c r="K616" s="113">
        <v>0.78700000000000003</v>
      </c>
      <c r="L616" s="114" t="s">
        <v>3619</v>
      </c>
      <c r="M616" s="115" t="s">
        <v>3639</v>
      </c>
    </row>
    <row r="617" spans="1:13" ht="15.75" customHeight="1">
      <c r="A617" s="19">
        <v>615</v>
      </c>
      <c r="B617" s="36" t="s">
        <v>3627</v>
      </c>
      <c r="C617" s="20" t="s">
        <v>1034</v>
      </c>
      <c r="D617" s="20" t="s">
        <v>1035</v>
      </c>
      <c r="E617" s="20"/>
      <c r="F617" s="21">
        <v>36</v>
      </c>
      <c r="G617" s="21"/>
      <c r="H617" s="21">
        <v>59</v>
      </c>
      <c r="I617" s="22">
        <v>95</v>
      </c>
      <c r="J617" s="108">
        <v>31.7</v>
      </c>
      <c r="K617" s="113">
        <v>0.76680000000000004</v>
      </c>
      <c r="L617" s="114" t="s">
        <v>3619</v>
      </c>
      <c r="M617" s="115" t="s">
        <v>3639</v>
      </c>
    </row>
    <row r="618" spans="1:13" ht="15.75" customHeight="1">
      <c r="A618" s="23">
        <v>616</v>
      </c>
      <c r="B618" s="36" t="s">
        <v>3627</v>
      </c>
      <c r="C618" s="24" t="s">
        <v>2522</v>
      </c>
      <c r="D618" s="24" t="s">
        <v>1287</v>
      </c>
      <c r="E618" s="24" t="s">
        <v>2523</v>
      </c>
      <c r="F618" s="25"/>
      <c r="G618" s="25">
        <v>34</v>
      </c>
      <c r="H618" s="25">
        <v>55</v>
      </c>
      <c r="I618" s="22">
        <v>139</v>
      </c>
      <c r="J618" s="112">
        <v>29.7</v>
      </c>
      <c r="K618" s="113">
        <v>0.76390000000000002</v>
      </c>
      <c r="L618" s="114" t="s">
        <v>3619</v>
      </c>
      <c r="M618" s="115" t="s">
        <v>3639</v>
      </c>
    </row>
    <row r="619" spans="1:13" ht="15.75" customHeight="1">
      <c r="A619" s="19">
        <v>617</v>
      </c>
      <c r="B619" s="36" t="s">
        <v>3627</v>
      </c>
      <c r="C619" s="20" t="s">
        <v>1101</v>
      </c>
      <c r="D619" s="20" t="s">
        <v>600</v>
      </c>
      <c r="E619" s="20" t="s">
        <v>1102</v>
      </c>
      <c r="F619" s="21">
        <v>50</v>
      </c>
      <c r="G619" s="21">
        <v>80</v>
      </c>
      <c r="H619" s="21"/>
      <c r="I619" s="22">
        <v>130</v>
      </c>
      <c r="J619" s="108">
        <v>43.3</v>
      </c>
      <c r="K619" s="113">
        <v>0.76149999999999995</v>
      </c>
      <c r="L619" s="114" t="s">
        <v>3619</v>
      </c>
      <c r="M619" s="115" t="s">
        <v>3639</v>
      </c>
    </row>
    <row r="620" spans="1:13" ht="15.75" customHeight="1">
      <c r="A620" s="23">
        <v>618</v>
      </c>
      <c r="B620" s="36" t="s">
        <v>3627</v>
      </c>
      <c r="C620" s="24" t="s">
        <v>843</v>
      </c>
      <c r="D620" s="24" t="s">
        <v>844</v>
      </c>
      <c r="E620" s="24"/>
      <c r="F620" s="25">
        <v>3</v>
      </c>
      <c r="G620" s="25">
        <v>2</v>
      </c>
      <c r="H620" s="25"/>
      <c r="I620" s="22">
        <v>6</v>
      </c>
      <c r="J620" s="112">
        <v>1.7</v>
      </c>
      <c r="K620" s="113">
        <v>0.74829999999999997</v>
      </c>
      <c r="L620" s="114" t="s">
        <v>3619</v>
      </c>
      <c r="M620" s="115" t="s">
        <v>3639</v>
      </c>
    </row>
    <row r="621" spans="1:13" ht="15.75" customHeight="1">
      <c r="A621" s="19">
        <v>619</v>
      </c>
      <c r="B621" s="36" t="s">
        <v>3627</v>
      </c>
      <c r="C621" s="20" t="s">
        <v>1068</v>
      </c>
      <c r="D621" s="20" t="s">
        <v>1069</v>
      </c>
      <c r="E621" s="20"/>
      <c r="F621" s="21">
        <v>3</v>
      </c>
      <c r="G621" s="21">
        <v>2</v>
      </c>
      <c r="H621" s="21"/>
      <c r="I621" s="22">
        <v>5</v>
      </c>
      <c r="J621" s="108">
        <v>1.7</v>
      </c>
      <c r="K621" s="113">
        <v>0.74829999999999997</v>
      </c>
      <c r="L621" s="114" t="s">
        <v>3619</v>
      </c>
      <c r="M621" s="115" t="s">
        <v>3639</v>
      </c>
    </row>
    <row r="622" spans="1:13" ht="15.75" customHeight="1">
      <c r="A622" s="23">
        <v>620</v>
      </c>
      <c r="B622" s="36" t="s">
        <v>3627</v>
      </c>
      <c r="C622" s="24" t="s">
        <v>479</v>
      </c>
      <c r="D622" s="24" t="s">
        <v>480</v>
      </c>
      <c r="E622" s="24" t="s">
        <v>481</v>
      </c>
      <c r="F622" s="25">
        <v>4</v>
      </c>
      <c r="G622" s="25">
        <v>6</v>
      </c>
      <c r="H622" s="25"/>
      <c r="I622" s="22">
        <v>10</v>
      </c>
      <c r="J622" s="112">
        <v>3.3</v>
      </c>
      <c r="K622" s="113">
        <v>0.74829999999999997</v>
      </c>
      <c r="L622" s="114" t="s">
        <v>3619</v>
      </c>
      <c r="M622" s="115" t="s">
        <v>3639</v>
      </c>
    </row>
    <row r="623" spans="1:13" ht="15.75" customHeight="1">
      <c r="A623" s="19">
        <v>621</v>
      </c>
      <c r="B623" s="36" t="s">
        <v>3627</v>
      </c>
      <c r="C623" s="20" t="s">
        <v>1183</v>
      </c>
      <c r="D623" s="20" t="s">
        <v>491</v>
      </c>
      <c r="E623" s="20" t="s">
        <v>1184</v>
      </c>
      <c r="F623" s="21">
        <v>12</v>
      </c>
      <c r="G623" s="21"/>
      <c r="H623" s="21">
        <v>8</v>
      </c>
      <c r="I623" s="22">
        <v>20</v>
      </c>
      <c r="J623" s="108">
        <v>6.7</v>
      </c>
      <c r="K623" s="113">
        <v>0.74829999999999997</v>
      </c>
      <c r="L623" s="114" t="s">
        <v>3619</v>
      </c>
      <c r="M623" s="115" t="s">
        <v>3639</v>
      </c>
    </row>
    <row r="624" spans="1:13" ht="15.75" customHeight="1">
      <c r="A624" s="23">
        <v>622</v>
      </c>
      <c r="B624" s="36" t="s">
        <v>3627</v>
      </c>
      <c r="C624" s="24" t="s">
        <v>1202</v>
      </c>
      <c r="D624" s="24" t="s">
        <v>1203</v>
      </c>
      <c r="E624" s="24" t="s">
        <v>1204</v>
      </c>
      <c r="F624" s="25">
        <v>12</v>
      </c>
      <c r="G624" s="25"/>
      <c r="H624" s="25">
        <v>18</v>
      </c>
      <c r="I624" s="22">
        <v>30</v>
      </c>
      <c r="J624" s="112">
        <v>10</v>
      </c>
      <c r="K624" s="113">
        <v>0.74829999999999997</v>
      </c>
      <c r="L624" s="114" t="s">
        <v>3619</v>
      </c>
      <c r="M624" s="115" t="s">
        <v>3639</v>
      </c>
    </row>
    <row r="625" spans="1:13" ht="15.75" customHeight="1">
      <c r="A625" s="19">
        <v>623</v>
      </c>
      <c r="B625" s="36" t="s">
        <v>3627</v>
      </c>
      <c r="C625" s="20" t="s">
        <v>2662</v>
      </c>
      <c r="D625" s="20" t="s">
        <v>1237</v>
      </c>
      <c r="E625" s="20"/>
      <c r="F625" s="21"/>
      <c r="G625" s="21">
        <v>17</v>
      </c>
      <c r="H625" s="21">
        <v>12</v>
      </c>
      <c r="I625" s="22">
        <v>29</v>
      </c>
      <c r="J625" s="108">
        <v>9.6999999999999993</v>
      </c>
      <c r="K625" s="113">
        <v>0.73799999999999999</v>
      </c>
      <c r="L625" s="114" t="s">
        <v>3619</v>
      </c>
      <c r="M625" s="115" t="s">
        <v>3639</v>
      </c>
    </row>
    <row r="626" spans="1:13" ht="15.75" customHeight="1">
      <c r="A626" s="23">
        <v>624</v>
      </c>
      <c r="B626" s="36" t="s">
        <v>3627</v>
      </c>
      <c r="C626" s="24" t="s">
        <v>1056</v>
      </c>
      <c r="D626" s="24" t="s">
        <v>1057</v>
      </c>
      <c r="E626" s="24"/>
      <c r="F626" s="25">
        <v>40</v>
      </c>
      <c r="G626" s="25">
        <v>2</v>
      </c>
      <c r="H626" s="25">
        <v>68</v>
      </c>
      <c r="I626" s="22">
        <v>110</v>
      </c>
      <c r="J626" s="112">
        <v>36.700000000000003</v>
      </c>
      <c r="K626" s="113">
        <v>0.73770000000000002</v>
      </c>
      <c r="L626" s="114" t="s">
        <v>3619</v>
      </c>
      <c r="M626" s="115" t="s">
        <v>3639</v>
      </c>
    </row>
    <row r="627" spans="1:13" ht="15.75" customHeight="1">
      <c r="A627" s="19">
        <v>625</v>
      </c>
      <c r="B627" s="36" t="s">
        <v>3627</v>
      </c>
      <c r="C627" s="20" t="s">
        <v>2581</v>
      </c>
      <c r="D627" s="20" t="s">
        <v>1153</v>
      </c>
      <c r="E627" s="20"/>
      <c r="F627" s="21"/>
      <c r="G627" s="21">
        <v>7</v>
      </c>
      <c r="H627" s="21">
        <v>5</v>
      </c>
      <c r="I627" s="22">
        <v>12</v>
      </c>
      <c r="J627" s="108">
        <v>4</v>
      </c>
      <c r="K627" s="113">
        <v>0.73599999999999999</v>
      </c>
      <c r="L627" s="114" t="s">
        <v>3619</v>
      </c>
      <c r="M627" s="115" t="s">
        <v>3639</v>
      </c>
    </row>
    <row r="628" spans="1:13" ht="15.75" customHeight="1">
      <c r="A628" s="23">
        <v>626</v>
      </c>
      <c r="B628" s="36" t="s">
        <v>3627</v>
      </c>
      <c r="C628" s="24" t="s">
        <v>634</v>
      </c>
      <c r="D628" s="24" t="s">
        <v>635</v>
      </c>
      <c r="E628" s="24" t="s">
        <v>636</v>
      </c>
      <c r="F628" s="25">
        <v>60</v>
      </c>
      <c r="G628" s="25"/>
      <c r="H628" s="25">
        <v>80</v>
      </c>
      <c r="I628" s="22">
        <v>140</v>
      </c>
      <c r="J628" s="112">
        <v>46.7</v>
      </c>
      <c r="K628" s="113">
        <v>0.72840000000000005</v>
      </c>
      <c r="L628" s="114" t="s">
        <v>3619</v>
      </c>
      <c r="M628" s="115" t="s">
        <v>3639</v>
      </c>
    </row>
    <row r="629" spans="1:13" ht="15.75" customHeight="1">
      <c r="A629" s="19">
        <v>627</v>
      </c>
      <c r="B629" s="36" t="s">
        <v>3627</v>
      </c>
      <c r="C629" s="20" t="s">
        <v>2533</v>
      </c>
      <c r="D629" s="20" t="s">
        <v>2534</v>
      </c>
      <c r="E629" s="20"/>
      <c r="F629" s="21"/>
      <c r="G629" s="21">
        <v>30</v>
      </c>
      <c r="H629" s="21">
        <v>40</v>
      </c>
      <c r="I629" s="22">
        <v>70</v>
      </c>
      <c r="J629" s="108">
        <v>23.3</v>
      </c>
      <c r="K629" s="113">
        <v>0.72840000000000005</v>
      </c>
      <c r="L629" s="114" t="s">
        <v>3619</v>
      </c>
      <c r="M629" s="115" t="s">
        <v>3639</v>
      </c>
    </row>
    <row r="630" spans="1:13" ht="15.75" customHeight="1">
      <c r="A630" s="23">
        <v>628</v>
      </c>
      <c r="B630" s="36" t="s">
        <v>3627</v>
      </c>
      <c r="C630" s="24" t="s">
        <v>886</v>
      </c>
      <c r="D630" s="24" t="s">
        <v>887</v>
      </c>
      <c r="E630" s="24" t="s">
        <v>888</v>
      </c>
      <c r="F630" s="25">
        <v>32</v>
      </c>
      <c r="G630" s="25">
        <v>2</v>
      </c>
      <c r="H630" s="25">
        <v>54</v>
      </c>
      <c r="I630" s="22">
        <v>141</v>
      </c>
      <c r="J630" s="112">
        <v>29.3</v>
      </c>
      <c r="K630" s="113">
        <v>0.72660000000000002</v>
      </c>
      <c r="L630" s="114" t="s">
        <v>3619</v>
      </c>
      <c r="M630" s="115" t="s">
        <v>3639</v>
      </c>
    </row>
    <row r="631" spans="1:13" ht="15.75" customHeight="1">
      <c r="A631" s="19">
        <v>629</v>
      </c>
      <c r="B631" s="36" t="s">
        <v>3627</v>
      </c>
      <c r="C631" s="20" t="s">
        <v>1205</v>
      </c>
      <c r="D631" s="20" t="s">
        <v>1206</v>
      </c>
      <c r="E631" s="20" t="s">
        <v>1207</v>
      </c>
      <c r="F631" s="21">
        <v>14</v>
      </c>
      <c r="G631" s="21"/>
      <c r="H631" s="21">
        <v>18</v>
      </c>
      <c r="I631" s="22">
        <v>32</v>
      </c>
      <c r="J631" s="108">
        <v>10.7</v>
      </c>
      <c r="K631" s="113">
        <v>0.72350000000000003</v>
      </c>
      <c r="L631" s="114" t="s">
        <v>3619</v>
      </c>
      <c r="M631" s="115" t="s">
        <v>3639</v>
      </c>
    </row>
    <row r="632" spans="1:13" ht="15.75" customHeight="1">
      <c r="A632" s="23">
        <v>630</v>
      </c>
      <c r="B632" s="36" t="s">
        <v>3627</v>
      </c>
      <c r="C632" s="24" t="s">
        <v>1220</v>
      </c>
      <c r="D632" s="24" t="s">
        <v>1221</v>
      </c>
      <c r="E632" s="24"/>
      <c r="F632" s="25">
        <v>40</v>
      </c>
      <c r="G632" s="25"/>
      <c r="H632" s="25">
        <v>50</v>
      </c>
      <c r="I632" s="22">
        <v>90</v>
      </c>
      <c r="J632" s="112">
        <v>30</v>
      </c>
      <c r="K632" s="113">
        <v>0.72009999999999996</v>
      </c>
      <c r="L632" s="114" t="s">
        <v>3619</v>
      </c>
      <c r="M632" s="115" t="s">
        <v>3639</v>
      </c>
    </row>
    <row r="633" spans="1:13" ht="15.75" customHeight="1">
      <c r="A633" s="19">
        <v>631</v>
      </c>
      <c r="B633" s="36" t="s">
        <v>3627</v>
      </c>
      <c r="C633" s="20" t="s">
        <v>1112</v>
      </c>
      <c r="D633" s="20" t="s">
        <v>574</v>
      </c>
      <c r="E633" s="20" t="s">
        <v>1113</v>
      </c>
      <c r="F633" s="21">
        <v>8</v>
      </c>
      <c r="G633" s="21">
        <v>10</v>
      </c>
      <c r="H633" s="21"/>
      <c r="I633" s="22">
        <v>18</v>
      </c>
      <c r="J633" s="108">
        <v>6</v>
      </c>
      <c r="K633" s="113">
        <v>0.72009999999999996</v>
      </c>
      <c r="L633" s="114" t="s">
        <v>3619</v>
      </c>
      <c r="M633" s="115" t="s">
        <v>3639</v>
      </c>
    </row>
    <row r="634" spans="1:13" ht="15.75" customHeight="1">
      <c r="A634" s="23">
        <v>632</v>
      </c>
      <c r="B634" s="36" t="s">
        <v>3627</v>
      </c>
      <c r="C634" s="24" t="s">
        <v>2595</v>
      </c>
      <c r="D634" s="24" t="s">
        <v>480</v>
      </c>
      <c r="E634" s="24" t="s">
        <v>2596</v>
      </c>
      <c r="F634" s="25"/>
      <c r="G634" s="25">
        <v>40</v>
      </c>
      <c r="H634" s="25">
        <v>50</v>
      </c>
      <c r="I634" s="22">
        <v>90</v>
      </c>
      <c r="J634" s="112">
        <v>30</v>
      </c>
      <c r="K634" s="113">
        <v>0.72009999999999996</v>
      </c>
      <c r="L634" s="114" t="s">
        <v>3619</v>
      </c>
      <c r="M634" s="115" t="s">
        <v>3639</v>
      </c>
    </row>
    <row r="635" spans="1:13" ht="15.75" customHeight="1">
      <c r="A635" s="19">
        <v>633</v>
      </c>
      <c r="B635" s="36" t="s">
        <v>3627</v>
      </c>
      <c r="C635" s="20" t="s">
        <v>2593</v>
      </c>
      <c r="D635" s="20" t="s">
        <v>357</v>
      </c>
      <c r="E635" s="20" t="s">
        <v>2594</v>
      </c>
      <c r="F635" s="21"/>
      <c r="G635" s="21">
        <v>60</v>
      </c>
      <c r="H635" s="21">
        <v>74</v>
      </c>
      <c r="I635" s="22">
        <v>134</v>
      </c>
      <c r="J635" s="108">
        <v>44.7</v>
      </c>
      <c r="K635" s="113">
        <v>0.71860000000000002</v>
      </c>
      <c r="L635" s="114" t="s">
        <v>3619</v>
      </c>
      <c r="M635" s="115" t="s">
        <v>3639</v>
      </c>
    </row>
    <row r="636" spans="1:13" ht="15.75" customHeight="1">
      <c r="A636" s="23">
        <v>634</v>
      </c>
      <c r="B636" s="36" t="s">
        <v>3627</v>
      </c>
      <c r="C636" s="24" t="s">
        <v>1103</v>
      </c>
      <c r="D636" s="24" t="s">
        <v>720</v>
      </c>
      <c r="E636" s="26" t="s">
        <v>1104</v>
      </c>
      <c r="F636" s="25">
        <v>50</v>
      </c>
      <c r="G636" s="25">
        <v>60</v>
      </c>
      <c r="H636" s="25"/>
      <c r="I636" s="22">
        <v>110</v>
      </c>
      <c r="J636" s="112">
        <v>36.700000000000003</v>
      </c>
      <c r="K636" s="113">
        <v>0.71579999999999999</v>
      </c>
      <c r="L636" s="114" t="s">
        <v>3619</v>
      </c>
      <c r="M636" s="115" t="s">
        <v>3639</v>
      </c>
    </row>
    <row r="637" spans="1:13" ht="15.75" customHeight="1">
      <c r="A637" s="19">
        <v>635</v>
      </c>
      <c r="B637" s="36" t="s">
        <v>3627</v>
      </c>
      <c r="C637" s="20" t="s">
        <v>2611</v>
      </c>
      <c r="D637" s="20" t="s">
        <v>591</v>
      </c>
      <c r="E637" s="20" t="s">
        <v>2612</v>
      </c>
      <c r="F637" s="21"/>
      <c r="G637" s="21">
        <v>50</v>
      </c>
      <c r="H637" s="21">
        <v>60</v>
      </c>
      <c r="I637" s="22">
        <v>110</v>
      </c>
      <c r="J637" s="108">
        <v>36.700000000000003</v>
      </c>
      <c r="K637" s="113">
        <v>0.71579999999999999</v>
      </c>
      <c r="L637" s="114" t="s">
        <v>3619</v>
      </c>
      <c r="M637" s="115" t="s">
        <v>3639</v>
      </c>
    </row>
    <row r="638" spans="1:13" ht="15.75" customHeight="1">
      <c r="A638" s="23">
        <v>636</v>
      </c>
      <c r="B638" s="36" t="s">
        <v>3627</v>
      </c>
      <c r="C638" s="24" t="s">
        <v>640</v>
      </c>
      <c r="D638" s="24" t="s">
        <v>641</v>
      </c>
      <c r="E638" s="24" t="s">
        <v>642</v>
      </c>
      <c r="F638" s="25">
        <v>47</v>
      </c>
      <c r="G638" s="25">
        <v>50</v>
      </c>
      <c r="H638" s="25"/>
      <c r="I638" s="22">
        <v>97</v>
      </c>
      <c r="J638" s="112">
        <v>32.299999999999997</v>
      </c>
      <c r="K638" s="113">
        <v>0.70809999999999995</v>
      </c>
      <c r="L638" s="114" t="s">
        <v>3619</v>
      </c>
      <c r="M638" s="115" t="s">
        <v>3639</v>
      </c>
    </row>
    <row r="639" spans="1:13" ht="15.75" customHeight="1">
      <c r="A639" s="19">
        <v>637</v>
      </c>
      <c r="B639" s="36" t="s">
        <v>3627</v>
      </c>
      <c r="C639" s="20" t="s">
        <v>734</v>
      </c>
      <c r="D639" s="20" t="s">
        <v>735</v>
      </c>
      <c r="E639" s="20" t="s">
        <v>736</v>
      </c>
      <c r="F639" s="21">
        <v>65</v>
      </c>
      <c r="G639" s="21"/>
      <c r="H639" s="21">
        <v>67</v>
      </c>
      <c r="I639" s="22">
        <v>132</v>
      </c>
      <c r="J639" s="108">
        <v>44</v>
      </c>
      <c r="K639" s="113">
        <v>0.70740000000000003</v>
      </c>
      <c r="L639" s="114" t="s">
        <v>3619</v>
      </c>
      <c r="M639" s="115" t="s">
        <v>3639</v>
      </c>
    </row>
    <row r="640" spans="1:13" ht="15.75" customHeight="1">
      <c r="A640" s="23">
        <v>638</v>
      </c>
      <c r="B640" s="36" t="s">
        <v>3627</v>
      </c>
      <c r="C640" s="24" t="s">
        <v>1004</v>
      </c>
      <c r="D640" s="24" t="s">
        <v>776</v>
      </c>
      <c r="E640" s="24" t="s">
        <v>1005</v>
      </c>
      <c r="F640" s="25">
        <v>30</v>
      </c>
      <c r="G640" s="25"/>
      <c r="H640" s="25">
        <v>30</v>
      </c>
      <c r="I640" s="22">
        <v>110</v>
      </c>
      <c r="J640" s="112">
        <v>20</v>
      </c>
      <c r="K640" s="113">
        <v>0.70709999999999995</v>
      </c>
      <c r="L640" s="114" t="s">
        <v>3619</v>
      </c>
      <c r="M640" s="115" t="s">
        <v>3639</v>
      </c>
    </row>
    <row r="641" spans="1:13" ht="15.75" customHeight="1">
      <c r="A641" s="19">
        <v>639</v>
      </c>
      <c r="B641" s="36" t="s">
        <v>3627</v>
      </c>
      <c r="C641" s="20" t="s">
        <v>1216</v>
      </c>
      <c r="D641" s="20" t="s">
        <v>606</v>
      </c>
      <c r="E641" s="27" t="s">
        <v>1154</v>
      </c>
      <c r="F641" s="21">
        <v>10</v>
      </c>
      <c r="G641" s="21"/>
      <c r="H641" s="21">
        <v>10</v>
      </c>
      <c r="I641" s="22">
        <v>20</v>
      </c>
      <c r="J641" s="108">
        <v>6.7</v>
      </c>
      <c r="K641" s="113">
        <v>0.70709999999999995</v>
      </c>
      <c r="L641" s="114" t="s">
        <v>3619</v>
      </c>
      <c r="M641" s="115" t="s">
        <v>3639</v>
      </c>
    </row>
    <row r="642" spans="1:13" ht="15.75" customHeight="1">
      <c r="A642" s="23">
        <v>640</v>
      </c>
      <c r="B642" s="36" t="s">
        <v>3627</v>
      </c>
      <c r="C642" s="24" t="s">
        <v>1060</v>
      </c>
      <c r="D642" s="24" t="s">
        <v>744</v>
      </c>
      <c r="E642" s="24" t="s">
        <v>1061</v>
      </c>
      <c r="F642" s="25">
        <v>50</v>
      </c>
      <c r="G642" s="25">
        <v>50</v>
      </c>
      <c r="H642" s="25"/>
      <c r="I642" s="22">
        <v>100</v>
      </c>
      <c r="J642" s="112">
        <v>33.299999999999997</v>
      </c>
      <c r="K642" s="113">
        <v>0.70709999999999995</v>
      </c>
      <c r="L642" s="114" t="s">
        <v>3619</v>
      </c>
      <c r="M642" s="115" t="s">
        <v>3639</v>
      </c>
    </row>
    <row r="643" spans="1:13" ht="15.75" customHeight="1">
      <c r="A643" s="19">
        <v>641</v>
      </c>
      <c r="B643" s="36" t="s">
        <v>3627</v>
      </c>
      <c r="C643" s="20" t="s">
        <v>1342</v>
      </c>
      <c r="D643" s="20" t="s">
        <v>1343</v>
      </c>
      <c r="E643" s="20" t="s">
        <v>1344</v>
      </c>
      <c r="F643" s="21">
        <v>10</v>
      </c>
      <c r="G643" s="21">
        <v>10</v>
      </c>
      <c r="H643" s="21"/>
      <c r="I643" s="22">
        <v>20</v>
      </c>
      <c r="J643" s="108">
        <v>6.7</v>
      </c>
      <c r="K643" s="113">
        <v>0.70709999999999995</v>
      </c>
      <c r="L643" s="114" t="s">
        <v>3619</v>
      </c>
      <c r="M643" s="115" t="s">
        <v>3639</v>
      </c>
    </row>
    <row r="644" spans="1:13" ht="15.75" customHeight="1">
      <c r="A644" s="23">
        <v>642</v>
      </c>
      <c r="B644" s="36" t="s">
        <v>3627</v>
      </c>
      <c r="C644" s="24" t="s">
        <v>2629</v>
      </c>
      <c r="D644" s="24" t="s">
        <v>2630</v>
      </c>
      <c r="E644" s="24" t="s">
        <v>2631</v>
      </c>
      <c r="F644" s="25"/>
      <c r="G644" s="25">
        <v>10</v>
      </c>
      <c r="H644" s="25">
        <v>10</v>
      </c>
      <c r="I644" s="22">
        <v>20</v>
      </c>
      <c r="J644" s="112">
        <v>6.7</v>
      </c>
      <c r="K644" s="113">
        <v>0.70709999999999995</v>
      </c>
      <c r="L644" s="114" t="s">
        <v>3619</v>
      </c>
      <c r="M644" s="115" t="s">
        <v>3639</v>
      </c>
    </row>
    <row r="645" spans="1:13" ht="15.75" customHeight="1">
      <c r="A645" s="19">
        <v>643</v>
      </c>
      <c r="B645" s="36" t="s">
        <v>3627</v>
      </c>
      <c r="C645" s="20" t="s">
        <v>2609</v>
      </c>
      <c r="D645" s="20" t="s">
        <v>597</v>
      </c>
      <c r="E645" s="20" t="s">
        <v>2610</v>
      </c>
      <c r="F645" s="21"/>
      <c r="G645" s="21">
        <v>50</v>
      </c>
      <c r="H645" s="21">
        <v>50</v>
      </c>
      <c r="I645" s="22">
        <v>100</v>
      </c>
      <c r="J645" s="108">
        <v>33.299999999999997</v>
      </c>
      <c r="K645" s="113">
        <v>0.70709999999999995</v>
      </c>
      <c r="L645" s="114" t="s">
        <v>3619</v>
      </c>
      <c r="M645" s="115" t="s">
        <v>3639</v>
      </c>
    </row>
    <row r="646" spans="1:13" ht="15.75" customHeight="1">
      <c r="A646" s="23">
        <v>644</v>
      </c>
      <c r="B646" s="36" t="s">
        <v>3627</v>
      </c>
      <c r="C646" s="24" t="s">
        <v>2615</v>
      </c>
      <c r="D646" s="24" t="s">
        <v>606</v>
      </c>
      <c r="E646" s="24" t="s">
        <v>2616</v>
      </c>
      <c r="F646" s="25"/>
      <c r="G646" s="25">
        <v>50</v>
      </c>
      <c r="H646" s="25">
        <v>50</v>
      </c>
      <c r="I646" s="22">
        <v>100</v>
      </c>
      <c r="J646" s="112">
        <v>33.299999999999997</v>
      </c>
      <c r="K646" s="113">
        <v>0.70709999999999995</v>
      </c>
      <c r="L646" s="114" t="s">
        <v>3619</v>
      </c>
      <c r="M646" s="115" t="s">
        <v>3639</v>
      </c>
    </row>
    <row r="647" spans="1:13" ht="15.75" customHeight="1">
      <c r="A647" s="19">
        <v>645</v>
      </c>
      <c r="B647" s="36" t="s">
        <v>3627</v>
      </c>
      <c r="C647" s="20" t="s">
        <v>563</v>
      </c>
      <c r="D647" s="20" t="s">
        <v>564</v>
      </c>
      <c r="E647" s="20"/>
      <c r="F647" s="21">
        <v>20</v>
      </c>
      <c r="G647" s="21">
        <v>14</v>
      </c>
      <c r="H647" s="21">
        <v>66</v>
      </c>
      <c r="I647" s="22">
        <v>100</v>
      </c>
      <c r="J647" s="108">
        <v>33.299999999999997</v>
      </c>
      <c r="K647" s="113">
        <v>0.69689999999999996</v>
      </c>
      <c r="L647" s="114" t="s">
        <v>3619</v>
      </c>
      <c r="M647" s="115" t="s">
        <v>3639</v>
      </c>
    </row>
    <row r="648" spans="1:13" ht="15.75" customHeight="1">
      <c r="A648" s="23">
        <v>646</v>
      </c>
      <c r="B648" s="36" t="s">
        <v>3627</v>
      </c>
      <c r="C648" s="24" t="s">
        <v>1163</v>
      </c>
      <c r="D648" s="24" t="s">
        <v>1164</v>
      </c>
      <c r="E648" s="24"/>
      <c r="F648" s="25">
        <v>20</v>
      </c>
      <c r="G648" s="25">
        <v>2</v>
      </c>
      <c r="H648" s="25">
        <v>10</v>
      </c>
      <c r="I648" s="22">
        <v>42</v>
      </c>
      <c r="J648" s="112">
        <v>10.7</v>
      </c>
      <c r="K648" s="113">
        <v>0.69030000000000002</v>
      </c>
      <c r="L648" s="114" t="s">
        <v>3619</v>
      </c>
      <c r="M648" s="115" t="s">
        <v>3639</v>
      </c>
    </row>
    <row r="649" spans="1:13" ht="15.75" customHeight="1">
      <c r="A649" s="19">
        <v>647</v>
      </c>
      <c r="B649" s="36" t="s">
        <v>3627</v>
      </c>
      <c r="C649" s="20" t="s">
        <v>966</v>
      </c>
      <c r="D649" s="20" t="s">
        <v>967</v>
      </c>
      <c r="E649" s="20"/>
      <c r="F649" s="21">
        <v>30</v>
      </c>
      <c r="G649" s="21">
        <v>70</v>
      </c>
      <c r="H649" s="21">
        <v>10</v>
      </c>
      <c r="I649" s="22">
        <v>110</v>
      </c>
      <c r="J649" s="108">
        <v>36.700000000000003</v>
      </c>
      <c r="K649" s="113">
        <v>0.68030000000000002</v>
      </c>
      <c r="L649" s="114" t="s">
        <v>3619</v>
      </c>
      <c r="M649" s="115" t="s">
        <v>3639</v>
      </c>
    </row>
    <row r="650" spans="1:13" ht="15.75" customHeight="1">
      <c r="A650" s="23">
        <v>648</v>
      </c>
      <c r="B650" s="36" t="s">
        <v>3627</v>
      </c>
      <c r="C650" s="24" t="s">
        <v>1050</v>
      </c>
      <c r="D650" s="24" t="s">
        <v>591</v>
      </c>
      <c r="E650" s="24" t="s">
        <v>1051</v>
      </c>
      <c r="F650" s="25">
        <v>1</v>
      </c>
      <c r="G650" s="25">
        <v>31</v>
      </c>
      <c r="H650" s="25">
        <v>30</v>
      </c>
      <c r="I650" s="22">
        <v>62</v>
      </c>
      <c r="J650" s="112">
        <v>20.7</v>
      </c>
      <c r="K650" s="113">
        <v>0.67320000000000002</v>
      </c>
      <c r="L650" s="114" t="s">
        <v>3619</v>
      </c>
      <c r="M650" s="115" t="s">
        <v>3639</v>
      </c>
    </row>
    <row r="651" spans="1:13" ht="15.75" customHeight="1">
      <c r="A651" s="19">
        <v>649</v>
      </c>
      <c r="B651" s="36" t="s">
        <v>3627</v>
      </c>
      <c r="C651" s="20" t="s">
        <v>1114</v>
      </c>
      <c r="D651" s="20" t="s">
        <v>558</v>
      </c>
      <c r="E651" s="20" t="s">
        <v>1115</v>
      </c>
      <c r="F651" s="21">
        <v>24</v>
      </c>
      <c r="G651" s="21">
        <v>3</v>
      </c>
      <c r="H651" s="21">
        <v>38</v>
      </c>
      <c r="I651" s="22">
        <v>65</v>
      </c>
      <c r="J651" s="108">
        <v>21.7</v>
      </c>
      <c r="K651" s="113">
        <v>0.66390000000000005</v>
      </c>
      <c r="L651" s="114" t="s">
        <v>3619</v>
      </c>
      <c r="M651" s="115" t="s">
        <v>3639</v>
      </c>
    </row>
    <row r="652" spans="1:13" ht="15.75" customHeight="1">
      <c r="A652" s="23">
        <v>650</v>
      </c>
      <c r="B652" s="36" t="s">
        <v>3627</v>
      </c>
      <c r="C652" s="24" t="s">
        <v>529</v>
      </c>
      <c r="D652" s="24" t="s">
        <v>530</v>
      </c>
      <c r="E652" s="24" t="s">
        <v>531</v>
      </c>
      <c r="F652" s="25">
        <v>28</v>
      </c>
      <c r="G652" s="25">
        <v>13</v>
      </c>
      <c r="H652" s="25">
        <v>4</v>
      </c>
      <c r="I652" s="22">
        <v>45</v>
      </c>
      <c r="J652" s="112">
        <v>15</v>
      </c>
      <c r="K652" s="113">
        <v>0.66</v>
      </c>
      <c r="L652" s="114" t="s">
        <v>3619</v>
      </c>
      <c r="M652" s="115" t="s">
        <v>3639</v>
      </c>
    </row>
    <row r="653" spans="1:13" ht="15.75" customHeight="1">
      <c r="A653" s="19">
        <v>651</v>
      </c>
      <c r="B653" s="36" t="s">
        <v>3627</v>
      </c>
      <c r="C653" s="20" t="s">
        <v>1121</v>
      </c>
      <c r="D653" s="20" t="s">
        <v>568</v>
      </c>
      <c r="E653" s="20" t="s">
        <v>1122</v>
      </c>
      <c r="F653" s="21">
        <v>96</v>
      </c>
      <c r="G653" s="21">
        <v>49</v>
      </c>
      <c r="H653" s="21">
        <v>12</v>
      </c>
      <c r="I653" s="22">
        <v>157</v>
      </c>
      <c r="J653" s="108">
        <v>52.3</v>
      </c>
      <c r="K653" s="113">
        <v>0.65680000000000005</v>
      </c>
      <c r="L653" s="114" t="s">
        <v>3619</v>
      </c>
      <c r="M653" s="115" t="s">
        <v>3639</v>
      </c>
    </row>
    <row r="654" spans="1:13" ht="15.75" customHeight="1">
      <c r="A654" s="23">
        <v>652</v>
      </c>
      <c r="B654" s="36" t="s">
        <v>3627</v>
      </c>
      <c r="C654" s="24" t="s">
        <v>1120</v>
      </c>
      <c r="D654" s="24" t="s">
        <v>568</v>
      </c>
      <c r="E654" s="24" t="s">
        <v>1115</v>
      </c>
      <c r="F654" s="25">
        <v>3</v>
      </c>
      <c r="G654" s="25">
        <v>40</v>
      </c>
      <c r="H654" s="25">
        <v>49</v>
      </c>
      <c r="I654" s="22">
        <v>93</v>
      </c>
      <c r="J654" s="112">
        <v>30.7</v>
      </c>
      <c r="K654" s="113">
        <v>0.64910000000000001</v>
      </c>
      <c r="L654" s="114" t="s">
        <v>3619</v>
      </c>
      <c r="M654" s="115" t="s">
        <v>3639</v>
      </c>
    </row>
    <row r="655" spans="1:13" ht="15.75" customHeight="1">
      <c r="A655" s="19">
        <v>653</v>
      </c>
      <c r="B655" s="36" t="s">
        <v>3627</v>
      </c>
      <c r="C655" s="20" t="s">
        <v>1118</v>
      </c>
      <c r="D655" s="20" t="s">
        <v>370</v>
      </c>
      <c r="E655" s="20" t="s">
        <v>1115</v>
      </c>
      <c r="F655" s="21">
        <v>34</v>
      </c>
      <c r="G655" s="21">
        <v>19</v>
      </c>
      <c r="H655" s="21">
        <v>4</v>
      </c>
      <c r="I655" s="22">
        <v>64</v>
      </c>
      <c r="J655" s="108">
        <v>19</v>
      </c>
      <c r="K655" s="113">
        <v>0.64459999999999995</v>
      </c>
      <c r="L655" s="114" t="s">
        <v>3619</v>
      </c>
      <c r="M655" s="115" t="s">
        <v>3639</v>
      </c>
    </row>
    <row r="656" spans="1:13" ht="15.75" customHeight="1">
      <c r="A656" s="23">
        <v>654</v>
      </c>
      <c r="B656" s="36" t="s">
        <v>3627</v>
      </c>
      <c r="C656" s="24" t="s">
        <v>543</v>
      </c>
      <c r="D656" s="24" t="s">
        <v>544</v>
      </c>
      <c r="E656" s="24" t="s">
        <v>540</v>
      </c>
      <c r="F656" s="25">
        <v>14</v>
      </c>
      <c r="G656" s="25">
        <v>5</v>
      </c>
      <c r="H656" s="25">
        <v>30</v>
      </c>
      <c r="I656" s="22">
        <v>49</v>
      </c>
      <c r="J656" s="112">
        <v>16.3</v>
      </c>
      <c r="K656" s="113">
        <v>0.63300000000000001</v>
      </c>
      <c r="L656" s="114" t="s">
        <v>3619</v>
      </c>
      <c r="M656" s="115" t="s">
        <v>3639</v>
      </c>
    </row>
    <row r="657" spans="1:13" ht="15.75" customHeight="1">
      <c r="A657" s="19">
        <v>655</v>
      </c>
      <c r="B657" s="36" t="s">
        <v>3627</v>
      </c>
      <c r="C657" s="20" t="s">
        <v>608</v>
      </c>
      <c r="D657" s="20" t="s">
        <v>609</v>
      </c>
      <c r="E657" s="20" t="s">
        <v>610</v>
      </c>
      <c r="F657" s="21">
        <v>32</v>
      </c>
      <c r="G657" s="21">
        <v>16</v>
      </c>
      <c r="H657" s="21">
        <v>78</v>
      </c>
      <c r="I657" s="22">
        <v>126</v>
      </c>
      <c r="J657" s="108">
        <v>42</v>
      </c>
      <c r="K657" s="113">
        <v>0.62570000000000003</v>
      </c>
      <c r="L657" s="114" t="s">
        <v>3619</v>
      </c>
      <c r="M657" s="115" t="s">
        <v>3639</v>
      </c>
    </row>
    <row r="658" spans="1:13" ht="15.75" customHeight="1">
      <c r="A658" s="23">
        <v>656</v>
      </c>
      <c r="B658" s="36" t="s">
        <v>3627</v>
      </c>
      <c r="C658" s="24" t="s">
        <v>1334</v>
      </c>
      <c r="D658" s="24" t="s">
        <v>1335</v>
      </c>
      <c r="E658" s="24"/>
      <c r="F658" s="25">
        <v>40</v>
      </c>
      <c r="G658" s="25">
        <v>10</v>
      </c>
      <c r="H658" s="25">
        <v>64</v>
      </c>
      <c r="I658" s="22">
        <v>114</v>
      </c>
      <c r="J658" s="112">
        <v>38</v>
      </c>
      <c r="K658" s="113">
        <v>0.58130000000000004</v>
      </c>
      <c r="L658" s="114" t="s">
        <v>3619</v>
      </c>
      <c r="M658" s="115" t="s">
        <v>3639</v>
      </c>
    </row>
    <row r="659" spans="1:13" ht="15.75" customHeight="1">
      <c r="A659" s="19">
        <v>657</v>
      </c>
      <c r="B659" s="36" t="s">
        <v>3627</v>
      </c>
      <c r="C659" s="20" t="s">
        <v>1072</v>
      </c>
      <c r="D659" s="20" t="s">
        <v>1073</v>
      </c>
      <c r="E659" s="20"/>
      <c r="F659" s="21">
        <v>3</v>
      </c>
      <c r="G659" s="21">
        <v>4</v>
      </c>
      <c r="H659" s="21">
        <v>10</v>
      </c>
      <c r="I659" s="22">
        <v>17</v>
      </c>
      <c r="J659" s="108">
        <v>5.7</v>
      </c>
      <c r="K659" s="113">
        <v>0.54549999999999998</v>
      </c>
      <c r="L659" s="114" t="s">
        <v>3619</v>
      </c>
      <c r="M659" s="115" t="s">
        <v>3639</v>
      </c>
    </row>
    <row r="660" spans="1:13" ht="15.75" customHeight="1">
      <c r="A660" s="23">
        <v>658</v>
      </c>
      <c r="B660" s="36" t="s">
        <v>3627</v>
      </c>
      <c r="C660" s="24" t="s">
        <v>1054</v>
      </c>
      <c r="D660" s="24" t="s">
        <v>1055</v>
      </c>
      <c r="E660" s="24"/>
      <c r="F660" s="25">
        <v>14</v>
      </c>
      <c r="G660" s="25">
        <v>64</v>
      </c>
      <c r="H660" s="25">
        <v>40</v>
      </c>
      <c r="I660" s="22">
        <v>118</v>
      </c>
      <c r="J660" s="112">
        <v>39.299999999999997</v>
      </c>
      <c r="K660" s="113">
        <v>0.51910000000000001</v>
      </c>
      <c r="L660" s="114" t="s">
        <v>3619</v>
      </c>
      <c r="M660" s="115" t="s">
        <v>3639</v>
      </c>
    </row>
    <row r="661" spans="1:13" ht="15.75" customHeight="1">
      <c r="A661" s="19">
        <v>659</v>
      </c>
      <c r="B661" s="36" t="s">
        <v>3627</v>
      </c>
      <c r="C661" s="20" t="s">
        <v>752</v>
      </c>
      <c r="D661" s="20" t="s">
        <v>753</v>
      </c>
      <c r="E661" s="20"/>
      <c r="F661" s="21">
        <v>20</v>
      </c>
      <c r="G661" s="21">
        <v>6</v>
      </c>
      <c r="H661" s="21">
        <v>28</v>
      </c>
      <c r="I661" s="22">
        <v>64</v>
      </c>
      <c r="J661" s="108">
        <v>18</v>
      </c>
      <c r="K661" s="113">
        <v>0.50509999999999999</v>
      </c>
      <c r="L661" s="114" t="s">
        <v>3619</v>
      </c>
      <c r="M661" s="115" t="s">
        <v>3639</v>
      </c>
    </row>
    <row r="662" spans="1:13" ht="15.75" customHeight="1">
      <c r="A662" s="23">
        <v>660</v>
      </c>
      <c r="B662" s="36" t="s">
        <v>3627</v>
      </c>
      <c r="C662" s="24" t="s">
        <v>901</v>
      </c>
      <c r="D662" s="24" t="s">
        <v>902</v>
      </c>
      <c r="E662" s="24" t="s">
        <v>812</v>
      </c>
      <c r="F662" s="25">
        <v>3</v>
      </c>
      <c r="G662" s="25">
        <v>3</v>
      </c>
      <c r="H662" s="25">
        <v>8</v>
      </c>
      <c r="I662" s="22">
        <v>14</v>
      </c>
      <c r="J662" s="112">
        <v>4.7</v>
      </c>
      <c r="K662" s="113">
        <v>0.50509999999999999</v>
      </c>
      <c r="L662" s="114" t="s">
        <v>3619</v>
      </c>
      <c r="M662" s="115" t="s">
        <v>3639</v>
      </c>
    </row>
    <row r="663" spans="1:13" ht="15.75" customHeight="1">
      <c r="A663" s="19">
        <v>661</v>
      </c>
      <c r="B663" s="36" t="s">
        <v>3627</v>
      </c>
      <c r="C663" s="20" t="s">
        <v>834</v>
      </c>
      <c r="D663" s="20" t="s">
        <v>835</v>
      </c>
      <c r="E663" s="20" t="s">
        <v>836</v>
      </c>
      <c r="F663" s="21">
        <v>2032</v>
      </c>
      <c r="G663" s="21">
        <v>478</v>
      </c>
      <c r="H663" s="21">
        <v>1302</v>
      </c>
      <c r="I663" s="22">
        <v>3994</v>
      </c>
      <c r="J663" s="108">
        <v>1270.7</v>
      </c>
      <c r="K663" s="116">
        <v>0.49959999999999999</v>
      </c>
      <c r="L663" s="117" t="s">
        <v>3620</v>
      </c>
      <c r="M663" s="118" t="s">
        <v>3640</v>
      </c>
    </row>
    <row r="664" spans="1:13" ht="15.75" customHeight="1">
      <c r="A664" s="23">
        <v>662</v>
      </c>
      <c r="B664" s="36" t="s">
        <v>3627</v>
      </c>
      <c r="C664" s="24" t="s">
        <v>1042</v>
      </c>
      <c r="D664" s="24" t="s">
        <v>351</v>
      </c>
      <c r="E664" s="24" t="s">
        <v>1043</v>
      </c>
      <c r="F664" s="25">
        <v>150</v>
      </c>
      <c r="G664" s="25">
        <v>32</v>
      </c>
      <c r="H664" s="25">
        <v>130</v>
      </c>
      <c r="I664" s="22">
        <v>342</v>
      </c>
      <c r="J664" s="112">
        <v>104</v>
      </c>
      <c r="K664" s="116">
        <v>0.49580000000000002</v>
      </c>
      <c r="L664" s="117" t="s">
        <v>3620</v>
      </c>
      <c r="M664" s="118" t="s">
        <v>3640</v>
      </c>
    </row>
    <row r="665" spans="1:13" ht="15.75" customHeight="1">
      <c r="A665" s="19">
        <v>663</v>
      </c>
      <c r="B665" s="36" t="s">
        <v>3627</v>
      </c>
      <c r="C665" s="20" t="s">
        <v>518</v>
      </c>
      <c r="D665" s="20" t="s">
        <v>519</v>
      </c>
      <c r="E665" s="20" t="s">
        <v>520</v>
      </c>
      <c r="F665" s="21">
        <v>225</v>
      </c>
      <c r="G665" s="21">
        <v>88</v>
      </c>
      <c r="H665" s="21">
        <v>84</v>
      </c>
      <c r="I665" s="22">
        <v>397</v>
      </c>
      <c r="J665" s="108">
        <v>132.30000000000001</v>
      </c>
      <c r="K665" s="116">
        <v>0.49530000000000002</v>
      </c>
      <c r="L665" s="117" t="s">
        <v>3620</v>
      </c>
      <c r="M665" s="118" t="s">
        <v>3640</v>
      </c>
    </row>
    <row r="666" spans="1:13" ht="15.75" customHeight="1">
      <c r="A666" s="23">
        <v>664</v>
      </c>
      <c r="B666" s="36" t="s">
        <v>3627</v>
      </c>
      <c r="C666" s="24" t="s">
        <v>840</v>
      </c>
      <c r="D666" s="24" t="s">
        <v>841</v>
      </c>
      <c r="E666" s="24" t="s">
        <v>842</v>
      </c>
      <c r="F666" s="25">
        <v>1028</v>
      </c>
      <c r="G666" s="25">
        <v>1419</v>
      </c>
      <c r="H666" s="25">
        <v>328</v>
      </c>
      <c r="I666" s="22">
        <v>2909</v>
      </c>
      <c r="J666" s="112">
        <v>925</v>
      </c>
      <c r="K666" s="116">
        <v>0.4879</v>
      </c>
      <c r="L666" s="117" t="s">
        <v>3620</v>
      </c>
      <c r="M666" s="118" t="s">
        <v>3640</v>
      </c>
    </row>
    <row r="667" spans="1:13" ht="15.75" customHeight="1">
      <c r="A667" s="19">
        <v>665</v>
      </c>
      <c r="B667" s="36" t="s">
        <v>3627</v>
      </c>
      <c r="C667" s="20" t="s">
        <v>1014</v>
      </c>
      <c r="D667" s="20" t="s">
        <v>776</v>
      </c>
      <c r="E667" s="20" t="s">
        <v>1015</v>
      </c>
      <c r="F667" s="21">
        <v>140</v>
      </c>
      <c r="G667" s="21">
        <v>60</v>
      </c>
      <c r="H667" s="21">
        <v>50</v>
      </c>
      <c r="I667" s="22">
        <v>250</v>
      </c>
      <c r="J667" s="108">
        <v>83.3</v>
      </c>
      <c r="K667" s="116">
        <v>0.48330000000000001</v>
      </c>
      <c r="L667" s="117" t="s">
        <v>3620</v>
      </c>
      <c r="M667" s="118" t="s">
        <v>3640</v>
      </c>
    </row>
    <row r="668" spans="1:13" ht="15.75" customHeight="1">
      <c r="A668" s="23">
        <v>666</v>
      </c>
      <c r="B668" s="36" t="s">
        <v>3627</v>
      </c>
      <c r="C668" s="24" t="s">
        <v>857</v>
      </c>
      <c r="D668" s="24" t="s">
        <v>858</v>
      </c>
      <c r="E668" s="24"/>
      <c r="F668" s="25">
        <v>33</v>
      </c>
      <c r="G668" s="25">
        <v>130</v>
      </c>
      <c r="H668" s="25">
        <v>141</v>
      </c>
      <c r="I668" s="22">
        <v>304</v>
      </c>
      <c r="J668" s="112">
        <v>101.3</v>
      </c>
      <c r="K668" s="116">
        <v>0.47889999999999999</v>
      </c>
      <c r="L668" s="117" t="s">
        <v>3620</v>
      </c>
      <c r="M668" s="118" t="s">
        <v>3640</v>
      </c>
    </row>
    <row r="669" spans="1:13" ht="15.75" customHeight="1">
      <c r="A669" s="19">
        <v>667</v>
      </c>
      <c r="B669" s="36" t="s">
        <v>3627</v>
      </c>
      <c r="C669" s="20" t="s">
        <v>1091</v>
      </c>
      <c r="D669" s="20" t="s">
        <v>869</v>
      </c>
      <c r="E669" s="20" t="s">
        <v>1092</v>
      </c>
      <c r="F669" s="21">
        <v>24350</v>
      </c>
      <c r="G669" s="21">
        <v>18700</v>
      </c>
      <c r="H669" s="21">
        <v>6018</v>
      </c>
      <c r="I669" s="22">
        <v>55868</v>
      </c>
      <c r="J669" s="108">
        <v>16356</v>
      </c>
      <c r="K669" s="116">
        <v>0.46870000000000001</v>
      </c>
      <c r="L669" s="117" t="s">
        <v>3620</v>
      </c>
      <c r="M669" s="118" t="s">
        <v>3640</v>
      </c>
    </row>
    <row r="670" spans="1:13" ht="15.75" customHeight="1">
      <c r="A670" s="23">
        <v>668</v>
      </c>
      <c r="B670" s="36" t="s">
        <v>3627</v>
      </c>
      <c r="C670" s="24" t="s">
        <v>707</v>
      </c>
      <c r="D670" s="24" t="s">
        <v>708</v>
      </c>
      <c r="E670" s="24" t="s">
        <v>709</v>
      </c>
      <c r="F670" s="25">
        <v>339</v>
      </c>
      <c r="G670" s="25">
        <v>170</v>
      </c>
      <c r="H670" s="25">
        <v>584</v>
      </c>
      <c r="I670" s="22">
        <v>1203</v>
      </c>
      <c r="J670" s="112">
        <v>364.3</v>
      </c>
      <c r="K670" s="116">
        <v>0.46650000000000003</v>
      </c>
      <c r="L670" s="117" t="s">
        <v>3620</v>
      </c>
      <c r="M670" s="118" t="s">
        <v>3640</v>
      </c>
    </row>
    <row r="671" spans="1:13" ht="15.75" customHeight="1">
      <c r="A671" s="19">
        <v>669</v>
      </c>
      <c r="B671" s="36" t="s">
        <v>3627</v>
      </c>
      <c r="C671" s="20" t="s">
        <v>1116</v>
      </c>
      <c r="D671" s="20" t="s">
        <v>1117</v>
      </c>
      <c r="E671" s="20"/>
      <c r="F671" s="21">
        <v>291</v>
      </c>
      <c r="G671" s="21">
        <v>348</v>
      </c>
      <c r="H671" s="21">
        <v>86</v>
      </c>
      <c r="I671" s="22">
        <v>725</v>
      </c>
      <c r="J671" s="108">
        <v>241.7</v>
      </c>
      <c r="K671" s="116">
        <v>0.46550000000000002</v>
      </c>
      <c r="L671" s="117" t="s">
        <v>3620</v>
      </c>
      <c r="M671" s="118" t="s">
        <v>3640</v>
      </c>
    </row>
    <row r="672" spans="1:13" ht="15.75" customHeight="1">
      <c r="A672" s="23">
        <v>670</v>
      </c>
      <c r="B672" s="36" t="s">
        <v>3627</v>
      </c>
      <c r="C672" s="24" t="s">
        <v>1093</v>
      </c>
      <c r="D672" s="24" t="s">
        <v>841</v>
      </c>
      <c r="E672" s="24" t="s">
        <v>1094</v>
      </c>
      <c r="F672" s="25">
        <v>520</v>
      </c>
      <c r="G672" s="25">
        <v>1500</v>
      </c>
      <c r="H672" s="25">
        <v>2000</v>
      </c>
      <c r="I672" s="22">
        <v>5020</v>
      </c>
      <c r="J672" s="112">
        <v>1340</v>
      </c>
      <c r="K672" s="116">
        <v>0.4587</v>
      </c>
      <c r="L672" s="117" t="s">
        <v>3620</v>
      </c>
      <c r="M672" s="118" t="s">
        <v>3640</v>
      </c>
    </row>
    <row r="673" spans="1:13" ht="15.75" customHeight="1">
      <c r="A673" s="19">
        <v>671</v>
      </c>
      <c r="B673" s="36" t="s">
        <v>3627</v>
      </c>
      <c r="C673" s="20" t="s">
        <v>596</v>
      </c>
      <c r="D673" s="20" t="s">
        <v>597</v>
      </c>
      <c r="E673" s="20" t="s">
        <v>598</v>
      </c>
      <c r="F673" s="21">
        <v>164</v>
      </c>
      <c r="G673" s="21">
        <v>62</v>
      </c>
      <c r="H673" s="21">
        <v>222</v>
      </c>
      <c r="I673" s="22">
        <v>453</v>
      </c>
      <c r="J673" s="108">
        <v>149.30000000000001</v>
      </c>
      <c r="K673" s="116">
        <v>0.44290000000000002</v>
      </c>
      <c r="L673" s="117" t="s">
        <v>3620</v>
      </c>
      <c r="M673" s="118" t="s">
        <v>3640</v>
      </c>
    </row>
    <row r="674" spans="1:13" ht="15.75" customHeight="1">
      <c r="A674" s="23">
        <v>672</v>
      </c>
      <c r="B674" s="36" t="s">
        <v>3627</v>
      </c>
      <c r="C674" s="24" t="s">
        <v>775</v>
      </c>
      <c r="D674" s="24" t="s">
        <v>776</v>
      </c>
      <c r="E674" s="24" t="s">
        <v>777</v>
      </c>
      <c r="F674" s="25">
        <v>4124</v>
      </c>
      <c r="G674" s="25">
        <v>1918</v>
      </c>
      <c r="H674" s="25">
        <v>1611</v>
      </c>
      <c r="I674" s="22">
        <v>8745</v>
      </c>
      <c r="J674" s="112">
        <v>2551</v>
      </c>
      <c r="K674" s="116">
        <v>0.43880000000000002</v>
      </c>
      <c r="L674" s="117" t="s">
        <v>3620</v>
      </c>
      <c r="M674" s="118" t="s">
        <v>3640</v>
      </c>
    </row>
    <row r="675" spans="1:13" ht="15.75" customHeight="1">
      <c r="A675" s="19">
        <v>673</v>
      </c>
      <c r="B675" s="36" t="s">
        <v>3627</v>
      </c>
      <c r="C675" s="20" t="s">
        <v>702</v>
      </c>
      <c r="D675" s="20" t="s">
        <v>703</v>
      </c>
      <c r="E675" s="20" t="s">
        <v>704</v>
      </c>
      <c r="F675" s="21">
        <v>1191</v>
      </c>
      <c r="G675" s="21">
        <v>510</v>
      </c>
      <c r="H675" s="21">
        <v>542</v>
      </c>
      <c r="I675" s="22">
        <v>2263</v>
      </c>
      <c r="J675" s="108">
        <v>747.7</v>
      </c>
      <c r="K675" s="116">
        <v>0.41959999999999997</v>
      </c>
      <c r="L675" s="117" t="s">
        <v>3620</v>
      </c>
      <c r="M675" s="118" t="s">
        <v>3640</v>
      </c>
    </row>
    <row r="676" spans="1:13" ht="15.75" customHeight="1">
      <c r="A676" s="23">
        <v>674</v>
      </c>
      <c r="B676" s="36" t="s">
        <v>3627</v>
      </c>
      <c r="C676" s="24" t="s">
        <v>699</v>
      </c>
      <c r="D676" s="24" t="s">
        <v>700</v>
      </c>
      <c r="E676" s="24" t="s">
        <v>701</v>
      </c>
      <c r="F676" s="25">
        <v>2739</v>
      </c>
      <c r="G676" s="25">
        <v>6251</v>
      </c>
      <c r="H676" s="25">
        <v>2799</v>
      </c>
      <c r="I676" s="22">
        <v>12564</v>
      </c>
      <c r="J676" s="112">
        <v>3929.7</v>
      </c>
      <c r="K676" s="116">
        <v>0.41770000000000002</v>
      </c>
      <c r="L676" s="117" t="s">
        <v>3620</v>
      </c>
      <c r="M676" s="118" t="s">
        <v>3640</v>
      </c>
    </row>
    <row r="677" spans="1:13" ht="15.75" customHeight="1">
      <c r="A677" s="19">
        <v>675</v>
      </c>
      <c r="B677" s="36" t="s">
        <v>3627</v>
      </c>
      <c r="C677" s="20" t="s">
        <v>486</v>
      </c>
      <c r="D677" s="20" t="s">
        <v>487</v>
      </c>
      <c r="E677" s="20" t="s">
        <v>22</v>
      </c>
      <c r="F677" s="21">
        <v>58</v>
      </c>
      <c r="G677" s="21">
        <v>160</v>
      </c>
      <c r="H677" s="21">
        <v>89</v>
      </c>
      <c r="I677" s="22">
        <v>337</v>
      </c>
      <c r="J677" s="108">
        <v>102.3</v>
      </c>
      <c r="K677" s="116">
        <v>0.41720000000000002</v>
      </c>
      <c r="L677" s="117" t="s">
        <v>3620</v>
      </c>
      <c r="M677" s="118" t="s">
        <v>3640</v>
      </c>
    </row>
    <row r="678" spans="1:13" ht="15.75" customHeight="1">
      <c r="A678" s="23">
        <v>676</v>
      </c>
      <c r="B678" s="36" t="s">
        <v>3627</v>
      </c>
      <c r="C678" s="24" t="s">
        <v>547</v>
      </c>
      <c r="D678" s="24" t="s">
        <v>548</v>
      </c>
      <c r="E678" s="24" t="s">
        <v>549</v>
      </c>
      <c r="F678" s="25">
        <v>212</v>
      </c>
      <c r="G678" s="25">
        <v>91</v>
      </c>
      <c r="H678" s="25">
        <v>287</v>
      </c>
      <c r="I678" s="22">
        <v>590</v>
      </c>
      <c r="J678" s="112">
        <v>196.7</v>
      </c>
      <c r="K678" s="116">
        <v>0.41060000000000002</v>
      </c>
      <c r="L678" s="117" t="s">
        <v>3620</v>
      </c>
      <c r="M678" s="118" t="s">
        <v>3640</v>
      </c>
    </row>
    <row r="679" spans="1:13" ht="15.75" customHeight="1">
      <c r="A679" s="19">
        <v>677</v>
      </c>
      <c r="B679" s="36" t="s">
        <v>3627</v>
      </c>
      <c r="C679" s="20" t="s">
        <v>1036</v>
      </c>
      <c r="D679" s="20" t="s">
        <v>1037</v>
      </c>
      <c r="E679" s="20"/>
      <c r="F679" s="21">
        <v>50</v>
      </c>
      <c r="G679" s="21">
        <v>100</v>
      </c>
      <c r="H679" s="21">
        <v>150</v>
      </c>
      <c r="I679" s="22">
        <v>300</v>
      </c>
      <c r="J679" s="108">
        <v>100</v>
      </c>
      <c r="K679" s="116">
        <v>0.40820000000000001</v>
      </c>
      <c r="L679" s="117" t="s">
        <v>3620</v>
      </c>
      <c r="M679" s="118" t="s">
        <v>3640</v>
      </c>
    </row>
    <row r="680" spans="1:13" ht="15.75" customHeight="1">
      <c r="A680" s="23">
        <v>678</v>
      </c>
      <c r="B680" s="36" t="s">
        <v>3627</v>
      </c>
      <c r="C680" s="24" t="s">
        <v>526</v>
      </c>
      <c r="D680" s="24" t="s">
        <v>527</v>
      </c>
      <c r="E680" s="24" t="s">
        <v>528</v>
      </c>
      <c r="F680" s="25">
        <v>55</v>
      </c>
      <c r="G680" s="25">
        <v>95</v>
      </c>
      <c r="H680" s="25">
        <v>35</v>
      </c>
      <c r="I680" s="22">
        <v>185</v>
      </c>
      <c r="J680" s="112">
        <v>61.7</v>
      </c>
      <c r="K680" s="116">
        <v>0.40450000000000003</v>
      </c>
      <c r="L680" s="117" t="s">
        <v>3620</v>
      </c>
      <c r="M680" s="118" t="s">
        <v>3640</v>
      </c>
    </row>
    <row r="681" spans="1:13" ht="15.75" customHeight="1">
      <c r="A681" s="19">
        <v>679</v>
      </c>
      <c r="B681" s="36" t="s">
        <v>3627</v>
      </c>
      <c r="C681" s="20" t="s">
        <v>663</v>
      </c>
      <c r="D681" s="20" t="s">
        <v>367</v>
      </c>
      <c r="E681" s="20" t="s">
        <v>664</v>
      </c>
      <c r="F681" s="21">
        <v>3282</v>
      </c>
      <c r="G681" s="21">
        <v>6947</v>
      </c>
      <c r="H681" s="21">
        <v>3073</v>
      </c>
      <c r="I681" s="22">
        <v>14053</v>
      </c>
      <c r="J681" s="108">
        <v>4434</v>
      </c>
      <c r="K681" s="116">
        <v>0.4012</v>
      </c>
      <c r="L681" s="117" t="s">
        <v>3620</v>
      </c>
      <c r="M681" s="118" t="s">
        <v>3640</v>
      </c>
    </row>
    <row r="682" spans="1:13" ht="15.75" customHeight="1">
      <c r="A682" s="23">
        <v>680</v>
      </c>
      <c r="B682" s="36" t="s">
        <v>3627</v>
      </c>
      <c r="C682" s="24" t="s">
        <v>722</v>
      </c>
      <c r="D682" s="24" t="s">
        <v>723</v>
      </c>
      <c r="E682" s="24" t="s">
        <v>724</v>
      </c>
      <c r="F682" s="25">
        <v>439</v>
      </c>
      <c r="G682" s="25">
        <v>1304</v>
      </c>
      <c r="H682" s="25">
        <v>908</v>
      </c>
      <c r="I682" s="22">
        <v>3023</v>
      </c>
      <c r="J682" s="112">
        <v>883.7</v>
      </c>
      <c r="K682" s="116">
        <v>0.40010000000000001</v>
      </c>
      <c r="L682" s="117" t="s">
        <v>3620</v>
      </c>
      <c r="M682" s="118" t="s">
        <v>3640</v>
      </c>
    </row>
    <row r="683" spans="1:13" ht="15.75" customHeight="1">
      <c r="A683" s="19">
        <v>681</v>
      </c>
      <c r="B683" s="36" t="s">
        <v>3627</v>
      </c>
      <c r="C683" s="20" t="s">
        <v>665</v>
      </c>
      <c r="D683" s="20" t="s">
        <v>666</v>
      </c>
      <c r="E683" s="20" t="s">
        <v>667</v>
      </c>
      <c r="F683" s="21">
        <v>951</v>
      </c>
      <c r="G683" s="21">
        <v>771</v>
      </c>
      <c r="H683" s="21">
        <v>1814</v>
      </c>
      <c r="I683" s="22">
        <v>4331</v>
      </c>
      <c r="J683" s="108">
        <v>1178.7</v>
      </c>
      <c r="K683" s="116">
        <v>0.38619999999999999</v>
      </c>
      <c r="L683" s="117" t="s">
        <v>3620</v>
      </c>
      <c r="M683" s="118" t="s">
        <v>3640</v>
      </c>
    </row>
    <row r="684" spans="1:13" ht="15.75" customHeight="1">
      <c r="A684" s="23">
        <v>682</v>
      </c>
      <c r="B684" s="36" t="s">
        <v>3627</v>
      </c>
      <c r="C684" s="24" t="s">
        <v>696</v>
      </c>
      <c r="D684" s="24" t="s">
        <v>697</v>
      </c>
      <c r="E684" s="24" t="s">
        <v>698</v>
      </c>
      <c r="F684" s="25">
        <v>1851</v>
      </c>
      <c r="G684" s="25">
        <v>2333</v>
      </c>
      <c r="H684" s="25">
        <v>802</v>
      </c>
      <c r="I684" s="22">
        <v>5114</v>
      </c>
      <c r="J684" s="112">
        <v>1662</v>
      </c>
      <c r="K684" s="116">
        <v>0.3846</v>
      </c>
      <c r="L684" s="117" t="s">
        <v>3620</v>
      </c>
      <c r="M684" s="118" t="s">
        <v>3640</v>
      </c>
    </row>
    <row r="685" spans="1:13" ht="15.75" customHeight="1">
      <c r="A685" s="19">
        <v>683</v>
      </c>
      <c r="B685" s="36" t="s">
        <v>3627</v>
      </c>
      <c r="C685" s="20" t="s">
        <v>819</v>
      </c>
      <c r="D685" s="20" t="s">
        <v>820</v>
      </c>
      <c r="E685" s="20" t="s">
        <v>821</v>
      </c>
      <c r="F685" s="21">
        <v>2234</v>
      </c>
      <c r="G685" s="21">
        <v>1406</v>
      </c>
      <c r="H685" s="21">
        <v>901</v>
      </c>
      <c r="I685" s="22">
        <v>5296</v>
      </c>
      <c r="J685" s="108">
        <v>1513.7</v>
      </c>
      <c r="K685" s="116">
        <v>0.36299999999999999</v>
      </c>
      <c r="L685" s="117" t="s">
        <v>3620</v>
      </c>
      <c r="M685" s="118" t="s">
        <v>3640</v>
      </c>
    </row>
    <row r="686" spans="1:13" ht="15.75" customHeight="1">
      <c r="A686" s="23">
        <v>684</v>
      </c>
      <c r="B686" s="36" t="s">
        <v>3627</v>
      </c>
      <c r="C686" s="24" t="s">
        <v>868</v>
      </c>
      <c r="D686" s="24" t="s">
        <v>869</v>
      </c>
      <c r="E686" s="24" t="s">
        <v>870</v>
      </c>
      <c r="F686" s="25">
        <v>18322</v>
      </c>
      <c r="G686" s="25">
        <v>40364</v>
      </c>
      <c r="H686" s="25">
        <v>21752</v>
      </c>
      <c r="I686" s="22">
        <v>112474</v>
      </c>
      <c r="J686" s="112">
        <v>26812.7</v>
      </c>
      <c r="K686" s="116">
        <v>0.36120000000000002</v>
      </c>
      <c r="L686" s="117" t="s">
        <v>3620</v>
      </c>
      <c r="M686" s="118" t="s">
        <v>3640</v>
      </c>
    </row>
    <row r="687" spans="1:13" ht="15.75" customHeight="1">
      <c r="A687" s="19">
        <v>685</v>
      </c>
      <c r="B687" s="36" t="s">
        <v>3627</v>
      </c>
      <c r="C687" s="20" t="s">
        <v>599</v>
      </c>
      <c r="D687" s="20" t="s">
        <v>600</v>
      </c>
      <c r="E687" s="20" t="s">
        <v>601</v>
      </c>
      <c r="F687" s="21">
        <v>742</v>
      </c>
      <c r="G687" s="21">
        <v>621</v>
      </c>
      <c r="H687" s="21">
        <v>1368</v>
      </c>
      <c r="I687" s="22">
        <v>3055</v>
      </c>
      <c r="J687" s="108">
        <v>910.3</v>
      </c>
      <c r="K687" s="116">
        <v>0.35959999999999998</v>
      </c>
      <c r="L687" s="117" t="s">
        <v>3620</v>
      </c>
      <c r="M687" s="118" t="s">
        <v>3640</v>
      </c>
    </row>
    <row r="688" spans="1:13" ht="15.75" customHeight="1">
      <c r="A688" s="23">
        <v>686</v>
      </c>
      <c r="B688" s="36" t="s">
        <v>3627</v>
      </c>
      <c r="C688" s="24" t="s">
        <v>778</v>
      </c>
      <c r="D688" s="24" t="s">
        <v>779</v>
      </c>
      <c r="E688" s="24" t="s">
        <v>780</v>
      </c>
      <c r="F688" s="25">
        <v>5287</v>
      </c>
      <c r="G688" s="25">
        <v>2124</v>
      </c>
      <c r="H688" s="25">
        <v>5527</v>
      </c>
      <c r="I688" s="22">
        <v>13894</v>
      </c>
      <c r="J688" s="112">
        <v>4312.7</v>
      </c>
      <c r="K688" s="116">
        <v>0.35959999999999998</v>
      </c>
      <c r="L688" s="117" t="s">
        <v>3620</v>
      </c>
      <c r="M688" s="118" t="s">
        <v>3640</v>
      </c>
    </row>
    <row r="689" spans="1:13" ht="15.75" customHeight="1">
      <c r="A689" s="19">
        <v>687</v>
      </c>
      <c r="B689" s="36" t="s">
        <v>3627</v>
      </c>
      <c r="C689" s="20" t="s">
        <v>590</v>
      </c>
      <c r="D689" s="20" t="s">
        <v>591</v>
      </c>
      <c r="E689" s="20" t="s">
        <v>592</v>
      </c>
      <c r="F689" s="21">
        <v>985</v>
      </c>
      <c r="G689" s="21">
        <v>379</v>
      </c>
      <c r="H689" s="21">
        <v>907</v>
      </c>
      <c r="I689" s="22">
        <v>2280</v>
      </c>
      <c r="J689" s="108">
        <v>757</v>
      </c>
      <c r="K689" s="116">
        <v>0.35560000000000003</v>
      </c>
      <c r="L689" s="117" t="s">
        <v>3620</v>
      </c>
      <c r="M689" s="118" t="s">
        <v>3640</v>
      </c>
    </row>
    <row r="690" spans="1:13" ht="15.75" customHeight="1">
      <c r="A690" s="23">
        <v>688</v>
      </c>
      <c r="B690" s="36" t="s">
        <v>3627</v>
      </c>
      <c r="C690" s="24" t="s">
        <v>743</v>
      </c>
      <c r="D690" s="24" t="s">
        <v>744</v>
      </c>
      <c r="E690" s="24" t="s">
        <v>745</v>
      </c>
      <c r="F690" s="25">
        <v>1542</v>
      </c>
      <c r="G690" s="25">
        <v>1240</v>
      </c>
      <c r="H690" s="25">
        <v>2734</v>
      </c>
      <c r="I690" s="22">
        <v>6380</v>
      </c>
      <c r="J690" s="112">
        <v>1838.7</v>
      </c>
      <c r="K690" s="116">
        <v>0.3508</v>
      </c>
      <c r="L690" s="117" t="s">
        <v>3620</v>
      </c>
      <c r="M690" s="118" t="s">
        <v>3640</v>
      </c>
    </row>
    <row r="691" spans="1:13" ht="15.75" customHeight="1">
      <c r="A691" s="19">
        <v>689</v>
      </c>
      <c r="B691" s="36" t="s">
        <v>3627</v>
      </c>
      <c r="C691" s="20" t="s">
        <v>602</v>
      </c>
      <c r="D691" s="20" t="s">
        <v>603</v>
      </c>
      <c r="E691" s="20" t="s">
        <v>604</v>
      </c>
      <c r="F691" s="21">
        <v>100</v>
      </c>
      <c r="G691" s="21">
        <v>250</v>
      </c>
      <c r="H691" s="21">
        <v>240</v>
      </c>
      <c r="I691" s="22">
        <v>590</v>
      </c>
      <c r="J691" s="108">
        <v>196.7</v>
      </c>
      <c r="K691" s="116">
        <v>0.34820000000000001</v>
      </c>
      <c r="L691" s="117" t="s">
        <v>3620</v>
      </c>
      <c r="M691" s="118" t="s">
        <v>3640</v>
      </c>
    </row>
    <row r="692" spans="1:13" ht="15.75" customHeight="1">
      <c r="A692" s="23">
        <v>690</v>
      </c>
      <c r="B692" s="36" t="s">
        <v>3627</v>
      </c>
      <c r="C692" s="24" t="s">
        <v>496</v>
      </c>
      <c r="D692" s="24" t="s">
        <v>497</v>
      </c>
      <c r="E692" s="24"/>
      <c r="F692" s="25">
        <v>320</v>
      </c>
      <c r="G692" s="25">
        <v>141</v>
      </c>
      <c r="H692" s="25">
        <v>337</v>
      </c>
      <c r="I692" s="22">
        <v>824</v>
      </c>
      <c r="J692" s="112">
        <v>266</v>
      </c>
      <c r="K692" s="116">
        <v>0.33329999999999999</v>
      </c>
      <c r="L692" s="117" t="s">
        <v>3620</v>
      </c>
      <c r="M692" s="118" t="s">
        <v>3640</v>
      </c>
    </row>
    <row r="693" spans="1:13" ht="15.75" customHeight="1">
      <c r="A693" s="19">
        <v>691</v>
      </c>
      <c r="B693" s="36" t="s">
        <v>3627</v>
      </c>
      <c r="C693" s="20" t="s">
        <v>1016</v>
      </c>
      <c r="D693" s="20" t="s">
        <v>799</v>
      </c>
      <c r="E693" s="20" t="s">
        <v>1017</v>
      </c>
      <c r="F693" s="21">
        <v>110</v>
      </c>
      <c r="G693" s="21">
        <v>70</v>
      </c>
      <c r="H693" s="21">
        <v>50</v>
      </c>
      <c r="I693" s="22">
        <v>230</v>
      </c>
      <c r="J693" s="108">
        <v>76.7</v>
      </c>
      <c r="K693" s="116">
        <v>0.32540000000000002</v>
      </c>
      <c r="L693" s="117" t="s">
        <v>3620</v>
      </c>
      <c r="M693" s="118" t="s">
        <v>3640</v>
      </c>
    </row>
    <row r="694" spans="1:13" ht="15.75" customHeight="1">
      <c r="A694" s="23">
        <v>692</v>
      </c>
      <c r="B694" s="36" t="s">
        <v>3627</v>
      </c>
      <c r="C694" s="24" t="s">
        <v>557</v>
      </c>
      <c r="D694" s="24" t="s">
        <v>558</v>
      </c>
      <c r="E694" s="24" t="s">
        <v>559</v>
      </c>
      <c r="F694" s="25">
        <v>3770</v>
      </c>
      <c r="G694" s="25">
        <v>1651</v>
      </c>
      <c r="H694" s="25">
        <v>2622</v>
      </c>
      <c r="I694" s="22">
        <v>8292</v>
      </c>
      <c r="J694" s="112">
        <v>2681</v>
      </c>
      <c r="K694" s="116">
        <v>0.32300000000000001</v>
      </c>
      <c r="L694" s="117" t="s">
        <v>3620</v>
      </c>
      <c r="M694" s="118" t="s">
        <v>3640</v>
      </c>
    </row>
    <row r="695" spans="1:13" ht="15.75" customHeight="1">
      <c r="A695" s="19">
        <v>693</v>
      </c>
      <c r="B695" s="36" t="s">
        <v>3627</v>
      </c>
      <c r="C695" s="20" t="s">
        <v>500</v>
      </c>
      <c r="D695" s="20" t="s">
        <v>501</v>
      </c>
      <c r="E695" s="20" t="s">
        <v>502</v>
      </c>
      <c r="F695" s="21">
        <v>577</v>
      </c>
      <c r="G695" s="21">
        <v>298</v>
      </c>
      <c r="H695" s="21">
        <v>321</v>
      </c>
      <c r="I695" s="22">
        <v>1196</v>
      </c>
      <c r="J695" s="108">
        <v>398.7</v>
      </c>
      <c r="K695" s="116">
        <v>0.31719999999999998</v>
      </c>
      <c r="L695" s="117" t="s">
        <v>3620</v>
      </c>
      <c r="M695" s="118" t="s">
        <v>3640</v>
      </c>
    </row>
    <row r="696" spans="1:13" ht="15.75" customHeight="1">
      <c r="A696" s="23">
        <v>694</v>
      </c>
      <c r="B696" s="36" t="s">
        <v>3627</v>
      </c>
      <c r="C696" s="24" t="s">
        <v>567</v>
      </c>
      <c r="D696" s="24" t="s">
        <v>568</v>
      </c>
      <c r="E696" s="24" t="s">
        <v>569</v>
      </c>
      <c r="F696" s="25">
        <v>3372</v>
      </c>
      <c r="G696" s="25">
        <v>1542</v>
      </c>
      <c r="H696" s="25">
        <v>2807</v>
      </c>
      <c r="I696" s="22">
        <v>7970</v>
      </c>
      <c r="J696" s="112">
        <v>2573.6999999999998</v>
      </c>
      <c r="K696" s="116">
        <v>0.29730000000000001</v>
      </c>
      <c r="L696" s="117" t="s">
        <v>3620</v>
      </c>
      <c r="M696" s="118" t="s">
        <v>3640</v>
      </c>
    </row>
    <row r="697" spans="1:13" ht="15.75" customHeight="1">
      <c r="A697" s="19">
        <v>695</v>
      </c>
      <c r="B697" s="36" t="s">
        <v>3627</v>
      </c>
      <c r="C697" s="20" t="s">
        <v>801</v>
      </c>
      <c r="D697" s="20" t="s">
        <v>802</v>
      </c>
      <c r="E697" s="20" t="s">
        <v>803</v>
      </c>
      <c r="F697" s="21">
        <v>5373</v>
      </c>
      <c r="G697" s="21">
        <v>2585</v>
      </c>
      <c r="H697" s="21">
        <v>3687</v>
      </c>
      <c r="I697" s="22">
        <v>12203</v>
      </c>
      <c r="J697" s="108">
        <v>3881.7</v>
      </c>
      <c r="K697" s="116">
        <v>0.2954</v>
      </c>
      <c r="L697" s="117" t="s">
        <v>3620</v>
      </c>
      <c r="M697" s="118" t="s">
        <v>3640</v>
      </c>
    </row>
    <row r="698" spans="1:13" ht="15.75" customHeight="1">
      <c r="A698" s="23">
        <v>696</v>
      </c>
      <c r="B698" s="36" t="s">
        <v>3627</v>
      </c>
      <c r="C698" s="24" t="s">
        <v>713</v>
      </c>
      <c r="D698" s="24" t="s">
        <v>714</v>
      </c>
      <c r="E698" s="24" t="s">
        <v>715</v>
      </c>
      <c r="F698" s="25">
        <v>62</v>
      </c>
      <c r="G698" s="25">
        <v>64</v>
      </c>
      <c r="H698" s="25">
        <v>107</v>
      </c>
      <c r="I698" s="22">
        <v>233</v>
      </c>
      <c r="J698" s="112">
        <v>77.7</v>
      </c>
      <c r="K698" s="116">
        <v>0.26729999999999998</v>
      </c>
      <c r="L698" s="117" t="s">
        <v>3620</v>
      </c>
      <c r="M698" s="118" t="s">
        <v>3640</v>
      </c>
    </row>
    <row r="699" spans="1:13" ht="15.75" customHeight="1">
      <c r="A699" s="19">
        <v>697</v>
      </c>
      <c r="B699" s="36" t="s">
        <v>3627</v>
      </c>
      <c r="C699" s="20" t="s">
        <v>680</v>
      </c>
      <c r="D699" s="20" t="s">
        <v>681</v>
      </c>
      <c r="E699" s="20" t="s">
        <v>682</v>
      </c>
      <c r="F699" s="21">
        <v>2101</v>
      </c>
      <c r="G699" s="21">
        <v>1300</v>
      </c>
      <c r="H699" s="21">
        <v>1235</v>
      </c>
      <c r="I699" s="22">
        <v>5307</v>
      </c>
      <c r="J699" s="108">
        <v>1545.3</v>
      </c>
      <c r="K699" s="116">
        <v>0.25480000000000003</v>
      </c>
      <c r="L699" s="117" t="s">
        <v>3620</v>
      </c>
      <c r="M699" s="118" t="s">
        <v>3640</v>
      </c>
    </row>
    <row r="700" spans="1:13" ht="15.75" customHeight="1">
      <c r="A700" s="23">
        <v>698</v>
      </c>
      <c r="B700" s="36" t="s">
        <v>3627</v>
      </c>
      <c r="C700" s="24" t="s">
        <v>482</v>
      </c>
      <c r="D700" s="24" t="s">
        <v>483</v>
      </c>
      <c r="E700" s="24"/>
      <c r="F700" s="25">
        <v>121</v>
      </c>
      <c r="G700" s="25">
        <v>148</v>
      </c>
      <c r="H700" s="25">
        <v>212</v>
      </c>
      <c r="I700" s="22">
        <v>513</v>
      </c>
      <c r="J700" s="112">
        <v>160.30000000000001</v>
      </c>
      <c r="K700" s="116">
        <v>0.23799999999999999</v>
      </c>
      <c r="L700" s="117" t="s">
        <v>3620</v>
      </c>
      <c r="M700" s="118" t="s">
        <v>3640</v>
      </c>
    </row>
    <row r="701" spans="1:13" ht="15.75" customHeight="1">
      <c r="A701" s="19">
        <v>699</v>
      </c>
      <c r="B701" s="36" t="s">
        <v>3627</v>
      </c>
      <c r="C701" s="20" t="s">
        <v>1024</v>
      </c>
      <c r="D701" s="20" t="s">
        <v>354</v>
      </c>
      <c r="E701" s="20" t="s">
        <v>1025</v>
      </c>
      <c r="F701" s="21">
        <v>50</v>
      </c>
      <c r="G701" s="21">
        <v>80</v>
      </c>
      <c r="H701" s="21">
        <v>50</v>
      </c>
      <c r="I701" s="22">
        <v>180</v>
      </c>
      <c r="J701" s="108">
        <v>60</v>
      </c>
      <c r="K701" s="116">
        <v>0.23569999999999999</v>
      </c>
      <c r="L701" s="117" t="s">
        <v>3620</v>
      </c>
      <c r="M701" s="118" t="s">
        <v>3640</v>
      </c>
    </row>
    <row r="702" spans="1:13" ht="15.75" customHeight="1">
      <c r="A702" s="23">
        <v>700</v>
      </c>
      <c r="B702" s="36" t="s">
        <v>3627</v>
      </c>
      <c r="C702" s="24" t="s">
        <v>581</v>
      </c>
      <c r="D702" s="24" t="s">
        <v>582</v>
      </c>
      <c r="E702" s="24" t="s">
        <v>583</v>
      </c>
      <c r="F702" s="25">
        <v>1023</v>
      </c>
      <c r="G702" s="25">
        <v>569</v>
      </c>
      <c r="H702" s="25">
        <v>890</v>
      </c>
      <c r="I702" s="22">
        <v>2564</v>
      </c>
      <c r="J702" s="112">
        <v>827.3</v>
      </c>
      <c r="K702" s="116">
        <v>0.2303</v>
      </c>
      <c r="L702" s="117" t="s">
        <v>3620</v>
      </c>
      <c r="M702" s="118" t="s">
        <v>3640</v>
      </c>
    </row>
    <row r="703" spans="1:13" ht="15.75" customHeight="1">
      <c r="A703" s="19">
        <v>701</v>
      </c>
      <c r="B703" s="36" t="s">
        <v>3627</v>
      </c>
      <c r="C703" s="20" t="s">
        <v>822</v>
      </c>
      <c r="D703" s="20" t="s">
        <v>823</v>
      </c>
      <c r="E703" s="20" t="s">
        <v>824</v>
      </c>
      <c r="F703" s="21">
        <v>4099</v>
      </c>
      <c r="G703" s="21">
        <v>2341</v>
      </c>
      <c r="H703" s="21">
        <v>3087</v>
      </c>
      <c r="I703" s="22">
        <v>10048</v>
      </c>
      <c r="J703" s="108">
        <v>3175.7</v>
      </c>
      <c r="K703" s="116">
        <v>0.22689999999999999</v>
      </c>
      <c r="L703" s="117" t="s">
        <v>3620</v>
      </c>
      <c r="M703" s="118" t="s">
        <v>3640</v>
      </c>
    </row>
    <row r="704" spans="1:13" ht="15.75" customHeight="1">
      <c r="A704" s="23">
        <v>702</v>
      </c>
      <c r="B704" s="36" t="s">
        <v>3627</v>
      </c>
      <c r="C704" s="24" t="s">
        <v>619</v>
      </c>
      <c r="D704" s="24" t="s">
        <v>620</v>
      </c>
      <c r="E704" s="24" t="s">
        <v>621</v>
      </c>
      <c r="F704" s="25">
        <v>809</v>
      </c>
      <c r="G704" s="25">
        <v>1272</v>
      </c>
      <c r="H704" s="25">
        <v>852</v>
      </c>
      <c r="I704" s="22">
        <v>3282</v>
      </c>
      <c r="J704" s="112">
        <v>977.7</v>
      </c>
      <c r="K704" s="116">
        <v>0.21360000000000001</v>
      </c>
      <c r="L704" s="117" t="s">
        <v>3620</v>
      </c>
      <c r="M704" s="118" t="s">
        <v>3640</v>
      </c>
    </row>
    <row r="705" spans="1:13" ht="15.75" customHeight="1">
      <c r="A705" s="19">
        <v>703</v>
      </c>
      <c r="B705" s="36" t="s">
        <v>3627</v>
      </c>
      <c r="C705" s="20" t="s">
        <v>484</v>
      </c>
      <c r="D705" s="20" t="s">
        <v>485</v>
      </c>
      <c r="E705" s="20"/>
      <c r="F705" s="21">
        <v>190</v>
      </c>
      <c r="G705" s="21">
        <v>198</v>
      </c>
      <c r="H705" s="21">
        <v>120</v>
      </c>
      <c r="I705" s="22">
        <v>642</v>
      </c>
      <c r="J705" s="108">
        <v>169.3</v>
      </c>
      <c r="K705" s="116">
        <v>0.2069</v>
      </c>
      <c r="L705" s="117" t="s">
        <v>3620</v>
      </c>
      <c r="M705" s="118" t="s">
        <v>3640</v>
      </c>
    </row>
    <row r="706" spans="1:13" ht="15.75" customHeight="1">
      <c r="A706" s="23">
        <v>704</v>
      </c>
      <c r="B706" s="36" t="s">
        <v>3627</v>
      </c>
      <c r="C706" s="24" t="s">
        <v>625</v>
      </c>
      <c r="D706" s="24" t="s">
        <v>626</v>
      </c>
      <c r="E706" s="24"/>
      <c r="F706" s="25">
        <v>143</v>
      </c>
      <c r="G706" s="25">
        <v>162</v>
      </c>
      <c r="H706" s="25">
        <v>228</v>
      </c>
      <c r="I706" s="22">
        <v>533</v>
      </c>
      <c r="J706" s="112">
        <v>177.7</v>
      </c>
      <c r="K706" s="116">
        <v>0.20499999999999999</v>
      </c>
      <c r="L706" s="117" t="s">
        <v>3620</v>
      </c>
      <c r="M706" s="118" t="s">
        <v>3640</v>
      </c>
    </row>
    <row r="707" spans="1:13" ht="15.75" customHeight="1">
      <c r="A707" s="19">
        <v>705</v>
      </c>
      <c r="B707" s="36" t="s">
        <v>3627</v>
      </c>
      <c r="C707" s="20" t="s">
        <v>810</v>
      </c>
      <c r="D707" s="20" t="s">
        <v>811</v>
      </c>
      <c r="E707" s="20" t="s">
        <v>812</v>
      </c>
      <c r="F707" s="21">
        <v>550</v>
      </c>
      <c r="G707" s="21">
        <v>348</v>
      </c>
      <c r="H707" s="21">
        <v>413</v>
      </c>
      <c r="I707" s="22">
        <v>1461</v>
      </c>
      <c r="J707" s="108">
        <v>437</v>
      </c>
      <c r="K707" s="116">
        <v>0.19270000000000001</v>
      </c>
      <c r="L707" s="117" t="s">
        <v>3620</v>
      </c>
      <c r="M707" s="118" t="s">
        <v>3640</v>
      </c>
    </row>
    <row r="708" spans="1:13" ht="15.75" customHeight="1">
      <c r="A708" s="23">
        <v>706</v>
      </c>
      <c r="B708" s="36" t="s">
        <v>3627</v>
      </c>
      <c r="C708" s="24" t="s">
        <v>898</v>
      </c>
      <c r="D708" s="24" t="s">
        <v>899</v>
      </c>
      <c r="E708" s="24" t="s">
        <v>900</v>
      </c>
      <c r="F708" s="25">
        <v>1125</v>
      </c>
      <c r="G708" s="25">
        <v>1586</v>
      </c>
      <c r="H708" s="25">
        <v>1815</v>
      </c>
      <c r="I708" s="22">
        <v>5044</v>
      </c>
      <c r="J708" s="112">
        <v>1508.7</v>
      </c>
      <c r="K708" s="116">
        <v>0.19020000000000001</v>
      </c>
      <c r="L708" s="117" t="s">
        <v>3620</v>
      </c>
      <c r="M708" s="118" t="s">
        <v>3640</v>
      </c>
    </row>
    <row r="709" spans="1:13" ht="15.75" customHeight="1">
      <c r="A709" s="19">
        <v>707</v>
      </c>
      <c r="B709" s="36" t="s">
        <v>3627</v>
      </c>
      <c r="C709" s="20" t="s">
        <v>691</v>
      </c>
      <c r="D709" s="20" t="s">
        <v>692</v>
      </c>
      <c r="E709" s="20" t="s">
        <v>693</v>
      </c>
      <c r="F709" s="21">
        <v>909</v>
      </c>
      <c r="G709" s="21">
        <v>1309</v>
      </c>
      <c r="H709" s="21">
        <v>1462</v>
      </c>
      <c r="I709" s="22">
        <v>3999</v>
      </c>
      <c r="J709" s="108">
        <v>1226.7</v>
      </c>
      <c r="K709" s="116">
        <v>0.19009999999999999</v>
      </c>
      <c r="L709" s="117" t="s">
        <v>3620</v>
      </c>
      <c r="M709" s="118" t="s">
        <v>3640</v>
      </c>
    </row>
    <row r="710" spans="1:13" ht="15.75" customHeight="1">
      <c r="A710" s="23">
        <v>708</v>
      </c>
      <c r="B710" s="36" t="s">
        <v>3627</v>
      </c>
      <c r="C710" s="24" t="s">
        <v>725</v>
      </c>
      <c r="D710" s="24" t="s">
        <v>726</v>
      </c>
      <c r="E710" s="24" t="s">
        <v>727</v>
      </c>
      <c r="F710" s="25">
        <v>282</v>
      </c>
      <c r="G710" s="25">
        <v>185</v>
      </c>
      <c r="H710" s="25">
        <v>289</v>
      </c>
      <c r="I710" s="22">
        <v>826</v>
      </c>
      <c r="J710" s="112">
        <v>252</v>
      </c>
      <c r="K710" s="116">
        <v>0.1883</v>
      </c>
      <c r="L710" s="117" t="s">
        <v>3620</v>
      </c>
      <c r="M710" s="118" t="s">
        <v>3640</v>
      </c>
    </row>
    <row r="711" spans="1:13" ht="15.75" customHeight="1">
      <c r="A711" s="19">
        <v>709</v>
      </c>
      <c r="B711" s="36" t="s">
        <v>3627</v>
      </c>
      <c r="C711" s="20" t="s">
        <v>683</v>
      </c>
      <c r="D711" s="20" t="s">
        <v>684</v>
      </c>
      <c r="E711" s="20" t="s">
        <v>685</v>
      </c>
      <c r="F711" s="21">
        <v>3093</v>
      </c>
      <c r="G711" s="21">
        <v>3422</v>
      </c>
      <c r="H711" s="21">
        <v>4546</v>
      </c>
      <c r="I711" s="22">
        <v>12239</v>
      </c>
      <c r="J711" s="108">
        <v>3687</v>
      </c>
      <c r="K711" s="116">
        <v>0.16869999999999999</v>
      </c>
      <c r="L711" s="117" t="s">
        <v>3620</v>
      </c>
      <c r="M711" s="118" t="s">
        <v>3640</v>
      </c>
    </row>
    <row r="712" spans="1:13" ht="15.75" customHeight="1">
      <c r="A712" s="23">
        <v>710</v>
      </c>
      <c r="B712" s="36" t="s">
        <v>3627</v>
      </c>
      <c r="C712" s="24" t="s">
        <v>587</v>
      </c>
      <c r="D712" s="24" t="s">
        <v>588</v>
      </c>
      <c r="E712" s="24" t="s">
        <v>589</v>
      </c>
      <c r="F712" s="25">
        <v>859</v>
      </c>
      <c r="G712" s="25">
        <v>1017</v>
      </c>
      <c r="H712" s="25">
        <v>712</v>
      </c>
      <c r="I712" s="22">
        <v>2648</v>
      </c>
      <c r="J712" s="112">
        <v>862.7</v>
      </c>
      <c r="K712" s="116">
        <v>0.1444</v>
      </c>
      <c r="L712" s="117" t="s">
        <v>3620</v>
      </c>
      <c r="M712" s="118" t="s">
        <v>3640</v>
      </c>
    </row>
    <row r="713" spans="1:13" ht="15.75" customHeight="1">
      <c r="A713" s="19">
        <v>711</v>
      </c>
      <c r="B713" s="36" t="s">
        <v>3627</v>
      </c>
      <c r="C713" s="20" t="s">
        <v>865</v>
      </c>
      <c r="D713" s="20" t="s">
        <v>866</v>
      </c>
      <c r="E713" s="20" t="s">
        <v>867</v>
      </c>
      <c r="F713" s="21">
        <v>1073</v>
      </c>
      <c r="G713" s="21">
        <v>834</v>
      </c>
      <c r="H713" s="21">
        <v>795</v>
      </c>
      <c r="I713" s="22">
        <v>3052</v>
      </c>
      <c r="J713" s="108">
        <v>900.7</v>
      </c>
      <c r="K713" s="116">
        <v>0.13639999999999999</v>
      </c>
      <c r="L713" s="117" t="s">
        <v>3620</v>
      </c>
      <c r="M713" s="118" t="s">
        <v>3640</v>
      </c>
    </row>
    <row r="714" spans="1:13" ht="15.75" customHeight="1">
      <c r="A714" s="23">
        <v>712</v>
      </c>
      <c r="B714" s="36" t="s">
        <v>3627</v>
      </c>
      <c r="C714" s="24" t="s">
        <v>710</v>
      </c>
      <c r="D714" s="24" t="s">
        <v>711</v>
      </c>
      <c r="E714" s="24" t="s">
        <v>712</v>
      </c>
      <c r="F714" s="25">
        <v>269</v>
      </c>
      <c r="G714" s="25">
        <v>278</v>
      </c>
      <c r="H714" s="25">
        <v>356</v>
      </c>
      <c r="I714" s="22">
        <v>1103</v>
      </c>
      <c r="J714" s="112">
        <v>301</v>
      </c>
      <c r="K714" s="116">
        <v>0.1298</v>
      </c>
      <c r="L714" s="117" t="s">
        <v>3620</v>
      </c>
      <c r="M714" s="118" t="s">
        <v>3640</v>
      </c>
    </row>
    <row r="715" spans="1:13" ht="15.75" customHeight="1">
      <c r="A715" s="19">
        <v>713</v>
      </c>
      <c r="B715" s="36" t="s">
        <v>3627</v>
      </c>
      <c r="C715" s="20" t="s">
        <v>576</v>
      </c>
      <c r="D715" s="20" t="s">
        <v>354</v>
      </c>
      <c r="E715" s="20" t="s">
        <v>577</v>
      </c>
      <c r="F715" s="21">
        <v>2090</v>
      </c>
      <c r="G715" s="21">
        <v>1687</v>
      </c>
      <c r="H715" s="21">
        <v>1562</v>
      </c>
      <c r="I715" s="22">
        <v>5399</v>
      </c>
      <c r="J715" s="108">
        <v>1779.7</v>
      </c>
      <c r="K715" s="116">
        <v>0.12659999999999999</v>
      </c>
      <c r="L715" s="117" t="s">
        <v>3620</v>
      </c>
      <c r="M715" s="118" t="s">
        <v>3640</v>
      </c>
    </row>
    <row r="716" spans="1:13" ht="15.75" customHeight="1">
      <c r="A716" s="23">
        <v>714</v>
      </c>
      <c r="B716" s="36" t="s">
        <v>3627</v>
      </c>
      <c r="C716" s="24" t="s">
        <v>859</v>
      </c>
      <c r="D716" s="24" t="s">
        <v>860</v>
      </c>
      <c r="E716" s="24" t="s">
        <v>861</v>
      </c>
      <c r="F716" s="25">
        <v>6324</v>
      </c>
      <c r="G716" s="25">
        <v>7548</v>
      </c>
      <c r="H716" s="25">
        <v>5558</v>
      </c>
      <c r="I716" s="22">
        <v>20570</v>
      </c>
      <c r="J716" s="112">
        <v>6476.7</v>
      </c>
      <c r="K716" s="116">
        <v>0.1265</v>
      </c>
      <c r="L716" s="117" t="s">
        <v>3620</v>
      </c>
      <c r="M716" s="118" t="s">
        <v>3640</v>
      </c>
    </row>
    <row r="717" spans="1:13" ht="15.75" customHeight="1">
      <c r="A717" s="19">
        <v>715</v>
      </c>
      <c r="B717" s="36" t="s">
        <v>3627</v>
      </c>
      <c r="C717" s="20" t="s">
        <v>740</v>
      </c>
      <c r="D717" s="20" t="s">
        <v>741</v>
      </c>
      <c r="E717" s="20" t="s">
        <v>742</v>
      </c>
      <c r="F717" s="21">
        <v>172</v>
      </c>
      <c r="G717" s="21">
        <v>198</v>
      </c>
      <c r="H717" s="21">
        <v>228</v>
      </c>
      <c r="I717" s="22">
        <v>656</v>
      </c>
      <c r="J717" s="108">
        <v>199.3</v>
      </c>
      <c r="K717" s="116">
        <v>0.1148</v>
      </c>
      <c r="L717" s="117" t="s">
        <v>3620</v>
      </c>
      <c r="M717" s="118" t="s">
        <v>3640</v>
      </c>
    </row>
    <row r="718" spans="1:13" ht="15.75" customHeight="1">
      <c r="A718" s="23">
        <v>716</v>
      </c>
      <c r="B718" s="36" t="s">
        <v>3627</v>
      </c>
      <c r="C718" s="24" t="s">
        <v>694</v>
      </c>
      <c r="D718" s="24" t="s">
        <v>357</v>
      </c>
      <c r="E718" s="24" t="s">
        <v>695</v>
      </c>
      <c r="F718" s="25">
        <v>1545</v>
      </c>
      <c r="G718" s="25">
        <v>1499</v>
      </c>
      <c r="H718" s="25">
        <v>1425</v>
      </c>
      <c r="I718" s="22">
        <v>4771</v>
      </c>
      <c r="J718" s="112">
        <v>1489.7</v>
      </c>
      <c r="K718" s="116">
        <v>3.32E-2</v>
      </c>
      <c r="L718" s="117" t="s">
        <v>3620</v>
      </c>
      <c r="M718" s="118" t="s">
        <v>3640</v>
      </c>
    </row>
    <row r="719" spans="1:13" ht="15.75" customHeight="1">
      <c r="A719" s="19">
        <v>717</v>
      </c>
      <c r="B719" s="36" t="s">
        <v>3627</v>
      </c>
      <c r="C719" s="20" t="s">
        <v>689</v>
      </c>
      <c r="D719" s="20" t="s">
        <v>351</v>
      </c>
      <c r="E719" s="20" t="s">
        <v>690</v>
      </c>
      <c r="F719" s="21">
        <v>2536</v>
      </c>
      <c r="G719" s="21">
        <v>2431</v>
      </c>
      <c r="H719" s="21">
        <v>2486</v>
      </c>
      <c r="I719" s="22">
        <v>8108</v>
      </c>
      <c r="J719" s="108">
        <v>2484.3000000000002</v>
      </c>
      <c r="K719" s="116">
        <v>1.7299999999999999E-2</v>
      </c>
      <c r="L719" s="117" t="s">
        <v>3620</v>
      </c>
      <c r="M719" s="118" t="s">
        <v>3640</v>
      </c>
    </row>
    <row r="720" spans="1:13" ht="15.75" customHeight="1">
      <c r="A720" s="23">
        <v>718</v>
      </c>
      <c r="B720" s="36" t="s">
        <v>3627</v>
      </c>
      <c r="C720" s="24" t="s">
        <v>1048</v>
      </c>
      <c r="D720" s="24" t="s">
        <v>582</v>
      </c>
      <c r="E720" s="24" t="s">
        <v>1049</v>
      </c>
      <c r="F720" s="25">
        <v>20</v>
      </c>
      <c r="G720" s="25">
        <v>27</v>
      </c>
      <c r="H720" s="25">
        <v>60</v>
      </c>
      <c r="I720" s="22">
        <v>107</v>
      </c>
      <c r="J720" s="112">
        <v>35.700000000000003</v>
      </c>
      <c r="K720" s="119">
        <v>0.48899999999999999</v>
      </c>
      <c r="L720" s="120" t="s">
        <v>3621</v>
      </c>
      <c r="M720" s="121" t="s">
        <v>3641</v>
      </c>
    </row>
    <row r="721" spans="1:13" ht="15.75" customHeight="1">
      <c r="A721" s="19">
        <v>719</v>
      </c>
      <c r="B721" s="36" t="s">
        <v>3627</v>
      </c>
      <c r="C721" s="20" t="s">
        <v>1058</v>
      </c>
      <c r="D721" s="20" t="s">
        <v>1059</v>
      </c>
      <c r="E721" s="20"/>
      <c r="F721" s="21">
        <v>8</v>
      </c>
      <c r="G721" s="21">
        <v>10</v>
      </c>
      <c r="H721" s="21">
        <v>21</v>
      </c>
      <c r="I721" s="22">
        <v>39</v>
      </c>
      <c r="J721" s="108">
        <v>13</v>
      </c>
      <c r="K721" s="119">
        <v>0.43969999999999998</v>
      </c>
      <c r="L721" s="120" t="s">
        <v>3621</v>
      </c>
      <c r="M721" s="121" t="s">
        <v>3641</v>
      </c>
    </row>
    <row r="722" spans="1:13" ht="15.75" customHeight="1">
      <c r="A722" s="23">
        <v>720</v>
      </c>
      <c r="B722" s="36" t="s">
        <v>3627</v>
      </c>
      <c r="C722" s="24" t="s">
        <v>728</v>
      </c>
      <c r="D722" s="24" t="s">
        <v>729</v>
      </c>
      <c r="E722" s="24" t="s">
        <v>730</v>
      </c>
      <c r="F722" s="25">
        <v>38</v>
      </c>
      <c r="G722" s="25">
        <v>84</v>
      </c>
      <c r="H722" s="25">
        <v>35</v>
      </c>
      <c r="I722" s="22">
        <v>157</v>
      </c>
      <c r="J722" s="112">
        <v>52.3</v>
      </c>
      <c r="K722" s="119">
        <v>0.42849999999999999</v>
      </c>
      <c r="L722" s="120" t="s">
        <v>3621</v>
      </c>
      <c r="M722" s="121" t="s">
        <v>3641</v>
      </c>
    </row>
    <row r="723" spans="1:13" ht="15.75" customHeight="1">
      <c r="A723" s="19">
        <v>721</v>
      </c>
      <c r="B723" s="36" t="s">
        <v>3627</v>
      </c>
      <c r="C723" s="20" t="s">
        <v>1026</v>
      </c>
      <c r="D723" s="20" t="s">
        <v>568</v>
      </c>
      <c r="E723" s="20" t="s">
        <v>1027</v>
      </c>
      <c r="F723" s="21">
        <v>50</v>
      </c>
      <c r="G723" s="21">
        <v>80</v>
      </c>
      <c r="H723" s="21">
        <v>30</v>
      </c>
      <c r="I723" s="22">
        <v>160</v>
      </c>
      <c r="J723" s="108">
        <v>53.3</v>
      </c>
      <c r="K723" s="119">
        <v>0.38529999999999998</v>
      </c>
      <c r="L723" s="120" t="s">
        <v>3621</v>
      </c>
      <c r="M723" s="121" t="s">
        <v>3641</v>
      </c>
    </row>
    <row r="724" spans="1:13" ht="15.75" customHeight="1">
      <c r="A724" s="23">
        <v>722</v>
      </c>
      <c r="B724" s="36" t="s">
        <v>3627</v>
      </c>
      <c r="C724" s="24" t="s">
        <v>978</v>
      </c>
      <c r="D724" s="24" t="s">
        <v>979</v>
      </c>
      <c r="E724" s="24"/>
      <c r="F724" s="25">
        <v>11</v>
      </c>
      <c r="G724" s="25">
        <v>6</v>
      </c>
      <c r="H724" s="25">
        <v>6</v>
      </c>
      <c r="I724" s="22">
        <v>23</v>
      </c>
      <c r="J724" s="112">
        <v>7.7</v>
      </c>
      <c r="K724" s="119">
        <v>0.30740000000000001</v>
      </c>
      <c r="L724" s="120" t="s">
        <v>3621</v>
      </c>
      <c r="M724" s="121" t="s">
        <v>3641</v>
      </c>
    </row>
    <row r="725" spans="1:13" ht="15.75" customHeight="1">
      <c r="A725" s="19">
        <v>723</v>
      </c>
      <c r="B725" s="36" t="s">
        <v>3627</v>
      </c>
      <c r="C725" s="20" t="s">
        <v>1208</v>
      </c>
      <c r="D725" s="20" t="s">
        <v>568</v>
      </c>
      <c r="E725" s="27" t="s">
        <v>1154</v>
      </c>
      <c r="F725" s="21">
        <v>40</v>
      </c>
      <c r="G725" s="21">
        <v>20</v>
      </c>
      <c r="H725" s="21">
        <v>30</v>
      </c>
      <c r="I725" s="22">
        <v>90</v>
      </c>
      <c r="J725" s="108">
        <v>30</v>
      </c>
      <c r="K725" s="119">
        <v>0.2722</v>
      </c>
      <c r="L725" s="120" t="s">
        <v>3621</v>
      </c>
      <c r="M725" s="121" t="s">
        <v>3641</v>
      </c>
    </row>
    <row r="726" spans="1:13" ht="15.75" customHeight="1">
      <c r="A726" s="23">
        <v>724</v>
      </c>
      <c r="B726" s="36" t="s">
        <v>3627</v>
      </c>
      <c r="C726" s="24" t="s">
        <v>1020</v>
      </c>
      <c r="D726" s="24" t="s">
        <v>832</v>
      </c>
      <c r="E726" s="24" t="s">
        <v>1021</v>
      </c>
      <c r="F726" s="25">
        <v>30</v>
      </c>
      <c r="G726" s="25">
        <v>60</v>
      </c>
      <c r="H726" s="25">
        <v>50</v>
      </c>
      <c r="I726" s="22">
        <v>140</v>
      </c>
      <c r="J726" s="112">
        <v>46.7</v>
      </c>
      <c r="K726" s="119">
        <v>0.26729999999999998</v>
      </c>
      <c r="L726" s="120" t="s">
        <v>3621</v>
      </c>
      <c r="M726" s="121" t="s">
        <v>3641</v>
      </c>
    </row>
    <row r="727" spans="1:13" ht="15.75" customHeight="1">
      <c r="A727" s="19">
        <v>725</v>
      </c>
      <c r="B727" s="36" t="s">
        <v>3627</v>
      </c>
      <c r="C727" s="20" t="s">
        <v>490</v>
      </c>
      <c r="D727" s="20" t="s">
        <v>491</v>
      </c>
      <c r="E727" s="20"/>
      <c r="F727" s="21">
        <v>68</v>
      </c>
      <c r="G727" s="21">
        <v>39</v>
      </c>
      <c r="H727" s="21">
        <v>44</v>
      </c>
      <c r="I727" s="22">
        <v>157</v>
      </c>
      <c r="J727" s="108">
        <v>50.3</v>
      </c>
      <c r="K727" s="119">
        <v>0.2515</v>
      </c>
      <c r="L727" s="120" t="s">
        <v>3621</v>
      </c>
      <c r="M727" s="121" t="s">
        <v>3641</v>
      </c>
    </row>
    <row r="728" spans="1:13" ht="15.75" customHeight="1">
      <c r="A728" s="23">
        <v>726</v>
      </c>
      <c r="B728" s="36" t="s">
        <v>3627</v>
      </c>
      <c r="C728" s="24" t="s">
        <v>492</v>
      </c>
      <c r="D728" s="24" t="s">
        <v>493</v>
      </c>
      <c r="E728" s="24"/>
      <c r="F728" s="25">
        <v>20</v>
      </c>
      <c r="G728" s="25">
        <v>29</v>
      </c>
      <c r="H728" s="25">
        <v>18</v>
      </c>
      <c r="I728" s="22">
        <v>69</v>
      </c>
      <c r="J728" s="112">
        <v>22.3</v>
      </c>
      <c r="K728" s="119">
        <v>0.2142</v>
      </c>
      <c r="L728" s="120" t="s">
        <v>3621</v>
      </c>
      <c r="M728" s="121" t="s">
        <v>3641</v>
      </c>
    </row>
    <row r="729" spans="1:13" ht="15.75" customHeight="1">
      <c r="A729" s="19">
        <v>727</v>
      </c>
      <c r="B729" s="36" t="s">
        <v>3627</v>
      </c>
      <c r="C729" s="20" t="s">
        <v>565</v>
      </c>
      <c r="D729" s="20" t="s">
        <v>566</v>
      </c>
      <c r="E729" s="20"/>
      <c r="F729" s="21">
        <v>50</v>
      </c>
      <c r="G729" s="21">
        <v>31</v>
      </c>
      <c r="H729" s="21">
        <v>50</v>
      </c>
      <c r="I729" s="22">
        <v>131</v>
      </c>
      <c r="J729" s="108">
        <v>43.7</v>
      </c>
      <c r="K729" s="119">
        <v>0.2051</v>
      </c>
      <c r="L729" s="120" t="s">
        <v>3621</v>
      </c>
      <c r="M729" s="121" t="s">
        <v>3641</v>
      </c>
    </row>
    <row r="730" spans="1:13" ht="15.75" customHeight="1">
      <c r="A730" s="23">
        <v>728</v>
      </c>
      <c r="B730" s="36" t="s">
        <v>3627</v>
      </c>
      <c r="C730" s="24" t="s">
        <v>1212</v>
      </c>
      <c r="D730" s="24" t="s">
        <v>558</v>
      </c>
      <c r="E730" s="26" t="s">
        <v>1154</v>
      </c>
      <c r="F730" s="25">
        <v>40</v>
      </c>
      <c r="G730" s="25">
        <v>50</v>
      </c>
      <c r="H730" s="25">
        <v>30</v>
      </c>
      <c r="I730" s="22">
        <v>120</v>
      </c>
      <c r="J730" s="112">
        <v>40</v>
      </c>
      <c r="K730" s="119">
        <v>0.2041</v>
      </c>
      <c r="L730" s="120" t="s">
        <v>3621</v>
      </c>
      <c r="M730" s="121" t="s">
        <v>3641</v>
      </c>
    </row>
    <row r="731" spans="1:13" ht="15.75" customHeight="1">
      <c r="A731" s="19">
        <v>729</v>
      </c>
      <c r="B731" s="36" t="s">
        <v>3627</v>
      </c>
      <c r="C731" s="20" t="s">
        <v>749</v>
      </c>
      <c r="D731" s="20" t="s">
        <v>430</v>
      </c>
      <c r="E731" s="20"/>
      <c r="F731" s="21">
        <v>30</v>
      </c>
      <c r="G731" s="21">
        <v>50</v>
      </c>
      <c r="H731" s="21">
        <v>40</v>
      </c>
      <c r="I731" s="22">
        <v>130</v>
      </c>
      <c r="J731" s="108">
        <v>40</v>
      </c>
      <c r="K731" s="119">
        <v>0.2041</v>
      </c>
      <c r="L731" s="120" t="s">
        <v>3621</v>
      </c>
      <c r="M731" s="121" t="s">
        <v>3641</v>
      </c>
    </row>
    <row r="732" spans="1:13" ht="15.75" customHeight="1">
      <c r="A732" s="23">
        <v>730</v>
      </c>
      <c r="B732" s="36" t="s">
        <v>3627</v>
      </c>
      <c r="C732" s="24" t="s">
        <v>1222</v>
      </c>
      <c r="D732" s="24" t="s">
        <v>711</v>
      </c>
      <c r="E732" s="26" t="s">
        <v>1154</v>
      </c>
      <c r="F732" s="25">
        <v>30</v>
      </c>
      <c r="G732" s="25">
        <v>19</v>
      </c>
      <c r="H732" s="25">
        <v>30</v>
      </c>
      <c r="I732" s="22">
        <v>79</v>
      </c>
      <c r="J732" s="112">
        <v>26.3</v>
      </c>
      <c r="K732" s="119">
        <v>0.19689999999999999</v>
      </c>
      <c r="L732" s="120" t="s">
        <v>3621</v>
      </c>
      <c r="M732" s="121" t="s">
        <v>3641</v>
      </c>
    </row>
    <row r="733" spans="1:13" ht="15.75" customHeight="1">
      <c r="A733" s="19">
        <v>731</v>
      </c>
      <c r="B733" s="36" t="s">
        <v>3627</v>
      </c>
      <c r="C733" s="20" t="s">
        <v>990</v>
      </c>
      <c r="D733" s="20" t="s">
        <v>991</v>
      </c>
      <c r="E733" s="20"/>
      <c r="F733" s="21">
        <v>8</v>
      </c>
      <c r="G733" s="21">
        <v>13</v>
      </c>
      <c r="H733" s="21">
        <v>12</v>
      </c>
      <c r="I733" s="22">
        <v>33</v>
      </c>
      <c r="J733" s="108">
        <v>11</v>
      </c>
      <c r="K733" s="119">
        <v>0.19639999999999999</v>
      </c>
      <c r="L733" s="120" t="s">
        <v>3621</v>
      </c>
      <c r="M733" s="121" t="s">
        <v>3641</v>
      </c>
    </row>
    <row r="734" spans="1:13" ht="15.75" customHeight="1">
      <c r="A734" s="23">
        <v>732</v>
      </c>
      <c r="B734" s="36" t="s">
        <v>3627</v>
      </c>
      <c r="C734" s="24" t="s">
        <v>660</v>
      </c>
      <c r="D734" s="24" t="s">
        <v>661</v>
      </c>
      <c r="E734" s="24" t="s">
        <v>662</v>
      </c>
      <c r="F734" s="25">
        <v>11</v>
      </c>
      <c r="G734" s="25">
        <v>12</v>
      </c>
      <c r="H734" s="25">
        <v>8</v>
      </c>
      <c r="I734" s="22">
        <v>31</v>
      </c>
      <c r="J734" s="112">
        <v>10.3</v>
      </c>
      <c r="K734" s="119">
        <v>0.16450000000000001</v>
      </c>
      <c r="L734" s="120" t="s">
        <v>3621</v>
      </c>
      <c r="M734" s="121" t="s">
        <v>3641</v>
      </c>
    </row>
    <row r="735" spans="1:13" ht="15.75" customHeight="1">
      <c r="A735" s="19">
        <v>733</v>
      </c>
      <c r="B735" s="36" t="s">
        <v>3627</v>
      </c>
      <c r="C735" s="20" t="s">
        <v>1022</v>
      </c>
      <c r="D735" s="20" t="s">
        <v>846</v>
      </c>
      <c r="E735" s="20" t="s">
        <v>1023</v>
      </c>
      <c r="F735" s="21">
        <v>40</v>
      </c>
      <c r="G735" s="21">
        <v>30</v>
      </c>
      <c r="H735" s="21">
        <v>30</v>
      </c>
      <c r="I735" s="22">
        <v>100</v>
      </c>
      <c r="J735" s="108">
        <v>33.299999999999997</v>
      </c>
      <c r="K735" s="119">
        <v>0.1414</v>
      </c>
      <c r="L735" s="120" t="s">
        <v>3621</v>
      </c>
      <c r="M735" s="121" t="s">
        <v>3641</v>
      </c>
    </row>
    <row r="736" spans="1:13" ht="15.75" customHeight="1">
      <c r="A736" s="23">
        <v>734</v>
      </c>
      <c r="B736" s="36" t="s">
        <v>3627</v>
      </c>
      <c r="C736" s="24" t="s">
        <v>356</v>
      </c>
      <c r="D736" s="24" t="s">
        <v>357</v>
      </c>
      <c r="E736" s="24" t="s">
        <v>358</v>
      </c>
      <c r="F736" s="25">
        <v>37</v>
      </c>
      <c r="G736" s="25">
        <v>28</v>
      </c>
      <c r="H736" s="25">
        <v>30</v>
      </c>
      <c r="I736" s="22">
        <v>95</v>
      </c>
      <c r="J736" s="112">
        <v>31.7</v>
      </c>
      <c r="K736" s="119">
        <v>0.12189999999999999</v>
      </c>
      <c r="L736" s="120" t="s">
        <v>3621</v>
      </c>
      <c r="M736" s="121" t="s">
        <v>3641</v>
      </c>
    </row>
    <row r="737" spans="1:13" ht="15.75" customHeight="1">
      <c r="A737" s="19">
        <v>735</v>
      </c>
      <c r="B737" s="36" t="s">
        <v>3627</v>
      </c>
      <c r="C737" s="20" t="s">
        <v>1018</v>
      </c>
      <c r="D737" s="20" t="s">
        <v>820</v>
      </c>
      <c r="E737" s="20" t="s">
        <v>1019</v>
      </c>
      <c r="F737" s="21">
        <v>60</v>
      </c>
      <c r="G737" s="21">
        <v>60</v>
      </c>
      <c r="H737" s="21">
        <v>50</v>
      </c>
      <c r="I737" s="22">
        <v>170</v>
      </c>
      <c r="J737" s="108">
        <v>56.7</v>
      </c>
      <c r="K737" s="119">
        <v>8.3199999999999996E-2</v>
      </c>
      <c r="L737" s="120" t="s">
        <v>3621</v>
      </c>
      <c r="M737" s="121" t="s">
        <v>3641</v>
      </c>
    </row>
    <row r="738" spans="1:13" ht="15.75" customHeight="1">
      <c r="A738" s="23">
        <v>736</v>
      </c>
      <c r="B738" s="36" t="s">
        <v>3627</v>
      </c>
      <c r="C738" s="24" t="s">
        <v>1052</v>
      </c>
      <c r="D738" s="24" t="s">
        <v>480</v>
      </c>
      <c r="E738" s="24" t="s">
        <v>1053</v>
      </c>
      <c r="F738" s="25">
        <v>20</v>
      </c>
      <c r="G738" s="25">
        <v>20</v>
      </c>
      <c r="H738" s="25">
        <v>20</v>
      </c>
      <c r="I738" s="22">
        <v>120</v>
      </c>
      <c r="J738" s="112">
        <v>20</v>
      </c>
      <c r="K738" s="119">
        <v>0</v>
      </c>
      <c r="L738" s="120" t="s">
        <v>3621</v>
      </c>
      <c r="M738" s="121" t="s">
        <v>3641</v>
      </c>
    </row>
    <row r="739" spans="1:13" ht="15.75" customHeight="1">
      <c r="A739" s="19">
        <v>737</v>
      </c>
      <c r="B739" s="37" t="s">
        <v>3628</v>
      </c>
      <c r="C739" s="20" t="s">
        <v>942</v>
      </c>
      <c r="D739" s="20" t="s">
        <v>943</v>
      </c>
      <c r="E739" s="20" t="s">
        <v>932</v>
      </c>
      <c r="F739" s="21">
        <v>1380</v>
      </c>
      <c r="G739" s="21">
        <v>100</v>
      </c>
      <c r="H739" s="21"/>
      <c r="I739" s="22">
        <v>1480</v>
      </c>
      <c r="J739" s="108">
        <v>493.3</v>
      </c>
      <c r="K739" s="109">
        <v>1.2736000000000001</v>
      </c>
      <c r="L739" s="110" t="s">
        <v>3618</v>
      </c>
      <c r="M739" s="111" t="s">
        <v>3638</v>
      </c>
    </row>
    <row r="740" spans="1:13" ht="15.75" customHeight="1">
      <c r="A740" s="23">
        <v>738</v>
      </c>
      <c r="B740" s="37" t="s">
        <v>3628</v>
      </c>
      <c r="C740" s="24" t="s">
        <v>947</v>
      </c>
      <c r="D740" s="24" t="s">
        <v>948</v>
      </c>
      <c r="E740" s="24" t="s">
        <v>935</v>
      </c>
      <c r="F740" s="25">
        <v>619</v>
      </c>
      <c r="G740" s="25"/>
      <c r="H740" s="25">
        <v>70</v>
      </c>
      <c r="I740" s="22">
        <v>689</v>
      </c>
      <c r="J740" s="112">
        <v>229.7</v>
      </c>
      <c r="K740" s="109">
        <v>1.2051000000000001</v>
      </c>
      <c r="L740" s="110" t="s">
        <v>3618</v>
      </c>
      <c r="M740" s="111" t="s">
        <v>3638</v>
      </c>
    </row>
    <row r="741" spans="1:13" ht="15.75" customHeight="1">
      <c r="A741" s="19">
        <v>739</v>
      </c>
      <c r="B741" s="37" t="s">
        <v>3628</v>
      </c>
      <c r="C741" s="20" t="s">
        <v>1279</v>
      </c>
      <c r="D741" s="20" t="s">
        <v>959</v>
      </c>
      <c r="E741" s="20" t="s">
        <v>1270</v>
      </c>
      <c r="F741" s="21">
        <v>55</v>
      </c>
      <c r="G741" s="21">
        <v>400</v>
      </c>
      <c r="H741" s="21"/>
      <c r="I741" s="22">
        <v>455</v>
      </c>
      <c r="J741" s="108">
        <v>151.69999999999999</v>
      </c>
      <c r="K741" s="109">
        <v>1.1672</v>
      </c>
      <c r="L741" s="110" t="s">
        <v>3618</v>
      </c>
      <c r="M741" s="111" t="s">
        <v>3638</v>
      </c>
    </row>
    <row r="742" spans="1:13" ht="15.75" customHeight="1">
      <c r="A742" s="23">
        <v>740</v>
      </c>
      <c r="B742" s="37" t="s">
        <v>3628</v>
      </c>
      <c r="C742" s="24" t="s">
        <v>2560</v>
      </c>
      <c r="D742" s="24" t="s">
        <v>2561</v>
      </c>
      <c r="E742" s="24" t="s">
        <v>935</v>
      </c>
      <c r="F742" s="25"/>
      <c r="G742" s="25">
        <v>300</v>
      </c>
      <c r="H742" s="25">
        <v>137</v>
      </c>
      <c r="I742" s="22">
        <v>437</v>
      </c>
      <c r="J742" s="112">
        <v>145.69999999999999</v>
      </c>
      <c r="K742" s="109">
        <v>0.84179999999999999</v>
      </c>
      <c r="L742" s="110" t="s">
        <v>3618</v>
      </c>
      <c r="M742" s="111" t="s">
        <v>3638</v>
      </c>
    </row>
    <row r="743" spans="1:13" ht="15.75" customHeight="1">
      <c r="A743" s="19">
        <v>741</v>
      </c>
      <c r="B743" s="37" t="s">
        <v>3628</v>
      </c>
      <c r="C743" s="20" t="s">
        <v>954</v>
      </c>
      <c r="D743" s="20" t="s">
        <v>955</v>
      </c>
      <c r="E743" s="20" t="s">
        <v>932</v>
      </c>
      <c r="F743" s="21">
        <v>200</v>
      </c>
      <c r="G743" s="21">
        <v>400</v>
      </c>
      <c r="H743" s="21"/>
      <c r="I743" s="22">
        <v>600</v>
      </c>
      <c r="J743" s="108">
        <v>200</v>
      </c>
      <c r="K743" s="109">
        <v>0.8165</v>
      </c>
      <c r="L743" s="110" t="s">
        <v>3618</v>
      </c>
      <c r="M743" s="111" t="s">
        <v>3638</v>
      </c>
    </row>
    <row r="744" spans="1:13" ht="15.75" customHeight="1">
      <c r="A744" s="23">
        <v>742</v>
      </c>
      <c r="B744" s="37" t="s">
        <v>3628</v>
      </c>
      <c r="C744" s="24" t="s">
        <v>958</v>
      </c>
      <c r="D744" s="24" t="s">
        <v>959</v>
      </c>
      <c r="E744" s="24" t="s">
        <v>932</v>
      </c>
      <c r="F744" s="25">
        <v>300</v>
      </c>
      <c r="G744" s="25">
        <v>200</v>
      </c>
      <c r="H744" s="25">
        <v>15</v>
      </c>
      <c r="I744" s="22">
        <v>515</v>
      </c>
      <c r="J744" s="112">
        <v>171.7</v>
      </c>
      <c r="K744" s="109">
        <v>0.68769999999999998</v>
      </c>
      <c r="L744" s="110" t="s">
        <v>3618</v>
      </c>
      <c r="M744" s="111" t="s">
        <v>3638</v>
      </c>
    </row>
    <row r="745" spans="1:13" ht="15.75" customHeight="1">
      <c r="A745" s="19">
        <v>743</v>
      </c>
      <c r="B745" s="37" t="s">
        <v>3628</v>
      </c>
      <c r="C745" s="20" t="s">
        <v>944</v>
      </c>
      <c r="D745" s="20" t="s">
        <v>945</v>
      </c>
      <c r="E745" s="20" t="s">
        <v>946</v>
      </c>
      <c r="F745" s="21">
        <v>154</v>
      </c>
      <c r="G745" s="21">
        <v>6</v>
      </c>
      <c r="H745" s="21"/>
      <c r="I745" s="22">
        <v>160</v>
      </c>
      <c r="J745" s="108">
        <v>53.3</v>
      </c>
      <c r="K745" s="113">
        <v>1.3354999999999999</v>
      </c>
      <c r="L745" s="114" t="s">
        <v>3619</v>
      </c>
      <c r="M745" s="115" t="s">
        <v>3639</v>
      </c>
    </row>
    <row r="746" spans="1:13" ht="15.75" customHeight="1">
      <c r="A746" s="23">
        <v>744</v>
      </c>
      <c r="B746" s="37" t="s">
        <v>3628</v>
      </c>
      <c r="C746" s="24" t="s">
        <v>2550</v>
      </c>
      <c r="D746" s="24" t="s">
        <v>2551</v>
      </c>
      <c r="E746" s="24" t="s">
        <v>1142</v>
      </c>
      <c r="F746" s="25"/>
      <c r="G746" s="25">
        <v>3</v>
      </c>
      <c r="H746" s="25">
        <v>25</v>
      </c>
      <c r="I746" s="22">
        <v>178</v>
      </c>
      <c r="J746" s="112">
        <v>9.3000000000000007</v>
      </c>
      <c r="K746" s="113">
        <v>1.1941999999999999</v>
      </c>
      <c r="L746" s="114" t="s">
        <v>3619</v>
      </c>
      <c r="M746" s="115" t="s">
        <v>3639</v>
      </c>
    </row>
    <row r="747" spans="1:13" ht="15.75" customHeight="1">
      <c r="A747" s="19">
        <v>745</v>
      </c>
      <c r="B747" s="37" t="s">
        <v>3628</v>
      </c>
      <c r="C747" s="20" t="s">
        <v>917</v>
      </c>
      <c r="D747" s="20" t="s">
        <v>918</v>
      </c>
      <c r="E747" s="20" t="s">
        <v>919</v>
      </c>
      <c r="F747" s="21">
        <v>2</v>
      </c>
      <c r="G747" s="21"/>
      <c r="H747" s="21">
        <v>6</v>
      </c>
      <c r="I747" s="22">
        <v>8</v>
      </c>
      <c r="J747" s="108">
        <v>2.7</v>
      </c>
      <c r="K747" s="113">
        <v>0.93540000000000001</v>
      </c>
      <c r="L747" s="114" t="s">
        <v>3619</v>
      </c>
      <c r="M747" s="115" t="s">
        <v>3639</v>
      </c>
    </row>
    <row r="748" spans="1:13" ht="15.75" customHeight="1">
      <c r="A748" s="23">
        <v>746</v>
      </c>
      <c r="B748" s="37" t="s">
        <v>3628</v>
      </c>
      <c r="C748" s="24" t="s">
        <v>2552</v>
      </c>
      <c r="D748" s="24" t="s">
        <v>2553</v>
      </c>
      <c r="E748" s="24" t="s">
        <v>929</v>
      </c>
      <c r="F748" s="25"/>
      <c r="G748" s="25">
        <v>11</v>
      </c>
      <c r="H748" s="25">
        <v>5</v>
      </c>
      <c r="I748" s="22">
        <v>146</v>
      </c>
      <c r="J748" s="112">
        <v>5.3</v>
      </c>
      <c r="K748" s="113">
        <v>0.84319999999999995</v>
      </c>
      <c r="L748" s="114" t="s">
        <v>3619</v>
      </c>
      <c r="M748" s="115" t="s">
        <v>3639</v>
      </c>
    </row>
    <row r="749" spans="1:13" ht="15.75" customHeight="1">
      <c r="A749" s="19">
        <v>747</v>
      </c>
      <c r="B749" s="37" t="s">
        <v>3628</v>
      </c>
      <c r="C749" s="20" t="s">
        <v>2571</v>
      </c>
      <c r="D749" s="20" t="s">
        <v>2572</v>
      </c>
      <c r="E749" s="20" t="s">
        <v>935</v>
      </c>
      <c r="F749" s="21"/>
      <c r="G749" s="21">
        <v>42</v>
      </c>
      <c r="H749" s="21">
        <v>85</v>
      </c>
      <c r="I749" s="22">
        <v>127</v>
      </c>
      <c r="J749" s="108">
        <v>42.3</v>
      </c>
      <c r="K749" s="113">
        <v>0.81969999999999998</v>
      </c>
      <c r="L749" s="114" t="s">
        <v>3619</v>
      </c>
      <c r="M749" s="115" t="s">
        <v>3639</v>
      </c>
    </row>
    <row r="750" spans="1:13" ht="15.75" customHeight="1">
      <c r="A750" s="23">
        <v>748</v>
      </c>
      <c r="B750" s="37" t="s">
        <v>3628</v>
      </c>
      <c r="C750" s="24" t="s">
        <v>920</v>
      </c>
      <c r="D750" s="24" t="s">
        <v>921</v>
      </c>
      <c r="E750" s="24" t="s">
        <v>922</v>
      </c>
      <c r="F750" s="25">
        <v>2</v>
      </c>
      <c r="G750" s="25"/>
      <c r="H750" s="25">
        <v>1</v>
      </c>
      <c r="I750" s="22">
        <v>3</v>
      </c>
      <c r="J750" s="112">
        <v>1</v>
      </c>
      <c r="K750" s="113">
        <v>0.8165</v>
      </c>
      <c r="L750" s="114" t="s">
        <v>3619</v>
      </c>
      <c r="M750" s="115" t="s">
        <v>3639</v>
      </c>
    </row>
    <row r="751" spans="1:13" ht="15.75" customHeight="1">
      <c r="A751" s="19">
        <v>749</v>
      </c>
      <c r="B751" s="37" t="s">
        <v>3628</v>
      </c>
      <c r="C751" s="20" t="s">
        <v>2564</v>
      </c>
      <c r="D751" s="20" t="s">
        <v>2565</v>
      </c>
      <c r="E751" s="20" t="s">
        <v>935</v>
      </c>
      <c r="F751" s="21"/>
      <c r="G751" s="21">
        <v>20</v>
      </c>
      <c r="H751" s="21">
        <v>10</v>
      </c>
      <c r="I751" s="22">
        <v>30</v>
      </c>
      <c r="J751" s="108">
        <v>10</v>
      </c>
      <c r="K751" s="113">
        <v>0.8165</v>
      </c>
      <c r="L751" s="114" t="s">
        <v>3619</v>
      </c>
      <c r="M751" s="115" t="s">
        <v>3639</v>
      </c>
    </row>
    <row r="752" spans="1:13" ht="15.75" customHeight="1">
      <c r="A752" s="23">
        <v>750</v>
      </c>
      <c r="B752" s="37" t="s">
        <v>3628</v>
      </c>
      <c r="C752" s="24" t="s">
        <v>936</v>
      </c>
      <c r="D752" s="24" t="s">
        <v>937</v>
      </c>
      <c r="E752" s="24" t="s">
        <v>929</v>
      </c>
      <c r="F752" s="25">
        <v>105</v>
      </c>
      <c r="G752" s="25">
        <v>40</v>
      </c>
      <c r="H752" s="25">
        <v>10</v>
      </c>
      <c r="I752" s="22">
        <v>285</v>
      </c>
      <c r="J752" s="112">
        <v>51.7</v>
      </c>
      <c r="K752" s="113">
        <v>0.76739999999999997</v>
      </c>
      <c r="L752" s="114" t="s">
        <v>3619</v>
      </c>
      <c r="M752" s="115" t="s">
        <v>3639</v>
      </c>
    </row>
    <row r="753" spans="1:13" ht="15.75" customHeight="1">
      <c r="A753" s="19">
        <v>751</v>
      </c>
      <c r="B753" s="37" t="s">
        <v>3628</v>
      </c>
      <c r="C753" s="20" t="s">
        <v>956</v>
      </c>
      <c r="D753" s="20" t="s">
        <v>957</v>
      </c>
      <c r="E753" s="20" t="s">
        <v>946</v>
      </c>
      <c r="F753" s="21">
        <v>4</v>
      </c>
      <c r="G753" s="21">
        <v>6</v>
      </c>
      <c r="H753" s="21"/>
      <c r="I753" s="22">
        <v>10</v>
      </c>
      <c r="J753" s="108">
        <v>3.3</v>
      </c>
      <c r="K753" s="113">
        <v>0.74829999999999997</v>
      </c>
      <c r="L753" s="114" t="s">
        <v>3619</v>
      </c>
      <c r="M753" s="115" t="s">
        <v>3639</v>
      </c>
    </row>
    <row r="754" spans="1:13" ht="15.75" customHeight="1">
      <c r="A754" s="23">
        <v>752</v>
      </c>
      <c r="B754" s="37" t="s">
        <v>3628</v>
      </c>
      <c r="C754" s="24" t="s">
        <v>960</v>
      </c>
      <c r="D754" s="24" t="s">
        <v>961</v>
      </c>
      <c r="E754" s="24" t="s">
        <v>929</v>
      </c>
      <c r="F754" s="25">
        <v>80</v>
      </c>
      <c r="G754" s="25">
        <v>63</v>
      </c>
      <c r="H754" s="25"/>
      <c r="I754" s="22">
        <v>143</v>
      </c>
      <c r="J754" s="112">
        <v>47.7</v>
      </c>
      <c r="K754" s="113">
        <v>0.72189999999999999</v>
      </c>
      <c r="L754" s="114" t="s">
        <v>3619</v>
      </c>
      <c r="M754" s="115" t="s">
        <v>3639</v>
      </c>
    </row>
    <row r="755" spans="1:13" ht="15.75" customHeight="1">
      <c r="A755" s="19">
        <v>753</v>
      </c>
      <c r="B755" s="37" t="s">
        <v>3628</v>
      </c>
      <c r="C755" s="20" t="s">
        <v>930</v>
      </c>
      <c r="D755" s="20" t="s">
        <v>931</v>
      </c>
      <c r="E755" s="20" t="s">
        <v>932</v>
      </c>
      <c r="F755" s="21">
        <v>50</v>
      </c>
      <c r="G755" s="21"/>
      <c r="H755" s="21">
        <v>40</v>
      </c>
      <c r="I755" s="22">
        <v>90</v>
      </c>
      <c r="J755" s="108">
        <v>30</v>
      </c>
      <c r="K755" s="113">
        <v>0.72009999999999996</v>
      </c>
      <c r="L755" s="114" t="s">
        <v>3619</v>
      </c>
      <c r="M755" s="115" t="s">
        <v>3639</v>
      </c>
    </row>
    <row r="756" spans="1:13" ht="15.75" customHeight="1">
      <c r="A756" s="23">
        <v>754</v>
      </c>
      <c r="B756" s="37" t="s">
        <v>3628</v>
      </c>
      <c r="C756" s="24" t="s">
        <v>938</v>
      </c>
      <c r="D756" s="24" t="s">
        <v>939</v>
      </c>
      <c r="E756" s="24" t="s">
        <v>935</v>
      </c>
      <c r="F756" s="25">
        <v>10</v>
      </c>
      <c r="G756" s="25">
        <v>50</v>
      </c>
      <c r="H756" s="25">
        <v>84</v>
      </c>
      <c r="I756" s="22">
        <v>304</v>
      </c>
      <c r="J756" s="112">
        <v>48</v>
      </c>
      <c r="K756" s="113">
        <v>0.63009999999999999</v>
      </c>
      <c r="L756" s="114" t="s">
        <v>3619</v>
      </c>
      <c r="M756" s="115" t="s">
        <v>3639</v>
      </c>
    </row>
    <row r="757" spans="1:13" ht="15.75" customHeight="1">
      <c r="A757" s="19">
        <v>755</v>
      </c>
      <c r="B757" s="37" t="s">
        <v>3628</v>
      </c>
      <c r="C757" s="20" t="s">
        <v>927</v>
      </c>
      <c r="D757" s="20" t="s">
        <v>928</v>
      </c>
      <c r="E757" s="20" t="s">
        <v>929</v>
      </c>
      <c r="F757" s="21">
        <v>45</v>
      </c>
      <c r="G757" s="21">
        <v>50</v>
      </c>
      <c r="H757" s="21">
        <v>10</v>
      </c>
      <c r="I757" s="22">
        <v>165</v>
      </c>
      <c r="J757" s="108">
        <v>35</v>
      </c>
      <c r="K757" s="113">
        <v>0.50839999999999996</v>
      </c>
      <c r="L757" s="114" t="s">
        <v>3619</v>
      </c>
      <c r="M757" s="115" t="s">
        <v>3639</v>
      </c>
    </row>
    <row r="758" spans="1:13" ht="15.75" customHeight="1">
      <c r="A758" s="23">
        <v>756</v>
      </c>
      <c r="B758" s="37" t="s">
        <v>3628</v>
      </c>
      <c r="C758" s="24" t="s">
        <v>933</v>
      </c>
      <c r="D758" s="24" t="s">
        <v>934</v>
      </c>
      <c r="E758" s="24" t="s">
        <v>935</v>
      </c>
      <c r="F758" s="25">
        <v>98</v>
      </c>
      <c r="G758" s="25">
        <v>131</v>
      </c>
      <c r="H758" s="25">
        <v>128</v>
      </c>
      <c r="I758" s="22">
        <v>447</v>
      </c>
      <c r="J758" s="112">
        <v>119</v>
      </c>
      <c r="K758" s="116">
        <v>0.12520000000000001</v>
      </c>
      <c r="L758" s="117" t="s">
        <v>3620</v>
      </c>
      <c r="M758" s="118" t="s">
        <v>3640</v>
      </c>
    </row>
    <row r="759" spans="1:13" ht="15.75" customHeight="1">
      <c r="A759" s="19">
        <v>757</v>
      </c>
      <c r="B759" s="37" t="s">
        <v>3628</v>
      </c>
      <c r="C759" s="20" t="s">
        <v>1032</v>
      </c>
      <c r="D759" s="20" t="s">
        <v>1033</v>
      </c>
      <c r="E759" s="20" t="s">
        <v>932</v>
      </c>
      <c r="F759" s="21">
        <v>10</v>
      </c>
      <c r="G759" s="21">
        <v>5</v>
      </c>
      <c r="H759" s="21">
        <v>4</v>
      </c>
      <c r="I759" s="22">
        <v>19</v>
      </c>
      <c r="J759" s="108">
        <v>6.3</v>
      </c>
      <c r="K759" s="119">
        <v>0.41439999999999999</v>
      </c>
      <c r="L759" s="120" t="s">
        <v>3621</v>
      </c>
      <c r="M759" s="121" t="s">
        <v>3641</v>
      </c>
    </row>
    <row r="760" spans="1:13" ht="15.75" customHeight="1">
      <c r="A760" s="23">
        <v>758</v>
      </c>
      <c r="B760" s="122" t="s">
        <v>3629</v>
      </c>
      <c r="C760" s="24" t="s">
        <v>51</v>
      </c>
      <c r="D760" s="24" t="s">
        <v>38</v>
      </c>
      <c r="E760" s="24" t="s">
        <v>26</v>
      </c>
      <c r="F760" s="25">
        <v>204</v>
      </c>
      <c r="G760" s="25"/>
      <c r="H760" s="25">
        <v>5</v>
      </c>
      <c r="I760" s="22">
        <v>209</v>
      </c>
      <c r="J760" s="112">
        <v>69.7</v>
      </c>
      <c r="K760" s="109">
        <v>1.3637999999999999</v>
      </c>
      <c r="L760" s="110" t="s">
        <v>3618</v>
      </c>
      <c r="M760" s="111" t="s">
        <v>3638</v>
      </c>
    </row>
    <row r="761" spans="1:13" ht="15.75" customHeight="1">
      <c r="A761" s="19">
        <v>759</v>
      </c>
      <c r="B761" s="122" t="s">
        <v>3629</v>
      </c>
      <c r="C761" s="20" t="s">
        <v>31</v>
      </c>
      <c r="D761" s="20" t="s">
        <v>30</v>
      </c>
      <c r="E761" s="20" t="s">
        <v>32</v>
      </c>
      <c r="F761" s="21">
        <v>133</v>
      </c>
      <c r="G761" s="21"/>
      <c r="H761" s="21">
        <v>64</v>
      </c>
      <c r="I761" s="22">
        <v>197</v>
      </c>
      <c r="J761" s="108">
        <v>65.7</v>
      </c>
      <c r="K761" s="109">
        <v>0.82709999999999995</v>
      </c>
      <c r="L761" s="110" t="s">
        <v>3618</v>
      </c>
      <c r="M761" s="111" t="s">
        <v>3638</v>
      </c>
    </row>
    <row r="762" spans="1:13" ht="15.75" customHeight="1">
      <c r="A762" s="23">
        <v>760</v>
      </c>
      <c r="B762" s="122" t="s">
        <v>3629</v>
      </c>
      <c r="C762" s="24" t="s">
        <v>125</v>
      </c>
      <c r="D762" s="24" t="s">
        <v>123</v>
      </c>
      <c r="E762" s="24" t="s">
        <v>126</v>
      </c>
      <c r="F762" s="25">
        <v>340</v>
      </c>
      <c r="G762" s="25">
        <v>147</v>
      </c>
      <c r="H762" s="25">
        <v>21</v>
      </c>
      <c r="I762" s="22">
        <v>508</v>
      </c>
      <c r="J762" s="112">
        <v>169.3</v>
      </c>
      <c r="K762" s="109">
        <v>0.77470000000000006</v>
      </c>
      <c r="L762" s="110" t="s">
        <v>3618</v>
      </c>
      <c r="M762" s="111" t="s">
        <v>3638</v>
      </c>
    </row>
    <row r="763" spans="1:13" ht="15.75" customHeight="1">
      <c r="A763" s="19">
        <v>761</v>
      </c>
      <c r="B763" s="122" t="s">
        <v>3629</v>
      </c>
      <c r="C763" s="20" t="s">
        <v>41</v>
      </c>
      <c r="D763" s="20" t="s">
        <v>38</v>
      </c>
      <c r="E763" s="20" t="s">
        <v>42</v>
      </c>
      <c r="F763" s="21">
        <v>120</v>
      </c>
      <c r="G763" s="21">
        <v>510</v>
      </c>
      <c r="H763" s="21">
        <v>110</v>
      </c>
      <c r="I763" s="22">
        <v>740</v>
      </c>
      <c r="J763" s="108">
        <v>246.7</v>
      </c>
      <c r="K763" s="109">
        <v>0.75509999999999999</v>
      </c>
      <c r="L763" s="110" t="s">
        <v>3618</v>
      </c>
      <c r="M763" s="111" t="s">
        <v>3638</v>
      </c>
    </row>
    <row r="764" spans="1:13" ht="15.75" customHeight="1">
      <c r="A764" s="23">
        <v>762</v>
      </c>
      <c r="B764" s="122" t="s">
        <v>3629</v>
      </c>
      <c r="C764" s="24" t="s">
        <v>21</v>
      </c>
      <c r="D764" s="24" t="s">
        <v>19</v>
      </c>
      <c r="E764" s="24" t="s">
        <v>22</v>
      </c>
      <c r="F764" s="25">
        <v>175</v>
      </c>
      <c r="G764" s="25">
        <v>230</v>
      </c>
      <c r="H764" s="25"/>
      <c r="I764" s="22">
        <v>405</v>
      </c>
      <c r="J764" s="112">
        <v>135</v>
      </c>
      <c r="K764" s="109">
        <v>0.72640000000000005</v>
      </c>
      <c r="L764" s="110" t="s">
        <v>3618</v>
      </c>
      <c r="M764" s="111" t="s">
        <v>3638</v>
      </c>
    </row>
    <row r="765" spans="1:13" ht="15.75" customHeight="1">
      <c r="A765" s="19">
        <v>763</v>
      </c>
      <c r="B765" s="122" t="s">
        <v>3629</v>
      </c>
      <c r="C765" s="20" t="s">
        <v>66</v>
      </c>
      <c r="D765" s="20" t="s">
        <v>30</v>
      </c>
      <c r="E765" s="20" t="s">
        <v>24</v>
      </c>
      <c r="F765" s="21">
        <v>200</v>
      </c>
      <c r="G765" s="21">
        <v>240</v>
      </c>
      <c r="H765" s="21"/>
      <c r="I765" s="22">
        <v>440</v>
      </c>
      <c r="J765" s="108">
        <v>146.69999999999999</v>
      </c>
      <c r="K765" s="109">
        <v>0.71579999999999999</v>
      </c>
      <c r="L765" s="110" t="s">
        <v>3618</v>
      </c>
      <c r="M765" s="111" t="s">
        <v>3638</v>
      </c>
    </row>
    <row r="766" spans="1:13" ht="15.75" customHeight="1">
      <c r="A766" s="23">
        <v>764</v>
      </c>
      <c r="B766" s="122" t="s">
        <v>3629</v>
      </c>
      <c r="C766" s="24" t="s">
        <v>18</v>
      </c>
      <c r="D766" s="24" t="s">
        <v>19</v>
      </c>
      <c r="E766" s="24" t="s">
        <v>20</v>
      </c>
      <c r="F766" s="25">
        <v>525</v>
      </c>
      <c r="G766" s="25">
        <v>360</v>
      </c>
      <c r="H766" s="25">
        <v>30</v>
      </c>
      <c r="I766" s="22">
        <v>915</v>
      </c>
      <c r="J766" s="112">
        <v>305</v>
      </c>
      <c r="K766" s="109">
        <v>0.67469999999999997</v>
      </c>
      <c r="L766" s="110" t="s">
        <v>3618</v>
      </c>
      <c r="M766" s="111" t="s">
        <v>3638</v>
      </c>
    </row>
    <row r="767" spans="1:13" ht="15.75" customHeight="1">
      <c r="A767" s="19">
        <v>765</v>
      </c>
      <c r="B767" s="122" t="s">
        <v>3629</v>
      </c>
      <c r="C767" s="20" t="s">
        <v>29</v>
      </c>
      <c r="D767" s="20" t="s">
        <v>30</v>
      </c>
      <c r="E767" s="20" t="s">
        <v>20</v>
      </c>
      <c r="F767" s="21">
        <v>216</v>
      </c>
      <c r="G767" s="21">
        <v>65</v>
      </c>
      <c r="H767" s="21">
        <v>70</v>
      </c>
      <c r="I767" s="22">
        <v>356</v>
      </c>
      <c r="J767" s="108">
        <v>117</v>
      </c>
      <c r="K767" s="109">
        <v>0.59860000000000002</v>
      </c>
      <c r="L767" s="110" t="s">
        <v>3618</v>
      </c>
      <c r="M767" s="111" t="s">
        <v>3638</v>
      </c>
    </row>
    <row r="768" spans="1:13" ht="15.75" customHeight="1">
      <c r="A768" s="23">
        <v>766</v>
      </c>
      <c r="B768" s="122" t="s">
        <v>3629</v>
      </c>
      <c r="C768" s="24" t="s">
        <v>46</v>
      </c>
      <c r="D768" s="24" t="s">
        <v>38</v>
      </c>
      <c r="E768" s="24" t="s">
        <v>47</v>
      </c>
      <c r="F768" s="25">
        <v>90</v>
      </c>
      <c r="G768" s="25">
        <v>2</v>
      </c>
      <c r="H768" s="25"/>
      <c r="I768" s="22">
        <v>92</v>
      </c>
      <c r="J768" s="112">
        <v>30.7</v>
      </c>
      <c r="K768" s="113">
        <v>1.3684000000000001</v>
      </c>
      <c r="L768" s="114" t="s">
        <v>3619</v>
      </c>
      <c r="M768" s="115" t="s">
        <v>3639</v>
      </c>
    </row>
    <row r="769" spans="1:13" ht="15.75" customHeight="1">
      <c r="A769" s="19">
        <v>767</v>
      </c>
      <c r="B769" s="122" t="s">
        <v>3629</v>
      </c>
      <c r="C769" s="20" t="s">
        <v>120</v>
      </c>
      <c r="D769" s="20" t="s">
        <v>28</v>
      </c>
      <c r="E769" s="20" t="s">
        <v>121</v>
      </c>
      <c r="F769" s="21">
        <v>80</v>
      </c>
      <c r="G769" s="21">
        <v>5</v>
      </c>
      <c r="H769" s="21"/>
      <c r="I769" s="22">
        <v>85</v>
      </c>
      <c r="J769" s="108">
        <v>28.3</v>
      </c>
      <c r="K769" s="113">
        <v>1.2914000000000001</v>
      </c>
      <c r="L769" s="114" t="s">
        <v>3619</v>
      </c>
      <c r="M769" s="115" t="s">
        <v>3639</v>
      </c>
    </row>
    <row r="770" spans="1:13" ht="15.75" customHeight="1">
      <c r="A770" s="23">
        <v>768</v>
      </c>
      <c r="B770" s="122" t="s">
        <v>3629</v>
      </c>
      <c r="C770" s="24" t="s">
        <v>44</v>
      </c>
      <c r="D770" s="24" t="s">
        <v>38</v>
      </c>
      <c r="E770" s="24" t="s">
        <v>45</v>
      </c>
      <c r="F770" s="25">
        <v>5</v>
      </c>
      <c r="G770" s="25"/>
      <c r="H770" s="25">
        <v>80</v>
      </c>
      <c r="I770" s="22">
        <v>85</v>
      </c>
      <c r="J770" s="112">
        <v>28.3</v>
      </c>
      <c r="K770" s="113">
        <v>1.2914000000000001</v>
      </c>
      <c r="L770" s="114" t="s">
        <v>3619</v>
      </c>
      <c r="M770" s="115" t="s">
        <v>3639</v>
      </c>
    </row>
    <row r="771" spans="1:13" ht="15.75" customHeight="1">
      <c r="A771" s="19">
        <v>769</v>
      </c>
      <c r="B771" s="122" t="s">
        <v>3629</v>
      </c>
      <c r="C771" s="20" t="s">
        <v>85</v>
      </c>
      <c r="D771" s="20" t="s">
        <v>28</v>
      </c>
      <c r="E771" s="20" t="s">
        <v>57</v>
      </c>
      <c r="F771" s="21">
        <v>5</v>
      </c>
      <c r="G771" s="21">
        <v>70</v>
      </c>
      <c r="H771" s="21"/>
      <c r="I771" s="22">
        <v>85</v>
      </c>
      <c r="J771" s="108">
        <v>25</v>
      </c>
      <c r="K771" s="113">
        <v>1.2754000000000001</v>
      </c>
      <c r="L771" s="114" t="s">
        <v>3619</v>
      </c>
      <c r="M771" s="115" t="s">
        <v>3639</v>
      </c>
    </row>
    <row r="772" spans="1:13" ht="15.75" customHeight="1">
      <c r="A772" s="23">
        <v>770</v>
      </c>
      <c r="B772" s="122" t="s">
        <v>3629</v>
      </c>
      <c r="C772" s="24" t="s">
        <v>86</v>
      </c>
      <c r="D772" s="24" t="s">
        <v>69</v>
      </c>
      <c r="E772" s="24" t="s">
        <v>87</v>
      </c>
      <c r="F772" s="25">
        <v>11</v>
      </c>
      <c r="G772" s="25">
        <v>1</v>
      </c>
      <c r="H772" s="25"/>
      <c r="I772" s="22">
        <v>12</v>
      </c>
      <c r="J772" s="112">
        <v>4</v>
      </c>
      <c r="K772" s="113">
        <v>1.2416</v>
      </c>
      <c r="L772" s="114" t="s">
        <v>3619</v>
      </c>
      <c r="M772" s="115" t="s">
        <v>3639</v>
      </c>
    </row>
    <row r="773" spans="1:13" ht="15.75" customHeight="1">
      <c r="A773" s="19">
        <v>771</v>
      </c>
      <c r="B773" s="122" t="s">
        <v>3629</v>
      </c>
      <c r="C773" s="20" t="s">
        <v>27</v>
      </c>
      <c r="D773" s="20" t="s">
        <v>28</v>
      </c>
      <c r="E773" s="20" t="s">
        <v>20</v>
      </c>
      <c r="F773" s="21">
        <v>5</v>
      </c>
      <c r="G773" s="21">
        <v>130</v>
      </c>
      <c r="H773" s="21">
        <v>10</v>
      </c>
      <c r="I773" s="22">
        <v>265</v>
      </c>
      <c r="J773" s="108">
        <v>48.3</v>
      </c>
      <c r="K773" s="113">
        <v>1.1955</v>
      </c>
      <c r="L773" s="114" t="s">
        <v>3619</v>
      </c>
      <c r="M773" s="115" t="s">
        <v>3639</v>
      </c>
    </row>
    <row r="774" spans="1:13" ht="15.75" customHeight="1">
      <c r="A774" s="23">
        <v>772</v>
      </c>
      <c r="B774" s="122" t="s">
        <v>3629</v>
      </c>
      <c r="C774" s="24" t="s">
        <v>2321</v>
      </c>
      <c r="D774" s="24" t="s">
        <v>28</v>
      </c>
      <c r="E774" s="24" t="s">
        <v>26</v>
      </c>
      <c r="F774" s="25"/>
      <c r="G774" s="25">
        <v>75</v>
      </c>
      <c r="H774" s="25">
        <v>10</v>
      </c>
      <c r="I774" s="22">
        <v>115</v>
      </c>
      <c r="J774" s="112">
        <v>28.3</v>
      </c>
      <c r="K774" s="113">
        <v>1.1735</v>
      </c>
      <c r="L774" s="114" t="s">
        <v>3619</v>
      </c>
      <c r="M774" s="115" t="s">
        <v>3639</v>
      </c>
    </row>
    <row r="775" spans="1:13" ht="15.75" customHeight="1">
      <c r="A775" s="19">
        <v>773</v>
      </c>
      <c r="B775" s="122" t="s">
        <v>3629</v>
      </c>
      <c r="C775" s="20" t="s">
        <v>70</v>
      </c>
      <c r="D775" s="20" t="s">
        <v>28</v>
      </c>
      <c r="E775" s="20" t="s">
        <v>32</v>
      </c>
      <c r="F775" s="21">
        <v>96</v>
      </c>
      <c r="G775" s="21">
        <v>10</v>
      </c>
      <c r="H775" s="21">
        <v>5</v>
      </c>
      <c r="I775" s="22">
        <v>231</v>
      </c>
      <c r="J775" s="108">
        <v>37</v>
      </c>
      <c r="K775" s="113">
        <v>1.1289</v>
      </c>
      <c r="L775" s="114" t="s">
        <v>3619</v>
      </c>
      <c r="M775" s="115" t="s">
        <v>3639</v>
      </c>
    </row>
    <row r="776" spans="1:13" ht="15.75" customHeight="1">
      <c r="A776" s="23">
        <v>774</v>
      </c>
      <c r="B776" s="122" t="s">
        <v>3629</v>
      </c>
      <c r="C776" s="24" t="s">
        <v>49</v>
      </c>
      <c r="D776" s="24" t="s">
        <v>38</v>
      </c>
      <c r="E776" s="24" t="s">
        <v>50</v>
      </c>
      <c r="F776" s="25">
        <v>115</v>
      </c>
      <c r="G776" s="25">
        <v>21</v>
      </c>
      <c r="H776" s="25"/>
      <c r="I776" s="22">
        <v>136</v>
      </c>
      <c r="J776" s="112">
        <v>45.3</v>
      </c>
      <c r="K776" s="113">
        <v>1.103</v>
      </c>
      <c r="L776" s="114" t="s">
        <v>3619</v>
      </c>
      <c r="M776" s="115" t="s">
        <v>3639</v>
      </c>
    </row>
    <row r="777" spans="1:13" ht="15.75" customHeight="1">
      <c r="A777" s="19">
        <v>775</v>
      </c>
      <c r="B777" s="122" t="s">
        <v>3629</v>
      </c>
      <c r="C777" s="20" t="s">
        <v>73</v>
      </c>
      <c r="D777" s="20" t="s">
        <v>69</v>
      </c>
      <c r="E777" s="20" t="s">
        <v>22</v>
      </c>
      <c r="F777" s="21">
        <v>10</v>
      </c>
      <c r="G777" s="21">
        <v>2</v>
      </c>
      <c r="H777" s="21"/>
      <c r="I777" s="22">
        <v>12</v>
      </c>
      <c r="J777" s="108">
        <v>4</v>
      </c>
      <c r="K777" s="113">
        <v>1.0801000000000001</v>
      </c>
      <c r="L777" s="114" t="s">
        <v>3619</v>
      </c>
      <c r="M777" s="115" t="s">
        <v>3639</v>
      </c>
    </row>
    <row r="778" spans="1:13" ht="15.75" customHeight="1">
      <c r="A778" s="23">
        <v>776</v>
      </c>
      <c r="B778" s="122" t="s">
        <v>3629</v>
      </c>
      <c r="C778" s="24" t="s">
        <v>58</v>
      </c>
      <c r="D778" s="24" t="s">
        <v>38</v>
      </c>
      <c r="E778" s="24" t="s">
        <v>59</v>
      </c>
      <c r="F778" s="25">
        <v>90</v>
      </c>
      <c r="G778" s="25">
        <v>20</v>
      </c>
      <c r="H778" s="25"/>
      <c r="I778" s="22">
        <v>110</v>
      </c>
      <c r="J778" s="112">
        <v>36.700000000000003</v>
      </c>
      <c r="K778" s="113">
        <v>1.0523</v>
      </c>
      <c r="L778" s="114" t="s">
        <v>3619</v>
      </c>
      <c r="M778" s="115" t="s">
        <v>3639</v>
      </c>
    </row>
    <row r="779" spans="1:13" ht="15.75" customHeight="1">
      <c r="A779" s="19">
        <v>777</v>
      </c>
      <c r="B779" s="122" t="s">
        <v>3629</v>
      </c>
      <c r="C779" s="20" t="s">
        <v>33</v>
      </c>
      <c r="D779" s="20" t="s">
        <v>30</v>
      </c>
      <c r="E779" s="20" t="s">
        <v>22</v>
      </c>
      <c r="F779" s="21">
        <v>7</v>
      </c>
      <c r="G779" s="21"/>
      <c r="H779" s="21">
        <v>30</v>
      </c>
      <c r="I779" s="22">
        <v>37</v>
      </c>
      <c r="J779" s="108">
        <v>12.3</v>
      </c>
      <c r="K779" s="113">
        <v>1.0389999999999999</v>
      </c>
      <c r="L779" s="114" t="s">
        <v>3619</v>
      </c>
      <c r="M779" s="115" t="s">
        <v>3639</v>
      </c>
    </row>
    <row r="780" spans="1:13" ht="15.75" customHeight="1">
      <c r="A780" s="23">
        <v>778</v>
      </c>
      <c r="B780" s="122" t="s">
        <v>3629</v>
      </c>
      <c r="C780" s="24" t="s">
        <v>102</v>
      </c>
      <c r="D780" s="24" t="s">
        <v>103</v>
      </c>
      <c r="E780" s="24" t="s">
        <v>104</v>
      </c>
      <c r="F780" s="25">
        <v>20</v>
      </c>
      <c r="G780" s="25">
        <v>75</v>
      </c>
      <c r="H780" s="25"/>
      <c r="I780" s="22">
        <v>95</v>
      </c>
      <c r="J780" s="112">
        <v>31.7</v>
      </c>
      <c r="K780" s="113">
        <v>1.0014000000000001</v>
      </c>
      <c r="L780" s="114" t="s">
        <v>3619</v>
      </c>
      <c r="M780" s="115" t="s">
        <v>3639</v>
      </c>
    </row>
    <row r="781" spans="1:13" ht="15.75" customHeight="1">
      <c r="A781" s="19">
        <v>779</v>
      </c>
      <c r="B781" s="122" t="s">
        <v>3629</v>
      </c>
      <c r="C781" s="20" t="s">
        <v>52</v>
      </c>
      <c r="D781" s="20" t="s">
        <v>38</v>
      </c>
      <c r="E781" s="20" t="s">
        <v>53</v>
      </c>
      <c r="F781" s="21">
        <v>60</v>
      </c>
      <c r="G781" s="21">
        <v>20</v>
      </c>
      <c r="H781" s="21"/>
      <c r="I781" s="22">
        <v>80</v>
      </c>
      <c r="J781" s="108">
        <v>26.7</v>
      </c>
      <c r="K781" s="113">
        <v>0.93540000000000001</v>
      </c>
      <c r="L781" s="114" t="s">
        <v>3619</v>
      </c>
      <c r="M781" s="115" t="s">
        <v>3639</v>
      </c>
    </row>
    <row r="782" spans="1:13" ht="15.75" customHeight="1">
      <c r="A782" s="23">
        <v>780</v>
      </c>
      <c r="B782" s="122" t="s">
        <v>3629</v>
      </c>
      <c r="C782" s="24" t="s">
        <v>72</v>
      </c>
      <c r="D782" s="24" t="s">
        <v>19</v>
      </c>
      <c r="E782" s="24" t="s">
        <v>47</v>
      </c>
      <c r="F782" s="25">
        <v>50</v>
      </c>
      <c r="G782" s="25">
        <v>20</v>
      </c>
      <c r="H782" s="25"/>
      <c r="I782" s="22">
        <v>70</v>
      </c>
      <c r="J782" s="112">
        <v>23.3</v>
      </c>
      <c r="K782" s="113">
        <v>0.88060000000000005</v>
      </c>
      <c r="L782" s="114" t="s">
        <v>3619</v>
      </c>
      <c r="M782" s="115" t="s">
        <v>3639</v>
      </c>
    </row>
    <row r="783" spans="1:13" ht="15.75" customHeight="1">
      <c r="A783" s="19">
        <v>781</v>
      </c>
      <c r="B783" s="122" t="s">
        <v>3629</v>
      </c>
      <c r="C783" s="20" t="s">
        <v>54</v>
      </c>
      <c r="D783" s="20" t="s">
        <v>38</v>
      </c>
      <c r="E783" s="20" t="s">
        <v>55</v>
      </c>
      <c r="F783" s="21">
        <v>60</v>
      </c>
      <c r="G783" s="21">
        <v>30</v>
      </c>
      <c r="H783" s="21"/>
      <c r="I783" s="22">
        <v>90</v>
      </c>
      <c r="J783" s="108">
        <v>30</v>
      </c>
      <c r="K783" s="113">
        <v>0.8165</v>
      </c>
      <c r="L783" s="114" t="s">
        <v>3619</v>
      </c>
      <c r="M783" s="115" t="s">
        <v>3639</v>
      </c>
    </row>
    <row r="784" spans="1:13" ht="15.75" customHeight="1">
      <c r="A784" s="23">
        <v>782</v>
      </c>
      <c r="B784" s="122" t="s">
        <v>3629</v>
      </c>
      <c r="C784" s="24" t="s">
        <v>2319</v>
      </c>
      <c r="D784" s="24" t="s">
        <v>69</v>
      </c>
      <c r="E784" s="24" t="s">
        <v>26</v>
      </c>
      <c r="F784" s="25"/>
      <c r="G784" s="25">
        <v>10</v>
      </c>
      <c r="H784" s="25">
        <v>5</v>
      </c>
      <c r="I784" s="22">
        <v>15</v>
      </c>
      <c r="J784" s="112">
        <v>5</v>
      </c>
      <c r="K784" s="113">
        <v>0.8165</v>
      </c>
      <c r="L784" s="114" t="s">
        <v>3619</v>
      </c>
      <c r="M784" s="115" t="s">
        <v>3639</v>
      </c>
    </row>
    <row r="785" spans="1:13" ht="15.75" customHeight="1">
      <c r="A785" s="19">
        <v>783</v>
      </c>
      <c r="B785" s="122" t="s">
        <v>3629</v>
      </c>
      <c r="C785" s="20" t="s">
        <v>2354</v>
      </c>
      <c r="D785" s="20" t="s">
        <v>75</v>
      </c>
      <c r="E785" s="20" t="s">
        <v>50</v>
      </c>
      <c r="F785" s="21"/>
      <c r="G785" s="21">
        <v>10</v>
      </c>
      <c r="H785" s="21">
        <v>20</v>
      </c>
      <c r="I785" s="22">
        <v>30</v>
      </c>
      <c r="J785" s="108">
        <v>10</v>
      </c>
      <c r="K785" s="113">
        <v>0.8165</v>
      </c>
      <c r="L785" s="114" t="s">
        <v>3619</v>
      </c>
      <c r="M785" s="115" t="s">
        <v>3639</v>
      </c>
    </row>
    <row r="786" spans="1:13" ht="15.75" customHeight="1">
      <c r="A786" s="23">
        <v>784</v>
      </c>
      <c r="B786" s="122" t="s">
        <v>3629</v>
      </c>
      <c r="C786" s="24" t="s">
        <v>37</v>
      </c>
      <c r="D786" s="24" t="s">
        <v>38</v>
      </c>
      <c r="E786" s="24" t="s">
        <v>39</v>
      </c>
      <c r="F786" s="25">
        <v>19</v>
      </c>
      <c r="G786" s="25">
        <v>10</v>
      </c>
      <c r="H786" s="25"/>
      <c r="I786" s="22">
        <v>29</v>
      </c>
      <c r="J786" s="112">
        <v>9.6999999999999993</v>
      </c>
      <c r="K786" s="113">
        <v>0.80279999999999996</v>
      </c>
      <c r="L786" s="114" t="s">
        <v>3619</v>
      </c>
      <c r="M786" s="115" t="s">
        <v>3639</v>
      </c>
    </row>
    <row r="787" spans="1:13" ht="15.75" customHeight="1">
      <c r="A787" s="19">
        <v>785</v>
      </c>
      <c r="B787" s="122" t="s">
        <v>3629</v>
      </c>
      <c r="C787" s="20" t="s">
        <v>2309</v>
      </c>
      <c r="D787" s="20" t="s">
        <v>28</v>
      </c>
      <c r="E787" s="20" t="s">
        <v>22</v>
      </c>
      <c r="F787" s="21"/>
      <c r="G787" s="21">
        <v>30</v>
      </c>
      <c r="H787" s="21">
        <v>50</v>
      </c>
      <c r="I787" s="22">
        <v>90</v>
      </c>
      <c r="J787" s="108">
        <v>26.7</v>
      </c>
      <c r="K787" s="113">
        <v>0.77059999999999995</v>
      </c>
      <c r="L787" s="114" t="s">
        <v>3619</v>
      </c>
      <c r="M787" s="115" t="s">
        <v>3639</v>
      </c>
    </row>
    <row r="788" spans="1:13" ht="15.75" customHeight="1">
      <c r="A788" s="23">
        <v>786</v>
      </c>
      <c r="B788" s="122" t="s">
        <v>3629</v>
      </c>
      <c r="C788" s="24" t="s">
        <v>2322</v>
      </c>
      <c r="D788" s="24" t="s">
        <v>75</v>
      </c>
      <c r="E788" s="24" t="s">
        <v>87</v>
      </c>
      <c r="F788" s="25"/>
      <c r="G788" s="25">
        <v>30</v>
      </c>
      <c r="H788" s="25">
        <v>20</v>
      </c>
      <c r="I788" s="22">
        <v>50</v>
      </c>
      <c r="J788" s="112">
        <v>16.7</v>
      </c>
      <c r="K788" s="113">
        <v>0.74829999999999997</v>
      </c>
      <c r="L788" s="114" t="s">
        <v>3619</v>
      </c>
      <c r="M788" s="115" t="s">
        <v>3639</v>
      </c>
    </row>
    <row r="789" spans="1:13" ht="15.75" customHeight="1">
      <c r="A789" s="19">
        <v>787</v>
      </c>
      <c r="B789" s="122" t="s">
        <v>3629</v>
      </c>
      <c r="C789" s="20" t="s">
        <v>2323</v>
      </c>
      <c r="D789" s="20" t="s">
        <v>75</v>
      </c>
      <c r="E789" s="20" t="s">
        <v>53</v>
      </c>
      <c r="F789" s="21"/>
      <c r="G789" s="21">
        <v>10</v>
      </c>
      <c r="H789" s="21">
        <v>15</v>
      </c>
      <c r="I789" s="22">
        <v>25</v>
      </c>
      <c r="J789" s="108">
        <v>8.3000000000000007</v>
      </c>
      <c r="K789" s="113">
        <v>0.74829999999999997</v>
      </c>
      <c r="L789" s="114" t="s">
        <v>3619</v>
      </c>
      <c r="M789" s="115" t="s">
        <v>3639</v>
      </c>
    </row>
    <row r="790" spans="1:13" ht="15.75" customHeight="1">
      <c r="A790" s="23">
        <v>788</v>
      </c>
      <c r="B790" s="122" t="s">
        <v>3629</v>
      </c>
      <c r="C790" s="24" t="s">
        <v>74</v>
      </c>
      <c r="D790" s="24" t="s">
        <v>75</v>
      </c>
      <c r="E790" s="24" t="s">
        <v>47</v>
      </c>
      <c r="F790" s="25">
        <v>1</v>
      </c>
      <c r="G790" s="25">
        <v>68</v>
      </c>
      <c r="H790" s="25">
        <v>50</v>
      </c>
      <c r="I790" s="22">
        <v>119</v>
      </c>
      <c r="J790" s="112">
        <v>39.700000000000003</v>
      </c>
      <c r="K790" s="113">
        <v>0.7137</v>
      </c>
      <c r="L790" s="114" t="s">
        <v>3619</v>
      </c>
      <c r="M790" s="115" t="s">
        <v>3639</v>
      </c>
    </row>
    <row r="791" spans="1:13" ht="15.75" customHeight="1">
      <c r="A791" s="19">
        <v>789</v>
      </c>
      <c r="B791" s="122" t="s">
        <v>3629</v>
      </c>
      <c r="C791" s="20" t="s">
        <v>2338</v>
      </c>
      <c r="D791" s="20" t="s">
        <v>2339</v>
      </c>
      <c r="E791" s="20" t="s">
        <v>22</v>
      </c>
      <c r="F791" s="21"/>
      <c r="G791" s="21">
        <v>22</v>
      </c>
      <c r="H791" s="21">
        <v>20</v>
      </c>
      <c r="I791" s="22">
        <v>42</v>
      </c>
      <c r="J791" s="108">
        <v>14</v>
      </c>
      <c r="K791" s="113">
        <v>0.70950000000000002</v>
      </c>
      <c r="L791" s="114" t="s">
        <v>3619</v>
      </c>
      <c r="M791" s="115" t="s">
        <v>3639</v>
      </c>
    </row>
    <row r="792" spans="1:13" ht="15.75" customHeight="1">
      <c r="A792" s="23">
        <v>790</v>
      </c>
      <c r="B792" s="122" t="s">
        <v>3629</v>
      </c>
      <c r="C792" s="24" t="s">
        <v>60</v>
      </c>
      <c r="D792" s="24" t="s">
        <v>38</v>
      </c>
      <c r="E792" s="24" t="s">
        <v>61</v>
      </c>
      <c r="F792" s="25">
        <v>19</v>
      </c>
      <c r="G792" s="25">
        <v>20</v>
      </c>
      <c r="H792" s="25"/>
      <c r="I792" s="22">
        <v>39</v>
      </c>
      <c r="J792" s="112">
        <v>13</v>
      </c>
      <c r="K792" s="113">
        <v>0.70779999999999998</v>
      </c>
      <c r="L792" s="114" t="s">
        <v>3619</v>
      </c>
      <c r="M792" s="115" t="s">
        <v>3639</v>
      </c>
    </row>
    <row r="793" spans="1:13" ht="15.75" customHeight="1">
      <c r="A793" s="19">
        <v>791</v>
      </c>
      <c r="B793" s="122" t="s">
        <v>3629</v>
      </c>
      <c r="C793" s="20" t="s">
        <v>152</v>
      </c>
      <c r="D793" s="20" t="s">
        <v>75</v>
      </c>
      <c r="E793" s="20" t="s">
        <v>153</v>
      </c>
      <c r="F793" s="21">
        <v>2</v>
      </c>
      <c r="G793" s="21"/>
      <c r="H793" s="21">
        <v>2</v>
      </c>
      <c r="I793" s="22">
        <v>4</v>
      </c>
      <c r="J793" s="108">
        <v>1.3</v>
      </c>
      <c r="K793" s="113">
        <v>0.70709999999999995</v>
      </c>
      <c r="L793" s="114" t="s">
        <v>3619</v>
      </c>
      <c r="M793" s="115" t="s">
        <v>3639</v>
      </c>
    </row>
    <row r="794" spans="1:13" ht="15.75" customHeight="1">
      <c r="A794" s="23">
        <v>792</v>
      </c>
      <c r="B794" s="122" t="s">
        <v>3629</v>
      </c>
      <c r="C794" s="24" t="s">
        <v>117</v>
      </c>
      <c r="D794" s="24" t="s">
        <v>75</v>
      </c>
      <c r="E794" s="24" t="s">
        <v>118</v>
      </c>
      <c r="F794" s="25">
        <v>100</v>
      </c>
      <c r="G794" s="25">
        <v>250</v>
      </c>
      <c r="H794" s="25">
        <v>100</v>
      </c>
      <c r="I794" s="22">
        <v>450</v>
      </c>
      <c r="J794" s="112">
        <v>150</v>
      </c>
      <c r="K794" s="116">
        <v>0.47139999999999999</v>
      </c>
      <c r="L794" s="117" t="s">
        <v>3620</v>
      </c>
      <c r="M794" s="118" t="s">
        <v>3640</v>
      </c>
    </row>
    <row r="795" spans="1:13" ht="15.75" customHeight="1">
      <c r="A795" s="19">
        <v>793</v>
      </c>
      <c r="B795" s="122" t="s">
        <v>3629</v>
      </c>
      <c r="C795" s="20" t="s">
        <v>122</v>
      </c>
      <c r="D795" s="20" t="s">
        <v>123</v>
      </c>
      <c r="E795" s="20" t="s">
        <v>124</v>
      </c>
      <c r="F795" s="21">
        <v>520</v>
      </c>
      <c r="G795" s="21">
        <v>407</v>
      </c>
      <c r="H795" s="21">
        <v>158</v>
      </c>
      <c r="I795" s="22">
        <v>1115</v>
      </c>
      <c r="J795" s="108">
        <v>361.7</v>
      </c>
      <c r="K795" s="116">
        <v>0.41810000000000003</v>
      </c>
      <c r="L795" s="117" t="s">
        <v>3620</v>
      </c>
      <c r="M795" s="118" t="s">
        <v>3640</v>
      </c>
    </row>
    <row r="796" spans="1:13" ht="15.75" customHeight="1">
      <c r="A796" s="23">
        <v>794</v>
      </c>
      <c r="B796" s="122" t="s">
        <v>3629</v>
      </c>
      <c r="C796" s="24" t="s">
        <v>67</v>
      </c>
      <c r="D796" s="24" t="s">
        <v>30</v>
      </c>
      <c r="E796" s="24" t="s">
        <v>57</v>
      </c>
      <c r="F796" s="25">
        <v>200</v>
      </c>
      <c r="G796" s="25">
        <v>80</v>
      </c>
      <c r="H796" s="25">
        <v>120</v>
      </c>
      <c r="I796" s="22">
        <v>420</v>
      </c>
      <c r="J796" s="112">
        <v>133.30000000000001</v>
      </c>
      <c r="K796" s="116">
        <v>0.37419999999999998</v>
      </c>
      <c r="L796" s="117" t="s">
        <v>3620</v>
      </c>
      <c r="M796" s="118" t="s">
        <v>3640</v>
      </c>
    </row>
    <row r="797" spans="1:13" ht="15.75" customHeight="1">
      <c r="A797" s="19">
        <v>795</v>
      </c>
      <c r="B797" s="122" t="s">
        <v>3629</v>
      </c>
      <c r="C797" s="20" t="s">
        <v>71</v>
      </c>
      <c r="D797" s="20" t="s">
        <v>19</v>
      </c>
      <c r="E797" s="20" t="s">
        <v>32</v>
      </c>
      <c r="F797" s="21">
        <v>273</v>
      </c>
      <c r="G797" s="21">
        <v>260</v>
      </c>
      <c r="H797" s="21">
        <v>100</v>
      </c>
      <c r="I797" s="22">
        <v>633</v>
      </c>
      <c r="J797" s="108">
        <v>211</v>
      </c>
      <c r="K797" s="116">
        <v>0.37280000000000002</v>
      </c>
      <c r="L797" s="117" t="s">
        <v>3620</v>
      </c>
      <c r="M797" s="118" t="s">
        <v>3640</v>
      </c>
    </row>
    <row r="798" spans="1:13" ht="15.75" customHeight="1">
      <c r="A798" s="23">
        <v>796</v>
      </c>
      <c r="B798" s="122" t="s">
        <v>3629</v>
      </c>
      <c r="C798" s="24" t="s">
        <v>23</v>
      </c>
      <c r="D798" s="24" t="s">
        <v>19</v>
      </c>
      <c r="E798" s="24" t="s">
        <v>24</v>
      </c>
      <c r="F798" s="25">
        <v>1550</v>
      </c>
      <c r="G798" s="25">
        <v>880</v>
      </c>
      <c r="H798" s="25">
        <v>650</v>
      </c>
      <c r="I798" s="22">
        <v>3130</v>
      </c>
      <c r="J798" s="112">
        <v>1026.7</v>
      </c>
      <c r="K798" s="116">
        <v>0.37190000000000001</v>
      </c>
      <c r="L798" s="117" t="s">
        <v>3620</v>
      </c>
      <c r="M798" s="118" t="s">
        <v>3640</v>
      </c>
    </row>
    <row r="799" spans="1:13" ht="15.75" customHeight="1">
      <c r="A799" s="19">
        <v>797</v>
      </c>
      <c r="B799" s="122" t="s">
        <v>3629</v>
      </c>
      <c r="C799" s="20" t="s">
        <v>36</v>
      </c>
      <c r="D799" s="20" t="s">
        <v>30</v>
      </c>
      <c r="E799" s="20" t="s">
        <v>26</v>
      </c>
      <c r="F799" s="21">
        <v>290</v>
      </c>
      <c r="G799" s="21">
        <v>391</v>
      </c>
      <c r="H799" s="21">
        <v>150</v>
      </c>
      <c r="I799" s="22">
        <v>881</v>
      </c>
      <c r="J799" s="108">
        <v>277</v>
      </c>
      <c r="K799" s="116">
        <v>0.35670000000000002</v>
      </c>
      <c r="L799" s="117" t="s">
        <v>3620</v>
      </c>
      <c r="M799" s="118" t="s">
        <v>3640</v>
      </c>
    </row>
    <row r="800" spans="1:13" ht="15.75" customHeight="1">
      <c r="A800" s="23">
        <v>798</v>
      </c>
      <c r="B800" s="122" t="s">
        <v>3629</v>
      </c>
      <c r="C800" s="24" t="s">
        <v>150</v>
      </c>
      <c r="D800" s="24" t="s">
        <v>75</v>
      </c>
      <c r="E800" s="24" t="s">
        <v>22</v>
      </c>
      <c r="F800" s="25">
        <v>50</v>
      </c>
      <c r="G800" s="25">
        <v>75</v>
      </c>
      <c r="H800" s="25">
        <v>107</v>
      </c>
      <c r="I800" s="22">
        <v>252</v>
      </c>
      <c r="J800" s="112">
        <v>77.3</v>
      </c>
      <c r="K800" s="116">
        <v>0.30170000000000002</v>
      </c>
      <c r="L800" s="117" t="s">
        <v>3620</v>
      </c>
      <c r="M800" s="118" t="s">
        <v>3640</v>
      </c>
    </row>
    <row r="801" spans="1:13" ht="15.75" customHeight="1">
      <c r="A801" s="19">
        <v>799</v>
      </c>
      <c r="B801" s="122" t="s">
        <v>3629</v>
      </c>
      <c r="C801" s="20" t="s">
        <v>56</v>
      </c>
      <c r="D801" s="20" t="s">
        <v>38</v>
      </c>
      <c r="E801" s="20" t="s">
        <v>57</v>
      </c>
      <c r="F801" s="21">
        <v>500</v>
      </c>
      <c r="G801" s="21">
        <v>500</v>
      </c>
      <c r="H801" s="21">
        <v>240</v>
      </c>
      <c r="I801" s="22">
        <v>1240</v>
      </c>
      <c r="J801" s="108">
        <v>413.3</v>
      </c>
      <c r="K801" s="116">
        <v>0.29649999999999999</v>
      </c>
      <c r="L801" s="117" t="s">
        <v>3620</v>
      </c>
      <c r="M801" s="118" t="s">
        <v>3640</v>
      </c>
    </row>
    <row r="802" spans="1:13" ht="15.75" customHeight="1">
      <c r="A802" s="23">
        <v>800</v>
      </c>
      <c r="B802" s="122" t="s">
        <v>3629</v>
      </c>
      <c r="C802" s="24" t="s">
        <v>25</v>
      </c>
      <c r="D802" s="24" t="s">
        <v>19</v>
      </c>
      <c r="E802" s="24" t="s">
        <v>26</v>
      </c>
      <c r="F802" s="25">
        <v>587</v>
      </c>
      <c r="G802" s="25">
        <v>480</v>
      </c>
      <c r="H802" s="25">
        <v>275</v>
      </c>
      <c r="I802" s="22">
        <v>1352</v>
      </c>
      <c r="J802" s="112">
        <v>447.3</v>
      </c>
      <c r="K802" s="116">
        <v>0.28939999999999999</v>
      </c>
      <c r="L802" s="117" t="s">
        <v>3620</v>
      </c>
      <c r="M802" s="118" t="s">
        <v>3640</v>
      </c>
    </row>
    <row r="803" spans="1:13" ht="15.75" customHeight="1">
      <c r="A803" s="19">
        <v>801</v>
      </c>
      <c r="B803" s="122" t="s">
        <v>3629</v>
      </c>
      <c r="C803" s="20" t="s">
        <v>116</v>
      </c>
      <c r="D803" s="20" t="s">
        <v>75</v>
      </c>
      <c r="E803" s="20" t="s">
        <v>20</v>
      </c>
      <c r="F803" s="21">
        <v>118</v>
      </c>
      <c r="G803" s="21">
        <v>161</v>
      </c>
      <c r="H803" s="21">
        <v>160</v>
      </c>
      <c r="I803" s="22">
        <v>439</v>
      </c>
      <c r="J803" s="108">
        <v>146.30000000000001</v>
      </c>
      <c r="K803" s="116">
        <v>0.13689999999999999</v>
      </c>
      <c r="L803" s="117" t="s">
        <v>3620</v>
      </c>
      <c r="M803" s="118" t="s">
        <v>3640</v>
      </c>
    </row>
    <row r="804" spans="1:13" ht="15.75" customHeight="1">
      <c r="A804" s="23">
        <v>802</v>
      </c>
      <c r="B804" s="122" t="s">
        <v>3629</v>
      </c>
      <c r="C804" s="24" t="s">
        <v>140</v>
      </c>
      <c r="D804" s="24" t="s">
        <v>75</v>
      </c>
      <c r="E804" s="24" t="s">
        <v>141</v>
      </c>
      <c r="F804" s="25">
        <v>50</v>
      </c>
      <c r="G804" s="25">
        <v>70</v>
      </c>
      <c r="H804" s="25">
        <v>60</v>
      </c>
      <c r="I804" s="22">
        <v>180</v>
      </c>
      <c r="J804" s="112">
        <v>60</v>
      </c>
      <c r="K804" s="116">
        <v>0.1361</v>
      </c>
      <c r="L804" s="117" t="s">
        <v>3620</v>
      </c>
      <c r="M804" s="118" t="s">
        <v>3640</v>
      </c>
    </row>
    <row r="805" spans="1:13" ht="15.75" customHeight="1">
      <c r="A805" s="19">
        <v>803</v>
      </c>
      <c r="B805" s="122" t="s">
        <v>3629</v>
      </c>
      <c r="C805" s="20" t="s">
        <v>48</v>
      </c>
      <c r="D805" s="20" t="s">
        <v>38</v>
      </c>
      <c r="E805" s="20" t="s">
        <v>24</v>
      </c>
      <c r="F805" s="21">
        <v>30</v>
      </c>
      <c r="G805" s="21">
        <v>30</v>
      </c>
      <c r="H805" s="21">
        <v>10</v>
      </c>
      <c r="I805" s="22">
        <v>90</v>
      </c>
      <c r="J805" s="108">
        <v>23.3</v>
      </c>
      <c r="K805" s="119">
        <v>0.40410000000000001</v>
      </c>
      <c r="L805" s="120" t="s">
        <v>3621</v>
      </c>
      <c r="M805" s="121" t="s">
        <v>3641</v>
      </c>
    </row>
    <row r="806" spans="1:13" ht="15.75" customHeight="1">
      <c r="A806" s="23">
        <v>804</v>
      </c>
      <c r="B806" s="123" t="s">
        <v>3630</v>
      </c>
      <c r="C806" s="24" t="s">
        <v>1432</v>
      </c>
      <c r="D806" s="24" t="s">
        <v>1433</v>
      </c>
      <c r="E806" s="24" t="s">
        <v>284</v>
      </c>
      <c r="F806" s="25">
        <v>481</v>
      </c>
      <c r="G806" s="25">
        <v>12</v>
      </c>
      <c r="H806" s="25"/>
      <c r="I806" s="22">
        <v>493</v>
      </c>
      <c r="J806" s="112">
        <v>164.3</v>
      </c>
      <c r="K806" s="109">
        <v>1.3629</v>
      </c>
      <c r="L806" s="110" t="s">
        <v>3618</v>
      </c>
      <c r="M806" s="111" t="s">
        <v>3638</v>
      </c>
    </row>
    <row r="807" spans="1:13" ht="15.75" customHeight="1">
      <c r="A807" s="19">
        <v>805</v>
      </c>
      <c r="B807" s="123" t="s">
        <v>3630</v>
      </c>
      <c r="C807" s="20" t="s">
        <v>2766</v>
      </c>
      <c r="D807" s="20" t="s">
        <v>2767</v>
      </c>
      <c r="E807" s="20" t="s">
        <v>2768</v>
      </c>
      <c r="F807" s="21"/>
      <c r="G807" s="21">
        <v>392</v>
      </c>
      <c r="H807" s="21">
        <v>39</v>
      </c>
      <c r="I807" s="22">
        <v>431</v>
      </c>
      <c r="J807" s="108">
        <v>143.69999999999999</v>
      </c>
      <c r="K807" s="109">
        <v>1.2273000000000001</v>
      </c>
      <c r="L807" s="110" t="s">
        <v>3618</v>
      </c>
      <c r="M807" s="111" t="s">
        <v>3638</v>
      </c>
    </row>
    <row r="808" spans="1:13" ht="15.75" customHeight="1">
      <c r="A808" s="23">
        <v>806</v>
      </c>
      <c r="B808" s="123" t="s">
        <v>3630</v>
      </c>
      <c r="C808" s="24" t="s">
        <v>1426</v>
      </c>
      <c r="D808" s="24" t="s">
        <v>1406</v>
      </c>
      <c r="E808" s="24" t="s">
        <v>1425</v>
      </c>
      <c r="F808" s="25">
        <v>10</v>
      </c>
      <c r="G808" s="25">
        <v>175</v>
      </c>
      <c r="H808" s="25">
        <v>7</v>
      </c>
      <c r="I808" s="22">
        <v>192</v>
      </c>
      <c r="J808" s="112">
        <v>64</v>
      </c>
      <c r="K808" s="109">
        <v>1.2264999999999999</v>
      </c>
      <c r="L808" s="110" t="s">
        <v>3618</v>
      </c>
      <c r="M808" s="111" t="s">
        <v>3638</v>
      </c>
    </row>
    <row r="809" spans="1:13" ht="15.75" customHeight="1">
      <c r="A809" s="19">
        <v>807</v>
      </c>
      <c r="B809" s="123" t="s">
        <v>3630</v>
      </c>
      <c r="C809" s="20" t="s">
        <v>2780</v>
      </c>
      <c r="D809" s="20" t="s">
        <v>2781</v>
      </c>
      <c r="E809" s="20" t="s">
        <v>1411</v>
      </c>
      <c r="F809" s="21"/>
      <c r="G809" s="21">
        <v>80</v>
      </c>
      <c r="H809" s="21">
        <v>242</v>
      </c>
      <c r="I809" s="22">
        <v>322</v>
      </c>
      <c r="J809" s="108">
        <v>107.3</v>
      </c>
      <c r="K809" s="109">
        <v>0.93789999999999996</v>
      </c>
      <c r="L809" s="110" t="s">
        <v>3618</v>
      </c>
      <c r="M809" s="111" t="s">
        <v>3638</v>
      </c>
    </row>
    <row r="810" spans="1:13" ht="15.75" customHeight="1">
      <c r="A810" s="23">
        <v>808</v>
      </c>
      <c r="B810" s="123" t="s">
        <v>3630</v>
      </c>
      <c r="C810" s="24" t="s">
        <v>1450</v>
      </c>
      <c r="D810" s="24" t="s">
        <v>1451</v>
      </c>
      <c r="E810" s="24" t="s">
        <v>1447</v>
      </c>
      <c r="F810" s="25">
        <v>140</v>
      </c>
      <c r="G810" s="25">
        <v>50</v>
      </c>
      <c r="H810" s="25"/>
      <c r="I810" s="22">
        <v>190</v>
      </c>
      <c r="J810" s="112">
        <v>63.3</v>
      </c>
      <c r="K810" s="109">
        <v>0.91459999999999997</v>
      </c>
      <c r="L810" s="110" t="s">
        <v>3618</v>
      </c>
      <c r="M810" s="111" t="s">
        <v>3638</v>
      </c>
    </row>
    <row r="811" spans="1:13" ht="15.75" customHeight="1">
      <c r="A811" s="19">
        <v>809</v>
      </c>
      <c r="B811" s="123" t="s">
        <v>3630</v>
      </c>
      <c r="C811" s="20" t="s">
        <v>1409</v>
      </c>
      <c r="D811" s="20" t="s">
        <v>1410</v>
      </c>
      <c r="E811" s="20" t="s">
        <v>1411</v>
      </c>
      <c r="F811" s="21">
        <v>404</v>
      </c>
      <c r="G811" s="21">
        <v>11</v>
      </c>
      <c r="H811" s="21">
        <v>158</v>
      </c>
      <c r="I811" s="22">
        <v>573</v>
      </c>
      <c r="J811" s="108">
        <v>191</v>
      </c>
      <c r="K811" s="109">
        <v>0.8488</v>
      </c>
      <c r="L811" s="110" t="s">
        <v>3618</v>
      </c>
      <c r="M811" s="111" t="s">
        <v>3638</v>
      </c>
    </row>
    <row r="812" spans="1:13" ht="15.75" customHeight="1">
      <c r="A812" s="23">
        <v>810</v>
      </c>
      <c r="B812" s="123" t="s">
        <v>3630</v>
      </c>
      <c r="C812" s="24" t="s">
        <v>1414</v>
      </c>
      <c r="D812" s="24" t="s">
        <v>1415</v>
      </c>
      <c r="E812" s="24" t="s">
        <v>1396</v>
      </c>
      <c r="F812" s="25">
        <v>3033</v>
      </c>
      <c r="G812" s="25">
        <v>484</v>
      </c>
      <c r="H812" s="25">
        <v>986</v>
      </c>
      <c r="I812" s="22">
        <v>4614</v>
      </c>
      <c r="J812" s="112">
        <v>1501</v>
      </c>
      <c r="K812" s="109">
        <v>0.73450000000000004</v>
      </c>
      <c r="L812" s="110" t="s">
        <v>3618</v>
      </c>
      <c r="M812" s="111" t="s">
        <v>3638</v>
      </c>
    </row>
    <row r="813" spans="1:13" ht="15.75" customHeight="1">
      <c r="A813" s="19">
        <v>811</v>
      </c>
      <c r="B813" s="123" t="s">
        <v>3630</v>
      </c>
      <c r="C813" s="20" t="s">
        <v>1448</v>
      </c>
      <c r="D813" s="20" t="s">
        <v>1449</v>
      </c>
      <c r="E813" s="20" t="s">
        <v>1447</v>
      </c>
      <c r="F813" s="21">
        <v>202</v>
      </c>
      <c r="G813" s="21">
        <v>77</v>
      </c>
      <c r="H813" s="21">
        <v>50</v>
      </c>
      <c r="I813" s="22">
        <v>329</v>
      </c>
      <c r="J813" s="108">
        <v>109.7</v>
      </c>
      <c r="K813" s="109">
        <v>0.6038</v>
      </c>
      <c r="L813" s="110" t="s">
        <v>3618</v>
      </c>
      <c r="M813" s="111" t="s">
        <v>3638</v>
      </c>
    </row>
    <row r="814" spans="1:13" ht="15.75" customHeight="1">
      <c r="A814" s="23">
        <v>812</v>
      </c>
      <c r="B814" s="123" t="s">
        <v>3630</v>
      </c>
      <c r="C814" s="24" t="s">
        <v>1403</v>
      </c>
      <c r="D814" s="24" t="s">
        <v>1404</v>
      </c>
      <c r="E814" s="24" t="s">
        <v>284</v>
      </c>
      <c r="F814" s="25">
        <v>2276</v>
      </c>
      <c r="G814" s="25">
        <v>2598</v>
      </c>
      <c r="H814" s="25">
        <v>420</v>
      </c>
      <c r="I814" s="22">
        <v>5294</v>
      </c>
      <c r="J814" s="112">
        <v>1764.7</v>
      </c>
      <c r="K814" s="109">
        <v>0.54390000000000005</v>
      </c>
      <c r="L814" s="110" t="s">
        <v>3618</v>
      </c>
      <c r="M814" s="111" t="s">
        <v>3638</v>
      </c>
    </row>
    <row r="815" spans="1:13" ht="15.75" customHeight="1">
      <c r="A815" s="19">
        <v>813</v>
      </c>
      <c r="B815" s="123" t="s">
        <v>3630</v>
      </c>
      <c r="C815" s="20" t="s">
        <v>1394</v>
      </c>
      <c r="D815" s="20" t="s">
        <v>1395</v>
      </c>
      <c r="E815" s="20" t="s">
        <v>1396</v>
      </c>
      <c r="F815" s="21">
        <v>39</v>
      </c>
      <c r="G815" s="21">
        <v>1</v>
      </c>
      <c r="H815" s="21"/>
      <c r="I815" s="22">
        <v>40</v>
      </c>
      <c r="J815" s="108">
        <v>13.3</v>
      </c>
      <c r="K815" s="113">
        <v>1.3614999999999999</v>
      </c>
      <c r="L815" s="114" t="s">
        <v>3619</v>
      </c>
      <c r="M815" s="115" t="s">
        <v>3639</v>
      </c>
    </row>
    <row r="816" spans="1:13" ht="15.75" customHeight="1">
      <c r="A816" s="23">
        <v>814</v>
      </c>
      <c r="B816" s="123" t="s">
        <v>3630</v>
      </c>
      <c r="C816" s="24" t="s">
        <v>1443</v>
      </c>
      <c r="D816" s="24" t="s">
        <v>1444</v>
      </c>
      <c r="E816" s="24" t="s">
        <v>284</v>
      </c>
      <c r="F816" s="25">
        <v>4</v>
      </c>
      <c r="G816" s="25"/>
      <c r="H816" s="25">
        <v>45</v>
      </c>
      <c r="I816" s="22">
        <v>49</v>
      </c>
      <c r="J816" s="112">
        <v>16.3</v>
      </c>
      <c r="K816" s="113">
        <v>1.2451000000000001</v>
      </c>
      <c r="L816" s="114" t="s">
        <v>3619</v>
      </c>
      <c r="M816" s="115" t="s">
        <v>3639</v>
      </c>
    </row>
    <row r="817" spans="1:13" ht="15.75" customHeight="1">
      <c r="A817" s="19">
        <v>815</v>
      </c>
      <c r="B817" s="123" t="s">
        <v>3630</v>
      </c>
      <c r="C817" s="20" t="s">
        <v>1434</v>
      </c>
      <c r="D817" s="20" t="s">
        <v>1402</v>
      </c>
      <c r="E817" s="20" t="s">
        <v>1425</v>
      </c>
      <c r="F817" s="21">
        <v>97</v>
      </c>
      <c r="G817" s="21">
        <v>11</v>
      </c>
      <c r="H817" s="21">
        <v>30</v>
      </c>
      <c r="I817" s="22">
        <v>138</v>
      </c>
      <c r="J817" s="108">
        <v>46</v>
      </c>
      <c r="K817" s="113">
        <v>0.80189999999999995</v>
      </c>
      <c r="L817" s="114" t="s">
        <v>3619</v>
      </c>
      <c r="M817" s="115" t="s">
        <v>3639</v>
      </c>
    </row>
    <row r="818" spans="1:13" ht="15.75" customHeight="1">
      <c r="A818" s="23">
        <v>816</v>
      </c>
      <c r="B818" s="123" t="s">
        <v>3630</v>
      </c>
      <c r="C818" s="24" t="s">
        <v>2776</v>
      </c>
      <c r="D818" s="24" t="s">
        <v>2777</v>
      </c>
      <c r="E818" s="24" t="s">
        <v>284</v>
      </c>
      <c r="F818" s="25"/>
      <c r="G818" s="25">
        <v>8</v>
      </c>
      <c r="H818" s="25">
        <v>6</v>
      </c>
      <c r="I818" s="22">
        <v>14</v>
      </c>
      <c r="J818" s="112">
        <v>4.7</v>
      </c>
      <c r="K818" s="113">
        <v>0.72840000000000005</v>
      </c>
      <c r="L818" s="114" t="s">
        <v>3619</v>
      </c>
      <c r="M818" s="115" t="s">
        <v>3639</v>
      </c>
    </row>
    <row r="819" spans="1:13" ht="15.75" customHeight="1">
      <c r="A819" s="19">
        <v>817</v>
      </c>
      <c r="B819" s="123" t="s">
        <v>3630</v>
      </c>
      <c r="C819" s="20" t="s">
        <v>1430</v>
      </c>
      <c r="D819" s="20" t="s">
        <v>1431</v>
      </c>
      <c r="E819" s="20" t="s">
        <v>284</v>
      </c>
      <c r="F819" s="21">
        <v>24</v>
      </c>
      <c r="G819" s="21">
        <v>24</v>
      </c>
      <c r="H819" s="21">
        <v>3</v>
      </c>
      <c r="I819" s="22">
        <v>51</v>
      </c>
      <c r="J819" s="108">
        <v>17</v>
      </c>
      <c r="K819" s="113">
        <v>0.58230000000000004</v>
      </c>
      <c r="L819" s="114" t="s">
        <v>3619</v>
      </c>
      <c r="M819" s="115" t="s">
        <v>3639</v>
      </c>
    </row>
    <row r="820" spans="1:13" ht="15.75" customHeight="1">
      <c r="A820" s="23">
        <v>818</v>
      </c>
      <c r="B820" s="123" t="s">
        <v>3630</v>
      </c>
      <c r="C820" s="24" t="s">
        <v>1427</v>
      </c>
      <c r="D820" s="24" t="s">
        <v>1428</v>
      </c>
      <c r="E820" s="24" t="s">
        <v>1429</v>
      </c>
      <c r="F820" s="25">
        <v>81</v>
      </c>
      <c r="G820" s="25">
        <v>160</v>
      </c>
      <c r="H820" s="25">
        <v>50</v>
      </c>
      <c r="I820" s="22">
        <v>291</v>
      </c>
      <c r="J820" s="112">
        <v>97</v>
      </c>
      <c r="K820" s="116">
        <v>0.47739999999999999</v>
      </c>
      <c r="L820" s="117" t="s">
        <v>3620</v>
      </c>
      <c r="M820" s="118" t="s">
        <v>3640</v>
      </c>
    </row>
    <row r="821" spans="1:13" ht="15.75" customHeight="1">
      <c r="A821" s="19">
        <v>819</v>
      </c>
      <c r="B821" s="123" t="s">
        <v>3630</v>
      </c>
      <c r="C821" s="20" t="s">
        <v>1422</v>
      </c>
      <c r="D821" s="20" t="s">
        <v>1423</v>
      </c>
      <c r="E821" s="20" t="s">
        <v>284</v>
      </c>
      <c r="F821" s="21">
        <v>120</v>
      </c>
      <c r="G821" s="21">
        <v>69</v>
      </c>
      <c r="H821" s="21">
        <v>209</v>
      </c>
      <c r="I821" s="22">
        <v>468</v>
      </c>
      <c r="J821" s="108">
        <v>132.69999999999999</v>
      </c>
      <c r="K821" s="116">
        <v>0.43609999999999999</v>
      </c>
      <c r="L821" s="117" t="s">
        <v>3620</v>
      </c>
      <c r="M821" s="118" t="s">
        <v>3640</v>
      </c>
    </row>
    <row r="822" spans="1:13" ht="15.75" customHeight="1">
      <c r="A822" s="23">
        <v>820</v>
      </c>
      <c r="B822" s="123" t="s">
        <v>3630</v>
      </c>
      <c r="C822" s="24" t="s">
        <v>1424</v>
      </c>
      <c r="D822" s="24" t="s">
        <v>1415</v>
      </c>
      <c r="E822" s="24" t="s">
        <v>1425</v>
      </c>
      <c r="F822" s="25">
        <v>784</v>
      </c>
      <c r="G822" s="25">
        <v>638</v>
      </c>
      <c r="H822" s="25">
        <v>240</v>
      </c>
      <c r="I822" s="22">
        <v>1815</v>
      </c>
      <c r="J822" s="112">
        <v>554</v>
      </c>
      <c r="K822" s="116">
        <v>0.41499999999999998</v>
      </c>
      <c r="L822" s="117" t="s">
        <v>3620</v>
      </c>
      <c r="M822" s="118" t="s">
        <v>3640</v>
      </c>
    </row>
    <row r="823" spans="1:13" ht="15.75" customHeight="1">
      <c r="A823" s="19">
        <v>821</v>
      </c>
      <c r="B823" s="123" t="s">
        <v>3630</v>
      </c>
      <c r="C823" s="20" t="s">
        <v>1401</v>
      </c>
      <c r="D823" s="20" t="s">
        <v>1402</v>
      </c>
      <c r="E823" s="20" t="s">
        <v>1396</v>
      </c>
      <c r="F823" s="21">
        <v>1068</v>
      </c>
      <c r="G823" s="21">
        <v>811</v>
      </c>
      <c r="H823" s="21">
        <v>397</v>
      </c>
      <c r="I823" s="22">
        <v>2376</v>
      </c>
      <c r="J823" s="108">
        <v>758.7</v>
      </c>
      <c r="K823" s="116">
        <v>0.3644</v>
      </c>
      <c r="L823" s="117" t="s">
        <v>3620</v>
      </c>
      <c r="M823" s="118" t="s">
        <v>3640</v>
      </c>
    </row>
    <row r="824" spans="1:13" ht="15.75" customHeight="1">
      <c r="A824" s="23">
        <v>822</v>
      </c>
      <c r="B824" s="123" t="s">
        <v>3630</v>
      </c>
      <c r="C824" s="24" t="s">
        <v>1416</v>
      </c>
      <c r="D824" s="24" t="s">
        <v>1417</v>
      </c>
      <c r="E824" s="24" t="s">
        <v>284</v>
      </c>
      <c r="F824" s="25">
        <v>23303</v>
      </c>
      <c r="G824" s="25">
        <v>9725</v>
      </c>
      <c r="H824" s="25">
        <v>15442</v>
      </c>
      <c r="I824" s="22">
        <v>60258</v>
      </c>
      <c r="J824" s="112">
        <v>16156.7</v>
      </c>
      <c r="K824" s="116">
        <v>0.34449999999999997</v>
      </c>
      <c r="L824" s="117" t="s">
        <v>3620</v>
      </c>
      <c r="M824" s="118" t="s">
        <v>3640</v>
      </c>
    </row>
    <row r="825" spans="1:13" ht="15.75" customHeight="1">
      <c r="A825" s="19">
        <v>823</v>
      </c>
      <c r="B825" s="123" t="s">
        <v>3630</v>
      </c>
      <c r="C825" s="20" t="s">
        <v>1405</v>
      </c>
      <c r="D825" s="20" t="s">
        <v>1406</v>
      </c>
      <c r="E825" s="20" t="s">
        <v>1396</v>
      </c>
      <c r="F825" s="21">
        <v>438</v>
      </c>
      <c r="G825" s="21">
        <v>500</v>
      </c>
      <c r="H825" s="21">
        <v>895</v>
      </c>
      <c r="I825" s="22">
        <v>1853</v>
      </c>
      <c r="J825" s="108">
        <v>611</v>
      </c>
      <c r="K825" s="116">
        <v>0.33129999999999998</v>
      </c>
      <c r="L825" s="117" t="s">
        <v>3620</v>
      </c>
      <c r="M825" s="118" t="s">
        <v>3640</v>
      </c>
    </row>
    <row r="826" spans="1:13" ht="15.75" customHeight="1">
      <c r="A826" s="23">
        <v>824</v>
      </c>
      <c r="B826" s="123" t="s">
        <v>3630</v>
      </c>
      <c r="C826" s="24" t="s">
        <v>1397</v>
      </c>
      <c r="D826" s="24" t="s">
        <v>1398</v>
      </c>
      <c r="E826" s="24" t="s">
        <v>1396</v>
      </c>
      <c r="F826" s="25">
        <v>107</v>
      </c>
      <c r="G826" s="25">
        <v>55</v>
      </c>
      <c r="H826" s="25">
        <v>62</v>
      </c>
      <c r="I826" s="22">
        <v>292</v>
      </c>
      <c r="J826" s="112">
        <v>74.7</v>
      </c>
      <c r="K826" s="116">
        <v>0.30859999999999999</v>
      </c>
      <c r="L826" s="117" t="s">
        <v>3620</v>
      </c>
      <c r="M826" s="118" t="s">
        <v>3640</v>
      </c>
    </row>
    <row r="827" spans="1:13" ht="15.75" customHeight="1">
      <c r="A827" s="19">
        <v>825</v>
      </c>
      <c r="B827" s="123" t="s">
        <v>3630</v>
      </c>
      <c r="C827" s="20" t="s">
        <v>1412</v>
      </c>
      <c r="D827" s="20" t="s">
        <v>1413</v>
      </c>
      <c r="E827" s="20" t="s">
        <v>284</v>
      </c>
      <c r="F827" s="21">
        <v>173</v>
      </c>
      <c r="G827" s="21">
        <v>160</v>
      </c>
      <c r="H827" s="21">
        <v>94</v>
      </c>
      <c r="I827" s="22">
        <v>427</v>
      </c>
      <c r="J827" s="108">
        <v>142.30000000000001</v>
      </c>
      <c r="K827" s="116">
        <v>0.24299999999999999</v>
      </c>
      <c r="L827" s="117" t="s">
        <v>3620</v>
      </c>
      <c r="M827" s="118" t="s">
        <v>3640</v>
      </c>
    </row>
    <row r="828" spans="1:13" ht="15.75" customHeight="1">
      <c r="A828" s="23">
        <v>826</v>
      </c>
      <c r="B828" s="123" t="s">
        <v>3630</v>
      </c>
      <c r="C828" s="24" t="s">
        <v>1420</v>
      </c>
      <c r="D828" s="24" t="s">
        <v>1421</v>
      </c>
      <c r="E828" s="24" t="s">
        <v>284</v>
      </c>
      <c r="F828" s="25">
        <v>3802</v>
      </c>
      <c r="G828" s="25">
        <v>4749</v>
      </c>
      <c r="H828" s="25">
        <v>2875</v>
      </c>
      <c r="I828" s="22">
        <v>11898</v>
      </c>
      <c r="J828" s="112">
        <v>3808.7</v>
      </c>
      <c r="K828" s="116">
        <v>0.2009</v>
      </c>
      <c r="L828" s="117" t="s">
        <v>3620</v>
      </c>
      <c r="M828" s="118" t="s">
        <v>3640</v>
      </c>
    </row>
    <row r="829" spans="1:13" ht="15.75" customHeight="1">
      <c r="A829" s="19">
        <v>827</v>
      </c>
      <c r="B829" s="123" t="s">
        <v>3630</v>
      </c>
      <c r="C829" s="20" t="s">
        <v>1407</v>
      </c>
      <c r="D829" s="20" t="s">
        <v>1408</v>
      </c>
      <c r="E829" s="20" t="s">
        <v>284</v>
      </c>
      <c r="F829" s="21">
        <v>1855</v>
      </c>
      <c r="G829" s="21">
        <v>2460</v>
      </c>
      <c r="H829" s="21">
        <v>2625</v>
      </c>
      <c r="I829" s="22">
        <v>7690</v>
      </c>
      <c r="J829" s="108">
        <v>2313.3000000000002</v>
      </c>
      <c r="K829" s="116">
        <v>0.1431</v>
      </c>
      <c r="L829" s="117" t="s">
        <v>3620</v>
      </c>
      <c r="M829" s="118" t="s">
        <v>3640</v>
      </c>
    </row>
    <row r="830" spans="1:13" ht="15.75" customHeight="1">
      <c r="A830" s="23">
        <v>828</v>
      </c>
      <c r="B830" s="124" t="s">
        <v>3633</v>
      </c>
      <c r="C830" s="24" t="s">
        <v>94</v>
      </c>
      <c r="D830" s="24" t="s">
        <v>95</v>
      </c>
      <c r="E830" s="24" t="s">
        <v>90</v>
      </c>
      <c r="F830" s="25">
        <v>407</v>
      </c>
      <c r="G830" s="25">
        <v>47</v>
      </c>
      <c r="H830" s="25">
        <v>10</v>
      </c>
      <c r="I830" s="22">
        <v>464</v>
      </c>
      <c r="J830" s="112">
        <v>154.69999999999999</v>
      </c>
      <c r="K830" s="109">
        <v>1.1577</v>
      </c>
      <c r="L830" s="110" t="s">
        <v>3618</v>
      </c>
      <c r="M830" s="111" t="s">
        <v>3638</v>
      </c>
    </row>
    <row r="831" spans="1:13" ht="15.75" customHeight="1">
      <c r="A831" s="19">
        <v>829</v>
      </c>
      <c r="B831" s="124" t="s">
        <v>3633</v>
      </c>
      <c r="C831" s="20" t="s">
        <v>2363</v>
      </c>
      <c r="D831" s="20" t="s">
        <v>77</v>
      </c>
      <c r="E831" s="20" t="s">
        <v>2332</v>
      </c>
      <c r="F831" s="21"/>
      <c r="G831" s="21">
        <v>50</v>
      </c>
      <c r="H831" s="21">
        <v>250</v>
      </c>
      <c r="I831" s="22">
        <v>300</v>
      </c>
      <c r="J831" s="108">
        <v>100</v>
      </c>
      <c r="K831" s="109">
        <v>1.0801000000000001</v>
      </c>
      <c r="L831" s="110" t="s">
        <v>3618</v>
      </c>
      <c r="M831" s="111" t="s">
        <v>3638</v>
      </c>
    </row>
    <row r="832" spans="1:13" ht="15.75" customHeight="1">
      <c r="A832" s="23">
        <v>830</v>
      </c>
      <c r="B832" s="124" t="s">
        <v>3633</v>
      </c>
      <c r="C832" s="24" t="s">
        <v>92</v>
      </c>
      <c r="D832" s="24" t="s">
        <v>93</v>
      </c>
      <c r="E832" s="24" t="s">
        <v>90</v>
      </c>
      <c r="F832" s="25">
        <v>251</v>
      </c>
      <c r="G832" s="25">
        <v>69</v>
      </c>
      <c r="H832" s="25"/>
      <c r="I832" s="22">
        <v>320</v>
      </c>
      <c r="J832" s="112">
        <v>106.7</v>
      </c>
      <c r="K832" s="109">
        <v>0.99260000000000004</v>
      </c>
      <c r="L832" s="110" t="s">
        <v>3618</v>
      </c>
      <c r="M832" s="111" t="s">
        <v>3638</v>
      </c>
    </row>
    <row r="833" spans="1:13" ht="15.75" customHeight="1">
      <c r="A833" s="19">
        <v>831</v>
      </c>
      <c r="B833" s="124" t="s">
        <v>3633</v>
      </c>
      <c r="C833" s="20" t="s">
        <v>109</v>
      </c>
      <c r="D833" s="20" t="s">
        <v>110</v>
      </c>
      <c r="E833" s="20" t="s">
        <v>100</v>
      </c>
      <c r="F833" s="21">
        <v>200</v>
      </c>
      <c r="G833" s="21">
        <v>70</v>
      </c>
      <c r="H833" s="21"/>
      <c r="I833" s="22">
        <v>270</v>
      </c>
      <c r="J833" s="108">
        <v>90</v>
      </c>
      <c r="K833" s="109">
        <v>0.92069999999999996</v>
      </c>
      <c r="L833" s="110" t="s">
        <v>3618</v>
      </c>
      <c r="M833" s="111" t="s">
        <v>3638</v>
      </c>
    </row>
    <row r="834" spans="1:13" ht="15.75" customHeight="1">
      <c r="A834" s="23">
        <v>832</v>
      </c>
      <c r="B834" s="124" t="s">
        <v>3633</v>
      </c>
      <c r="C834" s="24" t="s">
        <v>107</v>
      </c>
      <c r="D834" s="24" t="s">
        <v>108</v>
      </c>
      <c r="E834" s="24" t="s">
        <v>100</v>
      </c>
      <c r="F834" s="25">
        <v>260</v>
      </c>
      <c r="G834" s="25">
        <v>80</v>
      </c>
      <c r="H834" s="25">
        <v>12</v>
      </c>
      <c r="I834" s="22">
        <v>352</v>
      </c>
      <c r="J834" s="112">
        <v>117.3</v>
      </c>
      <c r="K834" s="109">
        <v>0.89170000000000005</v>
      </c>
      <c r="L834" s="110" t="s">
        <v>3618</v>
      </c>
      <c r="M834" s="111" t="s">
        <v>3638</v>
      </c>
    </row>
    <row r="835" spans="1:13" ht="15.75" customHeight="1">
      <c r="A835" s="19">
        <v>833</v>
      </c>
      <c r="B835" s="124" t="s">
        <v>3633</v>
      </c>
      <c r="C835" s="20" t="s">
        <v>101</v>
      </c>
      <c r="D835" s="20" t="s">
        <v>84</v>
      </c>
      <c r="E835" s="20" t="s">
        <v>90</v>
      </c>
      <c r="F835" s="21">
        <v>170</v>
      </c>
      <c r="G835" s="21">
        <v>80</v>
      </c>
      <c r="H835" s="21"/>
      <c r="I835" s="22">
        <v>250</v>
      </c>
      <c r="J835" s="108">
        <v>83.3</v>
      </c>
      <c r="K835" s="109">
        <v>0.83330000000000004</v>
      </c>
      <c r="L835" s="110" t="s">
        <v>3618</v>
      </c>
      <c r="M835" s="111" t="s">
        <v>3638</v>
      </c>
    </row>
    <row r="836" spans="1:13" ht="15.75" customHeight="1">
      <c r="A836" s="23">
        <v>834</v>
      </c>
      <c r="B836" s="124" t="s">
        <v>3633</v>
      </c>
      <c r="C836" s="24" t="s">
        <v>76</v>
      </c>
      <c r="D836" s="24" t="s">
        <v>77</v>
      </c>
      <c r="E836" s="24" t="s">
        <v>78</v>
      </c>
      <c r="F836" s="25">
        <v>100</v>
      </c>
      <c r="G836" s="25">
        <v>200</v>
      </c>
      <c r="H836" s="25"/>
      <c r="I836" s="22">
        <v>300</v>
      </c>
      <c r="J836" s="112">
        <v>100</v>
      </c>
      <c r="K836" s="109">
        <v>0.8165</v>
      </c>
      <c r="L836" s="110" t="s">
        <v>3618</v>
      </c>
      <c r="M836" s="111" t="s">
        <v>3638</v>
      </c>
    </row>
    <row r="837" spans="1:13" ht="15.75" customHeight="1">
      <c r="A837" s="19">
        <v>835</v>
      </c>
      <c r="B837" s="124" t="s">
        <v>3633</v>
      </c>
      <c r="C837" s="20" t="s">
        <v>91</v>
      </c>
      <c r="D837" s="20" t="s">
        <v>77</v>
      </c>
      <c r="E837" s="20" t="s">
        <v>90</v>
      </c>
      <c r="F837" s="21">
        <v>246</v>
      </c>
      <c r="G837" s="21">
        <v>81</v>
      </c>
      <c r="H837" s="21">
        <v>22</v>
      </c>
      <c r="I837" s="22">
        <v>349</v>
      </c>
      <c r="J837" s="108">
        <v>116.3</v>
      </c>
      <c r="K837" s="109">
        <v>0.81489999999999996</v>
      </c>
      <c r="L837" s="110" t="s">
        <v>3618</v>
      </c>
      <c r="M837" s="111" t="s">
        <v>3638</v>
      </c>
    </row>
    <row r="838" spans="1:13" ht="15.75" customHeight="1">
      <c r="A838" s="23">
        <v>836</v>
      </c>
      <c r="B838" s="124" t="s">
        <v>3633</v>
      </c>
      <c r="C838" s="24" t="s">
        <v>2331</v>
      </c>
      <c r="D838" s="24" t="s">
        <v>93</v>
      </c>
      <c r="E838" s="24" t="s">
        <v>2332</v>
      </c>
      <c r="F838" s="25"/>
      <c r="G838" s="25">
        <v>100</v>
      </c>
      <c r="H838" s="25">
        <v>150</v>
      </c>
      <c r="I838" s="22">
        <v>250</v>
      </c>
      <c r="J838" s="112">
        <v>83.3</v>
      </c>
      <c r="K838" s="109">
        <v>0.74829999999999997</v>
      </c>
      <c r="L838" s="110" t="s">
        <v>3618</v>
      </c>
      <c r="M838" s="111" t="s">
        <v>3638</v>
      </c>
    </row>
    <row r="839" spans="1:13" ht="15.75" customHeight="1">
      <c r="A839" s="19">
        <v>837</v>
      </c>
      <c r="B839" s="124" t="s">
        <v>3633</v>
      </c>
      <c r="C839" s="20" t="s">
        <v>2344</v>
      </c>
      <c r="D839" s="20" t="s">
        <v>84</v>
      </c>
      <c r="E839" s="20" t="s">
        <v>2332</v>
      </c>
      <c r="F839" s="21"/>
      <c r="G839" s="21">
        <v>200</v>
      </c>
      <c r="H839" s="21">
        <v>250</v>
      </c>
      <c r="I839" s="22">
        <v>450</v>
      </c>
      <c r="J839" s="108">
        <v>150</v>
      </c>
      <c r="K839" s="109">
        <v>0.72009999999999996</v>
      </c>
      <c r="L839" s="110" t="s">
        <v>3618</v>
      </c>
      <c r="M839" s="111" t="s">
        <v>3638</v>
      </c>
    </row>
    <row r="840" spans="1:13" ht="15.75" customHeight="1">
      <c r="A840" s="23">
        <v>838</v>
      </c>
      <c r="B840" s="124" t="s">
        <v>3633</v>
      </c>
      <c r="C840" s="24" t="s">
        <v>111</v>
      </c>
      <c r="D840" s="24" t="s">
        <v>80</v>
      </c>
      <c r="E840" s="24" t="s">
        <v>100</v>
      </c>
      <c r="F840" s="25">
        <v>120</v>
      </c>
      <c r="G840" s="25">
        <v>10</v>
      </c>
      <c r="H840" s="25"/>
      <c r="I840" s="22">
        <v>130</v>
      </c>
      <c r="J840" s="112">
        <v>43.3</v>
      </c>
      <c r="K840" s="113">
        <v>1.2545999999999999</v>
      </c>
      <c r="L840" s="114" t="s">
        <v>3619</v>
      </c>
      <c r="M840" s="115" t="s">
        <v>3639</v>
      </c>
    </row>
    <row r="841" spans="1:13" ht="15.75" customHeight="1">
      <c r="A841" s="19">
        <v>839</v>
      </c>
      <c r="B841" s="124" t="s">
        <v>3633</v>
      </c>
      <c r="C841" s="20" t="s">
        <v>112</v>
      </c>
      <c r="D841" s="20" t="s">
        <v>113</v>
      </c>
      <c r="E841" s="20" t="s">
        <v>100</v>
      </c>
      <c r="F841" s="21">
        <v>29</v>
      </c>
      <c r="G841" s="21">
        <v>4</v>
      </c>
      <c r="H841" s="21"/>
      <c r="I841" s="22">
        <v>33</v>
      </c>
      <c r="J841" s="108">
        <v>11</v>
      </c>
      <c r="K841" s="113">
        <v>1.1666000000000001</v>
      </c>
      <c r="L841" s="114" t="s">
        <v>3619</v>
      </c>
      <c r="M841" s="115" t="s">
        <v>3639</v>
      </c>
    </row>
    <row r="842" spans="1:13" ht="15.75" customHeight="1">
      <c r="A842" s="23">
        <v>840</v>
      </c>
      <c r="B842" s="124" t="s">
        <v>3633</v>
      </c>
      <c r="C842" s="24" t="s">
        <v>98</v>
      </c>
      <c r="D842" s="24" t="s">
        <v>99</v>
      </c>
      <c r="E842" s="24" t="s">
        <v>100</v>
      </c>
      <c r="F842" s="25">
        <v>17</v>
      </c>
      <c r="G842" s="25"/>
      <c r="H842" s="25">
        <v>3</v>
      </c>
      <c r="I842" s="22">
        <v>20</v>
      </c>
      <c r="J842" s="112">
        <v>6.7</v>
      </c>
      <c r="K842" s="113">
        <v>1.1113</v>
      </c>
      <c r="L842" s="114" t="s">
        <v>3619</v>
      </c>
      <c r="M842" s="115" t="s">
        <v>3639</v>
      </c>
    </row>
    <row r="843" spans="1:13" ht="15.75" customHeight="1">
      <c r="A843" s="19">
        <v>841</v>
      </c>
      <c r="B843" s="124" t="s">
        <v>3633</v>
      </c>
      <c r="C843" s="20" t="s">
        <v>79</v>
      </c>
      <c r="D843" s="20" t="s">
        <v>80</v>
      </c>
      <c r="E843" s="20" t="s">
        <v>78</v>
      </c>
      <c r="F843" s="21">
        <v>5</v>
      </c>
      <c r="G843" s="21"/>
      <c r="H843" s="21">
        <v>1</v>
      </c>
      <c r="I843" s="22">
        <v>16</v>
      </c>
      <c r="J843" s="108">
        <v>2</v>
      </c>
      <c r="K843" s="113">
        <v>1.0801000000000001</v>
      </c>
      <c r="L843" s="114" t="s">
        <v>3619</v>
      </c>
      <c r="M843" s="115" t="s">
        <v>3639</v>
      </c>
    </row>
    <row r="844" spans="1:13" ht="15.75" customHeight="1">
      <c r="A844" s="23">
        <v>842</v>
      </c>
      <c r="B844" s="124" t="s">
        <v>3633</v>
      </c>
      <c r="C844" s="24" t="s">
        <v>96</v>
      </c>
      <c r="D844" s="24" t="s">
        <v>97</v>
      </c>
      <c r="E844" s="24" t="s">
        <v>90</v>
      </c>
      <c r="F844" s="25">
        <v>5</v>
      </c>
      <c r="G844" s="25">
        <v>1</v>
      </c>
      <c r="H844" s="25"/>
      <c r="I844" s="22">
        <v>6</v>
      </c>
      <c r="J844" s="112">
        <v>2</v>
      </c>
      <c r="K844" s="113">
        <v>1.0801000000000001</v>
      </c>
      <c r="L844" s="114" t="s">
        <v>3619</v>
      </c>
      <c r="M844" s="115" t="s">
        <v>3639</v>
      </c>
    </row>
    <row r="845" spans="1:13" ht="15.75" customHeight="1">
      <c r="A845" s="19">
        <v>843</v>
      </c>
      <c r="B845" s="124" t="s">
        <v>3633</v>
      </c>
      <c r="C845" s="20" t="s">
        <v>131</v>
      </c>
      <c r="D845" s="20" t="s">
        <v>97</v>
      </c>
      <c r="E845" s="20" t="s">
        <v>128</v>
      </c>
      <c r="F845" s="21">
        <v>100</v>
      </c>
      <c r="G845" s="21"/>
      <c r="H845" s="21">
        <v>30</v>
      </c>
      <c r="I845" s="22">
        <v>130</v>
      </c>
      <c r="J845" s="108">
        <v>43.3</v>
      </c>
      <c r="K845" s="113">
        <v>0.96689999999999998</v>
      </c>
      <c r="L845" s="114" t="s">
        <v>3619</v>
      </c>
      <c r="M845" s="115" t="s">
        <v>3639</v>
      </c>
    </row>
    <row r="846" spans="1:13" ht="15.75" customHeight="1">
      <c r="A846" s="23">
        <v>844</v>
      </c>
      <c r="B846" s="124" t="s">
        <v>3633</v>
      </c>
      <c r="C846" s="24" t="s">
        <v>88</v>
      </c>
      <c r="D846" s="24" t="s">
        <v>89</v>
      </c>
      <c r="E846" s="24" t="s">
        <v>90</v>
      </c>
      <c r="F846" s="25">
        <v>30</v>
      </c>
      <c r="G846" s="25">
        <v>100</v>
      </c>
      <c r="H846" s="25"/>
      <c r="I846" s="22">
        <v>130</v>
      </c>
      <c r="J846" s="112">
        <v>43.3</v>
      </c>
      <c r="K846" s="113">
        <v>0.96689999999999998</v>
      </c>
      <c r="L846" s="114" t="s">
        <v>3619</v>
      </c>
      <c r="M846" s="115" t="s">
        <v>3639</v>
      </c>
    </row>
    <row r="847" spans="1:13" ht="15.75" customHeight="1">
      <c r="A847" s="19">
        <v>845</v>
      </c>
      <c r="B847" s="124" t="s">
        <v>3633</v>
      </c>
      <c r="C847" s="20" t="s">
        <v>2352</v>
      </c>
      <c r="D847" s="20" t="s">
        <v>84</v>
      </c>
      <c r="E847" s="20" t="s">
        <v>128</v>
      </c>
      <c r="F847" s="21"/>
      <c r="G847" s="21">
        <v>50</v>
      </c>
      <c r="H847" s="21">
        <v>100</v>
      </c>
      <c r="I847" s="22">
        <v>150</v>
      </c>
      <c r="J847" s="108">
        <v>50</v>
      </c>
      <c r="K847" s="113">
        <v>0.8165</v>
      </c>
      <c r="L847" s="114" t="s">
        <v>3619</v>
      </c>
      <c r="M847" s="115" t="s">
        <v>3639</v>
      </c>
    </row>
    <row r="848" spans="1:13" ht="15.75" customHeight="1">
      <c r="A848" s="23">
        <v>846</v>
      </c>
      <c r="B848" s="124" t="s">
        <v>3633</v>
      </c>
      <c r="C848" s="24" t="s">
        <v>133</v>
      </c>
      <c r="D848" s="24" t="s">
        <v>134</v>
      </c>
      <c r="E848" s="24" t="s">
        <v>128</v>
      </c>
      <c r="F848" s="25">
        <v>30</v>
      </c>
      <c r="G848" s="25"/>
      <c r="H848" s="25">
        <v>40</v>
      </c>
      <c r="I848" s="22">
        <v>70</v>
      </c>
      <c r="J848" s="112">
        <v>23.3</v>
      </c>
      <c r="K848" s="113">
        <v>0.72840000000000005</v>
      </c>
      <c r="L848" s="114" t="s">
        <v>3619</v>
      </c>
      <c r="M848" s="115" t="s">
        <v>3639</v>
      </c>
    </row>
    <row r="849" spans="1:13" ht="15.75" customHeight="1">
      <c r="A849" s="19">
        <v>847</v>
      </c>
      <c r="B849" s="124" t="s">
        <v>3633</v>
      </c>
      <c r="C849" s="20" t="s">
        <v>132</v>
      </c>
      <c r="D849" s="20" t="s">
        <v>108</v>
      </c>
      <c r="E849" s="20" t="s">
        <v>128</v>
      </c>
      <c r="F849" s="21">
        <v>60</v>
      </c>
      <c r="G849" s="21"/>
      <c r="H849" s="21">
        <v>60</v>
      </c>
      <c r="I849" s="22">
        <v>120</v>
      </c>
      <c r="J849" s="108">
        <v>40</v>
      </c>
      <c r="K849" s="113">
        <v>0.70709999999999995</v>
      </c>
      <c r="L849" s="114" t="s">
        <v>3619</v>
      </c>
      <c r="M849" s="115" t="s">
        <v>3639</v>
      </c>
    </row>
    <row r="850" spans="1:13" ht="15.75" customHeight="1">
      <c r="A850" s="23">
        <v>848</v>
      </c>
      <c r="B850" s="124" t="s">
        <v>3633</v>
      </c>
      <c r="C850" s="24" t="s">
        <v>162</v>
      </c>
      <c r="D850" s="24" t="s">
        <v>77</v>
      </c>
      <c r="E850" s="24" t="s">
        <v>161</v>
      </c>
      <c r="F850" s="25">
        <v>50</v>
      </c>
      <c r="G850" s="25">
        <v>50</v>
      </c>
      <c r="H850" s="25"/>
      <c r="I850" s="22">
        <v>100</v>
      </c>
      <c r="J850" s="112">
        <v>33.299999999999997</v>
      </c>
      <c r="K850" s="113">
        <v>0.70709999999999995</v>
      </c>
      <c r="L850" s="114" t="s">
        <v>3619</v>
      </c>
      <c r="M850" s="115" t="s">
        <v>3639</v>
      </c>
    </row>
    <row r="851" spans="1:13" ht="15.75" customHeight="1">
      <c r="A851" s="19">
        <v>849</v>
      </c>
      <c r="B851" s="124" t="s">
        <v>3633</v>
      </c>
      <c r="C851" s="20" t="s">
        <v>163</v>
      </c>
      <c r="D851" s="20" t="s">
        <v>93</v>
      </c>
      <c r="E851" s="20" t="s">
        <v>161</v>
      </c>
      <c r="F851" s="21">
        <v>50</v>
      </c>
      <c r="G851" s="21">
        <v>50</v>
      </c>
      <c r="H851" s="21"/>
      <c r="I851" s="22">
        <v>100</v>
      </c>
      <c r="J851" s="108">
        <v>33.299999999999997</v>
      </c>
      <c r="K851" s="113">
        <v>0.70709999999999995</v>
      </c>
      <c r="L851" s="114" t="s">
        <v>3619</v>
      </c>
      <c r="M851" s="115" t="s">
        <v>3639</v>
      </c>
    </row>
    <row r="852" spans="1:13" ht="15.75" customHeight="1">
      <c r="A852" s="23">
        <v>850</v>
      </c>
      <c r="B852" s="124" t="s">
        <v>3633</v>
      </c>
      <c r="C852" s="24" t="s">
        <v>129</v>
      </c>
      <c r="D852" s="24" t="s">
        <v>93</v>
      </c>
      <c r="E852" s="24" t="s">
        <v>128</v>
      </c>
      <c r="F852" s="25">
        <v>150</v>
      </c>
      <c r="G852" s="25">
        <v>50</v>
      </c>
      <c r="H852" s="25">
        <v>200</v>
      </c>
      <c r="I852" s="22">
        <v>400</v>
      </c>
      <c r="J852" s="112">
        <v>133.30000000000001</v>
      </c>
      <c r="K852" s="116">
        <v>0.4677</v>
      </c>
      <c r="L852" s="117" t="s">
        <v>3620</v>
      </c>
      <c r="M852" s="118" t="s">
        <v>3640</v>
      </c>
    </row>
    <row r="853" spans="1:13" ht="15.75" customHeight="1">
      <c r="A853" s="19">
        <v>851</v>
      </c>
      <c r="B853" s="124" t="s">
        <v>3633</v>
      </c>
      <c r="C853" s="20" t="s">
        <v>130</v>
      </c>
      <c r="D853" s="20" t="s">
        <v>95</v>
      </c>
      <c r="E853" s="20" t="s">
        <v>128</v>
      </c>
      <c r="F853" s="21">
        <v>150</v>
      </c>
      <c r="G853" s="21">
        <v>50</v>
      </c>
      <c r="H853" s="21">
        <v>180</v>
      </c>
      <c r="I853" s="22">
        <v>380</v>
      </c>
      <c r="J853" s="108">
        <v>126.7</v>
      </c>
      <c r="K853" s="116">
        <v>0.43880000000000002</v>
      </c>
      <c r="L853" s="117" t="s">
        <v>3620</v>
      </c>
      <c r="M853" s="118" t="s">
        <v>3640</v>
      </c>
    </row>
    <row r="854" spans="1:13" ht="15.75" customHeight="1">
      <c r="A854" s="23">
        <v>852</v>
      </c>
      <c r="B854" s="124" t="s">
        <v>3633</v>
      </c>
      <c r="C854" s="24" t="s">
        <v>127</v>
      </c>
      <c r="D854" s="24" t="s">
        <v>77</v>
      </c>
      <c r="E854" s="24" t="s">
        <v>128</v>
      </c>
      <c r="F854" s="25">
        <v>150</v>
      </c>
      <c r="G854" s="25">
        <v>50</v>
      </c>
      <c r="H854" s="25">
        <v>150</v>
      </c>
      <c r="I854" s="22">
        <v>350</v>
      </c>
      <c r="J854" s="112">
        <v>116.7</v>
      </c>
      <c r="K854" s="116">
        <v>0.40410000000000001</v>
      </c>
      <c r="L854" s="117" t="s">
        <v>3620</v>
      </c>
      <c r="M854" s="118" t="s">
        <v>3640</v>
      </c>
    </row>
  </sheetData>
  <autoFilter ref="A2:M2" xr:uid="{00000000-0009-0000-0000-00000A000000}"/>
  <mergeCells count="1">
    <mergeCell ref="A1:M1"/>
  </mergeCells>
  <phoneticPr fontId="3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M44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/>
  <cols>
    <col min="1" max="1" width="5" customWidth="1"/>
    <col min="2" max="2" width="18" customWidth="1"/>
    <col min="3" max="3" width="16" customWidth="1"/>
    <col min="4" max="4" width="38" customWidth="1"/>
    <col min="5" max="5" width="22" customWidth="1"/>
    <col min="6" max="8" width="11" customWidth="1"/>
    <col min="9" max="9" width="10" customWidth="1"/>
    <col min="10" max="10" width="12" customWidth="1"/>
    <col min="11" max="11" width="11" customWidth="1"/>
    <col min="12" max="12" width="10" customWidth="1"/>
    <col min="13" max="13" width="12" customWidth="1"/>
  </cols>
  <sheetData>
    <row r="1" spans="1:13" ht="25.5" customHeight="1">
      <c r="A1" s="3" t="s">
        <v>3642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8" customHeight="1">
      <c r="A2" s="2" t="s">
        <v>3643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3.75" customHeight="1">
      <c r="A3" s="125" t="s">
        <v>1</v>
      </c>
      <c r="B3" s="126" t="s">
        <v>3615</v>
      </c>
      <c r="C3" s="126" t="s">
        <v>2</v>
      </c>
      <c r="D3" s="126" t="s">
        <v>3</v>
      </c>
      <c r="E3" s="126" t="s">
        <v>4</v>
      </c>
      <c r="F3" s="125" t="s">
        <v>3547</v>
      </c>
      <c r="G3" s="125" t="s">
        <v>3548</v>
      </c>
      <c r="H3" s="125" t="s">
        <v>3549</v>
      </c>
      <c r="I3" s="126" t="s">
        <v>3644</v>
      </c>
      <c r="J3" s="126" t="s">
        <v>3645</v>
      </c>
      <c r="K3" s="126" t="s">
        <v>3646</v>
      </c>
      <c r="L3" s="126" t="s">
        <v>3647</v>
      </c>
      <c r="M3" s="125" t="s">
        <v>3587</v>
      </c>
    </row>
    <row r="4" spans="1:13" ht="19.5" customHeight="1">
      <c r="A4" s="1" t="s">
        <v>3648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customHeight="1">
      <c r="A5" s="19">
        <v>1</v>
      </c>
      <c r="B5" s="107" t="s">
        <v>3623</v>
      </c>
      <c r="C5" s="20" t="s">
        <v>227</v>
      </c>
      <c r="D5" s="20" t="s">
        <v>203</v>
      </c>
      <c r="E5" s="20" t="s">
        <v>45</v>
      </c>
      <c r="F5" s="127">
        <v>322</v>
      </c>
      <c r="G5" s="21">
        <v>10</v>
      </c>
      <c r="H5" s="21"/>
      <c r="I5" s="128" t="s">
        <v>3649</v>
      </c>
      <c r="J5" s="127">
        <v>322</v>
      </c>
      <c r="K5" s="108">
        <v>5</v>
      </c>
      <c r="L5" s="49" t="s">
        <v>3650</v>
      </c>
      <c r="M5" s="22">
        <v>332</v>
      </c>
    </row>
    <row r="6" spans="1:13" ht="15.75" customHeight="1">
      <c r="A6" s="23">
        <v>2</v>
      </c>
      <c r="B6" s="107" t="s">
        <v>3623</v>
      </c>
      <c r="C6" s="24" t="s">
        <v>2398</v>
      </c>
      <c r="D6" s="24" t="s">
        <v>203</v>
      </c>
      <c r="E6" s="24" t="s">
        <v>2399</v>
      </c>
      <c r="F6" s="25"/>
      <c r="G6" s="25">
        <v>10</v>
      </c>
      <c r="H6" s="127">
        <v>260</v>
      </c>
      <c r="I6" s="128" t="s">
        <v>3651</v>
      </c>
      <c r="J6" s="127">
        <v>260</v>
      </c>
      <c r="K6" s="112">
        <v>5</v>
      </c>
      <c r="L6" s="49" t="s">
        <v>3652</v>
      </c>
      <c r="M6" s="22">
        <v>270</v>
      </c>
    </row>
    <row r="7" spans="1:13" ht="15.75" customHeight="1">
      <c r="A7" s="19">
        <v>3</v>
      </c>
      <c r="B7" s="107" t="s">
        <v>3623</v>
      </c>
      <c r="C7" s="20" t="s">
        <v>1567</v>
      </c>
      <c r="D7" s="20" t="s">
        <v>244</v>
      </c>
      <c r="E7" s="20" t="s">
        <v>1568</v>
      </c>
      <c r="F7" s="127">
        <v>50</v>
      </c>
      <c r="G7" s="21">
        <v>2</v>
      </c>
      <c r="H7" s="21"/>
      <c r="I7" s="128" t="s">
        <v>3649</v>
      </c>
      <c r="J7" s="127">
        <v>50</v>
      </c>
      <c r="K7" s="108">
        <v>1</v>
      </c>
      <c r="L7" s="49" t="s">
        <v>3653</v>
      </c>
      <c r="M7" s="22">
        <v>52</v>
      </c>
    </row>
    <row r="8" spans="1:13" ht="15.75" customHeight="1">
      <c r="A8" s="23">
        <v>4</v>
      </c>
      <c r="B8" s="107" t="s">
        <v>3623</v>
      </c>
      <c r="C8" s="24" t="s">
        <v>1513</v>
      </c>
      <c r="D8" s="24" t="s">
        <v>169</v>
      </c>
      <c r="E8" s="24" t="s">
        <v>190</v>
      </c>
      <c r="F8" s="127">
        <v>22</v>
      </c>
      <c r="G8" s="25">
        <v>1</v>
      </c>
      <c r="H8" s="25"/>
      <c r="I8" s="128" t="s">
        <v>3649</v>
      </c>
      <c r="J8" s="127">
        <v>22</v>
      </c>
      <c r="K8" s="112">
        <v>0.5</v>
      </c>
      <c r="L8" s="49" t="s">
        <v>3654</v>
      </c>
      <c r="M8" s="22">
        <v>23</v>
      </c>
    </row>
    <row r="9" spans="1:13" ht="15.75" customHeight="1">
      <c r="A9" s="19">
        <v>5</v>
      </c>
      <c r="B9" s="107" t="s">
        <v>3623</v>
      </c>
      <c r="C9" s="20" t="s">
        <v>434</v>
      </c>
      <c r="D9" s="20" t="s">
        <v>206</v>
      </c>
      <c r="E9" s="20" t="s">
        <v>435</v>
      </c>
      <c r="F9" s="21">
        <v>1</v>
      </c>
      <c r="G9" s="127">
        <v>20</v>
      </c>
      <c r="H9" s="21"/>
      <c r="I9" s="128" t="s">
        <v>3655</v>
      </c>
      <c r="J9" s="127">
        <v>20</v>
      </c>
      <c r="K9" s="108">
        <v>0.5</v>
      </c>
      <c r="L9" s="49" t="s">
        <v>3656</v>
      </c>
      <c r="M9" s="22">
        <v>21</v>
      </c>
    </row>
    <row r="10" spans="1:13" ht="15.75" customHeight="1">
      <c r="A10" s="23">
        <v>6</v>
      </c>
      <c r="B10" s="107" t="s">
        <v>3623</v>
      </c>
      <c r="C10" s="24" t="s">
        <v>1721</v>
      </c>
      <c r="D10" s="24" t="s">
        <v>203</v>
      </c>
      <c r="E10" s="24" t="s">
        <v>1722</v>
      </c>
      <c r="F10" s="25">
        <v>3</v>
      </c>
      <c r="G10" s="127">
        <v>50</v>
      </c>
      <c r="H10" s="25"/>
      <c r="I10" s="128" t="s">
        <v>3655</v>
      </c>
      <c r="J10" s="127">
        <v>50</v>
      </c>
      <c r="K10" s="112">
        <v>1.5</v>
      </c>
      <c r="L10" s="49" t="s">
        <v>3657</v>
      </c>
      <c r="M10" s="22">
        <v>53</v>
      </c>
    </row>
    <row r="11" spans="1:13" ht="15.75" customHeight="1">
      <c r="A11" s="19">
        <v>7</v>
      </c>
      <c r="B11" s="107" t="s">
        <v>3623</v>
      </c>
      <c r="C11" s="20" t="s">
        <v>181</v>
      </c>
      <c r="D11" s="20" t="s">
        <v>180</v>
      </c>
      <c r="E11" s="20" t="s">
        <v>182</v>
      </c>
      <c r="F11" s="127">
        <v>160</v>
      </c>
      <c r="G11" s="21">
        <v>10</v>
      </c>
      <c r="H11" s="21"/>
      <c r="I11" s="128" t="s">
        <v>3649</v>
      </c>
      <c r="J11" s="127">
        <v>160</v>
      </c>
      <c r="K11" s="108">
        <v>5</v>
      </c>
      <c r="L11" s="49" t="s">
        <v>3658</v>
      </c>
      <c r="M11" s="22">
        <v>170</v>
      </c>
    </row>
    <row r="12" spans="1:13" ht="15.75" customHeight="1">
      <c r="A12" s="23">
        <v>8</v>
      </c>
      <c r="B12" s="107" t="s">
        <v>3623</v>
      </c>
      <c r="C12" s="24" t="s">
        <v>359</v>
      </c>
      <c r="D12" s="24" t="s">
        <v>203</v>
      </c>
      <c r="E12" s="24" t="s">
        <v>360</v>
      </c>
      <c r="F12" s="127">
        <v>1200</v>
      </c>
      <c r="G12" s="25"/>
      <c r="H12" s="25">
        <v>80</v>
      </c>
      <c r="I12" s="128" t="s">
        <v>3649</v>
      </c>
      <c r="J12" s="127">
        <v>1200</v>
      </c>
      <c r="K12" s="112">
        <v>40</v>
      </c>
      <c r="L12" s="49" t="s">
        <v>3659</v>
      </c>
      <c r="M12" s="22">
        <v>1280</v>
      </c>
    </row>
    <row r="13" spans="1:13" ht="15.75" customHeight="1">
      <c r="A13" s="19">
        <v>9</v>
      </c>
      <c r="B13" s="107" t="s">
        <v>3623</v>
      </c>
      <c r="C13" s="20" t="s">
        <v>200</v>
      </c>
      <c r="D13" s="20" t="s">
        <v>198</v>
      </c>
      <c r="E13" s="20" t="s">
        <v>45</v>
      </c>
      <c r="F13" s="127">
        <v>55</v>
      </c>
      <c r="G13" s="21">
        <v>4</v>
      </c>
      <c r="H13" s="21"/>
      <c r="I13" s="128" t="s">
        <v>3649</v>
      </c>
      <c r="J13" s="127">
        <v>55</v>
      </c>
      <c r="K13" s="108">
        <v>2</v>
      </c>
      <c r="L13" s="49" t="s">
        <v>3660</v>
      </c>
      <c r="M13" s="22">
        <v>59</v>
      </c>
    </row>
    <row r="14" spans="1:13" ht="15.75" customHeight="1">
      <c r="A14" s="23">
        <v>10</v>
      </c>
      <c r="B14" s="107" t="s">
        <v>3623</v>
      </c>
      <c r="C14" s="24" t="s">
        <v>1606</v>
      </c>
      <c r="D14" s="24" t="s">
        <v>180</v>
      </c>
      <c r="E14" s="24" t="s">
        <v>1607</v>
      </c>
      <c r="F14" s="127">
        <v>38</v>
      </c>
      <c r="G14" s="25">
        <v>3</v>
      </c>
      <c r="H14" s="25"/>
      <c r="I14" s="128" t="s">
        <v>3649</v>
      </c>
      <c r="J14" s="127">
        <v>38</v>
      </c>
      <c r="K14" s="112">
        <v>1.5</v>
      </c>
      <c r="L14" s="49" t="s">
        <v>3661</v>
      </c>
      <c r="M14" s="22">
        <v>41</v>
      </c>
    </row>
    <row r="15" spans="1:13" ht="15.75" customHeight="1">
      <c r="A15" s="19">
        <v>11</v>
      </c>
      <c r="B15" s="107" t="s">
        <v>3623</v>
      </c>
      <c r="C15" s="20" t="s">
        <v>183</v>
      </c>
      <c r="D15" s="20" t="s">
        <v>180</v>
      </c>
      <c r="E15" s="20" t="s">
        <v>184</v>
      </c>
      <c r="F15" s="21">
        <v>7</v>
      </c>
      <c r="G15" s="127">
        <v>84</v>
      </c>
      <c r="H15" s="21"/>
      <c r="I15" s="128" t="s">
        <v>3655</v>
      </c>
      <c r="J15" s="127">
        <v>84</v>
      </c>
      <c r="K15" s="108">
        <v>3.5</v>
      </c>
      <c r="L15" s="49" t="s">
        <v>3662</v>
      </c>
      <c r="M15" s="22">
        <v>91</v>
      </c>
    </row>
    <row r="16" spans="1:13" ht="15.75" customHeight="1">
      <c r="A16" s="23">
        <v>12</v>
      </c>
      <c r="B16" s="107" t="s">
        <v>3623</v>
      </c>
      <c r="C16" s="24" t="s">
        <v>274</v>
      </c>
      <c r="D16" s="24" t="s">
        <v>271</v>
      </c>
      <c r="E16" s="24" t="s">
        <v>121</v>
      </c>
      <c r="F16" s="127">
        <v>10</v>
      </c>
      <c r="G16" s="25"/>
      <c r="H16" s="25">
        <v>1</v>
      </c>
      <c r="I16" s="128" t="s">
        <v>3649</v>
      </c>
      <c r="J16" s="127">
        <v>10</v>
      </c>
      <c r="K16" s="112">
        <v>0.5</v>
      </c>
      <c r="L16" s="49" t="s">
        <v>3663</v>
      </c>
      <c r="M16" s="22">
        <v>11</v>
      </c>
    </row>
    <row r="17" spans="1:13" ht="15.75" customHeight="1">
      <c r="A17" s="19">
        <v>13</v>
      </c>
      <c r="B17" s="107" t="s">
        <v>3623</v>
      </c>
      <c r="C17" s="20" t="s">
        <v>313</v>
      </c>
      <c r="D17" s="20" t="s">
        <v>169</v>
      </c>
      <c r="E17" s="20" t="s">
        <v>259</v>
      </c>
      <c r="F17" s="127">
        <v>40</v>
      </c>
      <c r="G17" s="21">
        <v>4</v>
      </c>
      <c r="H17" s="21"/>
      <c r="I17" s="128" t="s">
        <v>3649</v>
      </c>
      <c r="J17" s="127">
        <v>40</v>
      </c>
      <c r="K17" s="108">
        <v>2</v>
      </c>
      <c r="L17" s="49" t="s">
        <v>3663</v>
      </c>
      <c r="M17" s="22">
        <v>64</v>
      </c>
    </row>
    <row r="18" spans="1:13" ht="15.75" customHeight="1">
      <c r="A18" s="23">
        <v>14</v>
      </c>
      <c r="B18" s="107" t="s">
        <v>3623</v>
      </c>
      <c r="C18" s="24" t="s">
        <v>2836</v>
      </c>
      <c r="D18" s="24" t="s">
        <v>194</v>
      </c>
      <c r="E18" s="24" t="s">
        <v>2837</v>
      </c>
      <c r="F18" s="25"/>
      <c r="G18" s="25">
        <v>1</v>
      </c>
      <c r="H18" s="127">
        <v>10</v>
      </c>
      <c r="I18" s="128" t="s">
        <v>3651</v>
      </c>
      <c r="J18" s="127">
        <v>10</v>
      </c>
      <c r="K18" s="112">
        <v>0.5</v>
      </c>
      <c r="L18" s="49" t="s">
        <v>3663</v>
      </c>
      <c r="M18" s="22">
        <v>11</v>
      </c>
    </row>
    <row r="19" spans="1:13" ht="15.75" customHeight="1">
      <c r="A19" s="19">
        <v>15</v>
      </c>
      <c r="B19" s="107" t="s">
        <v>3623</v>
      </c>
      <c r="C19" s="20" t="s">
        <v>177</v>
      </c>
      <c r="D19" s="20" t="s">
        <v>169</v>
      </c>
      <c r="E19" s="20" t="s">
        <v>50</v>
      </c>
      <c r="F19" s="127">
        <v>39</v>
      </c>
      <c r="G19" s="21">
        <v>4</v>
      </c>
      <c r="H19" s="21"/>
      <c r="I19" s="128" t="s">
        <v>3649</v>
      </c>
      <c r="J19" s="127">
        <v>39</v>
      </c>
      <c r="K19" s="108">
        <v>2</v>
      </c>
      <c r="L19" s="49" t="s">
        <v>3664</v>
      </c>
      <c r="M19" s="22">
        <v>43</v>
      </c>
    </row>
    <row r="20" spans="1:13" ht="15.75" customHeight="1">
      <c r="A20" s="23">
        <v>16</v>
      </c>
      <c r="B20" s="107" t="s">
        <v>3623</v>
      </c>
      <c r="C20" s="24" t="s">
        <v>288</v>
      </c>
      <c r="D20" s="24" t="s">
        <v>283</v>
      </c>
      <c r="E20" s="24" t="s">
        <v>22</v>
      </c>
      <c r="F20" s="127">
        <v>54</v>
      </c>
      <c r="G20" s="25">
        <v>6</v>
      </c>
      <c r="H20" s="25"/>
      <c r="I20" s="128" t="s">
        <v>3649</v>
      </c>
      <c r="J20" s="127">
        <v>54</v>
      </c>
      <c r="K20" s="112">
        <v>3</v>
      </c>
      <c r="L20" s="49" t="s">
        <v>3665</v>
      </c>
      <c r="M20" s="22">
        <v>60</v>
      </c>
    </row>
    <row r="21" spans="1:13" ht="15.75" customHeight="1">
      <c r="A21" s="19">
        <v>17</v>
      </c>
      <c r="B21" s="107" t="s">
        <v>3623</v>
      </c>
      <c r="C21" s="20" t="s">
        <v>282</v>
      </c>
      <c r="D21" s="20" t="s">
        <v>283</v>
      </c>
      <c r="E21" s="20" t="s">
        <v>284</v>
      </c>
      <c r="F21" s="127">
        <v>27</v>
      </c>
      <c r="G21" s="21"/>
      <c r="H21" s="21">
        <v>3</v>
      </c>
      <c r="I21" s="128" t="s">
        <v>3649</v>
      </c>
      <c r="J21" s="127">
        <v>27</v>
      </c>
      <c r="K21" s="108">
        <v>1.5</v>
      </c>
      <c r="L21" s="49" t="s">
        <v>3665</v>
      </c>
      <c r="M21" s="22">
        <v>30</v>
      </c>
    </row>
    <row r="22" spans="1:13" ht="15.75" customHeight="1">
      <c r="A22" s="23">
        <v>18</v>
      </c>
      <c r="B22" s="107" t="s">
        <v>3623</v>
      </c>
      <c r="C22" s="24" t="s">
        <v>363</v>
      </c>
      <c r="D22" s="24" t="s">
        <v>169</v>
      </c>
      <c r="E22" s="24" t="s">
        <v>53</v>
      </c>
      <c r="F22" s="127">
        <v>26</v>
      </c>
      <c r="G22" s="25"/>
      <c r="H22" s="25">
        <v>3</v>
      </c>
      <c r="I22" s="128" t="s">
        <v>3649</v>
      </c>
      <c r="J22" s="127">
        <v>26</v>
      </c>
      <c r="K22" s="112">
        <v>1.5</v>
      </c>
      <c r="L22" s="49" t="s">
        <v>3666</v>
      </c>
      <c r="M22" s="22">
        <v>29</v>
      </c>
    </row>
    <row r="23" spans="1:13" ht="15.75" customHeight="1">
      <c r="A23" s="19">
        <v>19</v>
      </c>
      <c r="B23" s="107" t="s">
        <v>3623</v>
      </c>
      <c r="C23" s="20" t="s">
        <v>2866</v>
      </c>
      <c r="D23" s="20" t="s">
        <v>211</v>
      </c>
      <c r="E23" s="20" t="s">
        <v>1578</v>
      </c>
      <c r="F23" s="21"/>
      <c r="G23" s="127">
        <v>34</v>
      </c>
      <c r="H23" s="21">
        <v>4</v>
      </c>
      <c r="I23" s="128" t="s">
        <v>3655</v>
      </c>
      <c r="J23" s="127">
        <v>34</v>
      </c>
      <c r="K23" s="108">
        <v>2</v>
      </c>
      <c r="L23" s="49" t="s">
        <v>3667</v>
      </c>
      <c r="M23" s="22">
        <v>43</v>
      </c>
    </row>
    <row r="24" spans="1:13" ht="15.75" customHeight="1">
      <c r="A24" s="23">
        <v>20</v>
      </c>
      <c r="B24" s="107" t="s">
        <v>3623</v>
      </c>
      <c r="C24" s="24" t="s">
        <v>1659</v>
      </c>
      <c r="D24" s="24" t="s">
        <v>1649</v>
      </c>
      <c r="E24" s="24" t="s">
        <v>1660</v>
      </c>
      <c r="F24" s="127">
        <v>70</v>
      </c>
      <c r="G24" s="25"/>
      <c r="H24" s="25">
        <v>9</v>
      </c>
      <c r="I24" s="128" t="s">
        <v>3649</v>
      </c>
      <c r="J24" s="127">
        <v>70</v>
      </c>
      <c r="K24" s="112">
        <v>4.5</v>
      </c>
      <c r="L24" s="49" t="s">
        <v>3668</v>
      </c>
      <c r="M24" s="22">
        <v>79</v>
      </c>
    </row>
    <row r="25" spans="1:13" ht="15.75" customHeight="1">
      <c r="A25" s="19">
        <v>21</v>
      </c>
      <c r="B25" s="107" t="s">
        <v>3623</v>
      </c>
      <c r="C25" s="20" t="s">
        <v>1901</v>
      </c>
      <c r="D25" s="20" t="s">
        <v>362</v>
      </c>
      <c r="E25" s="20" t="s">
        <v>1902</v>
      </c>
      <c r="F25" s="21">
        <v>41</v>
      </c>
      <c r="G25" s="127">
        <v>560</v>
      </c>
      <c r="H25" s="21">
        <v>40</v>
      </c>
      <c r="I25" s="128" t="s">
        <v>3655</v>
      </c>
      <c r="J25" s="127">
        <v>560</v>
      </c>
      <c r="K25" s="108">
        <v>40.5</v>
      </c>
      <c r="L25" s="49" t="s">
        <v>3669</v>
      </c>
      <c r="M25" s="22">
        <v>641</v>
      </c>
    </row>
    <row r="26" spans="1:13" ht="15.75" customHeight="1">
      <c r="A26" s="23">
        <v>22</v>
      </c>
      <c r="B26" s="107" t="s">
        <v>3623</v>
      </c>
      <c r="C26" s="24" t="s">
        <v>1655</v>
      </c>
      <c r="D26" s="24" t="s">
        <v>1649</v>
      </c>
      <c r="E26" s="24" t="s">
        <v>1656</v>
      </c>
      <c r="F26" s="25">
        <v>5</v>
      </c>
      <c r="G26" s="127">
        <v>30</v>
      </c>
      <c r="H26" s="25"/>
      <c r="I26" s="128" t="s">
        <v>3655</v>
      </c>
      <c r="J26" s="127">
        <v>30</v>
      </c>
      <c r="K26" s="112">
        <v>2.5</v>
      </c>
      <c r="L26" s="49" t="s">
        <v>3670</v>
      </c>
      <c r="M26" s="22">
        <v>35</v>
      </c>
    </row>
    <row r="27" spans="1:13" ht="15.75" customHeight="1">
      <c r="A27" s="19">
        <v>23</v>
      </c>
      <c r="B27" s="107" t="s">
        <v>3623</v>
      </c>
      <c r="C27" s="20" t="s">
        <v>258</v>
      </c>
      <c r="D27" s="20" t="s">
        <v>253</v>
      </c>
      <c r="E27" s="20" t="s">
        <v>259</v>
      </c>
      <c r="F27" s="21">
        <v>30</v>
      </c>
      <c r="G27" s="21">
        <v>4</v>
      </c>
      <c r="H27" s="127">
        <v>202</v>
      </c>
      <c r="I27" s="128" t="s">
        <v>3651</v>
      </c>
      <c r="J27" s="127">
        <v>202</v>
      </c>
      <c r="K27" s="108">
        <v>17</v>
      </c>
      <c r="L27" s="49" t="s">
        <v>3671</v>
      </c>
      <c r="M27" s="22">
        <v>236</v>
      </c>
    </row>
    <row r="28" spans="1:13" ht="15.75" customHeight="1">
      <c r="A28" s="23">
        <v>24</v>
      </c>
      <c r="B28" s="107" t="s">
        <v>3623</v>
      </c>
      <c r="C28" s="24" t="s">
        <v>1939</v>
      </c>
      <c r="D28" s="24" t="s">
        <v>362</v>
      </c>
      <c r="E28" s="24" t="s">
        <v>1940</v>
      </c>
      <c r="F28" s="25">
        <v>50</v>
      </c>
      <c r="G28" s="127">
        <v>302</v>
      </c>
      <c r="H28" s="25">
        <v>2</v>
      </c>
      <c r="I28" s="128" t="s">
        <v>3655</v>
      </c>
      <c r="J28" s="127">
        <v>302</v>
      </c>
      <c r="K28" s="112">
        <v>26</v>
      </c>
      <c r="L28" s="49" t="s">
        <v>3672</v>
      </c>
      <c r="M28" s="22">
        <v>354</v>
      </c>
    </row>
    <row r="29" spans="1:13" ht="15.75" customHeight="1">
      <c r="A29" s="19">
        <v>25</v>
      </c>
      <c r="B29" s="107" t="s">
        <v>3623</v>
      </c>
      <c r="C29" s="20" t="s">
        <v>264</v>
      </c>
      <c r="D29" s="20" t="s">
        <v>263</v>
      </c>
      <c r="E29" s="20" t="s">
        <v>42</v>
      </c>
      <c r="F29" s="127">
        <v>56</v>
      </c>
      <c r="G29" s="21"/>
      <c r="H29" s="21">
        <v>10</v>
      </c>
      <c r="I29" s="128" t="s">
        <v>3649</v>
      </c>
      <c r="J29" s="127">
        <v>56</v>
      </c>
      <c r="K29" s="108">
        <v>5</v>
      </c>
      <c r="L29" s="49" t="s">
        <v>3673</v>
      </c>
      <c r="M29" s="22">
        <v>66</v>
      </c>
    </row>
    <row r="30" spans="1:13" ht="15.75" customHeight="1">
      <c r="A30" s="23">
        <v>26</v>
      </c>
      <c r="B30" s="107" t="s">
        <v>3623</v>
      </c>
      <c r="C30" s="24" t="s">
        <v>292</v>
      </c>
      <c r="D30" s="24" t="s">
        <v>283</v>
      </c>
      <c r="E30" s="24" t="s">
        <v>26</v>
      </c>
      <c r="F30" s="127">
        <v>32</v>
      </c>
      <c r="G30" s="25"/>
      <c r="H30" s="25">
        <v>6</v>
      </c>
      <c r="I30" s="128" t="s">
        <v>3649</v>
      </c>
      <c r="J30" s="127">
        <v>32</v>
      </c>
      <c r="K30" s="112">
        <v>3</v>
      </c>
      <c r="L30" s="49" t="s">
        <v>3674</v>
      </c>
      <c r="M30" s="22">
        <v>38</v>
      </c>
    </row>
    <row r="31" spans="1:13" ht="15.75" customHeight="1">
      <c r="A31" s="19">
        <v>27</v>
      </c>
      <c r="B31" s="107" t="s">
        <v>3623</v>
      </c>
      <c r="C31" s="20" t="s">
        <v>243</v>
      </c>
      <c r="D31" s="20" t="s">
        <v>244</v>
      </c>
      <c r="E31" s="20" t="s">
        <v>20</v>
      </c>
      <c r="F31" s="127">
        <v>21</v>
      </c>
      <c r="G31" s="21"/>
      <c r="H31" s="21">
        <v>4</v>
      </c>
      <c r="I31" s="128" t="s">
        <v>3649</v>
      </c>
      <c r="J31" s="127">
        <v>21</v>
      </c>
      <c r="K31" s="108">
        <v>2</v>
      </c>
      <c r="L31" s="49" t="s">
        <v>3675</v>
      </c>
      <c r="M31" s="22">
        <v>25</v>
      </c>
    </row>
    <row r="32" spans="1:13" ht="15.75" customHeight="1">
      <c r="A32" s="23">
        <v>28</v>
      </c>
      <c r="B32" s="107" t="s">
        <v>3623</v>
      </c>
      <c r="C32" s="24" t="s">
        <v>1944</v>
      </c>
      <c r="D32" s="24" t="s">
        <v>1943</v>
      </c>
      <c r="E32" s="24" t="s">
        <v>1909</v>
      </c>
      <c r="F32" s="127">
        <v>5</v>
      </c>
      <c r="G32" s="25">
        <v>1</v>
      </c>
      <c r="H32" s="25"/>
      <c r="I32" s="128" t="s">
        <v>3649</v>
      </c>
      <c r="J32" s="127">
        <v>5</v>
      </c>
      <c r="K32" s="112">
        <v>0.5</v>
      </c>
      <c r="L32" s="49" t="s">
        <v>3676</v>
      </c>
      <c r="M32" s="22">
        <v>6</v>
      </c>
    </row>
    <row r="33" spans="1:13" ht="15.75" customHeight="1">
      <c r="A33" s="19">
        <v>29</v>
      </c>
      <c r="B33" s="107" t="s">
        <v>3623</v>
      </c>
      <c r="C33" s="20" t="s">
        <v>1919</v>
      </c>
      <c r="D33" s="20" t="s">
        <v>362</v>
      </c>
      <c r="E33" s="20" t="s">
        <v>1920</v>
      </c>
      <c r="F33" s="21">
        <v>20</v>
      </c>
      <c r="G33" s="127">
        <v>347</v>
      </c>
      <c r="H33" s="21">
        <v>50</v>
      </c>
      <c r="I33" s="128" t="s">
        <v>3655</v>
      </c>
      <c r="J33" s="127">
        <v>347</v>
      </c>
      <c r="K33" s="108">
        <v>35</v>
      </c>
      <c r="L33" s="49" t="s">
        <v>3677</v>
      </c>
      <c r="M33" s="22">
        <v>442</v>
      </c>
    </row>
    <row r="34" spans="1:13" ht="15.75" customHeight="1">
      <c r="A34" s="23">
        <v>30</v>
      </c>
      <c r="B34" s="107" t="s">
        <v>3623</v>
      </c>
      <c r="C34" s="24" t="s">
        <v>2825</v>
      </c>
      <c r="D34" s="24" t="s">
        <v>362</v>
      </c>
      <c r="E34" s="24" t="s">
        <v>2826</v>
      </c>
      <c r="F34" s="25"/>
      <c r="G34" s="127">
        <v>178</v>
      </c>
      <c r="H34" s="25">
        <v>40</v>
      </c>
      <c r="I34" s="128" t="s">
        <v>3655</v>
      </c>
      <c r="J34" s="127">
        <v>178</v>
      </c>
      <c r="K34" s="112">
        <v>20</v>
      </c>
      <c r="L34" s="49" t="s">
        <v>3678</v>
      </c>
      <c r="M34" s="22">
        <v>218</v>
      </c>
    </row>
    <row r="35" spans="1:13" ht="15.75" customHeight="1">
      <c r="A35" s="19">
        <v>31</v>
      </c>
      <c r="B35" s="107" t="s">
        <v>3623</v>
      </c>
      <c r="C35" s="20" t="s">
        <v>1897</v>
      </c>
      <c r="D35" s="20" t="s">
        <v>294</v>
      </c>
      <c r="E35" s="20" t="s">
        <v>1898</v>
      </c>
      <c r="F35" s="21">
        <v>20</v>
      </c>
      <c r="G35" s="21">
        <v>40</v>
      </c>
      <c r="H35" s="127">
        <v>247</v>
      </c>
      <c r="I35" s="128" t="s">
        <v>3651</v>
      </c>
      <c r="J35" s="127">
        <v>247</v>
      </c>
      <c r="K35" s="108">
        <v>30</v>
      </c>
      <c r="L35" s="49" t="s">
        <v>3679</v>
      </c>
      <c r="M35" s="22">
        <v>317</v>
      </c>
    </row>
    <row r="36" spans="1:13" ht="15.75" customHeight="1">
      <c r="A36" s="23">
        <v>32</v>
      </c>
      <c r="B36" s="107" t="s">
        <v>3623</v>
      </c>
      <c r="C36" s="24" t="s">
        <v>348</v>
      </c>
      <c r="D36" s="24" t="s">
        <v>203</v>
      </c>
      <c r="E36" s="24" t="s">
        <v>349</v>
      </c>
      <c r="F36" s="25">
        <v>190</v>
      </c>
      <c r="G36" s="25">
        <v>50</v>
      </c>
      <c r="H36" s="127">
        <v>970</v>
      </c>
      <c r="I36" s="128" t="s">
        <v>3651</v>
      </c>
      <c r="J36" s="127">
        <v>970</v>
      </c>
      <c r="K36" s="112">
        <v>120</v>
      </c>
      <c r="L36" s="49" t="s">
        <v>3680</v>
      </c>
      <c r="M36" s="22">
        <v>1210</v>
      </c>
    </row>
    <row r="37" spans="1:13" ht="15.75" customHeight="1">
      <c r="A37" s="19">
        <v>33</v>
      </c>
      <c r="B37" s="107" t="s">
        <v>3623</v>
      </c>
      <c r="C37" s="20" t="s">
        <v>1723</v>
      </c>
      <c r="D37" s="20" t="s">
        <v>203</v>
      </c>
      <c r="E37" s="20" t="s">
        <v>1724</v>
      </c>
      <c r="F37" s="127">
        <v>836</v>
      </c>
      <c r="G37" s="21">
        <v>148</v>
      </c>
      <c r="H37" s="21">
        <v>60</v>
      </c>
      <c r="I37" s="128" t="s">
        <v>3649</v>
      </c>
      <c r="J37" s="127">
        <v>836</v>
      </c>
      <c r="K37" s="108">
        <v>104</v>
      </c>
      <c r="L37" s="49" t="s">
        <v>3681</v>
      </c>
      <c r="M37" s="22">
        <v>1164</v>
      </c>
    </row>
    <row r="38" spans="1:13" ht="15.75" customHeight="1">
      <c r="A38" s="23">
        <v>34</v>
      </c>
      <c r="B38" s="107" t="s">
        <v>3623</v>
      </c>
      <c r="C38" s="24" t="s">
        <v>189</v>
      </c>
      <c r="D38" s="24" t="s">
        <v>180</v>
      </c>
      <c r="E38" s="24" t="s">
        <v>190</v>
      </c>
      <c r="F38" s="25">
        <v>2</v>
      </c>
      <c r="G38" s="25"/>
      <c r="H38" s="127">
        <v>8</v>
      </c>
      <c r="I38" s="128" t="s">
        <v>3651</v>
      </c>
      <c r="J38" s="127">
        <v>8</v>
      </c>
      <c r="K38" s="112">
        <v>1</v>
      </c>
      <c r="L38" s="49" t="s">
        <v>3681</v>
      </c>
      <c r="M38" s="22">
        <v>15</v>
      </c>
    </row>
    <row r="39" spans="1:13" ht="15.75" customHeight="1">
      <c r="A39" s="19">
        <v>35</v>
      </c>
      <c r="B39" s="107" t="s">
        <v>3623</v>
      </c>
      <c r="C39" s="20" t="s">
        <v>1926</v>
      </c>
      <c r="D39" s="20" t="s">
        <v>362</v>
      </c>
      <c r="E39" s="20" t="s">
        <v>1927</v>
      </c>
      <c r="F39" s="21">
        <v>5</v>
      </c>
      <c r="G39" s="127">
        <v>20</v>
      </c>
      <c r="H39" s="21"/>
      <c r="I39" s="128" t="s">
        <v>3655</v>
      </c>
      <c r="J39" s="127">
        <v>20</v>
      </c>
      <c r="K39" s="108">
        <v>2.5</v>
      </c>
      <c r="L39" s="49" t="s">
        <v>3681</v>
      </c>
      <c r="M39" s="22">
        <v>25</v>
      </c>
    </row>
    <row r="40" spans="1:13" ht="15.75" customHeight="1">
      <c r="A40" s="23">
        <v>36</v>
      </c>
      <c r="B40" s="107" t="s">
        <v>3623</v>
      </c>
      <c r="C40" s="24" t="s">
        <v>1881</v>
      </c>
      <c r="D40" s="24" t="s">
        <v>294</v>
      </c>
      <c r="E40" s="24" t="s">
        <v>1882</v>
      </c>
      <c r="F40" s="127">
        <v>135</v>
      </c>
      <c r="G40" s="25">
        <v>14</v>
      </c>
      <c r="H40" s="25">
        <v>23</v>
      </c>
      <c r="I40" s="128" t="s">
        <v>3649</v>
      </c>
      <c r="J40" s="127">
        <v>135</v>
      </c>
      <c r="K40" s="112">
        <v>18.5</v>
      </c>
      <c r="L40" s="49" t="s">
        <v>3682</v>
      </c>
      <c r="M40" s="22">
        <v>172</v>
      </c>
    </row>
    <row r="41" spans="1:13" ht="15.75" customHeight="1">
      <c r="A41" s="19">
        <v>37</v>
      </c>
      <c r="B41" s="107" t="s">
        <v>3623</v>
      </c>
      <c r="C41" s="20" t="s">
        <v>229</v>
      </c>
      <c r="D41" s="20" t="s">
        <v>203</v>
      </c>
      <c r="E41" s="20" t="s">
        <v>173</v>
      </c>
      <c r="F41" s="21">
        <v>14</v>
      </c>
      <c r="G41" s="127">
        <v>50</v>
      </c>
      <c r="H41" s="21"/>
      <c r="I41" s="128" t="s">
        <v>3655</v>
      </c>
      <c r="J41" s="127">
        <v>50</v>
      </c>
      <c r="K41" s="108">
        <v>7</v>
      </c>
      <c r="L41" s="49" t="s">
        <v>3683</v>
      </c>
      <c r="M41" s="22">
        <v>64</v>
      </c>
    </row>
    <row r="42" spans="1:13" ht="15.75" customHeight="1">
      <c r="A42" s="23">
        <v>38</v>
      </c>
      <c r="B42" s="107" t="s">
        <v>3623</v>
      </c>
      <c r="C42" s="24" t="s">
        <v>1717</v>
      </c>
      <c r="D42" s="24" t="s">
        <v>203</v>
      </c>
      <c r="E42" s="24" t="s">
        <v>1718</v>
      </c>
      <c r="F42" s="25">
        <v>50</v>
      </c>
      <c r="G42" s="127">
        <v>703</v>
      </c>
      <c r="H42" s="25">
        <v>155</v>
      </c>
      <c r="I42" s="128" t="s">
        <v>3655</v>
      </c>
      <c r="J42" s="127">
        <v>703</v>
      </c>
      <c r="K42" s="112">
        <v>102.5</v>
      </c>
      <c r="L42" s="49" t="s">
        <v>3684</v>
      </c>
      <c r="M42" s="22">
        <v>943</v>
      </c>
    </row>
    <row r="43" spans="1:13" ht="15.75" customHeight="1">
      <c r="A43" s="19">
        <v>39</v>
      </c>
      <c r="B43" s="107" t="s">
        <v>3623</v>
      </c>
      <c r="C43" s="20" t="s">
        <v>1891</v>
      </c>
      <c r="D43" s="20" t="s">
        <v>294</v>
      </c>
      <c r="E43" s="20" t="s">
        <v>1892</v>
      </c>
      <c r="F43" s="127">
        <v>905</v>
      </c>
      <c r="G43" s="21">
        <v>90</v>
      </c>
      <c r="H43" s="21">
        <v>180</v>
      </c>
      <c r="I43" s="128" t="s">
        <v>3649</v>
      </c>
      <c r="J43" s="127">
        <v>905</v>
      </c>
      <c r="K43" s="108">
        <v>135</v>
      </c>
      <c r="L43" s="49" t="s">
        <v>3685</v>
      </c>
      <c r="M43" s="22">
        <v>1275</v>
      </c>
    </row>
    <row r="44" spans="1:13" ht="15.75" customHeight="1">
      <c r="A44" s="23">
        <v>40</v>
      </c>
      <c r="B44" s="107" t="s">
        <v>3623</v>
      </c>
      <c r="C44" s="24" t="s">
        <v>1622</v>
      </c>
      <c r="D44" s="24" t="s">
        <v>194</v>
      </c>
      <c r="E44" s="24" t="s">
        <v>1623</v>
      </c>
      <c r="F44" s="127">
        <v>100</v>
      </c>
      <c r="G44" s="25">
        <v>30</v>
      </c>
      <c r="H44" s="25"/>
      <c r="I44" s="128" t="s">
        <v>3649</v>
      </c>
      <c r="J44" s="127">
        <v>100</v>
      </c>
      <c r="K44" s="112">
        <v>15</v>
      </c>
      <c r="L44" s="49" t="s">
        <v>3685</v>
      </c>
      <c r="M44" s="22">
        <v>130</v>
      </c>
    </row>
    <row r="45" spans="1:13" ht="15.75" customHeight="1">
      <c r="A45" s="19">
        <v>41</v>
      </c>
      <c r="B45" s="107" t="s">
        <v>3623</v>
      </c>
      <c r="C45" s="20" t="s">
        <v>1575</v>
      </c>
      <c r="D45" s="20" t="s">
        <v>253</v>
      </c>
      <c r="E45" s="20" t="s">
        <v>1576</v>
      </c>
      <c r="F45" s="21">
        <v>6</v>
      </c>
      <c r="G45" s="127">
        <v>20</v>
      </c>
      <c r="H45" s="21"/>
      <c r="I45" s="128" t="s">
        <v>3655</v>
      </c>
      <c r="J45" s="127">
        <v>20</v>
      </c>
      <c r="K45" s="108">
        <v>3</v>
      </c>
      <c r="L45" s="49" t="s">
        <v>3685</v>
      </c>
      <c r="M45" s="22">
        <v>26</v>
      </c>
    </row>
    <row r="46" spans="1:13" ht="15.75" customHeight="1">
      <c r="A46" s="23">
        <v>42</v>
      </c>
      <c r="B46" s="107" t="s">
        <v>3623</v>
      </c>
      <c r="C46" s="24" t="s">
        <v>1657</v>
      </c>
      <c r="D46" s="24" t="s">
        <v>1649</v>
      </c>
      <c r="E46" s="24" t="s">
        <v>1658</v>
      </c>
      <c r="F46" s="25">
        <v>10</v>
      </c>
      <c r="G46" s="127">
        <v>32</v>
      </c>
      <c r="H46" s="25"/>
      <c r="I46" s="128" t="s">
        <v>3655</v>
      </c>
      <c r="J46" s="127">
        <v>32</v>
      </c>
      <c r="K46" s="112">
        <v>5</v>
      </c>
      <c r="L46" s="49" t="s">
        <v>3686</v>
      </c>
      <c r="M46" s="22">
        <v>47</v>
      </c>
    </row>
    <row r="47" spans="1:13" ht="15.75" customHeight="1">
      <c r="A47" s="19">
        <v>43</v>
      </c>
      <c r="B47" s="107" t="s">
        <v>3623</v>
      </c>
      <c r="C47" s="20" t="s">
        <v>2368</v>
      </c>
      <c r="D47" s="20" t="s">
        <v>180</v>
      </c>
      <c r="E47" s="20" t="s">
        <v>50</v>
      </c>
      <c r="F47" s="21"/>
      <c r="G47" s="127">
        <v>16</v>
      </c>
      <c r="H47" s="21">
        <v>5</v>
      </c>
      <c r="I47" s="128" t="s">
        <v>3655</v>
      </c>
      <c r="J47" s="127">
        <v>16</v>
      </c>
      <c r="K47" s="108">
        <v>2.5</v>
      </c>
      <c r="L47" s="49" t="s">
        <v>3686</v>
      </c>
      <c r="M47" s="22">
        <v>25</v>
      </c>
    </row>
    <row r="48" spans="1:13" ht="15.75" customHeight="1">
      <c r="A48" s="23">
        <v>44</v>
      </c>
      <c r="B48" s="107" t="s">
        <v>3623</v>
      </c>
      <c r="C48" s="24" t="s">
        <v>1596</v>
      </c>
      <c r="D48" s="24" t="s">
        <v>283</v>
      </c>
      <c r="E48" s="24" t="s">
        <v>1597</v>
      </c>
      <c r="F48" s="25">
        <v>8</v>
      </c>
      <c r="G48" s="127">
        <v>25</v>
      </c>
      <c r="H48" s="25"/>
      <c r="I48" s="128" t="s">
        <v>3655</v>
      </c>
      <c r="J48" s="127">
        <v>25</v>
      </c>
      <c r="K48" s="112">
        <v>4</v>
      </c>
      <c r="L48" s="49" t="s">
        <v>3687</v>
      </c>
      <c r="M48" s="22">
        <v>44</v>
      </c>
    </row>
    <row r="49" spans="1:13" ht="15.75" customHeight="1">
      <c r="A49" s="19">
        <v>45</v>
      </c>
      <c r="B49" s="107" t="s">
        <v>3623</v>
      </c>
      <c r="C49" s="20" t="s">
        <v>254</v>
      </c>
      <c r="D49" s="20" t="s">
        <v>253</v>
      </c>
      <c r="E49" s="20" t="s">
        <v>22</v>
      </c>
      <c r="F49" s="127">
        <v>31</v>
      </c>
      <c r="G49" s="21">
        <v>10</v>
      </c>
      <c r="H49" s="21"/>
      <c r="I49" s="128" t="s">
        <v>3649</v>
      </c>
      <c r="J49" s="127">
        <v>31</v>
      </c>
      <c r="K49" s="108">
        <v>5</v>
      </c>
      <c r="L49" s="49" t="s">
        <v>3687</v>
      </c>
      <c r="M49" s="22">
        <v>41</v>
      </c>
    </row>
    <row r="50" spans="1:13" ht="15.75" customHeight="1">
      <c r="A50" s="23">
        <v>46</v>
      </c>
      <c r="B50" s="107" t="s">
        <v>3623</v>
      </c>
      <c r="C50" s="24" t="s">
        <v>1907</v>
      </c>
      <c r="D50" s="24" t="s">
        <v>1908</v>
      </c>
      <c r="E50" s="24" t="s">
        <v>1909</v>
      </c>
      <c r="F50" s="25">
        <v>20</v>
      </c>
      <c r="G50" s="127">
        <v>82</v>
      </c>
      <c r="H50" s="25">
        <v>7</v>
      </c>
      <c r="I50" s="128" t="s">
        <v>3655</v>
      </c>
      <c r="J50" s="127">
        <v>82</v>
      </c>
      <c r="K50" s="112">
        <v>13.5</v>
      </c>
      <c r="L50" s="49" t="s">
        <v>3688</v>
      </c>
      <c r="M50" s="22">
        <v>109</v>
      </c>
    </row>
    <row r="51" spans="1:13" ht="15.75" customHeight="1">
      <c r="A51" s="19">
        <v>47</v>
      </c>
      <c r="B51" s="107" t="s">
        <v>3623</v>
      </c>
      <c r="C51" s="20" t="s">
        <v>291</v>
      </c>
      <c r="D51" s="20" t="s">
        <v>283</v>
      </c>
      <c r="E51" s="20" t="s">
        <v>24</v>
      </c>
      <c r="F51" s="127">
        <v>500</v>
      </c>
      <c r="G51" s="21">
        <v>150</v>
      </c>
      <c r="H51" s="21">
        <v>15</v>
      </c>
      <c r="I51" s="128" t="s">
        <v>3649</v>
      </c>
      <c r="J51" s="127">
        <v>500</v>
      </c>
      <c r="K51" s="108">
        <v>82.5</v>
      </c>
      <c r="L51" s="49" t="s">
        <v>3688</v>
      </c>
      <c r="M51" s="22">
        <v>665</v>
      </c>
    </row>
    <row r="52" spans="1:13" ht="15.75" customHeight="1">
      <c r="A52" s="23">
        <v>48</v>
      </c>
      <c r="B52" s="107" t="s">
        <v>3623</v>
      </c>
      <c r="C52" s="24" t="s">
        <v>1582</v>
      </c>
      <c r="D52" s="24" t="s">
        <v>1580</v>
      </c>
      <c r="E52" s="24" t="s">
        <v>1583</v>
      </c>
      <c r="F52" s="127">
        <v>30</v>
      </c>
      <c r="G52" s="25"/>
      <c r="H52" s="25">
        <v>10</v>
      </c>
      <c r="I52" s="128" t="s">
        <v>3649</v>
      </c>
      <c r="J52" s="127">
        <v>30</v>
      </c>
      <c r="K52" s="112">
        <v>5</v>
      </c>
      <c r="L52" s="49" t="s">
        <v>3689</v>
      </c>
      <c r="M52" s="22">
        <v>40</v>
      </c>
    </row>
    <row r="53" spans="1:13" ht="15.75" customHeight="1">
      <c r="A53" s="19">
        <v>49</v>
      </c>
      <c r="B53" s="107" t="s">
        <v>3623</v>
      </c>
      <c r="C53" s="20" t="s">
        <v>334</v>
      </c>
      <c r="D53" s="20" t="s">
        <v>203</v>
      </c>
      <c r="E53" s="20" t="s">
        <v>335</v>
      </c>
      <c r="F53" s="127">
        <v>30</v>
      </c>
      <c r="G53" s="21"/>
      <c r="H53" s="21">
        <v>10</v>
      </c>
      <c r="I53" s="128" t="s">
        <v>3649</v>
      </c>
      <c r="J53" s="127">
        <v>30</v>
      </c>
      <c r="K53" s="108">
        <v>5</v>
      </c>
      <c r="L53" s="49" t="s">
        <v>3689</v>
      </c>
      <c r="M53" s="22">
        <v>40</v>
      </c>
    </row>
    <row r="54" spans="1:13" ht="15.75" customHeight="1">
      <c r="A54" s="23">
        <v>50</v>
      </c>
      <c r="B54" s="107" t="s">
        <v>3623</v>
      </c>
      <c r="C54" s="24" t="s">
        <v>1624</v>
      </c>
      <c r="D54" s="24" t="s">
        <v>194</v>
      </c>
      <c r="E54" s="24" t="s">
        <v>1625</v>
      </c>
      <c r="F54" s="25">
        <v>1</v>
      </c>
      <c r="G54" s="127">
        <v>3</v>
      </c>
      <c r="H54" s="25"/>
      <c r="I54" s="128" t="s">
        <v>3655</v>
      </c>
      <c r="J54" s="127">
        <v>3</v>
      </c>
      <c r="K54" s="112">
        <v>0.5</v>
      </c>
      <c r="L54" s="49" t="s">
        <v>3689</v>
      </c>
      <c r="M54" s="22">
        <v>4</v>
      </c>
    </row>
    <row r="55" spans="1:13" ht="15.75" customHeight="1">
      <c r="A55" s="19">
        <v>51</v>
      </c>
      <c r="B55" s="107" t="s">
        <v>3623</v>
      </c>
      <c r="C55" s="20" t="s">
        <v>1951</v>
      </c>
      <c r="D55" s="20" t="s">
        <v>263</v>
      </c>
      <c r="E55" s="20" t="s">
        <v>1689</v>
      </c>
      <c r="F55" s="21">
        <v>1</v>
      </c>
      <c r="G55" s="127">
        <v>3</v>
      </c>
      <c r="H55" s="21"/>
      <c r="I55" s="128" t="s">
        <v>3655</v>
      </c>
      <c r="J55" s="127">
        <v>3</v>
      </c>
      <c r="K55" s="108">
        <v>0.5</v>
      </c>
      <c r="L55" s="49" t="s">
        <v>3689</v>
      </c>
      <c r="M55" s="22">
        <v>4</v>
      </c>
    </row>
    <row r="56" spans="1:13" ht="15.75" customHeight="1">
      <c r="A56" s="23">
        <v>52</v>
      </c>
      <c r="B56" s="107" t="s">
        <v>3623</v>
      </c>
      <c r="C56" s="24" t="s">
        <v>330</v>
      </c>
      <c r="D56" s="24" t="s">
        <v>203</v>
      </c>
      <c r="E56" s="24" t="s">
        <v>331</v>
      </c>
      <c r="F56" s="127">
        <v>30</v>
      </c>
      <c r="G56" s="25">
        <v>10</v>
      </c>
      <c r="H56" s="25"/>
      <c r="I56" s="128" t="s">
        <v>3649</v>
      </c>
      <c r="J56" s="127">
        <v>30</v>
      </c>
      <c r="K56" s="112">
        <v>5</v>
      </c>
      <c r="L56" s="49" t="s">
        <v>3689</v>
      </c>
      <c r="M56" s="22">
        <v>40</v>
      </c>
    </row>
    <row r="57" spans="1:13" ht="15.75" customHeight="1">
      <c r="A57" s="19">
        <v>53</v>
      </c>
      <c r="B57" s="107" t="s">
        <v>3623</v>
      </c>
      <c r="C57" s="20" t="s">
        <v>1915</v>
      </c>
      <c r="D57" s="20" t="s">
        <v>294</v>
      </c>
      <c r="E57" s="20" t="s">
        <v>1916</v>
      </c>
      <c r="F57" s="21">
        <v>100</v>
      </c>
      <c r="G57" s="127">
        <v>300</v>
      </c>
      <c r="H57" s="21"/>
      <c r="I57" s="128" t="s">
        <v>3655</v>
      </c>
      <c r="J57" s="127">
        <v>300</v>
      </c>
      <c r="K57" s="108">
        <v>50</v>
      </c>
      <c r="L57" s="49" t="s">
        <v>3689</v>
      </c>
      <c r="M57" s="22">
        <v>400</v>
      </c>
    </row>
    <row r="58" spans="1:13" ht="15.75" customHeight="1">
      <c r="A58" s="23">
        <v>54</v>
      </c>
      <c r="B58" s="107" t="s">
        <v>3623</v>
      </c>
      <c r="C58" s="24" t="s">
        <v>1552</v>
      </c>
      <c r="D58" s="24" t="s">
        <v>448</v>
      </c>
      <c r="E58" s="24" t="s">
        <v>1553</v>
      </c>
      <c r="F58" s="127">
        <v>30</v>
      </c>
      <c r="G58" s="25"/>
      <c r="H58" s="25">
        <v>10</v>
      </c>
      <c r="I58" s="128" t="s">
        <v>3649</v>
      </c>
      <c r="J58" s="127">
        <v>30</v>
      </c>
      <c r="K58" s="112">
        <v>5</v>
      </c>
      <c r="L58" s="49" t="s">
        <v>3689</v>
      </c>
      <c r="M58" s="22">
        <v>50</v>
      </c>
    </row>
    <row r="59" spans="1:13" ht="15.75" customHeight="1">
      <c r="A59" s="19">
        <v>55</v>
      </c>
      <c r="B59" s="107" t="s">
        <v>3623</v>
      </c>
      <c r="C59" s="20" t="s">
        <v>1871</v>
      </c>
      <c r="D59" s="20" t="s">
        <v>283</v>
      </c>
      <c r="E59" s="20" t="s">
        <v>1872</v>
      </c>
      <c r="F59" s="21">
        <v>20</v>
      </c>
      <c r="G59" s="21">
        <v>10</v>
      </c>
      <c r="H59" s="127">
        <v>90</v>
      </c>
      <c r="I59" s="128" t="s">
        <v>3651</v>
      </c>
      <c r="J59" s="127">
        <v>90</v>
      </c>
      <c r="K59" s="108">
        <v>15</v>
      </c>
      <c r="L59" s="49" t="s">
        <v>3689</v>
      </c>
      <c r="M59" s="22">
        <v>120</v>
      </c>
    </row>
    <row r="60" spans="1:13" ht="15.75" customHeight="1">
      <c r="A60" s="23">
        <v>56</v>
      </c>
      <c r="B60" s="107" t="s">
        <v>3623</v>
      </c>
      <c r="C60" s="24" t="s">
        <v>1899</v>
      </c>
      <c r="D60" s="24" t="s">
        <v>362</v>
      </c>
      <c r="E60" s="24" t="s">
        <v>1900</v>
      </c>
      <c r="F60" s="25">
        <v>30</v>
      </c>
      <c r="G60" s="127">
        <v>506</v>
      </c>
      <c r="H60" s="25">
        <v>145</v>
      </c>
      <c r="I60" s="128" t="s">
        <v>3655</v>
      </c>
      <c r="J60" s="127">
        <v>506</v>
      </c>
      <c r="K60" s="112">
        <v>87.5</v>
      </c>
      <c r="L60" s="49" t="s">
        <v>3690</v>
      </c>
      <c r="M60" s="22">
        <v>706</v>
      </c>
    </row>
    <row r="61" spans="1:13" ht="15.75" customHeight="1">
      <c r="A61" s="19">
        <v>57</v>
      </c>
      <c r="B61" s="107" t="s">
        <v>3623</v>
      </c>
      <c r="C61" s="20" t="s">
        <v>1644</v>
      </c>
      <c r="D61" s="20" t="s">
        <v>169</v>
      </c>
      <c r="E61" s="20" t="s">
        <v>121</v>
      </c>
      <c r="F61" s="127">
        <v>26</v>
      </c>
      <c r="G61" s="21">
        <v>4</v>
      </c>
      <c r="H61" s="21">
        <v>5</v>
      </c>
      <c r="I61" s="128" t="s">
        <v>3649</v>
      </c>
      <c r="J61" s="127">
        <v>26</v>
      </c>
      <c r="K61" s="108">
        <v>4.5</v>
      </c>
      <c r="L61" s="49" t="s">
        <v>3690</v>
      </c>
      <c r="M61" s="22">
        <v>40</v>
      </c>
    </row>
    <row r="62" spans="1:13" ht="15.75" customHeight="1">
      <c r="A62" s="23">
        <v>58</v>
      </c>
      <c r="B62" s="107" t="s">
        <v>3623</v>
      </c>
      <c r="C62" s="24" t="s">
        <v>266</v>
      </c>
      <c r="D62" s="24" t="s">
        <v>263</v>
      </c>
      <c r="E62" s="24" t="s">
        <v>45</v>
      </c>
      <c r="F62" s="127">
        <v>25</v>
      </c>
      <c r="G62" s="25">
        <v>3</v>
      </c>
      <c r="H62" s="25">
        <v>6</v>
      </c>
      <c r="I62" s="128" t="s">
        <v>3649</v>
      </c>
      <c r="J62" s="127">
        <v>25</v>
      </c>
      <c r="K62" s="112">
        <v>4.5</v>
      </c>
      <c r="L62" s="49" t="s">
        <v>3691</v>
      </c>
      <c r="M62" s="22">
        <v>34</v>
      </c>
    </row>
    <row r="63" spans="1:13" ht="15.75" customHeight="1">
      <c r="A63" s="19">
        <v>59</v>
      </c>
      <c r="B63" s="107" t="s">
        <v>3623</v>
      </c>
      <c r="C63" s="20" t="s">
        <v>1806</v>
      </c>
      <c r="D63" s="20" t="s">
        <v>253</v>
      </c>
      <c r="E63" s="20" t="s">
        <v>1807</v>
      </c>
      <c r="F63" s="21">
        <v>95</v>
      </c>
      <c r="G63" s="21">
        <v>51</v>
      </c>
      <c r="H63" s="127">
        <v>394</v>
      </c>
      <c r="I63" s="128" t="s">
        <v>3651</v>
      </c>
      <c r="J63" s="127">
        <v>394</v>
      </c>
      <c r="K63" s="108">
        <v>73</v>
      </c>
      <c r="L63" s="49" t="s">
        <v>3692</v>
      </c>
      <c r="M63" s="22">
        <v>550</v>
      </c>
    </row>
    <row r="64" spans="1:13" ht="15.75" customHeight="1">
      <c r="A64" s="23">
        <v>60</v>
      </c>
      <c r="B64" s="107" t="s">
        <v>3623</v>
      </c>
      <c r="C64" s="24" t="s">
        <v>470</v>
      </c>
      <c r="D64" s="24" t="s">
        <v>169</v>
      </c>
      <c r="E64" s="24" t="s">
        <v>184</v>
      </c>
      <c r="F64" s="25">
        <v>6</v>
      </c>
      <c r="G64" s="127">
        <v>16</v>
      </c>
      <c r="H64" s="25"/>
      <c r="I64" s="128" t="s">
        <v>3655</v>
      </c>
      <c r="J64" s="127">
        <v>16</v>
      </c>
      <c r="K64" s="112">
        <v>3</v>
      </c>
      <c r="L64" s="49" t="s">
        <v>3693</v>
      </c>
      <c r="M64" s="22">
        <v>22</v>
      </c>
    </row>
    <row r="65" spans="1:13" ht="15.75" customHeight="1">
      <c r="A65" s="19">
        <v>61</v>
      </c>
      <c r="B65" s="107" t="s">
        <v>3623</v>
      </c>
      <c r="C65" s="20" t="s">
        <v>179</v>
      </c>
      <c r="D65" s="20" t="s">
        <v>180</v>
      </c>
      <c r="E65" s="20" t="s">
        <v>170</v>
      </c>
      <c r="F65" s="21">
        <v>3</v>
      </c>
      <c r="G65" s="127">
        <v>16</v>
      </c>
      <c r="H65" s="21">
        <v>3</v>
      </c>
      <c r="I65" s="128" t="s">
        <v>3655</v>
      </c>
      <c r="J65" s="127">
        <v>16</v>
      </c>
      <c r="K65" s="108">
        <v>3</v>
      </c>
      <c r="L65" s="49" t="s">
        <v>3693</v>
      </c>
      <c r="M65" s="22">
        <v>22</v>
      </c>
    </row>
    <row r="66" spans="1:13" ht="15.75" customHeight="1">
      <c r="A66" s="23">
        <v>62</v>
      </c>
      <c r="B66" s="107" t="s">
        <v>3623</v>
      </c>
      <c r="C66" s="24" t="s">
        <v>224</v>
      </c>
      <c r="D66" s="24" t="s">
        <v>203</v>
      </c>
      <c r="E66" s="24" t="s">
        <v>225</v>
      </c>
      <c r="F66" s="127">
        <v>64</v>
      </c>
      <c r="G66" s="25">
        <v>5</v>
      </c>
      <c r="H66" s="25">
        <v>20</v>
      </c>
      <c r="I66" s="128" t="s">
        <v>3649</v>
      </c>
      <c r="J66" s="127">
        <v>64</v>
      </c>
      <c r="K66" s="112">
        <v>12.5</v>
      </c>
      <c r="L66" s="49" t="s">
        <v>3694</v>
      </c>
      <c r="M66" s="22">
        <v>89</v>
      </c>
    </row>
    <row r="67" spans="1:13" ht="15.75" customHeight="1">
      <c r="A67" s="19">
        <v>63</v>
      </c>
      <c r="B67" s="107" t="s">
        <v>3623</v>
      </c>
      <c r="C67" s="20" t="s">
        <v>316</v>
      </c>
      <c r="D67" s="20" t="s">
        <v>203</v>
      </c>
      <c r="E67" s="20" t="s">
        <v>225</v>
      </c>
      <c r="F67" s="127">
        <v>50</v>
      </c>
      <c r="G67" s="21">
        <v>20</v>
      </c>
      <c r="H67" s="21"/>
      <c r="I67" s="128" t="s">
        <v>3649</v>
      </c>
      <c r="J67" s="127">
        <v>50</v>
      </c>
      <c r="K67" s="108">
        <v>10</v>
      </c>
      <c r="L67" s="49" t="s">
        <v>3695</v>
      </c>
      <c r="M67" s="22">
        <v>70</v>
      </c>
    </row>
    <row r="68" spans="1:13" ht="15.75" customHeight="1">
      <c r="A68" s="23">
        <v>64</v>
      </c>
      <c r="B68" s="107" t="s">
        <v>3623</v>
      </c>
      <c r="C68" s="24" t="s">
        <v>322</v>
      </c>
      <c r="D68" s="24" t="s">
        <v>169</v>
      </c>
      <c r="E68" s="24" t="s">
        <v>42</v>
      </c>
      <c r="F68" s="25">
        <v>4</v>
      </c>
      <c r="G68" s="127">
        <v>10</v>
      </c>
      <c r="H68" s="25"/>
      <c r="I68" s="128" t="s">
        <v>3655</v>
      </c>
      <c r="J68" s="127">
        <v>10</v>
      </c>
      <c r="K68" s="112">
        <v>2</v>
      </c>
      <c r="L68" s="49" t="s">
        <v>3695</v>
      </c>
      <c r="M68" s="22">
        <v>104</v>
      </c>
    </row>
    <row r="69" spans="1:13" ht="15.75" customHeight="1">
      <c r="A69" s="19">
        <v>65</v>
      </c>
      <c r="B69" s="107" t="s">
        <v>3623</v>
      </c>
      <c r="C69" s="20" t="s">
        <v>1825</v>
      </c>
      <c r="D69" s="20" t="s">
        <v>271</v>
      </c>
      <c r="E69" s="20" t="s">
        <v>1668</v>
      </c>
      <c r="F69" s="21">
        <v>4</v>
      </c>
      <c r="G69" s="21"/>
      <c r="H69" s="127">
        <v>10</v>
      </c>
      <c r="I69" s="128" t="s">
        <v>3651</v>
      </c>
      <c r="J69" s="127">
        <v>10</v>
      </c>
      <c r="K69" s="108">
        <v>2</v>
      </c>
      <c r="L69" s="49" t="s">
        <v>3695</v>
      </c>
      <c r="M69" s="22">
        <v>44</v>
      </c>
    </row>
    <row r="70" spans="1:13" ht="15.75" customHeight="1">
      <c r="A70" s="23">
        <v>66</v>
      </c>
      <c r="B70" s="107" t="s">
        <v>3623</v>
      </c>
      <c r="C70" s="24" t="s">
        <v>1686</v>
      </c>
      <c r="D70" s="24" t="s">
        <v>206</v>
      </c>
      <c r="E70" s="24" t="s">
        <v>1687</v>
      </c>
      <c r="F70" s="25">
        <v>10</v>
      </c>
      <c r="G70" s="25">
        <v>15</v>
      </c>
      <c r="H70" s="127">
        <v>59</v>
      </c>
      <c r="I70" s="128" t="s">
        <v>3651</v>
      </c>
      <c r="J70" s="127">
        <v>59</v>
      </c>
      <c r="K70" s="112">
        <v>12.5</v>
      </c>
      <c r="L70" s="49" t="s">
        <v>3696</v>
      </c>
      <c r="M70" s="22">
        <v>109</v>
      </c>
    </row>
    <row r="71" spans="1:13" ht="15.75" customHeight="1">
      <c r="A71" s="19">
        <v>67</v>
      </c>
      <c r="B71" s="107" t="s">
        <v>3623</v>
      </c>
      <c r="C71" s="20" t="s">
        <v>296</v>
      </c>
      <c r="D71" s="20" t="s">
        <v>294</v>
      </c>
      <c r="E71" s="20" t="s">
        <v>121</v>
      </c>
      <c r="F71" s="127">
        <v>14</v>
      </c>
      <c r="G71" s="21"/>
      <c r="H71" s="21">
        <v>6</v>
      </c>
      <c r="I71" s="128" t="s">
        <v>3649</v>
      </c>
      <c r="J71" s="127">
        <v>14</v>
      </c>
      <c r="K71" s="108">
        <v>3</v>
      </c>
      <c r="L71" s="49" t="s">
        <v>3696</v>
      </c>
      <c r="M71" s="22">
        <v>20</v>
      </c>
    </row>
    <row r="72" spans="1:13" ht="15.75" customHeight="1">
      <c r="A72" s="23">
        <v>68</v>
      </c>
      <c r="B72" s="107" t="s">
        <v>3623</v>
      </c>
      <c r="C72" s="24" t="s">
        <v>2396</v>
      </c>
      <c r="D72" s="24" t="s">
        <v>203</v>
      </c>
      <c r="E72" s="24" t="s">
        <v>2397</v>
      </c>
      <c r="F72" s="25"/>
      <c r="G72" s="127">
        <v>70</v>
      </c>
      <c r="H72" s="25">
        <v>30</v>
      </c>
      <c r="I72" s="128" t="s">
        <v>3655</v>
      </c>
      <c r="J72" s="127">
        <v>70</v>
      </c>
      <c r="K72" s="112">
        <v>15</v>
      </c>
      <c r="L72" s="49" t="s">
        <v>3696</v>
      </c>
      <c r="M72" s="22">
        <v>100</v>
      </c>
    </row>
    <row r="73" spans="1:13" ht="15.75" customHeight="1">
      <c r="A73" s="19">
        <v>69</v>
      </c>
      <c r="B73" s="107" t="s">
        <v>3623</v>
      </c>
      <c r="C73" s="20" t="s">
        <v>1867</v>
      </c>
      <c r="D73" s="20" t="s">
        <v>283</v>
      </c>
      <c r="E73" s="20" t="s">
        <v>1868</v>
      </c>
      <c r="F73" s="127">
        <v>270</v>
      </c>
      <c r="G73" s="21">
        <v>40</v>
      </c>
      <c r="H73" s="21">
        <v>80</v>
      </c>
      <c r="I73" s="128" t="s">
        <v>3649</v>
      </c>
      <c r="J73" s="127">
        <v>270</v>
      </c>
      <c r="K73" s="108">
        <v>60</v>
      </c>
      <c r="L73" s="49" t="s">
        <v>3697</v>
      </c>
      <c r="M73" s="22">
        <v>390</v>
      </c>
    </row>
    <row r="74" spans="1:13" ht="15.75" customHeight="1">
      <c r="A74" s="23">
        <v>70</v>
      </c>
      <c r="B74" s="107" t="s">
        <v>3623</v>
      </c>
      <c r="C74" s="24" t="s">
        <v>2418</v>
      </c>
      <c r="D74" s="24" t="s">
        <v>1937</v>
      </c>
      <c r="E74" s="24" t="s">
        <v>42</v>
      </c>
      <c r="F74" s="25"/>
      <c r="G74" s="127">
        <v>11</v>
      </c>
      <c r="H74" s="25">
        <v>5</v>
      </c>
      <c r="I74" s="128" t="s">
        <v>3655</v>
      </c>
      <c r="J74" s="127">
        <v>11</v>
      </c>
      <c r="K74" s="112">
        <v>2.5</v>
      </c>
      <c r="L74" s="49" t="s">
        <v>3698</v>
      </c>
      <c r="M74" s="22">
        <v>16</v>
      </c>
    </row>
    <row r="75" spans="1:13" ht="15.75" customHeight="1">
      <c r="A75" s="19">
        <v>71</v>
      </c>
      <c r="B75" s="107" t="s">
        <v>3623</v>
      </c>
      <c r="C75" s="20" t="s">
        <v>1711</v>
      </c>
      <c r="D75" s="20" t="s">
        <v>211</v>
      </c>
      <c r="E75" s="20" t="s">
        <v>1712</v>
      </c>
      <c r="F75" s="21">
        <v>19</v>
      </c>
      <c r="G75" s="21"/>
      <c r="H75" s="127">
        <v>41</v>
      </c>
      <c r="I75" s="128" t="s">
        <v>3651</v>
      </c>
      <c r="J75" s="127">
        <v>41</v>
      </c>
      <c r="K75" s="108">
        <v>9.5</v>
      </c>
      <c r="L75" s="49" t="s">
        <v>3699</v>
      </c>
      <c r="M75" s="22">
        <v>80</v>
      </c>
    </row>
    <row r="76" spans="1:13" ht="15.75" customHeight="1">
      <c r="A76" s="23">
        <v>72</v>
      </c>
      <c r="B76" s="107" t="s">
        <v>3623</v>
      </c>
      <c r="C76" s="24" t="s">
        <v>171</v>
      </c>
      <c r="D76" s="24" t="s">
        <v>169</v>
      </c>
      <c r="E76" s="24" t="s">
        <v>47</v>
      </c>
      <c r="F76" s="25">
        <v>3</v>
      </c>
      <c r="G76" s="127">
        <v>28</v>
      </c>
      <c r="H76" s="25">
        <v>10</v>
      </c>
      <c r="I76" s="128" t="s">
        <v>3655</v>
      </c>
      <c r="J76" s="127">
        <v>28</v>
      </c>
      <c r="K76" s="112">
        <v>6.5</v>
      </c>
      <c r="L76" s="49" t="s">
        <v>3699</v>
      </c>
      <c r="M76" s="22">
        <v>41</v>
      </c>
    </row>
    <row r="77" spans="1:13" ht="15.75" customHeight="1">
      <c r="A77" s="19">
        <v>73</v>
      </c>
      <c r="B77" s="107" t="s">
        <v>3623</v>
      </c>
      <c r="C77" s="20" t="s">
        <v>1715</v>
      </c>
      <c r="D77" s="20" t="s">
        <v>203</v>
      </c>
      <c r="E77" s="20" t="s">
        <v>1716</v>
      </c>
      <c r="F77" s="21">
        <v>150</v>
      </c>
      <c r="G77" s="127">
        <v>638</v>
      </c>
      <c r="H77" s="21">
        <v>150</v>
      </c>
      <c r="I77" s="128" t="s">
        <v>3655</v>
      </c>
      <c r="J77" s="127">
        <v>638</v>
      </c>
      <c r="K77" s="108">
        <v>150</v>
      </c>
      <c r="L77" s="49" t="s">
        <v>3699</v>
      </c>
      <c r="M77" s="22">
        <v>988</v>
      </c>
    </row>
    <row r="78" spans="1:13" ht="15.75" customHeight="1">
      <c r="A78" s="23">
        <v>74</v>
      </c>
      <c r="B78" s="107" t="s">
        <v>3623</v>
      </c>
      <c r="C78" s="24" t="s">
        <v>1852</v>
      </c>
      <c r="D78" s="24" t="s">
        <v>278</v>
      </c>
      <c r="E78" s="24" t="s">
        <v>1853</v>
      </c>
      <c r="F78" s="127">
        <v>186</v>
      </c>
      <c r="G78" s="25">
        <v>78</v>
      </c>
      <c r="H78" s="25">
        <v>10</v>
      </c>
      <c r="I78" s="128" t="s">
        <v>3649</v>
      </c>
      <c r="J78" s="127">
        <v>186</v>
      </c>
      <c r="K78" s="112">
        <v>44</v>
      </c>
      <c r="L78" s="49" t="s">
        <v>3700</v>
      </c>
      <c r="M78" s="22">
        <v>374</v>
      </c>
    </row>
    <row r="79" spans="1:13" ht="15.75" customHeight="1">
      <c r="A79" s="19">
        <v>75</v>
      </c>
      <c r="B79" s="107" t="s">
        <v>3623</v>
      </c>
      <c r="C79" s="20" t="s">
        <v>256</v>
      </c>
      <c r="D79" s="20" t="s">
        <v>253</v>
      </c>
      <c r="E79" s="20" t="s">
        <v>24</v>
      </c>
      <c r="F79" s="21">
        <v>54</v>
      </c>
      <c r="G79" s="127">
        <v>110</v>
      </c>
      <c r="H79" s="21"/>
      <c r="I79" s="128" t="s">
        <v>3655</v>
      </c>
      <c r="J79" s="127">
        <v>110</v>
      </c>
      <c r="K79" s="108">
        <v>27</v>
      </c>
      <c r="L79" s="49" t="s">
        <v>3701</v>
      </c>
      <c r="M79" s="22">
        <v>164</v>
      </c>
    </row>
    <row r="80" spans="1:13" ht="15.75" customHeight="1">
      <c r="A80" s="23">
        <v>76</v>
      </c>
      <c r="B80" s="107" t="s">
        <v>3623</v>
      </c>
      <c r="C80" s="24" t="s">
        <v>2838</v>
      </c>
      <c r="D80" s="24" t="s">
        <v>253</v>
      </c>
      <c r="E80" s="24" t="s">
        <v>2839</v>
      </c>
      <c r="F80" s="25"/>
      <c r="G80" s="127">
        <v>242</v>
      </c>
      <c r="H80" s="25">
        <v>120</v>
      </c>
      <c r="I80" s="128" t="s">
        <v>3655</v>
      </c>
      <c r="J80" s="127">
        <v>242</v>
      </c>
      <c r="K80" s="112">
        <v>60</v>
      </c>
      <c r="L80" s="49" t="s">
        <v>3702</v>
      </c>
      <c r="M80" s="22">
        <v>377</v>
      </c>
    </row>
    <row r="81" spans="1:13" ht="15.75" customHeight="1">
      <c r="A81" s="19">
        <v>77</v>
      </c>
      <c r="B81" s="107" t="s">
        <v>3623</v>
      </c>
      <c r="C81" s="20" t="s">
        <v>1579</v>
      </c>
      <c r="D81" s="20" t="s">
        <v>1580</v>
      </c>
      <c r="E81" s="20" t="s">
        <v>1581</v>
      </c>
      <c r="F81" s="127">
        <v>20</v>
      </c>
      <c r="G81" s="21"/>
      <c r="H81" s="21">
        <v>10</v>
      </c>
      <c r="I81" s="128" t="s">
        <v>3649</v>
      </c>
      <c r="J81" s="127">
        <v>20</v>
      </c>
      <c r="K81" s="108">
        <v>5</v>
      </c>
      <c r="L81" s="49" t="s">
        <v>3702</v>
      </c>
      <c r="M81" s="22">
        <v>30</v>
      </c>
    </row>
    <row r="82" spans="1:13" ht="15.75" customHeight="1">
      <c r="A82" s="23">
        <v>78</v>
      </c>
      <c r="B82" s="107" t="s">
        <v>3623</v>
      </c>
      <c r="C82" s="24" t="s">
        <v>281</v>
      </c>
      <c r="D82" s="24" t="s">
        <v>278</v>
      </c>
      <c r="E82" s="24" t="s">
        <v>24</v>
      </c>
      <c r="F82" s="127">
        <v>12</v>
      </c>
      <c r="G82" s="25">
        <v>6</v>
      </c>
      <c r="H82" s="25"/>
      <c r="I82" s="128" t="s">
        <v>3649</v>
      </c>
      <c r="J82" s="127">
        <v>12</v>
      </c>
      <c r="K82" s="112">
        <v>3</v>
      </c>
      <c r="L82" s="49" t="s">
        <v>3702</v>
      </c>
      <c r="M82" s="22">
        <v>18</v>
      </c>
    </row>
    <row r="83" spans="1:13" ht="15.75" customHeight="1">
      <c r="A83" s="19">
        <v>79</v>
      </c>
      <c r="B83" s="107" t="s">
        <v>3623</v>
      </c>
      <c r="C83" s="20" t="s">
        <v>1843</v>
      </c>
      <c r="D83" s="20" t="s">
        <v>271</v>
      </c>
      <c r="E83" s="20" t="s">
        <v>1844</v>
      </c>
      <c r="F83" s="21">
        <v>20</v>
      </c>
      <c r="G83" s="21"/>
      <c r="H83" s="127">
        <v>40</v>
      </c>
      <c r="I83" s="128" t="s">
        <v>3651</v>
      </c>
      <c r="J83" s="127">
        <v>40</v>
      </c>
      <c r="K83" s="108">
        <v>10</v>
      </c>
      <c r="L83" s="49" t="s">
        <v>3702</v>
      </c>
      <c r="M83" s="22">
        <v>105</v>
      </c>
    </row>
    <row r="84" spans="1:13" ht="15.75" customHeight="1">
      <c r="A84" s="23">
        <v>80</v>
      </c>
      <c r="B84" s="107" t="s">
        <v>3623</v>
      </c>
      <c r="C84" s="24" t="s">
        <v>1936</v>
      </c>
      <c r="D84" s="24" t="s">
        <v>1937</v>
      </c>
      <c r="E84" s="24" t="s">
        <v>1911</v>
      </c>
      <c r="F84" s="25">
        <v>5</v>
      </c>
      <c r="G84" s="127">
        <v>10</v>
      </c>
      <c r="H84" s="25"/>
      <c r="I84" s="128" t="s">
        <v>3655</v>
      </c>
      <c r="J84" s="127">
        <v>10</v>
      </c>
      <c r="K84" s="112">
        <v>2.5</v>
      </c>
      <c r="L84" s="49" t="s">
        <v>3702</v>
      </c>
      <c r="M84" s="22">
        <v>15</v>
      </c>
    </row>
    <row r="85" spans="1:13" ht="15.75" customHeight="1">
      <c r="A85" s="19">
        <v>81</v>
      </c>
      <c r="B85" s="107" t="s">
        <v>3623</v>
      </c>
      <c r="C85" s="20" t="s">
        <v>1663</v>
      </c>
      <c r="D85" s="20" t="s">
        <v>448</v>
      </c>
      <c r="E85" s="20" t="s">
        <v>1664</v>
      </c>
      <c r="F85" s="127">
        <v>100</v>
      </c>
      <c r="G85" s="21"/>
      <c r="H85" s="21">
        <v>50</v>
      </c>
      <c r="I85" s="128" t="s">
        <v>3649</v>
      </c>
      <c r="J85" s="127">
        <v>100</v>
      </c>
      <c r="K85" s="108">
        <v>25</v>
      </c>
      <c r="L85" s="49" t="s">
        <v>3702</v>
      </c>
      <c r="M85" s="22">
        <v>150</v>
      </c>
    </row>
    <row r="86" spans="1:13" ht="15.75" customHeight="1">
      <c r="A86" s="23">
        <v>82</v>
      </c>
      <c r="B86" s="107" t="s">
        <v>3623</v>
      </c>
      <c r="C86" s="24" t="s">
        <v>1743</v>
      </c>
      <c r="D86" s="24" t="s">
        <v>203</v>
      </c>
      <c r="E86" s="24" t="s">
        <v>1744</v>
      </c>
      <c r="F86" s="25">
        <v>3</v>
      </c>
      <c r="G86" s="25">
        <v>2</v>
      </c>
      <c r="H86" s="127">
        <v>10</v>
      </c>
      <c r="I86" s="128" t="s">
        <v>3651</v>
      </c>
      <c r="J86" s="127">
        <v>10</v>
      </c>
      <c r="K86" s="112">
        <v>2.5</v>
      </c>
      <c r="L86" s="49" t="s">
        <v>3702</v>
      </c>
      <c r="M86" s="22">
        <v>26</v>
      </c>
    </row>
    <row r="87" spans="1:13" ht="15.75" customHeight="1">
      <c r="A87" s="19">
        <v>83</v>
      </c>
      <c r="B87" s="107" t="s">
        <v>3623</v>
      </c>
      <c r="C87" s="20" t="s">
        <v>191</v>
      </c>
      <c r="D87" s="20" t="s">
        <v>180</v>
      </c>
      <c r="E87" s="20" t="s">
        <v>53</v>
      </c>
      <c r="F87" s="127">
        <v>2</v>
      </c>
      <c r="G87" s="21">
        <v>1</v>
      </c>
      <c r="H87" s="21"/>
      <c r="I87" s="128" t="s">
        <v>3649</v>
      </c>
      <c r="J87" s="127">
        <v>2</v>
      </c>
      <c r="K87" s="108">
        <v>0.5</v>
      </c>
      <c r="L87" s="49" t="s">
        <v>3702</v>
      </c>
      <c r="M87" s="22">
        <v>10</v>
      </c>
    </row>
    <row r="88" spans="1:13" ht="15.75" customHeight="1">
      <c r="A88" s="23">
        <v>84</v>
      </c>
      <c r="B88" s="107" t="s">
        <v>3623</v>
      </c>
      <c r="C88" s="24" t="s">
        <v>1941</v>
      </c>
      <c r="D88" s="24" t="s">
        <v>1908</v>
      </c>
      <c r="E88" s="24" t="s">
        <v>45</v>
      </c>
      <c r="F88" s="127">
        <v>10</v>
      </c>
      <c r="G88" s="25"/>
      <c r="H88" s="25">
        <v>5</v>
      </c>
      <c r="I88" s="128" t="s">
        <v>3649</v>
      </c>
      <c r="J88" s="127">
        <v>10</v>
      </c>
      <c r="K88" s="112">
        <v>2.5</v>
      </c>
      <c r="L88" s="49" t="s">
        <v>3702</v>
      </c>
      <c r="M88" s="22">
        <v>15</v>
      </c>
    </row>
    <row r="89" spans="1:13" ht="15.75" customHeight="1">
      <c r="A89" s="19">
        <v>85</v>
      </c>
      <c r="B89" s="107" t="s">
        <v>3623</v>
      </c>
      <c r="C89" s="20" t="s">
        <v>1942</v>
      </c>
      <c r="D89" s="20" t="s">
        <v>1943</v>
      </c>
      <c r="E89" s="20" t="s">
        <v>45</v>
      </c>
      <c r="F89" s="21">
        <v>10</v>
      </c>
      <c r="G89" s="127">
        <v>20</v>
      </c>
      <c r="H89" s="21"/>
      <c r="I89" s="128" t="s">
        <v>3655</v>
      </c>
      <c r="J89" s="127">
        <v>20</v>
      </c>
      <c r="K89" s="108">
        <v>5</v>
      </c>
      <c r="L89" s="49" t="s">
        <v>3702</v>
      </c>
      <c r="M89" s="22">
        <v>30</v>
      </c>
    </row>
    <row r="90" spans="1:13" ht="15.75" customHeight="1">
      <c r="A90" s="23">
        <v>86</v>
      </c>
      <c r="B90" s="107" t="s">
        <v>3623</v>
      </c>
      <c r="C90" s="24" t="s">
        <v>1571</v>
      </c>
      <c r="D90" s="24" t="s">
        <v>194</v>
      </c>
      <c r="E90" s="24" t="s">
        <v>1572</v>
      </c>
      <c r="F90" s="127">
        <v>2</v>
      </c>
      <c r="G90" s="25">
        <v>1</v>
      </c>
      <c r="H90" s="25"/>
      <c r="I90" s="128" t="s">
        <v>3649</v>
      </c>
      <c r="J90" s="127">
        <v>2</v>
      </c>
      <c r="K90" s="112">
        <v>0.5</v>
      </c>
      <c r="L90" s="49" t="s">
        <v>3702</v>
      </c>
      <c r="M90" s="22">
        <v>3</v>
      </c>
    </row>
    <row r="91" spans="1:13" ht="15.75" customHeight="1">
      <c r="A91" s="19">
        <v>87</v>
      </c>
      <c r="B91" s="107" t="s">
        <v>3623</v>
      </c>
      <c r="C91" s="20" t="s">
        <v>2840</v>
      </c>
      <c r="D91" s="20" t="s">
        <v>2841</v>
      </c>
      <c r="E91" s="20" t="s">
        <v>2842</v>
      </c>
      <c r="F91" s="21"/>
      <c r="G91" s="21">
        <v>5</v>
      </c>
      <c r="H91" s="127">
        <v>10</v>
      </c>
      <c r="I91" s="128" t="s">
        <v>3651</v>
      </c>
      <c r="J91" s="127">
        <v>10</v>
      </c>
      <c r="K91" s="108">
        <v>2.5</v>
      </c>
      <c r="L91" s="49" t="s">
        <v>3702</v>
      </c>
      <c r="M91" s="22">
        <v>15</v>
      </c>
    </row>
    <row r="92" spans="1:13" ht="15.75" customHeight="1">
      <c r="A92" s="23">
        <v>88</v>
      </c>
      <c r="B92" s="107" t="s">
        <v>3623</v>
      </c>
      <c r="C92" s="24" t="s">
        <v>2827</v>
      </c>
      <c r="D92" s="24" t="s">
        <v>206</v>
      </c>
      <c r="E92" s="24" t="s">
        <v>2828</v>
      </c>
      <c r="F92" s="25"/>
      <c r="G92" s="25">
        <v>2</v>
      </c>
      <c r="H92" s="127">
        <v>4</v>
      </c>
      <c r="I92" s="128" t="s">
        <v>3651</v>
      </c>
      <c r="J92" s="127">
        <v>4</v>
      </c>
      <c r="K92" s="112">
        <v>1</v>
      </c>
      <c r="L92" s="49" t="s">
        <v>3702</v>
      </c>
      <c r="M92" s="22">
        <v>6</v>
      </c>
    </row>
    <row r="93" spans="1:13" ht="15.75" customHeight="1">
      <c r="A93" s="19">
        <v>89</v>
      </c>
      <c r="B93" s="107" t="s">
        <v>3623</v>
      </c>
      <c r="C93" s="20" t="s">
        <v>1931</v>
      </c>
      <c r="D93" s="20" t="s">
        <v>362</v>
      </c>
      <c r="E93" s="20" t="s">
        <v>1932</v>
      </c>
      <c r="F93" s="21">
        <v>141</v>
      </c>
      <c r="G93" s="127">
        <v>504</v>
      </c>
      <c r="H93" s="21">
        <v>112</v>
      </c>
      <c r="I93" s="128" t="s">
        <v>3655</v>
      </c>
      <c r="J93" s="127">
        <v>504</v>
      </c>
      <c r="K93" s="108">
        <v>126.5</v>
      </c>
      <c r="L93" s="49" t="s">
        <v>3702</v>
      </c>
      <c r="M93" s="22">
        <v>757</v>
      </c>
    </row>
    <row r="94" spans="1:13" ht="15.75" customHeight="1">
      <c r="A94" s="23">
        <v>90</v>
      </c>
      <c r="B94" s="107" t="s">
        <v>3623</v>
      </c>
      <c r="C94" s="24" t="s">
        <v>1784</v>
      </c>
      <c r="D94" s="24" t="s">
        <v>253</v>
      </c>
      <c r="E94" s="24" t="s">
        <v>1722</v>
      </c>
      <c r="F94" s="127">
        <v>39</v>
      </c>
      <c r="G94" s="25"/>
      <c r="H94" s="25">
        <v>20</v>
      </c>
      <c r="I94" s="128" t="s">
        <v>3649</v>
      </c>
      <c r="J94" s="127">
        <v>39</v>
      </c>
      <c r="K94" s="112">
        <v>10</v>
      </c>
      <c r="L94" s="49" t="s">
        <v>3703</v>
      </c>
      <c r="M94" s="22">
        <v>59</v>
      </c>
    </row>
    <row r="95" spans="1:13" ht="15.75" customHeight="1">
      <c r="A95" s="19">
        <v>91</v>
      </c>
      <c r="B95" s="107" t="s">
        <v>3623</v>
      </c>
      <c r="C95" s="20" t="s">
        <v>1641</v>
      </c>
      <c r="D95" s="20" t="s">
        <v>169</v>
      </c>
      <c r="E95" s="20" t="s">
        <v>20</v>
      </c>
      <c r="F95" s="127">
        <v>159</v>
      </c>
      <c r="G95" s="21">
        <v>42</v>
      </c>
      <c r="H95" s="21">
        <v>40</v>
      </c>
      <c r="I95" s="128" t="s">
        <v>3649</v>
      </c>
      <c r="J95" s="127">
        <v>159</v>
      </c>
      <c r="K95" s="108">
        <v>41</v>
      </c>
      <c r="L95" s="49" t="s">
        <v>3703</v>
      </c>
      <c r="M95" s="22">
        <v>340</v>
      </c>
    </row>
    <row r="96" spans="1:13" ht="15.75" customHeight="1">
      <c r="A96" s="23">
        <v>92</v>
      </c>
      <c r="B96" s="107" t="s">
        <v>3623</v>
      </c>
      <c r="C96" s="24" t="s">
        <v>1903</v>
      </c>
      <c r="D96" s="24" t="s">
        <v>362</v>
      </c>
      <c r="E96" s="24" t="s">
        <v>1904</v>
      </c>
      <c r="F96" s="25">
        <v>10</v>
      </c>
      <c r="G96" s="127">
        <v>122</v>
      </c>
      <c r="H96" s="25">
        <v>55</v>
      </c>
      <c r="I96" s="128" t="s">
        <v>3655</v>
      </c>
      <c r="J96" s="127">
        <v>122</v>
      </c>
      <c r="K96" s="112">
        <v>32.5</v>
      </c>
      <c r="L96" s="49" t="s">
        <v>3704</v>
      </c>
      <c r="M96" s="22">
        <v>187</v>
      </c>
    </row>
    <row r="97" spans="1:13" ht="15.75" customHeight="1">
      <c r="A97" s="19">
        <v>93</v>
      </c>
      <c r="B97" s="107" t="s">
        <v>3623</v>
      </c>
      <c r="C97" s="20" t="s">
        <v>377</v>
      </c>
      <c r="D97" s="20" t="s">
        <v>203</v>
      </c>
      <c r="E97" s="20" t="s">
        <v>378</v>
      </c>
      <c r="F97" s="127">
        <v>160</v>
      </c>
      <c r="G97" s="21">
        <v>60</v>
      </c>
      <c r="H97" s="21">
        <v>30</v>
      </c>
      <c r="I97" s="128" t="s">
        <v>3649</v>
      </c>
      <c r="J97" s="127">
        <v>160</v>
      </c>
      <c r="K97" s="108">
        <v>45</v>
      </c>
      <c r="L97" s="49" t="s">
        <v>3705</v>
      </c>
      <c r="M97" s="22">
        <v>250</v>
      </c>
    </row>
    <row r="98" spans="1:13" ht="15.75" customHeight="1">
      <c r="A98" s="23">
        <v>94</v>
      </c>
      <c r="B98" s="107" t="s">
        <v>3623</v>
      </c>
      <c r="C98" s="24" t="s">
        <v>1836</v>
      </c>
      <c r="D98" s="24" t="s">
        <v>271</v>
      </c>
      <c r="E98" s="24" t="s">
        <v>1837</v>
      </c>
      <c r="F98" s="127">
        <v>70</v>
      </c>
      <c r="G98" s="25"/>
      <c r="H98" s="25">
        <v>40</v>
      </c>
      <c r="I98" s="128" t="s">
        <v>3649</v>
      </c>
      <c r="J98" s="127">
        <v>70</v>
      </c>
      <c r="K98" s="112">
        <v>20</v>
      </c>
      <c r="L98" s="49" t="s">
        <v>3706</v>
      </c>
      <c r="M98" s="22">
        <v>110</v>
      </c>
    </row>
    <row r="99" spans="1:13" ht="15.75" customHeight="1">
      <c r="A99" s="19">
        <v>95</v>
      </c>
      <c r="B99" s="107" t="s">
        <v>3623</v>
      </c>
      <c r="C99" s="20" t="s">
        <v>1924</v>
      </c>
      <c r="D99" s="20" t="s">
        <v>1925</v>
      </c>
      <c r="E99" s="20" t="s">
        <v>1911</v>
      </c>
      <c r="F99" s="21">
        <v>10</v>
      </c>
      <c r="G99" s="127">
        <v>17</v>
      </c>
      <c r="H99" s="21"/>
      <c r="I99" s="128" t="s">
        <v>3655</v>
      </c>
      <c r="J99" s="127">
        <v>17</v>
      </c>
      <c r="K99" s="108">
        <v>5</v>
      </c>
      <c r="L99" s="49" t="s">
        <v>3707</v>
      </c>
      <c r="M99" s="22">
        <v>27</v>
      </c>
    </row>
    <row r="100" spans="1:13" ht="15.75" customHeight="1">
      <c r="A100" s="23">
        <v>96</v>
      </c>
      <c r="B100" s="107" t="s">
        <v>3623</v>
      </c>
      <c r="C100" s="24" t="s">
        <v>1710</v>
      </c>
      <c r="D100" s="24" t="s">
        <v>211</v>
      </c>
      <c r="E100" s="24" t="s">
        <v>1682</v>
      </c>
      <c r="F100" s="25">
        <v>7</v>
      </c>
      <c r="G100" s="127">
        <v>27</v>
      </c>
      <c r="H100" s="25">
        <v>9</v>
      </c>
      <c r="I100" s="128" t="s">
        <v>3655</v>
      </c>
      <c r="J100" s="127">
        <v>27</v>
      </c>
      <c r="K100" s="112">
        <v>8</v>
      </c>
      <c r="L100" s="49" t="s">
        <v>3707</v>
      </c>
      <c r="M100" s="22">
        <v>43</v>
      </c>
    </row>
    <row r="101" spans="1:13" ht="15.75" customHeight="1">
      <c r="A101" s="19">
        <v>97</v>
      </c>
      <c r="B101" s="107" t="s">
        <v>3623</v>
      </c>
      <c r="C101" s="20" t="s">
        <v>212</v>
      </c>
      <c r="D101" s="20" t="s">
        <v>211</v>
      </c>
      <c r="E101" s="20" t="s">
        <v>32</v>
      </c>
      <c r="F101" s="21">
        <v>6</v>
      </c>
      <c r="G101" s="21"/>
      <c r="H101" s="127">
        <v>10</v>
      </c>
      <c r="I101" s="128" t="s">
        <v>3651</v>
      </c>
      <c r="J101" s="127">
        <v>10</v>
      </c>
      <c r="K101" s="108">
        <v>3</v>
      </c>
      <c r="L101" s="49" t="s">
        <v>3708</v>
      </c>
      <c r="M101" s="22">
        <v>16</v>
      </c>
    </row>
    <row r="102" spans="1:13" ht="15.75" customHeight="1">
      <c r="A102" s="23">
        <v>98</v>
      </c>
      <c r="B102" s="107" t="s">
        <v>3623</v>
      </c>
      <c r="C102" s="24" t="s">
        <v>1768</v>
      </c>
      <c r="D102" s="24" t="s">
        <v>244</v>
      </c>
      <c r="E102" s="24" t="s">
        <v>1678</v>
      </c>
      <c r="F102" s="25">
        <v>10</v>
      </c>
      <c r="G102" s="127">
        <v>20</v>
      </c>
      <c r="H102" s="25">
        <v>2</v>
      </c>
      <c r="I102" s="128" t="s">
        <v>3655</v>
      </c>
      <c r="J102" s="127">
        <v>20</v>
      </c>
      <c r="K102" s="112">
        <v>6</v>
      </c>
      <c r="L102" s="49" t="s">
        <v>3708</v>
      </c>
      <c r="M102" s="22">
        <v>32</v>
      </c>
    </row>
    <row r="103" spans="1:13" ht="15.75" customHeight="1">
      <c r="A103" s="19">
        <v>99</v>
      </c>
      <c r="B103" s="107" t="s">
        <v>3623</v>
      </c>
      <c r="C103" s="20" t="s">
        <v>1548</v>
      </c>
      <c r="D103" s="20" t="s">
        <v>448</v>
      </c>
      <c r="E103" s="20" t="s">
        <v>1549</v>
      </c>
      <c r="F103" s="21">
        <v>20</v>
      </c>
      <c r="G103" s="21">
        <v>10</v>
      </c>
      <c r="H103" s="127">
        <v>50</v>
      </c>
      <c r="I103" s="128" t="s">
        <v>3651</v>
      </c>
      <c r="J103" s="127">
        <v>50</v>
      </c>
      <c r="K103" s="108">
        <v>15</v>
      </c>
      <c r="L103" s="49" t="s">
        <v>3708</v>
      </c>
      <c r="M103" s="22">
        <v>105</v>
      </c>
    </row>
    <row r="104" spans="1:13" ht="15.75" customHeight="1">
      <c r="A104" s="23">
        <v>100</v>
      </c>
      <c r="B104" s="107" t="s">
        <v>3623</v>
      </c>
      <c r="C104" s="24" t="s">
        <v>1938</v>
      </c>
      <c r="D104" s="24" t="s">
        <v>1929</v>
      </c>
      <c r="E104" s="24" t="s">
        <v>1909</v>
      </c>
      <c r="F104" s="127">
        <v>5</v>
      </c>
      <c r="G104" s="25">
        <v>3</v>
      </c>
      <c r="H104" s="25"/>
      <c r="I104" s="128" t="s">
        <v>3649</v>
      </c>
      <c r="J104" s="127">
        <v>5</v>
      </c>
      <c r="K104" s="112">
        <v>1.5</v>
      </c>
      <c r="L104" s="49" t="s">
        <v>3708</v>
      </c>
      <c r="M104" s="22">
        <v>8</v>
      </c>
    </row>
    <row r="105" spans="1:13" ht="15.75" customHeight="1">
      <c r="A105" s="19">
        <v>101</v>
      </c>
      <c r="B105" s="107" t="s">
        <v>3623</v>
      </c>
      <c r="C105" s="20" t="s">
        <v>1869</v>
      </c>
      <c r="D105" s="20" t="s">
        <v>283</v>
      </c>
      <c r="E105" s="20" t="s">
        <v>1870</v>
      </c>
      <c r="F105" s="127">
        <v>410</v>
      </c>
      <c r="G105" s="21">
        <v>170</v>
      </c>
      <c r="H105" s="21">
        <v>77</v>
      </c>
      <c r="I105" s="128" t="s">
        <v>3649</v>
      </c>
      <c r="J105" s="127">
        <v>410</v>
      </c>
      <c r="K105" s="108">
        <v>123.5</v>
      </c>
      <c r="L105" s="49" t="s">
        <v>3708</v>
      </c>
      <c r="M105" s="22">
        <v>727</v>
      </c>
    </row>
    <row r="106" spans="1:13" ht="15.75" customHeight="1">
      <c r="A106" s="23">
        <v>102</v>
      </c>
      <c r="B106" s="107" t="s">
        <v>3623</v>
      </c>
      <c r="C106" s="24" t="s">
        <v>387</v>
      </c>
      <c r="D106" s="24" t="s">
        <v>169</v>
      </c>
      <c r="E106" s="24" t="s">
        <v>240</v>
      </c>
      <c r="F106" s="127">
        <v>130</v>
      </c>
      <c r="G106" s="25">
        <v>70</v>
      </c>
      <c r="H106" s="25">
        <v>10</v>
      </c>
      <c r="I106" s="128" t="s">
        <v>3649</v>
      </c>
      <c r="J106" s="127">
        <v>130</v>
      </c>
      <c r="K106" s="112">
        <v>40</v>
      </c>
      <c r="L106" s="49" t="s">
        <v>3709</v>
      </c>
      <c r="M106" s="22">
        <v>220</v>
      </c>
    </row>
    <row r="107" spans="1:13" ht="15.75" customHeight="1">
      <c r="A107" s="19">
        <v>103</v>
      </c>
      <c r="B107" s="107" t="s">
        <v>3623</v>
      </c>
      <c r="C107" s="20" t="s">
        <v>255</v>
      </c>
      <c r="D107" s="20" t="s">
        <v>253</v>
      </c>
      <c r="E107" s="20" t="s">
        <v>45</v>
      </c>
      <c r="F107" s="21">
        <v>10</v>
      </c>
      <c r="G107" s="127">
        <v>26</v>
      </c>
      <c r="H107" s="21">
        <v>6</v>
      </c>
      <c r="I107" s="128" t="s">
        <v>3655</v>
      </c>
      <c r="J107" s="127">
        <v>26</v>
      </c>
      <c r="K107" s="108">
        <v>8</v>
      </c>
      <c r="L107" s="49" t="s">
        <v>3709</v>
      </c>
      <c r="M107" s="22">
        <v>42</v>
      </c>
    </row>
    <row r="108" spans="1:13" ht="15.75" customHeight="1">
      <c r="A108" s="23">
        <v>104</v>
      </c>
      <c r="B108" s="107" t="s">
        <v>3623</v>
      </c>
      <c r="C108" s="24" t="s">
        <v>1694</v>
      </c>
      <c r="D108" s="24" t="s">
        <v>206</v>
      </c>
      <c r="E108" s="24" t="s">
        <v>1695</v>
      </c>
      <c r="F108" s="25">
        <v>25</v>
      </c>
      <c r="G108" s="25"/>
      <c r="H108" s="127">
        <v>40</v>
      </c>
      <c r="I108" s="128" t="s">
        <v>3651</v>
      </c>
      <c r="J108" s="127">
        <v>40</v>
      </c>
      <c r="K108" s="112">
        <v>12.5</v>
      </c>
      <c r="L108" s="49" t="s">
        <v>3709</v>
      </c>
      <c r="M108" s="22">
        <v>85</v>
      </c>
    </row>
    <row r="109" spans="1:13" ht="15.75" customHeight="1">
      <c r="A109" s="19">
        <v>105</v>
      </c>
      <c r="B109" s="107" t="s">
        <v>3623</v>
      </c>
      <c r="C109" s="20" t="s">
        <v>1850</v>
      </c>
      <c r="D109" s="20" t="s">
        <v>278</v>
      </c>
      <c r="E109" s="20" t="s">
        <v>1851</v>
      </c>
      <c r="F109" s="127">
        <v>302</v>
      </c>
      <c r="G109" s="21">
        <v>70</v>
      </c>
      <c r="H109" s="21">
        <v>120</v>
      </c>
      <c r="I109" s="128" t="s">
        <v>3649</v>
      </c>
      <c r="J109" s="127">
        <v>302</v>
      </c>
      <c r="K109" s="108">
        <v>95</v>
      </c>
      <c r="L109" s="49" t="s">
        <v>3709</v>
      </c>
      <c r="M109" s="22">
        <v>667</v>
      </c>
    </row>
    <row r="110" spans="1:13" ht="15.75" customHeight="1">
      <c r="A110" s="23">
        <v>106</v>
      </c>
      <c r="B110" s="107" t="s">
        <v>3623</v>
      </c>
      <c r="C110" s="24" t="s">
        <v>1602</v>
      </c>
      <c r="D110" s="24" t="s">
        <v>294</v>
      </c>
      <c r="E110" s="24" t="s">
        <v>1603</v>
      </c>
      <c r="F110" s="127">
        <v>180</v>
      </c>
      <c r="G110" s="25">
        <v>30</v>
      </c>
      <c r="H110" s="25">
        <v>85</v>
      </c>
      <c r="I110" s="128" t="s">
        <v>3649</v>
      </c>
      <c r="J110" s="127">
        <v>180</v>
      </c>
      <c r="K110" s="112">
        <v>57.5</v>
      </c>
      <c r="L110" s="49" t="s">
        <v>3710</v>
      </c>
      <c r="M110" s="22">
        <v>295</v>
      </c>
    </row>
    <row r="111" spans="1:13" ht="15.75" customHeight="1">
      <c r="A111" s="19">
        <v>107</v>
      </c>
      <c r="B111" s="107" t="s">
        <v>3623</v>
      </c>
      <c r="C111" s="20" t="s">
        <v>174</v>
      </c>
      <c r="D111" s="20" t="s">
        <v>169</v>
      </c>
      <c r="E111" s="20" t="s">
        <v>24</v>
      </c>
      <c r="F111" s="127">
        <v>125</v>
      </c>
      <c r="G111" s="21">
        <v>30</v>
      </c>
      <c r="H111" s="21">
        <v>51</v>
      </c>
      <c r="I111" s="128" t="s">
        <v>3649</v>
      </c>
      <c r="J111" s="127">
        <v>125</v>
      </c>
      <c r="K111" s="108">
        <v>40.5</v>
      </c>
      <c r="L111" s="49" t="s">
        <v>3710</v>
      </c>
      <c r="M111" s="22">
        <v>206</v>
      </c>
    </row>
    <row r="112" spans="1:13" ht="15.75" customHeight="1">
      <c r="A112" s="23">
        <v>108</v>
      </c>
      <c r="B112" s="107" t="s">
        <v>3623</v>
      </c>
      <c r="C112" s="24" t="s">
        <v>1752</v>
      </c>
      <c r="D112" s="24" t="s">
        <v>203</v>
      </c>
      <c r="E112" s="24" t="s">
        <v>1753</v>
      </c>
      <c r="F112" s="25">
        <v>142</v>
      </c>
      <c r="G112" s="25">
        <v>171</v>
      </c>
      <c r="H112" s="127">
        <v>483</v>
      </c>
      <c r="I112" s="128" t="s">
        <v>3651</v>
      </c>
      <c r="J112" s="127">
        <v>483</v>
      </c>
      <c r="K112" s="112">
        <v>156.5</v>
      </c>
      <c r="L112" s="49" t="s">
        <v>3710</v>
      </c>
      <c r="M112" s="22">
        <v>871</v>
      </c>
    </row>
    <row r="113" spans="1:13" ht="15.75" customHeight="1">
      <c r="A113" s="19">
        <v>109</v>
      </c>
      <c r="B113" s="107" t="s">
        <v>3623</v>
      </c>
      <c r="C113" s="20" t="s">
        <v>1558</v>
      </c>
      <c r="D113" s="20" t="s">
        <v>211</v>
      </c>
      <c r="E113" s="20" t="s">
        <v>1559</v>
      </c>
      <c r="F113" s="21">
        <v>10</v>
      </c>
      <c r="G113" s="21">
        <v>3</v>
      </c>
      <c r="H113" s="127">
        <v>20</v>
      </c>
      <c r="I113" s="128" t="s">
        <v>3651</v>
      </c>
      <c r="J113" s="127">
        <v>20</v>
      </c>
      <c r="K113" s="108">
        <v>6.5</v>
      </c>
      <c r="L113" s="49" t="s">
        <v>3710</v>
      </c>
      <c r="M113" s="22">
        <v>33</v>
      </c>
    </row>
    <row r="114" spans="1:13" ht="15.75" customHeight="1">
      <c r="A114" s="23">
        <v>110</v>
      </c>
      <c r="B114" s="107" t="s">
        <v>3623</v>
      </c>
      <c r="C114" s="24" t="s">
        <v>379</v>
      </c>
      <c r="D114" s="24" t="s">
        <v>203</v>
      </c>
      <c r="E114" s="24" t="s">
        <v>380</v>
      </c>
      <c r="F114" s="25">
        <v>120</v>
      </c>
      <c r="G114" s="25">
        <v>10</v>
      </c>
      <c r="H114" s="127">
        <v>200</v>
      </c>
      <c r="I114" s="128" t="s">
        <v>3651</v>
      </c>
      <c r="J114" s="127">
        <v>200</v>
      </c>
      <c r="K114" s="112">
        <v>65</v>
      </c>
      <c r="L114" s="49" t="s">
        <v>3710</v>
      </c>
      <c r="M114" s="22">
        <v>330</v>
      </c>
    </row>
    <row r="115" spans="1:13" ht="15.75" customHeight="1">
      <c r="A115" s="19">
        <v>111</v>
      </c>
      <c r="B115" s="107" t="s">
        <v>3623</v>
      </c>
      <c r="C115" s="20" t="s">
        <v>233</v>
      </c>
      <c r="D115" s="20" t="s">
        <v>203</v>
      </c>
      <c r="E115" s="20" t="s">
        <v>50</v>
      </c>
      <c r="F115" s="127">
        <v>70</v>
      </c>
      <c r="G115" s="21">
        <v>16</v>
      </c>
      <c r="H115" s="21">
        <v>30</v>
      </c>
      <c r="I115" s="128" t="s">
        <v>3649</v>
      </c>
      <c r="J115" s="127">
        <v>70</v>
      </c>
      <c r="K115" s="108">
        <v>23</v>
      </c>
      <c r="L115" s="49" t="s">
        <v>3711</v>
      </c>
      <c r="M115" s="22">
        <v>116</v>
      </c>
    </row>
    <row r="116" spans="1:13" ht="15.75" customHeight="1">
      <c r="A116" s="23">
        <v>112</v>
      </c>
      <c r="B116" s="107" t="s">
        <v>3623</v>
      </c>
      <c r="C116" s="24" t="s">
        <v>328</v>
      </c>
      <c r="D116" s="24" t="s">
        <v>203</v>
      </c>
      <c r="E116" s="24" t="s">
        <v>329</v>
      </c>
      <c r="F116" s="25">
        <v>40</v>
      </c>
      <c r="G116" s="127">
        <v>60</v>
      </c>
      <c r="H116" s="25"/>
      <c r="I116" s="128" t="s">
        <v>3655</v>
      </c>
      <c r="J116" s="127">
        <v>60</v>
      </c>
      <c r="K116" s="112">
        <v>20</v>
      </c>
      <c r="L116" s="49" t="s">
        <v>3711</v>
      </c>
      <c r="M116" s="22">
        <v>100</v>
      </c>
    </row>
    <row r="117" spans="1:13" ht="15.75" customHeight="1">
      <c r="A117" s="19">
        <v>113</v>
      </c>
      <c r="B117" s="107" t="s">
        <v>3623</v>
      </c>
      <c r="C117" s="20" t="s">
        <v>231</v>
      </c>
      <c r="D117" s="20" t="s">
        <v>203</v>
      </c>
      <c r="E117" s="20" t="s">
        <v>87</v>
      </c>
      <c r="F117" s="127">
        <v>30</v>
      </c>
      <c r="G117" s="21">
        <v>20</v>
      </c>
      <c r="H117" s="21"/>
      <c r="I117" s="128" t="s">
        <v>3649</v>
      </c>
      <c r="J117" s="127">
        <v>30</v>
      </c>
      <c r="K117" s="108">
        <v>10</v>
      </c>
      <c r="L117" s="49" t="s">
        <v>3711</v>
      </c>
      <c r="M117" s="22">
        <v>50</v>
      </c>
    </row>
    <row r="118" spans="1:13" ht="15.75" customHeight="1">
      <c r="A118" s="23">
        <v>114</v>
      </c>
      <c r="B118" s="107" t="s">
        <v>3623</v>
      </c>
      <c r="C118" s="24" t="s">
        <v>205</v>
      </c>
      <c r="D118" s="24" t="s">
        <v>206</v>
      </c>
      <c r="E118" s="24" t="s">
        <v>32</v>
      </c>
      <c r="F118" s="127">
        <v>30</v>
      </c>
      <c r="G118" s="25">
        <v>20</v>
      </c>
      <c r="H118" s="25"/>
      <c r="I118" s="128" t="s">
        <v>3649</v>
      </c>
      <c r="J118" s="127">
        <v>30</v>
      </c>
      <c r="K118" s="112">
        <v>10</v>
      </c>
      <c r="L118" s="49" t="s">
        <v>3711</v>
      </c>
      <c r="M118" s="22">
        <v>50</v>
      </c>
    </row>
    <row r="119" spans="1:13" ht="15.75" customHeight="1">
      <c r="A119" s="19">
        <v>115</v>
      </c>
      <c r="B119" s="107" t="s">
        <v>3623</v>
      </c>
      <c r="C119" s="20" t="s">
        <v>1933</v>
      </c>
      <c r="D119" s="20" t="s">
        <v>1925</v>
      </c>
      <c r="E119" s="20" t="s">
        <v>1909</v>
      </c>
      <c r="F119" s="21">
        <v>10</v>
      </c>
      <c r="G119" s="127">
        <v>15</v>
      </c>
      <c r="H119" s="21"/>
      <c r="I119" s="128" t="s">
        <v>3655</v>
      </c>
      <c r="J119" s="127">
        <v>15</v>
      </c>
      <c r="K119" s="108">
        <v>5</v>
      </c>
      <c r="L119" s="49" t="s">
        <v>3711</v>
      </c>
      <c r="M119" s="22">
        <v>25</v>
      </c>
    </row>
    <row r="120" spans="1:13" ht="15.75" customHeight="1">
      <c r="A120" s="23">
        <v>116</v>
      </c>
      <c r="B120" s="107" t="s">
        <v>3623</v>
      </c>
      <c r="C120" s="24" t="s">
        <v>1550</v>
      </c>
      <c r="D120" s="24" t="s">
        <v>448</v>
      </c>
      <c r="E120" s="24" t="s">
        <v>1551</v>
      </c>
      <c r="F120" s="25">
        <v>10</v>
      </c>
      <c r="G120" s="25">
        <v>30</v>
      </c>
      <c r="H120" s="127">
        <v>60</v>
      </c>
      <c r="I120" s="128" t="s">
        <v>3651</v>
      </c>
      <c r="J120" s="127">
        <v>60</v>
      </c>
      <c r="K120" s="112">
        <v>20</v>
      </c>
      <c r="L120" s="49" t="s">
        <v>3711</v>
      </c>
      <c r="M120" s="22">
        <v>100</v>
      </c>
    </row>
    <row r="121" spans="1:13" ht="15.75" customHeight="1">
      <c r="A121" s="19">
        <v>117</v>
      </c>
      <c r="B121" s="107" t="s">
        <v>3623</v>
      </c>
      <c r="C121" s="20" t="s">
        <v>373</v>
      </c>
      <c r="D121" s="20" t="s">
        <v>294</v>
      </c>
      <c r="E121" s="20" t="s">
        <v>374</v>
      </c>
      <c r="F121" s="127">
        <v>30</v>
      </c>
      <c r="G121" s="21">
        <v>20</v>
      </c>
      <c r="H121" s="21"/>
      <c r="I121" s="128" t="s">
        <v>3649</v>
      </c>
      <c r="J121" s="127">
        <v>30</v>
      </c>
      <c r="K121" s="108">
        <v>10</v>
      </c>
      <c r="L121" s="49" t="s">
        <v>3711</v>
      </c>
      <c r="M121" s="22">
        <v>50</v>
      </c>
    </row>
    <row r="122" spans="1:13" ht="15.75" customHeight="1">
      <c r="A122" s="23">
        <v>118</v>
      </c>
      <c r="B122" s="107" t="s">
        <v>3623</v>
      </c>
      <c r="C122" s="24" t="s">
        <v>1667</v>
      </c>
      <c r="D122" s="24" t="s">
        <v>206</v>
      </c>
      <c r="E122" s="24" t="s">
        <v>1668</v>
      </c>
      <c r="F122" s="25">
        <v>2</v>
      </c>
      <c r="G122" s="127">
        <v>3</v>
      </c>
      <c r="H122" s="25"/>
      <c r="I122" s="128" t="s">
        <v>3655</v>
      </c>
      <c r="J122" s="127">
        <v>3</v>
      </c>
      <c r="K122" s="112">
        <v>1</v>
      </c>
      <c r="L122" s="49" t="s">
        <v>3711</v>
      </c>
      <c r="M122" s="22">
        <v>5</v>
      </c>
    </row>
    <row r="123" spans="1:13" ht="15.75" customHeight="1">
      <c r="A123" s="19">
        <v>119</v>
      </c>
      <c r="B123" s="107" t="s">
        <v>3623</v>
      </c>
      <c r="C123" s="20" t="s">
        <v>2831</v>
      </c>
      <c r="D123" s="20" t="s">
        <v>203</v>
      </c>
      <c r="E123" s="20" t="s">
        <v>2832</v>
      </c>
      <c r="F123" s="21"/>
      <c r="G123" s="21">
        <v>20</v>
      </c>
      <c r="H123" s="127">
        <v>30</v>
      </c>
      <c r="I123" s="128" t="s">
        <v>3651</v>
      </c>
      <c r="J123" s="127">
        <v>30</v>
      </c>
      <c r="K123" s="108">
        <v>10</v>
      </c>
      <c r="L123" s="49" t="s">
        <v>3711</v>
      </c>
      <c r="M123" s="22">
        <v>95</v>
      </c>
    </row>
    <row r="125" spans="1:13" ht="19.5" customHeight="1">
      <c r="A125" s="143" t="s">
        <v>3712</v>
      </c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</row>
    <row r="126" spans="1:13" ht="15.75" customHeight="1">
      <c r="A126" s="23">
        <v>1</v>
      </c>
      <c r="B126" s="34" t="s">
        <v>3625</v>
      </c>
      <c r="C126" s="24" t="s">
        <v>1467</v>
      </c>
      <c r="D126" s="24" t="s">
        <v>1466</v>
      </c>
      <c r="E126" s="24" t="s">
        <v>24</v>
      </c>
      <c r="F126" s="127">
        <v>27898</v>
      </c>
      <c r="G126" s="25">
        <v>55</v>
      </c>
      <c r="H126" s="25"/>
      <c r="I126" s="128" t="s">
        <v>3649</v>
      </c>
      <c r="J126" s="127">
        <v>27898</v>
      </c>
      <c r="K126" s="112">
        <v>27.5</v>
      </c>
      <c r="L126" s="49" t="s">
        <v>3713</v>
      </c>
      <c r="M126" s="22">
        <v>27953</v>
      </c>
    </row>
    <row r="127" spans="1:13" ht="15.75" customHeight="1">
      <c r="A127" s="19">
        <v>2</v>
      </c>
      <c r="B127" s="34" t="s">
        <v>3625</v>
      </c>
      <c r="C127" s="20" t="s">
        <v>1503</v>
      </c>
      <c r="D127" s="20" t="s">
        <v>1504</v>
      </c>
      <c r="E127" s="20" t="s">
        <v>20</v>
      </c>
      <c r="F127" s="127">
        <v>500</v>
      </c>
      <c r="G127" s="21">
        <v>5</v>
      </c>
      <c r="H127" s="21"/>
      <c r="I127" s="128" t="s">
        <v>3649</v>
      </c>
      <c r="J127" s="127">
        <v>500</v>
      </c>
      <c r="K127" s="108">
        <v>2.5</v>
      </c>
      <c r="L127" s="49" t="s">
        <v>3714</v>
      </c>
      <c r="M127" s="22">
        <v>505</v>
      </c>
    </row>
    <row r="128" spans="1:13" ht="15.75" customHeight="1">
      <c r="A128" s="23">
        <v>3</v>
      </c>
      <c r="B128" s="34" t="s">
        <v>3625</v>
      </c>
      <c r="C128" s="24" t="s">
        <v>2065</v>
      </c>
      <c r="D128" s="24" t="s">
        <v>1493</v>
      </c>
      <c r="E128" s="24" t="s">
        <v>2066</v>
      </c>
      <c r="F128" s="127">
        <v>830</v>
      </c>
      <c r="G128" s="25">
        <v>12</v>
      </c>
      <c r="H128" s="25"/>
      <c r="I128" s="128" t="s">
        <v>3649</v>
      </c>
      <c r="J128" s="127">
        <v>830</v>
      </c>
      <c r="K128" s="112">
        <v>6</v>
      </c>
      <c r="L128" s="49" t="s">
        <v>3715</v>
      </c>
      <c r="M128" s="22">
        <v>842</v>
      </c>
    </row>
    <row r="129" spans="1:13" ht="15.75" customHeight="1">
      <c r="A129" s="19">
        <v>4</v>
      </c>
      <c r="B129" s="34" t="s">
        <v>3625</v>
      </c>
      <c r="C129" s="20" t="s">
        <v>2916</v>
      </c>
      <c r="D129" s="20" t="s">
        <v>1491</v>
      </c>
      <c r="E129" s="20" t="s">
        <v>2917</v>
      </c>
      <c r="F129" s="21"/>
      <c r="G129" s="21">
        <v>1</v>
      </c>
      <c r="H129" s="127">
        <v>50</v>
      </c>
      <c r="I129" s="128" t="s">
        <v>3651</v>
      </c>
      <c r="J129" s="127">
        <v>50</v>
      </c>
      <c r="K129" s="108">
        <v>0.5</v>
      </c>
      <c r="L129" s="49" t="s">
        <v>3716</v>
      </c>
      <c r="M129" s="22">
        <v>51</v>
      </c>
    </row>
    <row r="130" spans="1:13" ht="15.75" customHeight="1">
      <c r="A130" s="23">
        <v>5</v>
      </c>
      <c r="B130" s="34" t="s">
        <v>3625</v>
      </c>
      <c r="C130" s="24" t="s">
        <v>1514</v>
      </c>
      <c r="D130" s="24" t="s">
        <v>1471</v>
      </c>
      <c r="E130" s="24" t="s">
        <v>1515</v>
      </c>
      <c r="F130" s="25">
        <v>10</v>
      </c>
      <c r="G130" s="25"/>
      <c r="H130" s="127">
        <v>200</v>
      </c>
      <c r="I130" s="128" t="s">
        <v>3651</v>
      </c>
      <c r="J130" s="127">
        <v>200</v>
      </c>
      <c r="K130" s="112">
        <v>5</v>
      </c>
      <c r="L130" s="49" t="s">
        <v>3656</v>
      </c>
      <c r="M130" s="22">
        <v>260</v>
      </c>
    </row>
    <row r="131" spans="1:13" ht="15.75" customHeight="1">
      <c r="A131" s="19">
        <v>6</v>
      </c>
      <c r="B131" s="34" t="s">
        <v>3625</v>
      </c>
      <c r="C131" s="20" t="s">
        <v>1501</v>
      </c>
      <c r="D131" s="20" t="s">
        <v>1493</v>
      </c>
      <c r="E131" s="20" t="s">
        <v>26</v>
      </c>
      <c r="F131" s="127">
        <v>524</v>
      </c>
      <c r="G131" s="21">
        <v>17</v>
      </c>
      <c r="H131" s="21">
        <v>13</v>
      </c>
      <c r="I131" s="128" t="s">
        <v>3649</v>
      </c>
      <c r="J131" s="127">
        <v>524</v>
      </c>
      <c r="K131" s="108">
        <v>15</v>
      </c>
      <c r="L131" s="49" t="s">
        <v>3717</v>
      </c>
      <c r="M131" s="22">
        <v>554</v>
      </c>
    </row>
    <row r="132" spans="1:13" ht="15.75" customHeight="1">
      <c r="A132" s="23">
        <v>7</v>
      </c>
      <c r="B132" s="34" t="s">
        <v>3625</v>
      </c>
      <c r="C132" s="24" t="s">
        <v>2072</v>
      </c>
      <c r="D132" s="24" t="s">
        <v>2068</v>
      </c>
      <c r="E132" s="24" t="s">
        <v>2073</v>
      </c>
      <c r="F132" s="127">
        <v>30</v>
      </c>
      <c r="G132" s="25">
        <v>2</v>
      </c>
      <c r="H132" s="25"/>
      <c r="I132" s="128" t="s">
        <v>3649</v>
      </c>
      <c r="J132" s="127">
        <v>30</v>
      </c>
      <c r="K132" s="112">
        <v>1</v>
      </c>
      <c r="L132" s="49" t="s">
        <v>3659</v>
      </c>
      <c r="M132" s="22">
        <v>32</v>
      </c>
    </row>
    <row r="133" spans="1:13" ht="15.75" customHeight="1">
      <c r="A133" s="19">
        <v>8</v>
      </c>
      <c r="B133" s="34" t="s">
        <v>3625</v>
      </c>
      <c r="C133" s="20" t="s">
        <v>2178</v>
      </c>
      <c r="D133" s="20" t="s">
        <v>1475</v>
      </c>
      <c r="E133" s="20" t="s">
        <v>2179</v>
      </c>
      <c r="F133" s="21">
        <v>10</v>
      </c>
      <c r="G133" s="21"/>
      <c r="H133" s="127">
        <v>120</v>
      </c>
      <c r="I133" s="128" t="s">
        <v>3651</v>
      </c>
      <c r="J133" s="127">
        <v>120</v>
      </c>
      <c r="K133" s="108">
        <v>5</v>
      </c>
      <c r="L133" s="49" t="s">
        <v>3662</v>
      </c>
      <c r="M133" s="22">
        <v>150</v>
      </c>
    </row>
    <row r="134" spans="1:13" ht="15.75" customHeight="1">
      <c r="A134" s="23">
        <v>9</v>
      </c>
      <c r="B134" s="34" t="s">
        <v>3625</v>
      </c>
      <c r="C134" s="24" t="s">
        <v>1465</v>
      </c>
      <c r="D134" s="24" t="s">
        <v>1466</v>
      </c>
      <c r="E134" s="24" t="s">
        <v>32</v>
      </c>
      <c r="F134" s="25">
        <v>50</v>
      </c>
      <c r="G134" s="25"/>
      <c r="H134" s="127">
        <v>530</v>
      </c>
      <c r="I134" s="128" t="s">
        <v>3651</v>
      </c>
      <c r="J134" s="127">
        <v>530</v>
      </c>
      <c r="K134" s="112">
        <v>25</v>
      </c>
      <c r="L134" s="49" t="s">
        <v>3718</v>
      </c>
      <c r="M134" s="22">
        <v>580</v>
      </c>
    </row>
    <row r="135" spans="1:13" ht="15.75" customHeight="1">
      <c r="A135" s="19">
        <v>10</v>
      </c>
      <c r="B135" s="34" t="s">
        <v>3625</v>
      </c>
      <c r="C135" s="20" t="s">
        <v>1476</v>
      </c>
      <c r="D135" s="20" t="s">
        <v>1475</v>
      </c>
      <c r="E135" s="20" t="s">
        <v>182</v>
      </c>
      <c r="F135" s="21">
        <v>3</v>
      </c>
      <c r="G135" s="127">
        <v>30</v>
      </c>
      <c r="H135" s="21"/>
      <c r="I135" s="128" t="s">
        <v>3655</v>
      </c>
      <c r="J135" s="127">
        <v>30</v>
      </c>
      <c r="K135" s="108">
        <v>1.5</v>
      </c>
      <c r="L135" s="49" t="s">
        <v>3663</v>
      </c>
      <c r="M135" s="22">
        <v>33</v>
      </c>
    </row>
    <row r="136" spans="1:13" ht="15.75" customHeight="1">
      <c r="A136" s="23">
        <v>11</v>
      </c>
      <c r="B136" s="34" t="s">
        <v>3625</v>
      </c>
      <c r="C136" s="24" t="s">
        <v>2792</v>
      </c>
      <c r="D136" s="24" t="s">
        <v>1481</v>
      </c>
      <c r="E136" s="24" t="s">
        <v>26</v>
      </c>
      <c r="F136" s="25"/>
      <c r="G136" s="127">
        <v>50</v>
      </c>
      <c r="H136" s="25">
        <v>5</v>
      </c>
      <c r="I136" s="128" t="s">
        <v>3655</v>
      </c>
      <c r="J136" s="127">
        <v>50</v>
      </c>
      <c r="K136" s="112">
        <v>2.5</v>
      </c>
      <c r="L136" s="49" t="s">
        <v>3663</v>
      </c>
      <c r="M136" s="22">
        <v>55</v>
      </c>
    </row>
    <row r="137" spans="1:13" ht="15.75" customHeight="1">
      <c r="A137" s="19">
        <v>12</v>
      </c>
      <c r="B137" s="34" t="s">
        <v>3625</v>
      </c>
      <c r="C137" s="20" t="s">
        <v>2910</v>
      </c>
      <c r="D137" s="20" t="s">
        <v>2041</v>
      </c>
      <c r="E137" s="20" t="s">
        <v>2911</v>
      </c>
      <c r="F137" s="21"/>
      <c r="G137" s="21">
        <v>10</v>
      </c>
      <c r="H137" s="127">
        <v>100</v>
      </c>
      <c r="I137" s="128" t="s">
        <v>3651</v>
      </c>
      <c r="J137" s="127">
        <v>100</v>
      </c>
      <c r="K137" s="108">
        <v>5</v>
      </c>
      <c r="L137" s="49" t="s">
        <v>3663</v>
      </c>
      <c r="M137" s="22">
        <v>110</v>
      </c>
    </row>
    <row r="138" spans="1:13" ht="15.75" customHeight="1">
      <c r="A138" s="23">
        <v>13</v>
      </c>
      <c r="B138" s="34" t="s">
        <v>3625</v>
      </c>
      <c r="C138" s="24" t="s">
        <v>2077</v>
      </c>
      <c r="D138" s="24" t="s">
        <v>2008</v>
      </c>
      <c r="E138" s="24" t="s">
        <v>2078</v>
      </c>
      <c r="F138" s="127">
        <v>91</v>
      </c>
      <c r="G138" s="25"/>
      <c r="H138" s="25">
        <v>10</v>
      </c>
      <c r="I138" s="128" t="s">
        <v>3649</v>
      </c>
      <c r="J138" s="127">
        <v>91</v>
      </c>
      <c r="K138" s="112">
        <v>5</v>
      </c>
      <c r="L138" s="49" t="s">
        <v>3719</v>
      </c>
      <c r="M138" s="22">
        <v>101</v>
      </c>
    </row>
    <row r="139" spans="1:13" ht="15.75" customHeight="1">
      <c r="A139" s="19">
        <v>14</v>
      </c>
      <c r="B139" s="34" t="s">
        <v>3625</v>
      </c>
      <c r="C139" s="20" t="s">
        <v>2075</v>
      </c>
      <c r="D139" s="20" t="s">
        <v>2068</v>
      </c>
      <c r="E139" s="20" t="s">
        <v>2076</v>
      </c>
      <c r="F139" s="21">
        <v>15</v>
      </c>
      <c r="G139" s="21">
        <v>10</v>
      </c>
      <c r="H139" s="127">
        <v>200</v>
      </c>
      <c r="I139" s="128" t="s">
        <v>3651</v>
      </c>
      <c r="J139" s="127">
        <v>200</v>
      </c>
      <c r="K139" s="108">
        <v>12.5</v>
      </c>
      <c r="L139" s="49" t="s">
        <v>3720</v>
      </c>
      <c r="M139" s="22">
        <v>225</v>
      </c>
    </row>
    <row r="140" spans="1:13" ht="15.75" customHeight="1">
      <c r="A140" s="23">
        <v>15</v>
      </c>
      <c r="B140" s="34" t="s">
        <v>3625</v>
      </c>
      <c r="C140" s="24" t="s">
        <v>2303</v>
      </c>
      <c r="D140" s="24" t="s">
        <v>1504</v>
      </c>
      <c r="E140" s="24" t="s">
        <v>2304</v>
      </c>
      <c r="F140" s="25">
        <v>1</v>
      </c>
      <c r="G140" s="25"/>
      <c r="H140" s="127">
        <v>7</v>
      </c>
      <c r="I140" s="128" t="s">
        <v>3651</v>
      </c>
      <c r="J140" s="127">
        <v>7</v>
      </c>
      <c r="K140" s="112">
        <v>0.5</v>
      </c>
      <c r="L140" s="49" t="s">
        <v>3721</v>
      </c>
      <c r="M140" s="22">
        <v>18</v>
      </c>
    </row>
    <row r="141" spans="1:13" ht="15.75" customHeight="1">
      <c r="A141" s="19">
        <v>16</v>
      </c>
      <c r="B141" s="34" t="s">
        <v>3625</v>
      </c>
      <c r="C141" s="20" t="s">
        <v>1486</v>
      </c>
      <c r="D141" s="20" t="s">
        <v>1481</v>
      </c>
      <c r="E141" s="20" t="s">
        <v>24</v>
      </c>
      <c r="F141" s="127">
        <v>2048</v>
      </c>
      <c r="G141" s="21">
        <v>334</v>
      </c>
      <c r="H141" s="21">
        <v>6</v>
      </c>
      <c r="I141" s="128" t="s">
        <v>3649</v>
      </c>
      <c r="J141" s="127">
        <v>2048</v>
      </c>
      <c r="K141" s="108">
        <v>170</v>
      </c>
      <c r="L141" s="49" t="s">
        <v>3670</v>
      </c>
      <c r="M141" s="22">
        <v>2405</v>
      </c>
    </row>
    <row r="142" spans="1:13" ht="15.75" customHeight="1">
      <c r="A142" s="23">
        <v>17</v>
      </c>
      <c r="B142" s="34" t="s">
        <v>3625</v>
      </c>
      <c r="C142" s="24" t="s">
        <v>1469</v>
      </c>
      <c r="D142" s="24" t="s">
        <v>1466</v>
      </c>
      <c r="E142" s="24" t="s">
        <v>26</v>
      </c>
      <c r="F142" s="127">
        <v>60</v>
      </c>
      <c r="G142" s="25"/>
      <c r="H142" s="25">
        <v>10</v>
      </c>
      <c r="I142" s="128" t="s">
        <v>3649</v>
      </c>
      <c r="J142" s="127">
        <v>60</v>
      </c>
      <c r="K142" s="112">
        <v>5</v>
      </c>
      <c r="L142" s="49" t="s">
        <v>3670</v>
      </c>
      <c r="M142" s="22">
        <v>70</v>
      </c>
    </row>
    <row r="143" spans="1:13" ht="15.75" customHeight="1">
      <c r="A143" s="19">
        <v>18</v>
      </c>
      <c r="B143" s="34" t="s">
        <v>3625</v>
      </c>
      <c r="C143" s="20" t="s">
        <v>2139</v>
      </c>
      <c r="D143" s="20" t="s">
        <v>1471</v>
      </c>
      <c r="E143" s="20" t="s">
        <v>2140</v>
      </c>
      <c r="F143" s="127">
        <v>250</v>
      </c>
      <c r="G143" s="21">
        <v>35</v>
      </c>
      <c r="H143" s="21">
        <v>8</v>
      </c>
      <c r="I143" s="128" t="s">
        <v>3649</v>
      </c>
      <c r="J143" s="127">
        <v>250</v>
      </c>
      <c r="K143" s="108">
        <v>21.5</v>
      </c>
      <c r="L143" s="49" t="s">
        <v>3672</v>
      </c>
      <c r="M143" s="22">
        <v>313</v>
      </c>
    </row>
    <row r="144" spans="1:13" ht="15.75" customHeight="1">
      <c r="A144" s="23">
        <v>19</v>
      </c>
      <c r="B144" s="34" t="s">
        <v>3625</v>
      </c>
      <c r="C144" s="24" t="s">
        <v>2932</v>
      </c>
      <c r="D144" s="24" t="s">
        <v>1466</v>
      </c>
      <c r="E144" s="24" t="s">
        <v>1700</v>
      </c>
      <c r="F144" s="25"/>
      <c r="G144" s="127">
        <v>110</v>
      </c>
      <c r="H144" s="25">
        <v>20</v>
      </c>
      <c r="I144" s="128" t="s">
        <v>3655</v>
      </c>
      <c r="J144" s="127">
        <v>110</v>
      </c>
      <c r="K144" s="112">
        <v>10</v>
      </c>
      <c r="L144" s="49" t="s">
        <v>3722</v>
      </c>
      <c r="M144" s="22">
        <v>140</v>
      </c>
    </row>
    <row r="145" spans="1:13" ht="15.75" customHeight="1">
      <c r="A145" s="19">
        <v>20</v>
      </c>
      <c r="B145" s="34" t="s">
        <v>3625</v>
      </c>
      <c r="C145" s="20" t="s">
        <v>2106</v>
      </c>
      <c r="D145" s="20" t="s">
        <v>1466</v>
      </c>
      <c r="E145" s="20" t="s">
        <v>1668</v>
      </c>
      <c r="F145" s="21">
        <v>33</v>
      </c>
      <c r="G145" s="127">
        <v>170</v>
      </c>
      <c r="H145" s="21"/>
      <c r="I145" s="128" t="s">
        <v>3655</v>
      </c>
      <c r="J145" s="127">
        <v>170</v>
      </c>
      <c r="K145" s="108">
        <v>16.5</v>
      </c>
      <c r="L145" s="49" t="s">
        <v>3723</v>
      </c>
      <c r="M145" s="22">
        <v>203</v>
      </c>
    </row>
    <row r="146" spans="1:13" ht="15.75" customHeight="1">
      <c r="A146" s="23">
        <v>21</v>
      </c>
      <c r="B146" s="34" t="s">
        <v>3625</v>
      </c>
      <c r="C146" s="24" t="s">
        <v>2293</v>
      </c>
      <c r="D146" s="24" t="s">
        <v>2294</v>
      </c>
      <c r="E146" s="24" t="s">
        <v>1911</v>
      </c>
      <c r="F146" s="127">
        <v>15</v>
      </c>
      <c r="G146" s="25">
        <v>3</v>
      </c>
      <c r="H146" s="25"/>
      <c r="I146" s="128" t="s">
        <v>3649</v>
      </c>
      <c r="J146" s="127">
        <v>15</v>
      </c>
      <c r="K146" s="112">
        <v>1.5</v>
      </c>
      <c r="L146" s="49" t="s">
        <v>3676</v>
      </c>
      <c r="M146" s="22">
        <v>18</v>
      </c>
    </row>
    <row r="147" spans="1:13" ht="15.75" customHeight="1">
      <c r="A147" s="19">
        <v>22</v>
      </c>
      <c r="B147" s="34" t="s">
        <v>3625</v>
      </c>
      <c r="C147" s="20" t="s">
        <v>2237</v>
      </c>
      <c r="D147" s="20" t="s">
        <v>1493</v>
      </c>
      <c r="E147" s="20" t="s">
        <v>2238</v>
      </c>
      <c r="F147" s="127">
        <v>150</v>
      </c>
      <c r="G147" s="21">
        <v>30</v>
      </c>
      <c r="H147" s="21"/>
      <c r="I147" s="128" t="s">
        <v>3649</v>
      </c>
      <c r="J147" s="127">
        <v>150</v>
      </c>
      <c r="K147" s="108">
        <v>15</v>
      </c>
      <c r="L147" s="49" t="s">
        <v>3676</v>
      </c>
      <c r="M147" s="22">
        <v>180</v>
      </c>
    </row>
    <row r="148" spans="1:13" ht="15.75" customHeight="1">
      <c r="A148" s="23">
        <v>23</v>
      </c>
      <c r="B148" s="34" t="s">
        <v>3625</v>
      </c>
      <c r="C148" s="24" t="s">
        <v>2277</v>
      </c>
      <c r="D148" s="24" t="s">
        <v>1523</v>
      </c>
      <c r="E148" s="24" t="s">
        <v>2278</v>
      </c>
      <c r="F148" s="25">
        <v>1</v>
      </c>
      <c r="G148" s="127">
        <v>5</v>
      </c>
      <c r="H148" s="25"/>
      <c r="I148" s="128" t="s">
        <v>3655</v>
      </c>
      <c r="J148" s="127">
        <v>5</v>
      </c>
      <c r="K148" s="112">
        <v>0.5</v>
      </c>
      <c r="L148" s="49" t="s">
        <v>3676</v>
      </c>
      <c r="M148" s="22">
        <v>56</v>
      </c>
    </row>
    <row r="149" spans="1:13" ht="15.75" customHeight="1">
      <c r="A149" s="19">
        <v>24</v>
      </c>
      <c r="B149" s="34" t="s">
        <v>3625</v>
      </c>
      <c r="C149" s="20" t="s">
        <v>2223</v>
      </c>
      <c r="D149" s="20" t="s">
        <v>1493</v>
      </c>
      <c r="E149" s="20" t="s">
        <v>2224</v>
      </c>
      <c r="F149" s="127">
        <v>825</v>
      </c>
      <c r="G149" s="21">
        <v>135</v>
      </c>
      <c r="H149" s="21">
        <v>36</v>
      </c>
      <c r="I149" s="128" t="s">
        <v>3649</v>
      </c>
      <c r="J149" s="127">
        <v>825</v>
      </c>
      <c r="K149" s="108">
        <v>85.5</v>
      </c>
      <c r="L149" s="49" t="s">
        <v>3724</v>
      </c>
      <c r="M149" s="22">
        <v>1176</v>
      </c>
    </row>
    <row r="150" spans="1:13" ht="15.75" customHeight="1">
      <c r="A150" s="23">
        <v>25</v>
      </c>
      <c r="B150" s="34" t="s">
        <v>3625</v>
      </c>
      <c r="C150" s="24" t="s">
        <v>2079</v>
      </c>
      <c r="D150" s="24" t="s">
        <v>2008</v>
      </c>
      <c r="E150" s="24" t="s">
        <v>2080</v>
      </c>
      <c r="F150" s="127">
        <v>45</v>
      </c>
      <c r="G150" s="25"/>
      <c r="H150" s="25">
        <v>10</v>
      </c>
      <c r="I150" s="128" t="s">
        <v>3649</v>
      </c>
      <c r="J150" s="127">
        <v>45</v>
      </c>
      <c r="K150" s="112">
        <v>5</v>
      </c>
      <c r="L150" s="49" t="s">
        <v>3725</v>
      </c>
      <c r="M150" s="22">
        <v>55</v>
      </c>
    </row>
    <row r="151" spans="1:13" ht="15.75" customHeight="1">
      <c r="A151" s="19">
        <v>26</v>
      </c>
      <c r="B151" s="34" t="s">
        <v>3625</v>
      </c>
      <c r="C151" s="20" t="s">
        <v>2043</v>
      </c>
      <c r="D151" s="20" t="s">
        <v>2041</v>
      </c>
      <c r="E151" s="20" t="s">
        <v>2044</v>
      </c>
      <c r="F151" s="127">
        <v>45</v>
      </c>
      <c r="G151" s="21"/>
      <c r="H151" s="21">
        <v>10</v>
      </c>
      <c r="I151" s="128" t="s">
        <v>3649</v>
      </c>
      <c r="J151" s="127">
        <v>45</v>
      </c>
      <c r="K151" s="108">
        <v>5</v>
      </c>
      <c r="L151" s="49" t="s">
        <v>3725</v>
      </c>
      <c r="M151" s="22">
        <v>55</v>
      </c>
    </row>
    <row r="152" spans="1:13" ht="15.75" customHeight="1">
      <c r="A152" s="23">
        <v>27</v>
      </c>
      <c r="B152" s="34" t="s">
        <v>3625</v>
      </c>
      <c r="C152" s="24" t="s">
        <v>2145</v>
      </c>
      <c r="D152" s="24" t="s">
        <v>1471</v>
      </c>
      <c r="E152" s="24" t="s">
        <v>2146</v>
      </c>
      <c r="F152" s="127">
        <v>88</v>
      </c>
      <c r="G152" s="25">
        <v>20</v>
      </c>
      <c r="H152" s="25"/>
      <c r="I152" s="128" t="s">
        <v>3649</v>
      </c>
      <c r="J152" s="127">
        <v>88</v>
      </c>
      <c r="K152" s="112">
        <v>10</v>
      </c>
      <c r="L152" s="49" t="s">
        <v>3726</v>
      </c>
      <c r="M152" s="22">
        <v>108</v>
      </c>
    </row>
    <row r="153" spans="1:13" ht="15.75" customHeight="1">
      <c r="A153" s="19">
        <v>28</v>
      </c>
      <c r="B153" s="34" t="s">
        <v>3625</v>
      </c>
      <c r="C153" s="20" t="s">
        <v>1496</v>
      </c>
      <c r="D153" s="20" t="s">
        <v>1493</v>
      </c>
      <c r="E153" s="20" t="s">
        <v>42</v>
      </c>
      <c r="F153" s="127">
        <v>366</v>
      </c>
      <c r="G153" s="21">
        <v>45</v>
      </c>
      <c r="H153" s="21">
        <v>40</v>
      </c>
      <c r="I153" s="128" t="s">
        <v>3649</v>
      </c>
      <c r="J153" s="127">
        <v>366</v>
      </c>
      <c r="K153" s="108">
        <v>42.5</v>
      </c>
      <c r="L153" s="49" t="s">
        <v>3727</v>
      </c>
      <c r="M153" s="22">
        <v>469</v>
      </c>
    </row>
    <row r="154" spans="1:13" ht="15.75" customHeight="1">
      <c r="A154" s="23">
        <v>29</v>
      </c>
      <c r="B154" s="34" t="s">
        <v>3625</v>
      </c>
      <c r="C154" s="24" t="s">
        <v>2266</v>
      </c>
      <c r="D154" s="24" t="s">
        <v>1510</v>
      </c>
      <c r="E154" s="24" t="s">
        <v>2267</v>
      </c>
      <c r="F154" s="127">
        <v>68</v>
      </c>
      <c r="G154" s="25">
        <v>16</v>
      </c>
      <c r="H154" s="25"/>
      <c r="I154" s="128" t="s">
        <v>3649</v>
      </c>
      <c r="J154" s="127">
        <v>68</v>
      </c>
      <c r="K154" s="112">
        <v>8</v>
      </c>
      <c r="L154" s="49" t="s">
        <v>3728</v>
      </c>
      <c r="M154" s="22">
        <v>84</v>
      </c>
    </row>
    <row r="155" spans="1:13" ht="15.75" customHeight="1">
      <c r="A155" s="19">
        <v>30</v>
      </c>
      <c r="B155" s="34" t="s">
        <v>3625</v>
      </c>
      <c r="C155" s="20" t="s">
        <v>1511</v>
      </c>
      <c r="D155" s="20" t="s">
        <v>1510</v>
      </c>
      <c r="E155" s="20" t="s">
        <v>32</v>
      </c>
      <c r="F155" s="21">
        <v>1</v>
      </c>
      <c r="G155" s="21"/>
      <c r="H155" s="127">
        <v>4</v>
      </c>
      <c r="I155" s="128" t="s">
        <v>3651</v>
      </c>
      <c r="J155" s="127">
        <v>4</v>
      </c>
      <c r="K155" s="108">
        <v>0.5</v>
      </c>
      <c r="L155" s="49" t="s">
        <v>3681</v>
      </c>
      <c r="M155" s="22">
        <v>5</v>
      </c>
    </row>
    <row r="156" spans="1:13" ht="15.75" customHeight="1">
      <c r="A156" s="23">
        <v>31</v>
      </c>
      <c r="B156" s="34" t="s">
        <v>3625</v>
      </c>
      <c r="C156" s="24" t="s">
        <v>1484</v>
      </c>
      <c r="D156" s="24" t="s">
        <v>1481</v>
      </c>
      <c r="E156" s="24" t="s">
        <v>22</v>
      </c>
      <c r="F156" s="25">
        <v>15</v>
      </c>
      <c r="G156" s="127">
        <v>50</v>
      </c>
      <c r="H156" s="25"/>
      <c r="I156" s="128" t="s">
        <v>3655</v>
      </c>
      <c r="J156" s="127">
        <v>50</v>
      </c>
      <c r="K156" s="112">
        <v>7.5</v>
      </c>
      <c r="L156" s="49" t="s">
        <v>3685</v>
      </c>
      <c r="M156" s="22">
        <v>65</v>
      </c>
    </row>
    <row r="157" spans="1:13" ht="15.75" customHeight="1">
      <c r="A157" s="19">
        <v>32</v>
      </c>
      <c r="B157" s="34" t="s">
        <v>3625</v>
      </c>
      <c r="C157" s="20" t="s">
        <v>2272</v>
      </c>
      <c r="D157" s="20" t="s">
        <v>2273</v>
      </c>
      <c r="E157" s="20" t="s">
        <v>1909</v>
      </c>
      <c r="F157" s="127">
        <v>120</v>
      </c>
      <c r="G157" s="21">
        <v>22</v>
      </c>
      <c r="H157" s="21">
        <v>15</v>
      </c>
      <c r="I157" s="128" t="s">
        <v>3649</v>
      </c>
      <c r="J157" s="127">
        <v>120</v>
      </c>
      <c r="K157" s="108">
        <v>18.5</v>
      </c>
      <c r="L157" s="49" t="s">
        <v>3729</v>
      </c>
      <c r="M157" s="22">
        <v>158</v>
      </c>
    </row>
    <row r="158" spans="1:13" ht="15.75" customHeight="1">
      <c r="A158" s="23">
        <v>33</v>
      </c>
      <c r="B158" s="34" t="s">
        <v>3625</v>
      </c>
      <c r="C158" s="24" t="s">
        <v>1485</v>
      </c>
      <c r="D158" s="24" t="s">
        <v>1481</v>
      </c>
      <c r="E158" s="24" t="s">
        <v>45</v>
      </c>
      <c r="F158" s="127">
        <v>296</v>
      </c>
      <c r="G158" s="25">
        <v>78</v>
      </c>
      <c r="H158" s="25">
        <v>17</v>
      </c>
      <c r="I158" s="128" t="s">
        <v>3649</v>
      </c>
      <c r="J158" s="127">
        <v>296</v>
      </c>
      <c r="K158" s="112">
        <v>47.5</v>
      </c>
      <c r="L158" s="49" t="s">
        <v>3687</v>
      </c>
      <c r="M158" s="22">
        <v>395</v>
      </c>
    </row>
    <row r="159" spans="1:13" ht="15.75" customHeight="1">
      <c r="A159" s="19">
        <v>34</v>
      </c>
      <c r="B159" s="34" t="s">
        <v>3625</v>
      </c>
      <c r="C159" s="20" t="s">
        <v>1488</v>
      </c>
      <c r="D159" s="20" t="s">
        <v>1489</v>
      </c>
      <c r="E159" s="20" t="s">
        <v>259</v>
      </c>
      <c r="F159" s="21">
        <v>2</v>
      </c>
      <c r="G159" s="127">
        <v>12</v>
      </c>
      <c r="H159" s="21">
        <v>2</v>
      </c>
      <c r="I159" s="128" t="s">
        <v>3655</v>
      </c>
      <c r="J159" s="127">
        <v>12</v>
      </c>
      <c r="K159" s="108">
        <v>2</v>
      </c>
      <c r="L159" s="49" t="s">
        <v>3689</v>
      </c>
      <c r="M159" s="22">
        <v>16</v>
      </c>
    </row>
    <row r="160" spans="1:13" ht="15.75" customHeight="1">
      <c r="A160" s="23">
        <v>35</v>
      </c>
      <c r="B160" s="34" t="s">
        <v>3625</v>
      </c>
      <c r="C160" s="24" t="s">
        <v>2085</v>
      </c>
      <c r="D160" s="24" t="s">
        <v>1460</v>
      </c>
      <c r="E160" s="24" t="s">
        <v>1700</v>
      </c>
      <c r="F160" s="25">
        <v>10</v>
      </c>
      <c r="G160" s="25"/>
      <c r="H160" s="127">
        <v>30</v>
      </c>
      <c r="I160" s="128" t="s">
        <v>3651</v>
      </c>
      <c r="J160" s="127">
        <v>30</v>
      </c>
      <c r="K160" s="112">
        <v>5</v>
      </c>
      <c r="L160" s="49" t="s">
        <v>3689</v>
      </c>
      <c r="M160" s="22">
        <v>40</v>
      </c>
    </row>
    <row r="161" spans="1:13" ht="15.75" customHeight="1">
      <c r="A161" s="19">
        <v>36</v>
      </c>
      <c r="B161" s="34" t="s">
        <v>3625</v>
      </c>
      <c r="C161" s="20" t="s">
        <v>2279</v>
      </c>
      <c r="D161" s="20" t="s">
        <v>1466</v>
      </c>
      <c r="E161" s="20" t="s">
        <v>2280</v>
      </c>
      <c r="F161" s="127">
        <v>30</v>
      </c>
      <c r="G161" s="21"/>
      <c r="H161" s="21">
        <v>10</v>
      </c>
      <c r="I161" s="128" t="s">
        <v>3649</v>
      </c>
      <c r="J161" s="127">
        <v>30</v>
      </c>
      <c r="K161" s="108">
        <v>5</v>
      </c>
      <c r="L161" s="49" t="s">
        <v>3689</v>
      </c>
      <c r="M161" s="22">
        <v>40</v>
      </c>
    </row>
    <row r="162" spans="1:13" ht="15.75" customHeight="1">
      <c r="A162" s="23">
        <v>37</v>
      </c>
      <c r="B162" s="34" t="s">
        <v>3625</v>
      </c>
      <c r="C162" s="24" t="s">
        <v>2181</v>
      </c>
      <c r="D162" s="24" t="s">
        <v>1481</v>
      </c>
      <c r="E162" s="24" t="s">
        <v>2182</v>
      </c>
      <c r="F162" s="25">
        <v>60</v>
      </c>
      <c r="G162" s="127">
        <v>353</v>
      </c>
      <c r="H162" s="25">
        <v>72</v>
      </c>
      <c r="I162" s="128" t="s">
        <v>3655</v>
      </c>
      <c r="J162" s="127">
        <v>353</v>
      </c>
      <c r="K162" s="112">
        <v>66</v>
      </c>
      <c r="L162" s="49" t="s">
        <v>3693</v>
      </c>
      <c r="M162" s="22">
        <v>515</v>
      </c>
    </row>
    <row r="163" spans="1:13" ht="15.75" customHeight="1">
      <c r="A163" s="19">
        <v>38</v>
      </c>
      <c r="B163" s="34" t="s">
        <v>3625</v>
      </c>
      <c r="C163" s="20" t="s">
        <v>2121</v>
      </c>
      <c r="D163" s="20" t="s">
        <v>1466</v>
      </c>
      <c r="E163" s="20" t="s">
        <v>2122</v>
      </c>
      <c r="F163" s="127">
        <v>208</v>
      </c>
      <c r="G163" s="21">
        <v>28</v>
      </c>
      <c r="H163" s="21">
        <v>50</v>
      </c>
      <c r="I163" s="128" t="s">
        <v>3649</v>
      </c>
      <c r="J163" s="127">
        <v>208</v>
      </c>
      <c r="K163" s="108">
        <v>39</v>
      </c>
      <c r="L163" s="49" t="s">
        <v>3693</v>
      </c>
      <c r="M163" s="22">
        <v>286</v>
      </c>
    </row>
    <row r="164" spans="1:13" ht="15.75" customHeight="1">
      <c r="A164" s="23">
        <v>39</v>
      </c>
      <c r="B164" s="34" t="s">
        <v>3625</v>
      </c>
      <c r="C164" s="24" t="s">
        <v>2250</v>
      </c>
      <c r="D164" s="24" t="s">
        <v>1504</v>
      </c>
      <c r="E164" s="24" t="s">
        <v>2251</v>
      </c>
      <c r="F164" s="127">
        <v>23860</v>
      </c>
      <c r="G164" s="25">
        <v>6440</v>
      </c>
      <c r="H164" s="25">
        <v>2585</v>
      </c>
      <c r="I164" s="128" t="s">
        <v>3649</v>
      </c>
      <c r="J164" s="127">
        <v>23860</v>
      </c>
      <c r="K164" s="112">
        <v>4512.5</v>
      </c>
      <c r="L164" s="49" t="s">
        <v>3693</v>
      </c>
      <c r="M164" s="22">
        <v>36525</v>
      </c>
    </row>
    <row r="165" spans="1:13" ht="15.75" customHeight="1">
      <c r="A165" s="19">
        <v>40</v>
      </c>
      <c r="B165" s="34" t="s">
        <v>3625</v>
      </c>
      <c r="C165" s="20" t="s">
        <v>2129</v>
      </c>
      <c r="D165" s="20" t="s">
        <v>1466</v>
      </c>
      <c r="E165" s="20" t="s">
        <v>2130</v>
      </c>
      <c r="F165" s="127">
        <v>60</v>
      </c>
      <c r="G165" s="21">
        <v>3</v>
      </c>
      <c r="H165" s="21">
        <v>20</v>
      </c>
      <c r="I165" s="128" t="s">
        <v>3649</v>
      </c>
      <c r="J165" s="127">
        <v>60</v>
      </c>
      <c r="K165" s="108">
        <v>11.5</v>
      </c>
      <c r="L165" s="49" t="s">
        <v>3730</v>
      </c>
      <c r="M165" s="22">
        <v>103</v>
      </c>
    </row>
    <row r="166" spans="1:13" ht="15.75" customHeight="1">
      <c r="A166" s="23">
        <v>41</v>
      </c>
      <c r="B166" s="34" t="s">
        <v>3625</v>
      </c>
      <c r="C166" s="24" t="s">
        <v>2045</v>
      </c>
      <c r="D166" s="24" t="s">
        <v>2041</v>
      </c>
      <c r="E166" s="24" t="s">
        <v>2046</v>
      </c>
      <c r="F166" s="25">
        <v>2</v>
      </c>
      <c r="G166" s="127">
        <v>5</v>
      </c>
      <c r="H166" s="25"/>
      <c r="I166" s="128" t="s">
        <v>3655</v>
      </c>
      <c r="J166" s="127">
        <v>5</v>
      </c>
      <c r="K166" s="112">
        <v>1</v>
      </c>
      <c r="L166" s="49" t="s">
        <v>3695</v>
      </c>
      <c r="M166" s="22">
        <v>7</v>
      </c>
    </row>
    <row r="167" spans="1:13" ht="15.75" customHeight="1">
      <c r="A167" s="19">
        <v>42</v>
      </c>
      <c r="B167" s="34" t="s">
        <v>3625</v>
      </c>
      <c r="C167" s="20" t="s">
        <v>2296</v>
      </c>
      <c r="D167" s="20" t="s">
        <v>1523</v>
      </c>
      <c r="E167" s="20" t="s">
        <v>1911</v>
      </c>
      <c r="F167" s="127">
        <v>100</v>
      </c>
      <c r="G167" s="21">
        <v>20</v>
      </c>
      <c r="H167" s="21">
        <v>20</v>
      </c>
      <c r="I167" s="128" t="s">
        <v>3649</v>
      </c>
      <c r="J167" s="127">
        <v>100</v>
      </c>
      <c r="K167" s="108">
        <v>20</v>
      </c>
      <c r="L167" s="49" t="s">
        <v>3695</v>
      </c>
      <c r="M167" s="22">
        <v>140</v>
      </c>
    </row>
    <row r="168" spans="1:13" ht="15.75" customHeight="1">
      <c r="A168" s="23">
        <v>43</v>
      </c>
      <c r="B168" s="34" t="s">
        <v>3625</v>
      </c>
      <c r="C168" s="24" t="s">
        <v>2906</v>
      </c>
      <c r="D168" s="24" t="s">
        <v>1460</v>
      </c>
      <c r="E168" s="24" t="s">
        <v>2907</v>
      </c>
      <c r="F168" s="25"/>
      <c r="G168" s="127">
        <v>25</v>
      </c>
      <c r="H168" s="25">
        <v>10</v>
      </c>
      <c r="I168" s="128" t="s">
        <v>3655</v>
      </c>
      <c r="J168" s="127">
        <v>25</v>
      </c>
      <c r="K168" s="112">
        <v>5</v>
      </c>
      <c r="L168" s="49" t="s">
        <v>3695</v>
      </c>
      <c r="M168" s="22">
        <v>35</v>
      </c>
    </row>
    <row r="169" spans="1:13" ht="15.75" customHeight="1">
      <c r="A169" s="19">
        <v>44</v>
      </c>
      <c r="B169" s="34" t="s">
        <v>3625</v>
      </c>
      <c r="C169" s="20" t="s">
        <v>2092</v>
      </c>
      <c r="D169" s="20" t="s">
        <v>1460</v>
      </c>
      <c r="E169" s="20" t="s">
        <v>2093</v>
      </c>
      <c r="F169" s="127">
        <v>52</v>
      </c>
      <c r="G169" s="21">
        <v>20</v>
      </c>
      <c r="H169" s="21">
        <v>1</v>
      </c>
      <c r="I169" s="128" t="s">
        <v>3649</v>
      </c>
      <c r="J169" s="127">
        <v>52</v>
      </c>
      <c r="K169" s="108">
        <v>10.5</v>
      </c>
      <c r="L169" s="49" t="s">
        <v>3695</v>
      </c>
      <c r="M169" s="22">
        <v>73</v>
      </c>
    </row>
    <row r="170" spans="1:13" ht="15.75" customHeight="1">
      <c r="A170" s="23">
        <v>45</v>
      </c>
      <c r="B170" s="34" t="s">
        <v>3625</v>
      </c>
      <c r="C170" s="24" t="s">
        <v>2151</v>
      </c>
      <c r="D170" s="24" t="s">
        <v>1471</v>
      </c>
      <c r="E170" s="24" t="s">
        <v>2152</v>
      </c>
      <c r="F170" s="127">
        <v>70</v>
      </c>
      <c r="G170" s="25">
        <v>30</v>
      </c>
      <c r="H170" s="25"/>
      <c r="I170" s="128" t="s">
        <v>3649</v>
      </c>
      <c r="J170" s="127">
        <v>70</v>
      </c>
      <c r="K170" s="112">
        <v>15</v>
      </c>
      <c r="L170" s="49" t="s">
        <v>3696</v>
      </c>
      <c r="M170" s="22">
        <v>100</v>
      </c>
    </row>
    <row r="171" spans="1:13" ht="15.75" customHeight="1">
      <c r="A171" s="19">
        <v>46</v>
      </c>
      <c r="B171" s="34" t="s">
        <v>3625</v>
      </c>
      <c r="C171" s="20" t="s">
        <v>2112</v>
      </c>
      <c r="D171" s="20" t="s">
        <v>1466</v>
      </c>
      <c r="E171" s="20" t="s">
        <v>1722</v>
      </c>
      <c r="F171" s="21">
        <v>6</v>
      </c>
      <c r="G171" s="21">
        <v>20</v>
      </c>
      <c r="H171" s="127">
        <v>60</v>
      </c>
      <c r="I171" s="128" t="s">
        <v>3651</v>
      </c>
      <c r="J171" s="127">
        <v>60</v>
      </c>
      <c r="K171" s="108">
        <v>13</v>
      </c>
      <c r="L171" s="49" t="s">
        <v>3731</v>
      </c>
      <c r="M171" s="22">
        <v>96</v>
      </c>
    </row>
    <row r="172" spans="1:13" ht="15.75" customHeight="1">
      <c r="A172" s="23">
        <v>47</v>
      </c>
      <c r="B172" s="34" t="s">
        <v>3625</v>
      </c>
      <c r="C172" s="24" t="s">
        <v>2186</v>
      </c>
      <c r="D172" s="24" t="s">
        <v>1481</v>
      </c>
      <c r="E172" s="24" t="s">
        <v>2187</v>
      </c>
      <c r="F172" s="127">
        <v>51</v>
      </c>
      <c r="G172" s="25">
        <v>5</v>
      </c>
      <c r="H172" s="25">
        <v>20</v>
      </c>
      <c r="I172" s="128" t="s">
        <v>3649</v>
      </c>
      <c r="J172" s="127">
        <v>51</v>
      </c>
      <c r="K172" s="112">
        <v>12.5</v>
      </c>
      <c r="L172" s="49" t="s">
        <v>3701</v>
      </c>
      <c r="M172" s="22">
        <v>96</v>
      </c>
    </row>
    <row r="173" spans="1:13" ht="15.75" customHeight="1">
      <c r="A173" s="19">
        <v>48</v>
      </c>
      <c r="B173" s="34" t="s">
        <v>3625</v>
      </c>
      <c r="C173" s="20" t="s">
        <v>2023</v>
      </c>
      <c r="D173" s="20" t="s">
        <v>1460</v>
      </c>
      <c r="E173" s="20" t="s">
        <v>2024</v>
      </c>
      <c r="F173" s="21">
        <v>10</v>
      </c>
      <c r="G173" s="21"/>
      <c r="H173" s="127">
        <v>20</v>
      </c>
      <c r="I173" s="128" t="s">
        <v>3651</v>
      </c>
      <c r="J173" s="127">
        <v>20</v>
      </c>
      <c r="K173" s="108">
        <v>5</v>
      </c>
      <c r="L173" s="49" t="s">
        <v>3702</v>
      </c>
      <c r="M173" s="22">
        <v>30</v>
      </c>
    </row>
    <row r="174" spans="1:13" ht="15.75" customHeight="1">
      <c r="A174" s="23">
        <v>49</v>
      </c>
      <c r="B174" s="34" t="s">
        <v>3625</v>
      </c>
      <c r="C174" s="24" t="s">
        <v>2285</v>
      </c>
      <c r="D174" s="24" t="s">
        <v>1463</v>
      </c>
      <c r="E174" s="24" t="s">
        <v>1700</v>
      </c>
      <c r="F174" s="127">
        <v>20</v>
      </c>
      <c r="G174" s="25"/>
      <c r="H174" s="25">
        <v>10</v>
      </c>
      <c r="I174" s="128" t="s">
        <v>3649</v>
      </c>
      <c r="J174" s="127">
        <v>20</v>
      </c>
      <c r="K174" s="112">
        <v>5</v>
      </c>
      <c r="L174" s="49" t="s">
        <v>3702</v>
      </c>
      <c r="M174" s="22">
        <v>30</v>
      </c>
    </row>
    <row r="175" spans="1:13" ht="15.75" customHeight="1">
      <c r="A175" s="19">
        <v>50</v>
      </c>
      <c r="B175" s="34" t="s">
        <v>3625</v>
      </c>
      <c r="C175" s="20" t="s">
        <v>2123</v>
      </c>
      <c r="D175" s="20" t="s">
        <v>1466</v>
      </c>
      <c r="E175" s="20" t="s">
        <v>2124</v>
      </c>
      <c r="F175" s="127">
        <v>203</v>
      </c>
      <c r="G175" s="21">
        <v>30</v>
      </c>
      <c r="H175" s="21">
        <v>72</v>
      </c>
      <c r="I175" s="128" t="s">
        <v>3649</v>
      </c>
      <c r="J175" s="127">
        <v>203</v>
      </c>
      <c r="K175" s="108">
        <v>51</v>
      </c>
      <c r="L175" s="49" t="s">
        <v>3702</v>
      </c>
      <c r="M175" s="22">
        <v>305</v>
      </c>
    </row>
    <row r="176" spans="1:13" ht="15.75" customHeight="1">
      <c r="A176" s="23">
        <v>51</v>
      </c>
      <c r="B176" s="34" t="s">
        <v>3625</v>
      </c>
      <c r="C176" s="24" t="s">
        <v>2135</v>
      </c>
      <c r="D176" s="24" t="s">
        <v>1471</v>
      </c>
      <c r="E176" s="24" t="s">
        <v>2136</v>
      </c>
      <c r="F176" s="127">
        <v>294</v>
      </c>
      <c r="G176" s="25">
        <v>101</v>
      </c>
      <c r="H176" s="25">
        <v>49</v>
      </c>
      <c r="I176" s="128" t="s">
        <v>3649</v>
      </c>
      <c r="J176" s="127">
        <v>294</v>
      </c>
      <c r="K176" s="112">
        <v>75</v>
      </c>
      <c r="L176" s="49" t="s">
        <v>3703</v>
      </c>
      <c r="M176" s="22">
        <v>464</v>
      </c>
    </row>
    <row r="177" spans="1:13" ht="15.75" customHeight="1">
      <c r="A177" s="19">
        <v>52</v>
      </c>
      <c r="B177" s="34" t="s">
        <v>3625</v>
      </c>
      <c r="C177" s="20" t="s">
        <v>2190</v>
      </c>
      <c r="D177" s="20" t="s">
        <v>1481</v>
      </c>
      <c r="E177" s="20" t="s">
        <v>2191</v>
      </c>
      <c r="F177" s="21">
        <v>108</v>
      </c>
      <c r="G177" s="127">
        <v>211</v>
      </c>
      <c r="H177" s="21"/>
      <c r="I177" s="128" t="s">
        <v>3655</v>
      </c>
      <c r="J177" s="127">
        <v>211</v>
      </c>
      <c r="K177" s="108">
        <v>54</v>
      </c>
      <c r="L177" s="49" t="s">
        <v>3703</v>
      </c>
      <c r="M177" s="22">
        <v>319</v>
      </c>
    </row>
    <row r="178" spans="1:13" ht="15.75" customHeight="1">
      <c r="A178" s="23">
        <v>53</v>
      </c>
      <c r="B178" s="34" t="s">
        <v>3625</v>
      </c>
      <c r="C178" s="24" t="s">
        <v>2306</v>
      </c>
      <c r="D178" s="24" t="s">
        <v>1504</v>
      </c>
      <c r="E178" s="24" t="s">
        <v>24</v>
      </c>
      <c r="F178" s="127">
        <v>43</v>
      </c>
      <c r="G178" s="25">
        <v>13</v>
      </c>
      <c r="H178" s="25">
        <v>10</v>
      </c>
      <c r="I178" s="128" t="s">
        <v>3649</v>
      </c>
      <c r="J178" s="127">
        <v>43</v>
      </c>
      <c r="K178" s="112">
        <v>11.5</v>
      </c>
      <c r="L178" s="49" t="s">
        <v>3732</v>
      </c>
      <c r="M178" s="22">
        <v>66</v>
      </c>
    </row>
    <row r="179" spans="1:13" ht="15.75" customHeight="1">
      <c r="A179" s="19">
        <v>54</v>
      </c>
      <c r="B179" s="34" t="s">
        <v>3625</v>
      </c>
      <c r="C179" s="20" t="s">
        <v>2219</v>
      </c>
      <c r="D179" s="20" t="s">
        <v>1493</v>
      </c>
      <c r="E179" s="20" t="s">
        <v>2220</v>
      </c>
      <c r="F179" s="21">
        <v>1285</v>
      </c>
      <c r="G179" s="127">
        <v>2320</v>
      </c>
      <c r="H179" s="21"/>
      <c r="I179" s="128" t="s">
        <v>3655</v>
      </c>
      <c r="J179" s="127">
        <v>2320</v>
      </c>
      <c r="K179" s="108">
        <v>642.5</v>
      </c>
      <c r="L179" s="49" t="s">
        <v>3705</v>
      </c>
      <c r="M179" s="22">
        <v>3605</v>
      </c>
    </row>
    <row r="180" spans="1:13" ht="15.75" customHeight="1">
      <c r="A180" s="23">
        <v>55</v>
      </c>
      <c r="B180" s="34" t="s">
        <v>3625</v>
      </c>
      <c r="C180" s="24" t="s">
        <v>2147</v>
      </c>
      <c r="D180" s="24" t="s">
        <v>1471</v>
      </c>
      <c r="E180" s="24" t="s">
        <v>2148</v>
      </c>
      <c r="F180" s="25">
        <v>17</v>
      </c>
      <c r="G180" s="25">
        <v>57</v>
      </c>
      <c r="H180" s="127">
        <v>131</v>
      </c>
      <c r="I180" s="128" t="s">
        <v>3651</v>
      </c>
      <c r="J180" s="127">
        <v>131</v>
      </c>
      <c r="K180" s="112">
        <v>37</v>
      </c>
      <c r="L180" s="49" t="s">
        <v>3706</v>
      </c>
      <c r="M180" s="22">
        <v>205</v>
      </c>
    </row>
    <row r="181" spans="1:13" ht="15.75" customHeight="1">
      <c r="A181" s="19">
        <v>56</v>
      </c>
      <c r="B181" s="34" t="s">
        <v>3625</v>
      </c>
      <c r="C181" s="20" t="s">
        <v>2260</v>
      </c>
      <c r="D181" s="20" t="s">
        <v>1504</v>
      </c>
      <c r="E181" s="20" t="s">
        <v>2261</v>
      </c>
      <c r="F181" s="127">
        <v>1198</v>
      </c>
      <c r="G181" s="21">
        <v>390</v>
      </c>
      <c r="H181" s="21">
        <v>290</v>
      </c>
      <c r="I181" s="128" t="s">
        <v>3649</v>
      </c>
      <c r="J181" s="127">
        <v>1198</v>
      </c>
      <c r="K181" s="108">
        <v>340</v>
      </c>
      <c r="L181" s="49" t="s">
        <v>3706</v>
      </c>
      <c r="M181" s="22">
        <v>1878</v>
      </c>
    </row>
    <row r="182" spans="1:13" ht="15.75" customHeight="1">
      <c r="A182" s="23">
        <v>57</v>
      </c>
      <c r="B182" s="34" t="s">
        <v>3625</v>
      </c>
      <c r="C182" s="24" t="s">
        <v>1507</v>
      </c>
      <c r="D182" s="24" t="s">
        <v>1504</v>
      </c>
      <c r="E182" s="24" t="s">
        <v>24</v>
      </c>
      <c r="F182" s="127">
        <v>1000</v>
      </c>
      <c r="G182" s="25">
        <v>280</v>
      </c>
      <c r="H182" s="25">
        <v>300</v>
      </c>
      <c r="I182" s="128" t="s">
        <v>3649</v>
      </c>
      <c r="J182" s="127">
        <v>1000</v>
      </c>
      <c r="K182" s="112">
        <v>290</v>
      </c>
      <c r="L182" s="49" t="s">
        <v>3707</v>
      </c>
      <c r="M182" s="22">
        <v>1580</v>
      </c>
    </row>
    <row r="183" spans="1:13" ht="15.75" customHeight="1">
      <c r="A183" s="19">
        <v>58</v>
      </c>
      <c r="B183" s="34" t="s">
        <v>3625</v>
      </c>
      <c r="C183" s="20" t="s">
        <v>2183</v>
      </c>
      <c r="D183" s="20" t="s">
        <v>1481</v>
      </c>
      <c r="E183" s="20" t="s">
        <v>1668</v>
      </c>
      <c r="F183" s="21">
        <v>7</v>
      </c>
      <c r="G183" s="127">
        <v>12</v>
      </c>
      <c r="H183" s="21"/>
      <c r="I183" s="128" t="s">
        <v>3655</v>
      </c>
      <c r="J183" s="127">
        <v>12</v>
      </c>
      <c r="K183" s="108">
        <v>3.5</v>
      </c>
      <c r="L183" s="49" t="s">
        <v>3707</v>
      </c>
      <c r="M183" s="22">
        <v>19</v>
      </c>
    </row>
    <row r="184" spans="1:13" ht="15.75" customHeight="1">
      <c r="A184" s="23">
        <v>59</v>
      </c>
      <c r="B184" s="34" t="s">
        <v>3625</v>
      </c>
      <c r="C184" s="24" t="s">
        <v>2155</v>
      </c>
      <c r="D184" s="24" t="s">
        <v>1475</v>
      </c>
      <c r="E184" s="24" t="s">
        <v>1668</v>
      </c>
      <c r="F184" s="127">
        <v>60</v>
      </c>
      <c r="G184" s="25">
        <v>10</v>
      </c>
      <c r="H184" s="25">
        <v>25</v>
      </c>
      <c r="I184" s="128" t="s">
        <v>3649</v>
      </c>
      <c r="J184" s="127">
        <v>60</v>
      </c>
      <c r="K184" s="112">
        <v>17.5</v>
      </c>
      <c r="L184" s="49" t="s">
        <v>3707</v>
      </c>
      <c r="M184" s="22">
        <v>115</v>
      </c>
    </row>
    <row r="185" spans="1:13" ht="15.75" customHeight="1">
      <c r="A185" s="19">
        <v>60</v>
      </c>
      <c r="B185" s="34" t="s">
        <v>3625</v>
      </c>
      <c r="C185" s="20" t="s">
        <v>2229</v>
      </c>
      <c r="D185" s="20" t="s">
        <v>1493</v>
      </c>
      <c r="E185" s="20" t="s">
        <v>2230</v>
      </c>
      <c r="F185" s="127">
        <v>123</v>
      </c>
      <c r="G185" s="21">
        <v>38</v>
      </c>
      <c r="H185" s="21">
        <v>34</v>
      </c>
      <c r="I185" s="128" t="s">
        <v>3649</v>
      </c>
      <c r="J185" s="127">
        <v>123</v>
      </c>
      <c r="K185" s="108">
        <v>36</v>
      </c>
      <c r="L185" s="49" t="s">
        <v>3707</v>
      </c>
      <c r="M185" s="22">
        <v>195</v>
      </c>
    </row>
    <row r="186" spans="1:13" ht="15.75" customHeight="1">
      <c r="A186" s="23">
        <v>61</v>
      </c>
      <c r="B186" s="34" t="s">
        <v>3625</v>
      </c>
      <c r="C186" s="24" t="s">
        <v>1483</v>
      </c>
      <c r="D186" s="24" t="s">
        <v>1481</v>
      </c>
      <c r="E186" s="24" t="s">
        <v>42</v>
      </c>
      <c r="F186" s="25">
        <v>3</v>
      </c>
      <c r="G186" s="127">
        <v>82</v>
      </c>
      <c r="H186" s="25">
        <v>46</v>
      </c>
      <c r="I186" s="128" t="s">
        <v>3655</v>
      </c>
      <c r="J186" s="127">
        <v>82</v>
      </c>
      <c r="K186" s="112">
        <v>24.5</v>
      </c>
      <c r="L186" s="49" t="s">
        <v>3708</v>
      </c>
      <c r="M186" s="22">
        <v>248</v>
      </c>
    </row>
    <row r="187" spans="1:13" ht="15.75" customHeight="1">
      <c r="A187" s="19">
        <v>62</v>
      </c>
      <c r="B187" s="34" t="s">
        <v>3625</v>
      </c>
      <c r="C187" s="20" t="s">
        <v>1500</v>
      </c>
      <c r="D187" s="20" t="s">
        <v>1493</v>
      </c>
      <c r="E187" s="20" t="s">
        <v>24</v>
      </c>
      <c r="F187" s="21">
        <v>60</v>
      </c>
      <c r="G187" s="21">
        <v>210</v>
      </c>
      <c r="H187" s="127">
        <v>450</v>
      </c>
      <c r="I187" s="128" t="s">
        <v>3651</v>
      </c>
      <c r="J187" s="127">
        <v>450</v>
      </c>
      <c r="K187" s="108">
        <v>135</v>
      </c>
      <c r="L187" s="49" t="s">
        <v>3708</v>
      </c>
      <c r="M187" s="22">
        <v>720</v>
      </c>
    </row>
    <row r="188" spans="1:13" ht="15.75" customHeight="1">
      <c r="A188" s="23">
        <v>63</v>
      </c>
      <c r="B188" s="34" t="s">
        <v>3625</v>
      </c>
      <c r="C188" s="24" t="s">
        <v>2295</v>
      </c>
      <c r="D188" s="24" t="s">
        <v>2294</v>
      </c>
      <c r="E188" s="24" t="s">
        <v>1913</v>
      </c>
      <c r="F188" s="127">
        <v>5</v>
      </c>
      <c r="G188" s="25">
        <v>2</v>
      </c>
      <c r="H188" s="25">
        <v>1</v>
      </c>
      <c r="I188" s="128" t="s">
        <v>3649</v>
      </c>
      <c r="J188" s="127">
        <v>5</v>
      </c>
      <c r="K188" s="112">
        <v>1.5</v>
      </c>
      <c r="L188" s="49" t="s">
        <v>3708</v>
      </c>
      <c r="M188" s="22">
        <v>8</v>
      </c>
    </row>
    <row r="189" spans="1:13" ht="15.75" customHeight="1">
      <c r="A189" s="19">
        <v>64</v>
      </c>
      <c r="B189" s="34" t="s">
        <v>3625</v>
      </c>
      <c r="C189" s="20" t="s">
        <v>2031</v>
      </c>
      <c r="D189" s="20" t="s">
        <v>1463</v>
      </c>
      <c r="E189" s="20" t="s">
        <v>2032</v>
      </c>
      <c r="F189" s="21">
        <v>3</v>
      </c>
      <c r="G189" s="21">
        <v>15</v>
      </c>
      <c r="H189" s="127">
        <v>30</v>
      </c>
      <c r="I189" s="128" t="s">
        <v>3651</v>
      </c>
      <c r="J189" s="127">
        <v>30</v>
      </c>
      <c r="K189" s="108">
        <v>9</v>
      </c>
      <c r="L189" s="49" t="s">
        <v>3708</v>
      </c>
      <c r="M189" s="22">
        <v>48</v>
      </c>
    </row>
    <row r="190" spans="1:13" ht="15.75" customHeight="1">
      <c r="A190" s="23">
        <v>65</v>
      </c>
      <c r="B190" s="34" t="s">
        <v>3625</v>
      </c>
      <c r="C190" s="24" t="s">
        <v>2793</v>
      </c>
      <c r="D190" s="24" t="s">
        <v>1493</v>
      </c>
      <c r="E190" s="24" t="s">
        <v>32</v>
      </c>
      <c r="F190" s="25"/>
      <c r="G190" s="127">
        <v>50</v>
      </c>
      <c r="H190" s="25">
        <v>30</v>
      </c>
      <c r="I190" s="128" t="s">
        <v>3655</v>
      </c>
      <c r="J190" s="127">
        <v>50</v>
      </c>
      <c r="K190" s="112">
        <v>15</v>
      </c>
      <c r="L190" s="49" t="s">
        <v>3708</v>
      </c>
      <c r="M190" s="22">
        <v>80</v>
      </c>
    </row>
    <row r="191" spans="1:13" ht="15.75" customHeight="1">
      <c r="A191" s="19">
        <v>66</v>
      </c>
      <c r="B191" s="34" t="s">
        <v>3625</v>
      </c>
      <c r="C191" s="20" t="s">
        <v>2235</v>
      </c>
      <c r="D191" s="20" t="s">
        <v>1493</v>
      </c>
      <c r="E191" s="20" t="s">
        <v>2236</v>
      </c>
      <c r="F191" s="127">
        <v>250</v>
      </c>
      <c r="G191" s="21">
        <v>91</v>
      </c>
      <c r="H191" s="21">
        <v>60</v>
      </c>
      <c r="I191" s="128" t="s">
        <v>3649</v>
      </c>
      <c r="J191" s="127">
        <v>250</v>
      </c>
      <c r="K191" s="108">
        <v>75.5</v>
      </c>
      <c r="L191" s="49" t="s">
        <v>3708</v>
      </c>
      <c r="M191" s="22">
        <v>441</v>
      </c>
    </row>
    <row r="192" spans="1:13" ht="15.75" customHeight="1">
      <c r="A192" s="23">
        <v>67</v>
      </c>
      <c r="B192" s="34" t="s">
        <v>3625</v>
      </c>
      <c r="C192" s="24" t="s">
        <v>2096</v>
      </c>
      <c r="D192" s="24" t="s">
        <v>1463</v>
      </c>
      <c r="E192" s="24" t="s">
        <v>2097</v>
      </c>
      <c r="F192" s="127">
        <v>140</v>
      </c>
      <c r="G192" s="25">
        <v>57</v>
      </c>
      <c r="H192" s="25">
        <v>30</v>
      </c>
      <c r="I192" s="128" t="s">
        <v>3649</v>
      </c>
      <c r="J192" s="127">
        <v>140</v>
      </c>
      <c r="K192" s="112">
        <v>43.5</v>
      </c>
      <c r="L192" s="49" t="s">
        <v>3709</v>
      </c>
      <c r="M192" s="22">
        <v>227</v>
      </c>
    </row>
    <row r="193" spans="1:13" ht="15.75" customHeight="1">
      <c r="A193" s="19">
        <v>68</v>
      </c>
      <c r="B193" s="34" t="s">
        <v>3625</v>
      </c>
      <c r="C193" s="20" t="s">
        <v>2090</v>
      </c>
      <c r="D193" s="20" t="s">
        <v>1460</v>
      </c>
      <c r="E193" s="20" t="s">
        <v>2091</v>
      </c>
      <c r="F193" s="127">
        <v>61</v>
      </c>
      <c r="G193" s="21">
        <v>38</v>
      </c>
      <c r="H193" s="21"/>
      <c r="I193" s="128" t="s">
        <v>3649</v>
      </c>
      <c r="J193" s="127">
        <v>61</v>
      </c>
      <c r="K193" s="108">
        <v>19</v>
      </c>
      <c r="L193" s="49" t="s">
        <v>3709</v>
      </c>
      <c r="M193" s="22">
        <v>99</v>
      </c>
    </row>
    <row r="194" spans="1:13" ht="15.75" customHeight="1">
      <c r="A194" s="23">
        <v>69</v>
      </c>
      <c r="B194" s="34" t="s">
        <v>3625</v>
      </c>
      <c r="C194" s="24" t="s">
        <v>2172</v>
      </c>
      <c r="D194" s="24" t="s">
        <v>1475</v>
      </c>
      <c r="E194" s="24" t="s">
        <v>2173</v>
      </c>
      <c r="F194" s="127">
        <v>125</v>
      </c>
      <c r="G194" s="25">
        <v>28</v>
      </c>
      <c r="H194" s="25">
        <v>50</v>
      </c>
      <c r="I194" s="128" t="s">
        <v>3649</v>
      </c>
      <c r="J194" s="127">
        <v>125</v>
      </c>
      <c r="K194" s="112">
        <v>39</v>
      </c>
      <c r="L194" s="49" t="s">
        <v>3709</v>
      </c>
      <c r="M194" s="22">
        <v>213</v>
      </c>
    </row>
    <row r="195" spans="1:13" ht="15.75" customHeight="1">
      <c r="A195" s="19">
        <v>70</v>
      </c>
      <c r="B195" s="34" t="s">
        <v>3625</v>
      </c>
      <c r="C195" s="20" t="s">
        <v>2102</v>
      </c>
      <c r="D195" s="20" t="s">
        <v>1463</v>
      </c>
      <c r="E195" s="20" t="s">
        <v>2103</v>
      </c>
      <c r="F195" s="127">
        <v>16</v>
      </c>
      <c r="G195" s="21">
        <v>7</v>
      </c>
      <c r="H195" s="21">
        <v>3</v>
      </c>
      <c r="I195" s="128" t="s">
        <v>3649</v>
      </c>
      <c r="J195" s="127">
        <v>16</v>
      </c>
      <c r="K195" s="108">
        <v>5</v>
      </c>
      <c r="L195" s="49" t="s">
        <v>3709</v>
      </c>
      <c r="M195" s="22">
        <v>56</v>
      </c>
    </row>
    <row r="196" spans="1:13" ht="15.75" customHeight="1">
      <c r="A196" s="23">
        <v>71</v>
      </c>
      <c r="B196" s="34" t="s">
        <v>3625</v>
      </c>
      <c r="C196" s="24" t="s">
        <v>2133</v>
      </c>
      <c r="D196" s="24" t="s">
        <v>1466</v>
      </c>
      <c r="E196" s="24" t="s">
        <v>2134</v>
      </c>
      <c r="F196" s="25">
        <v>50</v>
      </c>
      <c r="G196" s="127">
        <v>80</v>
      </c>
      <c r="H196" s="25"/>
      <c r="I196" s="128" t="s">
        <v>3655</v>
      </c>
      <c r="J196" s="127">
        <v>80</v>
      </c>
      <c r="K196" s="112">
        <v>25</v>
      </c>
      <c r="L196" s="49" t="s">
        <v>3709</v>
      </c>
      <c r="M196" s="22">
        <v>150</v>
      </c>
    </row>
    <row r="197" spans="1:13" ht="15.75" customHeight="1">
      <c r="A197" s="19">
        <v>72</v>
      </c>
      <c r="B197" s="34" t="s">
        <v>3625</v>
      </c>
      <c r="C197" s="20" t="s">
        <v>2949</v>
      </c>
      <c r="D197" s="20" t="s">
        <v>2929</v>
      </c>
      <c r="E197" s="20" t="s">
        <v>1909</v>
      </c>
      <c r="F197" s="21"/>
      <c r="G197" s="21">
        <v>21</v>
      </c>
      <c r="H197" s="127">
        <v>33</v>
      </c>
      <c r="I197" s="128" t="s">
        <v>3651</v>
      </c>
      <c r="J197" s="127">
        <v>33</v>
      </c>
      <c r="K197" s="108">
        <v>10.5</v>
      </c>
      <c r="L197" s="49" t="s">
        <v>3710</v>
      </c>
      <c r="M197" s="22">
        <v>71</v>
      </c>
    </row>
    <row r="198" spans="1:13" ht="15.75" customHeight="1">
      <c r="A198" s="23">
        <v>73</v>
      </c>
      <c r="B198" s="34" t="s">
        <v>3625</v>
      </c>
      <c r="C198" s="24" t="s">
        <v>2098</v>
      </c>
      <c r="D198" s="24" t="s">
        <v>1463</v>
      </c>
      <c r="E198" s="24" t="s">
        <v>2099</v>
      </c>
      <c r="F198" s="127">
        <v>303</v>
      </c>
      <c r="G198" s="25">
        <v>123</v>
      </c>
      <c r="H198" s="25">
        <v>70</v>
      </c>
      <c r="I198" s="128" t="s">
        <v>3649</v>
      </c>
      <c r="J198" s="127">
        <v>303</v>
      </c>
      <c r="K198" s="112">
        <v>96.5</v>
      </c>
      <c r="L198" s="49" t="s">
        <v>3710</v>
      </c>
      <c r="M198" s="22">
        <v>496</v>
      </c>
    </row>
    <row r="199" spans="1:13" ht="15.75" customHeight="1">
      <c r="A199" s="19">
        <v>74</v>
      </c>
      <c r="B199" s="34" t="s">
        <v>3625</v>
      </c>
      <c r="C199" s="20" t="s">
        <v>2225</v>
      </c>
      <c r="D199" s="20" t="s">
        <v>1493</v>
      </c>
      <c r="E199" s="20" t="s">
        <v>2226</v>
      </c>
      <c r="F199" s="127">
        <v>596</v>
      </c>
      <c r="G199" s="21">
        <v>232</v>
      </c>
      <c r="H199" s="21">
        <v>149</v>
      </c>
      <c r="I199" s="128" t="s">
        <v>3649</v>
      </c>
      <c r="J199" s="127">
        <v>596</v>
      </c>
      <c r="K199" s="108">
        <v>190.5</v>
      </c>
      <c r="L199" s="49" t="s">
        <v>3710</v>
      </c>
      <c r="M199" s="22">
        <v>1027</v>
      </c>
    </row>
    <row r="200" spans="1:13" ht="15.75" customHeight="1">
      <c r="A200" s="23">
        <v>75</v>
      </c>
      <c r="B200" s="34" t="s">
        <v>3625</v>
      </c>
      <c r="C200" s="24" t="s">
        <v>2202</v>
      </c>
      <c r="D200" s="24" t="s">
        <v>1489</v>
      </c>
      <c r="E200" s="24" t="s">
        <v>2203</v>
      </c>
      <c r="F200" s="25">
        <v>38</v>
      </c>
      <c r="G200" s="25">
        <v>16</v>
      </c>
      <c r="H200" s="127">
        <v>84</v>
      </c>
      <c r="I200" s="128" t="s">
        <v>3651</v>
      </c>
      <c r="J200" s="127">
        <v>84</v>
      </c>
      <c r="K200" s="112">
        <v>27</v>
      </c>
      <c r="L200" s="49" t="s">
        <v>3710</v>
      </c>
      <c r="M200" s="22">
        <v>267</v>
      </c>
    </row>
    <row r="201" spans="1:13" ht="15.75" customHeight="1">
      <c r="A201" s="19">
        <v>76</v>
      </c>
      <c r="B201" s="34" t="s">
        <v>3625</v>
      </c>
      <c r="C201" s="20" t="s">
        <v>2305</v>
      </c>
      <c r="D201" s="20" t="s">
        <v>1481</v>
      </c>
      <c r="E201" s="20" t="s">
        <v>20</v>
      </c>
      <c r="F201" s="127">
        <v>3</v>
      </c>
      <c r="G201" s="21"/>
      <c r="H201" s="21">
        <v>2</v>
      </c>
      <c r="I201" s="128" t="s">
        <v>3649</v>
      </c>
      <c r="J201" s="127">
        <v>3</v>
      </c>
      <c r="K201" s="108">
        <v>1</v>
      </c>
      <c r="L201" s="49" t="s">
        <v>3711</v>
      </c>
      <c r="M201" s="22">
        <v>15</v>
      </c>
    </row>
    <row r="202" spans="1:13" ht="15.75" customHeight="1">
      <c r="A202" s="23">
        <v>77</v>
      </c>
      <c r="B202" s="34" t="s">
        <v>3625</v>
      </c>
      <c r="C202" s="24" t="s">
        <v>2040</v>
      </c>
      <c r="D202" s="24" t="s">
        <v>2041</v>
      </c>
      <c r="E202" s="24" t="s">
        <v>2042</v>
      </c>
      <c r="F202" s="25">
        <v>16</v>
      </c>
      <c r="G202" s="127">
        <v>24</v>
      </c>
      <c r="H202" s="25"/>
      <c r="I202" s="128" t="s">
        <v>3655</v>
      </c>
      <c r="J202" s="127">
        <v>24</v>
      </c>
      <c r="K202" s="112">
        <v>8</v>
      </c>
      <c r="L202" s="49" t="s">
        <v>3711</v>
      </c>
      <c r="M202" s="22">
        <v>40</v>
      </c>
    </row>
    <row r="203" spans="1:13" ht="15.75" customHeight="1">
      <c r="A203" s="19">
        <v>78</v>
      </c>
      <c r="B203" s="34" t="s">
        <v>3625</v>
      </c>
      <c r="C203" s="20" t="s">
        <v>2033</v>
      </c>
      <c r="D203" s="20" t="s">
        <v>1463</v>
      </c>
      <c r="E203" s="20" t="s">
        <v>2034</v>
      </c>
      <c r="F203" s="21">
        <v>20</v>
      </c>
      <c r="G203" s="21"/>
      <c r="H203" s="127">
        <v>30</v>
      </c>
      <c r="I203" s="128" t="s">
        <v>3651</v>
      </c>
      <c r="J203" s="127">
        <v>30</v>
      </c>
      <c r="K203" s="108">
        <v>10</v>
      </c>
      <c r="L203" s="49" t="s">
        <v>3711</v>
      </c>
      <c r="M203" s="22">
        <v>50</v>
      </c>
    </row>
    <row r="204" spans="1:13" ht="15.75" customHeight="1">
      <c r="A204" s="23">
        <v>79</v>
      </c>
      <c r="B204" s="34" t="s">
        <v>3625</v>
      </c>
      <c r="C204" s="24" t="s">
        <v>2283</v>
      </c>
      <c r="D204" s="24" t="s">
        <v>1466</v>
      </c>
      <c r="E204" s="24" t="s">
        <v>2284</v>
      </c>
      <c r="F204" s="25">
        <v>2</v>
      </c>
      <c r="G204" s="127">
        <v>3</v>
      </c>
      <c r="H204" s="25"/>
      <c r="I204" s="128" t="s">
        <v>3655</v>
      </c>
      <c r="J204" s="127">
        <v>3</v>
      </c>
      <c r="K204" s="112">
        <v>1</v>
      </c>
      <c r="L204" s="49" t="s">
        <v>3711</v>
      </c>
      <c r="M204" s="22">
        <v>5</v>
      </c>
    </row>
    <row r="206" spans="1:13" ht="19.5" customHeight="1">
      <c r="A206" s="144" t="s">
        <v>3733</v>
      </c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</row>
    <row r="207" spans="1:13" ht="15.75" customHeight="1">
      <c r="A207" s="19">
        <v>1</v>
      </c>
      <c r="B207" s="35" t="s">
        <v>3626</v>
      </c>
      <c r="C207" s="20" t="s">
        <v>2900</v>
      </c>
      <c r="D207" s="20" t="s">
        <v>1363</v>
      </c>
      <c r="E207" s="20" t="s">
        <v>2901</v>
      </c>
      <c r="F207" s="21"/>
      <c r="G207" s="21">
        <v>4</v>
      </c>
      <c r="H207" s="127">
        <v>68</v>
      </c>
      <c r="I207" s="128" t="s">
        <v>3651</v>
      </c>
      <c r="J207" s="127">
        <v>68</v>
      </c>
      <c r="K207" s="108">
        <v>2</v>
      </c>
      <c r="L207" s="49" t="s">
        <v>3734</v>
      </c>
      <c r="M207" s="22">
        <v>80</v>
      </c>
    </row>
    <row r="208" spans="1:13" ht="15.75" customHeight="1">
      <c r="A208" s="23">
        <v>2</v>
      </c>
      <c r="B208" s="35" t="s">
        <v>3626</v>
      </c>
      <c r="C208" s="24" t="s">
        <v>2898</v>
      </c>
      <c r="D208" s="24" t="s">
        <v>1363</v>
      </c>
      <c r="E208" s="24" t="s">
        <v>2899</v>
      </c>
      <c r="F208" s="25"/>
      <c r="G208" s="25">
        <v>68</v>
      </c>
      <c r="H208" s="127">
        <v>255</v>
      </c>
      <c r="I208" s="128" t="s">
        <v>3651</v>
      </c>
      <c r="J208" s="127">
        <v>255</v>
      </c>
      <c r="K208" s="112">
        <v>34</v>
      </c>
      <c r="L208" s="49" t="s">
        <v>3735</v>
      </c>
      <c r="M208" s="22">
        <v>323</v>
      </c>
    </row>
    <row r="209" spans="1:13" ht="15.75" customHeight="1">
      <c r="A209" s="19">
        <v>3</v>
      </c>
      <c r="B209" s="35" t="s">
        <v>3626</v>
      </c>
      <c r="C209" s="20" t="s">
        <v>1987</v>
      </c>
      <c r="D209" s="20" t="s">
        <v>1390</v>
      </c>
      <c r="E209" s="20" t="s">
        <v>1988</v>
      </c>
      <c r="F209" s="127">
        <v>10</v>
      </c>
      <c r="G209" s="21"/>
      <c r="H209" s="21">
        <v>3</v>
      </c>
      <c r="I209" s="128" t="s">
        <v>3649</v>
      </c>
      <c r="J209" s="127">
        <v>10</v>
      </c>
      <c r="K209" s="108">
        <v>1.5</v>
      </c>
      <c r="L209" s="49" t="s">
        <v>3685</v>
      </c>
      <c r="M209" s="22">
        <v>13</v>
      </c>
    </row>
    <row r="210" spans="1:13" ht="15.75" customHeight="1">
      <c r="A210" s="23">
        <v>4</v>
      </c>
      <c r="B210" s="35" t="s">
        <v>3626</v>
      </c>
      <c r="C210" s="24" t="s">
        <v>2883</v>
      </c>
      <c r="D210" s="24" t="s">
        <v>1350</v>
      </c>
      <c r="E210" s="24" t="s">
        <v>2884</v>
      </c>
      <c r="F210" s="25"/>
      <c r="G210" s="25">
        <v>2</v>
      </c>
      <c r="H210" s="127">
        <v>6</v>
      </c>
      <c r="I210" s="128" t="s">
        <v>3651</v>
      </c>
      <c r="J210" s="127">
        <v>6</v>
      </c>
      <c r="K210" s="112">
        <v>1</v>
      </c>
      <c r="L210" s="49" t="s">
        <v>3689</v>
      </c>
      <c r="M210" s="22">
        <v>8</v>
      </c>
    </row>
    <row r="211" spans="1:13" ht="15.75" customHeight="1">
      <c r="A211" s="19">
        <v>5</v>
      </c>
      <c r="B211" s="35" t="s">
        <v>3626</v>
      </c>
      <c r="C211" s="20" t="s">
        <v>1969</v>
      </c>
      <c r="D211" s="20" t="s">
        <v>1357</v>
      </c>
      <c r="E211" s="20" t="s">
        <v>1970</v>
      </c>
      <c r="F211" s="21">
        <v>17</v>
      </c>
      <c r="G211" s="21">
        <v>81</v>
      </c>
      <c r="H211" s="127">
        <v>277</v>
      </c>
      <c r="I211" s="128" t="s">
        <v>3651</v>
      </c>
      <c r="J211" s="127">
        <v>277</v>
      </c>
      <c r="K211" s="108">
        <v>49</v>
      </c>
      <c r="L211" s="49" t="s">
        <v>3736</v>
      </c>
      <c r="M211" s="22">
        <v>375</v>
      </c>
    </row>
    <row r="212" spans="1:13" ht="15.75" customHeight="1">
      <c r="A212" s="23">
        <v>6</v>
      </c>
      <c r="B212" s="35" t="s">
        <v>3626</v>
      </c>
      <c r="C212" s="24" t="s">
        <v>2896</v>
      </c>
      <c r="D212" s="24" t="s">
        <v>1363</v>
      </c>
      <c r="E212" s="24" t="s">
        <v>2897</v>
      </c>
      <c r="F212" s="25"/>
      <c r="G212" s="25">
        <v>36</v>
      </c>
      <c r="H212" s="127">
        <v>77</v>
      </c>
      <c r="I212" s="128" t="s">
        <v>3651</v>
      </c>
      <c r="J212" s="127">
        <v>77</v>
      </c>
      <c r="K212" s="112">
        <v>18</v>
      </c>
      <c r="L212" s="49" t="s">
        <v>3699</v>
      </c>
      <c r="M212" s="22">
        <v>113</v>
      </c>
    </row>
    <row r="213" spans="1:13" ht="15.75" customHeight="1">
      <c r="A213" s="19">
        <v>7</v>
      </c>
      <c r="B213" s="35" t="s">
        <v>3626</v>
      </c>
      <c r="C213" s="20" t="s">
        <v>1957</v>
      </c>
      <c r="D213" s="20" t="s">
        <v>1955</v>
      </c>
      <c r="E213" s="20" t="s">
        <v>1958</v>
      </c>
      <c r="F213" s="21">
        <v>2</v>
      </c>
      <c r="G213" s="127">
        <v>4</v>
      </c>
      <c r="H213" s="21"/>
      <c r="I213" s="128" t="s">
        <v>3655</v>
      </c>
      <c r="J213" s="127">
        <v>4</v>
      </c>
      <c r="K213" s="108">
        <v>1</v>
      </c>
      <c r="L213" s="49" t="s">
        <v>3702</v>
      </c>
      <c r="M213" s="22">
        <v>6</v>
      </c>
    </row>
    <row r="214" spans="1:13" ht="15.75" customHeight="1">
      <c r="A214" s="23">
        <v>8</v>
      </c>
      <c r="B214" s="35" t="s">
        <v>3626</v>
      </c>
      <c r="C214" s="24" t="s">
        <v>1989</v>
      </c>
      <c r="D214" s="24" t="s">
        <v>1363</v>
      </c>
      <c r="E214" s="24" t="s">
        <v>1990</v>
      </c>
      <c r="F214" s="25">
        <v>18</v>
      </c>
      <c r="G214" s="25">
        <v>3</v>
      </c>
      <c r="H214" s="127">
        <v>36</v>
      </c>
      <c r="I214" s="128" t="s">
        <v>3651</v>
      </c>
      <c r="J214" s="127">
        <v>36</v>
      </c>
      <c r="K214" s="112">
        <v>10.5</v>
      </c>
      <c r="L214" s="49" t="s">
        <v>3707</v>
      </c>
      <c r="M214" s="22">
        <v>57</v>
      </c>
    </row>
    <row r="215" spans="1:13" ht="15.75" customHeight="1">
      <c r="A215" s="19">
        <v>9</v>
      </c>
      <c r="B215" s="35" t="s">
        <v>3626</v>
      </c>
      <c r="C215" s="20" t="s">
        <v>1349</v>
      </c>
      <c r="D215" s="20" t="s">
        <v>1350</v>
      </c>
      <c r="E215" s="20" t="s">
        <v>32</v>
      </c>
      <c r="F215" s="127">
        <v>20</v>
      </c>
      <c r="G215" s="21"/>
      <c r="H215" s="21">
        <v>12</v>
      </c>
      <c r="I215" s="128" t="s">
        <v>3649</v>
      </c>
      <c r="J215" s="127">
        <v>20</v>
      </c>
      <c r="K215" s="108">
        <v>6</v>
      </c>
      <c r="L215" s="49" t="s">
        <v>3708</v>
      </c>
      <c r="M215" s="22">
        <v>32</v>
      </c>
    </row>
    <row r="216" spans="1:13" ht="15.75" customHeight="1">
      <c r="A216" s="23">
        <v>10</v>
      </c>
      <c r="B216" s="35" t="s">
        <v>3626</v>
      </c>
      <c r="C216" s="24" t="s">
        <v>1977</v>
      </c>
      <c r="D216" s="24" t="s">
        <v>1357</v>
      </c>
      <c r="E216" s="24" t="s">
        <v>1978</v>
      </c>
      <c r="F216" s="25">
        <v>64</v>
      </c>
      <c r="G216" s="25">
        <v>76</v>
      </c>
      <c r="H216" s="127">
        <v>226</v>
      </c>
      <c r="I216" s="128" t="s">
        <v>3651</v>
      </c>
      <c r="J216" s="127">
        <v>226</v>
      </c>
      <c r="K216" s="112">
        <v>70</v>
      </c>
      <c r="L216" s="49" t="s">
        <v>3709</v>
      </c>
      <c r="M216" s="22">
        <v>390</v>
      </c>
    </row>
    <row r="217" spans="1:13" ht="15.75" customHeight="1">
      <c r="A217" s="19">
        <v>11</v>
      </c>
      <c r="B217" s="35" t="s">
        <v>3626</v>
      </c>
      <c r="C217" s="20" t="s">
        <v>1963</v>
      </c>
      <c r="D217" s="20" t="s">
        <v>1370</v>
      </c>
      <c r="E217" s="20" t="s">
        <v>1964</v>
      </c>
      <c r="F217" s="21">
        <v>7</v>
      </c>
      <c r="G217" s="127">
        <v>11</v>
      </c>
      <c r="H217" s="21"/>
      <c r="I217" s="128" t="s">
        <v>3655</v>
      </c>
      <c r="J217" s="127">
        <v>11</v>
      </c>
      <c r="K217" s="108">
        <v>3.5</v>
      </c>
      <c r="L217" s="49" t="s">
        <v>3710</v>
      </c>
      <c r="M217" s="22">
        <v>18</v>
      </c>
    </row>
    <row r="219" spans="1:13" ht="19.5" customHeight="1">
      <c r="A219" s="145" t="s">
        <v>3737</v>
      </c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</row>
    <row r="220" spans="1:13" ht="15.75" customHeight="1">
      <c r="A220" s="23">
        <v>1</v>
      </c>
      <c r="B220" s="36" t="s">
        <v>3627</v>
      </c>
      <c r="C220" s="24" t="s">
        <v>915</v>
      </c>
      <c r="D220" s="24" t="s">
        <v>916</v>
      </c>
      <c r="E220" s="24"/>
      <c r="F220" s="25">
        <v>1</v>
      </c>
      <c r="G220" s="127">
        <v>175</v>
      </c>
      <c r="H220" s="25"/>
      <c r="I220" s="128" t="s">
        <v>3655</v>
      </c>
      <c r="J220" s="127">
        <v>175</v>
      </c>
      <c r="K220" s="112">
        <v>0.5</v>
      </c>
      <c r="L220" s="49" t="s">
        <v>3738</v>
      </c>
      <c r="M220" s="22">
        <v>186</v>
      </c>
    </row>
    <row r="221" spans="1:13" ht="15.75" customHeight="1">
      <c r="A221" s="19">
        <v>2</v>
      </c>
      <c r="B221" s="36" t="s">
        <v>3627</v>
      </c>
      <c r="C221" s="20" t="s">
        <v>1137</v>
      </c>
      <c r="D221" s="20" t="s">
        <v>1138</v>
      </c>
      <c r="E221" s="20" t="s">
        <v>1139</v>
      </c>
      <c r="F221" s="21">
        <v>6</v>
      </c>
      <c r="G221" s="127">
        <v>680</v>
      </c>
      <c r="H221" s="21"/>
      <c r="I221" s="128" t="s">
        <v>3655</v>
      </c>
      <c r="J221" s="127">
        <v>680</v>
      </c>
      <c r="K221" s="108">
        <v>3</v>
      </c>
      <c r="L221" s="49" t="s">
        <v>3739</v>
      </c>
      <c r="M221" s="22">
        <v>686</v>
      </c>
    </row>
    <row r="222" spans="1:13" ht="15.75" customHeight="1">
      <c r="A222" s="23">
        <v>3</v>
      </c>
      <c r="B222" s="36" t="s">
        <v>3627</v>
      </c>
      <c r="C222" s="24" t="s">
        <v>765</v>
      </c>
      <c r="D222" s="24" t="s">
        <v>766</v>
      </c>
      <c r="E222" s="24"/>
      <c r="F222" s="25">
        <v>3</v>
      </c>
      <c r="G222" s="25"/>
      <c r="H222" s="127">
        <v>200</v>
      </c>
      <c r="I222" s="128" t="s">
        <v>3651</v>
      </c>
      <c r="J222" s="127">
        <v>200</v>
      </c>
      <c r="K222" s="112">
        <v>1.5</v>
      </c>
      <c r="L222" s="49" t="s">
        <v>3740</v>
      </c>
      <c r="M222" s="22">
        <v>203</v>
      </c>
    </row>
    <row r="223" spans="1:13" ht="15.75" customHeight="1">
      <c r="A223" s="19">
        <v>4</v>
      </c>
      <c r="B223" s="36" t="s">
        <v>3627</v>
      </c>
      <c r="C223" s="20" t="s">
        <v>1159</v>
      </c>
      <c r="D223" s="20" t="s">
        <v>1160</v>
      </c>
      <c r="E223" s="20"/>
      <c r="F223" s="21">
        <v>4</v>
      </c>
      <c r="G223" s="127">
        <v>237</v>
      </c>
      <c r="H223" s="21"/>
      <c r="I223" s="128" t="s">
        <v>3655</v>
      </c>
      <c r="J223" s="127">
        <v>237</v>
      </c>
      <c r="K223" s="108">
        <v>2</v>
      </c>
      <c r="L223" s="49" t="s">
        <v>3741</v>
      </c>
      <c r="M223" s="22">
        <v>241</v>
      </c>
    </row>
    <row r="224" spans="1:13" ht="15.75" customHeight="1">
      <c r="A224" s="23">
        <v>5</v>
      </c>
      <c r="B224" s="36" t="s">
        <v>3627</v>
      </c>
      <c r="C224" s="24" t="s">
        <v>1147</v>
      </c>
      <c r="D224" s="24" t="s">
        <v>697</v>
      </c>
      <c r="E224" s="24" t="s">
        <v>1148</v>
      </c>
      <c r="F224" s="127">
        <v>314</v>
      </c>
      <c r="G224" s="25">
        <v>6</v>
      </c>
      <c r="H224" s="25"/>
      <c r="I224" s="128" t="s">
        <v>3649</v>
      </c>
      <c r="J224" s="127">
        <v>314</v>
      </c>
      <c r="K224" s="112">
        <v>3</v>
      </c>
      <c r="L224" s="49" t="s">
        <v>3742</v>
      </c>
      <c r="M224" s="22">
        <v>320</v>
      </c>
    </row>
    <row r="225" spans="1:13" ht="15.75" customHeight="1">
      <c r="A225" s="19">
        <v>6</v>
      </c>
      <c r="B225" s="36" t="s">
        <v>3627</v>
      </c>
      <c r="C225" s="20" t="s">
        <v>1097</v>
      </c>
      <c r="D225" s="20" t="s">
        <v>869</v>
      </c>
      <c r="E225" s="20" t="s">
        <v>1098</v>
      </c>
      <c r="F225" s="21">
        <v>22</v>
      </c>
      <c r="G225" s="127">
        <v>1000</v>
      </c>
      <c r="H225" s="21"/>
      <c r="I225" s="128" t="s">
        <v>3655</v>
      </c>
      <c r="J225" s="127">
        <v>1000</v>
      </c>
      <c r="K225" s="108">
        <v>11</v>
      </c>
      <c r="L225" s="49" t="s">
        <v>3743</v>
      </c>
      <c r="M225" s="22">
        <v>1022</v>
      </c>
    </row>
    <row r="226" spans="1:13" ht="15.75" customHeight="1">
      <c r="A226" s="23">
        <v>7</v>
      </c>
      <c r="B226" s="36" t="s">
        <v>3627</v>
      </c>
      <c r="C226" s="24" t="s">
        <v>584</v>
      </c>
      <c r="D226" s="24" t="s">
        <v>585</v>
      </c>
      <c r="E226" s="24" t="s">
        <v>586</v>
      </c>
      <c r="F226" s="25">
        <v>5</v>
      </c>
      <c r="G226" s="25"/>
      <c r="H226" s="127">
        <v>221</v>
      </c>
      <c r="I226" s="128" t="s">
        <v>3651</v>
      </c>
      <c r="J226" s="127">
        <v>221</v>
      </c>
      <c r="K226" s="112">
        <v>2.5</v>
      </c>
      <c r="L226" s="49" t="s">
        <v>3744</v>
      </c>
      <c r="M226" s="22">
        <v>226</v>
      </c>
    </row>
    <row r="227" spans="1:13" ht="15.75" customHeight="1">
      <c r="A227" s="19">
        <v>8</v>
      </c>
      <c r="B227" s="36" t="s">
        <v>3627</v>
      </c>
      <c r="C227" s="20" t="s">
        <v>2524</v>
      </c>
      <c r="D227" s="20" t="s">
        <v>2525</v>
      </c>
      <c r="E227" s="20"/>
      <c r="F227" s="21"/>
      <c r="G227" s="127">
        <v>301</v>
      </c>
      <c r="H227" s="21">
        <v>8</v>
      </c>
      <c r="I227" s="128" t="s">
        <v>3655</v>
      </c>
      <c r="J227" s="127">
        <v>301</v>
      </c>
      <c r="K227" s="108">
        <v>4</v>
      </c>
      <c r="L227" s="49" t="s">
        <v>3745</v>
      </c>
      <c r="M227" s="22">
        <v>349</v>
      </c>
    </row>
    <row r="228" spans="1:13" ht="15.75" customHeight="1">
      <c r="A228" s="23">
        <v>9</v>
      </c>
      <c r="B228" s="36" t="s">
        <v>3627</v>
      </c>
      <c r="C228" s="24" t="s">
        <v>555</v>
      </c>
      <c r="D228" s="24" t="s">
        <v>556</v>
      </c>
      <c r="E228" s="24"/>
      <c r="F228" s="25">
        <v>1</v>
      </c>
      <c r="G228" s="127">
        <v>35</v>
      </c>
      <c r="H228" s="25"/>
      <c r="I228" s="128" t="s">
        <v>3655</v>
      </c>
      <c r="J228" s="127">
        <v>35</v>
      </c>
      <c r="K228" s="112">
        <v>0.5</v>
      </c>
      <c r="L228" s="49" t="s">
        <v>3746</v>
      </c>
      <c r="M228" s="22">
        <v>36</v>
      </c>
    </row>
    <row r="229" spans="1:13" ht="15.75" customHeight="1">
      <c r="A229" s="19">
        <v>10</v>
      </c>
      <c r="B229" s="36" t="s">
        <v>3627</v>
      </c>
      <c r="C229" s="20" t="s">
        <v>2518</v>
      </c>
      <c r="D229" s="20" t="s">
        <v>2519</v>
      </c>
      <c r="E229" s="20"/>
      <c r="F229" s="21"/>
      <c r="G229" s="127">
        <v>100</v>
      </c>
      <c r="H229" s="21">
        <v>3</v>
      </c>
      <c r="I229" s="128" t="s">
        <v>3655</v>
      </c>
      <c r="J229" s="127">
        <v>100</v>
      </c>
      <c r="K229" s="108">
        <v>1.5</v>
      </c>
      <c r="L229" s="49" t="s">
        <v>3747</v>
      </c>
      <c r="M229" s="22">
        <v>113</v>
      </c>
    </row>
    <row r="230" spans="1:13" ht="15.75" customHeight="1">
      <c r="A230" s="23">
        <v>11</v>
      </c>
      <c r="B230" s="36" t="s">
        <v>3627</v>
      </c>
      <c r="C230" s="24" t="s">
        <v>1123</v>
      </c>
      <c r="D230" s="24" t="s">
        <v>666</v>
      </c>
      <c r="E230" s="24" t="s">
        <v>1124</v>
      </c>
      <c r="F230" s="127">
        <v>81</v>
      </c>
      <c r="G230" s="25">
        <v>3</v>
      </c>
      <c r="H230" s="25"/>
      <c r="I230" s="128" t="s">
        <v>3649</v>
      </c>
      <c r="J230" s="127">
        <v>81</v>
      </c>
      <c r="K230" s="112">
        <v>1.5</v>
      </c>
      <c r="L230" s="49" t="s">
        <v>3748</v>
      </c>
      <c r="M230" s="22">
        <v>84</v>
      </c>
    </row>
    <row r="231" spans="1:13" ht="15.75" customHeight="1">
      <c r="A231" s="19">
        <v>12</v>
      </c>
      <c r="B231" s="36" t="s">
        <v>3627</v>
      </c>
      <c r="C231" s="20" t="s">
        <v>2509</v>
      </c>
      <c r="D231" s="20" t="s">
        <v>2510</v>
      </c>
      <c r="E231" s="20"/>
      <c r="F231" s="21"/>
      <c r="G231" s="127">
        <v>130</v>
      </c>
      <c r="H231" s="21">
        <v>5</v>
      </c>
      <c r="I231" s="128" t="s">
        <v>3655</v>
      </c>
      <c r="J231" s="127">
        <v>130</v>
      </c>
      <c r="K231" s="108">
        <v>2.5</v>
      </c>
      <c r="L231" s="49" t="s">
        <v>3652</v>
      </c>
      <c r="M231" s="22">
        <v>135</v>
      </c>
    </row>
    <row r="232" spans="1:13" ht="15.75" customHeight="1">
      <c r="A232" s="23">
        <v>13</v>
      </c>
      <c r="B232" s="36" t="s">
        <v>3627</v>
      </c>
      <c r="C232" s="24" t="s">
        <v>792</v>
      </c>
      <c r="D232" s="24" t="s">
        <v>793</v>
      </c>
      <c r="E232" s="24" t="s">
        <v>794</v>
      </c>
      <c r="F232" s="127">
        <v>100</v>
      </c>
      <c r="G232" s="25"/>
      <c r="H232" s="25">
        <v>4</v>
      </c>
      <c r="I232" s="128" t="s">
        <v>3649</v>
      </c>
      <c r="J232" s="127">
        <v>100</v>
      </c>
      <c r="K232" s="112">
        <v>2</v>
      </c>
      <c r="L232" s="49" t="s">
        <v>3653</v>
      </c>
      <c r="M232" s="22">
        <v>104</v>
      </c>
    </row>
    <row r="233" spans="1:13" ht="15.75" customHeight="1">
      <c r="A233" s="19">
        <v>14</v>
      </c>
      <c r="B233" s="36" t="s">
        <v>3627</v>
      </c>
      <c r="C233" s="20" t="s">
        <v>2474</v>
      </c>
      <c r="D233" s="20" t="s">
        <v>2475</v>
      </c>
      <c r="E233" s="20"/>
      <c r="F233" s="21"/>
      <c r="G233" s="127">
        <v>146</v>
      </c>
      <c r="H233" s="21">
        <v>6</v>
      </c>
      <c r="I233" s="128" t="s">
        <v>3655</v>
      </c>
      <c r="J233" s="127">
        <v>146</v>
      </c>
      <c r="K233" s="108">
        <v>3</v>
      </c>
      <c r="L233" s="49" t="s">
        <v>3749</v>
      </c>
      <c r="M233" s="22">
        <v>162</v>
      </c>
    </row>
    <row r="234" spans="1:13" ht="15.75" customHeight="1">
      <c r="A234" s="23">
        <v>15</v>
      </c>
      <c r="B234" s="36" t="s">
        <v>3627</v>
      </c>
      <c r="C234" s="24" t="s">
        <v>366</v>
      </c>
      <c r="D234" s="24" t="s">
        <v>367</v>
      </c>
      <c r="E234" s="24" t="s">
        <v>368</v>
      </c>
      <c r="F234" s="127">
        <v>102</v>
      </c>
      <c r="G234" s="25">
        <v>6</v>
      </c>
      <c r="H234" s="25"/>
      <c r="I234" s="128" t="s">
        <v>3649</v>
      </c>
      <c r="J234" s="127">
        <v>102</v>
      </c>
      <c r="K234" s="112">
        <v>3</v>
      </c>
      <c r="L234" s="49" t="s">
        <v>3734</v>
      </c>
      <c r="M234" s="22">
        <v>108</v>
      </c>
    </row>
    <row r="235" spans="1:13" ht="15.75" customHeight="1">
      <c r="A235" s="19">
        <v>16</v>
      </c>
      <c r="B235" s="36" t="s">
        <v>3627</v>
      </c>
      <c r="C235" s="20" t="s">
        <v>1145</v>
      </c>
      <c r="D235" s="20" t="s">
        <v>1146</v>
      </c>
      <c r="E235" s="20"/>
      <c r="F235" s="21">
        <v>4</v>
      </c>
      <c r="G235" s="127">
        <v>68</v>
      </c>
      <c r="H235" s="21"/>
      <c r="I235" s="128" t="s">
        <v>3655</v>
      </c>
      <c r="J235" s="127">
        <v>68</v>
      </c>
      <c r="K235" s="108">
        <v>2</v>
      </c>
      <c r="L235" s="49" t="s">
        <v>3734</v>
      </c>
      <c r="M235" s="22">
        <v>72</v>
      </c>
    </row>
    <row r="236" spans="1:13" ht="15.75" customHeight="1">
      <c r="A236" s="23">
        <v>17</v>
      </c>
      <c r="B236" s="36" t="s">
        <v>3627</v>
      </c>
      <c r="C236" s="24" t="s">
        <v>1161</v>
      </c>
      <c r="D236" s="24" t="s">
        <v>485</v>
      </c>
      <c r="E236" s="24" t="s">
        <v>1162</v>
      </c>
      <c r="F236" s="25">
        <v>5</v>
      </c>
      <c r="G236" s="25"/>
      <c r="H236" s="127">
        <v>85</v>
      </c>
      <c r="I236" s="128" t="s">
        <v>3651</v>
      </c>
      <c r="J236" s="127">
        <v>85</v>
      </c>
      <c r="K236" s="112">
        <v>2.5</v>
      </c>
      <c r="L236" s="49" t="s">
        <v>3734</v>
      </c>
      <c r="M236" s="22">
        <v>90</v>
      </c>
    </row>
    <row r="237" spans="1:13" ht="15.75" customHeight="1">
      <c r="A237" s="19">
        <v>18</v>
      </c>
      <c r="B237" s="36" t="s">
        <v>3627</v>
      </c>
      <c r="C237" s="20" t="s">
        <v>2679</v>
      </c>
      <c r="D237" s="20" t="s">
        <v>1260</v>
      </c>
      <c r="E237" s="20" t="s">
        <v>613</v>
      </c>
      <c r="F237" s="21"/>
      <c r="G237" s="21">
        <v>3</v>
      </c>
      <c r="H237" s="127">
        <v>50</v>
      </c>
      <c r="I237" s="128" t="s">
        <v>3651</v>
      </c>
      <c r="J237" s="127">
        <v>50</v>
      </c>
      <c r="K237" s="108">
        <v>1.5</v>
      </c>
      <c r="L237" s="49" t="s">
        <v>3657</v>
      </c>
      <c r="M237" s="22">
        <v>58</v>
      </c>
    </row>
    <row r="238" spans="1:13" ht="15.75" customHeight="1">
      <c r="A238" s="23">
        <v>19</v>
      </c>
      <c r="B238" s="36" t="s">
        <v>3627</v>
      </c>
      <c r="C238" s="24" t="s">
        <v>1225</v>
      </c>
      <c r="D238" s="24" t="s">
        <v>591</v>
      </c>
      <c r="E238" s="26" t="s">
        <v>1226</v>
      </c>
      <c r="F238" s="127">
        <v>80</v>
      </c>
      <c r="G238" s="25">
        <v>5</v>
      </c>
      <c r="H238" s="25"/>
      <c r="I238" s="128" t="s">
        <v>3649</v>
      </c>
      <c r="J238" s="127">
        <v>80</v>
      </c>
      <c r="K238" s="112">
        <v>2.5</v>
      </c>
      <c r="L238" s="49" t="s">
        <v>3658</v>
      </c>
      <c r="M238" s="22">
        <v>85</v>
      </c>
    </row>
    <row r="239" spans="1:13" ht="15.75" customHeight="1">
      <c r="A239" s="19">
        <v>20</v>
      </c>
      <c r="B239" s="36" t="s">
        <v>3627</v>
      </c>
      <c r="C239" s="20" t="s">
        <v>1133</v>
      </c>
      <c r="D239" s="20" t="s">
        <v>708</v>
      </c>
      <c r="E239" s="20" t="s">
        <v>1134</v>
      </c>
      <c r="F239" s="127">
        <v>81</v>
      </c>
      <c r="G239" s="21">
        <v>6</v>
      </c>
      <c r="H239" s="21"/>
      <c r="I239" s="128" t="s">
        <v>3649</v>
      </c>
      <c r="J239" s="127">
        <v>81</v>
      </c>
      <c r="K239" s="108">
        <v>3</v>
      </c>
      <c r="L239" s="49" t="s">
        <v>3750</v>
      </c>
      <c r="M239" s="22">
        <v>87</v>
      </c>
    </row>
    <row r="240" spans="1:13" ht="15.75" customHeight="1">
      <c r="A240" s="23">
        <v>21</v>
      </c>
      <c r="B240" s="36" t="s">
        <v>3627</v>
      </c>
      <c r="C240" s="24" t="s">
        <v>996</v>
      </c>
      <c r="D240" s="24" t="s">
        <v>823</v>
      </c>
      <c r="E240" s="24" t="s">
        <v>997</v>
      </c>
      <c r="F240" s="25">
        <v>59</v>
      </c>
      <c r="G240" s="127">
        <v>750</v>
      </c>
      <c r="H240" s="25"/>
      <c r="I240" s="128" t="s">
        <v>3655</v>
      </c>
      <c r="J240" s="127">
        <v>750</v>
      </c>
      <c r="K240" s="112">
        <v>29.5</v>
      </c>
      <c r="L240" s="49" t="s">
        <v>3751</v>
      </c>
      <c r="M240" s="22">
        <v>809</v>
      </c>
    </row>
    <row r="241" spans="1:13" ht="15.75" customHeight="1">
      <c r="A241" s="19">
        <v>22</v>
      </c>
      <c r="B241" s="36" t="s">
        <v>3627</v>
      </c>
      <c r="C241" s="20" t="s">
        <v>2642</v>
      </c>
      <c r="D241" s="20" t="s">
        <v>2643</v>
      </c>
      <c r="E241" s="20"/>
      <c r="F241" s="21"/>
      <c r="G241" s="21">
        <v>3</v>
      </c>
      <c r="H241" s="127">
        <v>38</v>
      </c>
      <c r="I241" s="128" t="s">
        <v>3651</v>
      </c>
      <c r="J241" s="127">
        <v>38</v>
      </c>
      <c r="K241" s="108">
        <v>1.5</v>
      </c>
      <c r="L241" s="49" t="s">
        <v>3661</v>
      </c>
      <c r="M241" s="22">
        <v>41</v>
      </c>
    </row>
    <row r="242" spans="1:13" ht="15.75" customHeight="1">
      <c r="A242" s="23">
        <v>23</v>
      </c>
      <c r="B242" s="36" t="s">
        <v>3627</v>
      </c>
      <c r="C242" s="24" t="s">
        <v>2710</v>
      </c>
      <c r="D242" s="24" t="s">
        <v>2711</v>
      </c>
      <c r="E242" s="24"/>
      <c r="F242" s="25"/>
      <c r="G242" s="127">
        <v>55</v>
      </c>
      <c r="H242" s="25">
        <v>5</v>
      </c>
      <c r="I242" s="128" t="s">
        <v>3655</v>
      </c>
      <c r="J242" s="127">
        <v>55</v>
      </c>
      <c r="K242" s="112">
        <v>2.5</v>
      </c>
      <c r="L242" s="49" t="s">
        <v>3752</v>
      </c>
      <c r="M242" s="22">
        <v>70</v>
      </c>
    </row>
    <row r="243" spans="1:13" ht="15.75" customHeight="1">
      <c r="A243" s="19">
        <v>24</v>
      </c>
      <c r="B243" s="36" t="s">
        <v>3627</v>
      </c>
      <c r="C243" s="20" t="s">
        <v>1152</v>
      </c>
      <c r="D243" s="20" t="s">
        <v>1153</v>
      </c>
      <c r="E243" s="27" t="s">
        <v>1154</v>
      </c>
      <c r="F243" s="21">
        <v>1</v>
      </c>
      <c r="G243" s="127">
        <v>10</v>
      </c>
      <c r="H243" s="21"/>
      <c r="I243" s="128" t="s">
        <v>3655</v>
      </c>
      <c r="J243" s="127">
        <v>10</v>
      </c>
      <c r="K243" s="108">
        <v>0.5</v>
      </c>
      <c r="L243" s="49" t="s">
        <v>3663</v>
      </c>
      <c r="M243" s="22">
        <v>11</v>
      </c>
    </row>
    <row r="244" spans="1:13" ht="15.75" customHeight="1">
      <c r="A244" s="23">
        <v>25</v>
      </c>
      <c r="B244" s="36" t="s">
        <v>3627</v>
      </c>
      <c r="C244" s="24" t="s">
        <v>1119</v>
      </c>
      <c r="D244" s="24" t="s">
        <v>351</v>
      </c>
      <c r="E244" s="24" t="s">
        <v>1115</v>
      </c>
      <c r="F244" s="127">
        <v>30</v>
      </c>
      <c r="G244" s="25">
        <v>2</v>
      </c>
      <c r="H244" s="25">
        <v>1</v>
      </c>
      <c r="I244" s="128" t="s">
        <v>3649</v>
      </c>
      <c r="J244" s="127">
        <v>30</v>
      </c>
      <c r="K244" s="112">
        <v>1.5</v>
      </c>
      <c r="L244" s="49" t="s">
        <v>3663</v>
      </c>
      <c r="M244" s="22">
        <v>37</v>
      </c>
    </row>
    <row r="245" spans="1:13" ht="15.75" customHeight="1">
      <c r="A245" s="19">
        <v>26</v>
      </c>
      <c r="B245" s="36" t="s">
        <v>3627</v>
      </c>
      <c r="C245" s="20" t="s">
        <v>2731</v>
      </c>
      <c r="D245" s="20" t="s">
        <v>2732</v>
      </c>
      <c r="E245" s="20"/>
      <c r="F245" s="21"/>
      <c r="G245" s="127">
        <v>50</v>
      </c>
      <c r="H245" s="21">
        <v>5</v>
      </c>
      <c r="I245" s="128" t="s">
        <v>3655</v>
      </c>
      <c r="J245" s="127">
        <v>50</v>
      </c>
      <c r="K245" s="108">
        <v>2.5</v>
      </c>
      <c r="L245" s="49" t="s">
        <v>3663</v>
      </c>
      <c r="M245" s="22">
        <v>65</v>
      </c>
    </row>
    <row r="246" spans="1:13" ht="15.75" customHeight="1">
      <c r="A246" s="23">
        <v>27</v>
      </c>
      <c r="B246" s="36" t="s">
        <v>3627</v>
      </c>
      <c r="C246" s="24" t="s">
        <v>2490</v>
      </c>
      <c r="D246" s="24" t="s">
        <v>2491</v>
      </c>
      <c r="E246" s="24"/>
      <c r="F246" s="25"/>
      <c r="G246" s="127">
        <v>99</v>
      </c>
      <c r="H246" s="25">
        <v>10</v>
      </c>
      <c r="I246" s="128" t="s">
        <v>3655</v>
      </c>
      <c r="J246" s="127">
        <v>99</v>
      </c>
      <c r="K246" s="112">
        <v>5</v>
      </c>
      <c r="L246" s="49" t="s">
        <v>3753</v>
      </c>
      <c r="M246" s="22">
        <v>109</v>
      </c>
    </row>
    <row r="247" spans="1:13" ht="15.75" customHeight="1">
      <c r="A247" s="19">
        <v>28</v>
      </c>
      <c r="B247" s="36" t="s">
        <v>3627</v>
      </c>
      <c r="C247" s="20" t="s">
        <v>903</v>
      </c>
      <c r="D247" s="20" t="s">
        <v>904</v>
      </c>
      <c r="E247" s="20" t="s">
        <v>905</v>
      </c>
      <c r="F247" s="127">
        <v>300</v>
      </c>
      <c r="G247" s="21">
        <v>32</v>
      </c>
      <c r="H247" s="21"/>
      <c r="I247" s="128" t="s">
        <v>3649</v>
      </c>
      <c r="J247" s="127">
        <v>300</v>
      </c>
      <c r="K247" s="108">
        <v>16</v>
      </c>
      <c r="L247" s="49" t="s">
        <v>3754</v>
      </c>
      <c r="M247" s="22">
        <v>332</v>
      </c>
    </row>
    <row r="248" spans="1:13" ht="15.75" customHeight="1">
      <c r="A248" s="23">
        <v>29</v>
      </c>
      <c r="B248" s="36" t="s">
        <v>3627</v>
      </c>
      <c r="C248" s="24" t="s">
        <v>2599</v>
      </c>
      <c r="D248" s="24" t="s">
        <v>776</v>
      </c>
      <c r="E248" s="24" t="s">
        <v>2600</v>
      </c>
      <c r="F248" s="25"/>
      <c r="G248" s="127">
        <v>280</v>
      </c>
      <c r="H248" s="25">
        <v>30</v>
      </c>
      <c r="I248" s="128" t="s">
        <v>3655</v>
      </c>
      <c r="J248" s="127">
        <v>280</v>
      </c>
      <c r="K248" s="112">
        <v>15</v>
      </c>
      <c r="L248" s="49" t="s">
        <v>3755</v>
      </c>
      <c r="M248" s="22">
        <v>310</v>
      </c>
    </row>
    <row r="249" spans="1:13" ht="15.75" customHeight="1">
      <c r="A249" s="19">
        <v>30</v>
      </c>
      <c r="B249" s="36" t="s">
        <v>3627</v>
      </c>
      <c r="C249" s="20" t="s">
        <v>593</v>
      </c>
      <c r="D249" s="20" t="s">
        <v>594</v>
      </c>
      <c r="E249" s="20" t="s">
        <v>595</v>
      </c>
      <c r="F249" s="21">
        <v>8</v>
      </c>
      <c r="G249" s="21">
        <v>10</v>
      </c>
      <c r="H249" s="127">
        <v>161</v>
      </c>
      <c r="I249" s="128" t="s">
        <v>3651</v>
      </c>
      <c r="J249" s="127">
        <v>161</v>
      </c>
      <c r="K249" s="108">
        <v>9</v>
      </c>
      <c r="L249" s="49" t="s">
        <v>3756</v>
      </c>
      <c r="M249" s="22">
        <v>179</v>
      </c>
    </row>
    <row r="250" spans="1:13" ht="15.75" customHeight="1">
      <c r="A250" s="23">
        <v>31</v>
      </c>
      <c r="B250" s="36" t="s">
        <v>3627</v>
      </c>
      <c r="C250" s="24" t="s">
        <v>2455</v>
      </c>
      <c r="D250" s="24" t="s">
        <v>2456</v>
      </c>
      <c r="E250" s="24"/>
      <c r="F250" s="25"/>
      <c r="G250" s="127">
        <v>35</v>
      </c>
      <c r="H250" s="25">
        <v>4</v>
      </c>
      <c r="I250" s="128" t="s">
        <v>3655</v>
      </c>
      <c r="J250" s="127">
        <v>35</v>
      </c>
      <c r="K250" s="112">
        <v>2</v>
      </c>
      <c r="L250" s="49" t="s">
        <v>3757</v>
      </c>
      <c r="M250" s="22">
        <v>39</v>
      </c>
    </row>
    <row r="251" spans="1:13" ht="15.75" customHeight="1">
      <c r="A251" s="19">
        <v>32</v>
      </c>
      <c r="B251" s="36" t="s">
        <v>3627</v>
      </c>
      <c r="C251" s="20" t="s">
        <v>906</v>
      </c>
      <c r="D251" s="20" t="s">
        <v>907</v>
      </c>
      <c r="E251" s="20" t="s">
        <v>908</v>
      </c>
      <c r="F251" s="127">
        <v>604</v>
      </c>
      <c r="G251" s="21">
        <v>56</v>
      </c>
      <c r="H251" s="21">
        <v>14</v>
      </c>
      <c r="I251" s="128" t="s">
        <v>3649</v>
      </c>
      <c r="J251" s="127">
        <v>604</v>
      </c>
      <c r="K251" s="108">
        <v>35</v>
      </c>
      <c r="L251" s="49" t="s">
        <v>3666</v>
      </c>
      <c r="M251" s="22">
        <v>684</v>
      </c>
    </row>
    <row r="252" spans="1:13" ht="15.75" customHeight="1">
      <c r="A252" s="23">
        <v>33</v>
      </c>
      <c r="B252" s="36" t="s">
        <v>3627</v>
      </c>
      <c r="C252" s="24" t="s">
        <v>668</v>
      </c>
      <c r="D252" s="24" t="s">
        <v>669</v>
      </c>
      <c r="E252" s="24"/>
      <c r="F252" s="127">
        <v>50</v>
      </c>
      <c r="G252" s="25"/>
      <c r="H252" s="25">
        <v>6</v>
      </c>
      <c r="I252" s="128" t="s">
        <v>3649</v>
      </c>
      <c r="J252" s="127">
        <v>50</v>
      </c>
      <c r="K252" s="112">
        <v>3</v>
      </c>
      <c r="L252" s="49" t="s">
        <v>3758</v>
      </c>
      <c r="M252" s="22">
        <v>56</v>
      </c>
    </row>
    <row r="253" spans="1:13" ht="15.75" customHeight="1">
      <c r="A253" s="19">
        <v>34</v>
      </c>
      <c r="B253" s="36" t="s">
        <v>3627</v>
      </c>
      <c r="C253" s="20" t="s">
        <v>962</v>
      </c>
      <c r="D253" s="20" t="s">
        <v>963</v>
      </c>
      <c r="E253" s="20"/>
      <c r="F253" s="127">
        <v>50</v>
      </c>
      <c r="G253" s="21"/>
      <c r="H253" s="21">
        <v>6</v>
      </c>
      <c r="I253" s="128" t="s">
        <v>3649</v>
      </c>
      <c r="J253" s="127">
        <v>50</v>
      </c>
      <c r="K253" s="108">
        <v>3</v>
      </c>
      <c r="L253" s="49" t="s">
        <v>3758</v>
      </c>
      <c r="M253" s="22">
        <v>56</v>
      </c>
    </row>
    <row r="254" spans="1:13" ht="15.75" customHeight="1">
      <c r="A254" s="23">
        <v>35</v>
      </c>
      <c r="B254" s="36" t="s">
        <v>3627</v>
      </c>
      <c r="C254" s="24" t="s">
        <v>769</v>
      </c>
      <c r="D254" s="24" t="s">
        <v>770</v>
      </c>
      <c r="E254" s="24" t="s">
        <v>771</v>
      </c>
      <c r="F254" s="25">
        <v>2</v>
      </c>
      <c r="G254" s="25">
        <v>3</v>
      </c>
      <c r="H254" s="127">
        <v>40</v>
      </c>
      <c r="I254" s="128" t="s">
        <v>3651</v>
      </c>
      <c r="J254" s="127">
        <v>40</v>
      </c>
      <c r="K254" s="112">
        <v>2.5</v>
      </c>
      <c r="L254" s="49" t="s">
        <v>3720</v>
      </c>
      <c r="M254" s="22">
        <v>45</v>
      </c>
    </row>
    <row r="255" spans="1:13" ht="15.75" customHeight="1">
      <c r="A255" s="19">
        <v>36</v>
      </c>
      <c r="B255" s="36" t="s">
        <v>3627</v>
      </c>
      <c r="C255" s="20" t="s">
        <v>781</v>
      </c>
      <c r="D255" s="20" t="s">
        <v>782</v>
      </c>
      <c r="E255" s="20" t="s">
        <v>783</v>
      </c>
      <c r="F255" s="21">
        <v>15</v>
      </c>
      <c r="G255" s="21"/>
      <c r="H255" s="127">
        <v>120</v>
      </c>
      <c r="I255" s="128" t="s">
        <v>3651</v>
      </c>
      <c r="J255" s="127">
        <v>120</v>
      </c>
      <c r="K255" s="108">
        <v>7.5</v>
      </c>
      <c r="L255" s="49" t="s">
        <v>3720</v>
      </c>
      <c r="M255" s="22">
        <v>135</v>
      </c>
    </row>
    <row r="256" spans="1:13" ht="15.75" customHeight="1">
      <c r="A256" s="23">
        <v>37</v>
      </c>
      <c r="B256" s="36" t="s">
        <v>3627</v>
      </c>
      <c r="C256" s="24" t="s">
        <v>2471</v>
      </c>
      <c r="D256" s="24" t="s">
        <v>2472</v>
      </c>
      <c r="E256" s="24" t="s">
        <v>2473</v>
      </c>
      <c r="F256" s="25"/>
      <c r="G256" s="127">
        <v>16</v>
      </c>
      <c r="H256" s="25">
        <v>2</v>
      </c>
      <c r="I256" s="128" t="s">
        <v>3655</v>
      </c>
      <c r="J256" s="127">
        <v>16</v>
      </c>
      <c r="K256" s="112">
        <v>1</v>
      </c>
      <c r="L256" s="49" t="s">
        <v>3720</v>
      </c>
      <c r="M256" s="22">
        <v>18</v>
      </c>
    </row>
    <row r="257" spans="1:13" ht="15.75" customHeight="1">
      <c r="A257" s="19">
        <v>38</v>
      </c>
      <c r="B257" s="36" t="s">
        <v>3627</v>
      </c>
      <c r="C257" s="20" t="s">
        <v>369</v>
      </c>
      <c r="D257" s="20" t="s">
        <v>370</v>
      </c>
      <c r="E257" s="20" t="s">
        <v>371</v>
      </c>
      <c r="F257" s="21">
        <v>43</v>
      </c>
      <c r="G257" s="127">
        <v>340</v>
      </c>
      <c r="H257" s="21"/>
      <c r="I257" s="128" t="s">
        <v>3655</v>
      </c>
      <c r="J257" s="127">
        <v>340</v>
      </c>
      <c r="K257" s="108">
        <v>21.5</v>
      </c>
      <c r="L257" s="49" t="s">
        <v>3759</v>
      </c>
      <c r="M257" s="22">
        <v>383</v>
      </c>
    </row>
    <row r="258" spans="1:13" ht="15.75" customHeight="1">
      <c r="A258" s="23">
        <v>39</v>
      </c>
      <c r="B258" s="36" t="s">
        <v>3627</v>
      </c>
      <c r="C258" s="24" t="s">
        <v>1261</v>
      </c>
      <c r="D258" s="24" t="s">
        <v>558</v>
      </c>
      <c r="E258" s="24" t="s">
        <v>1262</v>
      </c>
      <c r="F258" s="127">
        <v>94</v>
      </c>
      <c r="G258" s="25">
        <v>12</v>
      </c>
      <c r="H258" s="25"/>
      <c r="I258" s="128" t="s">
        <v>3649</v>
      </c>
      <c r="J258" s="127">
        <v>94</v>
      </c>
      <c r="K258" s="112">
        <v>6</v>
      </c>
      <c r="L258" s="49" t="s">
        <v>3760</v>
      </c>
      <c r="M258" s="22">
        <v>106</v>
      </c>
    </row>
    <row r="259" spans="1:13" ht="15.75" customHeight="1">
      <c r="A259" s="19">
        <v>40</v>
      </c>
      <c r="B259" s="36" t="s">
        <v>3627</v>
      </c>
      <c r="C259" s="20" t="s">
        <v>994</v>
      </c>
      <c r="D259" s="20" t="s">
        <v>799</v>
      </c>
      <c r="E259" s="20" t="s">
        <v>995</v>
      </c>
      <c r="F259" s="21">
        <v>30</v>
      </c>
      <c r="G259" s="127">
        <v>914</v>
      </c>
      <c r="H259" s="21">
        <v>100</v>
      </c>
      <c r="I259" s="128" t="s">
        <v>3655</v>
      </c>
      <c r="J259" s="127">
        <v>914</v>
      </c>
      <c r="K259" s="108">
        <v>65</v>
      </c>
      <c r="L259" s="49" t="s">
        <v>3761</v>
      </c>
      <c r="M259" s="22">
        <v>1044</v>
      </c>
    </row>
    <row r="260" spans="1:13" ht="15.75" customHeight="1">
      <c r="A260" s="23">
        <v>41</v>
      </c>
      <c r="B260" s="36" t="s">
        <v>3627</v>
      </c>
      <c r="C260" s="24" t="s">
        <v>912</v>
      </c>
      <c r="D260" s="24" t="s">
        <v>913</v>
      </c>
      <c r="E260" s="24" t="s">
        <v>914</v>
      </c>
      <c r="F260" s="127">
        <v>200</v>
      </c>
      <c r="G260" s="25"/>
      <c r="H260" s="25">
        <v>30</v>
      </c>
      <c r="I260" s="128" t="s">
        <v>3649</v>
      </c>
      <c r="J260" s="127">
        <v>200</v>
      </c>
      <c r="K260" s="112">
        <v>15</v>
      </c>
      <c r="L260" s="49" t="s">
        <v>3762</v>
      </c>
      <c r="M260" s="22">
        <v>230</v>
      </c>
    </row>
    <row r="261" spans="1:13" ht="15.75" customHeight="1">
      <c r="A261" s="19">
        <v>42</v>
      </c>
      <c r="B261" s="36" t="s">
        <v>3627</v>
      </c>
      <c r="C261" s="20" t="s">
        <v>350</v>
      </c>
      <c r="D261" s="20" t="s">
        <v>351</v>
      </c>
      <c r="E261" s="20" t="s">
        <v>352</v>
      </c>
      <c r="F261" s="127">
        <v>1108</v>
      </c>
      <c r="G261" s="21">
        <v>179</v>
      </c>
      <c r="H261" s="21">
        <v>2</v>
      </c>
      <c r="I261" s="128" t="s">
        <v>3649</v>
      </c>
      <c r="J261" s="127">
        <v>1108</v>
      </c>
      <c r="K261" s="108">
        <v>90.5</v>
      </c>
      <c r="L261" s="49" t="s">
        <v>3763</v>
      </c>
      <c r="M261" s="22">
        <v>1289</v>
      </c>
    </row>
    <row r="262" spans="1:13" ht="15.75" customHeight="1">
      <c r="A262" s="23">
        <v>43</v>
      </c>
      <c r="B262" s="36" t="s">
        <v>3627</v>
      </c>
      <c r="C262" s="24" t="s">
        <v>909</v>
      </c>
      <c r="D262" s="24" t="s">
        <v>910</v>
      </c>
      <c r="E262" s="24" t="s">
        <v>911</v>
      </c>
      <c r="F262" s="127">
        <v>700</v>
      </c>
      <c r="G262" s="25">
        <v>60</v>
      </c>
      <c r="H262" s="25">
        <v>55</v>
      </c>
      <c r="I262" s="128" t="s">
        <v>3649</v>
      </c>
      <c r="J262" s="127">
        <v>700</v>
      </c>
      <c r="K262" s="112">
        <v>57.5</v>
      </c>
      <c r="L262" s="49" t="s">
        <v>3763</v>
      </c>
      <c r="M262" s="22">
        <v>815</v>
      </c>
    </row>
    <row r="263" spans="1:13" ht="15.75" customHeight="1">
      <c r="A263" s="19">
        <v>44</v>
      </c>
      <c r="B263" s="36" t="s">
        <v>3627</v>
      </c>
      <c r="C263" s="20" t="s">
        <v>1038</v>
      </c>
      <c r="D263" s="20" t="s">
        <v>820</v>
      </c>
      <c r="E263" s="20" t="s">
        <v>1039</v>
      </c>
      <c r="F263" s="21">
        <v>5</v>
      </c>
      <c r="G263" s="21"/>
      <c r="H263" s="127">
        <v>30</v>
      </c>
      <c r="I263" s="128" t="s">
        <v>3651</v>
      </c>
      <c r="J263" s="127">
        <v>30</v>
      </c>
      <c r="K263" s="108">
        <v>2.5</v>
      </c>
      <c r="L263" s="49" t="s">
        <v>3670</v>
      </c>
      <c r="M263" s="22">
        <v>35</v>
      </c>
    </row>
    <row r="264" spans="1:13" ht="15.75" customHeight="1">
      <c r="A264" s="23">
        <v>45</v>
      </c>
      <c r="B264" s="36" t="s">
        <v>3627</v>
      </c>
      <c r="C264" s="24" t="s">
        <v>2805</v>
      </c>
      <c r="D264" s="24" t="s">
        <v>869</v>
      </c>
      <c r="E264" s="24" t="s">
        <v>2806</v>
      </c>
      <c r="F264" s="25"/>
      <c r="G264" s="127">
        <v>600</v>
      </c>
      <c r="H264" s="25">
        <v>100</v>
      </c>
      <c r="I264" s="128" t="s">
        <v>3655</v>
      </c>
      <c r="J264" s="127">
        <v>600</v>
      </c>
      <c r="K264" s="112">
        <v>50</v>
      </c>
      <c r="L264" s="49" t="s">
        <v>3670</v>
      </c>
      <c r="M264" s="22">
        <v>700</v>
      </c>
    </row>
    <row r="265" spans="1:13" ht="15.75" customHeight="1">
      <c r="A265" s="19">
        <v>46</v>
      </c>
      <c r="B265" s="36" t="s">
        <v>3627</v>
      </c>
      <c r="C265" s="20" t="s">
        <v>767</v>
      </c>
      <c r="D265" s="20" t="s">
        <v>768</v>
      </c>
      <c r="E265" s="20"/>
      <c r="F265" s="21">
        <v>40</v>
      </c>
      <c r="G265" s="127">
        <v>459</v>
      </c>
      <c r="H265" s="21">
        <v>46</v>
      </c>
      <c r="I265" s="128" t="s">
        <v>3655</v>
      </c>
      <c r="J265" s="127">
        <v>459</v>
      </c>
      <c r="K265" s="108">
        <v>43</v>
      </c>
      <c r="L265" s="49" t="s">
        <v>3674</v>
      </c>
      <c r="M265" s="22">
        <v>590</v>
      </c>
    </row>
    <row r="266" spans="1:13" ht="15.75" customHeight="1">
      <c r="A266" s="23">
        <v>47</v>
      </c>
      <c r="B266" s="36" t="s">
        <v>3627</v>
      </c>
      <c r="C266" s="24" t="s">
        <v>1110</v>
      </c>
      <c r="D266" s="24" t="s">
        <v>835</v>
      </c>
      <c r="E266" s="24" t="s">
        <v>1111</v>
      </c>
      <c r="F266" s="127">
        <v>50</v>
      </c>
      <c r="G266" s="25"/>
      <c r="H266" s="25">
        <v>10</v>
      </c>
      <c r="I266" s="128" t="s">
        <v>3649</v>
      </c>
      <c r="J266" s="127">
        <v>50</v>
      </c>
      <c r="K266" s="112">
        <v>5</v>
      </c>
      <c r="L266" s="49" t="s">
        <v>3676</v>
      </c>
      <c r="M266" s="22">
        <v>60</v>
      </c>
    </row>
    <row r="267" spans="1:13" ht="15.75" customHeight="1">
      <c r="A267" s="19">
        <v>48</v>
      </c>
      <c r="B267" s="36" t="s">
        <v>3627</v>
      </c>
      <c r="C267" s="20" t="s">
        <v>646</v>
      </c>
      <c r="D267" s="20" t="s">
        <v>647</v>
      </c>
      <c r="E267" s="20" t="s">
        <v>648</v>
      </c>
      <c r="F267" s="127">
        <v>10</v>
      </c>
      <c r="G267" s="21"/>
      <c r="H267" s="21">
        <v>2</v>
      </c>
      <c r="I267" s="128" t="s">
        <v>3649</v>
      </c>
      <c r="J267" s="127">
        <v>10</v>
      </c>
      <c r="K267" s="108">
        <v>1</v>
      </c>
      <c r="L267" s="49" t="s">
        <v>3676</v>
      </c>
      <c r="M267" s="22">
        <v>12</v>
      </c>
    </row>
    <row r="268" spans="1:13" ht="15.75" customHeight="1">
      <c r="A268" s="23">
        <v>49</v>
      </c>
      <c r="B268" s="36" t="s">
        <v>3627</v>
      </c>
      <c r="C268" s="24" t="s">
        <v>759</v>
      </c>
      <c r="D268" s="24" t="s">
        <v>760</v>
      </c>
      <c r="E268" s="24" t="s">
        <v>761</v>
      </c>
      <c r="F268" s="127">
        <v>40</v>
      </c>
      <c r="G268" s="25">
        <v>8</v>
      </c>
      <c r="H268" s="25"/>
      <c r="I268" s="128" t="s">
        <v>3649</v>
      </c>
      <c r="J268" s="127">
        <v>40</v>
      </c>
      <c r="K268" s="112">
        <v>4</v>
      </c>
      <c r="L268" s="49" t="s">
        <v>3676</v>
      </c>
      <c r="M268" s="22">
        <v>48</v>
      </c>
    </row>
    <row r="269" spans="1:13" ht="15.75" customHeight="1">
      <c r="A269" s="19">
        <v>50</v>
      </c>
      <c r="B269" s="36" t="s">
        <v>3627</v>
      </c>
      <c r="C269" s="20" t="s">
        <v>2497</v>
      </c>
      <c r="D269" s="20" t="s">
        <v>2498</v>
      </c>
      <c r="E269" s="20"/>
      <c r="F269" s="21"/>
      <c r="G269" s="127">
        <v>50</v>
      </c>
      <c r="H269" s="21">
        <v>10</v>
      </c>
      <c r="I269" s="128" t="s">
        <v>3655</v>
      </c>
      <c r="J269" s="127">
        <v>50</v>
      </c>
      <c r="K269" s="108">
        <v>5</v>
      </c>
      <c r="L269" s="49" t="s">
        <v>3676</v>
      </c>
      <c r="M269" s="22">
        <v>60</v>
      </c>
    </row>
    <row r="270" spans="1:13" ht="15.75" customHeight="1">
      <c r="A270" s="23">
        <v>51</v>
      </c>
      <c r="B270" s="36" t="s">
        <v>3627</v>
      </c>
      <c r="C270" s="24" t="s">
        <v>2494</v>
      </c>
      <c r="D270" s="24" t="s">
        <v>2495</v>
      </c>
      <c r="E270" s="24" t="s">
        <v>2496</v>
      </c>
      <c r="F270" s="25"/>
      <c r="G270" s="127">
        <v>50</v>
      </c>
      <c r="H270" s="25">
        <v>10</v>
      </c>
      <c r="I270" s="128" t="s">
        <v>3655</v>
      </c>
      <c r="J270" s="127">
        <v>50</v>
      </c>
      <c r="K270" s="112">
        <v>5</v>
      </c>
      <c r="L270" s="49" t="s">
        <v>3676</v>
      </c>
      <c r="M270" s="22">
        <v>60</v>
      </c>
    </row>
    <row r="271" spans="1:13" ht="15.75" customHeight="1">
      <c r="A271" s="19">
        <v>52</v>
      </c>
      <c r="B271" s="36" t="s">
        <v>3627</v>
      </c>
      <c r="C271" s="20" t="s">
        <v>2682</v>
      </c>
      <c r="D271" s="20" t="s">
        <v>588</v>
      </c>
      <c r="E271" s="27" t="s">
        <v>1154</v>
      </c>
      <c r="F271" s="21"/>
      <c r="G271" s="21">
        <v>20</v>
      </c>
      <c r="H271" s="127">
        <v>100</v>
      </c>
      <c r="I271" s="128" t="s">
        <v>3651</v>
      </c>
      <c r="J271" s="127">
        <v>100</v>
      </c>
      <c r="K271" s="108">
        <v>10</v>
      </c>
      <c r="L271" s="49" t="s">
        <v>3676</v>
      </c>
      <c r="M271" s="22">
        <v>120</v>
      </c>
    </row>
    <row r="272" spans="1:13" ht="15.75" customHeight="1">
      <c r="A272" s="23">
        <v>53</v>
      </c>
      <c r="B272" s="36" t="s">
        <v>3627</v>
      </c>
      <c r="C272" s="24" t="s">
        <v>1008</v>
      </c>
      <c r="D272" s="24" t="s">
        <v>779</v>
      </c>
      <c r="E272" s="24" t="s">
        <v>1009</v>
      </c>
      <c r="F272" s="25">
        <v>80</v>
      </c>
      <c r="G272" s="127">
        <v>383</v>
      </c>
      <c r="H272" s="25">
        <v>2</v>
      </c>
      <c r="I272" s="128" t="s">
        <v>3655</v>
      </c>
      <c r="J272" s="127">
        <v>383</v>
      </c>
      <c r="K272" s="112">
        <v>41</v>
      </c>
      <c r="L272" s="49" t="s">
        <v>3764</v>
      </c>
      <c r="M272" s="22">
        <v>465</v>
      </c>
    </row>
    <row r="273" spans="1:13" ht="15.75" customHeight="1">
      <c r="A273" s="19">
        <v>54</v>
      </c>
      <c r="B273" s="36" t="s">
        <v>3627</v>
      </c>
      <c r="C273" s="20" t="s">
        <v>2461</v>
      </c>
      <c r="D273" s="20" t="s">
        <v>2462</v>
      </c>
      <c r="E273" s="20" t="s">
        <v>2463</v>
      </c>
      <c r="F273" s="21"/>
      <c r="G273" s="21">
        <v>15</v>
      </c>
      <c r="H273" s="127">
        <v>70</v>
      </c>
      <c r="I273" s="128" t="s">
        <v>3651</v>
      </c>
      <c r="J273" s="127">
        <v>70</v>
      </c>
      <c r="K273" s="108">
        <v>7.5</v>
      </c>
      <c r="L273" s="49" t="s">
        <v>3764</v>
      </c>
      <c r="M273" s="22">
        <v>85</v>
      </c>
    </row>
    <row r="274" spans="1:13" ht="15.75" customHeight="1">
      <c r="A274" s="23">
        <v>55</v>
      </c>
      <c r="B274" s="36" t="s">
        <v>3627</v>
      </c>
      <c r="C274" s="24" t="s">
        <v>617</v>
      </c>
      <c r="D274" s="24" t="s">
        <v>618</v>
      </c>
      <c r="E274" s="24"/>
      <c r="F274" s="127">
        <v>4</v>
      </c>
      <c r="G274" s="25"/>
      <c r="H274" s="25">
        <v>1</v>
      </c>
      <c r="I274" s="128" t="s">
        <v>3649</v>
      </c>
      <c r="J274" s="127">
        <v>4</v>
      </c>
      <c r="K274" s="112">
        <v>0.5</v>
      </c>
      <c r="L274" s="49" t="s">
        <v>3681</v>
      </c>
      <c r="M274" s="22">
        <v>5</v>
      </c>
    </row>
    <row r="275" spans="1:13" ht="15.75" customHeight="1">
      <c r="A275" s="19">
        <v>56</v>
      </c>
      <c r="B275" s="36" t="s">
        <v>3627</v>
      </c>
      <c r="C275" s="20" t="s">
        <v>1266</v>
      </c>
      <c r="D275" s="20" t="s">
        <v>1267</v>
      </c>
      <c r="E275" s="20"/>
      <c r="F275" s="21">
        <v>5</v>
      </c>
      <c r="G275" s="21"/>
      <c r="H275" s="127">
        <v>20</v>
      </c>
      <c r="I275" s="128" t="s">
        <v>3651</v>
      </c>
      <c r="J275" s="127">
        <v>20</v>
      </c>
      <c r="K275" s="108">
        <v>2.5</v>
      </c>
      <c r="L275" s="49" t="s">
        <v>3681</v>
      </c>
      <c r="M275" s="22">
        <v>25</v>
      </c>
    </row>
    <row r="276" spans="1:13" ht="15.75" customHeight="1">
      <c r="A276" s="23">
        <v>57</v>
      </c>
      <c r="B276" s="36" t="s">
        <v>3627</v>
      </c>
      <c r="C276" s="24" t="s">
        <v>2526</v>
      </c>
      <c r="D276" s="24" t="s">
        <v>2527</v>
      </c>
      <c r="E276" s="24" t="s">
        <v>2528</v>
      </c>
      <c r="F276" s="25"/>
      <c r="G276" s="25">
        <v>2</v>
      </c>
      <c r="H276" s="127">
        <v>8</v>
      </c>
      <c r="I276" s="128" t="s">
        <v>3651</v>
      </c>
      <c r="J276" s="127">
        <v>8</v>
      </c>
      <c r="K276" s="112">
        <v>1</v>
      </c>
      <c r="L276" s="49" t="s">
        <v>3681</v>
      </c>
      <c r="M276" s="22">
        <v>10</v>
      </c>
    </row>
    <row r="277" spans="1:13" ht="15.75" customHeight="1">
      <c r="A277" s="19">
        <v>58</v>
      </c>
      <c r="B277" s="36" t="s">
        <v>3627</v>
      </c>
      <c r="C277" s="20" t="s">
        <v>2623</v>
      </c>
      <c r="D277" s="20" t="s">
        <v>2624</v>
      </c>
      <c r="E277" s="20"/>
      <c r="F277" s="21"/>
      <c r="G277" s="21">
        <v>1</v>
      </c>
      <c r="H277" s="127">
        <v>4</v>
      </c>
      <c r="I277" s="128" t="s">
        <v>3651</v>
      </c>
      <c r="J277" s="127">
        <v>4</v>
      </c>
      <c r="K277" s="108">
        <v>0.5</v>
      </c>
      <c r="L277" s="49" t="s">
        <v>3681</v>
      </c>
      <c r="M277" s="22">
        <v>5</v>
      </c>
    </row>
    <row r="278" spans="1:13" ht="15.75" customHeight="1">
      <c r="A278" s="23">
        <v>59</v>
      </c>
      <c r="B278" s="36" t="s">
        <v>3627</v>
      </c>
      <c r="C278" s="24" t="s">
        <v>2569</v>
      </c>
      <c r="D278" s="24" t="s">
        <v>2570</v>
      </c>
      <c r="E278" s="24"/>
      <c r="F278" s="25"/>
      <c r="G278" s="25">
        <v>15</v>
      </c>
      <c r="H278" s="127">
        <v>60</v>
      </c>
      <c r="I278" s="128" t="s">
        <v>3651</v>
      </c>
      <c r="J278" s="127">
        <v>60</v>
      </c>
      <c r="K278" s="112">
        <v>7.5</v>
      </c>
      <c r="L278" s="49" t="s">
        <v>3681</v>
      </c>
      <c r="M278" s="22">
        <v>85</v>
      </c>
    </row>
    <row r="279" spans="1:13" ht="15.75" customHeight="1">
      <c r="A279" s="19">
        <v>60</v>
      </c>
      <c r="B279" s="36" t="s">
        <v>3627</v>
      </c>
      <c r="C279" s="20" t="s">
        <v>877</v>
      </c>
      <c r="D279" s="20" t="s">
        <v>878</v>
      </c>
      <c r="E279" s="20" t="s">
        <v>879</v>
      </c>
      <c r="F279" s="127">
        <v>35</v>
      </c>
      <c r="G279" s="21">
        <v>5</v>
      </c>
      <c r="H279" s="21">
        <v>4</v>
      </c>
      <c r="I279" s="128" t="s">
        <v>3649</v>
      </c>
      <c r="J279" s="127">
        <v>35</v>
      </c>
      <c r="K279" s="108">
        <v>4.5</v>
      </c>
      <c r="L279" s="49" t="s">
        <v>3765</v>
      </c>
      <c r="M279" s="22">
        <v>54</v>
      </c>
    </row>
    <row r="280" spans="1:13" ht="15.75" customHeight="1">
      <c r="A280" s="23">
        <v>61</v>
      </c>
      <c r="B280" s="36" t="s">
        <v>3627</v>
      </c>
      <c r="C280" s="24" t="s">
        <v>570</v>
      </c>
      <c r="D280" s="24" t="s">
        <v>571</v>
      </c>
      <c r="E280" s="24" t="s">
        <v>572</v>
      </c>
      <c r="F280" s="25">
        <v>192</v>
      </c>
      <c r="G280" s="25">
        <v>15</v>
      </c>
      <c r="H280" s="127">
        <v>794</v>
      </c>
      <c r="I280" s="128" t="s">
        <v>3651</v>
      </c>
      <c r="J280" s="127">
        <v>794</v>
      </c>
      <c r="K280" s="112">
        <v>103.5</v>
      </c>
      <c r="L280" s="49" t="s">
        <v>3766</v>
      </c>
      <c r="M280" s="22">
        <v>1001</v>
      </c>
    </row>
    <row r="281" spans="1:13" ht="15.75" customHeight="1">
      <c r="A281" s="19">
        <v>62</v>
      </c>
      <c r="B281" s="36" t="s">
        <v>3627</v>
      </c>
      <c r="C281" s="20" t="s">
        <v>506</v>
      </c>
      <c r="D281" s="20" t="s">
        <v>507</v>
      </c>
      <c r="E281" s="20" t="s">
        <v>508</v>
      </c>
      <c r="F281" s="127">
        <v>545</v>
      </c>
      <c r="G281" s="21">
        <v>61</v>
      </c>
      <c r="H281" s="21">
        <v>85</v>
      </c>
      <c r="I281" s="128" t="s">
        <v>3649</v>
      </c>
      <c r="J281" s="127">
        <v>545</v>
      </c>
      <c r="K281" s="108">
        <v>73</v>
      </c>
      <c r="L281" s="49" t="s">
        <v>3735</v>
      </c>
      <c r="M281" s="22">
        <v>761</v>
      </c>
    </row>
    <row r="282" spans="1:13" ht="15.75" customHeight="1">
      <c r="A282" s="23">
        <v>63</v>
      </c>
      <c r="B282" s="36" t="s">
        <v>3627</v>
      </c>
      <c r="C282" s="24" t="s">
        <v>560</v>
      </c>
      <c r="D282" s="24" t="s">
        <v>561</v>
      </c>
      <c r="E282" s="24" t="s">
        <v>562</v>
      </c>
      <c r="F282" s="127">
        <v>590</v>
      </c>
      <c r="G282" s="25">
        <v>60</v>
      </c>
      <c r="H282" s="25">
        <v>99</v>
      </c>
      <c r="I282" s="128" t="s">
        <v>3649</v>
      </c>
      <c r="J282" s="127">
        <v>590</v>
      </c>
      <c r="K282" s="112">
        <v>79.5</v>
      </c>
      <c r="L282" s="49" t="s">
        <v>3767</v>
      </c>
      <c r="M282" s="22">
        <v>749</v>
      </c>
    </row>
    <row r="283" spans="1:13" ht="15.75" customHeight="1">
      <c r="A283" s="19">
        <v>64</v>
      </c>
      <c r="B283" s="36" t="s">
        <v>3627</v>
      </c>
      <c r="C283" s="20" t="s">
        <v>2579</v>
      </c>
      <c r="D283" s="20" t="s">
        <v>2580</v>
      </c>
      <c r="E283" s="20"/>
      <c r="F283" s="21"/>
      <c r="G283" s="127">
        <v>18</v>
      </c>
      <c r="H283" s="21">
        <v>5</v>
      </c>
      <c r="I283" s="128" t="s">
        <v>3655</v>
      </c>
      <c r="J283" s="127">
        <v>18</v>
      </c>
      <c r="K283" s="108">
        <v>2.5</v>
      </c>
      <c r="L283" s="49" t="s">
        <v>3768</v>
      </c>
      <c r="M283" s="22">
        <v>23</v>
      </c>
    </row>
    <row r="284" spans="1:13" ht="15.75" customHeight="1">
      <c r="A284" s="23">
        <v>65</v>
      </c>
      <c r="B284" s="36" t="s">
        <v>3627</v>
      </c>
      <c r="C284" s="24" t="s">
        <v>813</v>
      </c>
      <c r="D284" s="24" t="s">
        <v>814</v>
      </c>
      <c r="E284" s="24" t="s">
        <v>815</v>
      </c>
      <c r="F284" s="127">
        <v>4815</v>
      </c>
      <c r="G284" s="25">
        <v>275</v>
      </c>
      <c r="H284" s="25">
        <v>1071</v>
      </c>
      <c r="I284" s="128" t="s">
        <v>3649</v>
      </c>
      <c r="J284" s="127">
        <v>4815</v>
      </c>
      <c r="K284" s="112">
        <v>673</v>
      </c>
      <c r="L284" s="49" t="s">
        <v>3768</v>
      </c>
      <c r="M284" s="22">
        <v>6925</v>
      </c>
    </row>
    <row r="285" spans="1:13" ht="15.75" customHeight="1">
      <c r="A285" s="19">
        <v>66</v>
      </c>
      <c r="B285" s="36" t="s">
        <v>3627</v>
      </c>
      <c r="C285" s="20" t="s">
        <v>837</v>
      </c>
      <c r="D285" s="20" t="s">
        <v>838</v>
      </c>
      <c r="E285" s="20" t="s">
        <v>839</v>
      </c>
      <c r="F285" s="127">
        <v>1269</v>
      </c>
      <c r="G285" s="21">
        <v>153</v>
      </c>
      <c r="H285" s="21">
        <v>204</v>
      </c>
      <c r="I285" s="128" t="s">
        <v>3649</v>
      </c>
      <c r="J285" s="127">
        <v>1269</v>
      </c>
      <c r="K285" s="108">
        <v>178.5</v>
      </c>
      <c r="L285" s="49" t="s">
        <v>3683</v>
      </c>
      <c r="M285" s="22">
        <v>1626</v>
      </c>
    </row>
    <row r="286" spans="1:13" ht="15.75" customHeight="1">
      <c r="A286" s="23">
        <v>67</v>
      </c>
      <c r="B286" s="36" t="s">
        <v>3627</v>
      </c>
      <c r="C286" s="24" t="s">
        <v>1066</v>
      </c>
      <c r="D286" s="24" t="s">
        <v>899</v>
      </c>
      <c r="E286" s="24" t="s">
        <v>1067</v>
      </c>
      <c r="F286" s="127">
        <v>453</v>
      </c>
      <c r="G286" s="25">
        <v>127</v>
      </c>
      <c r="H286" s="25">
        <v>1</v>
      </c>
      <c r="I286" s="128" t="s">
        <v>3649</v>
      </c>
      <c r="J286" s="127">
        <v>453</v>
      </c>
      <c r="K286" s="112">
        <v>64</v>
      </c>
      <c r="L286" s="49" t="s">
        <v>3683</v>
      </c>
      <c r="M286" s="22">
        <v>581</v>
      </c>
    </row>
    <row r="287" spans="1:13" ht="15.75" customHeight="1">
      <c r="A287" s="19">
        <v>68</v>
      </c>
      <c r="B287" s="36" t="s">
        <v>3627</v>
      </c>
      <c r="C287" s="20" t="s">
        <v>2603</v>
      </c>
      <c r="D287" s="20" t="s">
        <v>846</v>
      </c>
      <c r="E287" s="20" t="s">
        <v>2604</v>
      </c>
      <c r="F287" s="21"/>
      <c r="G287" s="127">
        <v>106</v>
      </c>
      <c r="H287" s="21">
        <v>30</v>
      </c>
      <c r="I287" s="128" t="s">
        <v>3655</v>
      </c>
      <c r="J287" s="127">
        <v>106</v>
      </c>
      <c r="K287" s="108">
        <v>15</v>
      </c>
      <c r="L287" s="49" t="s">
        <v>3683</v>
      </c>
      <c r="M287" s="22">
        <v>136</v>
      </c>
    </row>
    <row r="288" spans="1:13" ht="15.75" customHeight="1">
      <c r="A288" s="23">
        <v>69</v>
      </c>
      <c r="B288" s="36" t="s">
        <v>3627</v>
      </c>
      <c r="C288" s="24" t="s">
        <v>2566</v>
      </c>
      <c r="D288" s="24" t="s">
        <v>2567</v>
      </c>
      <c r="E288" s="24" t="s">
        <v>2568</v>
      </c>
      <c r="F288" s="25"/>
      <c r="G288" s="25">
        <v>15</v>
      </c>
      <c r="H288" s="127">
        <v>52</v>
      </c>
      <c r="I288" s="128" t="s">
        <v>3651</v>
      </c>
      <c r="J288" s="127">
        <v>52</v>
      </c>
      <c r="K288" s="112">
        <v>7.5</v>
      </c>
      <c r="L288" s="49" t="s">
        <v>3684</v>
      </c>
      <c r="M288" s="22">
        <v>67</v>
      </c>
    </row>
    <row r="289" spans="1:13" ht="15.75" customHeight="1">
      <c r="A289" s="19">
        <v>70</v>
      </c>
      <c r="B289" s="36" t="s">
        <v>3627</v>
      </c>
      <c r="C289" s="20" t="s">
        <v>627</v>
      </c>
      <c r="D289" s="20" t="s">
        <v>628</v>
      </c>
      <c r="E289" s="20"/>
      <c r="F289" s="21">
        <v>20</v>
      </c>
      <c r="G289" s="21">
        <v>54</v>
      </c>
      <c r="H289" s="127">
        <v>247</v>
      </c>
      <c r="I289" s="128" t="s">
        <v>3651</v>
      </c>
      <c r="J289" s="127">
        <v>247</v>
      </c>
      <c r="K289" s="108">
        <v>37</v>
      </c>
      <c r="L289" s="49" t="s">
        <v>3685</v>
      </c>
      <c r="M289" s="22">
        <v>321</v>
      </c>
    </row>
    <row r="290" spans="1:13" ht="15.75" customHeight="1">
      <c r="A290" s="23">
        <v>71</v>
      </c>
      <c r="B290" s="36" t="s">
        <v>3627</v>
      </c>
      <c r="C290" s="24" t="s">
        <v>2535</v>
      </c>
      <c r="D290" s="24" t="s">
        <v>2536</v>
      </c>
      <c r="E290" s="24" t="s">
        <v>2537</v>
      </c>
      <c r="F290" s="25"/>
      <c r="G290" s="25">
        <v>100</v>
      </c>
      <c r="H290" s="127">
        <v>320</v>
      </c>
      <c r="I290" s="128" t="s">
        <v>3651</v>
      </c>
      <c r="J290" s="127">
        <v>320</v>
      </c>
      <c r="K290" s="112">
        <v>50</v>
      </c>
      <c r="L290" s="49" t="s">
        <v>3686</v>
      </c>
      <c r="M290" s="22">
        <v>420</v>
      </c>
    </row>
    <row r="291" spans="1:13" ht="15.75" customHeight="1">
      <c r="A291" s="19">
        <v>72</v>
      </c>
      <c r="B291" s="36" t="s">
        <v>3627</v>
      </c>
      <c r="C291" s="20" t="s">
        <v>807</v>
      </c>
      <c r="D291" s="20" t="s">
        <v>808</v>
      </c>
      <c r="E291" s="20" t="s">
        <v>809</v>
      </c>
      <c r="F291" s="21">
        <v>56</v>
      </c>
      <c r="G291" s="127">
        <v>330</v>
      </c>
      <c r="H291" s="21">
        <v>50</v>
      </c>
      <c r="I291" s="128" t="s">
        <v>3655</v>
      </c>
      <c r="J291" s="127">
        <v>330</v>
      </c>
      <c r="K291" s="108">
        <v>53</v>
      </c>
      <c r="L291" s="49" t="s">
        <v>3687</v>
      </c>
      <c r="M291" s="22">
        <v>436</v>
      </c>
    </row>
    <row r="292" spans="1:13" ht="15.75" customHeight="1">
      <c r="A292" s="23">
        <v>73</v>
      </c>
      <c r="B292" s="36" t="s">
        <v>3627</v>
      </c>
      <c r="C292" s="24" t="s">
        <v>1087</v>
      </c>
      <c r="D292" s="24" t="s">
        <v>814</v>
      </c>
      <c r="E292" s="24" t="s">
        <v>1088</v>
      </c>
      <c r="F292" s="127">
        <v>14160</v>
      </c>
      <c r="G292" s="25">
        <v>4500</v>
      </c>
      <c r="H292" s="25">
        <v>100</v>
      </c>
      <c r="I292" s="128" t="s">
        <v>3649</v>
      </c>
      <c r="J292" s="127">
        <v>14160</v>
      </c>
      <c r="K292" s="112">
        <v>2300</v>
      </c>
      <c r="L292" s="49" t="s">
        <v>3687</v>
      </c>
      <c r="M292" s="22">
        <v>18788</v>
      </c>
    </row>
    <row r="293" spans="1:13" ht="15.75" customHeight="1">
      <c r="A293" s="19">
        <v>74</v>
      </c>
      <c r="B293" s="36" t="s">
        <v>3627</v>
      </c>
      <c r="C293" s="20" t="s">
        <v>1002</v>
      </c>
      <c r="D293" s="20" t="s">
        <v>799</v>
      </c>
      <c r="E293" s="20" t="s">
        <v>1003</v>
      </c>
      <c r="F293" s="21">
        <v>10</v>
      </c>
      <c r="G293" s="21"/>
      <c r="H293" s="127">
        <v>30</v>
      </c>
      <c r="I293" s="128" t="s">
        <v>3651</v>
      </c>
      <c r="J293" s="127">
        <v>30</v>
      </c>
      <c r="K293" s="108">
        <v>5</v>
      </c>
      <c r="L293" s="49" t="s">
        <v>3689</v>
      </c>
      <c r="M293" s="22">
        <v>70</v>
      </c>
    </row>
    <row r="294" spans="1:13" ht="15.75" customHeight="1">
      <c r="A294" s="23">
        <v>75</v>
      </c>
      <c r="B294" s="36" t="s">
        <v>3627</v>
      </c>
      <c r="C294" s="24" t="s">
        <v>545</v>
      </c>
      <c r="D294" s="24" t="s">
        <v>546</v>
      </c>
      <c r="E294" s="24"/>
      <c r="F294" s="127">
        <v>6</v>
      </c>
      <c r="G294" s="25"/>
      <c r="H294" s="25">
        <v>2</v>
      </c>
      <c r="I294" s="128" t="s">
        <v>3649</v>
      </c>
      <c r="J294" s="127">
        <v>6</v>
      </c>
      <c r="K294" s="112">
        <v>1</v>
      </c>
      <c r="L294" s="49" t="s">
        <v>3689</v>
      </c>
      <c r="M294" s="22">
        <v>8</v>
      </c>
    </row>
    <row r="295" spans="1:13" ht="15.75" customHeight="1">
      <c r="A295" s="19">
        <v>76</v>
      </c>
      <c r="B295" s="36" t="s">
        <v>3627</v>
      </c>
      <c r="C295" s="20" t="s">
        <v>1030</v>
      </c>
      <c r="D295" s="20" t="s">
        <v>835</v>
      </c>
      <c r="E295" s="20" t="s">
        <v>1031</v>
      </c>
      <c r="F295" s="21">
        <v>50</v>
      </c>
      <c r="G295" s="127">
        <v>150</v>
      </c>
      <c r="H295" s="21"/>
      <c r="I295" s="128" t="s">
        <v>3655</v>
      </c>
      <c r="J295" s="127">
        <v>150</v>
      </c>
      <c r="K295" s="108">
        <v>25</v>
      </c>
      <c r="L295" s="49" t="s">
        <v>3689</v>
      </c>
      <c r="M295" s="22">
        <v>200</v>
      </c>
    </row>
    <row r="296" spans="1:13" ht="15.75" customHeight="1">
      <c r="A296" s="23">
        <v>77</v>
      </c>
      <c r="B296" s="36" t="s">
        <v>3627</v>
      </c>
      <c r="C296" s="24" t="s">
        <v>2676</v>
      </c>
      <c r="D296" s="24" t="s">
        <v>483</v>
      </c>
      <c r="E296" s="24" t="s">
        <v>1162</v>
      </c>
      <c r="F296" s="25"/>
      <c r="G296" s="127">
        <v>110</v>
      </c>
      <c r="H296" s="25">
        <v>37</v>
      </c>
      <c r="I296" s="128" t="s">
        <v>3655</v>
      </c>
      <c r="J296" s="127">
        <v>110</v>
      </c>
      <c r="K296" s="112">
        <v>18.5</v>
      </c>
      <c r="L296" s="49" t="s">
        <v>3769</v>
      </c>
      <c r="M296" s="22">
        <v>147</v>
      </c>
    </row>
    <row r="297" spans="1:13" ht="15.75" customHeight="1">
      <c r="A297" s="19">
        <v>78</v>
      </c>
      <c r="B297" s="36" t="s">
        <v>3627</v>
      </c>
      <c r="C297" s="20" t="s">
        <v>889</v>
      </c>
      <c r="D297" s="20" t="s">
        <v>890</v>
      </c>
      <c r="E297" s="20" t="s">
        <v>891</v>
      </c>
      <c r="F297" s="127">
        <v>145</v>
      </c>
      <c r="G297" s="21">
        <v>50</v>
      </c>
      <c r="H297" s="21"/>
      <c r="I297" s="128" t="s">
        <v>3649</v>
      </c>
      <c r="J297" s="127">
        <v>145</v>
      </c>
      <c r="K297" s="108">
        <v>25</v>
      </c>
      <c r="L297" s="49" t="s">
        <v>3690</v>
      </c>
      <c r="M297" s="22">
        <v>195</v>
      </c>
    </row>
    <row r="298" spans="1:13" ht="15.75" customHeight="1">
      <c r="A298" s="23">
        <v>79</v>
      </c>
      <c r="B298" s="36" t="s">
        <v>3627</v>
      </c>
      <c r="C298" s="24" t="s">
        <v>515</v>
      </c>
      <c r="D298" s="24" t="s">
        <v>516</v>
      </c>
      <c r="E298" s="24" t="s">
        <v>517</v>
      </c>
      <c r="F298" s="25">
        <v>249</v>
      </c>
      <c r="G298" s="127">
        <v>1025</v>
      </c>
      <c r="H298" s="25">
        <v>108</v>
      </c>
      <c r="I298" s="128" t="s">
        <v>3655</v>
      </c>
      <c r="J298" s="127">
        <v>1025</v>
      </c>
      <c r="K298" s="112">
        <v>178.5</v>
      </c>
      <c r="L298" s="49" t="s">
        <v>3736</v>
      </c>
      <c r="M298" s="22">
        <v>1382</v>
      </c>
    </row>
    <row r="299" spans="1:13" ht="15.75" customHeight="1">
      <c r="A299" s="19">
        <v>80</v>
      </c>
      <c r="B299" s="36" t="s">
        <v>3627</v>
      </c>
      <c r="C299" s="20" t="s">
        <v>523</v>
      </c>
      <c r="D299" s="20" t="s">
        <v>524</v>
      </c>
      <c r="E299" s="20" t="s">
        <v>525</v>
      </c>
      <c r="F299" s="127">
        <v>415</v>
      </c>
      <c r="G299" s="21">
        <v>111</v>
      </c>
      <c r="H299" s="21">
        <v>38</v>
      </c>
      <c r="I299" s="128" t="s">
        <v>3649</v>
      </c>
      <c r="J299" s="127">
        <v>415</v>
      </c>
      <c r="K299" s="108">
        <v>74.5</v>
      </c>
      <c r="L299" s="49" t="s">
        <v>3691</v>
      </c>
      <c r="M299" s="22">
        <v>564</v>
      </c>
    </row>
    <row r="300" spans="1:13" ht="15.75" customHeight="1">
      <c r="A300" s="23">
        <v>81</v>
      </c>
      <c r="B300" s="36" t="s">
        <v>3627</v>
      </c>
      <c r="C300" s="24" t="s">
        <v>2505</v>
      </c>
      <c r="D300" s="24" t="s">
        <v>2506</v>
      </c>
      <c r="E300" s="24"/>
      <c r="F300" s="25"/>
      <c r="G300" s="25">
        <v>74</v>
      </c>
      <c r="H300" s="127">
        <v>200</v>
      </c>
      <c r="I300" s="128" t="s">
        <v>3651</v>
      </c>
      <c r="J300" s="127">
        <v>200</v>
      </c>
      <c r="K300" s="112">
        <v>37</v>
      </c>
      <c r="L300" s="49" t="s">
        <v>3692</v>
      </c>
      <c r="M300" s="22">
        <v>274</v>
      </c>
    </row>
    <row r="301" spans="1:13" ht="15.75" customHeight="1">
      <c r="A301" s="19">
        <v>82</v>
      </c>
      <c r="B301" s="36" t="s">
        <v>3627</v>
      </c>
      <c r="C301" s="20" t="s">
        <v>388</v>
      </c>
      <c r="D301" s="20" t="s">
        <v>389</v>
      </c>
      <c r="E301" s="20"/>
      <c r="F301" s="21">
        <v>30</v>
      </c>
      <c r="G301" s="127">
        <v>80</v>
      </c>
      <c r="H301" s="21"/>
      <c r="I301" s="128" t="s">
        <v>3655</v>
      </c>
      <c r="J301" s="127">
        <v>80</v>
      </c>
      <c r="K301" s="108">
        <v>15</v>
      </c>
      <c r="L301" s="49" t="s">
        <v>3693</v>
      </c>
      <c r="M301" s="22">
        <v>110</v>
      </c>
    </row>
    <row r="302" spans="1:13" ht="15.75" customHeight="1">
      <c r="A302" s="23">
        <v>83</v>
      </c>
      <c r="B302" s="36" t="s">
        <v>3627</v>
      </c>
      <c r="C302" s="24" t="s">
        <v>1000</v>
      </c>
      <c r="D302" s="24" t="s">
        <v>832</v>
      </c>
      <c r="E302" s="24" t="s">
        <v>1001</v>
      </c>
      <c r="F302" s="25">
        <v>20</v>
      </c>
      <c r="G302" s="127">
        <v>130</v>
      </c>
      <c r="H302" s="25">
        <v>30</v>
      </c>
      <c r="I302" s="128" t="s">
        <v>3655</v>
      </c>
      <c r="J302" s="127">
        <v>130</v>
      </c>
      <c r="K302" s="112">
        <v>25</v>
      </c>
      <c r="L302" s="49" t="s">
        <v>3730</v>
      </c>
      <c r="M302" s="22">
        <v>180</v>
      </c>
    </row>
    <row r="303" spans="1:13" ht="15.75" customHeight="1">
      <c r="A303" s="19">
        <v>84</v>
      </c>
      <c r="B303" s="36" t="s">
        <v>3627</v>
      </c>
      <c r="C303" s="20" t="s">
        <v>605</v>
      </c>
      <c r="D303" s="20" t="s">
        <v>606</v>
      </c>
      <c r="E303" s="20" t="s">
        <v>607</v>
      </c>
      <c r="F303" s="21">
        <v>77</v>
      </c>
      <c r="G303" s="21">
        <v>69</v>
      </c>
      <c r="H303" s="127">
        <v>374</v>
      </c>
      <c r="I303" s="128" t="s">
        <v>3651</v>
      </c>
      <c r="J303" s="127">
        <v>374</v>
      </c>
      <c r="K303" s="108">
        <v>73</v>
      </c>
      <c r="L303" s="49" t="s">
        <v>3694</v>
      </c>
      <c r="M303" s="22">
        <v>520</v>
      </c>
    </row>
    <row r="304" spans="1:13" ht="15.75" customHeight="1">
      <c r="A304" s="23">
        <v>85</v>
      </c>
      <c r="B304" s="36" t="s">
        <v>3627</v>
      </c>
      <c r="C304" s="24" t="s">
        <v>2446</v>
      </c>
      <c r="D304" s="24" t="s">
        <v>2447</v>
      </c>
      <c r="E304" s="24"/>
      <c r="F304" s="25"/>
      <c r="G304" s="127">
        <v>25</v>
      </c>
      <c r="H304" s="25">
        <v>10</v>
      </c>
      <c r="I304" s="128" t="s">
        <v>3655</v>
      </c>
      <c r="J304" s="127">
        <v>25</v>
      </c>
      <c r="K304" s="112">
        <v>5</v>
      </c>
      <c r="L304" s="49" t="s">
        <v>3695</v>
      </c>
      <c r="M304" s="22">
        <v>35</v>
      </c>
    </row>
    <row r="305" spans="1:13" ht="15.75" customHeight="1">
      <c r="A305" s="19">
        <v>86</v>
      </c>
      <c r="B305" s="36" t="s">
        <v>3627</v>
      </c>
      <c r="C305" s="20" t="s">
        <v>883</v>
      </c>
      <c r="D305" s="20" t="s">
        <v>884</v>
      </c>
      <c r="E305" s="20" t="s">
        <v>885</v>
      </c>
      <c r="F305" s="127">
        <v>490</v>
      </c>
      <c r="G305" s="21">
        <v>200</v>
      </c>
      <c r="H305" s="21"/>
      <c r="I305" s="128" t="s">
        <v>3649</v>
      </c>
      <c r="J305" s="127">
        <v>490</v>
      </c>
      <c r="K305" s="108">
        <v>100</v>
      </c>
      <c r="L305" s="49" t="s">
        <v>3770</v>
      </c>
      <c r="M305" s="22">
        <v>690</v>
      </c>
    </row>
    <row r="306" spans="1:13" ht="15.75" customHeight="1">
      <c r="A306" s="23">
        <v>87</v>
      </c>
      <c r="B306" s="36" t="s">
        <v>3627</v>
      </c>
      <c r="C306" s="24" t="s">
        <v>2597</v>
      </c>
      <c r="D306" s="24" t="s">
        <v>820</v>
      </c>
      <c r="E306" s="24" t="s">
        <v>2598</v>
      </c>
      <c r="F306" s="25"/>
      <c r="G306" s="127">
        <v>311</v>
      </c>
      <c r="H306" s="25">
        <v>130</v>
      </c>
      <c r="I306" s="128" t="s">
        <v>3655</v>
      </c>
      <c r="J306" s="127">
        <v>311</v>
      </c>
      <c r="K306" s="112">
        <v>65</v>
      </c>
      <c r="L306" s="49" t="s">
        <v>3771</v>
      </c>
      <c r="M306" s="22">
        <v>441</v>
      </c>
    </row>
    <row r="307" spans="1:13" ht="15.75" customHeight="1">
      <c r="A307" s="19">
        <v>88</v>
      </c>
      <c r="B307" s="36" t="s">
        <v>3627</v>
      </c>
      <c r="C307" s="20" t="s">
        <v>353</v>
      </c>
      <c r="D307" s="20" t="s">
        <v>354</v>
      </c>
      <c r="E307" s="20" t="s">
        <v>355</v>
      </c>
      <c r="F307" s="127">
        <v>214</v>
      </c>
      <c r="G307" s="21">
        <v>78</v>
      </c>
      <c r="H307" s="21">
        <v>12</v>
      </c>
      <c r="I307" s="128" t="s">
        <v>3649</v>
      </c>
      <c r="J307" s="127">
        <v>214</v>
      </c>
      <c r="K307" s="108">
        <v>45</v>
      </c>
      <c r="L307" s="49" t="s">
        <v>3771</v>
      </c>
      <c r="M307" s="22">
        <v>304</v>
      </c>
    </row>
    <row r="308" spans="1:13" ht="15.75" customHeight="1">
      <c r="A308" s="23">
        <v>89</v>
      </c>
      <c r="B308" s="36" t="s">
        <v>3627</v>
      </c>
      <c r="C308" s="24" t="s">
        <v>880</v>
      </c>
      <c r="D308" s="24" t="s">
        <v>881</v>
      </c>
      <c r="E308" s="24" t="s">
        <v>882</v>
      </c>
      <c r="F308" s="127">
        <v>95</v>
      </c>
      <c r="G308" s="25">
        <v>30</v>
      </c>
      <c r="H308" s="25">
        <v>10</v>
      </c>
      <c r="I308" s="128" t="s">
        <v>3649</v>
      </c>
      <c r="J308" s="127">
        <v>95</v>
      </c>
      <c r="K308" s="112">
        <v>20</v>
      </c>
      <c r="L308" s="49" t="s">
        <v>3771</v>
      </c>
      <c r="M308" s="22">
        <v>135</v>
      </c>
    </row>
    <row r="309" spans="1:13" ht="15.75" customHeight="1">
      <c r="A309" s="19">
        <v>90</v>
      </c>
      <c r="B309" s="36" t="s">
        <v>3627</v>
      </c>
      <c r="C309" s="20" t="s">
        <v>737</v>
      </c>
      <c r="D309" s="20" t="s">
        <v>738</v>
      </c>
      <c r="E309" s="20" t="s">
        <v>739</v>
      </c>
      <c r="F309" s="127">
        <v>1020</v>
      </c>
      <c r="G309" s="21">
        <v>210</v>
      </c>
      <c r="H309" s="21">
        <v>220</v>
      </c>
      <c r="I309" s="128" t="s">
        <v>3649</v>
      </c>
      <c r="J309" s="127">
        <v>1020</v>
      </c>
      <c r="K309" s="108">
        <v>215</v>
      </c>
      <c r="L309" s="49" t="s">
        <v>3696</v>
      </c>
      <c r="M309" s="22">
        <v>1750</v>
      </c>
    </row>
    <row r="310" spans="1:13" ht="15.75" customHeight="1">
      <c r="A310" s="23">
        <v>91</v>
      </c>
      <c r="B310" s="36" t="s">
        <v>3627</v>
      </c>
      <c r="C310" s="24" t="s">
        <v>798</v>
      </c>
      <c r="D310" s="24" t="s">
        <v>799</v>
      </c>
      <c r="E310" s="24" t="s">
        <v>800</v>
      </c>
      <c r="F310" s="127">
        <v>4368</v>
      </c>
      <c r="G310" s="25">
        <v>1080</v>
      </c>
      <c r="H310" s="25">
        <v>782</v>
      </c>
      <c r="I310" s="128" t="s">
        <v>3649</v>
      </c>
      <c r="J310" s="127">
        <v>4368</v>
      </c>
      <c r="K310" s="112">
        <v>931</v>
      </c>
      <c r="L310" s="49" t="s">
        <v>3696</v>
      </c>
      <c r="M310" s="22">
        <v>6940</v>
      </c>
    </row>
    <row r="311" spans="1:13" ht="15.75" customHeight="1">
      <c r="A311" s="19">
        <v>92</v>
      </c>
      <c r="B311" s="36" t="s">
        <v>3627</v>
      </c>
      <c r="C311" s="20" t="s">
        <v>637</v>
      </c>
      <c r="D311" s="20" t="s">
        <v>638</v>
      </c>
      <c r="E311" s="20" t="s">
        <v>639</v>
      </c>
      <c r="F311" s="21">
        <v>22</v>
      </c>
      <c r="G311" s="127">
        <v>50</v>
      </c>
      <c r="H311" s="21"/>
      <c r="I311" s="128" t="s">
        <v>3655</v>
      </c>
      <c r="J311" s="127">
        <v>50</v>
      </c>
      <c r="K311" s="108">
        <v>11</v>
      </c>
      <c r="L311" s="49" t="s">
        <v>3697</v>
      </c>
      <c r="M311" s="22">
        <v>72</v>
      </c>
    </row>
    <row r="312" spans="1:13" ht="15.75" customHeight="1">
      <c r="A312" s="23">
        <v>93</v>
      </c>
      <c r="B312" s="36" t="s">
        <v>3627</v>
      </c>
      <c r="C312" s="24" t="s">
        <v>1127</v>
      </c>
      <c r="D312" s="24" t="s">
        <v>692</v>
      </c>
      <c r="E312" s="24" t="s">
        <v>1128</v>
      </c>
      <c r="F312" s="127">
        <v>167</v>
      </c>
      <c r="G312" s="25">
        <v>75</v>
      </c>
      <c r="H312" s="25"/>
      <c r="I312" s="128" t="s">
        <v>3649</v>
      </c>
      <c r="J312" s="127">
        <v>167</v>
      </c>
      <c r="K312" s="112">
        <v>37.5</v>
      </c>
      <c r="L312" s="49" t="s">
        <v>3697</v>
      </c>
      <c r="M312" s="22">
        <v>242</v>
      </c>
    </row>
    <row r="313" spans="1:13" ht="15.75" customHeight="1">
      <c r="A313" s="19">
        <v>94</v>
      </c>
      <c r="B313" s="36" t="s">
        <v>3627</v>
      </c>
      <c r="C313" s="20" t="s">
        <v>1083</v>
      </c>
      <c r="D313" s="20" t="s">
        <v>841</v>
      </c>
      <c r="E313" s="20" t="s">
        <v>1084</v>
      </c>
      <c r="F313" s="127">
        <v>3300</v>
      </c>
      <c r="G313" s="21">
        <v>1496</v>
      </c>
      <c r="H313" s="21"/>
      <c r="I313" s="128" t="s">
        <v>3649</v>
      </c>
      <c r="J313" s="127">
        <v>3300</v>
      </c>
      <c r="K313" s="108">
        <v>748</v>
      </c>
      <c r="L313" s="49" t="s">
        <v>3698</v>
      </c>
      <c r="M313" s="22">
        <v>4796</v>
      </c>
    </row>
    <row r="314" spans="1:13" ht="15.75" customHeight="1">
      <c r="A314" s="23">
        <v>95</v>
      </c>
      <c r="B314" s="36" t="s">
        <v>3627</v>
      </c>
      <c r="C314" s="24" t="s">
        <v>553</v>
      </c>
      <c r="D314" s="24" t="s">
        <v>554</v>
      </c>
      <c r="E314" s="24"/>
      <c r="F314" s="25">
        <v>10</v>
      </c>
      <c r="G314" s="25"/>
      <c r="H314" s="127">
        <v>22</v>
      </c>
      <c r="I314" s="128" t="s">
        <v>3651</v>
      </c>
      <c r="J314" s="127">
        <v>22</v>
      </c>
      <c r="K314" s="112">
        <v>5</v>
      </c>
      <c r="L314" s="49" t="s">
        <v>3698</v>
      </c>
      <c r="M314" s="22">
        <v>32</v>
      </c>
    </row>
    <row r="315" spans="1:13" ht="15.75" customHeight="1">
      <c r="A315" s="19">
        <v>96</v>
      </c>
      <c r="B315" s="36" t="s">
        <v>3627</v>
      </c>
      <c r="C315" s="20" t="s">
        <v>984</v>
      </c>
      <c r="D315" s="20" t="s">
        <v>367</v>
      </c>
      <c r="E315" s="20" t="s">
        <v>985</v>
      </c>
      <c r="F315" s="21">
        <v>50</v>
      </c>
      <c r="G315" s="127">
        <v>110</v>
      </c>
      <c r="H315" s="21"/>
      <c r="I315" s="128" t="s">
        <v>3655</v>
      </c>
      <c r="J315" s="127">
        <v>110</v>
      </c>
      <c r="K315" s="108">
        <v>25</v>
      </c>
      <c r="L315" s="49" t="s">
        <v>3698</v>
      </c>
      <c r="M315" s="22">
        <v>160</v>
      </c>
    </row>
    <row r="316" spans="1:13" ht="15.75" customHeight="1">
      <c r="A316" s="23">
        <v>97</v>
      </c>
      <c r="B316" s="36" t="s">
        <v>3627</v>
      </c>
      <c r="C316" s="24" t="s">
        <v>2621</v>
      </c>
      <c r="D316" s="24" t="s">
        <v>2622</v>
      </c>
      <c r="E316" s="24"/>
      <c r="F316" s="25"/>
      <c r="G316" s="25">
        <v>10</v>
      </c>
      <c r="H316" s="127">
        <v>22</v>
      </c>
      <c r="I316" s="128" t="s">
        <v>3651</v>
      </c>
      <c r="J316" s="127">
        <v>22</v>
      </c>
      <c r="K316" s="112">
        <v>5</v>
      </c>
      <c r="L316" s="49" t="s">
        <v>3698</v>
      </c>
      <c r="M316" s="22">
        <v>32</v>
      </c>
    </row>
    <row r="317" spans="1:13" ht="15.75" customHeight="1">
      <c r="A317" s="19">
        <v>98</v>
      </c>
      <c r="B317" s="36" t="s">
        <v>3627</v>
      </c>
      <c r="C317" s="20" t="s">
        <v>2657</v>
      </c>
      <c r="D317" s="20" t="s">
        <v>354</v>
      </c>
      <c r="E317" s="20" t="s">
        <v>1115</v>
      </c>
      <c r="F317" s="21"/>
      <c r="G317" s="21">
        <v>10</v>
      </c>
      <c r="H317" s="127">
        <v>22</v>
      </c>
      <c r="I317" s="128" t="s">
        <v>3651</v>
      </c>
      <c r="J317" s="127">
        <v>22</v>
      </c>
      <c r="K317" s="108">
        <v>5</v>
      </c>
      <c r="L317" s="49" t="s">
        <v>3698</v>
      </c>
      <c r="M317" s="22">
        <v>32</v>
      </c>
    </row>
    <row r="318" spans="1:13" ht="15.75" customHeight="1">
      <c r="A318" s="23">
        <v>99</v>
      </c>
      <c r="B318" s="36" t="s">
        <v>3627</v>
      </c>
      <c r="C318" s="24" t="s">
        <v>892</v>
      </c>
      <c r="D318" s="24" t="s">
        <v>893</v>
      </c>
      <c r="E318" s="24" t="s">
        <v>894</v>
      </c>
      <c r="F318" s="127">
        <v>149</v>
      </c>
      <c r="G318" s="25">
        <v>54</v>
      </c>
      <c r="H318" s="25">
        <v>14</v>
      </c>
      <c r="I318" s="128" t="s">
        <v>3649</v>
      </c>
      <c r="J318" s="127">
        <v>149</v>
      </c>
      <c r="K318" s="112">
        <v>34</v>
      </c>
      <c r="L318" s="49" t="s">
        <v>3698</v>
      </c>
      <c r="M318" s="22">
        <v>217</v>
      </c>
    </row>
    <row r="319" spans="1:13" ht="15.75" customHeight="1">
      <c r="A319" s="19">
        <v>100</v>
      </c>
      <c r="B319" s="36" t="s">
        <v>3627</v>
      </c>
      <c r="C319" s="20" t="s">
        <v>1157</v>
      </c>
      <c r="D319" s="20" t="s">
        <v>582</v>
      </c>
      <c r="E319" s="20" t="s">
        <v>1158</v>
      </c>
      <c r="F319" s="127">
        <v>67</v>
      </c>
      <c r="G319" s="21">
        <v>31</v>
      </c>
      <c r="H319" s="21"/>
      <c r="I319" s="128" t="s">
        <v>3649</v>
      </c>
      <c r="J319" s="127">
        <v>67</v>
      </c>
      <c r="K319" s="108">
        <v>15.5</v>
      </c>
      <c r="L319" s="49" t="s">
        <v>3699</v>
      </c>
      <c r="M319" s="22">
        <v>98</v>
      </c>
    </row>
    <row r="320" spans="1:13" ht="15.75" customHeight="1">
      <c r="A320" s="23">
        <v>101</v>
      </c>
      <c r="B320" s="36" t="s">
        <v>3627</v>
      </c>
      <c r="C320" s="24" t="s">
        <v>790</v>
      </c>
      <c r="D320" s="24" t="s">
        <v>791</v>
      </c>
      <c r="E320" s="24"/>
      <c r="F320" s="25">
        <v>18</v>
      </c>
      <c r="G320" s="127">
        <v>170</v>
      </c>
      <c r="H320" s="25">
        <v>64</v>
      </c>
      <c r="I320" s="128" t="s">
        <v>3655</v>
      </c>
      <c r="J320" s="127">
        <v>170</v>
      </c>
      <c r="K320" s="112">
        <v>41</v>
      </c>
      <c r="L320" s="49" t="s">
        <v>3701</v>
      </c>
      <c r="M320" s="22">
        <v>292</v>
      </c>
    </row>
    <row r="321" spans="1:13" ht="15.75" customHeight="1">
      <c r="A321" s="19">
        <v>102</v>
      </c>
      <c r="B321" s="36" t="s">
        <v>3627</v>
      </c>
      <c r="C321" s="20" t="s">
        <v>754</v>
      </c>
      <c r="D321" s="20" t="s">
        <v>755</v>
      </c>
      <c r="E321" s="20"/>
      <c r="F321" s="127">
        <v>230</v>
      </c>
      <c r="G321" s="21">
        <v>34</v>
      </c>
      <c r="H321" s="21">
        <v>78</v>
      </c>
      <c r="I321" s="128" t="s">
        <v>3649</v>
      </c>
      <c r="J321" s="127">
        <v>230</v>
      </c>
      <c r="K321" s="108">
        <v>56</v>
      </c>
      <c r="L321" s="49" t="s">
        <v>3701</v>
      </c>
      <c r="M321" s="22">
        <v>342</v>
      </c>
    </row>
    <row r="322" spans="1:13" ht="15.75" customHeight="1">
      <c r="A322" s="23">
        <v>103</v>
      </c>
      <c r="B322" s="36" t="s">
        <v>3627</v>
      </c>
      <c r="C322" s="24" t="s">
        <v>538</v>
      </c>
      <c r="D322" s="24" t="s">
        <v>539</v>
      </c>
      <c r="E322" s="24" t="s">
        <v>540</v>
      </c>
      <c r="F322" s="25">
        <v>64</v>
      </c>
      <c r="G322" s="25">
        <v>5</v>
      </c>
      <c r="H322" s="127">
        <v>140</v>
      </c>
      <c r="I322" s="128" t="s">
        <v>3651</v>
      </c>
      <c r="J322" s="127">
        <v>140</v>
      </c>
      <c r="K322" s="112">
        <v>34.5</v>
      </c>
      <c r="L322" s="49" t="s">
        <v>3701</v>
      </c>
      <c r="M322" s="22">
        <v>209</v>
      </c>
    </row>
    <row r="323" spans="1:13" ht="15.75" customHeight="1">
      <c r="A323" s="19">
        <v>104</v>
      </c>
      <c r="B323" s="36" t="s">
        <v>3627</v>
      </c>
      <c r="C323" s="20" t="s">
        <v>998</v>
      </c>
      <c r="D323" s="20" t="s">
        <v>852</v>
      </c>
      <c r="E323" s="20" t="s">
        <v>999</v>
      </c>
      <c r="F323" s="21">
        <v>100</v>
      </c>
      <c r="G323" s="127">
        <v>200</v>
      </c>
      <c r="H323" s="21"/>
      <c r="I323" s="128" t="s">
        <v>3655</v>
      </c>
      <c r="J323" s="127">
        <v>200</v>
      </c>
      <c r="K323" s="108">
        <v>50</v>
      </c>
      <c r="L323" s="49" t="s">
        <v>3702</v>
      </c>
      <c r="M323" s="22">
        <v>300</v>
      </c>
    </row>
    <row r="324" spans="1:13" ht="15.75" customHeight="1">
      <c r="A324" s="23">
        <v>105</v>
      </c>
      <c r="B324" s="36" t="s">
        <v>3627</v>
      </c>
      <c r="C324" s="24" t="s">
        <v>1125</v>
      </c>
      <c r="D324" s="24" t="s">
        <v>678</v>
      </c>
      <c r="E324" s="24" t="s">
        <v>1126</v>
      </c>
      <c r="F324" s="127">
        <v>30</v>
      </c>
      <c r="G324" s="25">
        <v>15</v>
      </c>
      <c r="H324" s="25"/>
      <c r="I324" s="128" t="s">
        <v>3649</v>
      </c>
      <c r="J324" s="127">
        <v>30</v>
      </c>
      <c r="K324" s="112">
        <v>7.5</v>
      </c>
      <c r="L324" s="49" t="s">
        <v>3702</v>
      </c>
      <c r="M324" s="22">
        <v>45</v>
      </c>
    </row>
    <row r="325" spans="1:13" ht="15.75" customHeight="1">
      <c r="A325" s="19">
        <v>106</v>
      </c>
      <c r="B325" s="36" t="s">
        <v>3627</v>
      </c>
      <c r="C325" s="20" t="s">
        <v>828</v>
      </c>
      <c r="D325" s="20" t="s">
        <v>829</v>
      </c>
      <c r="E325" s="20" t="s">
        <v>830</v>
      </c>
      <c r="F325" s="21">
        <v>5</v>
      </c>
      <c r="G325" s="21"/>
      <c r="H325" s="127">
        <v>10</v>
      </c>
      <c r="I325" s="128" t="s">
        <v>3651</v>
      </c>
      <c r="J325" s="127">
        <v>10</v>
      </c>
      <c r="K325" s="108">
        <v>2.5</v>
      </c>
      <c r="L325" s="49" t="s">
        <v>3702</v>
      </c>
      <c r="M325" s="22">
        <v>15</v>
      </c>
    </row>
    <row r="326" spans="1:13" ht="15.75" customHeight="1">
      <c r="A326" s="23">
        <v>107</v>
      </c>
      <c r="B326" s="36" t="s">
        <v>3627</v>
      </c>
      <c r="C326" s="24" t="s">
        <v>1200</v>
      </c>
      <c r="D326" s="24" t="s">
        <v>991</v>
      </c>
      <c r="E326" s="24" t="s">
        <v>1201</v>
      </c>
      <c r="F326" s="127">
        <v>12</v>
      </c>
      <c r="G326" s="25"/>
      <c r="H326" s="25">
        <v>6</v>
      </c>
      <c r="I326" s="128" t="s">
        <v>3649</v>
      </c>
      <c r="J326" s="127">
        <v>12</v>
      </c>
      <c r="K326" s="112">
        <v>3</v>
      </c>
      <c r="L326" s="49" t="s">
        <v>3702</v>
      </c>
      <c r="M326" s="22">
        <v>18</v>
      </c>
    </row>
    <row r="327" spans="1:13" ht="15.75" customHeight="1">
      <c r="A327" s="19">
        <v>108</v>
      </c>
      <c r="B327" s="36" t="s">
        <v>3627</v>
      </c>
      <c r="C327" s="20" t="s">
        <v>563</v>
      </c>
      <c r="D327" s="20" t="s">
        <v>564</v>
      </c>
      <c r="E327" s="20"/>
      <c r="F327" s="21">
        <v>20</v>
      </c>
      <c r="G327" s="21">
        <v>14</v>
      </c>
      <c r="H327" s="127">
        <v>66</v>
      </c>
      <c r="I327" s="128" t="s">
        <v>3651</v>
      </c>
      <c r="J327" s="127">
        <v>66</v>
      </c>
      <c r="K327" s="108">
        <v>17</v>
      </c>
      <c r="L327" s="49" t="s">
        <v>3703</v>
      </c>
      <c r="M327" s="22">
        <v>100</v>
      </c>
    </row>
    <row r="328" spans="1:13" ht="15.75" customHeight="1">
      <c r="A328" s="23">
        <v>109</v>
      </c>
      <c r="B328" s="36" t="s">
        <v>3627</v>
      </c>
      <c r="C328" s="24" t="s">
        <v>2578</v>
      </c>
      <c r="D328" s="24" t="s">
        <v>1233</v>
      </c>
      <c r="E328" s="24"/>
      <c r="F328" s="25"/>
      <c r="G328" s="25">
        <v>26</v>
      </c>
      <c r="H328" s="127">
        <v>50</v>
      </c>
      <c r="I328" s="128" t="s">
        <v>3651</v>
      </c>
      <c r="J328" s="127">
        <v>50</v>
      </c>
      <c r="K328" s="112">
        <v>13</v>
      </c>
      <c r="L328" s="49" t="s">
        <v>3704</v>
      </c>
      <c r="M328" s="22">
        <v>76</v>
      </c>
    </row>
    <row r="329" spans="1:13" ht="15.75" customHeight="1">
      <c r="A329" s="19">
        <v>110</v>
      </c>
      <c r="B329" s="36" t="s">
        <v>3627</v>
      </c>
      <c r="C329" s="20" t="s">
        <v>988</v>
      </c>
      <c r="D329" s="20" t="s">
        <v>351</v>
      </c>
      <c r="E329" s="20" t="s">
        <v>989</v>
      </c>
      <c r="F329" s="21">
        <v>50</v>
      </c>
      <c r="G329" s="127">
        <v>210</v>
      </c>
      <c r="H329" s="21">
        <v>60</v>
      </c>
      <c r="I329" s="128" t="s">
        <v>3655</v>
      </c>
      <c r="J329" s="127">
        <v>210</v>
      </c>
      <c r="K329" s="108">
        <v>55</v>
      </c>
      <c r="L329" s="49" t="s">
        <v>3704</v>
      </c>
      <c r="M329" s="22">
        <v>320</v>
      </c>
    </row>
    <row r="330" spans="1:13" ht="15.75" customHeight="1">
      <c r="A330" s="23">
        <v>111</v>
      </c>
      <c r="B330" s="36" t="s">
        <v>3627</v>
      </c>
      <c r="C330" s="24" t="s">
        <v>488</v>
      </c>
      <c r="D330" s="24" t="s">
        <v>489</v>
      </c>
      <c r="E330" s="24"/>
      <c r="F330" s="127">
        <v>173</v>
      </c>
      <c r="G330" s="25">
        <v>49</v>
      </c>
      <c r="H330" s="25">
        <v>44</v>
      </c>
      <c r="I330" s="128" t="s">
        <v>3649</v>
      </c>
      <c r="J330" s="127">
        <v>173</v>
      </c>
      <c r="K330" s="112">
        <v>46.5</v>
      </c>
      <c r="L330" s="49" t="s">
        <v>3732</v>
      </c>
      <c r="M330" s="22">
        <v>308</v>
      </c>
    </row>
    <row r="331" spans="1:13" ht="15.75" customHeight="1">
      <c r="A331" s="19">
        <v>112</v>
      </c>
      <c r="B331" s="36" t="s">
        <v>3627</v>
      </c>
      <c r="C331" s="20" t="s">
        <v>719</v>
      </c>
      <c r="D331" s="20" t="s">
        <v>720</v>
      </c>
      <c r="E331" s="20" t="s">
        <v>721</v>
      </c>
      <c r="F331" s="127">
        <v>1468</v>
      </c>
      <c r="G331" s="21">
        <v>384</v>
      </c>
      <c r="H331" s="21">
        <v>425</v>
      </c>
      <c r="I331" s="128" t="s">
        <v>3649</v>
      </c>
      <c r="J331" s="127">
        <v>1468</v>
      </c>
      <c r="K331" s="108">
        <v>404.5</v>
      </c>
      <c r="L331" s="49" t="s">
        <v>3705</v>
      </c>
      <c r="M331" s="22">
        <v>2499</v>
      </c>
    </row>
    <row r="332" spans="1:13" ht="15.75" customHeight="1">
      <c r="A332" s="23">
        <v>113</v>
      </c>
      <c r="B332" s="36" t="s">
        <v>3627</v>
      </c>
      <c r="C332" s="24" t="s">
        <v>649</v>
      </c>
      <c r="D332" s="24" t="s">
        <v>650</v>
      </c>
      <c r="E332" s="24" t="s">
        <v>651</v>
      </c>
      <c r="F332" s="127">
        <v>36</v>
      </c>
      <c r="G332" s="25"/>
      <c r="H332" s="25">
        <v>20</v>
      </c>
      <c r="I332" s="128" t="s">
        <v>3649</v>
      </c>
      <c r="J332" s="127">
        <v>36</v>
      </c>
      <c r="K332" s="112">
        <v>10</v>
      </c>
      <c r="L332" s="49" t="s">
        <v>3705</v>
      </c>
      <c r="M332" s="22">
        <v>56</v>
      </c>
    </row>
    <row r="333" spans="1:13" ht="15.75" customHeight="1">
      <c r="A333" s="19">
        <v>114</v>
      </c>
      <c r="B333" s="36" t="s">
        <v>3627</v>
      </c>
      <c r="C333" s="20" t="s">
        <v>512</v>
      </c>
      <c r="D333" s="20" t="s">
        <v>513</v>
      </c>
      <c r="E333" s="20" t="s">
        <v>514</v>
      </c>
      <c r="F333" s="127">
        <v>18</v>
      </c>
      <c r="G333" s="21"/>
      <c r="H333" s="21">
        <v>10</v>
      </c>
      <c r="I333" s="128" t="s">
        <v>3649</v>
      </c>
      <c r="J333" s="127">
        <v>18</v>
      </c>
      <c r="K333" s="108">
        <v>5</v>
      </c>
      <c r="L333" s="49" t="s">
        <v>3705</v>
      </c>
      <c r="M333" s="22">
        <v>28</v>
      </c>
    </row>
    <row r="334" spans="1:13" ht="15.75" customHeight="1">
      <c r="A334" s="23">
        <v>115</v>
      </c>
      <c r="B334" s="36" t="s">
        <v>3627</v>
      </c>
      <c r="C334" s="24" t="s">
        <v>851</v>
      </c>
      <c r="D334" s="24" t="s">
        <v>852</v>
      </c>
      <c r="E334" s="24" t="s">
        <v>853</v>
      </c>
      <c r="F334" s="127">
        <v>463</v>
      </c>
      <c r="G334" s="25">
        <v>104</v>
      </c>
      <c r="H334" s="25">
        <v>155</v>
      </c>
      <c r="I334" s="128" t="s">
        <v>3649</v>
      </c>
      <c r="J334" s="127">
        <v>463</v>
      </c>
      <c r="K334" s="112">
        <v>129.5</v>
      </c>
      <c r="L334" s="49" t="s">
        <v>3705</v>
      </c>
      <c r="M334" s="22">
        <v>822</v>
      </c>
    </row>
    <row r="335" spans="1:13" ht="15.75" customHeight="1">
      <c r="A335" s="19">
        <v>116</v>
      </c>
      <c r="B335" s="36" t="s">
        <v>3627</v>
      </c>
      <c r="C335" s="20" t="s">
        <v>2476</v>
      </c>
      <c r="D335" s="20" t="s">
        <v>2477</v>
      </c>
      <c r="E335" s="20"/>
      <c r="F335" s="21"/>
      <c r="G335" s="21">
        <v>14</v>
      </c>
      <c r="H335" s="127">
        <v>25</v>
      </c>
      <c r="I335" s="128" t="s">
        <v>3651</v>
      </c>
      <c r="J335" s="127">
        <v>25</v>
      </c>
      <c r="K335" s="108">
        <v>7</v>
      </c>
      <c r="L335" s="49" t="s">
        <v>3705</v>
      </c>
      <c r="M335" s="22">
        <v>39</v>
      </c>
    </row>
    <row r="336" spans="1:13" ht="15.75" customHeight="1">
      <c r="A336" s="23">
        <v>117</v>
      </c>
      <c r="B336" s="36" t="s">
        <v>3627</v>
      </c>
      <c r="C336" s="24" t="s">
        <v>966</v>
      </c>
      <c r="D336" s="24" t="s">
        <v>967</v>
      </c>
      <c r="E336" s="24"/>
      <c r="F336" s="25">
        <v>30</v>
      </c>
      <c r="G336" s="127">
        <v>70</v>
      </c>
      <c r="H336" s="25">
        <v>10</v>
      </c>
      <c r="I336" s="128" t="s">
        <v>3655</v>
      </c>
      <c r="J336" s="127">
        <v>70</v>
      </c>
      <c r="K336" s="112">
        <v>20</v>
      </c>
      <c r="L336" s="49" t="s">
        <v>3706</v>
      </c>
      <c r="M336" s="22">
        <v>110</v>
      </c>
    </row>
    <row r="337" spans="1:13" ht="15.75" customHeight="1">
      <c r="A337" s="19">
        <v>118</v>
      </c>
      <c r="B337" s="36" t="s">
        <v>3627</v>
      </c>
      <c r="C337" s="20" t="s">
        <v>2492</v>
      </c>
      <c r="D337" s="20" t="s">
        <v>2493</v>
      </c>
      <c r="E337" s="20"/>
      <c r="F337" s="21"/>
      <c r="G337" s="127">
        <v>210</v>
      </c>
      <c r="H337" s="21">
        <v>120</v>
      </c>
      <c r="I337" s="128" t="s">
        <v>3655</v>
      </c>
      <c r="J337" s="127">
        <v>210</v>
      </c>
      <c r="K337" s="108">
        <v>60</v>
      </c>
      <c r="L337" s="49" t="s">
        <v>3706</v>
      </c>
      <c r="M337" s="22">
        <v>330</v>
      </c>
    </row>
    <row r="338" spans="1:13" ht="15.75" customHeight="1">
      <c r="A338" s="23">
        <v>119</v>
      </c>
      <c r="B338" s="36" t="s">
        <v>3627</v>
      </c>
      <c r="C338" s="24" t="s">
        <v>1099</v>
      </c>
      <c r="D338" s="24" t="s">
        <v>370</v>
      </c>
      <c r="E338" s="24" t="s">
        <v>1100</v>
      </c>
      <c r="F338" s="25">
        <v>1450</v>
      </c>
      <c r="G338" s="127">
        <v>2703</v>
      </c>
      <c r="H338" s="25">
        <v>100</v>
      </c>
      <c r="I338" s="128" t="s">
        <v>3655</v>
      </c>
      <c r="J338" s="127">
        <v>2703</v>
      </c>
      <c r="K338" s="112">
        <v>775</v>
      </c>
      <c r="L338" s="49" t="s">
        <v>3706</v>
      </c>
      <c r="M338" s="22">
        <v>4253</v>
      </c>
    </row>
    <row r="339" spans="1:13" ht="15.75" customHeight="1">
      <c r="A339" s="19">
        <v>120</v>
      </c>
      <c r="B339" s="36" t="s">
        <v>3627</v>
      </c>
      <c r="C339" s="20" t="s">
        <v>731</v>
      </c>
      <c r="D339" s="20" t="s">
        <v>732</v>
      </c>
      <c r="E339" s="20" t="s">
        <v>733</v>
      </c>
      <c r="F339" s="127">
        <v>165</v>
      </c>
      <c r="G339" s="21">
        <v>15</v>
      </c>
      <c r="H339" s="21">
        <v>80</v>
      </c>
      <c r="I339" s="128" t="s">
        <v>3649</v>
      </c>
      <c r="J339" s="127">
        <v>165</v>
      </c>
      <c r="K339" s="108">
        <v>47.5</v>
      </c>
      <c r="L339" s="49" t="s">
        <v>3706</v>
      </c>
      <c r="M339" s="22">
        <v>280</v>
      </c>
    </row>
    <row r="340" spans="1:13" ht="15.75" customHeight="1">
      <c r="A340" s="23">
        <v>121</v>
      </c>
      <c r="B340" s="36" t="s">
        <v>3627</v>
      </c>
      <c r="C340" s="24" t="s">
        <v>992</v>
      </c>
      <c r="D340" s="24" t="s">
        <v>832</v>
      </c>
      <c r="E340" s="24" t="s">
        <v>993</v>
      </c>
      <c r="F340" s="25">
        <v>100</v>
      </c>
      <c r="G340" s="127">
        <v>589</v>
      </c>
      <c r="H340" s="25">
        <v>250</v>
      </c>
      <c r="I340" s="128" t="s">
        <v>3655</v>
      </c>
      <c r="J340" s="127">
        <v>589</v>
      </c>
      <c r="K340" s="112">
        <v>175</v>
      </c>
      <c r="L340" s="49" t="s">
        <v>3707</v>
      </c>
      <c r="M340" s="22">
        <v>939</v>
      </c>
    </row>
    <row r="341" spans="1:13" ht="15.75" customHeight="1">
      <c r="A341" s="19">
        <v>122</v>
      </c>
      <c r="B341" s="36" t="s">
        <v>3627</v>
      </c>
      <c r="C341" s="20" t="s">
        <v>1095</v>
      </c>
      <c r="D341" s="20" t="s">
        <v>814</v>
      </c>
      <c r="E341" s="20" t="s">
        <v>1096</v>
      </c>
      <c r="F341" s="127">
        <v>2520</v>
      </c>
      <c r="G341" s="21">
        <v>1500</v>
      </c>
      <c r="H341" s="21"/>
      <c r="I341" s="128" t="s">
        <v>3649</v>
      </c>
      <c r="J341" s="127">
        <v>2520</v>
      </c>
      <c r="K341" s="108">
        <v>750</v>
      </c>
      <c r="L341" s="49" t="s">
        <v>3707</v>
      </c>
      <c r="M341" s="22">
        <v>7020</v>
      </c>
    </row>
    <row r="342" spans="1:13" ht="15.75" customHeight="1">
      <c r="A342" s="23">
        <v>123</v>
      </c>
      <c r="B342" s="36" t="s">
        <v>3627</v>
      </c>
      <c r="C342" s="24" t="s">
        <v>816</v>
      </c>
      <c r="D342" s="24" t="s">
        <v>817</v>
      </c>
      <c r="E342" s="24" t="s">
        <v>818</v>
      </c>
      <c r="F342" s="127">
        <v>115</v>
      </c>
      <c r="G342" s="25">
        <v>9</v>
      </c>
      <c r="H342" s="25">
        <v>60</v>
      </c>
      <c r="I342" s="128" t="s">
        <v>3649</v>
      </c>
      <c r="J342" s="127">
        <v>115</v>
      </c>
      <c r="K342" s="112">
        <v>34.5</v>
      </c>
      <c r="L342" s="49" t="s">
        <v>3708</v>
      </c>
      <c r="M342" s="22">
        <v>184</v>
      </c>
    </row>
    <row r="343" spans="1:13" ht="15.75" customHeight="1">
      <c r="A343" s="19">
        <v>124</v>
      </c>
      <c r="B343" s="36" t="s">
        <v>3627</v>
      </c>
      <c r="C343" s="20" t="s">
        <v>1163</v>
      </c>
      <c r="D343" s="20" t="s">
        <v>1164</v>
      </c>
      <c r="E343" s="20"/>
      <c r="F343" s="127">
        <v>20</v>
      </c>
      <c r="G343" s="21">
        <v>2</v>
      </c>
      <c r="H343" s="21">
        <v>10</v>
      </c>
      <c r="I343" s="128" t="s">
        <v>3649</v>
      </c>
      <c r="J343" s="127">
        <v>20</v>
      </c>
      <c r="K343" s="108">
        <v>6</v>
      </c>
      <c r="L343" s="49" t="s">
        <v>3708</v>
      </c>
      <c r="M343" s="22">
        <v>42</v>
      </c>
    </row>
    <row r="344" spans="1:13" ht="15.75" customHeight="1">
      <c r="A344" s="23">
        <v>125</v>
      </c>
      <c r="B344" s="36" t="s">
        <v>3627</v>
      </c>
      <c r="C344" s="24" t="s">
        <v>529</v>
      </c>
      <c r="D344" s="24" t="s">
        <v>530</v>
      </c>
      <c r="E344" s="24" t="s">
        <v>531</v>
      </c>
      <c r="F344" s="127">
        <v>28</v>
      </c>
      <c r="G344" s="25">
        <v>13</v>
      </c>
      <c r="H344" s="25">
        <v>4</v>
      </c>
      <c r="I344" s="128" t="s">
        <v>3649</v>
      </c>
      <c r="J344" s="127">
        <v>28</v>
      </c>
      <c r="K344" s="112">
        <v>8.5</v>
      </c>
      <c r="L344" s="49" t="s">
        <v>3708</v>
      </c>
      <c r="M344" s="22">
        <v>45</v>
      </c>
    </row>
    <row r="345" spans="1:13" ht="15.75" customHeight="1">
      <c r="A345" s="19">
        <v>126</v>
      </c>
      <c r="B345" s="36" t="s">
        <v>3627</v>
      </c>
      <c r="C345" s="20" t="s">
        <v>1010</v>
      </c>
      <c r="D345" s="20" t="s">
        <v>802</v>
      </c>
      <c r="E345" s="20" t="s">
        <v>1011</v>
      </c>
      <c r="F345" s="21">
        <v>155</v>
      </c>
      <c r="G345" s="127">
        <v>258</v>
      </c>
      <c r="H345" s="21">
        <v>2</v>
      </c>
      <c r="I345" s="128" t="s">
        <v>3655</v>
      </c>
      <c r="J345" s="127">
        <v>258</v>
      </c>
      <c r="K345" s="108">
        <v>78.5</v>
      </c>
      <c r="L345" s="49" t="s">
        <v>3708</v>
      </c>
      <c r="M345" s="22">
        <v>415</v>
      </c>
    </row>
    <row r="346" spans="1:13" ht="15.75" customHeight="1">
      <c r="A346" s="23">
        <v>127</v>
      </c>
      <c r="B346" s="36" t="s">
        <v>3627</v>
      </c>
      <c r="C346" s="24" t="s">
        <v>1034</v>
      </c>
      <c r="D346" s="24" t="s">
        <v>1035</v>
      </c>
      <c r="E346" s="24"/>
      <c r="F346" s="25">
        <v>36</v>
      </c>
      <c r="G346" s="25"/>
      <c r="H346" s="127">
        <v>59</v>
      </c>
      <c r="I346" s="128" t="s">
        <v>3651</v>
      </c>
      <c r="J346" s="127">
        <v>59</v>
      </c>
      <c r="K346" s="112">
        <v>18</v>
      </c>
      <c r="L346" s="49" t="s">
        <v>3708</v>
      </c>
      <c r="M346" s="22">
        <v>95</v>
      </c>
    </row>
    <row r="347" spans="1:13" ht="15.75" customHeight="1">
      <c r="A347" s="19">
        <v>128</v>
      </c>
      <c r="B347" s="36" t="s">
        <v>3627</v>
      </c>
      <c r="C347" s="20" t="s">
        <v>608</v>
      </c>
      <c r="D347" s="20" t="s">
        <v>609</v>
      </c>
      <c r="E347" s="20" t="s">
        <v>610</v>
      </c>
      <c r="F347" s="21">
        <v>32</v>
      </c>
      <c r="G347" s="21">
        <v>16</v>
      </c>
      <c r="H347" s="127">
        <v>78</v>
      </c>
      <c r="I347" s="128" t="s">
        <v>3651</v>
      </c>
      <c r="J347" s="127">
        <v>78</v>
      </c>
      <c r="K347" s="108">
        <v>24</v>
      </c>
      <c r="L347" s="49" t="s">
        <v>3709</v>
      </c>
      <c r="M347" s="22">
        <v>126</v>
      </c>
    </row>
    <row r="348" spans="1:13" ht="15.75" customHeight="1">
      <c r="A348" s="23">
        <v>129</v>
      </c>
      <c r="B348" s="36" t="s">
        <v>3627</v>
      </c>
      <c r="C348" s="24" t="s">
        <v>1056</v>
      </c>
      <c r="D348" s="24" t="s">
        <v>1057</v>
      </c>
      <c r="E348" s="24"/>
      <c r="F348" s="25">
        <v>40</v>
      </c>
      <c r="G348" s="25">
        <v>2</v>
      </c>
      <c r="H348" s="127">
        <v>68</v>
      </c>
      <c r="I348" s="128" t="s">
        <v>3651</v>
      </c>
      <c r="J348" s="127">
        <v>68</v>
      </c>
      <c r="K348" s="112">
        <v>21</v>
      </c>
      <c r="L348" s="49" t="s">
        <v>3709</v>
      </c>
      <c r="M348" s="22">
        <v>110</v>
      </c>
    </row>
    <row r="349" spans="1:13" ht="15.75" customHeight="1">
      <c r="A349" s="19">
        <v>130</v>
      </c>
      <c r="B349" s="36" t="s">
        <v>3627</v>
      </c>
      <c r="C349" s="20" t="s">
        <v>2522</v>
      </c>
      <c r="D349" s="20" t="s">
        <v>1287</v>
      </c>
      <c r="E349" s="20" t="s">
        <v>2523</v>
      </c>
      <c r="F349" s="21"/>
      <c r="G349" s="21">
        <v>34</v>
      </c>
      <c r="H349" s="127">
        <v>55</v>
      </c>
      <c r="I349" s="128" t="s">
        <v>3651</v>
      </c>
      <c r="J349" s="127">
        <v>55</v>
      </c>
      <c r="K349" s="108">
        <v>17</v>
      </c>
      <c r="L349" s="49" t="s">
        <v>3709</v>
      </c>
      <c r="M349" s="22">
        <v>139</v>
      </c>
    </row>
    <row r="350" spans="1:13" ht="15.75" customHeight="1">
      <c r="A350" s="23">
        <v>131</v>
      </c>
      <c r="B350" s="36" t="s">
        <v>3627</v>
      </c>
      <c r="C350" s="24" t="s">
        <v>1101</v>
      </c>
      <c r="D350" s="24" t="s">
        <v>600</v>
      </c>
      <c r="E350" s="24" t="s">
        <v>1102</v>
      </c>
      <c r="F350" s="25">
        <v>50</v>
      </c>
      <c r="G350" s="127">
        <v>80</v>
      </c>
      <c r="H350" s="25"/>
      <c r="I350" s="128" t="s">
        <v>3655</v>
      </c>
      <c r="J350" s="127">
        <v>80</v>
      </c>
      <c r="K350" s="112">
        <v>25</v>
      </c>
      <c r="L350" s="49" t="s">
        <v>3709</v>
      </c>
      <c r="M350" s="22">
        <v>130</v>
      </c>
    </row>
    <row r="351" spans="1:13" ht="15.75" customHeight="1">
      <c r="A351" s="19">
        <v>132</v>
      </c>
      <c r="B351" s="36" t="s">
        <v>3627</v>
      </c>
      <c r="C351" s="20" t="s">
        <v>886</v>
      </c>
      <c r="D351" s="20" t="s">
        <v>887</v>
      </c>
      <c r="E351" s="20" t="s">
        <v>888</v>
      </c>
      <c r="F351" s="21">
        <v>32</v>
      </c>
      <c r="G351" s="21">
        <v>2</v>
      </c>
      <c r="H351" s="127">
        <v>54</v>
      </c>
      <c r="I351" s="128" t="s">
        <v>3651</v>
      </c>
      <c r="J351" s="127">
        <v>54</v>
      </c>
      <c r="K351" s="108">
        <v>17</v>
      </c>
      <c r="L351" s="49" t="s">
        <v>3709</v>
      </c>
      <c r="M351" s="22">
        <v>141</v>
      </c>
    </row>
    <row r="352" spans="1:13" ht="15.75" customHeight="1">
      <c r="A352" s="23">
        <v>133</v>
      </c>
      <c r="B352" s="36" t="s">
        <v>3627</v>
      </c>
      <c r="C352" s="24" t="s">
        <v>543</v>
      </c>
      <c r="D352" s="24" t="s">
        <v>544</v>
      </c>
      <c r="E352" s="24" t="s">
        <v>540</v>
      </c>
      <c r="F352" s="25">
        <v>14</v>
      </c>
      <c r="G352" s="25">
        <v>5</v>
      </c>
      <c r="H352" s="127">
        <v>30</v>
      </c>
      <c r="I352" s="128" t="s">
        <v>3651</v>
      </c>
      <c r="J352" s="127">
        <v>30</v>
      </c>
      <c r="K352" s="112">
        <v>9.5</v>
      </c>
      <c r="L352" s="49" t="s">
        <v>3709</v>
      </c>
      <c r="M352" s="22">
        <v>49</v>
      </c>
    </row>
    <row r="353" spans="1:13" ht="15.75" customHeight="1">
      <c r="A353" s="19">
        <v>134</v>
      </c>
      <c r="B353" s="36" t="s">
        <v>3627</v>
      </c>
      <c r="C353" s="20" t="s">
        <v>1121</v>
      </c>
      <c r="D353" s="20" t="s">
        <v>568</v>
      </c>
      <c r="E353" s="20" t="s">
        <v>1122</v>
      </c>
      <c r="F353" s="127">
        <v>96</v>
      </c>
      <c r="G353" s="21">
        <v>49</v>
      </c>
      <c r="H353" s="21">
        <v>12</v>
      </c>
      <c r="I353" s="128" t="s">
        <v>3649</v>
      </c>
      <c r="J353" s="127">
        <v>96</v>
      </c>
      <c r="K353" s="108">
        <v>30.5</v>
      </c>
      <c r="L353" s="49" t="s">
        <v>3710</v>
      </c>
      <c r="M353" s="22">
        <v>157</v>
      </c>
    </row>
    <row r="354" spans="1:13" ht="15.75" customHeight="1">
      <c r="A354" s="23">
        <v>135</v>
      </c>
      <c r="B354" s="36" t="s">
        <v>3627</v>
      </c>
      <c r="C354" s="24" t="s">
        <v>611</v>
      </c>
      <c r="D354" s="24" t="s">
        <v>612</v>
      </c>
      <c r="E354" s="24" t="s">
        <v>613</v>
      </c>
      <c r="F354" s="25">
        <v>64</v>
      </c>
      <c r="G354" s="25">
        <v>86</v>
      </c>
      <c r="H354" s="127">
        <v>235</v>
      </c>
      <c r="I354" s="128" t="s">
        <v>3651</v>
      </c>
      <c r="J354" s="127">
        <v>235</v>
      </c>
      <c r="K354" s="112">
        <v>75</v>
      </c>
      <c r="L354" s="49" t="s">
        <v>3710</v>
      </c>
      <c r="M354" s="22">
        <v>385</v>
      </c>
    </row>
    <row r="355" spans="1:13" ht="15.75" customHeight="1">
      <c r="A355" s="19">
        <v>136</v>
      </c>
      <c r="B355" s="36" t="s">
        <v>3627</v>
      </c>
      <c r="C355" s="20" t="s">
        <v>874</v>
      </c>
      <c r="D355" s="20" t="s">
        <v>875</v>
      </c>
      <c r="E355" s="20" t="s">
        <v>876</v>
      </c>
      <c r="F355" s="21">
        <v>49</v>
      </c>
      <c r="G355" s="127">
        <v>191</v>
      </c>
      <c r="H355" s="21">
        <v>73</v>
      </c>
      <c r="I355" s="128" t="s">
        <v>3655</v>
      </c>
      <c r="J355" s="127">
        <v>191</v>
      </c>
      <c r="K355" s="108">
        <v>61</v>
      </c>
      <c r="L355" s="49" t="s">
        <v>3710</v>
      </c>
      <c r="M355" s="22">
        <v>319</v>
      </c>
    </row>
    <row r="356" spans="1:13" ht="15.75" customHeight="1">
      <c r="A356" s="23">
        <v>137</v>
      </c>
      <c r="B356" s="36" t="s">
        <v>3627</v>
      </c>
      <c r="C356" s="24" t="s">
        <v>746</v>
      </c>
      <c r="D356" s="24" t="s">
        <v>747</v>
      </c>
      <c r="E356" s="24" t="s">
        <v>748</v>
      </c>
      <c r="F356" s="25">
        <v>202</v>
      </c>
      <c r="G356" s="25">
        <v>135</v>
      </c>
      <c r="H356" s="127">
        <v>518</v>
      </c>
      <c r="I356" s="128" t="s">
        <v>3651</v>
      </c>
      <c r="J356" s="127">
        <v>518</v>
      </c>
      <c r="K356" s="112">
        <v>168.5</v>
      </c>
      <c r="L356" s="49" t="s">
        <v>3710</v>
      </c>
      <c r="M356" s="22">
        <v>902</v>
      </c>
    </row>
    <row r="357" spans="1:13" ht="15.75" customHeight="1">
      <c r="A357" s="19">
        <v>138</v>
      </c>
      <c r="B357" s="36" t="s">
        <v>3627</v>
      </c>
      <c r="C357" s="20" t="s">
        <v>675</v>
      </c>
      <c r="D357" s="20" t="s">
        <v>370</v>
      </c>
      <c r="E357" s="20" t="s">
        <v>676</v>
      </c>
      <c r="F357" s="21">
        <v>2747</v>
      </c>
      <c r="G357" s="127">
        <v>5507</v>
      </c>
      <c r="H357" s="21">
        <v>897</v>
      </c>
      <c r="I357" s="128" t="s">
        <v>3655</v>
      </c>
      <c r="J357" s="127">
        <v>5507</v>
      </c>
      <c r="K357" s="108">
        <v>1822</v>
      </c>
      <c r="L357" s="49" t="s">
        <v>3711</v>
      </c>
      <c r="M357" s="22">
        <v>9535</v>
      </c>
    </row>
    <row r="358" spans="1:13" ht="15.75" customHeight="1">
      <c r="A358" s="23">
        <v>139</v>
      </c>
      <c r="B358" s="36" t="s">
        <v>3627</v>
      </c>
      <c r="C358" s="24" t="s">
        <v>804</v>
      </c>
      <c r="D358" s="24" t="s">
        <v>805</v>
      </c>
      <c r="E358" s="24" t="s">
        <v>806</v>
      </c>
      <c r="F358" s="127">
        <v>301</v>
      </c>
      <c r="G358" s="25">
        <v>150</v>
      </c>
      <c r="H358" s="25">
        <v>50</v>
      </c>
      <c r="I358" s="128" t="s">
        <v>3649</v>
      </c>
      <c r="J358" s="127">
        <v>301</v>
      </c>
      <c r="K358" s="112">
        <v>100</v>
      </c>
      <c r="L358" s="49" t="s">
        <v>3711</v>
      </c>
      <c r="M358" s="22">
        <v>501</v>
      </c>
    </row>
    <row r="359" spans="1:13" ht="15.75" customHeight="1">
      <c r="A359" s="19">
        <v>140</v>
      </c>
      <c r="B359" s="36" t="s">
        <v>3627</v>
      </c>
      <c r="C359" s="20" t="s">
        <v>532</v>
      </c>
      <c r="D359" s="20" t="s">
        <v>533</v>
      </c>
      <c r="E359" s="20" t="s">
        <v>534</v>
      </c>
      <c r="F359" s="127">
        <v>361</v>
      </c>
      <c r="G359" s="21">
        <v>103</v>
      </c>
      <c r="H359" s="21">
        <v>137</v>
      </c>
      <c r="I359" s="128" t="s">
        <v>3649</v>
      </c>
      <c r="J359" s="127">
        <v>361</v>
      </c>
      <c r="K359" s="108">
        <v>120</v>
      </c>
      <c r="L359" s="49" t="s">
        <v>3711</v>
      </c>
      <c r="M359" s="22">
        <v>601</v>
      </c>
    </row>
    <row r="360" spans="1:13" ht="15.75" customHeight="1">
      <c r="A360" s="23">
        <v>141</v>
      </c>
      <c r="B360" s="36" t="s">
        <v>3627</v>
      </c>
      <c r="C360" s="24" t="s">
        <v>1062</v>
      </c>
      <c r="D360" s="24" t="s">
        <v>1063</v>
      </c>
      <c r="E360" s="24"/>
      <c r="F360" s="127">
        <v>300</v>
      </c>
      <c r="G360" s="25">
        <v>200</v>
      </c>
      <c r="H360" s="25"/>
      <c r="I360" s="128" t="s">
        <v>3649</v>
      </c>
      <c r="J360" s="127">
        <v>300</v>
      </c>
      <c r="K360" s="112">
        <v>100</v>
      </c>
      <c r="L360" s="49" t="s">
        <v>3711</v>
      </c>
      <c r="M360" s="22">
        <v>500</v>
      </c>
    </row>
    <row r="361" spans="1:13" ht="15.75" customHeight="1">
      <c r="A361" s="19">
        <v>142</v>
      </c>
      <c r="B361" s="36" t="s">
        <v>3627</v>
      </c>
      <c r="C361" s="20" t="s">
        <v>843</v>
      </c>
      <c r="D361" s="20" t="s">
        <v>844</v>
      </c>
      <c r="E361" s="20"/>
      <c r="F361" s="127">
        <v>3</v>
      </c>
      <c r="G361" s="21">
        <v>2</v>
      </c>
      <c r="H361" s="21"/>
      <c r="I361" s="128" t="s">
        <v>3649</v>
      </c>
      <c r="J361" s="127">
        <v>3</v>
      </c>
      <c r="K361" s="108">
        <v>1</v>
      </c>
      <c r="L361" s="49" t="s">
        <v>3711</v>
      </c>
      <c r="M361" s="22">
        <v>6</v>
      </c>
    </row>
    <row r="362" spans="1:13" ht="15.75" customHeight="1">
      <c r="A362" s="23">
        <v>143</v>
      </c>
      <c r="B362" s="36" t="s">
        <v>3627</v>
      </c>
      <c r="C362" s="24" t="s">
        <v>986</v>
      </c>
      <c r="D362" s="24" t="s">
        <v>370</v>
      </c>
      <c r="E362" s="24" t="s">
        <v>987</v>
      </c>
      <c r="F362" s="127">
        <v>150</v>
      </c>
      <c r="G362" s="25">
        <v>50</v>
      </c>
      <c r="H362" s="25">
        <v>50</v>
      </c>
      <c r="I362" s="128" t="s">
        <v>3649</v>
      </c>
      <c r="J362" s="127">
        <v>150</v>
      </c>
      <c r="K362" s="112">
        <v>50</v>
      </c>
      <c r="L362" s="49" t="s">
        <v>3711</v>
      </c>
      <c r="M362" s="22">
        <v>250</v>
      </c>
    </row>
    <row r="363" spans="1:13" ht="15.75" customHeight="1">
      <c r="A363" s="19">
        <v>144</v>
      </c>
      <c r="B363" s="36" t="s">
        <v>3627</v>
      </c>
      <c r="C363" s="20" t="s">
        <v>1068</v>
      </c>
      <c r="D363" s="20" t="s">
        <v>1069</v>
      </c>
      <c r="E363" s="20"/>
      <c r="F363" s="127">
        <v>3</v>
      </c>
      <c r="G363" s="21">
        <v>2</v>
      </c>
      <c r="H363" s="21"/>
      <c r="I363" s="128" t="s">
        <v>3649</v>
      </c>
      <c r="J363" s="127">
        <v>3</v>
      </c>
      <c r="K363" s="108">
        <v>1</v>
      </c>
      <c r="L363" s="49" t="s">
        <v>3711</v>
      </c>
      <c r="M363" s="22">
        <v>5</v>
      </c>
    </row>
    <row r="364" spans="1:13" ht="15.75" customHeight="1">
      <c r="A364" s="23">
        <v>145</v>
      </c>
      <c r="B364" s="36" t="s">
        <v>3627</v>
      </c>
      <c r="C364" s="24" t="s">
        <v>479</v>
      </c>
      <c r="D364" s="24" t="s">
        <v>480</v>
      </c>
      <c r="E364" s="24" t="s">
        <v>481</v>
      </c>
      <c r="F364" s="25">
        <v>4</v>
      </c>
      <c r="G364" s="127">
        <v>6</v>
      </c>
      <c r="H364" s="25"/>
      <c r="I364" s="128" t="s">
        <v>3655</v>
      </c>
      <c r="J364" s="127">
        <v>6</v>
      </c>
      <c r="K364" s="112">
        <v>2</v>
      </c>
      <c r="L364" s="49" t="s">
        <v>3711</v>
      </c>
      <c r="M364" s="22">
        <v>10</v>
      </c>
    </row>
    <row r="365" spans="1:13" ht="15.75" customHeight="1">
      <c r="A365" s="19">
        <v>146</v>
      </c>
      <c r="B365" s="36" t="s">
        <v>3627</v>
      </c>
      <c r="C365" s="20" t="s">
        <v>1183</v>
      </c>
      <c r="D365" s="20" t="s">
        <v>491</v>
      </c>
      <c r="E365" s="20" t="s">
        <v>1184</v>
      </c>
      <c r="F365" s="127">
        <v>12</v>
      </c>
      <c r="G365" s="21"/>
      <c r="H365" s="21">
        <v>8</v>
      </c>
      <c r="I365" s="128" t="s">
        <v>3649</v>
      </c>
      <c r="J365" s="127">
        <v>12</v>
      </c>
      <c r="K365" s="108">
        <v>4</v>
      </c>
      <c r="L365" s="49" t="s">
        <v>3711</v>
      </c>
      <c r="M365" s="22">
        <v>20</v>
      </c>
    </row>
    <row r="366" spans="1:13" ht="15.75" customHeight="1">
      <c r="A366" s="23">
        <v>147</v>
      </c>
      <c r="B366" s="36" t="s">
        <v>3627</v>
      </c>
      <c r="C366" s="24" t="s">
        <v>1202</v>
      </c>
      <c r="D366" s="24" t="s">
        <v>1203</v>
      </c>
      <c r="E366" s="24" t="s">
        <v>1204</v>
      </c>
      <c r="F366" s="25">
        <v>12</v>
      </c>
      <c r="G366" s="25"/>
      <c r="H366" s="127">
        <v>18</v>
      </c>
      <c r="I366" s="128" t="s">
        <v>3651</v>
      </c>
      <c r="J366" s="127">
        <v>18</v>
      </c>
      <c r="K366" s="112">
        <v>6</v>
      </c>
      <c r="L366" s="49" t="s">
        <v>3711</v>
      </c>
      <c r="M366" s="22">
        <v>30</v>
      </c>
    </row>
    <row r="368" spans="1:13" ht="19.5" customHeight="1">
      <c r="A368" s="146" t="s">
        <v>3772</v>
      </c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</row>
    <row r="369" spans="1:13" ht="15.75" customHeight="1">
      <c r="A369" s="19">
        <v>1</v>
      </c>
      <c r="B369" s="37" t="s">
        <v>3628</v>
      </c>
      <c r="C369" s="20" t="s">
        <v>944</v>
      </c>
      <c r="D369" s="20" t="s">
        <v>945</v>
      </c>
      <c r="E369" s="20" t="s">
        <v>946</v>
      </c>
      <c r="F369" s="127">
        <v>154</v>
      </c>
      <c r="G369" s="21">
        <v>6</v>
      </c>
      <c r="H369" s="21"/>
      <c r="I369" s="128" t="s">
        <v>3649</v>
      </c>
      <c r="J369" s="127">
        <v>154</v>
      </c>
      <c r="K369" s="108">
        <v>3</v>
      </c>
      <c r="L369" s="49" t="s">
        <v>3773</v>
      </c>
      <c r="M369" s="22">
        <v>160</v>
      </c>
    </row>
    <row r="370" spans="1:13" ht="15.75" customHeight="1">
      <c r="A370" s="23">
        <v>2</v>
      </c>
      <c r="B370" s="37" t="s">
        <v>3628</v>
      </c>
      <c r="C370" s="24" t="s">
        <v>942</v>
      </c>
      <c r="D370" s="24" t="s">
        <v>943</v>
      </c>
      <c r="E370" s="24" t="s">
        <v>932</v>
      </c>
      <c r="F370" s="127">
        <v>1380</v>
      </c>
      <c r="G370" s="25">
        <v>100</v>
      </c>
      <c r="H370" s="25"/>
      <c r="I370" s="128" t="s">
        <v>3649</v>
      </c>
      <c r="J370" s="127">
        <v>1380</v>
      </c>
      <c r="K370" s="112">
        <v>50</v>
      </c>
      <c r="L370" s="49" t="s">
        <v>3774</v>
      </c>
      <c r="M370" s="22">
        <v>1480</v>
      </c>
    </row>
    <row r="371" spans="1:13" ht="15.75" customHeight="1">
      <c r="A371" s="19">
        <v>3</v>
      </c>
      <c r="B371" s="37" t="s">
        <v>3628</v>
      </c>
      <c r="C371" s="20" t="s">
        <v>947</v>
      </c>
      <c r="D371" s="20" t="s">
        <v>948</v>
      </c>
      <c r="E371" s="20" t="s">
        <v>935</v>
      </c>
      <c r="F371" s="127">
        <v>619</v>
      </c>
      <c r="G371" s="21"/>
      <c r="H371" s="21">
        <v>70</v>
      </c>
      <c r="I371" s="128" t="s">
        <v>3649</v>
      </c>
      <c r="J371" s="127">
        <v>619</v>
      </c>
      <c r="K371" s="108">
        <v>35</v>
      </c>
      <c r="L371" s="49" t="s">
        <v>3775</v>
      </c>
      <c r="M371" s="22">
        <v>689</v>
      </c>
    </row>
    <row r="372" spans="1:13" ht="15.75" customHeight="1">
      <c r="A372" s="23">
        <v>4</v>
      </c>
      <c r="B372" s="37" t="s">
        <v>3628</v>
      </c>
      <c r="C372" s="24" t="s">
        <v>2550</v>
      </c>
      <c r="D372" s="24" t="s">
        <v>2551</v>
      </c>
      <c r="E372" s="24" t="s">
        <v>1142</v>
      </c>
      <c r="F372" s="25"/>
      <c r="G372" s="25">
        <v>3</v>
      </c>
      <c r="H372" s="127">
        <v>25</v>
      </c>
      <c r="I372" s="128" t="s">
        <v>3651</v>
      </c>
      <c r="J372" s="127">
        <v>25</v>
      </c>
      <c r="K372" s="112">
        <v>1.5</v>
      </c>
      <c r="L372" s="49" t="s">
        <v>3758</v>
      </c>
      <c r="M372" s="22">
        <v>178</v>
      </c>
    </row>
    <row r="373" spans="1:13" ht="15.75" customHeight="1">
      <c r="A373" s="19">
        <v>5</v>
      </c>
      <c r="B373" s="37" t="s">
        <v>3628</v>
      </c>
      <c r="C373" s="20" t="s">
        <v>1279</v>
      </c>
      <c r="D373" s="20" t="s">
        <v>959</v>
      </c>
      <c r="E373" s="20" t="s">
        <v>1270</v>
      </c>
      <c r="F373" s="21">
        <v>55</v>
      </c>
      <c r="G373" s="127">
        <v>400</v>
      </c>
      <c r="H373" s="21"/>
      <c r="I373" s="128" t="s">
        <v>3655</v>
      </c>
      <c r="J373" s="127">
        <v>400</v>
      </c>
      <c r="K373" s="108">
        <v>27.5</v>
      </c>
      <c r="L373" s="49" t="s">
        <v>3776</v>
      </c>
      <c r="M373" s="22">
        <v>455</v>
      </c>
    </row>
    <row r="374" spans="1:13" ht="15.75" customHeight="1">
      <c r="A374" s="23">
        <v>6</v>
      </c>
      <c r="B374" s="37" t="s">
        <v>3628</v>
      </c>
      <c r="C374" s="24" t="s">
        <v>917</v>
      </c>
      <c r="D374" s="24" t="s">
        <v>918</v>
      </c>
      <c r="E374" s="24" t="s">
        <v>919</v>
      </c>
      <c r="F374" s="25">
        <v>2</v>
      </c>
      <c r="G374" s="25"/>
      <c r="H374" s="127">
        <v>6</v>
      </c>
      <c r="I374" s="128" t="s">
        <v>3651</v>
      </c>
      <c r="J374" s="127">
        <v>6</v>
      </c>
      <c r="K374" s="112">
        <v>1</v>
      </c>
      <c r="L374" s="49" t="s">
        <v>3689</v>
      </c>
      <c r="M374" s="22">
        <v>8</v>
      </c>
    </row>
    <row r="375" spans="1:13" ht="15.75" customHeight="1">
      <c r="A375" s="19">
        <v>7</v>
      </c>
      <c r="B375" s="37" t="s">
        <v>3628</v>
      </c>
      <c r="C375" s="20" t="s">
        <v>2552</v>
      </c>
      <c r="D375" s="20" t="s">
        <v>2553</v>
      </c>
      <c r="E375" s="20" t="s">
        <v>929</v>
      </c>
      <c r="F375" s="21"/>
      <c r="G375" s="127">
        <v>11</v>
      </c>
      <c r="H375" s="21">
        <v>5</v>
      </c>
      <c r="I375" s="128" t="s">
        <v>3655</v>
      </c>
      <c r="J375" s="127">
        <v>11</v>
      </c>
      <c r="K375" s="108">
        <v>2.5</v>
      </c>
      <c r="L375" s="49" t="s">
        <v>3698</v>
      </c>
      <c r="M375" s="22">
        <v>146</v>
      </c>
    </row>
    <row r="376" spans="1:13" ht="15.75" customHeight="1">
      <c r="A376" s="23">
        <v>8</v>
      </c>
      <c r="B376" s="37" t="s">
        <v>3628</v>
      </c>
      <c r="C376" s="24" t="s">
        <v>2560</v>
      </c>
      <c r="D376" s="24" t="s">
        <v>2561</v>
      </c>
      <c r="E376" s="24" t="s">
        <v>935</v>
      </c>
      <c r="F376" s="25"/>
      <c r="G376" s="127">
        <v>300</v>
      </c>
      <c r="H376" s="25">
        <v>137</v>
      </c>
      <c r="I376" s="128" t="s">
        <v>3655</v>
      </c>
      <c r="J376" s="127">
        <v>300</v>
      </c>
      <c r="K376" s="112">
        <v>68.5</v>
      </c>
      <c r="L376" s="49" t="s">
        <v>3698</v>
      </c>
      <c r="M376" s="22">
        <v>437</v>
      </c>
    </row>
    <row r="377" spans="1:13" ht="15.75" customHeight="1">
      <c r="A377" s="19">
        <v>9</v>
      </c>
      <c r="B377" s="37" t="s">
        <v>3628</v>
      </c>
      <c r="C377" s="20" t="s">
        <v>936</v>
      </c>
      <c r="D377" s="20" t="s">
        <v>937</v>
      </c>
      <c r="E377" s="20" t="s">
        <v>929</v>
      </c>
      <c r="F377" s="127">
        <v>105</v>
      </c>
      <c r="G377" s="21">
        <v>40</v>
      </c>
      <c r="H377" s="21">
        <v>10</v>
      </c>
      <c r="I377" s="128" t="s">
        <v>3649</v>
      </c>
      <c r="J377" s="127">
        <v>105</v>
      </c>
      <c r="K377" s="108">
        <v>25</v>
      </c>
      <c r="L377" s="49" t="s">
        <v>3700</v>
      </c>
      <c r="M377" s="22">
        <v>285</v>
      </c>
    </row>
    <row r="378" spans="1:13" ht="15.75" customHeight="1">
      <c r="A378" s="23">
        <v>10</v>
      </c>
      <c r="B378" s="37" t="s">
        <v>3628</v>
      </c>
      <c r="C378" s="24" t="s">
        <v>2571</v>
      </c>
      <c r="D378" s="24" t="s">
        <v>2572</v>
      </c>
      <c r="E378" s="24" t="s">
        <v>935</v>
      </c>
      <c r="F378" s="25"/>
      <c r="G378" s="25">
        <v>42</v>
      </c>
      <c r="H378" s="127">
        <v>85</v>
      </c>
      <c r="I378" s="128" t="s">
        <v>3651</v>
      </c>
      <c r="J378" s="127">
        <v>85</v>
      </c>
      <c r="K378" s="112">
        <v>21</v>
      </c>
      <c r="L378" s="49" t="s">
        <v>3702</v>
      </c>
      <c r="M378" s="22">
        <v>127</v>
      </c>
    </row>
    <row r="379" spans="1:13" ht="15.75" customHeight="1">
      <c r="A379" s="19">
        <v>11</v>
      </c>
      <c r="B379" s="37" t="s">
        <v>3628</v>
      </c>
      <c r="C379" s="20" t="s">
        <v>920</v>
      </c>
      <c r="D379" s="20" t="s">
        <v>921</v>
      </c>
      <c r="E379" s="20" t="s">
        <v>922</v>
      </c>
      <c r="F379" s="127">
        <v>2</v>
      </c>
      <c r="G379" s="21"/>
      <c r="H379" s="21">
        <v>1</v>
      </c>
      <c r="I379" s="128" t="s">
        <v>3649</v>
      </c>
      <c r="J379" s="127">
        <v>2</v>
      </c>
      <c r="K379" s="108">
        <v>0.5</v>
      </c>
      <c r="L379" s="49" t="s">
        <v>3702</v>
      </c>
      <c r="M379" s="22">
        <v>3</v>
      </c>
    </row>
    <row r="380" spans="1:13" ht="15.75" customHeight="1">
      <c r="A380" s="23">
        <v>12</v>
      </c>
      <c r="B380" s="37" t="s">
        <v>3628</v>
      </c>
      <c r="C380" s="24" t="s">
        <v>954</v>
      </c>
      <c r="D380" s="24" t="s">
        <v>955</v>
      </c>
      <c r="E380" s="24" t="s">
        <v>932</v>
      </c>
      <c r="F380" s="25">
        <v>200</v>
      </c>
      <c r="G380" s="127">
        <v>400</v>
      </c>
      <c r="H380" s="25"/>
      <c r="I380" s="128" t="s">
        <v>3655</v>
      </c>
      <c r="J380" s="127">
        <v>400</v>
      </c>
      <c r="K380" s="112">
        <v>100</v>
      </c>
      <c r="L380" s="49" t="s">
        <v>3702</v>
      </c>
      <c r="M380" s="22">
        <v>600</v>
      </c>
    </row>
    <row r="381" spans="1:13" ht="15.75" customHeight="1">
      <c r="A381" s="19">
        <v>13</v>
      </c>
      <c r="B381" s="37" t="s">
        <v>3628</v>
      </c>
      <c r="C381" s="20" t="s">
        <v>2564</v>
      </c>
      <c r="D381" s="20" t="s">
        <v>2565</v>
      </c>
      <c r="E381" s="20" t="s">
        <v>935</v>
      </c>
      <c r="F381" s="21"/>
      <c r="G381" s="127">
        <v>20</v>
      </c>
      <c r="H381" s="21">
        <v>10</v>
      </c>
      <c r="I381" s="128" t="s">
        <v>3655</v>
      </c>
      <c r="J381" s="127">
        <v>20</v>
      </c>
      <c r="K381" s="108">
        <v>5</v>
      </c>
      <c r="L381" s="49" t="s">
        <v>3702</v>
      </c>
      <c r="M381" s="22">
        <v>30</v>
      </c>
    </row>
    <row r="382" spans="1:13" ht="15.75" customHeight="1">
      <c r="A382" s="23">
        <v>14</v>
      </c>
      <c r="B382" s="37" t="s">
        <v>3628</v>
      </c>
      <c r="C382" s="24" t="s">
        <v>956</v>
      </c>
      <c r="D382" s="24" t="s">
        <v>957</v>
      </c>
      <c r="E382" s="24" t="s">
        <v>946</v>
      </c>
      <c r="F382" s="25">
        <v>4</v>
      </c>
      <c r="G382" s="127">
        <v>6</v>
      </c>
      <c r="H382" s="25"/>
      <c r="I382" s="128" t="s">
        <v>3655</v>
      </c>
      <c r="J382" s="127">
        <v>6</v>
      </c>
      <c r="K382" s="112">
        <v>2</v>
      </c>
      <c r="L382" s="49" t="s">
        <v>3711</v>
      </c>
      <c r="M382" s="22">
        <v>10</v>
      </c>
    </row>
    <row r="384" spans="1:13" ht="19.5" customHeight="1">
      <c r="A384" s="147" t="s">
        <v>3777</v>
      </c>
      <c r="B384" s="147"/>
      <c r="C384" s="147"/>
      <c r="D384" s="147"/>
      <c r="E384" s="147"/>
      <c r="F384" s="147"/>
      <c r="G384" s="147"/>
      <c r="H384" s="147"/>
      <c r="I384" s="147"/>
      <c r="J384" s="147"/>
      <c r="K384" s="147"/>
      <c r="L384" s="147"/>
      <c r="M384" s="147"/>
    </row>
    <row r="385" spans="1:13" ht="15.75" customHeight="1">
      <c r="A385" s="19">
        <v>1</v>
      </c>
      <c r="B385" s="122" t="s">
        <v>3629</v>
      </c>
      <c r="C385" s="20" t="s">
        <v>46</v>
      </c>
      <c r="D385" s="20" t="s">
        <v>38</v>
      </c>
      <c r="E385" s="20" t="s">
        <v>47</v>
      </c>
      <c r="F385" s="127">
        <v>90</v>
      </c>
      <c r="G385" s="21">
        <v>2</v>
      </c>
      <c r="H385" s="21"/>
      <c r="I385" s="128" t="s">
        <v>3649</v>
      </c>
      <c r="J385" s="127">
        <v>90</v>
      </c>
      <c r="K385" s="108">
        <v>1</v>
      </c>
      <c r="L385" s="49" t="s">
        <v>3778</v>
      </c>
      <c r="M385" s="22">
        <v>92</v>
      </c>
    </row>
    <row r="386" spans="1:13" ht="15.75" customHeight="1">
      <c r="A386" s="23">
        <v>2</v>
      </c>
      <c r="B386" s="122" t="s">
        <v>3629</v>
      </c>
      <c r="C386" s="24" t="s">
        <v>51</v>
      </c>
      <c r="D386" s="24" t="s">
        <v>38</v>
      </c>
      <c r="E386" s="24" t="s">
        <v>26</v>
      </c>
      <c r="F386" s="127">
        <v>204</v>
      </c>
      <c r="G386" s="25"/>
      <c r="H386" s="25">
        <v>5</v>
      </c>
      <c r="I386" s="128" t="s">
        <v>3649</v>
      </c>
      <c r="J386" s="127">
        <v>204</v>
      </c>
      <c r="K386" s="112">
        <v>2.5</v>
      </c>
      <c r="L386" s="49" t="s">
        <v>3779</v>
      </c>
      <c r="M386" s="22">
        <v>209</v>
      </c>
    </row>
    <row r="387" spans="1:13" ht="15.75" customHeight="1">
      <c r="A387" s="19">
        <v>3</v>
      </c>
      <c r="B387" s="122" t="s">
        <v>3629</v>
      </c>
      <c r="C387" s="20" t="s">
        <v>120</v>
      </c>
      <c r="D387" s="20" t="s">
        <v>28</v>
      </c>
      <c r="E387" s="20" t="s">
        <v>121</v>
      </c>
      <c r="F387" s="127">
        <v>80</v>
      </c>
      <c r="G387" s="21">
        <v>5</v>
      </c>
      <c r="H387" s="21"/>
      <c r="I387" s="128" t="s">
        <v>3649</v>
      </c>
      <c r="J387" s="127">
        <v>80</v>
      </c>
      <c r="K387" s="108">
        <v>2.5</v>
      </c>
      <c r="L387" s="49" t="s">
        <v>3658</v>
      </c>
      <c r="M387" s="22">
        <v>85</v>
      </c>
    </row>
    <row r="388" spans="1:13" ht="15.75" customHeight="1">
      <c r="A388" s="23">
        <v>4</v>
      </c>
      <c r="B388" s="122" t="s">
        <v>3629</v>
      </c>
      <c r="C388" s="24" t="s">
        <v>44</v>
      </c>
      <c r="D388" s="24" t="s">
        <v>38</v>
      </c>
      <c r="E388" s="24" t="s">
        <v>45</v>
      </c>
      <c r="F388" s="25">
        <v>5</v>
      </c>
      <c r="G388" s="25"/>
      <c r="H388" s="127">
        <v>80</v>
      </c>
      <c r="I388" s="128" t="s">
        <v>3651</v>
      </c>
      <c r="J388" s="127">
        <v>80</v>
      </c>
      <c r="K388" s="112">
        <v>2.5</v>
      </c>
      <c r="L388" s="49" t="s">
        <v>3658</v>
      </c>
      <c r="M388" s="22">
        <v>85</v>
      </c>
    </row>
    <row r="389" spans="1:13" ht="15.75" customHeight="1">
      <c r="A389" s="19">
        <v>5</v>
      </c>
      <c r="B389" s="122" t="s">
        <v>3629</v>
      </c>
      <c r="C389" s="20" t="s">
        <v>85</v>
      </c>
      <c r="D389" s="20" t="s">
        <v>28</v>
      </c>
      <c r="E389" s="20" t="s">
        <v>57</v>
      </c>
      <c r="F389" s="21">
        <v>5</v>
      </c>
      <c r="G389" s="127">
        <v>70</v>
      </c>
      <c r="H389" s="21"/>
      <c r="I389" s="128" t="s">
        <v>3655</v>
      </c>
      <c r="J389" s="127">
        <v>70</v>
      </c>
      <c r="K389" s="108">
        <v>2.5</v>
      </c>
      <c r="L389" s="49" t="s">
        <v>3780</v>
      </c>
      <c r="M389" s="22">
        <v>85</v>
      </c>
    </row>
    <row r="390" spans="1:13" ht="15.75" customHeight="1">
      <c r="A390" s="23">
        <v>6</v>
      </c>
      <c r="B390" s="122" t="s">
        <v>3629</v>
      </c>
      <c r="C390" s="24" t="s">
        <v>86</v>
      </c>
      <c r="D390" s="24" t="s">
        <v>69</v>
      </c>
      <c r="E390" s="24" t="s">
        <v>87</v>
      </c>
      <c r="F390" s="127">
        <v>11</v>
      </c>
      <c r="G390" s="25">
        <v>1</v>
      </c>
      <c r="H390" s="25"/>
      <c r="I390" s="128" t="s">
        <v>3649</v>
      </c>
      <c r="J390" s="127">
        <v>11</v>
      </c>
      <c r="K390" s="112">
        <v>0.5</v>
      </c>
      <c r="L390" s="49" t="s">
        <v>3752</v>
      </c>
      <c r="M390" s="22">
        <v>12</v>
      </c>
    </row>
    <row r="391" spans="1:13" ht="15.75" customHeight="1">
      <c r="A391" s="19">
        <v>7</v>
      </c>
      <c r="B391" s="122" t="s">
        <v>3629</v>
      </c>
      <c r="C391" s="20" t="s">
        <v>27</v>
      </c>
      <c r="D391" s="20" t="s">
        <v>28</v>
      </c>
      <c r="E391" s="20" t="s">
        <v>20</v>
      </c>
      <c r="F391" s="21">
        <v>5</v>
      </c>
      <c r="G391" s="127">
        <v>130</v>
      </c>
      <c r="H391" s="21">
        <v>10</v>
      </c>
      <c r="I391" s="128" t="s">
        <v>3655</v>
      </c>
      <c r="J391" s="127">
        <v>130</v>
      </c>
      <c r="K391" s="108">
        <v>7.5</v>
      </c>
      <c r="L391" s="49" t="s">
        <v>3666</v>
      </c>
      <c r="M391" s="22">
        <v>265</v>
      </c>
    </row>
    <row r="392" spans="1:13" ht="15.75" customHeight="1">
      <c r="A392" s="23">
        <v>8</v>
      </c>
      <c r="B392" s="122" t="s">
        <v>3629</v>
      </c>
      <c r="C392" s="24" t="s">
        <v>2321</v>
      </c>
      <c r="D392" s="24" t="s">
        <v>28</v>
      </c>
      <c r="E392" s="24" t="s">
        <v>26</v>
      </c>
      <c r="F392" s="25"/>
      <c r="G392" s="127">
        <v>75</v>
      </c>
      <c r="H392" s="25">
        <v>10</v>
      </c>
      <c r="I392" s="128" t="s">
        <v>3655</v>
      </c>
      <c r="J392" s="127">
        <v>75</v>
      </c>
      <c r="K392" s="112">
        <v>5</v>
      </c>
      <c r="L392" s="49" t="s">
        <v>3781</v>
      </c>
      <c r="M392" s="22">
        <v>115</v>
      </c>
    </row>
    <row r="393" spans="1:13" ht="15.75" customHeight="1">
      <c r="A393" s="19">
        <v>9</v>
      </c>
      <c r="B393" s="122" t="s">
        <v>3629</v>
      </c>
      <c r="C393" s="20" t="s">
        <v>70</v>
      </c>
      <c r="D393" s="20" t="s">
        <v>28</v>
      </c>
      <c r="E393" s="20" t="s">
        <v>32</v>
      </c>
      <c r="F393" s="127">
        <v>96</v>
      </c>
      <c r="G393" s="21">
        <v>10</v>
      </c>
      <c r="H393" s="21">
        <v>5</v>
      </c>
      <c r="I393" s="128" t="s">
        <v>3649</v>
      </c>
      <c r="J393" s="127">
        <v>96</v>
      </c>
      <c r="K393" s="108">
        <v>7.5</v>
      </c>
      <c r="L393" s="49" t="s">
        <v>3782</v>
      </c>
      <c r="M393" s="22">
        <v>231</v>
      </c>
    </row>
    <row r="394" spans="1:13" ht="15.75" customHeight="1">
      <c r="A394" s="23">
        <v>10</v>
      </c>
      <c r="B394" s="122" t="s">
        <v>3629</v>
      </c>
      <c r="C394" s="24" t="s">
        <v>49</v>
      </c>
      <c r="D394" s="24" t="s">
        <v>38</v>
      </c>
      <c r="E394" s="24" t="s">
        <v>50</v>
      </c>
      <c r="F394" s="127">
        <v>115</v>
      </c>
      <c r="G394" s="25">
        <v>21</v>
      </c>
      <c r="H394" s="25"/>
      <c r="I394" s="128" t="s">
        <v>3649</v>
      </c>
      <c r="J394" s="127">
        <v>115</v>
      </c>
      <c r="K394" s="112">
        <v>10.5</v>
      </c>
      <c r="L394" s="49" t="s">
        <v>3722</v>
      </c>
      <c r="M394" s="22">
        <v>136</v>
      </c>
    </row>
    <row r="395" spans="1:13" ht="15.75" customHeight="1">
      <c r="A395" s="19">
        <v>11</v>
      </c>
      <c r="B395" s="122" t="s">
        <v>3629</v>
      </c>
      <c r="C395" s="20" t="s">
        <v>73</v>
      </c>
      <c r="D395" s="20" t="s">
        <v>69</v>
      </c>
      <c r="E395" s="20" t="s">
        <v>22</v>
      </c>
      <c r="F395" s="127">
        <v>10</v>
      </c>
      <c r="G395" s="21">
        <v>2</v>
      </c>
      <c r="H395" s="21"/>
      <c r="I395" s="128" t="s">
        <v>3649</v>
      </c>
      <c r="J395" s="127">
        <v>10</v>
      </c>
      <c r="K395" s="108">
        <v>1</v>
      </c>
      <c r="L395" s="49" t="s">
        <v>3676</v>
      </c>
      <c r="M395" s="22">
        <v>12</v>
      </c>
    </row>
    <row r="396" spans="1:13" ht="15.75" customHeight="1">
      <c r="A396" s="23">
        <v>12</v>
      </c>
      <c r="B396" s="122" t="s">
        <v>3629</v>
      </c>
      <c r="C396" s="24" t="s">
        <v>58</v>
      </c>
      <c r="D396" s="24" t="s">
        <v>38</v>
      </c>
      <c r="E396" s="24" t="s">
        <v>59</v>
      </c>
      <c r="F396" s="127">
        <v>90</v>
      </c>
      <c r="G396" s="25">
        <v>20</v>
      </c>
      <c r="H396" s="25"/>
      <c r="I396" s="128" t="s">
        <v>3649</v>
      </c>
      <c r="J396" s="127">
        <v>90</v>
      </c>
      <c r="K396" s="112">
        <v>10</v>
      </c>
      <c r="L396" s="49" t="s">
        <v>3725</v>
      </c>
      <c r="M396" s="22">
        <v>110</v>
      </c>
    </row>
    <row r="397" spans="1:13" ht="15.75" customHeight="1">
      <c r="A397" s="19">
        <v>13</v>
      </c>
      <c r="B397" s="122" t="s">
        <v>3629</v>
      </c>
      <c r="C397" s="20" t="s">
        <v>33</v>
      </c>
      <c r="D397" s="20" t="s">
        <v>30</v>
      </c>
      <c r="E397" s="20" t="s">
        <v>22</v>
      </c>
      <c r="F397" s="21">
        <v>7</v>
      </c>
      <c r="G397" s="21"/>
      <c r="H397" s="127">
        <v>30</v>
      </c>
      <c r="I397" s="128" t="s">
        <v>3651</v>
      </c>
      <c r="J397" s="127">
        <v>30</v>
      </c>
      <c r="K397" s="108">
        <v>3.5</v>
      </c>
      <c r="L397" s="49" t="s">
        <v>3727</v>
      </c>
      <c r="M397" s="22">
        <v>37</v>
      </c>
    </row>
    <row r="398" spans="1:13" ht="15.75" customHeight="1">
      <c r="A398" s="23">
        <v>14</v>
      </c>
      <c r="B398" s="122" t="s">
        <v>3629</v>
      </c>
      <c r="C398" s="24" t="s">
        <v>102</v>
      </c>
      <c r="D398" s="24" t="s">
        <v>103</v>
      </c>
      <c r="E398" s="24" t="s">
        <v>104</v>
      </c>
      <c r="F398" s="25">
        <v>20</v>
      </c>
      <c r="G398" s="127">
        <v>75</v>
      </c>
      <c r="H398" s="25"/>
      <c r="I398" s="128" t="s">
        <v>3655</v>
      </c>
      <c r="J398" s="127">
        <v>75</v>
      </c>
      <c r="K398" s="112">
        <v>10</v>
      </c>
      <c r="L398" s="49" t="s">
        <v>3735</v>
      </c>
      <c r="M398" s="22">
        <v>95</v>
      </c>
    </row>
    <row r="399" spans="1:13" ht="15.75" customHeight="1">
      <c r="A399" s="19">
        <v>15</v>
      </c>
      <c r="B399" s="122" t="s">
        <v>3629</v>
      </c>
      <c r="C399" s="20" t="s">
        <v>52</v>
      </c>
      <c r="D399" s="20" t="s">
        <v>38</v>
      </c>
      <c r="E399" s="20" t="s">
        <v>53</v>
      </c>
      <c r="F399" s="127">
        <v>60</v>
      </c>
      <c r="G399" s="21">
        <v>20</v>
      </c>
      <c r="H399" s="21"/>
      <c r="I399" s="128" t="s">
        <v>3649</v>
      </c>
      <c r="J399" s="127">
        <v>60</v>
      </c>
      <c r="K399" s="108">
        <v>10</v>
      </c>
      <c r="L399" s="49" t="s">
        <v>3689</v>
      </c>
      <c r="M399" s="22">
        <v>80</v>
      </c>
    </row>
    <row r="400" spans="1:13" ht="15.75" customHeight="1">
      <c r="A400" s="23">
        <v>16</v>
      </c>
      <c r="B400" s="122" t="s">
        <v>3629</v>
      </c>
      <c r="C400" s="24" t="s">
        <v>72</v>
      </c>
      <c r="D400" s="24" t="s">
        <v>19</v>
      </c>
      <c r="E400" s="24" t="s">
        <v>47</v>
      </c>
      <c r="F400" s="127">
        <v>50</v>
      </c>
      <c r="G400" s="25">
        <v>20</v>
      </c>
      <c r="H400" s="25"/>
      <c r="I400" s="128" t="s">
        <v>3649</v>
      </c>
      <c r="J400" s="127">
        <v>50</v>
      </c>
      <c r="K400" s="112">
        <v>10</v>
      </c>
      <c r="L400" s="49" t="s">
        <v>3695</v>
      </c>
      <c r="M400" s="22">
        <v>70</v>
      </c>
    </row>
    <row r="401" spans="1:13" ht="15.75" customHeight="1">
      <c r="A401" s="19">
        <v>17</v>
      </c>
      <c r="B401" s="122" t="s">
        <v>3629</v>
      </c>
      <c r="C401" s="20" t="s">
        <v>41</v>
      </c>
      <c r="D401" s="20" t="s">
        <v>38</v>
      </c>
      <c r="E401" s="20" t="s">
        <v>42</v>
      </c>
      <c r="F401" s="21">
        <v>120</v>
      </c>
      <c r="G401" s="127">
        <v>510</v>
      </c>
      <c r="H401" s="21">
        <v>110</v>
      </c>
      <c r="I401" s="128" t="s">
        <v>3655</v>
      </c>
      <c r="J401" s="127">
        <v>510</v>
      </c>
      <c r="K401" s="108">
        <v>115</v>
      </c>
      <c r="L401" s="49" t="s">
        <v>3698</v>
      </c>
      <c r="M401" s="22">
        <v>740</v>
      </c>
    </row>
    <row r="402" spans="1:13" ht="15.75" customHeight="1">
      <c r="A402" s="23">
        <v>18</v>
      </c>
      <c r="B402" s="122" t="s">
        <v>3629</v>
      </c>
      <c r="C402" s="24" t="s">
        <v>31</v>
      </c>
      <c r="D402" s="24" t="s">
        <v>30</v>
      </c>
      <c r="E402" s="24" t="s">
        <v>32</v>
      </c>
      <c r="F402" s="127">
        <v>133</v>
      </c>
      <c r="G402" s="25"/>
      <c r="H402" s="25">
        <v>64</v>
      </c>
      <c r="I402" s="128" t="s">
        <v>3649</v>
      </c>
      <c r="J402" s="127">
        <v>133</v>
      </c>
      <c r="K402" s="112">
        <v>32</v>
      </c>
      <c r="L402" s="49" t="s">
        <v>3700</v>
      </c>
      <c r="M402" s="22">
        <v>197</v>
      </c>
    </row>
    <row r="403" spans="1:13" ht="15.75" customHeight="1">
      <c r="A403" s="19">
        <v>19</v>
      </c>
      <c r="B403" s="122" t="s">
        <v>3629</v>
      </c>
      <c r="C403" s="20" t="s">
        <v>125</v>
      </c>
      <c r="D403" s="20" t="s">
        <v>123</v>
      </c>
      <c r="E403" s="20" t="s">
        <v>126</v>
      </c>
      <c r="F403" s="127">
        <v>340</v>
      </c>
      <c r="G403" s="21">
        <v>147</v>
      </c>
      <c r="H403" s="21">
        <v>21</v>
      </c>
      <c r="I403" s="128" t="s">
        <v>3649</v>
      </c>
      <c r="J403" s="127">
        <v>340</v>
      </c>
      <c r="K403" s="108">
        <v>84</v>
      </c>
      <c r="L403" s="49" t="s">
        <v>3702</v>
      </c>
      <c r="M403" s="22">
        <v>508</v>
      </c>
    </row>
    <row r="404" spans="1:13" ht="15.75" customHeight="1">
      <c r="A404" s="23">
        <v>20</v>
      </c>
      <c r="B404" s="122" t="s">
        <v>3629</v>
      </c>
      <c r="C404" s="24" t="s">
        <v>54</v>
      </c>
      <c r="D404" s="24" t="s">
        <v>38</v>
      </c>
      <c r="E404" s="24" t="s">
        <v>55</v>
      </c>
      <c r="F404" s="127">
        <v>60</v>
      </c>
      <c r="G404" s="25">
        <v>30</v>
      </c>
      <c r="H404" s="25"/>
      <c r="I404" s="128" t="s">
        <v>3649</v>
      </c>
      <c r="J404" s="127">
        <v>60</v>
      </c>
      <c r="K404" s="112">
        <v>15</v>
      </c>
      <c r="L404" s="49" t="s">
        <v>3702</v>
      </c>
      <c r="M404" s="22">
        <v>90</v>
      </c>
    </row>
    <row r="405" spans="1:13" ht="15.75" customHeight="1">
      <c r="A405" s="19">
        <v>21</v>
      </c>
      <c r="B405" s="122" t="s">
        <v>3629</v>
      </c>
      <c r="C405" s="20" t="s">
        <v>2319</v>
      </c>
      <c r="D405" s="20" t="s">
        <v>69</v>
      </c>
      <c r="E405" s="20" t="s">
        <v>26</v>
      </c>
      <c r="F405" s="21"/>
      <c r="G405" s="127">
        <v>10</v>
      </c>
      <c r="H405" s="21">
        <v>5</v>
      </c>
      <c r="I405" s="128" t="s">
        <v>3655</v>
      </c>
      <c r="J405" s="127">
        <v>10</v>
      </c>
      <c r="K405" s="108">
        <v>2.5</v>
      </c>
      <c r="L405" s="49" t="s">
        <v>3702</v>
      </c>
      <c r="M405" s="22">
        <v>15</v>
      </c>
    </row>
    <row r="406" spans="1:13" ht="15.75" customHeight="1">
      <c r="A406" s="23">
        <v>22</v>
      </c>
      <c r="B406" s="122" t="s">
        <v>3629</v>
      </c>
      <c r="C406" s="24" t="s">
        <v>2354</v>
      </c>
      <c r="D406" s="24" t="s">
        <v>75</v>
      </c>
      <c r="E406" s="24" t="s">
        <v>50</v>
      </c>
      <c r="F406" s="25"/>
      <c r="G406" s="25">
        <v>10</v>
      </c>
      <c r="H406" s="127">
        <v>20</v>
      </c>
      <c r="I406" s="128" t="s">
        <v>3651</v>
      </c>
      <c r="J406" s="127">
        <v>20</v>
      </c>
      <c r="K406" s="112">
        <v>5</v>
      </c>
      <c r="L406" s="49" t="s">
        <v>3702</v>
      </c>
      <c r="M406" s="22">
        <v>30</v>
      </c>
    </row>
    <row r="407" spans="1:13" ht="15.75" customHeight="1">
      <c r="A407" s="19">
        <v>23</v>
      </c>
      <c r="B407" s="122" t="s">
        <v>3629</v>
      </c>
      <c r="C407" s="20" t="s">
        <v>37</v>
      </c>
      <c r="D407" s="20" t="s">
        <v>38</v>
      </c>
      <c r="E407" s="20" t="s">
        <v>39</v>
      </c>
      <c r="F407" s="127">
        <v>19</v>
      </c>
      <c r="G407" s="21">
        <v>10</v>
      </c>
      <c r="H407" s="21"/>
      <c r="I407" s="128" t="s">
        <v>3649</v>
      </c>
      <c r="J407" s="127">
        <v>19</v>
      </c>
      <c r="K407" s="108">
        <v>5</v>
      </c>
      <c r="L407" s="49" t="s">
        <v>3704</v>
      </c>
      <c r="M407" s="22">
        <v>29</v>
      </c>
    </row>
    <row r="408" spans="1:13" ht="15.75" customHeight="1">
      <c r="A408" s="23">
        <v>24</v>
      </c>
      <c r="B408" s="122" t="s">
        <v>3629</v>
      </c>
      <c r="C408" s="24" t="s">
        <v>2309</v>
      </c>
      <c r="D408" s="24" t="s">
        <v>28</v>
      </c>
      <c r="E408" s="24" t="s">
        <v>22</v>
      </c>
      <c r="F408" s="25"/>
      <c r="G408" s="25">
        <v>30</v>
      </c>
      <c r="H408" s="127">
        <v>50</v>
      </c>
      <c r="I408" s="128" t="s">
        <v>3651</v>
      </c>
      <c r="J408" s="127">
        <v>50</v>
      </c>
      <c r="K408" s="112">
        <v>15</v>
      </c>
      <c r="L408" s="49" t="s">
        <v>3708</v>
      </c>
      <c r="M408" s="22">
        <v>90</v>
      </c>
    </row>
    <row r="409" spans="1:13" ht="15.75" customHeight="1">
      <c r="A409" s="19">
        <v>25</v>
      </c>
      <c r="B409" s="122" t="s">
        <v>3629</v>
      </c>
      <c r="C409" s="20" t="s">
        <v>29</v>
      </c>
      <c r="D409" s="20" t="s">
        <v>30</v>
      </c>
      <c r="E409" s="20" t="s">
        <v>20</v>
      </c>
      <c r="F409" s="127">
        <v>216</v>
      </c>
      <c r="G409" s="21">
        <v>65</v>
      </c>
      <c r="H409" s="21">
        <v>70</v>
      </c>
      <c r="I409" s="128" t="s">
        <v>3649</v>
      </c>
      <c r="J409" s="127">
        <v>216</v>
      </c>
      <c r="K409" s="108">
        <v>67.5</v>
      </c>
      <c r="L409" s="49" t="s">
        <v>3709</v>
      </c>
      <c r="M409" s="22">
        <v>356</v>
      </c>
    </row>
    <row r="410" spans="1:13" ht="15.75" customHeight="1">
      <c r="A410" s="23">
        <v>26</v>
      </c>
      <c r="B410" s="122" t="s">
        <v>3629</v>
      </c>
      <c r="C410" s="24" t="s">
        <v>2322</v>
      </c>
      <c r="D410" s="24" t="s">
        <v>75</v>
      </c>
      <c r="E410" s="24" t="s">
        <v>87</v>
      </c>
      <c r="F410" s="25"/>
      <c r="G410" s="127">
        <v>30</v>
      </c>
      <c r="H410" s="25">
        <v>20</v>
      </c>
      <c r="I410" s="128" t="s">
        <v>3655</v>
      </c>
      <c r="J410" s="127">
        <v>30</v>
      </c>
      <c r="K410" s="112">
        <v>10</v>
      </c>
      <c r="L410" s="49" t="s">
        <v>3711</v>
      </c>
      <c r="M410" s="22">
        <v>50</v>
      </c>
    </row>
    <row r="411" spans="1:13" ht="15.75" customHeight="1">
      <c r="A411" s="19">
        <v>27</v>
      </c>
      <c r="B411" s="122" t="s">
        <v>3629</v>
      </c>
      <c r="C411" s="20" t="s">
        <v>2323</v>
      </c>
      <c r="D411" s="20" t="s">
        <v>75</v>
      </c>
      <c r="E411" s="20" t="s">
        <v>53</v>
      </c>
      <c r="F411" s="21"/>
      <c r="G411" s="21">
        <v>10</v>
      </c>
      <c r="H411" s="127">
        <v>15</v>
      </c>
      <c r="I411" s="128" t="s">
        <v>3651</v>
      </c>
      <c r="J411" s="127">
        <v>15</v>
      </c>
      <c r="K411" s="108">
        <v>5</v>
      </c>
      <c r="L411" s="49" t="s">
        <v>3711</v>
      </c>
      <c r="M411" s="22">
        <v>25</v>
      </c>
    </row>
    <row r="413" spans="1:13" ht="19.5" customHeight="1">
      <c r="A413" s="148" t="s">
        <v>3783</v>
      </c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</row>
    <row r="414" spans="1:13" ht="15.75" customHeight="1">
      <c r="A414" s="23">
        <v>1</v>
      </c>
      <c r="B414" s="123" t="s">
        <v>3630</v>
      </c>
      <c r="C414" s="24" t="s">
        <v>1432</v>
      </c>
      <c r="D414" s="24" t="s">
        <v>1433</v>
      </c>
      <c r="E414" s="24" t="s">
        <v>284</v>
      </c>
      <c r="F414" s="127">
        <v>481</v>
      </c>
      <c r="G414" s="25">
        <v>12</v>
      </c>
      <c r="H414" s="25"/>
      <c r="I414" s="128" t="s">
        <v>3649</v>
      </c>
      <c r="J414" s="127">
        <v>481</v>
      </c>
      <c r="K414" s="112">
        <v>6</v>
      </c>
      <c r="L414" s="49" t="s">
        <v>3784</v>
      </c>
      <c r="M414" s="22">
        <v>493</v>
      </c>
    </row>
    <row r="415" spans="1:13" ht="15.75" customHeight="1">
      <c r="A415" s="19">
        <v>2</v>
      </c>
      <c r="B415" s="123" t="s">
        <v>3630</v>
      </c>
      <c r="C415" s="20" t="s">
        <v>1394</v>
      </c>
      <c r="D415" s="20" t="s">
        <v>1395</v>
      </c>
      <c r="E415" s="20" t="s">
        <v>1396</v>
      </c>
      <c r="F415" s="127">
        <v>39</v>
      </c>
      <c r="G415" s="21">
        <v>1</v>
      </c>
      <c r="H415" s="21"/>
      <c r="I415" s="128" t="s">
        <v>3649</v>
      </c>
      <c r="J415" s="127">
        <v>39</v>
      </c>
      <c r="K415" s="108">
        <v>0.5</v>
      </c>
      <c r="L415" s="49" t="s">
        <v>3785</v>
      </c>
      <c r="M415" s="22">
        <v>40</v>
      </c>
    </row>
    <row r="416" spans="1:13" ht="15.75" customHeight="1">
      <c r="A416" s="23">
        <v>3</v>
      </c>
      <c r="B416" s="123" t="s">
        <v>3630</v>
      </c>
      <c r="C416" s="24" t="s">
        <v>1443</v>
      </c>
      <c r="D416" s="24" t="s">
        <v>1444</v>
      </c>
      <c r="E416" s="24" t="s">
        <v>284</v>
      </c>
      <c r="F416" s="25">
        <v>4</v>
      </c>
      <c r="G416" s="25"/>
      <c r="H416" s="127">
        <v>45</v>
      </c>
      <c r="I416" s="128" t="s">
        <v>3651</v>
      </c>
      <c r="J416" s="127">
        <v>45</v>
      </c>
      <c r="K416" s="112">
        <v>2</v>
      </c>
      <c r="L416" s="49" t="s">
        <v>3786</v>
      </c>
      <c r="M416" s="22">
        <v>49</v>
      </c>
    </row>
    <row r="417" spans="1:13" ht="15.75" customHeight="1">
      <c r="A417" s="19">
        <v>4</v>
      </c>
      <c r="B417" s="123" t="s">
        <v>3630</v>
      </c>
      <c r="C417" s="20" t="s">
        <v>1426</v>
      </c>
      <c r="D417" s="20" t="s">
        <v>1406</v>
      </c>
      <c r="E417" s="20" t="s">
        <v>1425</v>
      </c>
      <c r="F417" s="21">
        <v>10</v>
      </c>
      <c r="G417" s="127">
        <v>175</v>
      </c>
      <c r="H417" s="21">
        <v>7</v>
      </c>
      <c r="I417" s="128" t="s">
        <v>3655</v>
      </c>
      <c r="J417" s="127">
        <v>175</v>
      </c>
      <c r="K417" s="108">
        <v>8.5</v>
      </c>
      <c r="L417" s="49" t="s">
        <v>3787</v>
      </c>
      <c r="M417" s="22">
        <v>192</v>
      </c>
    </row>
    <row r="418" spans="1:13" ht="15.75" customHeight="1">
      <c r="A418" s="23">
        <v>5</v>
      </c>
      <c r="B418" s="123" t="s">
        <v>3630</v>
      </c>
      <c r="C418" s="24" t="s">
        <v>2766</v>
      </c>
      <c r="D418" s="24" t="s">
        <v>2767</v>
      </c>
      <c r="E418" s="24" t="s">
        <v>2768</v>
      </c>
      <c r="F418" s="25"/>
      <c r="G418" s="127">
        <v>392</v>
      </c>
      <c r="H418" s="25">
        <v>39</v>
      </c>
      <c r="I418" s="128" t="s">
        <v>3655</v>
      </c>
      <c r="J418" s="127">
        <v>392</v>
      </c>
      <c r="K418" s="112">
        <v>19.5</v>
      </c>
      <c r="L418" s="49" t="s">
        <v>3788</v>
      </c>
      <c r="M418" s="22">
        <v>431</v>
      </c>
    </row>
    <row r="419" spans="1:13" ht="15.75" customHeight="1">
      <c r="A419" s="19">
        <v>6</v>
      </c>
      <c r="B419" s="123" t="s">
        <v>3630</v>
      </c>
      <c r="C419" s="20" t="s">
        <v>2780</v>
      </c>
      <c r="D419" s="20" t="s">
        <v>2781</v>
      </c>
      <c r="E419" s="20" t="s">
        <v>1411</v>
      </c>
      <c r="F419" s="21"/>
      <c r="G419" s="21">
        <v>80</v>
      </c>
      <c r="H419" s="127">
        <v>242</v>
      </c>
      <c r="I419" s="128" t="s">
        <v>3651</v>
      </c>
      <c r="J419" s="127">
        <v>242</v>
      </c>
      <c r="K419" s="108">
        <v>40</v>
      </c>
      <c r="L419" s="49" t="s">
        <v>3689</v>
      </c>
      <c r="M419" s="22">
        <v>322</v>
      </c>
    </row>
    <row r="420" spans="1:13" ht="15.75" customHeight="1">
      <c r="A420" s="23">
        <v>7</v>
      </c>
      <c r="B420" s="123" t="s">
        <v>3630</v>
      </c>
      <c r="C420" s="24" t="s">
        <v>1450</v>
      </c>
      <c r="D420" s="24" t="s">
        <v>1451</v>
      </c>
      <c r="E420" s="24" t="s">
        <v>1447</v>
      </c>
      <c r="F420" s="127">
        <v>140</v>
      </c>
      <c r="G420" s="25">
        <v>50</v>
      </c>
      <c r="H420" s="25"/>
      <c r="I420" s="128" t="s">
        <v>3649</v>
      </c>
      <c r="J420" s="127">
        <v>140</v>
      </c>
      <c r="K420" s="112">
        <v>25</v>
      </c>
      <c r="L420" s="49" t="s">
        <v>3691</v>
      </c>
      <c r="M420" s="22">
        <v>190</v>
      </c>
    </row>
    <row r="421" spans="1:13" ht="15.75" customHeight="1">
      <c r="A421" s="19">
        <v>8</v>
      </c>
      <c r="B421" s="123" t="s">
        <v>3630</v>
      </c>
      <c r="C421" s="20" t="s">
        <v>1409</v>
      </c>
      <c r="D421" s="20" t="s">
        <v>1410</v>
      </c>
      <c r="E421" s="20" t="s">
        <v>1411</v>
      </c>
      <c r="F421" s="127">
        <v>404</v>
      </c>
      <c r="G421" s="21">
        <v>11</v>
      </c>
      <c r="H421" s="21">
        <v>158</v>
      </c>
      <c r="I421" s="128" t="s">
        <v>3649</v>
      </c>
      <c r="J421" s="127">
        <v>404</v>
      </c>
      <c r="K421" s="108">
        <v>84.5</v>
      </c>
      <c r="L421" s="49" t="s">
        <v>3771</v>
      </c>
      <c r="M421" s="22">
        <v>573</v>
      </c>
    </row>
    <row r="422" spans="1:13" ht="15.75" customHeight="1">
      <c r="A422" s="23">
        <v>9</v>
      </c>
      <c r="B422" s="123" t="s">
        <v>3630</v>
      </c>
      <c r="C422" s="24" t="s">
        <v>1434</v>
      </c>
      <c r="D422" s="24" t="s">
        <v>1402</v>
      </c>
      <c r="E422" s="24" t="s">
        <v>1425</v>
      </c>
      <c r="F422" s="127">
        <v>97</v>
      </c>
      <c r="G422" s="25">
        <v>11</v>
      </c>
      <c r="H422" s="25">
        <v>30</v>
      </c>
      <c r="I422" s="128" t="s">
        <v>3649</v>
      </c>
      <c r="J422" s="127">
        <v>97</v>
      </c>
      <c r="K422" s="112">
        <v>20.5</v>
      </c>
      <c r="L422" s="49" t="s">
        <v>3696</v>
      </c>
      <c r="M422" s="22">
        <v>138</v>
      </c>
    </row>
    <row r="423" spans="1:13" ht="15.75" customHeight="1">
      <c r="A423" s="19">
        <v>10</v>
      </c>
      <c r="B423" s="123" t="s">
        <v>3630</v>
      </c>
      <c r="C423" s="20" t="s">
        <v>1414</v>
      </c>
      <c r="D423" s="20" t="s">
        <v>1415</v>
      </c>
      <c r="E423" s="20" t="s">
        <v>1396</v>
      </c>
      <c r="F423" s="127">
        <v>3033</v>
      </c>
      <c r="G423" s="21">
        <v>484</v>
      </c>
      <c r="H423" s="21">
        <v>986</v>
      </c>
      <c r="I423" s="128" t="s">
        <v>3649</v>
      </c>
      <c r="J423" s="127">
        <v>3033</v>
      </c>
      <c r="K423" s="108">
        <v>735</v>
      </c>
      <c r="L423" s="49" t="s">
        <v>3701</v>
      </c>
      <c r="M423" s="22">
        <v>4614</v>
      </c>
    </row>
    <row r="424" spans="1:13" ht="15.75" customHeight="1">
      <c r="A424" s="23">
        <v>11</v>
      </c>
      <c r="B424" s="123" t="s">
        <v>3630</v>
      </c>
      <c r="C424" s="24" t="s">
        <v>1448</v>
      </c>
      <c r="D424" s="24" t="s">
        <v>1449</v>
      </c>
      <c r="E424" s="24" t="s">
        <v>1447</v>
      </c>
      <c r="F424" s="127">
        <v>202</v>
      </c>
      <c r="G424" s="25">
        <v>77</v>
      </c>
      <c r="H424" s="25">
        <v>50</v>
      </c>
      <c r="I424" s="128" t="s">
        <v>3649</v>
      </c>
      <c r="J424" s="127">
        <v>202</v>
      </c>
      <c r="K424" s="112">
        <v>63.5</v>
      </c>
      <c r="L424" s="49" t="s">
        <v>3709</v>
      </c>
      <c r="M424" s="22">
        <v>329</v>
      </c>
    </row>
    <row r="426" spans="1:13" ht="19.5" customHeight="1">
      <c r="A426" s="149" t="s">
        <v>3789</v>
      </c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</row>
    <row r="427" spans="1:13" ht="15.75" customHeight="1">
      <c r="A427" s="19">
        <v>1</v>
      </c>
      <c r="B427" s="124" t="s">
        <v>3633</v>
      </c>
      <c r="C427" s="20" t="s">
        <v>111</v>
      </c>
      <c r="D427" s="20" t="s">
        <v>80</v>
      </c>
      <c r="E427" s="20" t="s">
        <v>100</v>
      </c>
      <c r="F427" s="127">
        <v>120</v>
      </c>
      <c r="G427" s="21">
        <v>10</v>
      </c>
      <c r="H427" s="21"/>
      <c r="I427" s="128" t="s">
        <v>3649</v>
      </c>
      <c r="J427" s="127">
        <v>120</v>
      </c>
      <c r="K427" s="108">
        <v>5</v>
      </c>
      <c r="L427" s="49" t="s">
        <v>3662</v>
      </c>
      <c r="M427" s="22">
        <v>130</v>
      </c>
    </row>
    <row r="428" spans="1:13" ht="15.75" customHeight="1">
      <c r="A428" s="23">
        <v>2</v>
      </c>
      <c r="B428" s="124" t="s">
        <v>3633</v>
      </c>
      <c r="C428" s="24" t="s">
        <v>112</v>
      </c>
      <c r="D428" s="24" t="s">
        <v>113</v>
      </c>
      <c r="E428" s="24" t="s">
        <v>100</v>
      </c>
      <c r="F428" s="127">
        <v>29</v>
      </c>
      <c r="G428" s="25">
        <v>4</v>
      </c>
      <c r="H428" s="25"/>
      <c r="I428" s="128" t="s">
        <v>3649</v>
      </c>
      <c r="J428" s="127">
        <v>29</v>
      </c>
      <c r="K428" s="112">
        <v>2</v>
      </c>
      <c r="L428" s="49" t="s">
        <v>3776</v>
      </c>
      <c r="M428" s="22">
        <v>33</v>
      </c>
    </row>
    <row r="429" spans="1:13" ht="15.75" customHeight="1">
      <c r="A429" s="19">
        <v>3</v>
      </c>
      <c r="B429" s="124" t="s">
        <v>3633</v>
      </c>
      <c r="C429" s="20" t="s">
        <v>94</v>
      </c>
      <c r="D429" s="20" t="s">
        <v>95</v>
      </c>
      <c r="E429" s="20" t="s">
        <v>90</v>
      </c>
      <c r="F429" s="127">
        <v>407</v>
      </c>
      <c r="G429" s="21">
        <v>47</v>
      </c>
      <c r="H429" s="21">
        <v>10</v>
      </c>
      <c r="I429" s="128" t="s">
        <v>3649</v>
      </c>
      <c r="J429" s="127">
        <v>407</v>
      </c>
      <c r="K429" s="108">
        <v>28.5</v>
      </c>
      <c r="L429" s="49" t="s">
        <v>3790</v>
      </c>
      <c r="M429" s="22">
        <v>464</v>
      </c>
    </row>
    <row r="430" spans="1:13" ht="15.75" customHeight="1">
      <c r="A430" s="23">
        <v>4</v>
      </c>
      <c r="B430" s="124" t="s">
        <v>3633</v>
      </c>
      <c r="C430" s="24" t="s">
        <v>98</v>
      </c>
      <c r="D430" s="24" t="s">
        <v>99</v>
      </c>
      <c r="E430" s="24" t="s">
        <v>100</v>
      </c>
      <c r="F430" s="127">
        <v>17</v>
      </c>
      <c r="G430" s="25"/>
      <c r="H430" s="25">
        <v>3</v>
      </c>
      <c r="I430" s="128" t="s">
        <v>3649</v>
      </c>
      <c r="J430" s="127">
        <v>17</v>
      </c>
      <c r="K430" s="112">
        <v>1.5</v>
      </c>
      <c r="L430" s="49" t="s">
        <v>3791</v>
      </c>
      <c r="M430" s="22">
        <v>20</v>
      </c>
    </row>
    <row r="431" spans="1:13" ht="15.75" customHeight="1">
      <c r="A431" s="19">
        <v>5</v>
      </c>
      <c r="B431" s="124" t="s">
        <v>3633</v>
      </c>
      <c r="C431" s="20" t="s">
        <v>79</v>
      </c>
      <c r="D431" s="20" t="s">
        <v>80</v>
      </c>
      <c r="E431" s="20" t="s">
        <v>78</v>
      </c>
      <c r="F431" s="127">
        <v>5</v>
      </c>
      <c r="G431" s="21"/>
      <c r="H431" s="21">
        <v>1</v>
      </c>
      <c r="I431" s="128" t="s">
        <v>3649</v>
      </c>
      <c r="J431" s="127">
        <v>5</v>
      </c>
      <c r="K431" s="108">
        <v>0.5</v>
      </c>
      <c r="L431" s="49" t="s">
        <v>3676</v>
      </c>
      <c r="M431" s="22">
        <v>16</v>
      </c>
    </row>
    <row r="432" spans="1:13" ht="15.75" customHeight="1">
      <c r="A432" s="23">
        <v>6</v>
      </c>
      <c r="B432" s="124" t="s">
        <v>3633</v>
      </c>
      <c r="C432" s="24" t="s">
        <v>96</v>
      </c>
      <c r="D432" s="24" t="s">
        <v>97</v>
      </c>
      <c r="E432" s="24" t="s">
        <v>90</v>
      </c>
      <c r="F432" s="127">
        <v>5</v>
      </c>
      <c r="G432" s="25">
        <v>1</v>
      </c>
      <c r="H432" s="25"/>
      <c r="I432" s="128" t="s">
        <v>3649</v>
      </c>
      <c r="J432" s="127">
        <v>5</v>
      </c>
      <c r="K432" s="112">
        <v>0.5</v>
      </c>
      <c r="L432" s="49" t="s">
        <v>3676</v>
      </c>
      <c r="M432" s="22">
        <v>6</v>
      </c>
    </row>
    <row r="433" spans="1:13" ht="15.75" customHeight="1">
      <c r="A433" s="19">
        <v>7</v>
      </c>
      <c r="B433" s="124" t="s">
        <v>3633</v>
      </c>
      <c r="C433" s="20" t="s">
        <v>2363</v>
      </c>
      <c r="D433" s="20" t="s">
        <v>77</v>
      </c>
      <c r="E433" s="20" t="s">
        <v>2332</v>
      </c>
      <c r="F433" s="21"/>
      <c r="G433" s="21">
        <v>50</v>
      </c>
      <c r="H433" s="127">
        <v>250</v>
      </c>
      <c r="I433" s="128" t="s">
        <v>3651</v>
      </c>
      <c r="J433" s="127">
        <v>250</v>
      </c>
      <c r="K433" s="108">
        <v>25</v>
      </c>
      <c r="L433" s="49" t="s">
        <v>3676</v>
      </c>
      <c r="M433" s="22">
        <v>300</v>
      </c>
    </row>
    <row r="434" spans="1:13" ht="15.75" customHeight="1">
      <c r="A434" s="23">
        <v>8</v>
      </c>
      <c r="B434" s="124" t="s">
        <v>3633</v>
      </c>
      <c r="C434" s="24" t="s">
        <v>92</v>
      </c>
      <c r="D434" s="24" t="s">
        <v>93</v>
      </c>
      <c r="E434" s="24" t="s">
        <v>90</v>
      </c>
      <c r="F434" s="127">
        <v>251</v>
      </c>
      <c r="G434" s="25">
        <v>69</v>
      </c>
      <c r="H434" s="25"/>
      <c r="I434" s="128" t="s">
        <v>3649</v>
      </c>
      <c r="J434" s="127">
        <v>251</v>
      </c>
      <c r="K434" s="112">
        <v>34.5</v>
      </c>
      <c r="L434" s="49" t="s">
        <v>3682</v>
      </c>
      <c r="M434" s="22">
        <v>320</v>
      </c>
    </row>
    <row r="435" spans="1:13" ht="15.75" customHeight="1">
      <c r="A435" s="19">
        <v>9</v>
      </c>
      <c r="B435" s="124" t="s">
        <v>3633</v>
      </c>
      <c r="C435" s="20" t="s">
        <v>131</v>
      </c>
      <c r="D435" s="20" t="s">
        <v>97</v>
      </c>
      <c r="E435" s="20" t="s">
        <v>128</v>
      </c>
      <c r="F435" s="127">
        <v>100</v>
      </c>
      <c r="G435" s="21"/>
      <c r="H435" s="21">
        <v>30</v>
      </c>
      <c r="I435" s="128" t="s">
        <v>3649</v>
      </c>
      <c r="J435" s="127">
        <v>100</v>
      </c>
      <c r="K435" s="108">
        <v>15</v>
      </c>
      <c r="L435" s="49" t="s">
        <v>3685</v>
      </c>
      <c r="M435" s="22">
        <v>130</v>
      </c>
    </row>
    <row r="436" spans="1:13" ht="15.75" customHeight="1">
      <c r="A436" s="23">
        <v>10</v>
      </c>
      <c r="B436" s="124" t="s">
        <v>3633</v>
      </c>
      <c r="C436" s="24" t="s">
        <v>88</v>
      </c>
      <c r="D436" s="24" t="s">
        <v>89</v>
      </c>
      <c r="E436" s="24" t="s">
        <v>90</v>
      </c>
      <c r="F436" s="25">
        <v>30</v>
      </c>
      <c r="G436" s="127">
        <v>100</v>
      </c>
      <c r="H436" s="25"/>
      <c r="I436" s="128" t="s">
        <v>3655</v>
      </c>
      <c r="J436" s="127">
        <v>100</v>
      </c>
      <c r="K436" s="112">
        <v>15</v>
      </c>
      <c r="L436" s="49" t="s">
        <v>3685</v>
      </c>
      <c r="M436" s="22">
        <v>130</v>
      </c>
    </row>
    <row r="437" spans="1:13" ht="15.75" customHeight="1">
      <c r="A437" s="19">
        <v>11</v>
      </c>
      <c r="B437" s="124" t="s">
        <v>3633</v>
      </c>
      <c r="C437" s="20" t="s">
        <v>109</v>
      </c>
      <c r="D437" s="20" t="s">
        <v>110</v>
      </c>
      <c r="E437" s="20" t="s">
        <v>100</v>
      </c>
      <c r="F437" s="127">
        <v>200</v>
      </c>
      <c r="G437" s="21">
        <v>70</v>
      </c>
      <c r="H437" s="21"/>
      <c r="I437" s="128" t="s">
        <v>3649</v>
      </c>
      <c r="J437" s="127">
        <v>200</v>
      </c>
      <c r="K437" s="108">
        <v>35</v>
      </c>
      <c r="L437" s="49" t="s">
        <v>3736</v>
      </c>
      <c r="M437" s="22">
        <v>270</v>
      </c>
    </row>
    <row r="438" spans="1:13" ht="15.75" customHeight="1">
      <c r="A438" s="23">
        <v>12</v>
      </c>
      <c r="B438" s="124" t="s">
        <v>3633</v>
      </c>
      <c r="C438" s="24" t="s">
        <v>107</v>
      </c>
      <c r="D438" s="24" t="s">
        <v>108</v>
      </c>
      <c r="E438" s="24" t="s">
        <v>100</v>
      </c>
      <c r="F438" s="127">
        <v>260</v>
      </c>
      <c r="G438" s="25">
        <v>80</v>
      </c>
      <c r="H438" s="25">
        <v>12</v>
      </c>
      <c r="I438" s="128" t="s">
        <v>3649</v>
      </c>
      <c r="J438" s="127">
        <v>260</v>
      </c>
      <c r="K438" s="112">
        <v>46</v>
      </c>
      <c r="L438" s="49" t="s">
        <v>3736</v>
      </c>
      <c r="M438" s="22">
        <v>352</v>
      </c>
    </row>
    <row r="439" spans="1:13" ht="15.75" customHeight="1">
      <c r="A439" s="19">
        <v>13</v>
      </c>
      <c r="B439" s="124" t="s">
        <v>3633</v>
      </c>
      <c r="C439" s="20" t="s">
        <v>91</v>
      </c>
      <c r="D439" s="20" t="s">
        <v>77</v>
      </c>
      <c r="E439" s="20" t="s">
        <v>90</v>
      </c>
      <c r="F439" s="127">
        <v>246</v>
      </c>
      <c r="G439" s="21">
        <v>81</v>
      </c>
      <c r="H439" s="21">
        <v>22</v>
      </c>
      <c r="I439" s="128" t="s">
        <v>3649</v>
      </c>
      <c r="J439" s="127">
        <v>246</v>
      </c>
      <c r="K439" s="108">
        <v>51.5</v>
      </c>
      <c r="L439" s="49" t="s">
        <v>3771</v>
      </c>
      <c r="M439" s="22">
        <v>349</v>
      </c>
    </row>
    <row r="440" spans="1:13" ht="15.75" customHeight="1">
      <c r="A440" s="23">
        <v>14</v>
      </c>
      <c r="B440" s="124" t="s">
        <v>3633</v>
      </c>
      <c r="C440" s="24" t="s">
        <v>101</v>
      </c>
      <c r="D440" s="24" t="s">
        <v>84</v>
      </c>
      <c r="E440" s="24" t="s">
        <v>90</v>
      </c>
      <c r="F440" s="127">
        <v>170</v>
      </c>
      <c r="G440" s="25">
        <v>80</v>
      </c>
      <c r="H440" s="25"/>
      <c r="I440" s="128" t="s">
        <v>3649</v>
      </c>
      <c r="J440" s="127">
        <v>170</v>
      </c>
      <c r="K440" s="112">
        <v>40</v>
      </c>
      <c r="L440" s="49" t="s">
        <v>3700</v>
      </c>
      <c r="M440" s="22">
        <v>250</v>
      </c>
    </row>
    <row r="441" spans="1:13" ht="15.75" customHeight="1">
      <c r="A441" s="19">
        <v>15</v>
      </c>
      <c r="B441" s="124" t="s">
        <v>3633</v>
      </c>
      <c r="C441" s="20" t="s">
        <v>76</v>
      </c>
      <c r="D441" s="20" t="s">
        <v>77</v>
      </c>
      <c r="E441" s="20" t="s">
        <v>78</v>
      </c>
      <c r="F441" s="21">
        <v>100</v>
      </c>
      <c r="G441" s="127">
        <v>200</v>
      </c>
      <c r="H441" s="21"/>
      <c r="I441" s="128" t="s">
        <v>3655</v>
      </c>
      <c r="J441" s="127">
        <v>200</v>
      </c>
      <c r="K441" s="108">
        <v>50</v>
      </c>
      <c r="L441" s="49" t="s">
        <v>3702</v>
      </c>
      <c r="M441" s="22">
        <v>300</v>
      </c>
    </row>
    <row r="442" spans="1:13" ht="15.75" customHeight="1">
      <c r="A442" s="23">
        <v>16</v>
      </c>
      <c r="B442" s="124" t="s">
        <v>3633</v>
      </c>
      <c r="C442" s="24" t="s">
        <v>2352</v>
      </c>
      <c r="D442" s="24" t="s">
        <v>84</v>
      </c>
      <c r="E442" s="24" t="s">
        <v>128</v>
      </c>
      <c r="F442" s="25"/>
      <c r="G442" s="25">
        <v>50</v>
      </c>
      <c r="H442" s="127">
        <v>100</v>
      </c>
      <c r="I442" s="128" t="s">
        <v>3651</v>
      </c>
      <c r="J442" s="127">
        <v>100</v>
      </c>
      <c r="K442" s="112">
        <v>25</v>
      </c>
      <c r="L442" s="49" t="s">
        <v>3702</v>
      </c>
      <c r="M442" s="22">
        <v>150</v>
      </c>
    </row>
    <row r="443" spans="1:13" ht="15.75" customHeight="1">
      <c r="A443" s="19">
        <v>17</v>
      </c>
      <c r="B443" s="124" t="s">
        <v>3633</v>
      </c>
      <c r="C443" s="20" t="s">
        <v>2331</v>
      </c>
      <c r="D443" s="20" t="s">
        <v>93</v>
      </c>
      <c r="E443" s="20" t="s">
        <v>2332</v>
      </c>
      <c r="F443" s="21"/>
      <c r="G443" s="21">
        <v>100</v>
      </c>
      <c r="H443" s="127">
        <v>150</v>
      </c>
      <c r="I443" s="128" t="s">
        <v>3651</v>
      </c>
      <c r="J443" s="127">
        <v>150</v>
      </c>
      <c r="K443" s="108">
        <v>50</v>
      </c>
      <c r="L443" s="49" t="s">
        <v>3711</v>
      </c>
      <c r="M443" s="22">
        <v>250</v>
      </c>
    </row>
  </sheetData>
  <autoFilter ref="A3:M3" xr:uid="{00000000-0009-0000-0000-00000B000000}"/>
  <mergeCells count="10">
    <mergeCell ref="A219:M219"/>
    <mergeCell ref="A368:M368"/>
    <mergeCell ref="A384:M384"/>
    <mergeCell ref="A413:M413"/>
    <mergeCell ref="A426:M426"/>
    <mergeCell ref="A1:M1"/>
    <mergeCell ref="A2:M2"/>
    <mergeCell ref="A4:M4"/>
    <mergeCell ref="A125:M125"/>
    <mergeCell ref="A206:M206"/>
  </mergeCells>
  <phoneticPr fontId="3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M317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/>
  <cols>
    <col min="1" max="1" width="5" customWidth="1"/>
    <col min="2" max="2" width="18" customWidth="1"/>
    <col min="3" max="3" width="16" customWidth="1"/>
    <col min="4" max="4" width="38" customWidth="1"/>
    <col min="5" max="5" width="22" customWidth="1"/>
    <col min="6" max="8" width="11" customWidth="1"/>
    <col min="9" max="9" width="10" customWidth="1"/>
    <col min="10" max="10" width="12" customWidth="1"/>
    <col min="11" max="11" width="11" customWidth="1"/>
    <col min="12" max="12" width="10" customWidth="1"/>
    <col min="13" max="13" width="12" customWidth="1"/>
  </cols>
  <sheetData>
    <row r="1" spans="1:13" ht="25.5" customHeight="1">
      <c r="A1" s="150" t="s">
        <v>3792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13" ht="18" customHeight="1">
      <c r="A2" s="151" t="s">
        <v>3793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</row>
    <row r="3" spans="1:13" ht="33.75" customHeight="1">
      <c r="A3" s="129" t="s">
        <v>1</v>
      </c>
      <c r="B3" s="130" t="s">
        <v>3615</v>
      </c>
      <c r="C3" s="130" t="s">
        <v>2</v>
      </c>
      <c r="D3" s="130" t="s">
        <v>3</v>
      </c>
      <c r="E3" s="130" t="s">
        <v>4</v>
      </c>
      <c r="F3" s="129" t="s">
        <v>3547</v>
      </c>
      <c r="G3" s="129" t="s">
        <v>3548</v>
      </c>
      <c r="H3" s="129" t="s">
        <v>3549</v>
      </c>
      <c r="I3" s="130" t="s">
        <v>3794</v>
      </c>
      <c r="J3" s="130" t="s">
        <v>3645</v>
      </c>
      <c r="K3" s="130" t="s">
        <v>3646</v>
      </c>
      <c r="L3" s="130" t="s">
        <v>3795</v>
      </c>
      <c r="M3" s="129" t="s">
        <v>3587</v>
      </c>
    </row>
    <row r="4" spans="1:13" ht="19.5" customHeight="1">
      <c r="A4" s="1" t="s">
        <v>3796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customHeight="1">
      <c r="A5" s="19">
        <v>1</v>
      </c>
      <c r="B5" s="107" t="s">
        <v>3623</v>
      </c>
      <c r="C5" s="20" t="s">
        <v>1939</v>
      </c>
      <c r="D5" s="20" t="s">
        <v>362</v>
      </c>
      <c r="E5" s="20" t="s">
        <v>1940</v>
      </c>
      <c r="F5" s="21">
        <v>50</v>
      </c>
      <c r="G5" s="21">
        <v>302</v>
      </c>
      <c r="H5" s="131">
        <v>2</v>
      </c>
      <c r="I5" s="50" t="s">
        <v>3797</v>
      </c>
      <c r="J5" s="131">
        <v>2</v>
      </c>
      <c r="K5" s="108">
        <v>176</v>
      </c>
      <c r="L5" s="132" t="s">
        <v>3798</v>
      </c>
      <c r="M5" s="22">
        <v>354</v>
      </c>
    </row>
    <row r="6" spans="1:13" ht="15.75" customHeight="1">
      <c r="A6" s="23">
        <v>2</v>
      </c>
      <c r="B6" s="107" t="s">
        <v>3623</v>
      </c>
      <c r="C6" s="24" t="s">
        <v>258</v>
      </c>
      <c r="D6" s="24" t="s">
        <v>253</v>
      </c>
      <c r="E6" s="24" t="s">
        <v>259</v>
      </c>
      <c r="F6" s="25">
        <v>30</v>
      </c>
      <c r="G6" s="131">
        <v>4</v>
      </c>
      <c r="H6" s="25">
        <v>202</v>
      </c>
      <c r="I6" s="50" t="s">
        <v>3799</v>
      </c>
      <c r="J6" s="131">
        <v>4</v>
      </c>
      <c r="K6" s="112">
        <v>116</v>
      </c>
      <c r="L6" s="132" t="s">
        <v>3800</v>
      </c>
      <c r="M6" s="22">
        <v>236</v>
      </c>
    </row>
    <row r="7" spans="1:13" ht="15.75" customHeight="1">
      <c r="A7" s="19">
        <v>3</v>
      </c>
      <c r="B7" s="107" t="s">
        <v>3623</v>
      </c>
      <c r="C7" s="20" t="s">
        <v>221</v>
      </c>
      <c r="D7" s="20" t="s">
        <v>203</v>
      </c>
      <c r="E7" s="20" t="s">
        <v>222</v>
      </c>
      <c r="F7" s="131">
        <v>1</v>
      </c>
      <c r="G7" s="21">
        <v>25</v>
      </c>
      <c r="H7" s="21">
        <v>20</v>
      </c>
      <c r="I7" s="50" t="s">
        <v>3801</v>
      </c>
      <c r="J7" s="131">
        <v>1</v>
      </c>
      <c r="K7" s="108">
        <v>22.5</v>
      </c>
      <c r="L7" s="132" t="s">
        <v>3802</v>
      </c>
      <c r="M7" s="22">
        <v>46</v>
      </c>
    </row>
    <row r="8" spans="1:13" ht="15.75" customHeight="1">
      <c r="A8" s="23">
        <v>4</v>
      </c>
      <c r="B8" s="107" t="s">
        <v>3623</v>
      </c>
      <c r="C8" s="24" t="s">
        <v>1569</v>
      </c>
      <c r="D8" s="24" t="s">
        <v>194</v>
      </c>
      <c r="E8" s="24" t="s">
        <v>1570</v>
      </c>
      <c r="F8" s="25">
        <v>22</v>
      </c>
      <c r="G8" s="25">
        <v>22</v>
      </c>
      <c r="H8" s="131">
        <v>1</v>
      </c>
      <c r="I8" s="50" t="s">
        <v>3797</v>
      </c>
      <c r="J8" s="131">
        <v>1</v>
      </c>
      <c r="K8" s="112">
        <v>22</v>
      </c>
      <c r="L8" s="132" t="s">
        <v>3803</v>
      </c>
      <c r="M8" s="22">
        <v>45</v>
      </c>
    </row>
    <row r="9" spans="1:13" ht="15.75" customHeight="1">
      <c r="A9" s="19">
        <v>5</v>
      </c>
      <c r="B9" s="107" t="s">
        <v>3623</v>
      </c>
      <c r="C9" s="20" t="s">
        <v>291</v>
      </c>
      <c r="D9" s="20" t="s">
        <v>283</v>
      </c>
      <c r="E9" s="20" t="s">
        <v>24</v>
      </c>
      <c r="F9" s="21">
        <v>500</v>
      </c>
      <c r="G9" s="21">
        <v>150</v>
      </c>
      <c r="H9" s="131">
        <v>15</v>
      </c>
      <c r="I9" s="50" t="s">
        <v>3797</v>
      </c>
      <c r="J9" s="131">
        <v>15</v>
      </c>
      <c r="K9" s="108">
        <v>325</v>
      </c>
      <c r="L9" s="132" t="s">
        <v>3804</v>
      </c>
      <c r="M9" s="22">
        <v>665</v>
      </c>
    </row>
    <row r="10" spans="1:13" ht="15.75" customHeight="1">
      <c r="A10" s="23">
        <v>6</v>
      </c>
      <c r="B10" s="107" t="s">
        <v>3623</v>
      </c>
      <c r="C10" s="24" t="s">
        <v>227</v>
      </c>
      <c r="D10" s="24" t="s">
        <v>203</v>
      </c>
      <c r="E10" s="24" t="s">
        <v>45</v>
      </c>
      <c r="F10" s="25">
        <v>322</v>
      </c>
      <c r="G10" s="131">
        <v>10</v>
      </c>
      <c r="H10" s="25"/>
      <c r="I10" s="50" t="s">
        <v>3799</v>
      </c>
      <c r="J10" s="131">
        <v>10</v>
      </c>
      <c r="K10" s="112">
        <v>161</v>
      </c>
      <c r="L10" s="132" t="s">
        <v>3805</v>
      </c>
      <c r="M10" s="22">
        <v>332</v>
      </c>
    </row>
    <row r="11" spans="1:13" ht="15.75" customHeight="1">
      <c r="A11" s="19">
        <v>7</v>
      </c>
      <c r="B11" s="107" t="s">
        <v>3623</v>
      </c>
      <c r="C11" s="20" t="s">
        <v>379</v>
      </c>
      <c r="D11" s="20" t="s">
        <v>203</v>
      </c>
      <c r="E11" s="20" t="s">
        <v>380</v>
      </c>
      <c r="F11" s="21">
        <v>120</v>
      </c>
      <c r="G11" s="131">
        <v>10</v>
      </c>
      <c r="H11" s="21">
        <v>200</v>
      </c>
      <c r="I11" s="50" t="s">
        <v>3799</v>
      </c>
      <c r="J11" s="131">
        <v>10</v>
      </c>
      <c r="K11" s="108">
        <v>160</v>
      </c>
      <c r="L11" s="132" t="s">
        <v>3806</v>
      </c>
      <c r="M11" s="22">
        <v>330</v>
      </c>
    </row>
    <row r="12" spans="1:13" ht="15.75" customHeight="1">
      <c r="A12" s="23">
        <v>8</v>
      </c>
      <c r="B12" s="107" t="s">
        <v>3623</v>
      </c>
      <c r="C12" s="24" t="s">
        <v>1852</v>
      </c>
      <c r="D12" s="24" t="s">
        <v>278</v>
      </c>
      <c r="E12" s="24" t="s">
        <v>1853</v>
      </c>
      <c r="F12" s="25">
        <v>186</v>
      </c>
      <c r="G12" s="25">
        <v>78</v>
      </c>
      <c r="H12" s="131">
        <v>10</v>
      </c>
      <c r="I12" s="50" t="s">
        <v>3797</v>
      </c>
      <c r="J12" s="131">
        <v>10</v>
      </c>
      <c r="K12" s="112">
        <v>132</v>
      </c>
      <c r="L12" s="132" t="s">
        <v>3807</v>
      </c>
      <c r="M12" s="22">
        <v>374</v>
      </c>
    </row>
    <row r="13" spans="1:13" ht="15.75" customHeight="1">
      <c r="A13" s="19">
        <v>9</v>
      </c>
      <c r="B13" s="107" t="s">
        <v>3623</v>
      </c>
      <c r="C13" s="20" t="s">
        <v>2398</v>
      </c>
      <c r="D13" s="20" t="s">
        <v>203</v>
      </c>
      <c r="E13" s="20" t="s">
        <v>2399</v>
      </c>
      <c r="F13" s="21"/>
      <c r="G13" s="131">
        <v>10</v>
      </c>
      <c r="H13" s="21">
        <v>260</v>
      </c>
      <c r="I13" s="50" t="s">
        <v>3799</v>
      </c>
      <c r="J13" s="131">
        <v>10</v>
      </c>
      <c r="K13" s="108">
        <v>130</v>
      </c>
      <c r="L13" s="132" t="s">
        <v>3808</v>
      </c>
      <c r="M13" s="22">
        <v>270</v>
      </c>
    </row>
    <row r="14" spans="1:13" ht="15.75" customHeight="1">
      <c r="A14" s="23">
        <v>10</v>
      </c>
      <c r="B14" s="107" t="s">
        <v>3623</v>
      </c>
      <c r="C14" s="24" t="s">
        <v>1567</v>
      </c>
      <c r="D14" s="24" t="s">
        <v>244</v>
      </c>
      <c r="E14" s="24" t="s">
        <v>1568</v>
      </c>
      <c r="F14" s="25">
        <v>50</v>
      </c>
      <c r="G14" s="131">
        <v>2</v>
      </c>
      <c r="H14" s="25"/>
      <c r="I14" s="50" t="s">
        <v>3799</v>
      </c>
      <c r="J14" s="131">
        <v>2</v>
      </c>
      <c r="K14" s="112">
        <v>25</v>
      </c>
      <c r="L14" s="132" t="s">
        <v>3809</v>
      </c>
      <c r="M14" s="22">
        <v>52</v>
      </c>
    </row>
    <row r="15" spans="1:13" ht="15.75" customHeight="1">
      <c r="A15" s="19">
        <v>11</v>
      </c>
      <c r="B15" s="107" t="s">
        <v>3623</v>
      </c>
      <c r="C15" s="20" t="s">
        <v>348</v>
      </c>
      <c r="D15" s="20" t="s">
        <v>203</v>
      </c>
      <c r="E15" s="20" t="s">
        <v>349</v>
      </c>
      <c r="F15" s="21">
        <v>190</v>
      </c>
      <c r="G15" s="131">
        <v>50</v>
      </c>
      <c r="H15" s="21">
        <v>970</v>
      </c>
      <c r="I15" s="50" t="s">
        <v>3799</v>
      </c>
      <c r="J15" s="131">
        <v>50</v>
      </c>
      <c r="K15" s="108">
        <v>580</v>
      </c>
      <c r="L15" s="132" t="s">
        <v>3810</v>
      </c>
      <c r="M15" s="22">
        <v>1210</v>
      </c>
    </row>
    <row r="16" spans="1:13" ht="15.75" customHeight="1">
      <c r="A16" s="23">
        <v>12</v>
      </c>
      <c r="B16" s="107" t="s">
        <v>3623</v>
      </c>
      <c r="C16" s="24" t="s">
        <v>1513</v>
      </c>
      <c r="D16" s="24" t="s">
        <v>169</v>
      </c>
      <c r="E16" s="24" t="s">
        <v>190</v>
      </c>
      <c r="F16" s="25">
        <v>22</v>
      </c>
      <c r="G16" s="131">
        <v>1</v>
      </c>
      <c r="H16" s="25"/>
      <c r="I16" s="50" t="s">
        <v>3799</v>
      </c>
      <c r="J16" s="131">
        <v>1</v>
      </c>
      <c r="K16" s="112">
        <v>11</v>
      </c>
      <c r="L16" s="132" t="s">
        <v>3811</v>
      </c>
      <c r="M16" s="22">
        <v>23</v>
      </c>
    </row>
    <row r="17" spans="1:13" ht="15.75" customHeight="1">
      <c r="A17" s="19">
        <v>13</v>
      </c>
      <c r="B17" s="107" t="s">
        <v>3623</v>
      </c>
      <c r="C17" s="20" t="s">
        <v>1899</v>
      </c>
      <c r="D17" s="20" t="s">
        <v>362</v>
      </c>
      <c r="E17" s="20" t="s">
        <v>1900</v>
      </c>
      <c r="F17" s="131">
        <v>30</v>
      </c>
      <c r="G17" s="21">
        <v>506</v>
      </c>
      <c r="H17" s="21">
        <v>145</v>
      </c>
      <c r="I17" s="50" t="s">
        <v>3801</v>
      </c>
      <c r="J17" s="131">
        <v>30</v>
      </c>
      <c r="K17" s="108">
        <v>325.5</v>
      </c>
      <c r="L17" s="132" t="s">
        <v>3812</v>
      </c>
      <c r="M17" s="22">
        <v>706</v>
      </c>
    </row>
    <row r="18" spans="1:13" ht="15.75" customHeight="1">
      <c r="A18" s="23">
        <v>14</v>
      </c>
      <c r="B18" s="107" t="s">
        <v>3623</v>
      </c>
      <c r="C18" s="24" t="s">
        <v>387</v>
      </c>
      <c r="D18" s="24" t="s">
        <v>169</v>
      </c>
      <c r="E18" s="24" t="s">
        <v>240</v>
      </c>
      <c r="F18" s="25">
        <v>130</v>
      </c>
      <c r="G18" s="25">
        <v>70</v>
      </c>
      <c r="H18" s="131">
        <v>10</v>
      </c>
      <c r="I18" s="50" t="s">
        <v>3797</v>
      </c>
      <c r="J18" s="131">
        <v>10</v>
      </c>
      <c r="K18" s="112">
        <v>100</v>
      </c>
      <c r="L18" s="132" t="s">
        <v>3813</v>
      </c>
      <c r="M18" s="22">
        <v>220</v>
      </c>
    </row>
    <row r="19" spans="1:13" ht="15.75" customHeight="1">
      <c r="A19" s="19">
        <v>15</v>
      </c>
      <c r="B19" s="107" t="s">
        <v>3623</v>
      </c>
      <c r="C19" s="20" t="s">
        <v>434</v>
      </c>
      <c r="D19" s="20" t="s">
        <v>206</v>
      </c>
      <c r="E19" s="20" t="s">
        <v>435</v>
      </c>
      <c r="F19" s="131">
        <v>1</v>
      </c>
      <c r="G19" s="21">
        <v>20</v>
      </c>
      <c r="H19" s="21"/>
      <c r="I19" s="50" t="s">
        <v>3801</v>
      </c>
      <c r="J19" s="131">
        <v>1</v>
      </c>
      <c r="K19" s="108">
        <v>10</v>
      </c>
      <c r="L19" s="132" t="s">
        <v>3813</v>
      </c>
      <c r="M19" s="22">
        <v>21</v>
      </c>
    </row>
    <row r="20" spans="1:13" ht="15.75" customHeight="1">
      <c r="A20" s="23">
        <v>16</v>
      </c>
      <c r="B20" s="107" t="s">
        <v>3623</v>
      </c>
      <c r="C20" s="24" t="s">
        <v>1919</v>
      </c>
      <c r="D20" s="24" t="s">
        <v>362</v>
      </c>
      <c r="E20" s="24" t="s">
        <v>1920</v>
      </c>
      <c r="F20" s="131">
        <v>20</v>
      </c>
      <c r="G20" s="25">
        <v>347</v>
      </c>
      <c r="H20" s="25">
        <v>50</v>
      </c>
      <c r="I20" s="50" t="s">
        <v>3801</v>
      </c>
      <c r="J20" s="131">
        <v>20</v>
      </c>
      <c r="K20" s="112">
        <v>198.5</v>
      </c>
      <c r="L20" s="132" t="s">
        <v>3814</v>
      </c>
      <c r="M20" s="22">
        <v>442</v>
      </c>
    </row>
    <row r="21" spans="1:13" ht="15.75" customHeight="1">
      <c r="A21" s="19">
        <v>17</v>
      </c>
      <c r="B21" s="107" t="s">
        <v>3623</v>
      </c>
      <c r="C21" s="20" t="s">
        <v>1645</v>
      </c>
      <c r="D21" s="20" t="s">
        <v>169</v>
      </c>
      <c r="E21" s="20" t="s">
        <v>26</v>
      </c>
      <c r="F21" s="21">
        <v>280</v>
      </c>
      <c r="G21" s="131">
        <v>23</v>
      </c>
      <c r="H21" s="21">
        <v>169</v>
      </c>
      <c r="I21" s="50" t="s">
        <v>3799</v>
      </c>
      <c r="J21" s="131">
        <v>23</v>
      </c>
      <c r="K21" s="108">
        <v>224.5</v>
      </c>
      <c r="L21" s="132" t="s">
        <v>3815</v>
      </c>
      <c r="M21" s="22">
        <v>502</v>
      </c>
    </row>
    <row r="22" spans="1:13" ht="15.75" customHeight="1">
      <c r="A22" s="23">
        <v>18</v>
      </c>
      <c r="B22" s="107" t="s">
        <v>3623</v>
      </c>
      <c r="C22" s="24" t="s">
        <v>1592</v>
      </c>
      <c r="D22" s="24" t="s">
        <v>263</v>
      </c>
      <c r="E22" s="24" t="s">
        <v>1593</v>
      </c>
      <c r="F22" s="25">
        <v>50</v>
      </c>
      <c r="G22" s="25">
        <v>45</v>
      </c>
      <c r="H22" s="131">
        <v>5</v>
      </c>
      <c r="I22" s="50" t="s">
        <v>3797</v>
      </c>
      <c r="J22" s="131">
        <v>5</v>
      </c>
      <c r="K22" s="112">
        <v>47.5</v>
      </c>
      <c r="L22" s="132" t="s">
        <v>3816</v>
      </c>
      <c r="M22" s="22">
        <v>100</v>
      </c>
    </row>
    <row r="23" spans="1:13" ht="15.75" customHeight="1">
      <c r="A23" s="19">
        <v>19</v>
      </c>
      <c r="B23" s="107" t="s">
        <v>3623</v>
      </c>
      <c r="C23" s="20" t="s">
        <v>1604</v>
      </c>
      <c r="D23" s="20" t="s">
        <v>294</v>
      </c>
      <c r="E23" s="20" t="s">
        <v>1605</v>
      </c>
      <c r="F23" s="131">
        <v>10</v>
      </c>
      <c r="G23" s="21">
        <v>70</v>
      </c>
      <c r="H23" s="21">
        <v>110</v>
      </c>
      <c r="I23" s="50" t="s">
        <v>3801</v>
      </c>
      <c r="J23" s="131">
        <v>10</v>
      </c>
      <c r="K23" s="108">
        <v>90</v>
      </c>
      <c r="L23" s="132" t="s">
        <v>3817</v>
      </c>
      <c r="M23" s="22">
        <v>290</v>
      </c>
    </row>
    <row r="24" spans="1:13" ht="15.75" customHeight="1">
      <c r="A24" s="23">
        <v>20</v>
      </c>
      <c r="B24" s="107" t="s">
        <v>3623</v>
      </c>
      <c r="C24" s="24" t="s">
        <v>1903</v>
      </c>
      <c r="D24" s="24" t="s">
        <v>362</v>
      </c>
      <c r="E24" s="24" t="s">
        <v>1904</v>
      </c>
      <c r="F24" s="131">
        <v>10</v>
      </c>
      <c r="G24" s="25">
        <v>122</v>
      </c>
      <c r="H24" s="25">
        <v>55</v>
      </c>
      <c r="I24" s="50" t="s">
        <v>3801</v>
      </c>
      <c r="J24" s="131">
        <v>10</v>
      </c>
      <c r="K24" s="112">
        <v>88.5</v>
      </c>
      <c r="L24" s="132" t="s">
        <v>3818</v>
      </c>
      <c r="M24" s="22">
        <v>187</v>
      </c>
    </row>
    <row r="25" spans="1:13" ht="15.75" customHeight="1">
      <c r="A25" s="19">
        <v>21</v>
      </c>
      <c r="B25" s="107" t="s">
        <v>3623</v>
      </c>
      <c r="C25" s="20" t="s">
        <v>268</v>
      </c>
      <c r="D25" s="20" t="s">
        <v>263</v>
      </c>
      <c r="E25" s="20" t="s">
        <v>24</v>
      </c>
      <c r="F25" s="21">
        <v>37</v>
      </c>
      <c r="G25" s="131">
        <v>4</v>
      </c>
      <c r="H25" s="21">
        <v>32</v>
      </c>
      <c r="I25" s="50" t="s">
        <v>3799</v>
      </c>
      <c r="J25" s="131">
        <v>4</v>
      </c>
      <c r="K25" s="108">
        <v>34.5</v>
      </c>
      <c r="L25" s="132" t="s">
        <v>3819</v>
      </c>
      <c r="M25" s="22">
        <v>73</v>
      </c>
    </row>
    <row r="26" spans="1:13" ht="15.75" customHeight="1">
      <c r="A26" s="23">
        <v>22</v>
      </c>
      <c r="B26" s="107" t="s">
        <v>3623</v>
      </c>
      <c r="C26" s="24" t="s">
        <v>1717</v>
      </c>
      <c r="D26" s="24" t="s">
        <v>203</v>
      </c>
      <c r="E26" s="24" t="s">
        <v>1718</v>
      </c>
      <c r="F26" s="131">
        <v>50</v>
      </c>
      <c r="G26" s="25">
        <v>703</v>
      </c>
      <c r="H26" s="25">
        <v>155</v>
      </c>
      <c r="I26" s="50" t="s">
        <v>3801</v>
      </c>
      <c r="J26" s="131">
        <v>50</v>
      </c>
      <c r="K26" s="112">
        <v>429</v>
      </c>
      <c r="L26" s="132" t="s">
        <v>3819</v>
      </c>
      <c r="M26" s="22">
        <v>943</v>
      </c>
    </row>
    <row r="27" spans="1:13" ht="15.75" customHeight="1">
      <c r="A27" s="19">
        <v>23</v>
      </c>
      <c r="B27" s="107" t="s">
        <v>3623</v>
      </c>
      <c r="C27" s="20" t="s">
        <v>224</v>
      </c>
      <c r="D27" s="20" t="s">
        <v>203</v>
      </c>
      <c r="E27" s="20" t="s">
        <v>225</v>
      </c>
      <c r="F27" s="21">
        <v>64</v>
      </c>
      <c r="G27" s="131">
        <v>5</v>
      </c>
      <c r="H27" s="21">
        <v>20</v>
      </c>
      <c r="I27" s="50" t="s">
        <v>3799</v>
      </c>
      <c r="J27" s="131">
        <v>5</v>
      </c>
      <c r="K27" s="108">
        <v>42</v>
      </c>
      <c r="L27" s="132" t="s">
        <v>3820</v>
      </c>
      <c r="M27" s="22">
        <v>89</v>
      </c>
    </row>
    <row r="28" spans="1:13" ht="15.75" customHeight="1">
      <c r="A28" s="23">
        <v>24</v>
      </c>
      <c r="B28" s="107" t="s">
        <v>3623</v>
      </c>
      <c r="C28" s="24" t="s">
        <v>1721</v>
      </c>
      <c r="D28" s="24" t="s">
        <v>203</v>
      </c>
      <c r="E28" s="24" t="s">
        <v>1722</v>
      </c>
      <c r="F28" s="131">
        <v>3</v>
      </c>
      <c r="G28" s="25">
        <v>50</v>
      </c>
      <c r="H28" s="25"/>
      <c r="I28" s="50" t="s">
        <v>3801</v>
      </c>
      <c r="J28" s="131">
        <v>3</v>
      </c>
      <c r="K28" s="112">
        <v>25</v>
      </c>
      <c r="L28" s="132" t="s">
        <v>3821</v>
      </c>
      <c r="M28" s="22">
        <v>53</v>
      </c>
    </row>
    <row r="29" spans="1:13" ht="15.75" customHeight="1">
      <c r="A29" s="19">
        <v>25</v>
      </c>
      <c r="B29" s="107" t="s">
        <v>3623</v>
      </c>
      <c r="C29" s="20" t="s">
        <v>1723</v>
      </c>
      <c r="D29" s="20" t="s">
        <v>203</v>
      </c>
      <c r="E29" s="20" t="s">
        <v>1724</v>
      </c>
      <c r="F29" s="21">
        <v>836</v>
      </c>
      <c r="G29" s="21">
        <v>148</v>
      </c>
      <c r="H29" s="131">
        <v>60</v>
      </c>
      <c r="I29" s="50" t="s">
        <v>3797</v>
      </c>
      <c r="J29" s="131">
        <v>60</v>
      </c>
      <c r="K29" s="108">
        <v>492</v>
      </c>
      <c r="L29" s="132" t="s">
        <v>3822</v>
      </c>
      <c r="M29" s="22">
        <v>1164</v>
      </c>
    </row>
    <row r="30" spans="1:13" ht="15.75" customHeight="1">
      <c r="A30" s="23">
        <v>26</v>
      </c>
      <c r="B30" s="107" t="s">
        <v>3623</v>
      </c>
      <c r="C30" s="24" t="s">
        <v>181</v>
      </c>
      <c r="D30" s="24" t="s">
        <v>180</v>
      </c>
      <c r="E30" s="24" t="s">
        <v>182</v>
      </c>
      <c r="F30" s="25">
        <v>160</v>
      </c>
      <c r="G30" s="131">
        <v>10</v>
      </c>
      <c r="H30" s="25"/>
      <c r="I30" s="50" t="s">
        <v>3799</v>
      </c>
      <c r="J30" s="131">
        <v>10</v>
      </c>
      <c r="K30" s="112">
        <v>80</v>
      </c>
      <c r="L30" s="132" t="s">
        <v>3823</v>
      </c>
      <c r="M30" s="22">
        <v>170</v>
      </c>
    </row>
    <row r="31" spans="1:13" ht="15.75" customHeight="1">
      <c r="A31" s="19">
        <v>27</v>
      </c>
      <c r="B31" s="107" t="s">
        <v>3623</v>
      </c>
      <c r="C31" s="20" t="s">
        <v>1901</v>
      </c>
      <c r="D31" s="20" t="s">
        <v>362</v>
      </c>
      <c r="E31" s="20" t="s">
        <v>1902</v>
      </c>
      <c r="F31" s="21">
        <v>41</v>
      </c>
      <c r="G31" s="21">
        <v>560</v>
      </c>
      <c r="H31" s="131">
        <v>40</v>
      </c>
      <c r="I31" s="50" t="s">
        <v>3797</v>
      </c>
      <c r="J31" s="131">
        <v>40</v>
      </c>
      <c r="K31" s="108">
        <v>300.5</v>
      </c>
      <c r="L31" s="132" t="s">
        <v>3824</v>
      </c>
      <c r="M31" s="22">
        <v>641</v>
      </c>
    </row>
    <row r="32" spans="1:13" ht="15.75" customHeight="1">
      <c r="A32" s="23">
        <v>28</v>
      </c>
      <c r="B32" s="107" t="s">
        <v>3623</v>
      </c>
      <c r="C32" s="24" t="s">
        <v>359</v>
      </c>
      <c r="D32" s="24" t="s">
        <v>203</v>
      </c>
      <c r="E32" s="24" t="s">
        <v>360</v>
      </c>
      <c r="F32" s="25">
        <v>1200</v>
      </c>
      <c r="G32" s="25"/>
      <c r="H32" s="131">
        <v>80</v>
      </c>
      <c r="I32" s="50" t="s">
        <v>3797</v>
      </c>
      <c r="J32" s="131">
        <v>80</v>
      </c>
      <c r="K32" s="112">
        <v>600</v>
      </c>
      <c r="L32" s="132" t="s">
        <v>3824</v>
      </c>
      <c r="M32" s="22">
        <v>1280</v>
      </c>
    </row>
    <row r="33" spans="1:13" ht="15.75" customHeight="1">
      <c r="A33" s="19">
        <v>29</v>
      </c>
      <c r="B33" s="107" t="s">
        <v>3623</v>
      </c>
      <c r="C33" s="20" t="s">
        <v>1768</v>
      </c>
      <c r="D33" s="20" t="s">
        <v>244</v>
      </c>
      <c r="E33" s="20" t="s">
        <v>1678</v>
      </c>
      <c r="F33" s="21">
        <v>10</v>
      </c>
      <c r="G33" s="21">
        <v>20</v>
      </c>
      <c r="H33" s="131">
        <v>2</v>
      </c>
      <c r="I33" s="50" t="s">
        <v>3797</v>
      </c>
      <c r="J33" s="131">
        <v>2</v>
      </c>
      <c r="K33" s="108">
        <v>15</v>
      </c>
      <c r="L33" s="132" t="s">
        <v>3824</v>
      </c>
      <c r="M33" s="22">
        <v>32</v>
      </c>
    </row>
    <row r="34" spans="1:13" ht="15.75" customHeight="1">
      <c r="A34" s="23">
        <v>30</v>
      </c>
      <c r="B34" s="107" t="s">
        <v>3623</v>
      </c>
      <c r="C34" s="24" t="s">
        <v>1907</v>
      </c>
      <c r="D34" s="24" t="s">
        <v>1908</v>
      </c>
      <c r="E34" s="24" t="s">
        <v>1909</v>
      </c>
      <c r="F34" s="25">
        <v>20</v>
      </c>
      <c r="G34" s="25">
        <v>82</v>
      </c>
      <c r="H34" s="131">
        <v>7</v>
      </c>
      <c r="I34" s="50" t="s">
        <v>3797</v>
      </c>
      <c r="J34" s="131">
        <v>7</v>
      </c>
      <c r="K34" s="112">
        <v>51</v>
      </c>
      <c r="L34" s="132" t="s">
        <v>3825</v>
      </c>
      <c r="M34" s="22">
        <v>109</v>
      </c>
    </row>
    <row r="35" spans="1:13" ht="15.75" customHeight="1">
      <c r="A35" s="19">
        <v>31</v>
      </c>
      <c r="B35" s="107" t="s">
        <v>3623</v>
      </c>
      <c r="C35" s="20" t="s">
        <v>1897</v>
      </c>
      <c r="D35" s="20" t="s">
        <v>294</v>
      </c>
      <c r="E35" s="20" t="s">
        <v>1898</v>
      </c>
      <c r="F35" s="131">
        <v>20</v>
      </c>
      <c r="G35" s="21">
        <v>40</v>
      </c>
      <c r="H35" s="21">
        <v>247</v>
      </c>
      <c r="I35" s="50" t="s">
        <v>3801</v>
      </c>
      <c r="J35" s="131">
        <v>20</v>
      </c>
      <c r="K35" s="108">
        <v>143.5</v>
      </c>
      <c r="L35" s="132" t="s">
        <v>3826</v>
      </c>
      <c r="M35" s="22">
        <v>317</v>
      </c>
    </row>
    <row r="36" spans="1:13" ht="15.75" customHeight="1">
      <c r="A36" s="23">
        <v>32</v>
      </c>
      <c r="B36" s="107" t="s">
        <v>3623</v>
      </c>
      <c r="C36" s="24" t="s">
        <v>200</v>
      </c>
      <c r="D36" s="24" t="s">
        <v>198</v>
      </c>
      <c r="E36" s="24" t="s">
        <v>45</v>
      </c>
      <c r="F36" s="25">
        <v>55</v>
      </c>
      <c r="G36" s="131">
        <v>4</v>
      </c>
      <c r="H36" s="25"/>
      <c r="I36" s="50" t="s">
        <v>3799</v>
      </c>
      <c r="J36" s="131">
        <v>4</v>
      </c>
      <c r="K36" s="112">
        <v>27.5</v>
      </c>
      <c r="L36" s="132" t="s">
        <v>3827</v>
      </c>
      <c r="M36" s="22">
        <v>59</v>
      </c>
    </row>
    <row r="37" spans="1:13" ht="15.75" customHeight="1">
      <c r="A37" s="19">
        <v>33</v>
      </c>
      <c r="B37" s="107" t="s">
        <v>3623</v>
      </c>
      <c r="C37" s="20" t="s">
        <v>1912</v>
      </c>
      <c r="D37" s="20" t="s">
        <v>1908</v>
      </c>
      <c r="E37" s="20" t="s">
        <v>1913</v>
      </c>
      <c r="F37" s="131">
        <v>10</v>
      </c>
      <c r="G37" s="21">
        <v>53</v>
      </c>
      <c r="H37" s="21">
        <v>75</v>
      </c>
      <c r="I37" s="50" t="s">
        <v>3801</v>
      </c>
      <c r="J37" s="131">
        <v>10</v>
      </c>
      <c r="K37" s="108">
        <v>64</v>
      </c>
      <c r="L37" s="132" t="s">
        <v>3828</v>
      </c>
      <c r="M37" s="22">
        <v>138</v>
      </c>
    </row>
    <row r="38" spans="1:13" ht="15.75" customHeight="1">
      <c r="A38" s="23">
        <v>34</v>
      </c>
      <c r="B38" s="107" t="s">
        <v>3623</v>
      </c>
      <c r="C38" s="24" t="s">
        <v>171</v>
      </c>
      <c r="D38" s="24" t="s">
        <v>169</v>
      </c>
      <c r="E38" s="24" t="s">
        <v>47</v>
      </c>
      <c r="F38" s="131">
        <v>3</v>
      </c>
      <c r="G38" s="25">
        <v>28</v>
      </c>
      <c r="H38" s="25">
        <v>10</v>
      </c>
      <c r="I38" s="50" t="s">
        <v>3801</v>
      </c>
      <c r="J38" s="131">
        <v>3</v>
      </c>
      <c r="K38" s="112">
        <v>19</v>
      </c>
      <c r="L38" s="132" t="s">
        <v>3829</v>
      </c>
      <c r="M38" s="22">
        <v>41</v>
      </c>
    </row>
    <row r="39" spans="1:13" ht="15.75" customHeight="1">
      <c r="A39" s="19">
        <v>35</v>
      </c>
      <c r="B39" s="107" t="s">
        <v>3623</v>
      </c>
      <c r="C39" s="20" t="s">
        <v>1606</v>
      </c>
      <c r="D39" s="20" t="s">
        <v>180</v>
      </c>
      <c r="E39" s="20" t="s">
        <v>1607</v>
      </c>
      <c r="F39" s="21">
        <v>38</v>
      </c>
      <c r="G39" s="131">
        <v>3</v>
      </c>
      <c r="H39" s="21"/>
      <c r="I39" s="50" t="s">
        <v>3799</v>
      </c>
      <c r="J39" s="131">
        <v>3</v>
      </c>
      <c r="K39" s="108">
        <v>19</v>
      </c>
      <c r="L39" s="132" t="s">
        <v>3829</v>
      </c>
      <c r="M39" s="22">
        <v>41</v>
      </c>
    </row>
    <row r="40" spans="1:13" ht="15.75" customHeight="1">
      <c r="A40" s="23">
        <v>36</v>
      </c>
      <c r="B40" s="107" t="s">
        <v>3623</v>
      </c>
      <c r="C40" s="24" t="s">
        <v>1891</v>
      </c>
      <c r="D40" s="24" t="s">
        <v>294</v>
      </c>
      <c r="E40" s="24" t="s">
        <v>1892</v>
      </c>
      <c r="F40" s="25">
        <v>905</v>
      </c>
      <c r="G40" s="131">
        <v>90</v>
      </c>
      <c r="H40" s="25">
        <v>180</v>
      </c>
      <c r="I40" s="50" t="s">
        <v>3799</v>
      </c>
      <c r="J40" s="131">
        <v>90</v>
      </c>
      <c r="K40" s="112">
        <v>542.5</v>
      </c>
      <c r="L40" s="132" t="s">
        <v>3830</v>
      </c>
      <c r="M40" s="22">
        <v>1275</v>
      </c>
    </row>
    <row r="41" spans="1:13" ht="15.75" customHeight="1">
      <c r="A41" s="19">
        <v>37</v>
      </c>
      <c r="B41" s="107" t="s">
        <v>3623</v>
      </c>
      <c r="C41" s="20" t="s">
        <v>183</v>
      </c>
      <c r="D41" s="20" t="s">
        <v>180</v>
      </c>
      <c r="E41" s="20" t="s">
        <v>184</v>
      </c>
      <c r="F41" s="131">
        <v>7</v>
      </c>
      <c r="G41" s="21">
        <v>84</v>
      </c>
      <c r="H41" s="21"/>
      <c r="I41" s="50" t="s">
        <v>3801</v>
      </c>
      <c r="J41" s="131">
        <v>7</v>
      </c>
      <c r="K41" s="108">
        <v>42</v>
      </c>
      <c r="L41" s="132" t="s">
        <v>3830</v>
      </c>
      <c r="M41" s="22">
        <v>91</v>
      </c>
    </row>
    <row r="42" spans="1:13" ht="15.75" customHeight="1">
      <c r="A42" s="23">
        <v>38</v>
      </c>
      <c r="B42" s="107" t="s">
        <v>3623</v>
      </c>
      <c r="C42" s="24" t="s">
        <v>1881</v>
      </c>
      <c r="D42" s="24" t="s">
        <v>294</v>
      </c>
      <c r="E42" s="24" t="s">
        <v>1882</v>
      </c>
      <c r="F42" s="25">
        <v>135</v>
      </c>
      <c r="G42" s="131">
        <v>14</v>
      </c>
      <c r="H42" s="25">
        <v>23</v>
      </c>
      <c r="I42" s="50" t="s">
        <v>3799</v>
      </c>
      <c r="J42" s="131">
        <v>14</v>
      </c>
      <c r="K42" s="112">
        <v>79</v>
      </c>
      <c r="L42" s="132" t="s">
        <v>3831</v>
      </c>
      <c r="M42" s="22">
        <v>172</v>
      </c>
    </row>
    <row r="43" spans="1:13" ht="15.75" customHeight="1">
      <c r="A43" s="19">
        <v>39</v>
      </c>
      <c r="B43" s="107" t="s">
        <v>3623</v>
      </c>
      <c r="C43" s="20" t="s">
        <v>1573</v>
      </c>
      <c r="D43" s="20" t="s">
        <v>253</v>
      </c>
      <c r="E43" s="20" t="s">
        <v>1574</v>
      </c>
      <c r="F43" s="131">
        <v>20</v>
      </c>
      <c r="G43" s="21">
        <v>93</v>
      </c>
      <c r="H43" s="21">
        <v>130</v>
      </c>
      <c r="I43" s="50" t="s">
        <v>3801</v>
      </c>
      <c r="J43" s="131">
        <v>20</v>
      </c>
      <c r="K43" s="108">
        <v>111.5</v>
      </c>
      <c r="L43" s="132" t="s">
        <v>3831</v>
      </c>
      <c r="M43" s="22">
        <v>293</v>
      </c>
    </row>
    <row r="44" spans="1:13" ht="15.75" customHeight="1">
      <c r="A44" s="23">
        <v>40</v>
      </c>
      <c r="B44" s="107" t="s">
        <v>3623</v>
      </c>
      <c r="C44" s="24" t="s">
        <v>1871</v>
      </c>
      <c r="D44" s="24" t="s">
        <v>283</v>
      </c>
      <c r="E44" s="24" t="s">
        <v>1872</v>
      </c>
      <c r="F44" s="25">
        <v>20</v>
      </c>
      <c r="G44" s="131">
        <v>10</v>
      </c>
      <c r="H44" s="25">
        <v>90</v>
      </c>
      <c r="I44" s="50" t="s">
        <v>3799</v>
      </c>
      <c r="J44" s="131">
        <v>10</v>
      </c>
      <c r="K44" s="112">
        <v>55</v>
      </c>
      <c r="L44" s="132" t="s">
        <v>3832</v>
      </c>
      <c r="M44" s="22">
        <v>120</v>
      </c>
    </row>
    <row r="45" spans="1:13" ht="15.75" customHeight="1">
      <c r="A45" s="19">
        <v>41</v>
      </c>
      <c r="B45" s="107" t="s">
        <v>3623</v>
      </c>
      <c r="C45" s="20" t="s">
        <v>187</v>
      </c>
      <c r="D45" s="20" t="s">
        <v>180</v>
      </c>
      <c r="E45" s="20" t="s">
        <v>173</v>
      </c>
      <c r="F45" s="21">
        <v>76</v>
      </c>
      <c r="G45" s="131">
        <v>12</v>
      </c>
      <c r="H45" s="21">
        <v>51</v>
      </c>
      <c r="I45" s="50" t="s">
        <v>3799</v>
      </c>
      <c r="J45" s="131">
        <v>12</v>
      </c>
      <c r="K45" s="108">
        <v>63.5</v>
      </c>
      <c r="L45" s="132" t="s">
        <v>3833</v>
      </c>
      <c r="M45" s="22">
        <v>142</v>
      </c>
    </row>
    <row r="46" spans="1:13" ht="15.75" customHeight="1">
      <c r="A46" s="23">
        <v>42</v>
      </c>
      <c r="B46" s="107" t="s">
        <v>3623</v>
      </c>
      <c r="C46" s="24" t="s">
        <v>1612</v>
      </c>
      <c r="D46" s="24" t="s">
        <v>180</v>
      </c>
      <c r="E46" s="24" t="s">
        <v>1613</v>
      </c>
      <c r="F46" s="25">
        <v>130</v>
      </c>
      <c r="G46" s="25">
        <v>81</v>
      </c>
      <c r="H46" s="131">
        <v>20</v>
      </c>
      <c r="I46" s="50" t="s">
        <v>3797</v>
      </c>
      <c r="J46" s="131">
        <v>20</v>
      </c>
      <c r="K46" s="112">
        <v>105.5</v>
      </c>
      <c r="L46" s="132" t="s">
        <v>3833</v>
      </c>
      <c r="M46" s="22">
        <v>269</v>
      </c>
    </row>
    <row r="47" spans="1:13" ht="15.75" customHeight="1">
      <c r="A47" s="19">
        <v>43</v>
      </c>
      <c r="B47" s="107" t="s">
        <v>3623</v>
      </c>
      <c r="C47" s="20" t="s">
        <v>266</v>
      </c>
      <c r="D47" s="20" t="s">
        <v>263</v>
      </c>
      <c r="E47" s="20" t="s">
        <v>45</v>
      </c>
      <c r="F47" s="21">
        <v>25</v>
      </c>
      <c r="G47" s="131">
        <v>3</v>
      </c>
      <c r="H47" s="21">
        <v>6</v>
      </c>
      <c r="I47" s="50" t="s">
        <v>3799</v>
      </c>
      <c r="J47" s="131">
        <v>3</v>
      </c>
      <c r="K47" s="108">
        <v>15.5</v>
      </c>
      <c r="L47" s="132" t="s">
        <v>3834</v>
      </c>
      <c r="M47" s="22">
        <v>34</v>
      </c>
    </row>
    <row r="48" spans="1:13" ht="15.75" customHeight="1">
      <c r="A48" s="23">
        <v>44</v>
      </c>
      <c r="B48" s="107" t="s">
        <v>3623</v>
      </c>
      <c r="C48" s="24" t="s">
        <v>274</v>
      </c>
      <c r="D48" s="24" t="s">
        <v>271</v>
      </c>
      <c r="E48" s="24" t="s">
        <v>121</v>
      </c>
      <c r="F48" s="25">
        <v>10</v>
      </c>
      <c r="G48" s="25"/>
      <c r="H48" s="131">
        <v>1</v>
      </c>
      <c r="I48" s="50" t="s">
        <v>3797</v>
      </c>
      <c r="J48" s="131">
        <v>1</v>
      </c>
      <c r="K48" s="112">
        <v>5</v>
      </c>
      <c r="L48" s="132" t="s">
        <v>3835</v>
      </c>
      <c r="M48" s="22">
        <v>11</v>
      </c>
    </row>
    <row r="49" spans="1:13" ht="15.75" customHeight="1">
      <c r="A49" s="19">
        <v>45</v>
      </c>
      <c r="B49" s="107" t="s">
        <v>3623</v>
      </c>
      <c r="C49" s="20" t="s">
        <v>1681</v>
      </c>
      <c r="D49" s="20" t="s">
        <v>206</v>
      </c>
      <c r="E49" s="20" t="s">
        <v>1682</v>
      </c>
      <c r="F49" s="21">
        <v>75</v>
      </c>
      <c r="G49" s="21">
        <v>85</v>
      </c>
      <c r="H49" s="131">
        <v>16</v>
      </c>
      <c r="I49" s="50" t="s">
        <v>3797</v>
      </c>
      <c r="J49" s="131">
        <v>16</v>
      </c>
      <c r="K49" s="108">
        <v>80</v>
      </c>
      <c r="L49" s="132" t="s">
        <v>3835</v>
      </c>
      <c r="M49" s="22">
        <v>205</v>
      </c>
    </row>
    <row r="50" spans="1:13" ht="15.75" customHeight="1">
      <c r="A50" s="23">
        <v>46</v>
      </c>
      <c r="B50" s="107" t="s">
        <v>3623</v>
      </c>
      <c r="C50" s="24" t="s">
        <v>1558</v>
      </c>
      <c r="D50" s="24" t="s">
        <v>211</v>
      </c>
      <c r="E50" s="24" t="s">
        <v>1559</v>
      </c>
      <c r="F50" s="25">
        <v>10</v>
      </c>
      <c r="G50" s="131">
        <v>3</v>
      </c>
      <c r="H50" s="25">
        <v>20</v>
      </c>
      <c r="I50" s="50" t="s">
        <v>3799</v>
      </c>
      <c r="J50" s="131">
        <v>3</v>
      </c>
      <c r="K50" s="112">
        <v>15</v>
      </c>
      <c r="L50" s="132" t="s">
        <v>3835</v>
      </c>
      <c r="M50" s="22">
        <v>33</v>
      </c>
    </row>
    <row r="51" spans="1:13" ht="15.75" customHeight="1">
      <c r="A51" s="19">
        <v>47</v>
      </c>
      <c r="B51" s="107" t="s">
        <v>3623</v>
      </c>
      <c r="C51" s="20" t="s">
        <v>313</v>
      </c>
      <c r="D51" s="20" t="s">
        <v>169</v>
      </c>
      <c r="E51" s="20" t="s">
        <v>259</v>
      </c>
      <c r="F51" s="21">
        <v>40</v>
      </c>
      <c r="G51" s="131">
        <v>4</v>
      </c>
      <c r="H51" s="21"/>
      <c r="I51" s="50" t="s">
        <v>3799</v>
      </c>
      <c r="J51" s="131">
        <v>4</v>
      </c>
      <c r="K51" s="108">
        <v>20</v>
      </c>
      <c r="L51" s="132" t="s">
        <v>3835</v>
      </c>
      <c r="M51" s="22">
        <v>64</v>
      </c>
    </row>
    <row r="52" spans="1:13" ht="15.75" customHeight="1">
      <c r="A52" s="23">
        <v>48</v>
      </c>
      <c r="B52" s="107" t="s">
        <v>3623</v>
      </c>
      <c r="C52" s="24" t="s">
        <v>2836</v>
      </c>
      <c r="D52" s="24" t="s">
        <v>194</v>
      </c>
      <c r="E52" s="24" t="s">
        <v>2837</v>
      </c>
      <c r="F52" s="25"/>
      <c r="G52" s="131">
        <v>1</v>
      </c>
      <c r="H52" s="25">
        <v>10</v>
      </c>
      <c r="I52" s="50" t="s">
        <v>3799</v>
      </c>
      <c r="J52" s="131">
        <v>1</v>
      </c>
      <c r="K52" s="112">
        <v>5</v>
      </c>
      <c r="L52" s="132" t="s">
        <v>3835</v>
      </c>
      <c r="M52" s="22">
        <v>11</v>
      </c>
    </row>
    <row r="53" spans="1:13" ht="15.75" customHeight="1">
      <c r="A53" s="19">
        <v>49</v>
      </c>
      <c r="B53" s="107" t="s">
        <v>3623</v>
      </c>
      <c r="C53" s="20" t="s">
        <v>177</v>
      </c>
      <c r="D53" s="20" t="s">
        <v>169</v>
      </c>
      <c r="E53" s="20" t="s">
        <v>50</v>
      </c>
      <c r="F53" s="21">
        <v>39</v>
      </c>
      <c r="G53" s="131">
        <v>4</v>
      </c>
      <c r="H53" s="21"/>
      <c r="I53" s="50" t="s">
        <v>3799</v>
      </c>
      <c r="J53" s="131">
        <v>4</v>
      </c>
      <c r="K53" s="108">
        <v>19.5</v>
      </c>
      <c r="L53" s="132" t="s">
        <v>3836</v>
      </c>
      <c r="M53" s="22">
        <v>43</v>
      </c>
    </row>
    <row r="54" spans="1:13" ht="15.75" customHeight="1">
      <c r="A54" s="23">
        <v>50</v>
      </c>
      <c r="B54" s="107" t="s">
        <v>3623</v>
      </c>
      <c r="C54" s="24" t="s">
        <v>1806</v>
      </c>
      <c r="D54" s="24" t="s">
        <v>253</v>
      </c>
      <c r="E54" s="24" t="s">
        <v>1807</v>
      </c>
      <c r="F54" s="25">
        <v>95</v>
      </c>
      <c r="G54" s="131">
        <v>51</v>
      </c>
      <c r="H54" s="25">
        <v>394</v>
      </c>
      <c r="I54" s="50" t="s">
        <v>3799</v>
      </c>
      <c r="J54" s="131">
        <v>51</v>
      </c>
      <c r="K54" s="112">
        <v>244.5</v>
      </c>
      <c r="L54" s="132" t="s">
        <v>3837</v>
      </c>
      <c r="M54" s="22">
        <v>550</v>
      </c>
    </row>
    <row r="55" spans="1:13" ht="15.75" customHeight="1">
      <c r="A55" s="19">
        <v>51</v>
      </c>
      <c r="B55" s="107" t="s">
        <v>3623</v>
      </c>
      <c r="C55" s="20" t="s">
        <v>288</v>
      </c>
      <c r="D55" s="20" t="s">
        <v>283</v>
      </c>
      <c r="E55" s="20" t="s">
        <v>22</v>
      </c>
      <c r="F55" s="21">
        <v>54</v>
      </c>
      <c r="G55" s="131">
        <v>6</v>
      </c>
      <c r="H55" s="21"/>
      <c r="I55" s="50" t="s">
        <v>3799</v>
      </c>
      <c r="J55" s="131">
        <v>6</v>
      </c>
      <c r="K55" s="108">
        <v>27</v>
      </c>
      <c r="L55" s="132" t="s">
        <v>3838</v>
      </c>
      <c r="M55" s="22">
        <v>60</v>
      </c>
    </row>
    <row r="56" spans="1:13" ht="15.75" customHeight="1">
      <c r="A56" s="23">
        <v>52</v>
      </c>
      <c r="B56" s="107" t="s">
        <v>3623</v>
      </c>
      <c r="C56" s="24" t="s">
        <v>1577</v>
      </c>
      <c r="D56" s="24" t="s">
        <v>253</v>
      </c>
      <c r="E56" s="24" t="s">
        <v>1578</v>
      </c>
      <c r="F56" s="25">
        <v>10</v>
      </c>
      <c r="G56" s="131">
        <v>2</v>
      </c>
      <c r="H56" s="25">
        <v>8</v>
      </c>
      <c r="I56" s="50" t="s">
        <v>3799</v>
      </c>
      <c r="J56" s="131">
        <v>2</v>
      </c>
      <c r="K56" s="112">
        <v>9</v>
      </c>
      <c r="L56" s="132" t="s">
        <v>3838</v>
      </c>
      <c r="M56" s="22">
        <v>27</v>
      </c>
    </row>
    <row r="57" spans="1:13" ht="15.75" customHeight="1">
      <c r="A57" s="19">
        <v>53</v>
      </c>
      <c r="B57" s="107" t="s">
        <v>3623</v>
      </c>
      <c r="C57" s="20" t="s">
        <v>282</v>
      </c>
      <c r="D57" s="20" t="s">
        <v>283</v>
      </c>
      <c r="E57" s="20" t="s">
        <v>284</v>
      </c>
      <c r="F57" s="21">
        <v>27</v>
      </c>
      <c r="G57" s="21"/>
      <c r="H57" s="131">
        <v>3</v>
      </c>
      <c r="I57" s="50" t="s">
        <v>3797</v>
      </c>
      <c r="J57" s="131">
        <v>3</v>
      </c>
      <c r="K57" s="108">
        <v>13.5</v>
      </c>
      <c r="L57" s="132" t="s">
        <v>3838</v>
      </c>
      <c r="M57" s="22">
        <v>30</v>
      </c>
    </row>
    <row r="58" spans="1:13" ht="15.75" customHeight="1">
      <c r="A58" s="23">
        <v>54</v>
      </c>
      <c r="B58" s="107" t="s">
        <v>3623</v>
      </c>
      <c r="C58" s="24" t="s">
        <v>1684</v>
      </c>
      <c r="D58" s="24" t="s">
        <v>206</v>
      </c>
      <c r="E58" s="24" t="s">
        <v>1685</v>
      </c>
      <c r="F58" s="25">
        <v>15</v>
      </c>
      <c r="G58" s="131">
        <v>3</v>
      </c>
      <c r="H58" s="25">
        <v>12</v>
      </c>
      <c r="I58" s="50" t="s">
        <v>3799</v>
      </c>
      <c r="J58" s="131">
        <v>3</v>
      </c>
      <c r="K58" s="112">
        <v>13.5</v>
      </c>
      <c r="L58" s="132" t="s">
        <v>3838</v>
      </c>
      <c r="M58" s="22">
        <v>30</v>
      </c>
    </row>
    <row r="59" spans="1:13" ht="15.75" customHeight="1">
      <c r="A59" s="19">
        <v>55</v>
      </c>
      <c r="B59" s="107" t="s">
        <v>3623</v>
      </c>
      <c r="C59" s="20" t="s">
        <v>1550</v>
      </c>
      <c r="D59" s="20" t="s">
        <v>448</v>
      </c>
      <c r="E59" s="20" t="s">
        <v>1551</v>
      </c>
      <c r="F59" s="131">
        <v>10</v>
      </c>
      <c r="G59" s="21">
        <v>30</v>
      </c>
      <c r="H59" s="21">
        <v>60</v>
      </c>
      <c r="I59" s="50" t="s">
        <v>3801</v>
      </c>
      <c r="J59" s="131">
        <v>10</v>
      </c>
      <c r="K59" s="108">
        <v>45</v>
      </c>
      <c r="L59" s="132" t="s">
        <v>3838</v>
      </c>
      <c r="M59" s="22">
        <v>100</v>
      </c>
    </row>
    <row r="60" spans="1:13" ht="15.75" customHeight="1">
      <c r="A60" s="23">
        <v>56</v>
      </c>
      <c r="B60" s="107" t="s">
        <v>3623</v>
      </c>
      <c r="C60" s="24" t="s">
        <v>1602</v>
      </c>
      <c r="D60" s="24" t="s">
        <v>294</v>
      </c>
      <c r="E60" s="24" t="s">
        <v>1603</v>
      </c>
      <c r="F60" s="25">
        <v>180</v>
      </c>
      <c r="G60" s="131">
        <v>30</v>
      </c>
      <c r="H60" s="25">
        <v>85</v>
      </c>
      <c r="I60" s="50" t="s">
        <v>3799</v>
      </c>
      <c r="J60" s="131">
        <v>30</v>
      </c>
      <c r="K60" s="112">
        <v>132.5</v>
      </c>
      <c r="L60" s="132" t="s">
        <v>3839</v>
      </c>
      <c r="M60" s="22">
        <v>295</v>
      </c>
    </row>
    <row r="61" spans="1:13" ht="15.75" customHeight="1">
      <c r="A61" s="19">
        <v>57</v>
      </c>
      <c r="B61" s="107" t="s">
        <v>3623</v>
      </c>
      <c r="C61" s="20" t="s">
        <v>1867</v>
      </c>
      <c r="D61" s="20" t="s">
        <v>283</v>
      </c>
      <c r="E61" s="20" t="s">
        <v>1868</v>
      </c>
      <c r="F61" s="21">
        <v>270</v>
      </c>
      <c r="G61" s="131">
        <v>40</v>
      </c>
      <c r="H61" s="21">
        <v>80</v>
      </c>
      <c r="I61" s="50" t="s">
        <v>3799</v>
      </c>
      <c r="J61" s="131">
        <v>40</v>
      </c>
      <c r="K61" s="108">
        <v>175</v>
      </c>
      <c r="L61" s="132" t="s">
        <v>3839</v>
      </c>
      <c r="M61" s="22">
        <v>390</v>
      </c>
    </row>
    <row r="62" spans="1:13" ht="15.75" customHeight="1">
      <c r="A62" s="23">
        <v>58</v>
      </c>
      <c r="B62" s="107" t="s">
        <v>3623</v>
      </c>
      <c r="C62" s="24" t="s">
        <v>363</v>
      </c>
      <c r="D62" s="24" t="s">
        <v>169</v>
      </c>
      <c r="E62" s="24" t="s">
        <v>53</v>
      </c>
      <c r="F62" s="25">
        <v>26</v>
      </c>
      <c r="G62" s="25"/>
      <c r="H62" s="131">
        <v>3</v>
      </c>
      <c r="I62" s="50" t="s">
        <v>3797</v>
      </c>
      <c r="J62" s="131">
        <v>3</v>
      </c>
      <c r="K62" s="112">
        <v>13</v>
      </c>
      <c r="L62" s="132" t="s">
        <v>3840</v>
      </c>
      <c r="M62" s="22">
        <v>29</v>
      </c>
    </row>
    <row r="63" spans="1:13" ht="15.75" customHeight="1">
      <c r="A63" s="19">
        <v>59</v>
      </c>
      <c r="B63" s="107" t="s">
        <v>3623</v>
      </c>
      <c r="C63" s="20" t="s">
        <v>2866</v>
      </c>
      <c r="D63" s="20" t="s">
        <v>211</v>
      </c>
      <c r="E63" s="20" t="s">
        <v>1578</v>
      </c>
      <c r="F63" s="21"/>
      <c r="G63" s="21">
        <v>34</v>
      </c>
      <c r="H63" s="131">
        <v>4</v>
      </c>
      <c r="I63" s="50" t="s">
        <v>3797</v>
      </c>
      <c r="J63" s="131">
        <v>4</v>
      </c>
      <c r="K63" s="108">
        <v>17</v>
      </c>
      <c r="L63" s="132" t="s">
        <v>3841</v>
      </c>
      <c r="M63" s="22">
        <v>43</v>
      </c>
    </row>
    <row r="64" spans="1:13" ht="15.75" customHeight="1">
      <c r="A64" s="23">
        <v>60</v>
      </c>
      <c r="B64" s="107" t="s">
        <v>3623</v>
      </c>
      <c r="C64" s="24" t="s">
        <v>220</v>
      </c>
      <c r="D64" s="24" t="s">
        <v>203</v>
      </c>
      <c r="E64" s="24" t="s">
        <v>32</v>
      </c>
      <c r="F64" s="25">
        <v>220</v>
      </c>
      <c r="G64" s="131">
        <v>50</v>
      </c>
      <c r="H64" s="25">
        <v>200</v>
      </c>
      <c r="I64" s="50" t="s">
        <v>3799</v>
      </c>
      <c r="J64" s="131">
        <v>50</v>
      </c>
      <c r="K64" s="112">
        <v>210</v>
      </c>
      <c r="L64" s="132" t="s">
        <v>3841</v>
      </c>
      <c r="M64" s="22">
        <v>470</v>
      </c>
    </row>
    <row r="65" spans="1:13" ht="15.75" customHeight="1">
      <c r="A65" s="19">
        <v>61</v>
      </c>
      <c r="B65" s="107" t="s">
        <v>3623</v>
      </c>
      <c r="C65" s="20" t="s">
        <v>1766</v>
      </c>
      <c r="D65" s="20" t="s">
        <v>244</v>
      </c>
      <c r="E65" s="20" t="s">
        <v>1767</v>
      </c>
      <c r="F65" s="21">
        <v>63</v>
      </c>
      <c r="G65" s="131">
        <v>14</v>
      </c>
      <c r="H65" s="21">
        <v>52</v>
      </c>
      <c r="I65" s="50" t="s">
        <v>3799</v>
      </c>
      <c r="J65" s="131">
        <v>14</v>
      </c>
      <c r="K65" s="108">
        <v>57.5</v>
      </c>
      <c r="L65" s="132" t="s">
        <v>3842</v>
      </c>
      <c r="M65" s="22">
        <v>130</v>
      </c>
    </row>
    <row r="66" spans="1:13" ht="15.75" customHeight="1">
      <c r="A66" s="23">
        <v>62</v>
      </c>
      <c r="B66" s="107" t="s">
        <v>3623</v>
      </c>
      <c r="C66" s="24" t="s">
        <v>1659</v>
      </c>
      <c r="D66" s="24" t="s">
        <v>1649</v>
      </c>
      <c r="E66" s="24" t="s">
        <v>1660</v>
      </c>
      <c r="F66" s="25">
        <v>70</v>
      </c>
      <c r="G66" s="25"/>
      <c r="H66" s="131">
        <v>9</v>
      </c>
      <c r="I66" s="50" t="s">
        <v>3797</v>
      </c>
      <c r="J66" s="131">
        <v>9</v>
      </c>
      <c r="K66" s="112">
        <v>35</v>
      </c>
      <c r="L66" s="132" t="s">
        <v>3843</v>
      </c>
      <c r="M66" s="22">
        <v>79</v>
      </c>
    </row>
    <row r="67" spans="1:13" ht="15.75" customHeight="1">
      <c r="A67" s="19">
        <v>63</v>
      </c>
      <c r="B67" s="107" t="s">
        <v>3623</v>
      </c>
      <c r="C67" s="20" t="s">
        <v>1644</v>
      </c>
      <c r="D67" s="20" t="s">
        <v>169</v>
      </c>
      <c r="E67" s="20" t="s">
        <v>121</v>
      </c>
      <c r="F67" s="21">
        <v>26</v>
      </c>
      <c r="G67" s="131">
        <v>4</v>
      </c>
      <c r="H67" s="21">
        <v>5</v>
      </c>
      <c r="I67" s="50" t="s">
        <v>3799</v>
      </c>
      <c r="J67" s="131">
        <v>4</v>
      </c>
      <c r="K67" s="108">
        <v>15.5</v>
      </c>
      <c r="L67" s="132" t="s">
        <v>3843</v>
      </c>
      <c r="M67" s="22">
        <v>40</v>
      </c>
    </row>
    <row r="68" spans="1:13" ht="15.75" customHeight="1">
      <c r="A68" s="23">
        <v>64</v>
      </c>
      <c r="B68" s="107" t="s">
        <v>3623</v>
      </c>
      <c r="C68" s="24" t="s">
        <v>1869</v>
      </c>
      <c r="D68" s="24" t="s">
        <v>283</v>
      </c>
      <c r="E68" s="24" t="s">
        <v>1870</v>
      </c>
      <c r="F68" s="25">
        <v>410</v>
      </c>
      <c r="G68" s="25">
        <v>170</v>
      </c>
      <c r="H68" s="131">
        <v>77</v>
      </c>
      <c r="I68" s="50" t="s">
        <v>3797</v>
      </c>
      <c r="J68" s="131">
        <v>77</v>
      </c>
      <c r="K68" s="112">
        <v>290</v>
      </c>
      <c r="L68" s="132" t="s">
        <v>3844</v>
      </c>
      <c r="M68" s="22">
        <v>727</v>
      </c>
    </row>
    <row r="69" spans="1:13" ht="15.75" customHeight="1">
      <c r="A69" s="19">
        <v>65</v>
      </c>
      <c r="B69" s="107" t="s">
        <v>3623</v>
      </c>
      <c r="C69" s="20" t="s">
        <v>1686</v>
      </c>
      <c r="D69" s="20" t="s">
        <v>206</v>
      </c>
      <c r="E69" s="20" t="s">
        <v>1687</v>
      </c>
      <c r="F69" s="131">
        <v>10</v>
      </c>
      <c r="G69" s="21">
        <v>15</v>
      </c>
      <c r="H69" s="21">
        <v>59</v>
      </c>
      <c r="I69" s="50" t="s">
        <v>3801</v>
      </c>
      <c r="J69" s="131">
        <v>10</v>
      </c>
      <c r="K69" s="108">
        <v>37</v>
      </c>
      <c r="L69" s="132" t="s">
        <v>3845</v>
      </c>
      <c r="M69" s="22">
        <v>109</v>
      </c>
    </row>
    <row r="70" spans="1:13" ht="15.75" customHeight="1">
      <c r="A70" s="23">
        <v>66</v>
      </c>
      <c r="B70" s="107" t="s">
        <v>3623</v>
      </c>
      <c r="C70" s="24" t="s">
        <v>377</v>
      </c>
      <c r="D70" s="24" t="s">
        <v>203</v>
      </c>
      <c r="E70" s="24" t="s">
        <v>378</v>
      </c>
      <c r="F70" s="25">
        <v>160</v>
      </c>
      <c r="G70" s="25">
        <v>60</v>
      </c>
      <c r="H70" s="131">
        <v>30</v>
      </c>
      <c r="I70" s="50" t="s">
        <v>3797</v>
      </c>
      <c r="J70" s="131">
        <v>30</v>
      </c>
      <c r="K70" s="112">
        <v>110</v>
      </c>
      <c r="L70" s="132" t="s">
        <v>3845</v>
      </c>
      <c r="M70" s="22">
        <v>250</v>
      </c>
    </row>
    <row r="71" spans="1:13" ht="15.75" customHeight="1">
      <c r="A71" s="19">
        <v>67</v>
      </c>
      <c r="B71" s="107" t="s">
        <v>3623</v>
      </c>
      <c r="C71" s="20" t="s">
        <v>1626</v>
      </c>
      <c r="D71" s="20" t="s">
        <v>180</v>
      </c>
      <c r="E71" s="20" t="s">
        <v>1627</v>
      </c>
      <c r="F71" s="131">
        <v>5</v>
      </c>
      <c r="G71" s="21">
        <v>18</v>
      </c>
      <c r="H71" s="21">
        <v>18</v>
      </c>
      <c r="I71" s="50" t="s">
        <v>3801</v>
      </c>
      <c r="J71" s="131">
        <v>5</v>
      </c>
      <c r="K71" s="108">
        <v>18</v>
      </c>
      <c r="L71" s="132" t="s">
        <v>3846</v>
      </c>
      <c r="M71" s="22">
        <v>46</v>
      </c>
    </row>
    <row r="72" spans="1:13" ht="15.75" customHeight="1">
      <c r="A72" s="23">
        <v>68</v>
      </c>
      <c r="B72" s="107" t="s">
        <v>3623</v>
      </c>
      <c r="C72" s="24" t="s">
        <v>1821</v>
      </c>
      <c r="D72" s="24" t="s">
        <v>263</v>
      </c>
      <c r="E72" s="24" t="s">
        <v>1822</v>
      </c>
      <c r="F72" s="25">
        <v>32</v>
      </c>
      <c r="G72" s="131">
        <v>10</v>
      </c>
      <c r="H72" s="25">
        <v>40</v>
      </c>
      <c r="I72" s="50" t="s">
        <v>3799</v>
      </c>
      <c r="J72" s="131">
        <v>10</v>
      </c>
      <c r="K72" s="112">
        <v>36</v>
      </c>
      <c r="L72" s="132" t="s">
        <v>3846</v>
      </c>
      <c r="M72" s="22">
        <v>112</v>
      </c>
    </row>
    <row r="73" spans="1:13" ht="15.75" customHeight="1">
      <c r="A73" s="19">
        <v>69</v>
      </c>
      <c r="B73" s="107" t="s">
        <v>3623</v>
      </c>
      <c r="C73" s="20" t="s">
        <v>1709</v>
      </c>
      <c r="D73" s="20" t="s">
        <v>211</v>
      </c>
      <c r="E73" s="20" t="s">
        <v>1678</v>
      </c>
      <c r="F73" s="21">
        <v>50</v>
      </c>
      <c r="G73" s="131">
        <v>15</v>
      </c>
      <c r="H73" s="21">
        <v>55</v>
      </c>
      <c r="I73" s="50" t="s">
        <v>3799</v>
      </c>
      <c r="J73" s="131">
        <v>15</v>
      </c>
      <c r="K73" s="108">
        <v>52.5</v>
      </c>
      <c r="L73" s="132" t="s">
        <v>3847</v>
      </c>
      <c r="M73" s="22">
        <v>120</v>
      </c>
    </row>
    <row r="74" spans="1:13" ht="15.75" customHeight="1">
      <c r="A74" s="23">
        <v>70</v>
      </c>
      <c r="B74" s="107" t="s">
        <v>3623</v>
      </c>
      <c r="C74" s="24" t="s">
        <v>1548</v>
      </c>
      <c r="D74" s="24" t="s">
        <v>448</v>
      </c>
      <c r="E74" s="24" t="s">
        <v>1549</v>
      </c>
      <c r="F74" s="25">
        <v>20</v>
      </c>
      <c r="G74" s="131">
        <v>10</v>
      </c>
      <c r="H74" s="25">
        <v>50</v>
      </c>
      <c r="I74" s="50" t="s">
        <v>3799</v>
      </c>
      <c r="J74" s="131">
        <v>10</v>
      </c>
      <c r="K74" s="112">
        <v>35</v>
      </c>
      <c r="L74" s="132" t="s">
        <v>3847</v>
      </c>
      <c r="M74" s="22">
        <v>105</v>
      </c>
    </row>
    <row r="75" spans="1:13" ht="15.75" customHeight="1">
      <c r="A75" s="19">
        <v>71</v>
      </c>
      <c r="B75" s="107" t="s">
        <v>3623</v>
      </c>
      <c r="C75" s="20" t="s">
        <v>1696</v>
      </c>
      <c r="D75" s="20" t="s">
        <v>211</v>
      </c>
      <c r="E75" s="20" t="s">
        <v>1697</v>
      </c>
      <c r="F75" s="21">
        <v>257</v>
      </c>
      <c r="G75" s="131">
        <v>103</v>
      </c>
      <c r="H75" s="21">
        <v>444</v>
      </c>
      <c r="I75" s="50" t="s">
        <v>3799</v>
      </c>
      <c r="J75" s="131">
        <v>103</v>
      </c>
      <c r="K75" s="108">
        <v>350.5</v>
      </c>
      <c r="L75" s="132" t="s">
        <v>3848</v>
      </c>
      <c r="M75" s="22">
        <v>814</v>
      </c>
    </row>
    <row r="76" spans="1:13" ht="15.75" customHeight="1">
      <c r="A76" s="23">
        <v>72</v>
      </c>
      <c r="B76" s="107" t="s">
        <v>3623</v>
      </c>
      <c r="C76" s="24" t="s">
        <v>1760</v>
      </c>
      <c r="D76" s="24" t="s">
        <v>244</v>
      </c>
      <c r="E76" s="24" t="s">
        <v>1761</v>
      </c>
      <c r="F76" s="131">
        <v>59</v>
      </c>
      <c r="G76" s="25">
        <v>129</v>
      </c>
      <c r="H76" s="25">
        <v>272</v>
      </c>
      <c r="I76" s="50" t="s">
        <v>3801</v>
      </c>
      <c r="J76" s="131">
        <v>59</v>
      </c>
      <c r="K76" s="112">
        <v>200.5</v>
      </c>
      <c r="L76" s="132" t="s">
        <v>3848</v>
      </c>
      <c r="M76" s="22">
        <v>480</v>
      </c>
    </row>
    <row r="77" spans="1:13" ht="15.75" customHeight="1">
      <c r="A77" s="19">
        <v>73</v>
      </c>
      <c r="B77" s="107" t="s">
        <v>3623</v>
      </c>
      <c r="C77" s="20" t="s">
        <v>1743</v>
      </c>
      <c r="D77" s="20" t="s">
        <v>203</v>
      </c>
      <c r="E77" s="20" t="s">
        <v>1744</v>
      </c>
      <c r="F77" s="21">
        <v>3</v>
      </c>
      <c r="G77" s="131">
        <v>2</v>
      </c>
      <c r="H77" s="21">
        <v>10</v>
      </c>
      <c r="I77" s="50" t="s">
        <v>3799</v>
      </c>
      <c r="J77" s="131">
        <v>2</v>
      </c>
      <c r="K77" s="108">
        <v>6.5</v>
      </c>
      <c r="L77" s="132" t="s">
        <v>3849</v>
      </c>
      <c r="M77" s="22">
        <v>26</v>
      </c>
    </row>
    <row r="78" spans="1:13" ht="15.75" customHeight="1">
      <c r="A78" s="23">
        <v>74</v>
      </c>
      <c r="B78" s="107" t="s">
        <v>3623</v>
      </c>
      <c r="C78" s="24" t="s">
        <v>1642</v>
      </c>
      <c r="D78" s="24" t="s">
        <v>169</v>
      </c>
      <c r="E78" s="24" t="s">
        <v>32</v>
      </c>
      <c r="F78" s="25">
        <v>108</v>
      </c>
      <c r="G78" s="25">
        <v>77</v>
      </c>
      <c r="H78" s="131">
        <v>29</v>
      </c>
      <c r="I78" s="50" t="s">
        <v>3797</v>
      </c>
      <c r="J78" s="131">
        <v>29</v>
      </c>
      <c r="K78" s="112">
        <v>92.5</v>
      </c>
      <c r="L78" s="132" t="s">
        <v>3849</v>
      </c>
      <c r="M78" s="22">
        <v>284</v>
      </c>
    </row>
    <row r="79" spans="1:13" ht="15.75" customHeight="1">
      <c r="A79" s="19">
        <v>75</v>
      </c>
      <c r="B79" s="107" t="s">
        <v>3623</v>
      </c>
      <c r="C79" s="20" t="s">
        <v>1910</v>
      </c>
      <c r="D79" s="20" t="s">
        <v>1908</v>
      </c>
      <c r="E79" s="20" t="s">
        <v>1911</v>
      </c>
      <c r="F79" s="21">
        <v>30</v>
      </c>
      <c r="G79" s="21">
        <v>65</v>
      </c>
      <c r="H79" s="131">
        <v>15</v>
      </c>
      <c r="I79" s="50" t="s">
        <v>3797</v>
      </c>
      <c r="J79" s="131">
        <v>15</v>
      </c>
      <c r="K79" s="108">
        <v>47.5</v>
      </c>
      <c r="L79" s="132" t="s">
        <v>3849</v>
      </c>
      <c r="M79" s="22">
        <v>110</v>
      </c>
    </row>
    <row r="80" spans="1:13" ht="15.75" customHeight="1">
      <c r="A80" s="23">
        <v>76</v>
      </c>
      <c r="B80" s="107" t="s">
        <v>3623</v>
      </c>
      <c r="C80" s="24" t="s">
        <v>1747</v>
      </c>
      <c r="D80" s="24" t="s">
        <v>203</v>
      </c>
      <c r="E80" s="24" t="s">
        <v>1689</v>
      </c>
      <c r="F80" s="25">
        <v>7</v>
      </c>
      <c r="G80" s="131">
        <v>3</v>
      </c>
      <c r="H80" s="25">
        <v>12</v>
      </c>
      <c r="I80" s="50" t="s">
        <v>3799</v>
      </c>
      <c r="J80" s="131">
        <v>3</v>
      </c>
      <c r="K80" s="112">
        <v>9.5</v>
      </c>
      <c r="L80" s="132" t="s">
        <v>3849</v>
      </c>
      <c r="M80" s="22">
        <v>29</v>
      </c>
    </row>
    <row r="81" spans="1:13" ht="15.75" customHeight="1">
      <c r="A81" s="19">
        <v>77</v>
      </c>
      <c r="B81" s="107" t="s">
        <v>3623</v>
      </c>
      <c r="C81" s="20" t="s">
        <v>1773</v>
      </c>
      <c r="D81" s="20" t="s">
        <v>244</v>
      </c>
      <c r="E81" s="20" t="s">
        <v>1774</v>
      </c>
      <c r="F81" s="131">
        <v>30</v>
      </c>
      <c r="G81" s="21">
        <v>80</v>
      </c>
      <c r="H81" s="21">
        <v>110</v>
      </c>
      <c r="I81" s="50" t="s">
        <v>3801</v>
      </c>
      <c r="J81" s="131">
        <v>30</v>
      </c>
      <c r="K81" s="108">
        <v>95</v>
      </c>
      <c r="L81" s="132" t="s">
        <v>3849</v>
      </c>
      <c r="M81" s="22">
        <v>220</v>
      </c>
    </row>
    <row r="82" spans="1:13" ht="15.75" customHeight="1">
      <c r="A82" s="23">
        <v>78</v>
      </c>
      <c r="B82" s="107" t="s">
        <v>3623</v>
      </c>
      <c r="C82" s="24" t="s">
        <v>179</v>
      </c>
      <c r="D82" s="24" t="s">
        <v>180</v>
      </c>
      <c r="E82" s="24" t="s">
        <v>170</v>
      </c>
      <c r="F82" s="131">
        <v>3</v>
      </c>
      <c r="G82" s="25">
        <v>16</v>
      </c>
      <c r="H82" s="25">
        <v>3</v>
      </c>
      <c r="I82" s="50" t="s">
        <v>3801</v>
      </c>
      <c r="J82" s="131">
        <v>3</v>
      </c>
      <c r="K82" s="112">
        <v>9.5</v>
      </c>
      <c r="L82" s="132" t="s">
        <v>3849</v>
      </c>
      <c r="M82" s="22">
        <v>22</v>
      </c>
    </row>
    <row r="83" spans="1:13" ht="15.75" customHeight="1">
      <c r="A83" s="19">
        <v>79</v>
      </c>
      <c r="B83" s="107" t="s">
        <v>3623</v>
      </c>
      <c r="C83" s="20" t="s">
        <v>175</v>
      </c>
      <c r="D83" s="20" t="s">
        <v>169</v>
      </c>
      <c r="E83" s="20" t="s">
        <v>87</v>
      </c>
      <c r="F83" s="21">
        <v>33</v>
      </c>
      <c r="G83" s="21">
        <v>17</v>
      </c>
      <c r="H83" s="131">
        <v>8</v>
      </c>
      <c r="I83" s="50" t="s">
        <v>3797</v>
      </c>
      <c r="J83" s="131">
        <v>8</v>
      </c>
      <c r="K83" s="108">
        <v>25</v>
      </c>
      <c r="L83" s="132" t="s">
        <v>3850</v>
      </c>
      <c r="M83" s="22">
        <v>58</v>
      </c>
    </row>
    <row r="84" spans="1:13" ht="15.75" customHeight="1">
      <c r="A84" s="23">
        <v>80</v>
      </c>
      <c r="B84" s="107" t="s">
        <v>3623</v>
      </c>
      <c r="C84" s="24" t="s">
        <v>233</v>
      </c>
      <c r="D84" s="24" t="s">
        <v>203</v>
      </c>
      <c r="E84" s="24" t="s">
        <v>50</v>
      </c>
      <c r="F84" s="25">
        <v>70</v>
      </c>
      <c r="G84" s="131">
        <v>16</v>
      </c>
      <c r="H84" s="25">
        <v>30</v>
      </c>
      <c r="I84" s="50" t="s">
        <v>3799</v>
      </c>
      <c r="J84" s="131">
        <v>16</v>
      </c>
      <c r="K84" s="112">
        <v>50</v>
      </c>
      <c r="L84" s="132" t="s">
        <v>3850</v>
      </c>
      <c r="M84" s="22">
        <v>116</v>
      </c>
    </row>
    <row r="85" spans="1:13" ht="15.75" customHeight="1">
      <c r="A85" s="19">
        <v>81</v>
      </c>
      <c r="B85" s="107" t="s">
        <v>3623</v>
      </c>
      <c r="C85" s="20" t="s">
        <v>1797</v>
      </c>
      <c r="D85" s="20" t="s">
        <v>253</v>
      </c>
      <c r="E85" s="20" t="s">
        <v>1798</v>
      </c>
      <c r="F85" s="21">
        <v>160</v>
      </c>
      <c r="G85" s="131">
        <v>55</v>
      </c>
      <c r="H85" s="21">
        <v>180</v>
      </c>
      <c r="I85" s="50" t="s">
        <v>3799</v>
      </c>
      <c r="J85" s="131">
        <v>55</v>
      </c>
      <c r="K85" s="108">
        <v>170</v>
      </c>
      <c r="L85" s="132" t="s">
        <v>3850</v>
      </c>
      <c r="M85" s="22">
        <v>445</v>
      </c>
    </row>
    <row r="86" spans="1:13" ht="15.75" customHeight="1">
      <c r="A86" s="23">
        <v>82</v>
      </c>
      <c r="B86" s="107" t="s">
        <v>3623</v>
      </c>
      <c r="C86" s="24" t="s">
        <v>1857</v>
      </c>
      <c r="D86" s="24" t="s">
        <v>283</v>
      </c>
      <c r="E86" s="24" t="s">
        <v>1858</v>
      </c>
      <c r="F86" s="25">
        <v>159</v>
      </c>
      <c r="G86" s="131">
        <v>64</v>
      </c>
      <c r="H86" s="25">
        <v>230</v>
      </c>
      <c r="I86" s="50" t="s">
        <v>3799</v>
      </c>
      <c r="J86" s="131">
        <v>64</v>
      </c>
      <c r="K86" s="112">
        <v>194.5</v>
      </c>
      <c r="L86" s="132" t="s">
        <v>3851</v>
      </c>
      <c r="M86" s="22">
        <v>503</v>
      </c>
    </row>
    <row r="87" spans="1:13" ht="15.75" customHeight="1">
      <c r="A87" s="19">
        <v>83</v>
      </c>
      <c r="B87" s="107" t="s">
        <v>3623</v>
      </c>
      <c r="C87" s="20" t="s">
        <v>1850</v>
      </c>
      <c r="D87" s="20" t="s">
        <v>278</v>
      </c>
      <c r="E87" s="20" t="s">
        <v>1851</v>
      </c>
      <c r="F87" s="21">
        <v>302</v>
      </c>
      <c r="G87" s="131">
        <v>70</v>
      </c>
      <c r="H87" s="21">
        <v>120</v>
      </c>
      <c r="I87" s="50" t="s">
        <v>3799</v>
      </c>
      <c r="J87" s="131">
        <v>70</v>
      </c>
      <c r="K87" s="108">
        <v>211</v>
      </c>
      <c r="L87" s="132" t="s">
        <v>3851</v>
      </c>
      <c r="M87" s="22">
        <v>667</v>
      </c>
    </row>
    <row r="88" spans="1:13" ht="15.75" customHeight="1">
      <c r="A88" s="23">
        <v>84</v>
      </c>
      <c r="B88" s="107" t="s">
        <v>3623</v>
      </c>
      <c r="C88" s="24" t="s">
        <v>1930</v>
      </c>
      <c r="D88" s="24" t="s">
        <v>1929</v>
      </c>
      <c r="E88" s="24" t="s">
        <v>1911</v>
      </c>
      <c r="F88" s="25">
        <v>10</v>
      </c>
      <c r="G88" s="25">
        <v>20</v>
      </c>
      <c r="H88" s="131">
        <v>5</v>
      </c>
      <c r="I88" s="50" t="s">
        <v>3797</v>
      </c>
      <c r="J88" s="131">
        <v>5</v>
      </c>
      <c r="K88" s="112">
        <v>15</v>
      </c>
      <c r="L88" s="132" t="s">
        <v>3851</v>
      </c>
      <c r="M88" s="22">
        <v>35</v>
      </c>
    </row>
    <row r="89" spans="1:13" ht="15.75" customHeight="1">
      <c r="A89" s="19">
        <v>85</v>
      </c>
      <c r="B89" s="107" t="s">
        <v>3623</v>
      </c>
      <c r="C89" s="20" t="s">
        <v>255</v>
      </c>
      <c r="D89" s="20" t="s">
        <v>253</v>
      </c>
      <c r="E89" s="20" t="s">
        <v>45</v>
      </c>
      <c r="F89" s="21">
        <v>10</v>
      </c>
      <c r="G89" s="21">
        <v>26</v>
      </c>
      <c r="H89" s="131">
        <v>6</v>
      </c>
      <c r="I89" s="50" t="s">
        <v>3797</v>
      </c>
      <c r="J89" s="131">
        <v>6</v>
      </c>
      <c r="K89" s="108">
        <v>18</v>
      </c>
      <c r="L89" s="132" t="s">
        <v>3851</v>
      </c>
      <c r="M89" s="22">
        <v>42</v>
      </c>
    </row>
    <row r="90" spans="1:13" ht="15.75" customHeight="1">
      <c r="A90" s="23">
        <v>86</v>
      </c>
      <c r="B90" s="107" t="s">
        <v>3623</v>
      </c>
      <c r="C90" s="24" t="s">
        <v>1655</v>
      </c>
      <c r="D90" s="24" t="s">
        <v>1649</v>
      </c>
      <c r="E90" s="24" t="s">
        <v>1656</v>
      </c>
      <c r="F90" s="131">
        <v>5</v>
      </c>
      <c r="G90" s="25">
        <v>30</v>
      </c>
      <c r="H90" s="25"/>
      <c r="I90" s="50" t="s">
        <v>3801</v>
      </c>
      <c r="J90" s="131">
        <v>5</v>
      </c>
      <c r="K90" s="112">
        <v>15</v>
      </c>
      <c r="L90" s="132" t="s">
        <v>3851</v>
      </c>
      <c r="M90" s="22">
        <v>35</v>
      </c>
    </row>
    <row r="92" spans="1:13" ht="19.5" customHeight="1">
      <c r="A92" s="143" t="s">
        <v>3852</v>
      </c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</row>
    <row r="93" spans="1:13" ht="15.75" customHeight="1">
      <c r="A93" s="19">
        <v>1</v>
      </c>
      <c r="B93" s="34" t="s">
        <v>3625</v>
      </c>
      <c r="C93" s="20" t="s">
        <v>1467</v>
      </c>
      <c r="D93" s="20" t="s">
        <v>1466</v>
      </c>
      <c r="E93" s="20" t="s">
        <v>24</v>
      </c>
      <c r="F93" s="21">
        <v>27898</v>
      </c>
      <c r="G93" s="131">
        <v>55</v>
      </c>
      <c r="H93" s="21"/>
      <c r="I93" s="50" t="s">
        <v>3799</v>
      </c>
      <c r="J93" s="131">
        <v>55</v>
      </c>
      <c r="K93" s="108">
        <v>13949</v>
      </c>
      <c r="L93" s="132" t="s">
        <v>3853</v>
      </c>
      <c r="M93" s="22">
        <v>27953</v>
      </c>
    </row>
    <row r="94" spans="1:13" ht="15.75" customHeight="1">
      <c r="A94" s="23">
        <v>2</v>
      </c>
      <c r="B94" s="34" t="s">
        <v>3625</v>
      </c>
      <c r="C94" s="24" t="s">
        <v>1486</v>
      </c>
      <c r="D94" s="24" t="s">
        <v>1481</v>
      </c>
      <c r="E94" s="24" t="s">
        <v>24</v>
      </c>
      <c r="F94" s="25">
        <v>2048</v>
      </c>
      <c r="G94" s="25">
        <v>334</v>
      </c>
      <c r="H94" s="131">
        <v>6</v>
      </c>
      <c r="I94" s="50" t="s">
        <v>3797</v>
      </c>
      <c r="J94" s="131">
        <v>6</v>
      </c>
      <c r="K94" s="112">
        <v>1191</v>
      </c>
      <c r="L94" s="132" t="s">
        <v>3854</v>
      </c>
      <c r="M94" s="22">
        <v>2405</v>
      </c>
    </row>
    <row r="95" spans="1:13" ht="15.75" customHeight="1">
      <c r="A95" s="19">
        <v>3</v>
      </c>
      <c r="B95" s="34" t="s">
        <v>3625</v>
      </c>
      <c r="C95" s="20" t="s">
        <v>1503</v>
      </c>
      <c r="D95" s="20" t="s">
        <v>1504</v>
      </c>
      <c r="E95" s="20" t="s">
        <v>20</v>
      </c>
      <c r="F95" s="21">
        <v>500</v>
      </c>
      <c r="G95" s="131">
        <v>5</v>
      </c>
      <c r="H95" s="21"/>
      <c r="I95" s="50" t="s">
        <v>3799</v>
      </c>
      <c r="J95" s="131">
        <v>5</v>
      </c>
      <c r="K95" s="108">
        <v>250</v>
      </c>
      <c r="L95" s="132" t="s">
        <v>3855</v>
      </c>
      <c r="M95" s="22">
        <v>505</v>
      </c>
    </row>
    <row r="96" spans="1:13" ht="15.75" customHeight="1">
      <c r="A96" s="23">
        <v>4</v>
      </c>
      <c r="B96" s="34" t="s">
        <v>3625</v>
      </c>
      <c r="C96" s="24" t="s">
        <v>2092</v>
      </c>
      <c r="D96" s="24" t="s">
        <v>1460</v>
      </c>
      <c r="E96" s="24" t="s">
        <v>2093</v>
      </c>
      <c r="F96" s="25">
        <v>52</v>
      </c>
      <c r="G96" s="25">
        <v>20</v>
      </c>
      <c r="H96" s="131">
        <v>1</v>
      </c>
      <c r="I96" s="50" t="s">
        <v>3797</v>
      </c>
      <c r="J96" s="131">
        <v>1</v>
      </c>
      <c r="K96" s="112">
        <v>36</v>
      </c>
      <c r="L96" s="132" t="s">
        <v>3856</v>
      </c>
      <c r="M96" s="22">
        <v>73</v>
      </c>
    </row>
    <row r="97" spans="1:13" ht="15.75" customHeight="1">
      <c r="A97" s="19">
        <v>5</v>
      </c>
      <c r="B97" s="34" t="s">
        <v>3625</v>
      </c>
      <c r="C97" s="20" t="s">
        <v>2065</v>
      </c>
      <c r="D97" s="20" t="s">
        <v>1493</v>
      </c>
      <c r="E97" s="20" t="s">
        <v>2066</v>
      </c>
      <c r="F97" s="21">
        <v>830</v>
      </c>
      <c r="G97" s="131">
        <v>12</v>
      </c>
      <c r="H97" s="21"/>
      <c r="I97" s="50" t="s">
        <v>3799</v>
      </c>
      <c r="J97" s="131">
        <v>12</v>
      </c>
      <c r="K97" s="108">
        <v>415</v>
      </c>
      <c r="L97" s="132" t="s">
        <v>3857</v>
      </c>
      <c r="M97" s="22">
        <v>842</v>
      </c>
    </row>
    <row r="98" spans="1:13" ht="15.75" customHeight="1">
      <c r="A98" s="23">
        <v>6</v>
      </c>
      <c r="B98" s="34" t="s">
        <v>3625</v>
      </c>
      <c r="C98" s="24" t="s">
        <v>2916</v>
      </c>
      <c r="D98" s="24" t="s">
        <v>1491</v>
      </c>
      <c r="E98" s="24" t="s">
        <v>2917</v>
      </c>
      <c r="F98" s="25"/>
      <c r="G98" s="131">
        <v>1</v>
      </c>
      <c r="H98" s="25">
        <v>50</v>
      </c>
      <c r="I98" s="50" t="s">
        <v>3799</v>
      </c>
      <c r="J98" s="131">
        <v>1</v>
      </c>
      <c r="K98" s="112">
        <v>25</v>
      </c>
      <c r="L98" s="132" t="s">
        <v>3858</v>
      </c>
      <c r="M98" s="22">
        <v>51</v>
      </c>
    </row>
    <row r="99" spans="1:13" ht="15.75" customHeight="1">
      <c r="A99" s="19">
        <v>7</v>
      </c>
      <c r="B99" s="34" t="s">
        <v>3625</v>
      </c>
      <c r="C99" s="20" t="s">
        <v>2271</v>
      </c>
      <c r="D99" s="20" t="s">
        <v>1523</v>
      </c>
      <c r="E99" s="20" t="s">
        <v>1909</v>
      </c>
      <c r="F99" s="131">
        <v>1</v>
      </c>
      <c r="G99" s="21">
        <v>25</v>
      </c>
      <c r="H99" s="21">
        <v>20</v>
      </c>
      <c r="I99" s="50" t="s">
        <v>3801</v>
      </c>
      <c r="J99" s="131">
        <v>1</v>
      </c>
      <c r="K99" s="108">
        <v>22.5</v>
      </c>
      <c r="L99" s="132" t="s">
        <v>3802</v>
      </c>
      <c r="M99" s="22">
        <v>46</v>
      </c>
    </row>
    <row r="100" spans="1:13" ht="15.75" customHeight="1">
      <c r="A100" s="23">
        <v>8</v>
      </c>
      <c r="B100" s="34" t="s">
        <v>3625</v>
      </c>
      <c r="C100" s="24" t="s">
        <v>1483</v>
      </c>
      <c r="D100" s="24" t="s">
        <v>1481</v>
      </c>
      <c r="E100" s="24" t="s">
        <v>42</v>
      </c>
      <c r="F100" s="131">
        <v>3</v>
      </c>
      <c r="G100" s="25">
        <v>82</v>
      </c>
      <c r="H100" s="25">
        <v>46</v>
      </c>
      <c r="I100" s="50" t="s">
        <v>3801</v>
      </c>
      <c r="J100" s="131">
        <v>3</v>
      </c>
      <c r="K100" s="112">
        <v>64</v>
      </c>
      <c r="L100" s="132" t="s">
        <v>3859</v>
      </c>
      <c r="M100" s="22">
        <v>248</v>
      </c>
    </row>
    <row r="101" spans="1:13" ht="15.75" customHeight="1">
      <c r="A101" s="19">
        <v>9</v>
      </c>
      <c r="B101" s="34" t="s">
        <v>3625</v>
      </c>
      <c r="C101" s="20" t="s">
        <v>1501</v>
      </c>
      <c r="D101" s="20" t="s">
        <v>1493</v>
      </c>
      <c r="E101" s="20" t="s">
        <v>26</v>
      </c>
      <c r="F101" s="21">
        <v>524</v>
      </c>
      <c r="G101" s="21">
        <v>17</v>
      </c>
      <c r="H101" s="131">
        <v>13</v>
      </c>
      <c r="I101" s="50" t="s">
        <v>3797</v>
      </c>
      <c r="J101" s="131">
        <v>13</v>
      </c>
      <c r="K101" s="108">
        <v>270.5</v>
      </c>
      <c r="L101" s="132" t="s">
        <v>3860</v>
      </c>
      <c r="M101" s="22">
        <v>554</v>
      </c>
    </row>
    <row r="102" spans="1:13" ht="15.75" customHeight="1">
      <c r="A102" s="23">
        <v>10</v>
      </c>
      <c r="B102" s="34" t="s">
        <v>3625</v>
      </c>
      <c r="C102" s="24" t="s">
        <v>2139</v>
      </c>
      <c r="D102" s="24" t="s">
        <v>1471</v>
      </c>
      <c r="E102" s="24" t="s">
        <v>2140</v>
      </c>
      <c r="F102" s="25">
        <v>250</v>
      </c>
      <c r="G102" s="25">
        <v>35</v>
      </c>
      <c r="H102" s="131">
        <v>8</v>
      </c>
      <c r="I102" s="50" t="s">
        <v>3797</v>
      </c>
      <c r="J102" s="131">
        <v>8</v>
      </c>
      <c r="K102" s="112">
        <v>142.5</v>
      </c>
      <c r="L102" s="132" t="s">
        <v>3861</v>
      </c>
      <c r="M102" s="22">
        <v>313</v>
      </c>
    </row>
    <row r="103" spans="1:13" ht="15.75" customHeight="1">
      <c r="A103" s="19">
        <v>11</v>
      </c>
      <c r="B103" s="34" t="s">
        <v>3625</v>
      </c>
      <c r="C103" s="20" t="s">
        <v>2223</v>
      </c>
      <c r="D103" s="20" t="s">
        <v>1493</v>
      </c>
      <c r="E103" s="20" t="s">
        <v>2224</v>
      </c>
      <c r="F103" s="21">
        <v>825</v>
      </c>
      <c r="G103" s="21">
        <v>135</v>
      </c>
      <c r="H103" s="131">
        <v>36</v>
      </c>
      <c r="I103" s="50" t="s">
        <v>3797</v>
      </c>
      <c r="J103" s="131">
        <v>36</v>
      </c>
      <c r="K103" s="108">
        <v>480</v>
      </c>
      <c r="L103" s="132" t="s">
        <v>3862</v>
      </c>
      <c r="M103" s="22">
        <v>1176</v>
      </c>
    </row>
    <row r="104" spans="1:13" ht="15.75" customHeight="1">
      <c r="A104" s="23">
        <v>12</v>
      </c>
      <c r="B104" s="34" t="s">
        <v>3625</v>
      </c>
      <c r="C104" s="24" t="s">
        <v>2129</v>
      </c>
      <c r="D104" s="24" t="s">
        <v>1466</v>
      </c>
      <c r="E104" s="24" t="s">
        <v>2130</v>
      </c>
      <c r="F104" s="25">
        <v>60</v>
      </c>
      <c r="G104" s="131">
        <v>3</v>
      </c>
      <c r="H104" s="25">
        <v>20</v>
      </c>
      <c r="I104" s="50" t="s">
        <v>3799</v>
      </c>
      <c r="J104" s="131">
        <v>3</v>
      </c>
      <c r="K104" s="112">
        <v>40</v>
      </c>
      <c r="L104" s="132" t="s">
        <v>3862</v>
      </c>
      <c r="M104" s="22">
        <v>103</v>
      </c>
    </row>
    <row r="105" spans="1:13" ht="15.75" customHeight="1">
      <c r="A105" s="19">
        <v>13</v>
      </c>
      <c r="B105" s="34" t="s">
        <v>3625</v>
      </c>
      <c r="C105" s="20" t="s">
        <v>1485</v>
      </c>
      <c r="D105" s="20" t="s">
        <v>1481</v>
      </c>
      <c r="E105" s="20" t="s">
        <v>45</v>
      </c>
      <c r="F105" s="21">
        <v>296</v>
      </c>
      <c r="G105" s="21">
        <v>78</v>
      </c>
      <c r="H105" s="131">
        <v>17</v>
      </c>
      <c r="I105" s="50" t="s">
        <v>3797</v>
      </c>
      <c r="J105" s="131">
        <v>17</v>
      </c>
      <c r="K105" s="108">
        <v>187</v>
      </c>
      <c r="L105" s="132" t="s">
        <v>3811</v>
      </c>
      <c r="M105" s="22">
        <v>395</v>
      </c>
    </row>
    <row r="106" spans="1:13" ht="15.75" customHeight="1">
      <c r="A106" s="23">
        <v>14</v>
      </c>
      <c r="B106" s="34" t="s">
        <v>3625</v>
      </c>
      <c r="C106" s="24" t="s">
        <v>2067</v>
      </c>
      <c r="D106" s="24" t="s">
        <v>2068</v>
      </c>
      <c r="E106" s="24" t="s">
        <v>2069</v>
      </c>
      <c r="F106" s="25">
        <v>40</v>
      </c>
      <c r="G106" s="25">
        <v>25</v>
      </c>
      <c r="H106" s="131">
        <v>3</v>
      </c>
      <c r="I106" s="50" t="s">
        <v>3797</v>
      </c>
      <c r="J106" s="131">
        <v>3</v>
      </c>
      <c r="K106" s="112">
        <v>32.5</v>
      </c>
      <c r="L106" s="132" t="s">
        <v>3812</v>
      </c>
      <c r="M106" s="22">
        <v>68</v>
      </c>
    </row>
    <row r="107" spans="1:13" ht="15.75" customHeight="1">
      <c r="A107" s="19">
        <v>15</v>
      </c>
      <c r="B107" s="34" t="s">
        <v>3625</v>
      </c>
      <c r="C107" s="20" t="s">
        <v>2075</v>
      </c>
      <c r="D107" s="20" t="s">
        <v>2068</v>
      </c>
      <c r="E107" s="20" t="s">
        <v>2076</v>
      </c>
      <c r="F107" s="21">
        <v>15</v>
      </c>
      <c r="G107" s="131">
        <v>10</v>
      </c>
      <c r="H107" s="21">
        <v>200</v>
      </c>
      <c r="I107" s="50" t="s">
        <v>3799</v>
      </c>
      <c r="J107" s="131">
        <v>10</v>
      </c>
      <c r="K107" s="108">
        <v>107.5</v>
      </c>
      <c r="L107" s="132" t="s">
        <v>3812</v>
      </c>
      <c r="M107" s="22">
        <v>225</v>
      </c>
    </row>
    <row r="108" spans="1:13" ht="15.75" customHeight="1">
      <c r="A108" s="23">
        <v>16</v>
      </c>
      <c r="B108" s="34" t="s">
        <v>3625</v>
      </c>
      <c r="C108" s="24" t="s">
        <v>1514</v>
      </c>
      <c r="D108" s="24" t="s">
        <v>1471</v>
      </c>
      <c r="E108" s="24" t="s">
        <v>1515</v>
      </c>
      <c r="F108" s="131">
        <v>10</v>
      </c>
      <c r="G108" s="25"/>
      <c r="H108" s="25">
        <v>200</v>
      </c>
      <c r="I108" s="50" t="s">
        <v>3801</v>
      </c>
      <c r="J108" s="131">
        <v>10</v>
      </c>
      <c r="K108" s="112">
        <v>100</v>
      </c>
      <c r="L108" s="132" t="s">
        <v>3813</v>
      </c>
      <c r="M108" s="22">
        <v>260</v>
      </c>
    </row>
    <row r="109" spans="1:13" ht="15.75" customHeight="1">
      <c r="A109" s="19">
        <v>17</v>
      </c>
      <c r="B109" s="34" t="s">
        <v>3625</v>
      </c>
      <c r="C109" s="20" t="s">
        <v>2031</v>
      </c>
      <c r="D109" s="20" t="s">
        <v>1463</v>
      </c>
      <c r="E109" s="20" t="s">
        <v>2032</v>
      </c>
      <c r="F109" s="131">
        <v>3</v>
      </c>
      <c r="G109" s="21">
        <v>15</v>
      </c>
      <c r="H109" s="21">
        <v>30</v>
      </c>
      <c r="I109" s="50" t="s">
        <v>3801</v>
      </c>
      <c r="J109" s="131">
        <v>3</v>
      </c>
      <c r="K109" s="108">
        <v>22.5</v>
      </c>
      <c r="L109" s="132" t="s">
        <v>3824</v>
      </c>
      <c r="M109" s="22">
        <v>48</v>
      </c>
    </row>
    <row r="110" spans="1:13" ht="15.75" customHeight="1">
      <c r="A110" s="23">
        <v>18</v>
      </c>
      <c r="B110" s="34" t="s">
        <v>3625</v>
      </c>
      <c r="C110" s="24" t="s">
        <v>2072</v>
      </c>
      <c r="D110" s="24" t="s">
        <v>2068</v>
      </c>
      <c r="E110" s="24" t="s">
        <v>2073</v>
      </c>
      <c r="F110" s="25">
        <v>30</v>
      </c>
      <c r="G110" s="131">
        <v>2</v>
      </c>
      <c r="H110" s="25"/>
      <c r="I110" s="50" t="s">
        <v>3799</v>
      </c>
      <c r="J110" s="131">
        <v>2</v>
      </c>
      <c r="K110" s="112">
        <v>15</v>
      </c>
      <c r="L110" s="132" t="s">
        <v>3824</v>
      </c>
      <c r="M110" s="22">
        <v>32</v>
      </c>
    </row>
    <row r="111" spans="1:13" ht="15.75" customHeight="1">
      <c r="A111" s="19">
        <v>19</v>
      </c>
      <c r="B111" s="34" t="s">
        <v>3625</v>
      </c>
      <c r="C111" s="20" t="s">
        <v>2186</v>
      </c>
      <c r="D111" s="20" t="s">
        <v>1481</v>
      </c>
      <c r="E111" s="20" t="s">
        <v>2187</v>
      </c>
      <c r="F111" s="21">
        <v>51</v>
      </c>
      <c r="G111" s="131">
        <v>5</v>
      </c>
      <c r="H111" s="21">
        <v>20</v>
      </c>
      <c r="I111" s="50" t="s">
        <v>3799</v>
      </c>
      <c r="J111" s="131">
        <v>5</v>
      </c>
      <c r="K111" s="108">
        <v>35.5</v>
      </c>
      <c r="L111" s="132" t="s">
        <v>3863</v>
      </c>
      <c r="M111" s="22">
        <v>96</v>
      </c>
    </row>
    <row r="112" spans="1:13" ht="15.75" customHeight="1">
      <c r="A112" s="23">
        <v>20</v>
      </c>
      <c r="B112" s="34" t="s">
        <v>3625</v>
      </c>
      <c r="C112" s="24" t="s">
        <v>2112</v>
      </c>
      <c r="D112" s="24" t="s">
        <v>1466</v>
      </c>
      <c r="E112" s="24" t="s">
        <v>1722</v>
      </c>
      <c r="F112" s="131">
        <v>6</v>
      </c>
      <c r="G112" s="25">
        <v>20</v>
      </c>
      <c r="H112" s="25">
        <v>60</v>
      </c>
      <c r="I112" s="50" t="s">
        <v>3801</v>
      </c>
      <c r="J112" s="131">
        <v>6</v>
      </c>
      <c r="K112" s="112">
        <v>40</v>
      </c>
      <c r="L112" s="132" t="s">
        <v>3864</v>
      </c>
      <c r="M112" s="22">
        <v>96</v>
      </c>
    </row>
    <row r="113" spans="1:13" ht="15.75" customHeight="1">
      <c r="A113" s="19">
        <v>21</v>
      </c>
      <c r="B113" s="34" t="s">
        <v>3625</v>
      </c>
      <c r="C113" s="20" t="s">
        <v>1497</v>
      </c>
      <c r="D113" s="20" t="s">
        <v>1493</v>
      </c>
      <c r="E113" s="20" t="s">
        <v>22</v>
      </c>
      <c r="F113" s="21">
        <v>80</v>
      </c>
      <c r="G113" s="21">
        <v>50</v>
      </c>
      <c r="H113" s="131">
        <v>10</v>
      </c>
      <c r="I113" s="50" t="s">
        <v>3797</v>
      </c>
      <c r="J113" s="131">
        <v>10</v>
      </c>
      <c r="K113" s="108">
        <v>65</v>
      </c>
      <c r="L113" s="132" t="s">
        <v>3865</v>
      </c>
      <c r="M113" s="22">
        <v>140</v>
      </c>
    </row>
    <row r="114" spans="1:13" ht="15.75" customHeight="1">
      <c r="A114" s="23">
        <v>22</v>
      </c>
      <c r="B114" s="34" t="s">
        <v>3625</v>
      </c>
      <c r="C114" s="24" t="s">
        <v>2178</v>
      </c>
      <c r="D114" s="24" t="s">
        <v>1475</v>
      </c>
      <c r="E114" s="24" t="s">
        <v>2179</v>
      </c>
      <c r="F114" s="131">
        <v>10</v>
      </c>
      <c r="G114" s="25"/>
      <c r="H114" s="25">
        <v>120</v>
      </c>
      <c r="I114" s="50" t="s">
        <v>3801</v>
      </c>
      <c r="J114" s="131">
        <v>10</v>
      </c>
      <c r="K114" s="112">
        <v>60</v>
      </c>
      <c r="L114" s="132" t="s">
        <v>3830</v>
      </c>
      <c r="M114" s="22">
        <v>150</v>
      </c>
    </row>
    <row r="115" spans="1:13" ht="15.75" customHeight="1">
      <c r="A115" s="19">
        <v>23</v>
      </c>
      <c r="B115" s="34" t="s">
        <v>3625</v>
      </c>
      <c r="C115" s="20" t="s">
        <v>2250</v>
      </c>
      <c r="D115" s="20" t="s">
        <v>1504</v>
      </c>
      <c r="E115" s="20" t="s">
        <v>2251</v>
      </c>
      <c r="F115" s="21">
        <v>23860</v>
      </c>
      <c r="G115" s="21">
        <v>6440</v>
      </c>
      <c r="H115" s="131">
        <v>2585</v>
      </c>
      <c r="I115" s="50" t="s">
        <v>3797</v>
      </c>
      <c r="J115" s="131">
        <v>2585</v>
      </c>
      <c r="K115" s="108">
        <v>15150</v>
      </c>
      <c r="L115" s="132" t="s">
        <v>3866</v>
      </c>
      <c r="M115" s="22">
        <v>36525</v>
      </c>
    </row>
    <row r="116" spans="1:13" ht="15.75" customHeight="1">
      <c r="A116" s="23">
        <v>24</v>
      </c>
      <c r="B116" s="34" t="s">
        <v>3625</v>
      </c>
      <c r="C116" s="24" t="s">
        <v>2147</v>
      </c>
      <c r="D116" s="24" t="s">
        <v>1471</v>
      </c>
      <c r="E116" s="24" t="s">
        <v>2148</v>
      </c>
      <c r="F116" s="131">
        <v>17</v>
      </c>
      <c r="G116" s="25">
        <v>57</v>
      </c>
      <c r="H116" s="25">
        <v>131</v>
      </c>
      <c r="I116" s="50" t="s">
        <v>3801</v>
      </c>
      <c r="J116" s="131">
        <v>17</v>
      </c>
      <c r="K116" s="112">
        <v>94</v>
      </c>
      <c r="L116" s="132" t="s">
        <v>3832</v>
      </c>
      <c r="M116" s="22">
        <v>205</v>
      </c>
    </row>
    <row r="117" spans="1:13" ht="15.75" customHeight="1">
      <c r="A117" s="19">
        <v>25</v>
      </c>
      <c r="B117" s="34" t="s">
        <v>3625</v>
      </c>
      <c r="C117" s="20" t="s">
        <v>1500</v>
      </c>
      <c r="D117" s="20" t="s">
        <v>1493</v>
      </c>
      <c r="E117" s="20" t="s">
        <v>24</v>
      </c>
      <c r="F117" s="131">
        <v>60</v>
      </c>
      <c r="G117" s="21">
        <v>210</v>
      </c>
      <c r="H117" s="21">
        <v>450</v>
      </c>
      <c r="I117" s="50" t="s">
        <v>3801</v>
      </c>
      <c r="J117" s="131">
        <v>60</v>
      </c>
      <c r="K117" s="108">
        <v>330</v>
      </c>
      <c r="L117" s="132" t="s">
        <v>3832</v>
      </c>
      <c r="M117" s="22">
        <v>720</v>
      </c>
    </row>
    <row r="118" spans="1:13" ht="15.75" customHeight="1">
      <c r="A118" s="23">
        <v>26</v>
      </c>
      <c r="B118" s="34" t="s">
        <v>3625</v>
      </c>
      <c r="C118" s="24" t="s">
        <v>1465</v>
      </c>
      <c r="D118" s="24" t="s">
        <v>1466</v>
      </c>
      <c r="E118" s="24" t="s">
        <v>32</v>
      </c>
      <c r="F118" s="131">
        <v>50</v>
      </c>
      <c r="G118" s="25"/>
      <c r="H118" s="25">
        <v>530</v>
      </c>
      <c r="I118" s="50" t="s">
        <v>3801</v>
      </c>
      <c r="J118" s="131">
        <v>50</v>
      </c>
      <c r="K118" s="112">
        <v>265</v>
      </c>
      <c r="L118" s="132" t="s">
        <v>3833</v>
      </c>
      <c r="M118" s="22">
        <v>580</v>
      </c>
    </row>
    <row r="119" spans="1:13" ht="15.75" customHeight="1">
      <c r="A119" s="19">
        <v>27</v>
      </c>
      <c r="B119" s="34" t="s">
        <v>3625</v>
      </c>
      <c r="C119" s="20" t="s">
        <v>1496</v>
      </c>
      <c r="D119" s="20" t="s">
        <v>1493</v>
      </c>
      <c r="E119" s="20" t="s">
        <v>42</v>
      </c>
      <c r="F119" s="21">
        <v>366</v>
      </c>
      <c r="G119" s="21">
        <v>45</v>
      </c>
      <c r="H119" s="131">
        <v>40</v>
      </c>
      <c r="I119" s="50" t="s">
        <v>3797</v>
      </c>
      <c r="J119" s="131">
        <v>40</v>
      </c>
      <c r="K119" s="108">
        <v>205.5</v>
      </c>
      <c r="L119" s="132" t="s">
        <v>3867</v>
      </c>
      <c r="M119" s="22">
        <v>469</v>
      </c>
    </row>
    <row r="120" spans="1:13" ht="15.75" customHeight="1">
      <c r="A120" s="23">
        <v>28</v>
      </c>
      <c r="B120" s="34" t="s">
        <v>3625</v>
      </c>
      <c r="C120" s="24" t="s">
        <v>1476</v>
      </c>
      <c r="D120" s="24" t="s">
        <v>1475</v>
      </c>
      <c r="E120" s="24" t="s">
        <v>182</v>
      </c>
      <c r="F120" s="131">
        <v>3</v>
      </c>
      <c r="G120" s="25">
        <v>30</v>
      </c>
      <c r="H120" s="25"/>
      <c r="I120" s="50" t="s">
        <v>3801</v>
      </c>
      <c r="J120" s="131">
        <v>3</v>
      </c>
      <c r="K120" s="112">
        <v>15</v>
      </c>
      <c r="L120" s="132" t="s">
        <v>3835</v>
      </c>
      <c r="M120" s="22">
        <v>33</v>
      </c>
    </row>
    <row r="121" spans="1:13" ht="15.75" customHeight="1">
      <c r="A121" s="19">
        <v>29</v>
      </c>
      <c r="B121" s="34" t="s">
        <v>3625</v>
      </c>
      <c r="C121" s="20" t="s">
        <v>2027</v>
      </c>
      <c r="D121" s="20" t="s">
        <v>1463</v>
      </c>
      <c r="E121" s="20" t="s">
        <v>2028</v>
      </c>
      <c r="F121" s="21">
        <v>20</v>
      </c>
      <c r="G121" s="131">
        <v>5</v>
      </c>
      <c r="H121" s="21">
        <v>30</v>
      </c>
      <c r="I121" s="50" t="s">
        <v>3799</v>
      </c>
      <c r="J121" s="131">
        <v>5</v>
      </c>
      <c r="K121" s="108">
        <v>25</v>
      </c>
      <c r="L121" s="132" t="s">
        <v>3835</v>
      </c>
      <c r="M121" s="22">
        <v>55</v>
      </c>
    </row>
    <row r="122" spans="1:13" ht="15.75" customHeight="1">
      <c r="A122" s="23">
        <v>30</v>
      </c>
      <c r="B122" s="34" t="s">
        <v>3625</v>
      </c>
      <c r="C122" s="24" t="s">
        <v>2792</v>
      </c>
      <c r="D122" s="24" t="s">
        <v>1481</v>
      </c>
      <c r="E122" s="24" t="s">
        <v>26</v>
      </c>
      <c r="F122" s="25"/>
      <c r="G122" s="25">
        <v>50</v>
      </c>
      <c r="H122" s="131">
        <v>5</v>
      </c>
      <c r="I122" s="50" t="s">
        <v>3797</v>
      </c>
      <c r="J122" s="131">
        <v>5</v>
      </c>
      <c r="K122" s="112">
        <v>25</v>
      </c>
      <c r="L122" s="132" t="s">
        <v>3835</v>
      </c>
      <c r="M122" s="22">
        <v>55</v>
      </c>
    </row>
    <row r="123" spans="1:13" ht="15.75" customHeight="1">
      <c r="A123" s="19">
        <v>31</v>
      </c>
      <c r="B123" s="34" t="s">
        <v>3625</v>
      </c>
      <c r="C123" s="20" t="s">
        <v>2910</v>
      </c>
      <c r="D123" s="20" t="s">
        <v>2041</v>
      </c>
      <c r="E123" s="20" t="s">
        <v>2911</v>
      </c>
      <c r="F123" s="21"/>
      <c r="G123" s="131">
        <v>10</v>
      </c>
      <c r="H123" s="21">
        <v>100</v>
      </c>
      <c r="I123" s="50" t="s">
        <v>3799</v>
      </c>
      <c r="J123" s="131">
        <v>10</v>
      </c>
      <c r="K123" s="108">
        <v>50</v>
      </c>
      <c r="L123" s="132" t="s">
        <v>3835</v>
      </c>
      <c r="M123" s="22">
        <v>110</v>
      </c>
    </row>
    <row r="124" spans="1:13" ht="15.75" customHeight="1">
      <c r="A124" s="23">
        <v>32</v>
      </c>
      <c r="B124" s="34" t="s">
        <v>3625</v>
      </c>
      <c r="C124" s="24" t="s">
        <v>2272</v>
      </c>
      <c r="D124" s="24" t="s">
        <v>2273</v>
      </c>
      <c r="E124" s="24" t="s">
        <v>1909</v>
      </c>
      <c r="F124" s="25">
        <v>120</v>
      </c>
      <c r="G124" s="25">
        <v>22</v>
      </c>
      <c r="H124" s="131">
        <v>15</v>
      </c>
      <c r="I124" s="50" t="s">
        <v>3797</v>
      </c>
      <c r="J124" s="131">
        <v>15</v>
      </c>
      <c r="K124" s="112">
        <v>71</v>
      </c>
      <c r="L124" s="132" t="s">
        <v>3868</v>
      </c>
      <c r="M124" s="22">
        <v>158</v>
      </c>
    </row>
    <row r="125" spans="1:13" ht="15.75" customHeight="1">
      <c r="A125" s="19">
        <v>33</v>
      </c>
      <c r="B125" s="34" t="s">
        <v>3625</v>
      </c>
      <c r="C125" s="20" t="s">
        <v>2121</v>
      </c>
      <c r="D125" s="20" t="s">
        <v>1466</v>
      </c>
      <c r="E125" s="20" t="s">
        <v>2122</v>
      </c>
      <c r="F125" s="21">
        <v>208</v>
      </c>
      <c r="G125" s="131">
        <v>28</v>
      </c>
      <c r="H125" s="21">
        <v>50</v>
      </c>
      <c r="I125" s="50" t="s">
        <v>3799</v>
      </c>
      <c r="J125" s="131">
        <v>28</v>
      </c>
      <c r="K125" s="108">
        <v>129</v>
      </c>
      <c r="L125" s="132" t="s">
        <v>3869</v>
      </c>
      <c r="M125" s="22">
        <v>286</v>
      </c>
    </row>
    <row r="126" spans="1:13" ht="15.75" customHeight="1">
      <c r="A126" s="23">
        <v>34</v>
      </c>
      <c r="B126" s="34" t="s">
        <v>3625</v>
      </c>
      <c r="C126" s="24" t="s">
        <v>2123</v>
      </c>
      <c r="D126" s="24" t="s">
        <v>1466</v>
      </c>
      <c r="E126" s="24" t="s">
        <v>2124</v>
      </c>
      <c r="F126" s="25">
        <v>203</v>
      </c>
      <c r="G126" s="131">
        <v>30</v>
      </c>
      <c r="H126" s="25">
        <v>72</v>
      </c>
      <c r="I126" s="50" t="s">
        <v>3799</v>
      </c>
      <c r="J126" s="131">
        <v>30</v>
      </c>
      <c r="K126" s="112">
        <v>137.5</v>
      </c>
      <c r="L126" s="132" t="s">
        <v>3869</v>
      </c>
      <c r="M126" s="22">
        <v>305</v>
      </c>
    </row>
    <row r="127" spans="1:13" ht="15.75" customHeight="1">
      <c r="A127" s="19">
        <v>35</v>
      </c>
      <c r="B127" s="34" t="s">
        <v>3625</v>
      </c>
      <c r="C127" s="20" t="s">
        <v>2077</v>
      </c>
      <c r="D127" s="20" t="s">
        <v>2008</v>
      </c>
      <c r="E127" s="20" t="s">
        <v>2078</v>
      </c>
      <c r="F127" s="21">
        <v>91</v>
      </c>
      <c r="G127" s="21"/>
      <c r="H127" s="131">
        <v>10</v>
      </c>
      <c r="I127" s="50" t="s">
        <v>3797</v>
      </c>
      <c r="J127" s="131">
        <v>10</v>
      </c>
      <c r="K127" s="108">
        <v>45.5</v>
      </c>
      <c r="L127" s="132" t="s">
        <v>3838</v>
      </c>
      <c r="M127" s="22">
        <v>101</v>
      </c>
    </row>
    <row r="128" spans="1:13" ht="15.75" customHeight="1">
      <c r="A128" s="23">
        <v>36</v>
      </c>
      <c r="B128" s="34" t="s">
        <v>3625</v>
      </c>
      <c r="C128" s="24" t="s">
        <v>2248</v>
      </c>
      <c r="D128" s="24" t="s">
        <v>1504</v>
      </c>
      <c r="E128" s="24" t="s">
        <v>2249</v>
      </c>
      <c r="F128" s="25">
        <v>68</v>
      </c>
      <c r="G128" s="25">
        <v>109</v>
      </c>
      <c r="H128" s="131">
        <v>20</v>
      </c>
      <c r="I128" s="50" t="s">
        <v>3797</v>
      </c>
      <c r="J128" s="131">
        <v>20</v>
      </c>
      <c r="K128" s="112">
        <v>88.5</v>
      </c>
      <c r="L128" s="132" t="s">
        <v>3839</v>
      </c>
      <c r="M128" s="22">
        <v>227</v>
      </c>
    </row>
    <row r="129" spans="1:13" ht="15.75" customHeight="1">
      <c r="A129" s="19">
        <v>37</v>
      </c>
      <c r="B129" s="34" t="s">
        <v>3625</v>
      </c>
      <c r="C129" s="20" t="s">
        <v>2155</v>
      </c>
      <c r="D129" s="20" t="s">
        <v>1475</v>
      </c>
      <c r="E129" s="20" t="s">
        <v>1668</v>
      </c>
      <c r="F129" s="21">
        <v>60</v>
      </c>
      <c r="G129" s="131">
        <v>10</v>
      </c>
      <c r="H129" s="21">
        <v>25</v>
      </c>
      <c r="I129" s="50" t="s">
        <v>3799</v>
      </c>
      <c r="J129" s="131">
        <v>10</v>
      </c>
      <c r="K129" s="108">
        <v>42.5</v>
      </c>
      <c r="L129" s="132" t="s">
        <v>3841</v>
      </c>
      <c r="M129" s="22">
        <v>115</v>
      </c>
    </row>
    <row r="130" spans="1:13" ht="15.75" customHeight="1">
      <c r="A130" s="23">
        <v>38</v>
      </c>
      <c r="B130" s="34" t="s">
        <v>3625</v>
      </c>
      <c r="C130" s="24" t="s">
        <v>2135</v>
      </c>
      <c r="D130" s="24" t="s">
        <v>1471</v>
      </c>
      <c r="E130" s="24" t="s">
        <v>2136</v>
      </c>
      <c r="F130" s="25">
        <v>294</v>
      </c>
      <c r="G130" s="25">
        <v>101</v>
      </c>
      <c r="H130" s="131">
        <v>49</v>
      </c>
      <c r="I130" s="50" t="s">
        <v>3797</v>
      </c>
      <c r="J130" s="131">
        <v>49</v>
      </c>
      <c r="K130" s="112">
        <v>197.5</v>
      </c>
      <c r="L130" s="132" t="s">
        <v>3870</v>
      </c>
      <c r="M130" s="22">
        <v>464</v>
      </c>
    </row>
    <row r="131" spans="1:13" ht="15.75" customHeight="1">
      <c r="A131" s="19">
        <v>39</v>
      </c>
      <c r="B131" s="34" t="s">
        <v>3625</v>
      </c>
      <c r="C131" s="20" t="s">
        <v>1482</v>
      </c>
      <c r="D131" s="20" t="s">
        <v>1481</v>
      </c>
      <c r="E131" s="20" t="s">
        <v>32</v>
      </c>
      <c r="F131" s="21">
        <v>59</v>
      </c>
      <c r="G131" s="21">
        <v>111</v>
      </c>
      <c r="H131" s="131">
        <v>22</v>
      </c>
      <c r="I131" s="50" t="s">
        <v>3797</v>
      </c>
      <c r="J131" s="131">
        <v>22</v>
      </c>
      <c r="K131" s="108">
        <v>85</v>
      </c>
      <c r="L131" s="132" t="s">
        <v>3843</v>
      </c>
      <c r="M131" s="22">
        <v>193</v>
      </c>
    </row>
    <row r="132" spans="1:13" ht="15.75" customHeight="1">
      <c r="A132" s="23">
        <v>40</v>
      </c>
      <c r="B132" s="34" t="s">
        <v>3625</v>
      </c>
      <c r="C132" s="24" t="s">
        <v>2102</v>
      </c>
      <c r="D132" s="24" t="s">
        <v>1463</v>
      </c>
      <c r="E132" s="24" t="s">
        <v>2103</v>
      </c>
      <c r="F132" s="25">
        <v>16</v>
      </c>
      <c r="G132" s="25">
        <v>7</v>
      </c>
      <c r="H132" s="131">
        <v>3</v>
      </c>
      <c r="I132" s="50" t="s">
        <v>3797</v>
      </c>
      <c r="J132" s="131">
        <v>3</v>
      </c>
      <c r="K132" s="112">
        <v>11.5</v>
      </c>
      <c r="L132" s="132" t="s">
        <v>3844</v>
      </c>
      <c r="M132" s="22">
        <v>56</v>
      </c>
    </row>
    <row r="133" spans="1:13" ht="15.75" customHeight="1">
      <c r="A133" s="19">
        <v>41</v>
      </c>
      <c r="B133" s="34" t="s">
        <v>3625</v>
      </c>
      <c r="C133" s="20" t="s">
        <v>2202</v>
      </c>
      <c r="D133" s="20" t="s">
        <v>1489</v>
      </c>
      <c r="E133" s="20" t="s">
        <v>2203</v>
      </c>
      <c r="F133" s="21">
        <v>38</v>
      </c>
      <c r="G133" s="131">
        <v>16</v>
      </c>
      <c r="H133" s="21">
        <v>84</v>
      </c>
      <c r="I133" s="50" t="s">
        <v>3799</v>
      </c>
      <c r="J133" s="131">
        <v>16</v>
      </c>
      <c r="K133" s="108">
        <v>61</v>
      </c>
      <c r="L133" s="132" t="s">
        <v>3844</v>
      </c>
      <c r="M133" s="22">
        <v>267</v>
      </c>
    </row>
    <row r="134" spans="1:13" ht="15.75" customHeight="1">
      <c r="A134" s="23">
        <v>42</v>
      </c>
      <c r="B134" s="34" t="s">
        <v>3625</v>
      </c>
      <c r="C134" s="24" t="s">
        <v>2256</v>
      </c>
      <c r="D134" s="24" t="s">
        <v>1504</v>
      </c>
      <c r="E134" s="24" t="s">
        <v>2257</v>
      </c>
      <c r="F134" s="25">
        <v>12335</v>
      </c>
      <c r="G134" s="25">
        <v>6115</v>
      </c>
      <c r="H134" s="131">
        <v>2437</v>
      </c>
      <c r="I134" s="50" t="s">
        <v>3797</v>
      </c>
      <c r="J134" s="131">
        <v>2437</v>
      </c>
      <c r="K134" s="112">
        <v>9225</v>
      </c>
      <c r="L134" s="132" t="s">
        <v>3844</v>
      </c>
      <c r="M134" s="22">
        <v>23298</v>
      </c>
    </row>
    <row r="135" spans="1:13" ht="15.75" customHeight="1">
      <c r="A135" s="19">
        <v>43</v>
      </c>
      <c r="B135" s="34" t="s">
        <v>3625</v>
      </c>
      <c r="C135" s="20" t="s">
        <v>2181</v>
      </c>
      <c r="D135" s="20" t="s">
        <v>1481</v>
      </c>
      <c r="E135" s="20" t="s">
        <v>2182</v>
      </c>
      <c r="F135" s="131">
        <v>60</v>
      </c>
      <c r="G135" s="21">
        <v>353</v>
      </c>
      <c r="H135" s="21">
        <v>72</v>
      </c>
      <c r="I135" s="50" t="s">
        <v>3801</v>
      </c>
      <c r="J135" s="131">
        <v>60</v>
      </c>
      <c r="K135" s="108">
        <v>212.5</v>
      </c>
      <c r="L135" s="132" t="s">
        <v>3847</v>
      </c>
      <c r="M135" s="22">
        <v>515</v>
      </c>
    </row>
    <row r="136" spans="1:13" ht="15.75" customHeight="1">
      <c r="A136" s="23">
        <v>44</v>
      </c>
      <c r="B136" s="34" t="s">
        <v>3625</v>
      </c>
      <c r="C136" s="24" t="s">
        <v>1488</v>
      </c>
      <c r="D136" s="24" t="s">
        <v>1489</v>
      </c>
      <c r="E136" s="24" t="s">
        <v>259</v>
      </c>
      <c r="F136" s="131">
        <v>2</v>
      </c>
      <c r="G136" s="25">
        <v>12</v>
      </c>
      <c r="H136" s="25">
        <v>2</v>
      </c>
      <c r="I136" s="50" t="s">
        <v>3801</v>
      </c>
      <c r="J136" s="131">
        <v>2</v>
      </c>
      <c r="K136" s="112">
        <v>7</v>
      </c>
      <c r="L136" s="132" t="s">
        <v>3847</v>
      </c>
      <c r="M136" s="22">
        <v>16</v>
      </c>
    </row>
    <row r="137" spans="1:13" ht="15.75" customHeight="1">
      <c r="A137" s="19">
        <v>45</v>
      </c>
      <c r="B137" s="34" t="s">
        <v>3625</v>
      </c>
      <c r="C137" s="20" t="s">
        <v>2295</v>
      </c>
      <c r="D137" s="20" t="s">
        <v>2294</v>
      </c>
      <c r="E137" s="20" t="s">
        <v>1913</v>
      </c>
      <c r="F137" s="21">
        <v>5</v>
      </c>
      <c r="G137" s="21">
        <v>2</v>
      </c>
      <c r="H137" s="131">
        <v>1</v>
      </c>
      <c r="I137" s="50" t="s">
        <v>3797</v>
      </c>
      <c r="J137" s="131">
        <v>1</v>
      </c>
      <c r="K137" s="108">
        <v>3.5</v>
      </c>
      <c r="L137" s="132" t="s">
        <v>3847</v>
      </c>
      <c r="M137" s="22">
        <v>8</v>
      </c>
    </row>
    <row r="138" spans="1:13" ht="15.75" customHeight="1">
      <c r="A138" s="23">
        <v>46</v>
      </c>
      <c r="B138" s="34" t="s">
        <v>3625</v>
      </c>
      <c r="C138" s="24" t="s">
        <v>2303</v>
      </c>
      <c r="D138" s="24" t="s">
        <v>1504</v>
      </c>
      <c r="E138" s="24" t="s">
        <v>2304</v>
      </c>
      <c r="F138" s="131">
        <v>1</v>
      </c>
      <c r="G138" s="25"/>
      <c r="H138" s="25">
        <v>7</v>
      </c>
      <c r="I138" s="50" t="s">
        <v>3801</v>
      </c>
      <c r="J138" s="131">
        <v>1</v>
      </c>
      <c r="K138" s="112">
        <v>3.5</v>
      </c>
      <c r="L138" s="132" t="s">
        <v>3847</v>
      </c>
      <c r="M138" s="22">
        <v>18</v>
      </c>
    </row>
    <row r="139" spans="1:13" ht="15.75" customHeight="1">
      <c r="A139" s="19">
        <v>47</v>
      </c>
      <c r="B139" s="34" t="s">
        <v>3625</v>
      </c>
      <c r="C139" s="20" t="s">
        <v>2096</v>
      </c>
      <c r="D139" s="20" t="s">
        <v>1463</v>
      </c>
      <c r="E139" s="20" t="s">
        <v>2097</v>
      </c>
      <c r="F139" s="21">
        <v>140</v>
      </c>
      <c r="G139" s="21">
        <v>57</v>
      </c>
      <c r="H139" s="131">
        <v>30</v>
      </c>
      <c r="I139" s="50" t="s">
        <v>3797</v>
      </c>
      <c r="J139" s="131">
        <v>30</v>
      </c>
      <c r="K139" s="108">
        <v>98.5</v>
      </c>
      <c r="L139" s="132" t="s">
        <v>3871</v>
      </c>
      <c r="M139" s="22">
        <v>227</v>
      </c>
    </row>
    <row r="140" spans="1:13" ht="15.75" customHeight="1">
      <c r="A140" s="23">
        <v>48</v>
      </c>
      <c r="B140" s="34" t="s">
        <v>3625</v>
      </c>
      <c r="C140" s="24" t="s">
        <v>2172</v>
      </c>
      <c r="D140" s="24" t="s">
        <v>1475</v>
      </c>
      <c r="E140" s="24" t="s">
        <v>2173</v>
      </c>
      <c r="F140" s="25">
        <v>125</v>
      </c>
      <c r="G140" s="131">
        <v>28</v>
      </c>
      <c r="H140" s="25">
        <v>50</v>
      </c>
      <c r="I140" s="50" t="s">
        <v>3799</v>
      </c>
      <c r="J140" s="131">
        <v>28</v>
      </c>
      <c r="K140" s="112">
        <v>87.5</v>
      </c>
      <c r="L140" s="132" t="s">
        <v>3850</v>
      </c>
      <c r="M140" s="22">
        <v>213</v>
      </c>
    </row>
    <row r="141" spans="1:13" ht="15.75" customHeight="1">
      <c r="A141" s="19">
        <v>49</v>
      </c>
      <c r="B141" s="34" t="s">
        <v>3625</v>
      </c>
      <c r="C141" s="20" t="s">
        <v>2098</v>
      </c>
      <c r="D141" s="20" t="s">
        <v>1463</v>
      </c>
      <c r="E141" s="20" t="s">
        <v>2099</v>
      </c>
      <c r="F141" s="21">
        <v>303</v>
      </c>
      <c r="G141" s="21">
        <v>123</v>
      </c>
      <c r="H141" s="131">
        <v>70</v>
      </c>
      <c r="I141" s="50" t="s">
        <v>3797</v>
      </c>
      <c r="J141" s="131">
        <v>70</v>
      </c>
      <c r="K141" s="108">
        <v>213</v>
      </c>
      <c r="L141" s="132" t="s">
        <v>3851</v>
      </c>
      <c r="M141" s="22">
        <v>496</v>
      </c>
    </row>
    <row r="142" spans="1:13" ht="15.75" customHeight="1">
      <c r="A142" s="23">
        <v>50</v>
      </c>
      <c r="B142" s="34" t="s">
        <v>3625</v>
      </c>
      <c r="C142" s="24" t="s">
        <v>2296</v>
      </c>
      <c r="D142" s="24" t="s">
        <v>1523</v>
      </c>
      <c r="E142" s="24" t="s">
        <v>1911</v>
      </c>
      <c r="F142" s="25">
        <v>100</v>
      </c>
      <c r="G142" s="131">
        <v>20</v>
      </c>
      <c r="H142" s="25">
        <v>20</v>
      </c>
      <c r="I142" s="50" t="s">
        <v>3799</v>
      </c>
      <c r="J142" s="131">
        <v>20</v>
      </c>
      <c r="K142" s="112">
        <v>60</v>
      </c>
      <c r="L142" s="132" t="s">
        <v>3851</v>
      </c>
      <c r="M142" s="22">
        <v>140</v>
      </c>
    </row>
    <row r="143" spans="1:13" ht="15.75" customHeight="1">
      <c r="A143" s="19">
        <v>51</v>
      </c>
      <c r="B143" s="34" t="s">
        <v>3625</v>
      </c>
      <c r="C143" s="20" t="s">
        <v>1469</v>
      </c>
      <c r="D143" s="20" t="s">
        <v>1466</v>
      </c>
      <c r="E143" s="20" t="s">
        <v>26</v>
      </c>
      <c r="F143" s="21">
        <v>60</v>
      </c>
      <c r="G143" s="21"/>
      <c r="H143" s="131">
        <v>10</v>
      </c>
      <c r="I143" s="50" t="s">
        <v>3797</v>
      </c>
      <c r="J143" s="131">
        <v>10</v>
      </c>
      <c r="K143" s="108">
        <v>30</v>
      </c>
      <c r="L143" s="132" t="s">
        <v>3851</v>
      </c>
      <c r="M143" s="22">
        <v>70</v>
      </c>
    </row>
    <row r="145" spans="1:13" ht="19.5" customHeight="1">
      <c r="A145" s="144" t="s">
        <v>3872</v>
      </c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</row>
    <row r="146" spans="1:13" ht="15.75" customHeight="1">
      <c r="A146" s="23">
        <v>1</v>
      </c>
      <c r="B146" s="35" t="s">
        <v>3626</v>
      </c>
      <c r="C146" s="24" t="s">
        <v>1969</v>
      </c>
      <c r="D146" s="24" t="s">
        <v>1357</v>
      </c>
      <c r="E146" s="24" t="s">
        <v>1970</v>
      </c>
      <c r="F146" s="131">
        <v>17</v>
      </c>
      <c r="G146" s="25">
        <v>81</v>
      </c>
      <c r="H146" s="25">
        <v>277</v>
      </c>
      <c r="I146" s="50" t="s">
        <v>3801</v>
      </c>
      <c r="J146" s="131">
        <v>17</v>
      </c>
      <c r="K146" s="112">
        <v>179</v>
      </c>
      <c r="L146" s="132" t="s">
        <v>3873</v>
      </c>
      <c r="M146" s="22">
        <v>375</v>
      </c>
    </row>
    <row r="147" spans="1:13" ht="15.75" customHeight="1">
      <c r="A147" s="19">
        <v>2</v>
      </c>
      <c r="B147" s="35" t="s">
        <v>3626</v>
      </c>
      <c r="C147" s="20" t="s">
        <v>1989</v>
      </c>
      <c r="D147" s="20" t="s">
        <v>1363</v>
      </c>
      <c r="E147" s="20" t="s">
        <v>1990</v>
      </c>
      <c r="F147" s="21">
        <v>18</v>
      </c>
      <c r="G147" s="131">
        <v>3</v>
      </c>
      <c r="H147" s="21">
        <v>36</v>
      </c>
      <c r="I147" s="50" t="s">
        <v>3799</v>
      </c>
      <c r="J147" s="131">
        <v>3</v>
      </c>
      <c r="K147" s="108">
        <v>27</v>
      </c>
      <c r="L147" s="132" t="s">
        <v>3817</v>
      </c>
      <c r="M147" s="22">
        <v>57</v>
      </c>
    </row>
    <row r="148" spans="1:13" ht="15.75" customHeight="1">
      <c r="A148" s="23">
        <v>3</v>
      </c>
      <c r="B148" s="35" t="s">
        <v>3626</v>
      </c>
      <c r="C148" s="24" t="s">
        <v>2900</v>
      </c>
      <c r="D148" s="24" t="s">
        <v>1363</v>
      </c>
      <c r="E148" s="24" t="s">
        <v>2901</v>
      </c>
      <c r="F148" s="25"/>
      <c r="G148" s="131">
        <v>4</v>
      </c>
      <c r="H148" s="25">
        <v>68</v>
      </c>
      <c r="I148" s="50" t="s">
        <v>3799</v>
      </c>
      <c r="J148" s="131">
        <v>4</v>
      </c>
      <c r="K148" s="112">
        <v>34</v>
      </c>
      <c r="L148" s="132" t="s">
        <v>3874</v>
      </c>
      <c r="M148" s="22">
        <v>80</v>
      </c>
    </row>
    <row r="149" spans="1:13" ht="15.75" customHeight="1">
      <c r="A149" s="19">
        <v>4</v>
      </c>
      <c r="B149" s="35" t="s">
        <v>3626</v>
      </c>
      <c r="C149" s="20" t="s">
        <v>1985</v>
      </c>
      <c r="D149" s="20" t="s">
        <v>1357</v>
      </c>
      <c r="E149" s="20" t="s">
        <v>1986</v>
      </c>
      <c r="F149" s="131">
        <v>3</v>
      </c>
      <c r="G149" s="21">
        <v>20</v>
      </c>
      <c r="H149" s="21">
        <v>23</v>
      </c>
      <c r="I149" s="50" t="s">
        <v>3801</v>
      </c>
      <c r="J149" s="131">
        <v>3</v>
      </c>
      <c r="K149" s="108">
        <v>21.5</v>
      </c>
      <c r="L149" s="132" t="s">
        <v>3826</v>
      </c>
      <c r="M149" s="22">
        <v>46</v>
      </c>
    </row>
    <row r="150" spans="1:13" ht="15.75" customHeight="1">
      <c r="A150" s="23">
        <v>5</v>
      </c>
      <c r="B150" s="35" t="s">
        <v>3626</v>
      </c>
      <c r="C150" s="24" t="s">
        <v>1995</v>
      </c>
      <c r="D150" s="24" t="s">
        <v>1363</v>
      </c>
      <c r="E150" s="24" t="s">
        <v>1996</v>
      </c>
      <c r="F150" s="25">
        <v>25</v>
      </c>
      <c r="G150" s="131">
        <v>5</v>
      </c>
      <c r="H150" s="25">
        <v>28</v>
      </c>
      <c r="I150" s="50" t="s">
        <v>3799</v>
      </c>
      <c r="J150" s="131">
        <v>5</v>
      </c>
      <c r="K150" s="112">
        <v>26.5</v>
      </c>
      <c r="L150" s="132" t="s">
        <v>3833</v>
      </c>
      <c r="M150" s="22">
        <v>58</v>
      </c>
    </row>
    <row r="151" spans="1:13" ht="15.75" customHeight="1">
      <c r="A151" s="19">
        <v>6</v>
      </c>
      <c r="B151" s="35" t="s">
        <v>3626</v>
      </c>
      <c r="C151" s="20" t="s">
        <v>2001</v>
      </c>
      <c r="D151" s="20" t="s">
        <v>1363</v>
      </c>
      <c r="E151" s="20" t="s">
        <v>2002</v>
      </c>
      <c r="F151" s="21">
        <v>50</v>
      </c>
      <c r="G151" s="131">
        <v>18</v>
      </c>
      <c r="H151" s="21">
        <v>96</v>
      </c>
      <c r="I151" s="50" t="s">
        <v>3799</v>
      </c>
      <c r="J151" s="131">
        <v>18</v>
      </c>
      <c r="K151" s="108">
        <v>73</v>
      </c>
      <c r="L151" s="132" t="s">
        <v>3842</v>
      </c>
      <c r="M151" s="22">
        <v>164</v>
      </c>
    </row>
    <row r="152" spans="1:13" ht="15.75" customHeight="1">
      <c r="A152" s="23">
        <v>7</v>
      </c>
      <c r="B152" s="35" t="s">
        <v>3626</v>
      </c>
      <c r="C152" s="24" t="s">
        <v>2005</v>
      </c>
      <c r="D152" s="24" t="s">
        <v>1363</v>
      </c>
      <c r="E152" s="24" t="s">
        <v>2006</v>
      </c>
      <c r="F152" s="25">
        <v>15</v>
      </c>
      <c r="G152" s="131">
        <v>5</v>
      </c>
      <c r="H152" s="25">
        <v>15</v>
      </c>
      <c r="I152" s="50" t="s">
        <v>3799</v>
      </c>
      <c r="J152" s="131">
        <v>5</v>
      </c>
      <c r="K152" s="112">
        <v>15</v>
      </c>
      <c r="L152" s="132" t="s">
        <v>3851</v>
      </c>
      <c r="M152" s="22">
        <v>35</v>
      </c>
    </row>
    <row r="154" spans="1:13" ht="19.5" customHeight="1">
      <c r="A154" s="145" t="s">
        <v>3875</v>
      </c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</row>
    <row r="155" spans="1:13" ht="15.75" customHeight="1">
      <c r="A155" s="19">
        <v>1</v>
      </c>
      <c r="B155" s="36" t="s">
        <v>3627</v>
      </c>
      <c r="C155" s="20" t="s">
        <v>350</v>
      </c>
      <c r="D155" s="20" t="s">
        <v>351</v>
      </c>
      <c r="E155" s="20" t="s">
        <v>352</v>
      </c>
      <c r="F155" s="21">
        <v>1108</v>
      </c>
      <c r="G155" s="21">
        <v>179</v>
      </c>
      <c r="H155" s="131">
        <v>2</v>
      </c>
      <c r="I155" s="50" t="s">
        <v>3797</v>
      </c>
      <c r="J155" s="131">
        <v>2</v>
      </c>
      <c r="K155" s="108">
        <v>643.5</v>
      </c>
      <c r="L155" s="132" t="s">
        <v>3876</v>
      </c>
      <c r="M155" s="22">
        <v>1289</v>
      </c>
    </row>
    <row r="156" spans="1:13" ht="15.75" customHeight="1">
      <c r="A156" s="23">
        <v>2</v>
      </c>
      <c r="B156" s="36" t="s">
        <v>3627</v>
      </c>
      <c r="C156" s="24" t="s">
        <v>1066</v>
      </c>
      <c r="D156" s="24" t="s">
        <v>899</v>
      </c>
      <c r="E156" s="24" t="s">
        <v>1067</v>
      </c>
      <c r="F156" s="25">
        <v>453</v>
      </c>
      <c r="G156" s="25">
        <v>127</v>
      </c>
      <c r="H156" s="131">
        <v>1</v>
      </c>
      <c r="I156" s="50" t="s">
        <v>3797</v>
      </c>
      <c r="J156" s="131">
        <v>1</v>
      </c>
      <c r="K156" s="112">
        <v>290</v>
      </c>
      <c r="L156" s="132" t="s">
        <v>3877</v>
      </c>
      <c r="M156" s="22">
        <v>581</v>
      </c>
    </row>
    <row r="157" spans="1:13" ht="15.75" customHeight="1">
      <c r="A157" s="19">
        <v>3</v>
      </c>
      <c r="B157" s="36" t="s">
        <v>3627</v>
      </c>
      <c r="C157" s="20" t="s">
        <v>1008</v>
      </c>
      <c r="D157" s="20" t="s">
        <v>779</v>
      </c>
      <c r="E157" s="20" t="s">
        <v>1009</v>
      </c>
      <c r="F157" s="21">
        <v>80</v>
      </c>
      <c r="G157" s="21">
        <v>383</v>
      </c>
      <c r="H157" s="131">
        <v>2</v>
      </c>
      <c r="I157" s="50" t="s">
        <v>3797</v>
      </c>
      <c r="J157" s="131">
        <v>2</v>
      </c>
      <c r="K157" s="108">
        <v>231.5</v>
      </c>
      <c r="L157" s="132" t="s">
        <v>3878</v>
      </c>
      <c r="M157" s="22">
        <v>465</v>
      </c>
    </row>
    <row r="158" spans="1:13" ht="15.75" customHeight="1">
      <c r="A158" s="23">
        <v>4</v>
      </c>
      <c r="B158" s="36" t="s">
        <v>3627</v>
      </c>
      <c r="C158" s="24" t="s">
        <v>1010</v>
      </c>
      <c r="D158" s="24" t="s">
        <v>802</v>
      </c>
      <c r="E158" s="24" t="s">
        <v>1011</v>
      </c>
      <c r="F158" s="25">
        <v>155</v>
      </c>
      <c r="G158" s="25">
        <v>258</v>
      </c>
      <c r="H158" s="131">
        <v>2</v>
      </c>
      <c r="I158" s="50" t="s">
        <v>3797</v>
      </c>
      <c r="J158" s="131">
        <v>2</v>
      </c>
      <c r="K158" s="112">
        <v>206.5</v>
      </c>
      <c r="L158" s="132" t="s">
        <v>3879</v>
      </c>
      <c r="M158" s="22">
        <v>415</v>
      </c>
    </row>
    <row r="159" spans="1:13" ht="15.75" customHeight="1">
      <c r="A159" s="19">
        <v>5</v>
      </c>
      <c r="B159" s="36" t="s">
        <v>3627</v>
      </c>
      <c r="C159" s="20" t="s">
        <v>1087</v>
      </c>
      <c r="D159" s="20" t="s">
        <v>814</v>
      </c>
      <c r="E159" s="20" t="s">
        <v>1088</v>
      </c>
      <c r="F159" s="21">
        <v>14160</v>
      </c>
      <c r="G159" s="21">
        <v>4500</v>
      </c>
      <c r="H159" s="131">
        <v>100</v>
      </c>
      <c r="I159" s="50" t="s">
        <v>3797</v>
      </c>
      <c r="J159" s="131">
        <v>100</v>
      </c>
      <c r="K159" s="108">
        <v>9330</v>
      </c>
      <c r="L159" s="132" t="s">
        <v>3880</v>
      </c>
      <c r="M159" s="22">
        <v>18788</v>
      </c>
    </row>
    <row r="160" spans="1:13" ht="15.75" customHeight="1">
      <c r="A160" s="23">
        <v>6</v>
      </c>
      <c r="B160" s="36" t="s">
        <v>3627</v>
      </c>
      <c r="C160" s="24" t="s">
        <v>915</v>
      </c>
      <c r="D160" s="24" t="s">
        <v>916</v>
      </c>
      <c r="E160" s="24"/>
      <c r="F160" s="131">
        <v>1</v>
      </c>
      <c r="G160" s="25">
        <v>175</v>
      </c>
      <c r="H160" s="25"/>
      <c r="I160" s="50" t="s">
        <v>3801</v>
      </c>
      <c r="J160" s="131">
        <v>1</v>
      </c>
      <c r="K160" s="112">
        <v>87.5</v>
      </c>
      <c r="L160" s="132" t="s">
        <v>3881</v>
      </c>
      <c r="M160" s="22">
        <v>186</v>
      </c>
    </row>
    <row r="161" spans="1:13" ht="15.75" customHeight="1">
      <c r="A161" s="19">
        <v>7</v>
      </c>
      <c r="B161" s="36" t="s">
        <v>3627</v>
      </c>
      <c r="C161" s="20" t="s">
        <v>862</v>
      </c>
      <c r="D161" s="20" t="s">
        <v>863</v>
      </c>
      <c r="E161" s="20" t="s">
        <v>864</v>
      </c>
      <c r="F161" s="21">
        <v>797</v>
      </c>
      <c r="G161" s="21">
        <v>642</v>
      </c>
      <c r="H161" s="131">
        <v>12</v>
      </c>
      <c r="I161" s="50" t="s">
        <v>3797</v>
      </c>
      <c r="J161" s="131">
        <v>12</v>
      </c>
      <c r="K161" s="108">
        <v>719.5</v>
      </c>
      <c r="L161" s="132" t="s">
        <v>3882</v>
      </c>
      <c r="M161" s="22">
        <v>1781</v>
      </c>
    </row>
    <row r="162" spans="1:13" ht="15.75" customHeight="1">
      <c r="A162" s="23">
        <v>8</v>
      </c>
      <c r="B162" s="36" t="s">
        <v>3627</v>
      </c>
      <c r="C162" s="24" t="s">
        <v>1137</v>
      </c>
      <c r="D162" s="24" t="s">
        <v>1138</v>
      </c>
      <c r="E162" s="24" t="s">
        <v>1139</v>
      </c>
      <c r="F162" s="131">
        <v>6</v>
      </c>
      <c r="G162" s="25">
        <v>680</v>
      </c>
      <c r="H162" s="25"/>
      <c r="I162" s="50" t="s">
        <v>3801</v>
      </c>
      <c r="J162" s="131">
        <v>6</v>
      </c>
      <c r="K162" s="112">
        <v>340</v>
      </c>
      <c r="L162" s="132" t="s">
        <v>3883</v>
      </c>
      <c r="M162" s="22">
        <v>686</v>
      </c>
    </row>
    <row r="163" spans="1:13" ht="15.75" customHeight="1">
      <c r="A163" s="19">
        <v>9</v>
      </c>
      <c r="B163" s="36" t="s">
        <v>3627</v>
      </c>
      <c r="C163" s="20" t="s">
        <v>772</v>
      </c>
      <c r="D163" s="20" t="s">
        <v>773</v>
      </c>
      <c r="E163" s="20" t="s">
        <v>774</v>
      </c>
      <c r="F163" s="21">
        <v>432</v>
      </c>
      <c r="G163" s="21">
        <v>367</v>
      </c>
      <c r="H163" s="131">
        <v>10</v>
      </c>
      <c r="I163" s="50" t="s">
        <v>3797</v>
      </c>
      <c r="J163" s="131">
        <v>10</v>
      </c>
      <c r="K163" s="108">
        <v>399.5</v>
      </c>
      <c r="L163" s="132" t="s">
        <v>3884</v>
      </c>
      <c r="M163" s="22">
        <v>815</v>
      </c>
    </row>
    <row r="164" spans="1:13" ht="15.75" customHeight="1">
      <c r="A164" s="23">
        <v>10</v>
      </c>
      <c r="B164" s="36" t="s">
        <v>3627</v>
      </c>
      <c r="C164" s="24" t="s">
        <v>652</v>
      </c>
      <c r="D164" s="24" t="s">
        <v>653</v>
      </c>
      <c r="E164" s="24" t="s">
        <v>654</v>
      </c>
      <c r="F164" s="25">
        <v>135</v>
      </c>
      <c r="G164" s="25">
        <v>184</v>
      </c>
      <c r="H164" s="131">
        <v>4</v>
      </c>
      <c r="I164" s="50" t="s">
        <v>3797</v>
      </c>
      <c r="J164" s="131">
        <v>4</v>
      </c>
      <c r="K164" s="112">
        <v>159.5</v>
      </c>
      <c r="L164" s="132" t="s">
        <v>3885</v>
      </c>
      <c r="M164" s="22">
        <v>323</v>
      </c>
    </row>
    <row r="165" spans="1:13" ht="15.75" customHeight="1">
      <c r="A165" s="19">
        <v>11</v>
      </c>
      <c r="B165" s="36" t="s">
        <v>3627</v>
      </c>
      <c r="C165" s="20" t="s">
        <v>1089</v>
      </c>
      <c r="D165" s="20" t="s">
        <v>841</v>
      </c>
      <c r="E165" s="20" t="s">
        <v>1090</v>
      </c>
      <c r="F165" s="21">
        <v>4100</v>
      </c>
      <c r="G165" s="21">
        <v>4000</v>
      </c>
      <c r="H165" s="131">
        <v>120</v>
      </c>
      <c r="I165" s="50" t="s">
        <v>3797</v>
      </c>
      <c r="J165" s="131">
        <v>120</v>
      </c>
      <c r="K165" s="108">
        <v>4050</v>
      </c>
      <c r="L165" s="132" t="s">
        <v>3886</v>
      </c>
      <c r="M165" s="22">
        <v>8220</v>
      </c>
    </row>
    <row r="166" spans="1:13" ht="15.75" customHeight="1">
      <c r="A166" s="23">
        <v>12</v>
      </c>
      <c r="B166" s="36" t="s">
        <v>3627</v>
      </c>
      <c r="C166" s="24" t="s">
        <v>765</v>
      </c>
      <c r="D166" s="24" t="s">
        <v>766</v>
      </c>
      <c r="E166" s="24"/>
      <c r="F166" s="131">
        <v>3</v>
      </c>
      <c r="G166" s="25"/>
      <c r="H166" s="25">
        <v>200</v>
      </c>
      <c r="I166" s="50" t="s">
        <v>3801</v>
      </c>
      <c r="J166" s="131">
        <v>3</v>
      </c>
      <c r="K166" s="112">
        <v>100</v>
      </c>
      <c r="L166" s="132" t="s">
        <v>3887</v>
      </c>
      <c r="M166" s="22">
        <v>203</v>
      </c>
    </row>
    <row r="167" spans="1:13" ht="15.75" customHeight="1">
      <c r="A167" s="19">
        <v>13</v>
      </c>
      <c r="B167" s="36" t="s">
        <v>3627</v>
      </c>
      <c r="C167" s="20" t="s">
        <v>570</v>
      </c>
      <c r="D167" s="20" t="s">
        <v>571</v>
      </c>
      <c r="E167" s="20" t="s">
        <v>572</v>
      </c>
      <c r="F167" s="21">
        <v>192</v>
      </c>
      <c r="G167" s="131">
        <v>15</v>
      </c>
      <c r="H167" s="21">
        <v>794</v>
      </c>
      <c r="I167" s="50" t="s">
        <v>3799</v>
      </c>
      <c r="J167" s="131">
        <v>15</v>
      </c>
      <c r="K167" s="108">
        <v>493</v>
      </c>
      <c r="L167" s="132" t="s">
        <v>3888</v>
      </c>
      <c r="M167" s="22">
        <v>1001</v>
      </c>
    </row>
    <row r="168" spans="1:13" ht="15.75" customHeight="1">
      <c r="A168" s="23">
        <v>14</v>
      </c>
      <c r="B168" s="36" t="s">
        <v>3627</v>
      </c>
      <c r="C168" s="24" t="s">
        <v>1050</v>
      </c>
      <c r="D168" s="24" t="s">
        <v>591</v>
      </c>
      <c r="E168" s="24" t="s">
        <v>1051</v>
      </c>
      <c r="F168" s="131">
        <v>1</v>
      </c>
      <c r="G168" s="25">
        <v>31</v>
      </c>
      <c r="H168" s="25">
        <v>30</v>
      </c>
      <c r="I168" s="50" t="s">
        <v>3801</v>
      </c>
      <c r="J168" s="131">
        <v>1</v>
      </c>
      <c r="K168" s="112">
        <v>30.5</v>
      </c>
      <c r="L168" s="132" t="s">
        <v>3889</v>
      </c>
      <c r="M168" s="22">
        <v>62</v>
      </c>
    </row>
    <row r="169" spans="1:13" ht="15.75" customHeight="1">
      <c r="A169" s="19">
        <v>15</v>
      </c>
      <c r="B169" s="36" t="s">
        <v>3627</v>
      </c>
      <c r="C169" s="20" t="s">
        <v>1159</v>
      </c>
      <c r="D169" s="20" t="s">
        <v>1160</v>
      </c>
      <c r="E169" s="20"/>
      <c r="F169" s="131">
        <v>4</v>
      </c>
      <c r="G169" s="21">
        <v>237</v>
      </c>
      <c r="H169" s="21"/>
      <c r="I169" s="50" t="s">
        <v>3801</v>
      </c>
      <c r="J169" s="131">
        <v>4</v>
      </c>
      <c r="K169" s="108">
        <v>118.5</v>
      </c>
      <c r="L169" s="132" t="s">
        <v>3890</v>
      </c>
      <c r="M169" s="22">
        <v>241</v>
      </c>
    </row>
    <row r="170" spans="1:13" ht="15.75" customHeight="1">
      <c r="A170" s="23">
        <v>16</v>
      </c>
      <c r="B170" s="36" t="s">
        <v>3627</v>
      </c>
      <c r="C170" s="24" t="s">
        <v>1056</v>
      </c>
      <c r="D170" s="24" t="s">
        <v>1057</v>
      </c>
      <c r="E170" s="24"/>
      <c r="F170" s="25">
        <v>40</v>
      </c>
      <c r="G170" s="131">
        <v>2</v>
      </c>
      <c r="H170" s="25">
        <v>68</v>
      </c>
      <c r="I170" s="50" t="s">
        <v>3799</v>
      </c>
      <c r="J170" s="131">
        <v>2</v>
      </c>
      <c r="K170" s="112">
        <v>54</v>
      </c>
      <c r="L170" s="132" t="s">
        <v>3891</v>
      </c>
      <c r="M170" s="22">
        <v>110</v>
      </c>
    </row>
    <row r="171" spans="1:13" ht="15.75" customHeight="1">
      <c r="A171" s="19">
        <v>17</v>
      </c>
      <c r="B171" s="36" t="s">
        <v>3627</v>
      </c>
      <c r="C171" s="20" t="s">
        <v>1147</v>
      </c>
      <c r="D171" s="20" t="s">
        <v>697</v>
      </c>
      <c r="E171" s="20" t="s">
        <v>1148</v>
      </c>
      <c r="F171" s="21">
        <v>314</v>
      </c>
      <c r="G171" s="131">
        <v>6</v>
      </c>
      <c r="H171" s="21"/>
      <c r="I171" s="50" t="s">
        <v>3799</v>
      </c>
      <c r="J171" s="131">
        <v>6</v>
      </c>
      <c r="K171" s="108">
        <v>157</v>
      </c>
      <c r="L171" s="132" t="s">
        <v>3892</v>
      </c>
      <c r="M171" s="22">
        <v>320</v>
      </c>
    </row>
    <row r="172" spans="1:13" ht="15.75" customHeight="1">
      <c r="A172" s="23">
        <v>18</v>
      </c>
      <c r="B172" s="36" t="s">
        <v>3627</v>
      </c>
      <c r="C172" s="24" t="s">
        <v>906</v>
      </c>
      <c r="D172" s="24" t="s">
        <v>907</v>
      </c>
      <c r="E172" s="24" t="s">
        <v>908</v>
      </c>
      <c r="F172" s="25">
        <v>604</v>
      </c>
      <c r="G172" s="25">
        <v>56</v>
      </c>
      <c r="H172" s="131">
        <v>14</v>
      </c>
      <c r="I172" s="50" t="s">
        <v>3797</v>
      </c>
      <c r="J172" s="131">
        <v>14</v>
      </c>
      <c r="K172" s="112">
        <v>330</v>
      </c>
      <c r="L172" s="132" t="s">
        <v>3893</v>
      </c>
      <c r="M172" s="22">
        <v>684</v>
      </c>
    </row>
    <row r="173" spans="1:13" ht="15.75" customHeight="1">
      <c r="A173" s="19">
        <v>19</v>
      </c>
      <c r="B173" s="36" t="s">
        <v>3627</v>
      </c>
      <c r="C173" s="20" t="s">
        <v>1097</v>
      </c>
      <c r="D173" s="20" t="s">
        <v>869</v>
      </c>
      <c r="E173" s="20" t="s">
        <v>1098</v>
      </c>
      <c r="F173" s="131">
        <v>22</v>
      </c>
      <c r="G173" s="21">
        <v>1000</v>
      </c>
      <c r="H173" s="21"/>
      <c r="I173" s="50" t="s">
        <v>3801</v>
      </c>
      <c r="J173" s="131">
        <v>22</v>
      </c>
      <c r="K173" s="108">
        <v>500</v>
      </c>
      <c r="L173" s="132" t="s">
        <v>3894</v>
      </c>
      <c r="M173" s="22">
        <v>1022</v>
      </c>
    </row>
    <row r="174" spans="1:13" ht="15.75" customHeight="1">
      <c r="A174" s="23">
        <v>20</v>
      </c>
      <c r="B174" s="36" t="s">
        <v>3627</v>
      </c>
      <c r="C174" s="24" t="s">
        <v>584</v>
      </c>
      <c r="D174" s="24" t="s">
        <v>585</v>
      </c>
      <c r="E174" s="24" t="s">
        <v>586</v>
      </c>
      <c r="F174" s="131">
        <v>5</v>
      </c>
      <c r="G174" s="25"/>
      <c r="H174" s="25">
        <v>221</v>
      </c>
      <c r="I174" s="50" t="s">
        <v>3801</v>
      </c>
      <c r="J174" s="131">
        <v>5</v>
      </c>
      <c r="K174" s="112">
        <v>110.5</v>
      </c>
      <c r="L174" s="132" t="s">
        <v>3895</v>
      </c>
      <c r="M174" s="22">
        <v>226</v>
      </c>
    </row>
    <row r="175" spans="1:13" ht="15.75" customHeight="1">
      <c r="A175" s="19">
        <v>21</v>
      </c>
      <c r="B175" s="36" t="s">
        <v>3627</v>
      </c>
      <c r="C175" s="20" t="s">
        <v>886</v>
      </c>
      <c r="D175" s="20" t="s">
        <v>887</v>
      </c>
      <c r="E175" s="20" t="s">
        <v>888</v>
      </c>
      <c r="F175" s="21">
        <v>32</v>
      </c>
      <c r="G175" s="131">
        <v>2</v>
      </c>
      <c r="H175" s="21">
        <v>54</v>
      </c>
      <c r="I175" s="50" t="s">
        <v>3799</v>
      </c>
      <c r="J175" s="131">
        <v>2</v>
      </c>
      <c r="K175" s="108">
        <v>43</v>
      </c>
      <c r="L175" s="132" t="s">
        <v>3896</v>
      </c>
      <c r="M175" s="22">
        <v>141</v>
      </c>
    </row>
    <row r="176" spans="1:13" ht="15.75" customHeight="1">
      <c r="A176" s="23">
        <v>22</v>
      </c>
      <c r="B176" s="36" t="s">
        <v>3627</v>
      </c>
      <c r="C176" s="24" t="s">
        <v>1099</v>
      </c>
      <c r="D176" s="24" t="s">
        <v>370</v>
      </c>
      <c r="E176" s="24" t="s">
        <v>1100</v>
      </c>
      <c r="F176" s="25">
        <v>1450</v>
      </c>
      <c r="G176" s="25">
        <v>2703</v>
      </c>
      <c r="H176" s="131">
        <v>100</v>
      </c>
      <c r="I176" s="50" t="s">
        <v>3797</v>
      </c>
      <c r="J176" s="131">
        <v>100</v>
      </c>
      <c r="K176" s="112">
        <v>2076.5</v>
      </c>
      <c r="L176" s="132" t="s">
        <v>3860</v>
      </c>
      <c r="M176" s="22">
        <v>4253</v>
      </c>
    </row>
    <row r="177" spans="1:13" ht="15.75" customHeight="1">
      <c r="A177" s="19">
        <v>23</v>
      </c>
      <c r="B177" s="36" t="s">
        <v>3627</v>
      </c>
      <c r="C177" s="20" t="s">
        <v>538</v>
      </c>
      <c r="D177" s="20" t="s">
        <v>539</v>
      </c>
      <c r="E177" s="20" t="s">
        <v>540</v>
      </c>
      <c r="F177" s="21">
        <v>64</v>
      </c>
      <c r="G177" s="131">
        <v>5</v>
      </c>
      <c r="H177" s="21">
        <v>140</v>
      </c>
      <c r="I177" s="50" t="s">
        <v>3799</v>
      </c>
      <c r="J177" s="131">
        <v>5</v>
      </c>
      <c r="K177" s="108">
        <v>102</v>
      </c>
      <c r="L177" s="132" t="s">
        <v>3897</v>
      </c>
      <c r="M177" s="22">
        <v>209</v>
      </c>
    </row>
    <row r="178" spans="1:13" ht="15.75" customHeight="1">
      <c r="A178" s="23">
        <v>24</v>
      </c>
      <c r="B178" s="36" t="s">
        <v>3627</v>
      </c>
      <c r="C178" s="24" t="s">
        <v>578</v>
      </c>
      <c r="D178" s="24" t="s">
        <v>579</v>
      </c>
      <c r="E178" s="24" t="s">
        <v>580</v>
      </c>
      <c r="F178" s="25">
        <v>219</v>
      </c>
      <c r="G178" s="131">
        <v>10</v>
      </c>
      <c r="H178" s="25">
        <v>180</v>
      </c>
      <c r="I178" s="50" t="s">
        <v>3799</v>
      </c>
      <c r="J178" s="131">
        <v>10</v>
      </c>
      <c r="K178" s="112">
        <v>199.5</v>
      </c>
      <c r="L178" s="132" t="s">
        <v>3898</v>
      </c>
      <c r="M178" s="22">
        <v>409</v>
      </c>
    </row>
    <row r="179" spans="1:13" ht="15.75" customHeight="1">
      <c r="A179" s="19">
        <v>25</v>
      </c>
      <c r="B179" s="36" t="s">
        <v>3627</v>
      </c>
      <c r="C179" s="20" t="s">
        <v>2524</v>
      </c>
      <c r="D179" s="20" t="s">
        <v>2525</v>
      </c>
      <c r="E179" s="20"/>
      <c r="F179" s="21"/>
      <c r="G179" s="21">
        <v>301</v>
      </c>
      <c r="H179" s="131">
        <v>8</v>
      </c>
      <c r="I179" s="50" t="s">
        <v>3797</v>
      </c>
      <c r="J179" s="131">
        <v>8</v>
      </c>
      <c r="K179" s="108">
        <v>150.5</v>
      </c>
      <c r="L179" s="132" t="s">
        <v>3899</v>
      </c>
      <c r="M179" s="22">
        <v>349</v>
      </c>
    </row>
    <row r="180" spans="1:13" ht="15.75" customHeight="1">
      <c r="A180" s="23">
        <v>26</v>
      </c>
      <c r="B180" s="36" t="s">
        <v>3627</v>
      </c>
      <c r="C180" s="24" t="s">
        <v>555</v>
      </c>
      <c r="D180" s="24" t="s">
        <v>556</v>
      </c>
      <c r="E180" s="24"/>
      <c r="F180" s="131">
        <v>1</v>
      </c>
      <c r="G180" s="25">
        <v>35</v>
      </c>
      <c r="H180" s="25"/>
      <c r="I180" s="50" t="s">
        <v>3801</v>
      </c>
      <c r="J180" s="131">
        <v>1</v>
      </c>
      <c r="K180" s="112">
        <v>17.5</v>
      </c>
      <c r="L180" s="132" t="s">
        <v>3900</v>
      </c>
      <c r="M180" s="22">
        <v>36</v>
      </c>
    </row>
    <row r="181" spans="1:13" ht="15.75" customHeight="1">
      <c r="A181" s="19">
        <v>27</v>
      </c>
      <c r="B181" s="36" t="s">
        <v>3627</v>
      </c>
      <c r="C181" s="20" t="s">
        <v>994</v>
      </c>
      <c r="D181" s="20" t="s">
        <v>799</v>
      </c>
      <c r="E181" s="20" t="s">
        <v>995</v>
      </c>
      <c r="F181" s="131">
        <v>30</v>
      </c>
      <c r="G181" s="21">
        <v>914</v>
      </c>
      <c r="H181" s="21">
        <v>100</v>
      </c>
      <c r="I181" s="50" t="s">
        <v>3801</v>
      </c>
      <c r="J181" s="131">
        <v>30</v>
      </c>
      <c r="K181" s="108">
        <v>507</v>
      </c>
      <c r="L181" s="132" t="s">
        <v>3901</v>
      </c>
      <c r="M181" s="22">
        <v>1044</v>
      </c>
    </row>
    <row r="182" spans="1:13" ht="15.75" customHeight="1">
      <c r="A182" s="23">
        <v>28</v>
      </c>
      <c r="B182" s="36" t="s">
        <v>3627</v>
      </c>
      <c r="C182" s="24" t="s">
        <v>2518</v>
      </c>
      <c r="D182" s="24" t="s">
        <v>2519</v>
      </c>
      <c r="E182" s="24"/>
      <c r="F182" s="25"/>
      <c r="G182" s="25">
        <v>100</v>
      </c>
      <c r="H182" s="131">
        <v>3</v>
      </c>
      <c r="I182" s="50" t="s">
        <v>3797</v>
      </c>
      <c r="J182" s="131">
        <v>3</v>
      </c>
      <c r="K182" s="112">
        <v>50</v>
      </c>
      <c r="L182" s="132" t="s">
        <v>3902</v>
      </c>
      <c r="M182" s="22">
        <v>113</v>
      </c>
    </row>
    <row r="183" spans="1:13" ht="15.75" customHeight="1">
      <c r="A183" s="19">
        <v>29</v>
      </c>
      <c r="B183" s="36" t="s">
        <v>3627</v>
      </c>
      <c r="C183" s="20" t="s">
        <v>1119</v>
      </c>
      <c r="D183" s="20" t="s">
        <v>351</v>
      </c>
      <c r="E183" s="20" t="s">
        <v>1115</v>
      </c>
      <c r="F183" s="21">
        <v>30</v>
      </c>
      <c r="G183" s="21">
        <v>2</v>
      </c>
      <c r="H183" s="131">
        <v>1</v>
      </c>
      <c r="I183" s="50" t="s">
        <v>3797</v>
      </c>
      <c r="J183" s="131">
        <v>1</v>
      </c>
      <c r="K183" s="108">
        <v>16</v>
      </c>
      <c r="L183" s="132" t="s">
        <v>3806</v>
      </c>
      <c r="M183" s="22">
        <v>37</v>
      </c>
    </row>
    <row r="184" spans="1:13" ht="15.75" customHeight="1">
      <c r="A184" s="23">
        <v>30</v>
      </c>
      <c r="B184" s="36" t="s">
        <v>3627</v>
      </c>
      <c r="C184" s="24" t="s">
        <v>1120</v>
      </c>
      <c r="D184" s="24" t="s">
        <v>568</v>
      </c>
      <c r="E184" s="24" t="s">
        <v>1115</v>
      </c>
      <c r="F184" s="131">
        <v>3</v>
      </c>
      <c r="G184" s="25">
        <v>40</v>
      </c>
      <c r="H184" s="25">
        <v>49</v>
      </c>
      <c r="I184" s="50" t="s">
        <v>3801</v>
      </c>
      <c r="J184" s="131">
        <v>3</v>
      </c>
      <c r="K184" s="112">
        <v>44.5</v>
      </c>
      <c r="L184" s="132" t="s">
        <v>3903</v>
      </c>
      <c r="M184" s="22">
        <v>93</v>
      </c>
    </row>
    <row r="185" spans="1:13" ht="15.75" customHeight="1">
      <c r="A185" s="19">
        <v>31</v>
      </c>
      <c r="B185" s="36" t="s">
        <v>3627</v>
      </c>
      <c r="C185" s="20" t="s">
        <v>1123</v>
      </c>
      <c r="D185" s="20" t="s">
        <v>666</v>
      </c>
      <c r="E185" s="20" t="s">
        <v>1124</v>
      </c>
      <c r="F185" s="21">
        <v>81</v>
      </c>
      <c r="G185" s="131">
        <v>3</v>
      </c>
      <c r="H185" s="21"/>
      <c r="I185" s="50" t="s">
        <v>3799</v>
      </c>
      <c r="J185" s="131">
        <v>3</v>
      </c>
      <c r="K185" s="108">
        <v>40.5</v>
      </c>
      <c r="L185" s="132" t="s">
        <v>3904</v>
      </c>
      <c r="M185" s="22">
        <v>84</v>
      </c>
    </row>
    <row r="186" spans="1:13" ht="15.75" customHeight="1">
      <c r="A186" s="23">
        <v>32</v>
      </c>
      <c r="B186" s="36" t="s">
        <v>3627</v>
      </c>
      <c r="C186" s="24" t="s">
        <v>2509</v>
      </c>
      <c r="D186" s="24" t="s">
        <v>2510</v>
      </c>
      <c r="E186" s="24"/>
      <c r="F186" s="25"/>
      <c r="G186" s="25">
        <v>130</v>
      </c>
      <c r="H186" s="131">
        <v>5</v>
      </c>
      <c r="I186" s="50" t="s">
        <v>3797</v>
      </c>
      <c r="J186" s="131">
        <v>5</v>
      </c>
      <c r="K186" s="112">
        <v>65</v>
      </c>
      <c r="L186" s="132" t="s">
        <v>3808</v>
      </c>
      <c r="M186" s="22">
        <v>135</v>
      </c>
    </row>
    <row r="187" spans="1:13" ht="15.75" customHeight="1">
      <c r="A187" s="19">
        <v>33</v>
      </c>
      <c r="B187" s="36" t="s">
        <v>3627</v>
      </c>
      <c r="C187" s="20" t="s">
        <v>792</v>
      </c>
      <c r="D187" s="20" t="s">
        <v>793</v>
      </c>
      <c r="E187" s="20" t="s">
        <v>794</v>
      </c>
      <c r="F187" s="21">
        <v>100</v>
      </c>
      <c r="G187" s="21"/>
      <c r="H187" s="131">
        <v>4</v>
      </c>
      <c r="I187" s="50" t="s">
        <v>3797</v>
      </c>
      <c r="J187" s="131">
        <v>4</v>
      </c>
      <c r="K187" s="108">
        <v>50</v>
      </c>
      <c r="L187" s="132" t="s">
        <v>3809</v>
      </c>
      <c r="M187" s="22">
        <v>104</v>
      </c>
    </row>
    <row r="188" spans="1:13" ht="15.75" customHeight="1">
      <c r="A188" s="23">
        <v>34</v>
      </c>
      <c r="B188" s="36" t="s">
        <v>3627</v>
      </c>
      <c r="C188" s="24" t="s">
        <v>353</v>
      </c>
      <c r="D188" s="24" t="s">
        <v>354</v>
      </c>
      <c r="E188" s="24" t="s">
        <v>355</v>
      </c>
      <c r="F188" s="25">
        <v>214</v>
      </c>
      <c r="G188" s="25">
        <v>78</v>
      </c>
      <c r="H188" s="131">
        <v>12</v>
      </c>
      <c r="I188" s="50" t="s">
        <v>3797</v>
      </c>
      <c r="J188" s="131">
        <v>12</v>
      </c>
      <c r="K188" s="112">
        <v>146</v>
      </c>
      <c r="L188" s="132" t="s">
        <v>3905</v>
      </c>
      <c r="M188" s="22">
        <v>304</v>
      </c>
    </row>
    <row r="189" spans="1:13" ht="15.75" customHeight="1">
      <c r="A189" s="19">
        <v>35</v>
      </c>
      <c r="B189" s="36" t="s">
        <v>3627</v>
      </c>
      <c r="C189" s="20" t="s">
        <v>2474</v>
      </c>
      <c r="D189" s="20" t="s">
        <v>2475</v>
      </c>
      <c r="E189" s="20"/>
      <c r="F189" s="21"/>
      <c r="G189" s="21">
        <v>146</v>
      </c>
      <c r="H189" s="131">
        <v>6</v>
      </c>
      <c r="I189" s="50" t="s">
        <v>3797</v>
      </c>
      <c r="J189" s="131">
        <v>6</v>
      </c>
      <c r="K189" s="108">
        <v>73</v>
      </c>
      <c r="L189" s="132" t="s">
        <v>3905</v>
      </c>
      <c r="M189" s="22">
        <v>162</v>
      </c>
    </row>
    <row r="190" spans="1:13" ht="15.75" customHeight="1">
      <c r="A190" s="23">
        <v>36</v>
      </c>
      <c r="B190" s="36" t="s">
        <v>3627</v>
      </c>
      <c r="C190" s="24" t="s">
        <v>769</v>
      </c>
      <c r="D190" s="24" t="s">
        <v>770</v>
      </c>
      <c r="E190" s="24" t="s">
        <v>771</v>
      </c>
      <c r="F190" s="131">
        <v>2</v>
      </c>
      <c r="G190" s="25">
        <v>3</v>
      </c>
      <c r="H190" s="25">
        <v>40</v>
      </c>
      <c r="I190" s="50" t="s">
        <v>3801</v>
      </c>
      <c r="J190" s="131">
        <v>2</v>
      </c>
      <c r="K190" s="112">
        <v>21.5</v>
      </c>
      <c r="L190" s="132" t="s">
        <v>3812</v>
      </c>
      <c r="M190" s="22">
        <v>45</v>
      </c>
    </row>
    <row r="191" spans="1:13" ht="15.75" customHeight="1">
      <c r="A191" s="19">
        <v>37</v>
      </c>
      <c r="B191" s="36" t="s">
        <v>3627</v>
      </c>
      <c r="C191" s="20" t="s">
        <v>813</v>
      </c>
      <c r="D191" s="20" t="s">
        <v>814</v>
      </c>
      <c r="E191" s="20" t="s">
        <v>815</v>
      </c>
      <c r="F191" s="21">
        <v>4815</v>
      </c>
      <c r="G191" s="131">
        <v>275</v>
      </c>
      <c r="H191" s="21">
        <v>1071</v>
      </c>
      <c r="I191" s="50" t="s">
        <v>3799</v>
      </c>
      <c r="J191" s="131">
        <v>275</v>
      </c>
      <c r="K191" s="108">
        <v>2943</v>
      </c>
      <c r="L191" s="132" t="s">
        <v>3906</v>
      </c>
      <c r="M191" s="22">
        <v>6925</v>
      </c>
    </row>
    <row r="192" spans="1:13" ht="15.75" customHeight="1">
      <c r="A192" s="23">
        <v>38</v>
      </c>
      <c r="B192" s="36" t="s">
        <v>3627</v>
      </c>
      <c r="C192" s="24" t="s">
        <v>593</v>
      </c>
      <c r="D192" s="24" t="s">
        <v>594</v>
      </c>
      <c r="E192" s="24" t="s">
        <v>595</v>
      </c>
      <c r="F192" s="131">
        <v>8</v>
      </c>
      <c r="G192" s="25">
        <v>10</v>
      </c>
      <c r="H192" s="25">
        <v>161</v>
      </c>
      <c r="I192" s="50" t="s">
        <v>3801</v>
      </c>
      <c r="J192" s="131">
        <v>8</v>
      </c>
      <c r="K192" s="112">
        <v>85.5</v>
      </c>
      <c r="L192" s="132" t="s">
        <v>3906</v>
      </c>
      <c r="M192" s="22">
        <v>179</v>
      </c>
    </row>
    <row r="193" spans="1:13" ht="15.75" customHeight="1">
      <c r="A193" s="19">
        <v>39</v>
      </c>
      <c r="B193" s="36" t="s">
        <v>3627</v>
      </c>
      <c r="C193" s="20" t="s">
        <v>1114</v>
      </c>
      <c r="D193" s="20" t="s">
        <v>558</v>
      </c>
      <c r="E193" s="20" t="s">
        <v>1115</v>
      </c>
      <c r="F193" s="21">
        <v>24</v>
      </c>
      <c r="G193" s="131">
        <v>3</v>
      </c>
      <c r="H193" s="21">
        <v>38</v>
      </c>
      <c r="I193" s="50" t="s">
        <v>3799</v>
      </c>
      <c r="J193" s="131">
        <v>3</v>
      </c>
      <c r="K193" s="108">
        <v>31</v>
      </c>
      <c r="L193" s="132" t="s">
        <v>3907</v>
      </c>
      <c r="M193" s="22">
        <v>65</v>
      </c>
    </row>
    <row r="194" spans="1:13" ht="15.75" customHeight="1">
      <c r="A194" s="23">
        <v>40</v>
      </c>
      <c r="B194" s="36" t="s">
        <v>3627</v>
      </c>
      <c r="C194" s="24" t="s">
        <v>622</v>
      </c>
      <c r="D194" s="24" t="s">
        <v>623</v>
      </c>
      <c r="E194" s="24" t="s">
        <v>624</v>
      </c>
      <c r="F194" s="25">
        <v>100</v>
      </c>
      <c r="G194" s="131">
        <v>10</v>
      </c>
      <c r="H194" s="25">
        <v>98</v>
      </c>
      <c r="I194" s="50" t="s">
        <v>3799</v>
      </c>
      <c r="J194" s="131">
        <v>10</v>
      </c>
      <c r="K194" s="112">
        <v>99</v>
      </c>
      <c r="L194" s="132" t="s">
        <v>3814</v>
      </c>
      <c r="M194" s="22">
        <v>208</v>
      </c>
    </row>
    <row r="195" spans="1:13" ht="15.75" customHeight="1">
      <c r="A195" s="19">
        <v>41</v>
      </c>
      <c r="B195" s="36" t="s">
        <v>3627</v>
      </c>
      <c r="C195" s="20" t="s">
        <v>816</v>
      </c>
      <c r="D195" s="20" t="s">
        <v>817</v>
      </c>
      <c r="E195" s="20" t="s">
        <v>818</v>
      </c>
      <c r="F195" s="21">
        <v>115</v>
      </c>
      <c r="G195" s="131">
        <v>9</v>
      </c>
      <c r="H195" s="21">
        <v>60</v>
      </c>
      <c r="I195" s="50" t="s">
        <v>3799</v>
      </c>
      <c r="J195" s="131">
        <v>9</v>
      </c>
      <c r="K195" s="108">
        <v>87.5</v>
      </c>
      <c r="L195" s="132" t="s">
        <v>3908</v>
      </c>
      <c r="M195" s="22">
        <v>184</v>
      </c>
    </row>
    <row r="196" spans="1:13" ht="15.75" customHeight="1">
      <c r="A196" s="23">
        <v>42</v>
      </c>
      <c r="B196" s="36" t="s">
        <v>3627</v>
      </c>
      <c r="C196" s="24" t="s">
        <v>643</v>
      </c>
      <c r="D196" s="24" t="s">
        <v>644</v>
      </c>
      <c r="E196" s="24" t="s">
        <v>645</v>
      </c>
      <c r="F196" s="131">
        <v>12</v>
      </c>
      <c r="G196" s="25">
        <v>128</v>
      </c>
      <c r="H196" s="25">
        <v>100</v>
      </c>
      <c r="I196" s="50" t="s">
        <v>3801</v>
      </c>
      <c r="J196" s="131">
        <v>12</v>
      </c>
      <c r="K196" s="112">
        <v>114</v>
      </c>
      <c r="L196" s="132" t="s">
        <v>3816</v>
      </c>
      <c r="M196" s="22">
        <v>240</v>
      </c>
    </row>
    <row r="197" spans="1:13" ht="15.75" customHeight="1">
      <c r="A197" s="19">
        <v>43</v>
      </c>
      <c r="B197" s="36" t="s">
        <v>3627</v>
      </c>
      <c r="C197" s="20" t="s">
        <v>1028</v>
      </c>
      <c r="D197" s="20" t="s">
        <v>558</v>
      </c>
      <c r="E197" s="20" t="s">
        <v>1029</v>
      </c>
      <c r="F197" s="21">
        <v>100</v>
      </c>
      <c r="G197" s="21">
        <v>80</v>
      </c>
      <c r="H197" s="131">
        <v>10</v>
      </c>
      <c r="I197" s="50" t="s">
        <v>3797</v>
      </c>
      <c r="J197" s="131">
        <v>10</v>
      </c>
      <c r="K197" s="108">
        <v>90</v>
      </c>
      <c r="L197" s="132" t="s">
        <v>3817</v>
      </c>
      <c r="M197" s="22">
        <v>190</v>
      </c>
    </row>
    <row r="198" spans="1:13" ht="15.75" customHeight="1">
      <c r="A198" s="23">
        <v>44</v>
      </c>
      <c r="B198" s="36" t="s">
        <v>3627</v>
      </c>
      <c r="C198" s="24" t="s">
        <v>366</v>
      </c>
      <c r="D198" s="24" t="s">
        <v>367</v>
      </c>
      <c r="E198" s="24" t="s">
        <v>368</v>
      </c>
      <c r="F198" s="25">
        <v>102</v>
      </c>
      <c r="G198" s="131">
        <v>6</v>
      </c>
      <c r="H198" s="25"/>
      <c r="I198" s="50" t="s">
        <v>3799</v>
      </c>
      <c r="J198" s="131">
        <v>6</v>
      </c>
      <c r="K198" s="112">
        <v>51</v>
      </c>
      <c r="L198" s="132" t="s">
        <v>3874</v>
      </c>
      <c r="M198" s="22">
        <v>108</v>
      </c>
    </row>
    <row r="199" spans="1:13" ht="15.75" customHeight="1">
      <c r="A199" s="19">
        <v>45</v>
      </c>
      <c r="B199" s="36" t="s">
        <v>3627</v>
      </c>
      <c r="C199" s="20" t="s">
        <v>1145</v>
      </c>
      <c r="D199" s="20" t="s">
        <v>1146</v>
      </c>
      <c r="E199" s="20"/>
      <c r="F199" s="131">
        <v>4</v>
      </c>
      <c r="G199" s="21">
        <v>68</v>
      </c>
      <c r="H199" s="21"/>
      <c r="I199" s="50" t="s">
        <v>3801</v>
      </c>
      <c r="J199" s="131">
        <v>4</v>
      </c>
      <c r="K199" s="108">
        <v>34</v>
      </c>
      <c r="L199" s="132" t="s">
        <v>3874</v>
      </c>
      <c r="M199" s="22">
        <v>72</v>
      </c>
    </row>
    <row r="200" spans="1:13" ht="15.75" customHeight="1">
      <c r="A200" s="23">
        <v>46</v>
      </c>
      <c r="B200" s="36" t="s">
        <v>3627</v>
      </c>
      <c r="C200" s="24" t="s">
        <v>1161</v>
      </c>
      <c r="D200" s="24" t="s">
        <v>485</v>
      </c>
      <c r="E200" s="24" t="s">
        <v>1162</v>
      </c>
      <c r="F200" s="131">
        <v>5</v>
      </c>
      <c r="G200" s="25"/>
      <c r="H200" s="25">
        <v>85</v>
      </c>
      <c r="I200" s="50" t="s">
        <v>3801</v>
      </c>
      <c r="J200" s="131">
        <v>5</v>
      </c>
      <c r="K200" s="112">
        <v>42.5</v>
      </c>
      <c r="L200" s="132" t="s">
        <v>3874</v>
      </c>
      <c r="M200" s="22">
        <v>90</v>
      </c>
    </row>
    <row r="201" spans="1:13" ht="15.75" customHeight="1">
      <c r="A201" s="19">
        <v>47</v>
      </c>
      <c r="B201" s="36" t="s">
        <v>3627</v>
      </c>
      <c r="C201" s="20" t="s">
        <v>2679</v>
      </c>
      <c r="D201" s="20" t="s">
        <v>1260</v>
      </c>
      <c r="E201" s="20" t="s">
        <v>613</v>
      </c>
      <c r="F201" s="21"/>
      <c r="G201" s="131">
        <v>3</v>
      </c>
      <c r="H201" s="21">
        <v>50</v>
      </c>
      <c r="I201" s="50" t="s">
        <v>3799</v>
      </c>
      <c r="J201" s="131">
        <v>3</v>
      </c>
      <c r="K201" s="108">
        <v>25</v>
      </c>
      <c r="L201" s="132" t="s">
        <v>3821</v>
      </c>
      <c r="M201" s="22">
        <v>58</v>
      </c>
    </row>
    <row r="202" spans="1:13" ht="15.75" customHeight="1">
      <c r="A202" s="23">
        <v>48</v>
      </c>
      <c r="B202" s="36" t="s">
        <v>3627</v>
      </c>
      <c r="C202" s="24" t="s">
        <v>731</v>
      </c>
      <c r="D202" s="24" t="s">
        <v>732</v>
      </c>
      <c r="E202" s="24" t="s">
        <v>733</v>
      </c>
      <c r="F202" s="25">
        <v>165</v>
      </c>
      <c r="G202" s="131">
        <v>15</v>
      </c>
      <c r="H202" s="25">
        <v>80</v>
      </c>
      <c r="I202" s="50" t="s">
        <v>3799</v>
      </c>
      <c r="J202" s="131">
        <v>15</v>
      </c>
      <c r="K202" s="112">
        <v>122.5</v>
      </c>
      <c r="L202" s="132" t="s">
        <v>3822</v>
      </c>
      <c r="M202" s="22">
        <v>280</v>
      </c>
    </row>
    <row r="203" spans="1:13" ht="15.75" customHeight="1">
      <c r="A203" s="19">
        <v>49</v>
      </c>
      <c r="B203" s="36" t="s">
        <v>3627</v>
      </c>
      <c r="C203" s="20" t="s">
        <v>1225</v>
      </c>
      <c r="D203" s="20" t="s">
        <v>591</v>
      </c>
      <c r="E203" s="27" t="s">
        <v>1226</v>
      </c>
      <c r="F203" s="21">
        <v>80</v>
      </c>
      <c r="G203" s="131">
        <v>5</v>
      </c>
      <c r="H203" s="21"/>
      <c r="I203" s="50" t="s">
        <v>3799</v>
      </c>
      <c r="J203" s="131">
        <v>5</v>
      </c>
      <c r="K203" s="108">
        <v>40</v>
      </c>
      <c r="L203" s="132" t="s">
        <v>3823</v>
      </c>
      <c r="M203" s="22">
        <v>85</v>
      </c>
    </row>
    <row r="204" spans="1:13" ht="15.75" customHeight="1">
      <c r="A204" s="23">
        <v>50</v>
      </c>
      <c r="B204" s="36" t="s">
        <v>3627</v>
      </c>
      <c r="C204" s="24" t="s">
        <v>627</v>
      </c>
      <c r="D204" s="24" t="s">
        <v>628</v>
      </c>
      <c r="E204" s="24"/>
      <c r="F204" s="131">
        <v>20</v>
      </c>
      <c r="G204" s="25">
        <v>54</v>
      </c>
      <c r="H204" s="25">
        <v>247</v>
      </c>
      <c r="I204" s="50" t="s">
        <v>3801</v>
      </c>
      <c r="J204" s="131">
        <v>20</v>
      </c>
      <c r="K204" s="112">
        <v>150.5</v>
      </c>
      <c r="L204" s="132" t="s">
        <v>3824</v>
      </c>
      <c r="M204" s="22">
        <v>321</v>
      </c>
    </row>
    <row r="205" spans="1:13" ht="15.75" customHeight="1">
      <c r="A205" s="19">
        <v>51</v>
      </c>
      <c r="B205" s="36" t="s">
        <v>3627</v>
      </c>
      <c r="C205" s="20" t="s">
        <v>1163</v>
      </c>
      <c r="D205" s="20" t="s">
        <v>1164</v>
      </c>
      <c r="E205" s="20"/>
      <c r="F205" s="21">
        <v>20</v>
      </c>
      <c r="G205" s="131">
        <v>2</v>
      </c>
      <c r="H205" s="21">
        <v>10</v>
      </c>
      <c r="I205" s="50" t="s">
        <v>3799</v>
      </c>
      <c r="J205" s="131">
        <v>2</v>
      </c>
      <c r="K205" s="108">
        <v>15</v>
      </c>
      <c r="L205" s="132" t="s">
        <v>3824</v>
      </c>
      <c r="M205" s="22">
        <v>42</v>
      </c>
    </row>
    <row r="206" spans="1:13" ht="15.75" customHeight="1">
      <c r="A206" s="23">
        <v>52</v>
      </c>
      <c r="B206" s="36" t="s">
        <v>3627</v>
      </c>
      <c r="C206" s="24" t="s">
        <v>892</v>
      </c>
      <c r="D206" s="24" t="s">
        <v>893</v>
      </c>
      <c r="E206" s="24" t="s">
        <v>894</v>
      </c>
      <c r="F206" s="25">
        <v>149</v>
      </c>
      <c r="G206" s="25">
        <v>54</v>
      </c>
      <c r="H206" s="131">
        <v>14</v>
      </c>
      <c r="I206" s="50" t="s">
        <v>3797</v>
      </c>
      <c r="J206" s="131">
        <v>14</v>
      </c>
      <c r="K206" s="112">
        <v>101.5</v>
      </c>
      <c r="L206" s="132" t="s">
        <v>3826</v>
      </c>
      <c r="M206" s="22">
        <v>217</v>
      </c>
    </row>
    <row r="207" spans="1:13" ht="15.75" customHeight="1">
      <c r="A207" s="19">
        <v>53</v>
      </c>
      <c r="B207" s="36" t="s">
        <v>3627</v>
      </c>
      <c r="C207" s="20" t="s">
        <v>523</v>
      </c>
      <c r="D207" s="20" t="s">
        <v>524</v>
      </c>
      <c r="E207" s="20" t="s">
        <v>525</v>
      </c>
      <c r="F207" s="21">
        <v>415</v>
      </c>
      <c r="G207" s="21">
        <v>111</v>
      </c>
      <c r="H207" s="131">
        <v>38</v>
      </c>
      <c r="I207" s="50" t="s">
        <v>3797</v>
      </c>
      <c r="J207" s="131">
        <v>38</v>
      </c>
      <c r="K207" s="108">
        <v>263</v>
      </c>
      <c r="L207" s="132" t="s">
        <v>3827</v>
      </c>
      <c r="M207" s="22">
        <v>564</v>
      </c>
    </row>
    <row r="208" spans="1:13" ht="15.75" customHeight="1">
      <c r="A208" s="23">
        <v>54</v>
      </c>
      <c r="B208" s="36" t="s">
        <v>3627</v>
      </c>
      <c r="C208" s="24" t="s">
        <v>909</v>
      </c>
      <c r="D208" s="24" t="s">
        <v>910</v>
      </c>
      <c r="E208" s="24" t="s">
        <v>911</v>
      </c>
      <c r="F208" s="25">
        <v>700</v>
      </c>
      <c r="G208" s="25">
        <v>60</v>
      </c>
      <c r="H208" s="131">
        <v>55</v>
      </c>
      <c r="I208" s="50" t="s">
        <v>3797</v>
      </c>
      <c r="J208" s="131">
        <v>55</v>
      </c>
      <c r="K208" s="112">
        <v>380</v>
      </c>
      <c r="L208" s="132" t="s">
        <v>3827</v>
      </c>
      <c r="M208" s="22">
        <v>815</v>
      </c>
    </row>
    <row r="209" spans="1:13" ht="15.75" customHeight="1">
      <c r="A209" s="19">
        <v>55</v>
      </c>
      <c r="B209" s="36" t="s">
        <v>3627</v>
      </c>
      <c r="C209" s="20" t="s">
        <v>1133</v>
      </c>
      <c r="D209" s="20" t="s">
        <v>708</v>
      </c>
      <c r="E209" s="20" t="s">
        <v>1134</v>
      </c>
      <c r="F209" s="21">
        <v>81</v>
      </c>
      <c r="G209" s="131">
        <v>6</v>
      </c>
      <c r="H209" s="21"/>
      <c r="I209" s="50" t="s">
        <v>3799</v>
      </c>
      <c r="J209" s="131">
        <v>6</v>
      </c>
      <c r="K209" s="108">
        <v>40.5</v>
      </c>
      <c r="L209" s="132" t="s">
        <v>3909</v>
      </c>
      <c r="M209" s="22">
        <v>87</v>
      </c>
    </row>
    <row r="210" spans="1:13" ht="15.75" customHeight="1">
      <c r="A210" s="23">
        <v>56</v>
      </c>
      <c r="B210" s="36" t="s">
        <v>3627</v>
      </c>
      <c r="C210" s="24" t="s">
        <v>795</v>
      </c>
      <c r="D210" s="24" t="s">
        <v>796</v>
      </c>
      <c r="E210" s="24" t="s">
        <v>797</v>
      </c>
      <c r="F210" s="25">
        <v>184</v>
      </c>
      <c r="G210" s="131">
        <v>36</v>
      </c>
      <c r="H210" s="25">
        <v>300</v>
      </c>
      <c r="I210" s="50" t="s">
        <v>3799</v>
      </c>
      <c r="J210" s="131">
        <v>36</v>
      </c>
      <c r="K210" s="112">
        <v>242</v>
      </c>
      <c r="L210" s="132" t="s">
        <v>3864</v>
      </c>
      <c r="M210" s="22">
        <v>522</v>
      </c>
    </row>
    <row r="211" spans="1:13" ht="15.75" customHeight="1">
      <c r="A211" s="19">
        <v>57</v>
      </c>
      <c r="B211" s="36" t="s">
        <v>3627</v>
      </c>
      <c r="C211" s="20" t="s">
        <v>1118</v>
      </c>
      <c r="D211" s="20" t="s">
        <v>370</v>
      </c>
      <c r="E211" s="20" t="s">
        <v>1115</v>
      </c>
      <c r="F211" s="21">
        <v>34</v>
      </c>
      <c r="G211" s="21">
        <v>19</v>
      </c>
      <c r="H211" s="131">
        <v>4</v>
      </c>
      <c r="I211" s="50" t="s">
        <v>3797</v>
      </c>
      <c r="J211" s="131">
        <v>4</v>
      </c>
      <c r="K211" s="108">
        <v>26.5</v>
      </c>
      <c r="L211" s="132" t="s">
        <v>3910</v>
      </c>
      <c r="M211" s="22">
        <v>64</v>
      </c>
    </row>
    <row r="212" spans="1:13" ht="15.75" customHeight="1">
      <c r="A212" s="23">
        <v>58</v>
      </c>
      <c r="B212" s="36" t="s">
        <v>3627</v>
      </c>
      <c r="C212" s="24" t="s">
        <v>790</v>
      </c>
      <c r="D212" s="24" t="s">
        <v>791</v>
      </c>
      <c r="E212" s="24"/>
      <c r="F212" s="131">
        <v>18</v>
      </c>
      <c r="G212" s="25">
        <v>170</v>
      </c>
      <c r="H212" s="25">
        <v>64</v>
      </c>
      <c r="I212" s="50" t="s">
        <v>3801</v>
      </c>
      <c r="J212" s="131">
        <v>18</v>
      </c>
      <c r="K212" s="112">
        <v>117</v>
      </c>
      <c r="L212" s="132" t="s">
        <v>3865</v>
      </c>
      <c r="M212" s="22">
        <v>292</v>
      </c>
    </row>
    <row r="213" spans="1:13" ht="15.75" customHeight="1">
      <c r="A213" s="19">
        <v>59</v>
      </c>
      <c r="B213" s="36" t="s">
        <v>3627</v>
      </c>
      <c r="C213" s="20" t="s">
        <v>996</v>
      </c>
      <c r="D213" s="20" t="s">
        <v>823</v>
      </c>
      <c r="E213" s="20" t="s">
        <v>997</v>
      </c>
      <c r="F213" s="131">
        <v>59</v>
      </c>
      <c r="G213" s="21">
        <v>750</v>
      </c>
      <c r="H213" s="21"/>
      <c r="I213" s="50" t="s">
        <v>3801</v>
      </c>
      <c r="J213" s="131">
        <v>59</v>
      </c>
      <c r="K213" s="108">
        <v>375</v>
      </c>
      <c r="L213" s="132" t="s">
        <v>3828</v>
      </c>
      <c r="M213" s="22">
        <v>809</v>
      </c>
    </row>
    <row r="214" spans="1:13" ht="15.75" customHeight="1">
      <c r="A214" s="23">
        <v>60</v>
      </c>
      <c r="B214" s="36" t="s">
        <v>3627</v>
      </c>
      <c r="C214" s="24" t="s">
        <v>2642</v>
      </c>
      <c r="D214" s="24" t="s">
        <v>2643</v>
      </c>
      <c r="E214" s="24"/>
      <c r="F214" s="25"/>
      <c r="G214" s="131">
        <v>3</v>
      </c>
      <c r="H214" s="25">
        <v>38</v>
      </c>
      <c r="I214" s="50" t="s">
        <v>3799</v>
      </c>
      <c r="J214" s="131">
        <v>3</v>
      </c>
      <c r="K214" s="112">
        <v>19</v>
      </c>
      <c r="L214" s="132" t="s">
        <v>3829</v>
      </c>
      <c r="M214" s="22">
        <v>41</v>
      </c>
    </row>
    <row r="215" spans="1:13" ht="15.75" customHeight="1">
      <c r="A215" s="19">
        <v>61</v>
      </c>
      <c r="B215" s="36" t="s">
        <v>3627</v>
      </c>
      <c r="C215" s="20" t="s">
        <v>767</v>
      </c>
      <c r="D215" s="20" t="s">
        <v>768</v>
      </c>
      <c r="E215" s="20"/>
      <c r="F215" s="131">
        <v>40</v>
      </c>
      <c r="G215" s="21">
        <v>459</v>
      </c>
      <c r="H215" s="21">
        <v>46</v>
      </c>
      <c r="I215" s="50" t="s">
        <v>3801</v>
      </c>
      <c r="J215" s="131">
        <v>40</v>
      </c>
      <c r="K215" s="108">
        <v>252.5</v>
      </c>
      <c r="L215" s="132" t="s">
        <v>3829</v>
      </c>
      <c r="M215" s="22">
        <v>590</v>
      </c>
    </row>
    <row r="216" spans="1:13" ht="15.75" customHeight="1">
      <c r="A216" s="23">
        <v>62</v>
      </c>
      <c r="B216" s="36" t="s">
        <v>3627</v>
      </c>
      <c r="C216" s="24" t="s">
        <v>880</v>
      </c>
      <c r="D216" s="24" t="s">
        <v>881</v>
      </c>
      <c r="E216" s="24" t="s">
        <v>882</v>
      </c>
      <c r="F216" s="25">
        <v>95</v>
      </c>
      <c r="G216" s="25">
        <v>30</v>
      </c>
      <c r="H216" s="131">
        <v>10</v>
      </c>
      <c r="I216" s="50" t="s">
        <v>3797</v>
      </c>
      <c r="J216" s="131">
        <v>10</v>
      </c>
      <c r="K216" s="112">
        <v>62.5</v>
      </c>
      <c r="L216" s="132" t="s">
        <v>3911</v>
      </c>
      <c r="M216" s="22">
        <v>135</v>
      </c>
    </row>
    <row r="217" spans="1:13" ht="15.75" customHeight="1">
      <c r="A217" s="19">
        <v>63</v>
      </c>
      <c r="B217" s="36" t="s">
        <v>3627</v>
      </c>
      <c r="C217" s="20" t="s">
        <v>1121</v>
      </c>
      <c r="D217" s="20" t="s">
        <v>568</v>
      </c>
      <c r="E217" s="20" t="s">
        <v>1122</v>
      </c>
      <c r="F217" s="21">
        <v>96</v>
      </c>
      <c r="G217" s="21">
        <v>49</v>
      </c>
      <c r="H217" s="131">
        <v>12</v>
      </c>
      <c r="I217" s="50" t="s">
        <v>3797</v>
      </c>
      <c r="J217" s="131">
        <v>12</v>
      </c>
      <c r="K217" s="108">
        <v>72.5</v>
      </c>
      <c r="L217" s="132" t="s">
        <v>3830</v>
      </c>
      <c r="M217" s="22">
        <v>157</v>
      </c>
    </row>
    <row r="218" spans="1:13" ht="15.75" customHeight="1">
      <c r="A218" s="23">
        <v>64</v>
      </c>
      <c r="B218" s="36" t="s">
        <v>3627</v>
      </c>
      <c r="C218" s="24" t="s">
        <v>515</v>
      </c>
      <c r="D218" s="24" t="s">
        <v>516</v>
      </c>
      <c r="E218" s="24" t="s">
        <v>517</v>
      </c>
      <c r="F218" s="25">
        <v>249</v>
      </c>
      <c r="G218" s="25">
        <v>1025</v>
      </c>
      <c r="H218" s="131">
        <v>108</v>
      </c>
      <c r="I218" s="50" t="s">
        <v>3797</v>
      </c>
      <c r="J218" s="131">
        <v>108</v>
      </c>
      <c r="K218" s="112">
        <v>637</v>
      </c>
      <c r="L218" s="132" t="s">
        <v>3866</v>
      </c>
      <c r="M218" s="22">
        <v>1382</v>
      </c>
    </row>
    <row r="219" spans="1:13" ht="15.75" customHeight="1">
      <c r="A219" s="19">
        <v>65</v>
      </c>
      <c r="B219" s="36" t="s">
        <v>3627</v>
      </c>
      <c r="C219" s="20" t="s">
        <v>560</v>
      </c>
      <c r="D219" s="20" t="s">
        <v>561</v>
      </c>
      <c r="E219" s="20" t="s">
        <v>562</v>
      </c>
      <c r="F219" s="21">
        <v>590</v>
      </c>
      <c r="G219" s="131">
        <v>60</v>
      </c>
      <c r="H219" s="21">
        <v>99</v>
      </c>
      <c r="I219" s="50" t="s">
        <v>3799</v>
      </c>
      <c r="J219" s="131">
        <v>60</v>
      </c>
      <c r="K219" s="108">
        <v>344.5</v>
      </c>
      <c r="L219" s="132" t="s">
        <v>3912</v>
      </c>
      <c r="M219" s="22">
        <v>749</v>
      </c>
    </row>
    <row r="220" spans="1:13" ht="15.75" customHeight="1">
      <c r="A220" s="23">
        <v>66</v>
      </c>
      <c r="B220" s="36" t="s">
        <v>3627</v>
      </c>
      <c r="C220" s="24" t="s">
        <v>573</v>
      </c>
      <c r="D220" s="24" t="s">
        <v>574</v>
      </c>
      <c r="E220" s="24" t="s">
        <v>575</v>
      </c>
      <c r="F220" s="25">
        <v>596</v>
      </c>
      <c r="G220" s="25">
        <v>1006</v>
      </c>
      <c r="H220" s="131">
        <v>140</v>
      </c>
      <c r="I220" s="50" t="s">
        <v>3797</v>
      </c>
      <c r="J220" s="131">
        <v>140</v>
      </c>
      <c r="K220" s="112">
        <v>801</v>
      </c>
      <c r="L220" s="132" t="s">
        <v>3912</v>
      </c>
      <c r="M220" s="22">
        <v>2082</v>
      </c>
    </row>
    <row r="221" spans="1:13" ht="15.75" customHeight="1">
      <c r="A221" s="19">
        <v>67</v>
      </c>
      <c r="B221" s="36" t="s">
        <v>3627</v>
      </c>
      <c r="C221" s="20" t="s">
        <v>845</v>
      </c>
      <c r="D221" s="20" t="s">
        <v>846</v>
      </c>
      <c r="E221" s="20" t="s">
        <v>847</v>
      </c>
      <c r="F221" s="21">
        <v>771</v>
      </c>
      <c r="G221" s="131">
        <v>153</v>
      </c>
      <c r="H221" s="21">
        <v>951</v>
      </c>
      <c r="I221" s="50" t="s">
        <v>3799</v>
      </c>
      <c r="J221" s="131">
        <v>153</v>
      </c>
      <c r="K221" s="108">
        <v>861</v>
      </c>
      <c r="L221" s="132" t="s">
        <v>3831</v>
      </c>
      <c r="M221" s="22">
        <v>2183</v>
      </c>
    </row>
    <row r="222" spans="1:13" ht="15.75" customHeight="1">
      <c r="A222" s="23">
        <v>68</v>
      </c>
      <c r="B222" s="36" t="s">
        <v>3627</v>
      </c>
      <c r="C222" s="24" t="s">
        <v>871</v>
      </c>
      <c r="D222" s="24" t="s">
        <v>872</v>
      </c>
      <c r="E222" s="24" t="s">
        <v>873</v>
      </c>
      <c r="F222" s="25">
        <v>253</v>
      </c>
      <c r="G222" s="131">
        <v>48</v>
      </c>
      <c r="H222" s="25">
        <v>275</v>
      </c>
      <c r="I222" s="50" t="s">
        <v>3799</v>
      </c>
      <c r="J222" s="131">
        <v>48</v>
      </c>
      <c r="K222" s="112">
        <v>264</v>
      </c>
      <c r="L222" s="132" t="s">
        <v>3832</v>
      </c>
      <c r="M222" s="22">
        <v>626</v>
      </c>
    </row>
    <row r="223" spans="1:13" ht="15.75" customHeight="1">
      <c r="A223" s="19">
        <v>69</v>
      </c>
      <c r="B223" s="36" t="s">
        <v>3627</v>
      </c>
      <c r="C223" s="20" t="s">
        <v>2710</v>
      </c>
      <c r="D223" s="20" t="s">
        <v>2711</v>
      </c>
      <c r="E223" s="20"/>
      <c r="F223" s="21"/>
      <c r="G223" s="21">
        <v>55</v>
      </c>
      <c r="H223" s="131">
        <v>5</v>
      </c>
      <c r="I223" s="50" t="s">
        <v>3797</v>
      </c>
      <c r="J223" s="131">
        <v>5</v>
      </c>
      <c r="K223" s="108">
        <v>27.5</v>
      </c>
      <c r="L223" s="132" t="s">
        <v>3832</v>
      </c>
      <c r="M223" s="22">
        <v>70</v>
      </c>
    </row>
    <row r="224" spans="1:13" ht="15.75" customHeight="1">
      <c r="A224" s="23">
        <v>70</v>
      </c>
      <c r="B224" s="36" t="s">
        <v>3627</v>
      </c>
      <c r="C224" s="24" t="s">
        <v>854</v>
      </c>
      <c r="D224" s="24" t="s">
        <v>855</v>
      </c>
      <c r="E224" s="24" t="s">
        <v>856</v>
      </c>
      <c r="F224" s="25">
        <v>530</v>
      </c>
      <c r="G224" s="131">
        <v>80</v>
      </c>
      <c r="H224" s="25">
        <v>315</v>
      </c>
      <c r="I224" s="50" t="s">
        <v>3799</v>
      </c>
      <c r="J224" s="131">
        <v>80</v>
      </c>
      <c r="K224" s="112">
        <v>422.5</v>
      </c>
      <c r="L224" s="132" t="s">
        <v>3833</v>
      </c>
      <c r="M224" s="22">
        <v>925</v>
      </c>
    </row>
    <row r="225" spans="1:13" ht="15.75" customHeight="1">
      <c r="A225" s="19">
        <v>71</v>
      </c>
      <c r="B225" s="36" t="s">
        <v>3627</v>
      </c>
      <c r="C225" s="20" t="s">
        <v>1334</v>
      </c>
      <c r="D225" s="20" t="s">
        <v>1335</v>
      </c>
      <c r="E225" s="20"/>
      <c r="F225" s="21">
        <v>40</v>
      </c>
      <c r="G225" s="131">
        <v>10</v>
      </c>
      <c r="H225" s="21">
        <v>64</v>
      </c>
      <c r="I225" s="50" t="s">
        <v>3799</v>
      </c>
      <c r="J225" s="131">
        <v>10</v>
      </c>
      <c r="K225" s="108">
        <v>52</v>
      </c>
      <c r="L225" s="132" t="s">
        <v>3834</v>
      </c>
      <c r="M225" s="22">
        <v>114</v>
      </c>
    </row>
    <row r="226" spans="1:13" ht="15.75" customHeight="1">
      <c r="A226" s="23">
        <v>72</v>
      </c>
      <c r="B226" s="36" t="s">
        <v>3627</v>
      </c>
      <c r="C226" s="24" t="s">
        <v>506</v>
      </c>
      <c r="D226" s="24" t="s">
        <v>507</v>
      </c>
      <c r="E226" s="24" t="s">
        <v>508</v>
      </c>
      <c r="F226" s="25">
        <v>545</v>
      </c>
      <c r="G226" s="131">
        <v>61</v>
      </c>
      <c r="H226" s="25">
        <v>85</v>
      </c>
      <c r="I226" s="50" t="s">
        <v>3799</v>
      </c>
      <c r="J226" s="131">
        <v>61</v>
      </c>
      <c r="K226" s="112">
        <v>315</v>
      </c>
      <c r="L226" s="132" t="s">
        <v>3834</v>
      </c>
      <c r="M226" s="22">
        <v>761</v>
      </c>
    </row>
    <row r="227" spans="1:13" ht="15.75" customHeight="1">
      <c r="A227" s="19">
        <v>73</v>
      </c>
      <c r="B227" s="36" t="s">
        <v>3627</v>
      </c>
      <c r="C227" s="20" t="s">
        <v>529</v>
      </c>
      <c r="D227" s="20" t="s">
        <v>530</v>
      </c>
      <c r="E227" s="20" t="s">
        <v>531</v>
      </c>
      <c r="F227" s="21">
        <v>28</v>
      </c>
      <c r="G227" s="21">
        <v>13</v>
      </c>
      <c r="H227" s="131">
        <v>4</v>
      </c>
      <c r="I227" s="50" t="s">
        <v>3797</v>
      </c>
      <c r="J227" s="131">
        <v>4</v>
      </c>
      <c r="K227" s="108">
        <v>20.5</v>
      </c>
      <c r="L227" s="132" t="s">
        <v>3867</v>
      </c>
      <c r="M227" s="22">
        <v>45</v>
      </c>
    </row>
    <row r="228" spans="1:13" ht="15.75" customHeight="1">
      <c r="A228" s="23">
        <v>74</v>
      </c>
      <c r="B228" s="36" t="s">
        <v>3627</v>
      </c>
      <c r="C228" s="24" t="s">
        <v>1152</v>
      </c>
      <c r="D228" s="24" t="s">
        <v>1153</v>
      </c>
      <c r="E228" s="26" t="s">
        <v>1154</v>
      </c>
      <c r="F228" s="131">
        <v>1</v>
      </c>
      <c r="G228" s="25">
        <v>10</v>
      </c>
      <c r="H228" s="25"/>
      <c r="I228" s="50" t="s">
        <v>3801</v>
      </c>
      <c r="J228" s="131">
        <v>1</v>
      </c>
      <c r="K228" s="112">
        <v>5</v>
      </c>
      <c r="L228" s="132" t="s">
        <v>3835</v>
      </c>
      <c r="M228" s="22">
        <v>11</v>
      </c>
    </row>
    <row r="229" spans="1:13" ht="15.75" customHeight="1">
      <c r="A229" s="19">
        <v>75</v>
      </c>
      <c r="B229" s="36" t="s">
        <v>3627</v>
      </c>
      <c r="C229" s="20" t="s">
        <v>877</v>
      </c>
      <c r="D229" s="20" t="s">
        <v>878</v>
      </c>
      <c r="E229" s="20" t="s">
        <v>879</v>
      </c>
      <c r="F229" s="21">
        <v>35</v>
      </c>
      <c r="G229" s="21">
        <v>5</v>
      </c>
      <c r="H229" s="131">
        <v>4</v>
      </c>
      <c r="I229" s="50" t="s">
        <v>3797</v>
      </c>
      <c r="J229" s="131">
        <v>4</v>
      </c>
      <c r="K229" s="108">
        <v>20</v>
      </c>
      <c r="L229" s="132" t="s">
        <v>3835</v>
      </c>
      <c r="M229" s="22">
        <v>54</v>
      </c>
    </row>
    <row r="230" spans="1:13" ht="15.75" customHeight="1">
      <c r="A230" s="23">
        <v>76</v>
      </c>
      <c r="B230" s="36" t="s">
        <v>3627</v>
      </c>
      <c r="C230" s="24" t="s">
        <v>966</v>
      </c>
      <c r="D230" s="24" t="s">
        <v>967</v>
      </c>
      <c r="E230" s="24"/>
      <c r="F230" s="25">
        <v>30</v>
      </c>
      <c r="G230" s="25">
        <v>70</v>
      </c>
      <c r="H230" s="131">
        <v>10</v>
      </c>
      <c r="I230" s="50" t="s">
        <v>3797</v>
      </c>
      <c r="J230" s="131">
        <v>10</v>
      </c>
      <c r="K230" s="112">
        <v>50</v>
      </c>
      <c r="L230" s="132" t="s">
        <v>3835</v>
      </c>
      <c r="M230" s="22">
        <v>110</v>
      </c>
    </row>
    <row r="231" spans="1:13" ht="15.75" customHeight="1">
      <c r="A231" s="19">
        <v>77</v>
      </c>
      <c r="B231" s="36" t="s">
        <v>3627</v>
      </c>
      <c r="C231" s="20" t="s">
        <v>2731</v>
      </c>
      <c r="D231" s="20" t="s">
        <v>2732</v>
      </c>
      <c r="E231" s="20"/>
      <c r="F231" s="21"/>
      <c r="G231" s="21">
        <v>50</v>
      </c>
      <c r="H231" s="131">
        <v>5</v>
      </c>
      <c r="I231" s="50" t="s">
        <v>3797</v>
      </c>
      <c r="J231" s="131">
        <v>5</v>
      </c>
      <c r="K231" s="108">
        <v>25</v>
      </c>
      <c r="L231" s="132" t="s">
        <v>3835</v>
      </c>
      <c r="M231" s="22">
        <v>65</v>
      </c>
    </row>
    <row r="232" spans="1:13" ht="15.75" customHeight="1">
      <c r="A232" s="23">
        <v>78</v>
      </c>
      <c r="B232" s="36" t="s">
        <v>3627</v>
      </c>
      <c r="C232" s="24" t="s">
        <v>705</v>
      </c>
      <c r="D232" s="24" t="s">
        <v>480</v>
      </c>
      <c r="E232" s="24" t="s">
        <v>706</v>
      </c>
      <c r="F232" s="131">
        <v>137</v>
      </c>
      <c r="G232" s="25">
        <v>668</v>
      </c>
      <c r="H232" s="25">
        <v>692</v>
      </c>
      <c r="I232" s="50" t="s">
        <v>3801</v>
      </c>
      <c r="J232" s="131">
        <v>137</v>
      </c>
      <c r="K232" s="112">
        <v>680</v>
      </c>
      <c r="L232" s="132" t="s">
        <v>3835</v>
      </c>
      <c r="M232" s="22">
        <v>1833</v>
      </c>
    </row>
    <row r="233" spans="1:13" ht="15.75" customHeight="1">
      <c r="A233" s="19">
        <v>79</v>
      </c>
      <c r="B233" s="36" t="s">
        <v>3627</v>
      </c>
      <c r="C233" s="20" t="s">
        <v>2490</v>
      </c>
      <c r="D233" s="20" t="s">
        <v>2491</v>
      </c>
      <c r="E233" s="20"/>
      <c r="F233" s="21"/>
      <c r="G233" s="21">
        <v>99</v>
      </c>
      <c r="H233" s="131">
        <v>10</v>
      </c>
      <c r="I233" s="50" t="s">
        <v>3797</v>
      </c>
      <c r="J233" s="131">
        <v>10</v>
      </c>
      <c r="K233" s="108">
        <v>49.5</v>
      </c>
      <c r="L233" s="132" t="s">
        <v>3835</v>
      </c>
      <c r="M233" s="22">
        <v>109</v>
      </c>
    </row>
    <row r="234" spans="1:13" ht="15.75" customHeight="1">
      <c r="A234" s="23">
        <v>80</v>
      </c>
      <c r="B234" s="36" t="s">
        <v>3627</v>
      </c>
      <c r="C234" s="24" t="s">
        <v>837</v>
      </c>
      <c r="D234" s="24" t="s">
        <v>838</v>
      </c>
      <c r="E234" s="24" t="s">
        <v>839</v>
      </c>
      <c r="F234" s="25">
        <v>1269</v>
      </c>
      <c r="G234" s="131">
        <v>153</v>
      </c>
      <c r="H234" s="25">
        <v>204</v>
      </c>
      <c r="I234" s="50" t="s">
        <v>3799</v>
      </c>
      <c r="J234" s="131">
        <v>153</v>
      </c>
      <c r="K234" s="112">
        <v>736.5</v>
      </c>
      <c r="L234" s="132" t="s">
        <v>3837</v>
      </c>
      <c r="M234" s="22">
        <v>1626</v>
      </c>
    </row>
    <row r="235" spans="1:13" ht="15.75" customHeight="1">
      <c r="A235" s="19">
        <v>81</v>
      </c>
      <c r="B235" s="36" t="s">
        <v>3627</v>
      </c>
      <c r="C235" s="20" t="s">
        <v>903</v>
      </c>
      <c r="D235" s="20" t="s">
        <v>904</v>
      </c>
      <c r="E235" s="20" t="s">
        <v>905</v>
      </c>
      <c r="F235" s="21">
        <v>300</v>
      </c>
      <c r="G235" s="131">
        <v>32</v>
      </c>
      <c r="H235" s="21"/>
      <c r="I235" s="50" t="s">
        <v>3799</v>
      </c>
      <c r="J235" s="131">
        <v>32</v>
      </c>
      <c r="K235" s="108">
        <v>150</v>
      </c>
      <c r="L235" s="132" t="s">
        <v>3868</v>
      </c>
      <c r="M235" s="22">
        <v>332</v>
      </c>
    </row>
    <row r="236" spans="1:13" ht="15.75" customHeight="1">
      <c r="A236" s="23">
        <v>82</v>
      </c>
      <c r="B236" s="36" t="s">
        <v>3627</v>
      </c>
      <c r="C236" s="24" t="s">
        <v>2599</v>
      </c>
      <c r="D236" s="24" t="s">
        <v>776</v>
      </c>
      <c r="E236" s="24" t="s">
        <v>2600</v>
      </c>
      <c r="F236" s="25"/>
      <c r="G236" s="25">
        <v>280</v>
      </c>
      <c r="H236" s="131">
        <v>30</v>
      </c>
      <c r="I236" s="50" t="s">
        <v>3797</v>
      </c>
      <c r="J236" s="131">
        <v>30</v>
      </c>
      <c r="K236" s="112">
        <v>140</v>
      </c>
      <c r="L236" s="132" t="s">
        <v>3868</v>
      </c>
      <c r="M236" s="22">
        <v>310</v>
      </c>
    </row>
    <row r="237" spans="1:13" ht="15.75" customHeight="1">
      <c r="A237" s="19">
        <v>83</v>
      </c>
      <c r="B237" s="36" t="s">
        <v>3627</v>
      </c>
      <c r="C237" s="20" t="s">
        <v>675</v>
      </c>
      <c r="D237" s="20" t="s">
        <v>370</v>
      </c>
      <c r="E237" s="20" t="s">
        <v>676</v>
      </c>
      <c r="F237" s="21">
        <v>2747</v>
      </c>
      <c r="G237" s="21">
        <v>5507</v>
      </c>
      <c r="H237" s="131">
        <v>897</v>
      </c>
      <c r="I237" s="50" t="s">
        <v>3797</v>
      </c>
      <c r="J237" s="131">
        <v>897</v>
      </c>
      <c r="K237" s="108">
        <v>4127</v>
      </c>
      <c r="L237" s="132" t="s">
        <v>3869</v>
      </c>
      <c r="M237" s="22">
        <v>9535</v>
      </c>
    </row>
    <row r="238" spans="1:13" ht="15.75" customHeight="1">
      <c r="A238" s="23">
        <v>84</v>
      </c>
      <c r="B238" s="36" t="s">
        <v>3627</v>
      </c>
      <c r="C238" s="24" t="s">
        <v>754</v>
      </c>
      <c r="D238" s="24" t="s">
        <v>755</v>
      </c>
      <c r="E238" s="24"/>
      <c r="F238" s="25">
        <v>230</v>
      </c>
      <c r="G238" s="131">
        <v>34</v>
      </c>
      <c r="H238" s="25">
        <v>78</v>
      </c>
      <c r="I238" s="50" t="s">
        <v>3799</v>
      </c>
      <c r="J238" s="131">
        <v>34</v>
      </c>
      <c r="K238" s="112">
        <v>154</v>
      </c>
      <c r="L238" s="132" t="s">
        <v>3838</v>
      </c>
      <c r="M238" s="22">
        <v>342</v>
      </c>
    </row>
    <row r="239" spans="1:13" ht="15.75" customHeight="1">
      <c r="A239" s="19">
        <v>85</v>
      </c>
      <c r="B239" s="36" t="s">
        <v>3627</v>
      </c>
      <c r="C239" s="20" t="s">
        <v>804</v>
      </c>
      <c r="D239" s="20" t="s">
        <v>805</v>
      </c>
      <c r="E239" s="20" t="s">
        <v>806</v>
      </c>
      <c r="F239" s="21">
        <v>301</v>
      </c>
      <c r="G239" s="21">
        <v>150</v>
      </c>
      <c r="H239" s="131">
        <v>50</v>
      </c>
      <c r="I239" s="50" t="s">
        <v>3797</v>
      </c>
      <c r="J239" s="131">
        <v>50</v>
      </c>
      <c r="K239" s="108">
        <v>225.5</v>
      </c>
      <c r="L239" s="132" t="s">
        <v>3838</v>
      </c>
      <c r="M239" s="22">
        <v>501</v>
      </c>
    </row>
    <row r="240" spans="1:13" ht="15.75" customHeight="1">
      <c r="A240" s="23">
        <v>86</v>
      </c>
      <c r="B240" s="36" t="s">
        <v>3627</v>
      </c>
      <c r="C240" s="24" t="s">
        <v>848</v>
      </c>
      <c r="D240" s="24" t="s">
        <v>849</v>
      </c>
      <c r="E240" s="24" t="s">
        <v>850</v>
      </c>
      <c r="F240" s="25">
        <v>1499</v>
      </c>
      <c r="G240" s="131">
        <v>258</v>
      </c>
      <c r="H240" s="25">
        <v>816</v>
      </c>
      <c r="I240" s="50" t="s">
        <v>3799</v>
      </c>
      <c r="J240" s="131">
        <v>258</v>
      </c>
      <c r="K240" s="112">
        <v>1157.5</v>
      </c>
      <c r="L240" s="132" t="s">
        <v>3838</v>
      </c>
      <c r="M240" s="22">
        <v>2683</v>
      </c>
    </row>
    <row r="241" spans="1:13" ht="15.75" customHeight="1">
      <c r="A241" s="19">
        <v>87</v>
      </c>
      <c r="B241" s="36" t="s">
        <v>3627</v>
      </c>
      <c r="C241" s="20" t="s">
        <v>543</v>
      </c>
      <c r="D241" s="20" t="s">
        <v>544</v>
      </c>
      <c r="E241" s="20" t="s">
        <v>540</v>
      </c>
      <c r="F241" s="21">
        <v>14</v>
      </c>
      <c r="G241" s="131">
        <v>5</v>
      </c>
      <c r="H241" s="21">
        <v>30</v>
      </c>
      <c r="I241" s="50" t="s">
        <v>3799</v>
      </c>
      <c r="J241" s="131">
        <v>5</v>
      </c>
      <c r="K241" s="108">
        <v>22</v>
      </c>
      <c r="L241" s="132" t="s">
        <v>3839</v>
      </c>
      <c r="M241" s="22">
        <v>49</v>
      </c>
    </row>
    <row r="242" spans="1:13" ht="15.75" customHeight="1">
      <c r="A242" s="23">
        <v>88</v>
      </c>
      <c r="B242" s="36" t="s">
        <v>3627</v>
      </c>
      <c r="C242" s="24" t="s">
        <v>1042</v>
      </c>
      <c r="D242" s="24" t="s">
        <v>351</v>
      </c>
      <c r="E242" s="24" t="s">
        <v>1043</v>
      </c>
      <c r="F242" s="25">
        <v>150</v>
      </c>
      <c r="G242" s="131">
        <v>32</v>
      </c>
      <c r="H242" s="25">
        <v>130</v>
      </c>
      <c r="I242" s="50" t="s">
        <v>3799</v>
      </c>
      <c r="J242" s="131">
        <v>32</v>
      </c>
      <c r="K242" s="112">
        <v>140</v>
      </c>
      <c r="L242" s="132" t="s">
        <v>3839</v>
      </c>
      <c r="M242" s="22">
        <v>342</v>
      </c>
    </row>
    <row r="243" spans="1:13" ht="15.75" customHeight="1">
      <c r="A243" s="19">
        <v>89</v>
      </c>
      <c r="B243" s="36" t="s">
        <v>3627</v>
      </c>
      <c r="C243" s="20" t="s">
        <v>2455</v>
      </c>
      <c r="D243" s="20" t="s">
        <v>2456</v>
      </c>
      <c r="E243" s="20"/>
      <c r="F243" s="21"/>
      <c r="G243" s="21">
        <v>35</v>
      </c>
      <c r="H243" s="131">
        <v>4</v>
      </c>
      <c r="I243" s="50" t="s">
        <v>3797</v>
      </c>
      <c r="J243" s="131">
        <v>4</v>
      </c>
      <c r="K243" s="108">
        <v>17.5</v>
      </c>
      <c r="L243" s="132" t="s">
        <v>3839</v>
      </c>
      <c r="M243" s="22">
        <v>39</v>
      </c>
    </row>
    <row r="244" spans="1:13" ht="15.75" customHeight="1">
      <c r="A244" s="23">
        <v>90</v>
      </c>
      <c r="B244" s="36" t="s">
        <v>3627</v>
      </c>
      <c r="C244" s="24" t="s">
        <v>992</v>
      </c>
      <c r="D244" s="24" t="s">
        <v>832</v>
      </c>
      <c r="E244" s="24" t="s">
        <v>993</v>
      </c>
      <c r="F244" s="131">
        <v>100</v>
      </c>
      <c r="G244" s="25">
        <v>589</v>
      </c>
      <c r="H244" s="25">
        <v>250</v>
      </c>
      <c r="I244" s="50" t="s">
        <v>3801</v>
      </c>
      <c r="J244" s="131">
        <v>100</v>
      </c>
      <c r="K244" s="112">
        <v>419.5</v>
      </c>
      <c r="L244" s="132" t="s">
        <v>3841</v>
      </c>
      <c r="M244" s="22">
        <v>939</v>
      </c>
    </row>
    <row r="245" spans="1:13" ht="15.75" customHeight="1">
      <c r="A245" s="19">
        <v>91</v>
      </c>
      <c r="B245" s="36" t="s">
        <v>3627</v>
      </c>
      <c r="C245" s="20" t="s">
        <v>668</v>
      </c>
      <c r="D245" s="20" t="s">
        <v>669</v>
      </c>
      <c r="E245" s="20"/>
      <c r="F245" s="21">
        <v>50</v>
      </c>
      <c r="G245" s="21"/>
      <c r="H245" s="131">
        <v>6</v>
      </c>
      <c r="I245" s="50" t="s">
        <v>3797</v>
      </c>
      <c r="J245" s="131">
        <v>6</v>
      </c>
      <c r="K245" s="108">
        <v>25</v>
      </c>
      <c r="L245" s="132" t="s">
        <v>3841</v>
      </c>
      <c r="M245" s="22">
        <v>56</v>
      </c>
    </row>
    <row r="246" spans="1:13" ht="15.75" customHeight="1">
      <c r="A246" s="23">
        <v>92</v>
      </c>
      <c r="B246" s="36" t="s">
        <v>3627</v>
      </c>
      <c r="C246" s="24" t="s">
        <v>962</v>
      </c>
      <c r="D246" s="24" t="s">
        <v>963</v>
      </c>
      <c r="E246" s="24"/>
      <c r="F246" s="25">
        <v>50</v>
      </c>
      <c r="G246" s="25"/>
      <c r="H246" s="131">
        <v>6</v>
      </c>
      <c r="I246" s="50" t="s">
        <v>3797</v>
      </c>
      <c r="J246" s="131">
        <v>6</v>
      </c>
      <c r="K246" s="112">
        <v>25</v>
      </c>
      <c r="L246" s="132" t="s">
        <v>3841</v>
      </c>
      <c r="M246" s="22">
        <v>56</v>
      </c>
    </row>
    <row r="247" spans="1:13" ht="15.75" customHeight="1">
      <c r="A247" s="19">
        <v>93</v>
      </c>
      <c r="B247" s="36" t="s">
        <v>3627</v>
      </c>
      <c r="C247" s="20" t="s">
        <v>857</v>
      </c>
      <c r="D247" s="20" t="s">
        <v>858</v>
      </c>
      <c r="E247" s="20"/>
      <c r="F247" s="131">
        <v>33</v>
      </c>
      <c r="G247" s="21">
        <v>130</v>
      </c>
      <c r="H247" s="21">
        <v>141</v>
      </c>
      <c r="I247" s="50" t="s">
        <v>3801</v>
      </c>
      <c r="J247" s="131">
        <v>33</v>
      </c>
      <c r="K247" s="108">
        <v>135.5</v>
      </c>
      <c r="L247" s="132" t="s">
        <v>3842</v>
      </c>
      <c r="M247" s="22">
        <v>304</v>
      </c>
    </row>
    <row r="248" spans="1:13" ht="15.75" customHeight="1">
      <c r="A248" s="23">
        <v>94</v>
      </c>
      <c r="B248" s="36" t="s">
        <v>3627</v>
      </c>
      <c r="C248" s="24" t="s">
        <v>1000</v>
      </c>
      <c r="D248" s="24" t="s">
        <v>832</v>
      </c>
      <c r="E248" s="24" t="s">
        <v>1001</v>
      </c>
      <c r="F248" s="131">
        <v>20</v>
      </c>
      <c r="G248" s="25">
        <v>130</v>
      </c>
      <c r="H248" s="25">
        <v>30</v>
      </c>
      <c r="I248" s="50" t="s">
        <v>3801</v>
      </c>
      <c r="J248" s="131">
        <v>20</v>
      </c>
      <c r="K248" s="112">
        <v>80</v>
      </c>
      <c r="L248" s="132" t="s">
        <v>3870</v>
      </c>
      <c r="M248" s="22">
        <v>180</v>
      </c>
    </row>
    <row r="249" spans="1:13" ht="15.75" customHeight="1">
      <c r="A249" s="19">
        <v>95</v>
      </c>
      <c r="B249" s="36" t="s">
        <v>3627</v>
      </c>
      <c r="C249" s="20" t="s">
        <v>752</v>
      </c>
      <c r="D249" s="20" t="s">
        <v>753</v>
      </c>
      <c r="E249" s="20"/>
      <c r="F249" s="21">
        <v>20</v>
      </c>
      <c r="G249" s="131">
        <v>6</v>
      </c>
      <c r="H249" s="21">
        <v>28</v>
      </c>
      <c r="I249" s="50" t="s">
        <v>3799</v>
      </c>
      <c r="J249" s="131">
        <v>6</v>
      </c>
      <c r="K249" s="108">
        <v>24</v>
      </c>
      <c r="L249" s="132" t="s">
        <v>3870</v>
      </c>
      <c r="M249" s="22">
        <v>64</v>
      </c>
    </row>
    <row r="250" spans="1:13" ht="15.75" customHeight="1">
      <c r="A250" s="23">
        <v>96</v>
      </c>
      <c r="B250" s="36" t="s">
        <v>3627</v>
      </c>
      <c r="C250" s="24" t="s">
        <v>781</v>
      </c>
      <c r="D250" s="24" t="s">
        <v>782</v>
      </c>
      <c r="E250" s="24" t="s">
        <v>783</v>
      </c>
      <c r="F250" s="131">
        <v>15</v>
      </c>
      <c r="G250" s="25"/>
      <c r="H250" s="25">
        <v>120</v>
      </c>
      <c r="I250" s="50" t="s">
        <v>3801</v>
      </c>
      <c r="J250" s="131">
        <v>15</v>
      </c>
      <c r="K250" s="112">
        <v>60</v>
      </c>
      <c r="L250" s="132" t="s">
        <v>3870</v>
      </c>
      <c r="M250" s="22">
        <v>135</v>
      </c>
    </row>
    <row r="251" spans="1:13" ht="15.75" customHeight="1">
      <c r="A251" s="19">
        <v>97</v>
      </c>
      <c r="B251" s="36" t="s">
        <v>3627</v>
      </c>
      <c r="C251" s="20" t="s">
        <v>2471</v>
      </c>
      <c r="D251" s="20" t="s">
        <v>2472</v>
      </c>
      <c r="E251" s="20" t="s">
        <v>2473</v>
      </c>
      <c r="F251" s="21"/>
      <c r="G251" s="21">
        <v>16</v>
      </c>
      <c r="H251" s="131">
        <v>2</v>
      </c>
      <c r="I251" s="50" t="s">
        <v>3797</v>
      </c>
      <c r="J251" s="131">
        <v>2</v>
      </c>
      <c r="K251" s="108">
        <v>8</v>
      </c>
      <c r="L251" s="132" t="s">
        <v>3870</v>
      </c>
      <c r="M251" s="22">
        <v>18</v>
      </c>
    </row>
    <row r="252" spans="1:13" ht="15.75" customHeight="1">
      <c r="A252" s="23">
        <v>98</v>
      </c>
      <c r="B252" s="36" t="s">
        <v>3627</v>
      </c>
      <c r="C252" s="24" t="s">
        <v>369</v>
      </c>
      <c r="D252" s="24" t="s">
        <v>370</v>
      </c>
      <c r="E252" s="24" t="s">
        <v>371</v>
      </c>
      <c r="F252" s="131">
        <v>43</v>
      </c>
      <c r="G252" s="25">
        <v>340</v>
      </c>
      <c r="H252" s="25"/>
      <c r="I252" s="50" t="s">
        <v>3801</v>
      </c>
      <c r="J252" s="131">
        <v>43</v>
      </c>
      <c r="K252" s="112">
        <v>170</v>
      </c>
      <c r="L252" s="132" t="s">
        <v>3870</v>
      </c>
      <c r="M252" s="22">
        <v>383</v>
      </c>
    </row>
    <row r="253" spans="1:13" ht="15.75" customHeight="1">
      <c r="A253" s="19">
        <v>99</v>
      </c>
      <c r="B253" s="36" t="s">
        <v>3627</v>
      </c>
      <c r="C253" s="20" t="s">
        <v>1261</v>
      </c>
      <c r="D253" s="20" t="s">
        <v>558</v>
      </c>
      <c r="E253" s="20" t="s">
        <v>1262</v>
      </c>
      <c r="F253" s="21">
        <v>94</v>
      </c>
      <c r="G253" s="131">
        <v>12</v>
      </c>
      <c r="H253" s="21"/>
      <c r="I253" s="50" t="s">
        <v>3799</v>
      </c>
      <c r="J253" s="131">
        <v>12</v>
      </c>
      <c r="K253" s="108">
        <v>47</v>
      </c>
      <c r="L253" s="132" t="s">
        <v>3843</v>
      </c>
      <c r="M253" s="22">
        <v>106</v>
      </c>
    </row>
    <row r="254" spans="1:13" ht="15.75" customHeight="1">
      <c r="A254" s="23">
        <v>100</v>
      </c>
      <c r="B254" s="36" t="s">
        <v>3627</v>
      </c>
      <c r="C254" s="24" t="s">
        <v>807</v>
      </c>
      <c r="D254" s="24" t="s">
        <v>808</v>
      </c>
      <c r="E254" s="24" t="s">
        <v>809</v>
      </c>
      <c r="F254" s="25">
        <v>56</v>
      </c>
      <c r="G254" s="25">
        <v>330</v>
      </c>
      <c r="H254" s="131">
        <v>50</v>
      </c>
      <c r="I254" s="50" t="s">
        <v>3797</v>
      </c>
      <c r="J254" s="131">
        <v>50</v>
      </c>
      <c r="K254" s="112">
        <v>193</v>
      </c>
      <c r="L254" s="132" t="s">
        <v>3843</v>
      </c>
      <c r="M254" s="22">
        <v>436</v>
      </c>
    </row>
    <row r="255" spans="1:13" ht="15.75" customHeight="1">
      <c r="A255" s="19">
        <v>101</v>
      </c>
      <c r="B255" s="36" t="s">
        <v>3627</v>
      </c>
      <c r="C255" s="20" t="s">
        <v>840</v>
      </c>
      <c r="D255" s="20" t="s">
        <v>841</v>
      </c>
      <c r="E255" s="20" t="s">
        <v>842</v>
      </c>
      <c r="F255" s="21">
        <v>1028</v>
      </c>
      <c r="G255" s="21">
        <v>1419</v>
      </c>
      <c r="H255" s="131">
        <v>328</v>
      </c>
      <c r="I255" s="50" t="s">
        <v>3797</v>
      </c>
      <c r="J255" s="131">
        <v>328</v>
      </c>
      <c r="K255" s="108">
        <v>1223.5</v>
      </c>
      <c r="L255" s="132" t="s">
        <v>3845</v>
      </c>
      <c r="M255" s="22">
        <v>2909</v>
      </c>
    </row>
    <row r="256" spans="1:13" ht="15.75" customHeight="1">
      <c r="A256" s="23">
        <v>102</v>
      </c>
      <c r="B256" s="36" t="s">
        <v>3627</v>
      </c>
      <c r="C256" s="24" t="s">
        <v>1116</v>
      </c>
      <c r="D256" s="24" t="s">
        <v>1117</v>
      </c>
      <c r="E256" s="24"/>
      <c r="F256" s="25">
        <v>291</v>
      </c>
      <c r="G256" s="25">
        <v>348</v>
      </c>
      <c r="H256" s="131">
        <v>86</v>
      </c>
      <c r="I256" s="50" t="s">
        <v>3797</v>
      </c>
      <c r="J256" s="131">
        <v>86</v>
      </c>
      <c r="K256" s="112">
        <v>319.5</v>
      </c>
      <c r="L256" s="132" t="s">
        <v>3845</v>
      </c>
      <c r="M256" s="22">
        <v>725</v>
      </c>
    </row>
    <row r="257" spans="1:13" ht="15.75" customHeight="1">
      <c r="A257" s="19">
        <v>103</v>
      </c>
      <c r="B257" s="36" t="s">
        <v>3627</v>
      </c>
      <c r="C257" s="20" t="s">
        <v>1054</v>
      </c>
      <c r="D257" s="20" t="s">
        <v>1055</v>
      </c>
      <c r="E257" s="20"/>
      <c r="F257" s="131">
        <v>14</v>
      </c>
      <c r="G257" s="21">
        <v>64</v>
      </c>
      <c r="H257" s="21">
        <v>40</v>
      </c>
      <c r="I257" s="50" t="s">
        <v>3801</v>
      </c>
      <c r="J257" s="131">
        <v>14</v>
      </c>
      <c r="K257" s="108">
        <v>52</v>
      </c>
      <c r="L257" s="132" t="s">
        <v>3845</v>
      </c>
      <c r="M257" s="22">
        <v>118</v>
      </c>
    </row>
    <row r="258" spans="1:13" ht="15.75" customHeight="1">
      <c r="A258" s="23">
        <v>104</v>
      </c>
      <c r="B258" s="36" t="s">
        <v>3627</v>
      </c>
      <c r="C258" s="24" t="s">
        <v>1091</v>
      </c>
      <c r="D258" s="24" t="s">
        <v>869</v>
      </c>
      <c r="E258" s="24" t="s">
        <v>1092</v>
      </c>
      <c r="F258" s="25">
        <v>24350</v>
      </c>
      <c r="G258" s="25">
        <v>18700</v>
      </c>
      <c r="H258" s="131">
        <v>6018</v>
      </c>
      <c r="I258" s="50" t="s">
        <v>3797</v>
      </c>
      <c r="J258" s="131">
        <v>6018</v>
      </c>
      <c r="K258" s="112">
        <v>21525</v>
      </c>
      <c r="L258" s="132" t="s">
        <v>3846</v>
      </c>
      <c r="M258" s="22">
        <v>55868</v>
      </c>
    </row>
    <row r="259" spans="1:13" ht="15.75" customHeight="1">
      <c r="A259" s="19">
        <v>105</v>
      </c>
      <c r="B259" s="36" t="s">
        <v>3627</v>
      </c>
      <c r="C259" s="20" t="s">
        <v>834</v>
      </c>
      <c r="D259" s="20" t="s">
        <v>835</v>
      </c>
      <c r="E259" s="20" t="s">
        <v>836</v>
      </c>
      <c r="F259" s="21">
        <v>2032</v>
      </c>
      <c r="G259" s="131">
        <v>478</v>
      </c>
      <c r="H259" s="21">
        <v>1302</v>
      </c>
      <c r="I259" s="50" t="s">
        <v>3799</v>
      </c>
      <c r="J259" s="131">
        <v>478</v>
      </c>
      <c r="K259" s="108">
        <v>1667</v>
      </c>
      <c r="L259" s="132" t="s">
        <v>3847</v>
      </c>
      <c r="M259" s="22">
        <v>3994</v>
      </c>
    </row>
    <row r="260" spans="1:13" ht="15.75" customHeight="1">
      <c r="A260" s="23">
        <v>106</v>
      </c>
      <c r="B260" s="36" t="s">
        <v>3627</v>
      </c>
      <c r="C260" s="24" t="s">
        <v>798</v>
      </c>
      <c r="D260" s="24" t="s">
        <v>799</v>
      </c>
      <c r="E260" s="24" t="s">
        <v>800</v>
      </c>
      <c r="F260" s="25">
        <v>4368</v>
      </c>
      <c r="G260" s="25">
        <v>1080</v>
      </c>
      <c r="H260" s="131">
        <v>782</v>
      </c>
      <c r="I260" s="50" t="s">
        <v>3797</v>
      </c>
      <c r="J260" s="131">
        <v>782</v>
      </c>
      <c r="K260" s="112">
        <v>2724</v>
      </c>
      <c r="L260" s="132" t="s">
        <v>3847</v>
      </c>
      <c r="M260" s="22">
        <v>6940</v>
      </c>
    </row>
    <row r="261" spans="1:13" ht="15.75" customHeight="1">
      <c r="A261" s="19">
        <v>107</v>
      </c>
      <c r="B261" s="36" t="s">
        <v>3627</v>
      </c>
      <c r="C261" s="20" t="s">
        <v>608</v>
      </c>
      <c r="D261" s="20" t="s">
        <v>609</v>
      </c>
      <c r="E261" s="20" t="s">
        <v>610</v>
      </c>
      <c r="F261" s="21">
        <v>32</v>
      </c>
      <c r="G261" s="131">
        <v>16</v>
      </c>
      <c r="H261" s="21">
        <v>78</v>
      </c>
      <c r="I261" s="50" t="s">
        <v>3799</v>
      </c>
      <c r="J261" s="131">
        <v>16</v>
      </c>
      <c r="K261" s="108">
        <v>55</v>
      </c>
      <c r="L261" s="132" t="s">
        <v>3848</v>
      </c>
      <c r="M261" s="22">
        <v>126</v>
      </c>
    </row>
    <row r="262" spans="1:13" ht="15.75" customHeight="1">
      <c r="A262" s="23">
        <v>108</v>
      </c>
      <c r="B262" s="36" t="s">
        <v>3627</v>
      </c>
      <c r="C262" s="24" t="s">
        <v>1093</v>
      </c>
      <c r="D262" s="24" t="s">
        <v>841</v>
      </c>
      <c r="E262" s="24" t="s">
        <v>1094</v>
      </c>
      <c r="F262" s="131">
        <v>520</v>
      </c>
      <c r="G262" s="25">
        <v>1500</v>
      </c>
      <c r="H262" s="25">
        <v>2000</v>
      </c>
      <c r="I262" s="50" t="s">
        <v>3801</v>
      </c>
      <c r="J262" s="131">
        <v>520</v>
      </c>
      <c r="K262" s="112">
        <v>1750</v>
      </c>
      <c r="L262" s="132" t="s">
        <v>3848</v>
      </c>
      <c r="M262" s="22">
        <v>5020</v>
      </c>
    </row>
    <row r="263" spans="1:13" ht="15.75" customHeight="1">
      <c r="A263" s="19">
        <v>109</v>
      </c>
      <c r="B263" s="36" t="s">
        <v>3627</v>
      </c>
      <c r="C263" s="20" t="s">
        <v>912</v>
      </c>
      <c r="D263" s="20" t="s">
        <v>913</v>
      </c>
      <c r="E263" s="20" t="s">
        <v>914</v>
      </c>
      <c r="F263" s="21">
        <v>200</v>
      </c>
      <c r="G263" s="21"/>
      <c r="H263" s="131">
        <v>30</v>
      </c>
      <c r="I263" s="50" t="s">
        <v>3797</v>
      </c>
      <c r="J263" s="131">
        <v>30</v>
      </c>
      <c r="K263" s="108">
        <v>100</v>
      </c>
      <c r="L263" s="132" t="s">
        <v>3871</v>
      </c>
      <c r="M263" s="22">
        <v>230</v>
      </c>
    </row>
    <row r="264" spans="1:13" ht="15.75" customHeight="1">
      <c r="A264" s="23">
        <v>110</v>
      </c>
      <c r="B264" s="36" t="s">
        <v>3627</v>
      </c>
      <c r="C264" s="24" t="s">
        <v>605</v>
      </c>
      <c r="D264" s="24" t="s">
        <v>606</v>
      </c>
      <c r="E264" s="24" t="s">
        <v>607</v>
      </c>
      <c r="F264" s="25">
        <v>77</v>
      </c>
      <c r="G264" s="131">
        <v>69</v>
      </c>
      <c r="H264" s="25">
        <v>374</v>
      </c>
      <c r="I264" s="50" t="s">
        <v>3799</v>
      </c>
      <c r="J264" s="131">
        <v>69</v>
      </c>
      <c r="K264" s="112">
        <v>225.5</v>
      </c>
      <c r="L264" s="132" t="s">
        <v>3871</v>
      </c>
      <c r="M264" s="22">
        <v>520</v>
      </c>
    </row>
    <row r="265" spans="1:13" ht="15.75" customHeight="1">
      <c r="A265" s="19">
        <v>111</v>
      </c>
      <c r="B265" s="36" t="s">
        <v>3627</v>
      </c>
      <c r="C265" s="20" t="s">
        <v>1046</v>
      </c>
      <c r="D265" s="20" t="s">
        <v>354</v>
      </c>
      <c r="E265" s="20" t="s">
        <v>1047</v>
      </c>
      <c r="F265" s="21">
        <v>60</v>
      </c>
      <c r="G265" s="131">
        <v>30</v>
      </c>
      <c r="H265" s="21">
        <v>130</v>
      </c>
      <c r="I265" s="50" t="s">
        <v>3799</v>
      </c>
      <c r="J265" s="131">
        <v>30</v>
      </c>
      <c r="K265" s="108">
        <v>95</v>
      </c>
      <c r="L265" s="132" t="s">
        <v>3849</v>
      </c>
      <c r="M265" s="22">
        <v>220</v>
      </c>
    </row>
    <row r="266" spans="1:13" ht="15.75" customHeight="1">
      <c r="A266" s="23">
        <v>112</v>
      </c>
      <c r="B266" s="36" t="s">
        <v>3627</v>
      </c>
      <c r="C266" s="24" t="s">
        <v>596</v>
      </c>
      <c r="D266" s="24" t="s">
        <v>597</v>
      </c>
      <c r="E266" s="24" t="s">
        <v>598</v>
      </c>
      <c r="F266" s="25">
        <v>164</v>
      </c>
      <c r="G266" s="131">
        <v>62</v>
      </c>
      <c r="H266" s="25">
        <v>222</v>
      </c>
      <c r="I266" s="50" t="s">
        <v>3799</v>
      </c>
      <c r="J266" s="131">
        <v>62</v>
      </c>
      <c r="K266" s="112">
        <v>193</v>
      </c>
      <c r="L266" s="132" t="s">
        <v>3850</v>
      </c>
      <c r="M266" s="22">
        <v>453</v>
      </c>
    </row>
    <row r="267" spans="1:13" ht="15.75" customHeight="1">
      <c r="A267" s="19">
        <v>113</v>
      </c>
      <c r="B267" s="36" t="s">
        <v>3627</v>
      </c>
      <c r="C267" s="20" t="s">
        <v>563</v>
      </c>
      <c r="D267" s="20" t="s">
        <v>564</v>
      </c>
      <c r="E267" s="20"/>
      <c r="F267" s="21">
        <v>20</v>
      </c>
      <c r="G267" s="131">
        <v>14</v>
      </c>
      <c r="H267" s="21">
        <v>66</v>
      </c>
      <c r="I267" s="50" t="s">
        <v>3799</v>
      </c>
      <c r="J267" s="131">
        <v>14</v>
      </c>
      <c r="K267" s="108">
        <v>43</v>
      </c>
      <c r="L267" s="132" t="s">
        <v>3850</v>
      </c>
      <c r="M267" s="22">
        <v>100</v>
      </c>
    </row>
    <row r="268" spans="1:13" ht="15.75" customHeight="1">
      <c r="A268" s="23">
        <v>114</v>
      </c>
      <c r="B268" s="36" t="s">
        <v>3627</v>
      </c>
      <c r="C268" s="24" t="s">
        <v>1038</v>
      </c>
      <c r="D268" s="24" t="s">
        <v>820</v>
      </c>
      <c r="E268" s="24" t="s">
        <v>1039</v>
      </c>
      <c r="F268" s="131">
        <v>5</v>
      </c>
      <c r="G268" s="25"/>
      <c r="H268" s="25">
        <v>30</v>
      </c>
      <c r="I268" s="50" t="s">
        <v>3801</v>
      </c>
      <c r="J268" s="131">
        <v>5</v>
      </c>
      <c r="K268" s="112">
        <v>15</v>
      </c>
      <c r="L268" s="132" t="s">
        <v>3851</v>
      </c>
      <c r="M268" s="22">
        <v>35</v>
      </c>
    </row>
    <row r="269" spans="1:13" ht="15.75" customHeight="1">
      <c r="A269" s="19">
        <v>115</v>
      </c>
      <c r="B269" s="36" t="s">
        <v>3627</v>
      </c>
      <c r="C269" s="20" t="s">
        <v>2805</v>
      </c>
      <c r="D269" s="20" t="s">
        <v>869</v>
      </c>
      <c r="E269" s="20" t="s">
        <v>2806</v>
      </c>
      <c r="F269" s="21"/>
      <c r="G269" s="21">
        <v>600</v>
      </c>
      <c r="H269" s="131">
        <v>100</v>
      </c>
      <c r="I269" s="50" t="s">
        <v>3797</v>
      </c>
      <c r="J269" s="131">
        <v>100</v>
      </c>
      <c r="K269" s="108">
        <v>300</v>
      </c>
      <c r="L269" s="132" t="s">
        <v>3851</v>
      </c>
      <c r="M269" s="22">
        <v>700</v>
      </c>
    </row>
    <row r="271" spans="1:13" ht="19.5" customHeight="1">
      <c r="A271" s="146" t="s">
        <v>3913</v>
      </c>
      <c r="B271" s="146"/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</row>
    <row r="272" spans="1:13" ht="15.75" customHeight="1">
      <c r="A272" s="23">
        <v>1</v>
      </c>
      <c r="B272" s="37" t="s">
        <v>3628</v>
      </c>
      <c r="C272" s="24" t="s">
        <v>958</v>
      </c>
      <c r="D272" s="24" t="s">
        <v>959</v>
      </c>
      <c r="E272" s="24" t="s">
        <v>932</v>
      </c>
      <c r="F272" s="25">
        <v>300</v>
      </c>
      <c r="G272" s="25">
        <v>200</v>
      </c>
      <c r="H272" s="131">
        <v>15</v>
      </c>
      <c r="I272" s="50" t="s">
        <v>3797</v>
      </c>
      <c r="J272" s="131">
        <v>15</v>
      </c>
      <c r="K272" s="112">
        <v>250</v>
      </c>
      <c r="L272" s="132" t="s">
        <v>3902</v>
      </c>
      <c r="M272" s="22">
        <v>515</v>
      </c>
    </row>
    <row r="273" spans="1:13" ht="15.75" customHeight="1">
      <c r="A273" s="19">
        <v>2</v>
      </c>
      <c r="B273" s="37" t="s">
        <v>3628</v>
      </c>
      <c r="C273" s="20" t="s">
        <v>944</v>
      </c>
      <c r="D273" s="20" t="s">
        <v>945</v>
      </c>
      <c r="E273" s="20" t="s">
        <v>946</v>
      </c>
      <c r="F273" s="21">
        <v>154</v>
      </c>
      <c r="G273" s="131">
        <v>6</v>
      </c>
      <c r="H273" s="21"/>
      <c r="I273" s="50" t="s">
        <v>3799</v>
      </c>
      <c r="J273" s="131">
        <v>6</v>
      </c>
      <c r="K273" s="108">
        <v>77</v>
      </c>
      <c r="L273" s="132" t="s">
        <v>3914</v>
      </c>
      <c r="M273" s="22">
        <v>160</v>
      </c>
    </row>
    <row r="274" spans="1:13" ht="15.75" customHeight="1">
      <c r="A274" s="23">
        <v>3</v>
      </c>
      <c r="B274" s="37" t="s">
        <v>3628</v>
      </c>
      <c r="C274" s="24" t="s">
        <v>936</v>
      </c>
      <c r="D274" s="24" t="s">
        <v>937</v>
      </c>
      <c r="E274" s="24" t="s">
        <v>929</v>
      </c>
      <c r="F274" s="25">
        <v>105</v>
      </c>
      <c r="G274" s="25">
        <v>40</v>
      </c>
      <c r="H274" s="131">
        <v>10</v>
      </c>
      <c r="I274" s="50" t="s">
        <v>3797</v>
      </c>
      <c r="J274" s="131">
        <v>10</v>
      </c>
      <c r="K274" s="112">
        <v>72.5</v>
      </c>
      <c r="L274" s="132" t="s">
        <v>3826</v>
      </c>
      <c r="M274" s="22">
        <v>285</v>
      </c>
    </row>
    <row r="275" spans="1:13" ht="15.75" customHeight="1">
      <c r="A275" s="19">
        <v>4</v>
      </c>
      <c r="B275" s="37" t="s">
        <v>3628</v>
      </c>
      <c r="C275" s="20" t="s">
        <v>942</v>
      </c>
      <c r="D275" s="20" t="s">
        <v>943</v>
      </c>
      <c r="E275" s="20" t="s">
        <v>932</v>
      </c>
      <c r="F275" s="21">
        <v>1380</v>
      </c>
      <c r="G275" s="131">
        <v>100</v>
      </c>
      <c r="H275" s="21"/>
      <c r="I275" s="50" t="s">
        <v>3799</v>
      </c>
      <c r="J275" s="131">
        <v>100</v>
      </c>
      <c r="K275" s="108">
        <v>690</v>
      </c>
      <c r="L275" s="132" t="s">
        <v>3827</v>
      </c>
      <c r="M275" s="22">
        <v>1480</v>
      </c>
    </row>
    <row r="276" spans="1:13" ht="15.75" customHeight="1">
      <c r="A276" s="23">
        <v>5</v>
      </c>
      <c r="B276" s="37" t="s">
        <v>3628</v>
      </c>
      <c r="C276" s="24" t="s">
        <v>938</v>
      </c>
      <c r="D276" s="24" t="s">
        <v>939</v>
      </c>
      <c r="E276" s="24" t="s">
        <v>935</v>
      </c>
      <c r="F276" s="131">
        <v>10</v>
      </c>
      <c r="G276" s="25">
        <v>50</v>
      </c>
      <c r="H276" s="25">
        <v>84</v>
      </c>
      <c r="I276" s="50" t="s">
        <v>3801</v>
      </c>
      <c r="J276" s="131">
        <v>10</v>
      </c>
      <c r="K276" s="112">
        <v>67</v>
      </c>
      <c r="L276" s="132" t="s">
        <v>3864</v>
      </c>
      <c r="M276" s="22">
        <v>304</v>
      </c>
    </row>
    <row r="277" spans="1:13" ht="15.75" customHeight="1">
      <c r="A277" s="19">
        <v>6</v>
      </c>
      <c r="B277" s="37" t="s">
        <v>3628</v>
      </c>
      <c r="C277" s="20" t="s">
        <v>927</v>
      </c>
      <c r="D277" s="20" t="s">
        <v>928</v>
      </c>
      <c r="E277" s="20" t="s">
        <v>929</v>
      </c>
      <c r="F277" s="21">
        <v>45</v>
      </c>
      <c r="G277" s="21">
        <v>50</v>
      </c>
      <c r="H277" s="131">
        <v>10</v>
      </c>
      <c r="I277" s="50" t="s">
        <v>3797</v>
      </c>
      <c r="J277" s="131">
        <v>10</v>
      </c>
      <c r="K277" s="108">
        <v>47.5</v>
      </c>
      <c r="L277" s="132" t="s">
        <v>3837</v>
      </c>
      <c r="M277" s="22">
        <v>165</v>
      </c>
    </row>
    <row r="278" spans="1:13" ht="15.75" customHeight="1">
      <c r="A278" s="23">
        <v>7</v>
      </c>
      <c r="B278" s="37" t="s">
        <v>3628</v>
      </c>
      <c r="C278" s="24" t="s">
        <v>947</v>
      </c>
      <c r="D278" s="24" t="s">
        <v>948</v>
      </c>
      <c r="E278" s="24" t="s">
        <v>935</v>
      </c>
      <c r="F278" s="25">
        <v>619</v>
      </c>
      <c r="G278" s="25"/>
      <c r="H278" s="131">
        <v>70</v>
      </c>
      <c r="I278" s="50" t="s">
        <v>3797</v>
      </c>
      <c r="J278" s="131">
        <v>70</v>
      </c>
      <c r="K278" s="112">
        <v>309.5</v>
      </c>
      <c r="L278" s="132" t="s">
        <v>3839</v>
      </c>
      <c r="M278" s="22">
        <v>689</v>
      </c>
    </row>
    <row r="279" spans="1:13" ht="15.75" customHeight="1">
      <c r="A279" s="19">
        <v>8</v>
      </c>
      <c r="B279" s="37" t="s">
        <v>3628</v>
      </c>
      <c r="C279" s="20" t="s">
        <v>2550</v>
      </c>
      <c r="D279" s="20" t="s">
        <v>2551</v>
      </c>
      <c r="E279" s="20" t="s">
        <v>1142</v>
      </c>
      <c r="F279" s="21"/>
      <c r="G279" s="131">
        <v>3</v>
      </c>
      <c r="H279" s="21">
        <v>25</v>
      </c>
      <c r="I279" s="50" t="s">
        <v>3799</v>
      </c>
      <c r="J279" s="131">
        <v>3</v>
      </c>
      <c r="K279" s="108">
        <v>12.5</v>
      </c>
      <c r="L279" s="132" t="s">
        <v>3841</v>
      </c>
      <c r="M279" s="22">
        <v>178</v>
      </c>
    </row>
    <row r="280" spans="1:13" ht="15.75" customHeight="1">
      <c r="A280" s="23">
        <v>9</v>
      </c>
      <c r="B280" s="37" t="s">
        <v>3628</v>
      </c>
      <c r="C280" s="24" t="s">
        <v>1279</v>
      </c>
      <c r="D280" s="24" t="s">
        <v>959</v>
      </c>
      <c r="E280" s="24" t="s">
        <v>1270</v>
      </c>
      <c r="F280" s="131">
        <v>55</v>
      </c>
      <c r="G280" s="25">
        <v>400</v>
      </c>
      <c r="H280" s="25"/>
      <c r="I280" s="50" t="s">
        <v>3801</v>
      </c>
      <c r="J280" s="131">
        <v>55</v>
      </c>
      <c r="K280" s="112">
        <v>200</v>
      </c>
      <c r="L280" s="132" t="s">
        <v>3846</v>
      </c>
      <c r="M280" s="22">
        <v>455</v>
      </c>
    </row>
    <row r="282" spans="1:13" ht="19.5" customHeight="1">
      <c r="A282" s="147" t="s">
        <v>3915</v>
      </c>
      <c r="B282" s="147"/>
      <c r="C282" s="147"/>
      <c r="D282" s="147"/>
      <c r="E282" s="147"/>
      <c r="F282" s="147"/>
      <c r="G282" s="147"/>
      <c r="H282" s="147"/>
      <c r="I282" s="147"/>
      <c r="J282" s="147"/>
      <c r="K282" s="147"/>
      <c r="L282" s="147"/>
      <c r="M282" s="147"/>
    </row>
    <row r="283" spans="1:13" ht="15.75" customHeight="1">
      <c r="A283" s="19">
        <v>1</v>
      </c>
      <c r="B283" s="122" t="s">
        <v>3629</v>
      </c>
      <c r="C283" s="20" t="s">
        <v>74</v>
      </c>
      <c r="D283" s="20" t="s">
        <v>75</v>
      </c>
      <c r="E283" s="20" t="s">
        <v>47</v>
      </c>
      <c r="F283" s="131">
        <v>1</v>
      </c>
      <c r="G283" s="21">
        <v>68</v>
      </c>
      <c r="H283" s="21">
        <v>50</v>
      </c>
      <c r="I283" s="50" t="s">
        <v>3801</v>
      </c>
      <c r="J283" s="131">
        <v>1</v>
      </c>
      <c r="K283" s="108">
        <v>59</v>
      </c>
      <c r="L283" s="132" t="s">
        <v>3916</v>
      </c>
      <c r="M283" s="22">
        <v>119</v>
      </c>
    </row>
    <row r="284" spans="1:13" ht="15.75" customHeight="1">
      <c r="A284" s="23">
        <v>2</v>
      </c>
      <c r="B284" s="122" t="s">
        <v>3629</v>
      </c>
      <c r="C284" s="24" t="s">
        <v>46</v>
      </c>
      <c r="D284" s="24" t="s">
        <v>38</v>
      </c>
      <c r="E284" s="24" t="s">
        <v>47</v>
      </c>
      <c r="F284" s="25">
        <v>90</v>
      </c>
      <c r="G284" s="131">
        <v>2</v>
      </c>
      <c r="H284" s="25"/>
      <c r="I284" s="50" t="s">
        <v>3799</v>
      </c>
      <c r="J284" s="131">
        <v>2</v>
      </c>
      <c r="K284" s="112">
        <v>45</v>
      </c>
      <c r="L284" s="132" t="s">
        <v>3802</v>
      </c>
      <c r="M284" s="22">
        <v>92</v>
      </c>
    </row>
    <row r="285" spans="1:13" ht="15.75" customHeight="1">
      <c r="A285" s="19">
        <v>3</v>
      </c>
      <c r="B285" s="122" t="s">
        <v>3629</v>
      </c>
      <c r="C285" s="20" t="s">
        <v>51</v>
      </c>
      <c r="D285" s="20" t="s">
        <v>38</v>
      </c>
      <c r="E285" s="20" t="s">
        <v>26</v>
      </c>
      <c r="F285" s="21">
        <v>204</v>
      </c>
      <c r="G285" s="21"/>
      <c r="H285" s="131">
        <v>5</v>
      </c>
      <c r="I285" s="50" t="s">
        <v>3797</v>
      </c>
      <c r="J285" s="131">
        <v>5</v>
      </c>
      <c r="K285" s="108">
        <v>102</v>
      </c>
      <c r="L285" s="132" t="s">
        <v>3897</v>
      </c>
      <c r="M285" s="22">
        <v>209</v>
      </c>
    </row>
    <row r="286" spans="1:13" ht="15.75" customHeight="1">
      <c r="A286" s="23">
        <v>4</v>
      </c>
      <c r="B286" s="122" t="s">
        <v>3629</v>
      </c>
      <c r="C286" s="24" t="s">
        <v>18</v>
      </c>
      <c r="D286" s="24" t="s">
        <v>19</v>
      </c>
      <c r="E286" s="24" t="s">
        <v>20</v>
      </c>
      <c r="F286" s="25">
        <v>525</v>
      </c>
      <c r="G286" s="25">
        <v>360</v>
      </c>
      <c r="H286" s="131">
        <v>30</v>
      </c>
      <c r="I286" s="50" t="s">
        <v>3797</v>
      </c>
      <c r="J286" s="131">
        <v>30</v>
      </c>
      <c r="K286" s="112">
        <v>442.5</v>
      </c>
      <c r="L286" s="132" t="s">
        <v>3903</v>
      </c>
      <c r="M286" s="22">
        <v>915</v>
      </c>
    </row>
    <row r="287" spans="1:13" ht="15.75" customHeight="1">
      <c r="A287" s="19">
        <v>5</v>
      </c>
      <c r="B287" s="122" t="s">
        <v>3629</v>
      </c>
      <c r="C287" s="20" t="s">
        <v>27</v>
      </c>
      <c r="D287" s="20" t="s">
        <v>28</v>
      </c>
      <c r="E287" s="20" t="s">
        <v>20</v>
      </c>
      <c r="F287" s="131">
        <v>5</v>
      </c>
      <c r="G287" s="21">
        <v>130</v>
      </c>
      <c r="H287" s="21">
        <v>10</v>
      </c>
      <c r="I287" s="50" t="s">
        <v>3801</v>
      </c>
      <c r="J287" s="131">
        <v>5</v>
      </c>
      <c r="K287" s="108">
        <v>70</v>
      </c>
      <c r="L287" s="132" t="s">
        <v>3917</v>
      </c>
      <c r="M287" s="22">
        <v>265</v>
      </c>
    </row>
    <row r="288" spans="1:13" ht="15.75" customHeight="1">
      <c r="A288" s="23">
        <v>6</v>
      </c>
      <c r="B288" s="122" t="s">
        <v>3629</v>
      </c>
      <c r="C288" s="24" t="s">
        <v>125</v>
      </c>
      <c r="D288" s="24" t="s">
        <v>123</v>
      </c>
      <c r="E288" s="24" t="s">
        <v>126</v>
      </c>
      <c r="F288" s="25">
        <v>340</v>
      </c>
      <c r="G288" s="25">
        <v>147</v>
      </c>
      <c r="H288" s="131">
        <v>21</v>
      </c>
      <c r="I288" s="50" t="s">
        <v>3797</v>
      </c>
      <c r="J288" s="131">
        <v>21</v>
      </c>
      <c r="K288" s="112">
        <v>243.5</v>
      </c>
      <c r="L288" s="132" t="s">
        <v>3810</v>
      </c>
      <c r="M288" s="22">
        <v>508</v>
      </c>
    </row>
    <row r="289" spans="1:13" ht="15.75" customHeight="1">
      <c r="A289" s="19">
        <v>7</v>
      </c>
      <c r="B289" s="122" t="s">
        <v>3629</v>
      </c>
      <c r="C289" s="20" t="s">
        <v>70</v>
      </c>
      <c r="D289" s="20" t="s">
        <v>28</v>
      </c>
      <c r="E289" s="20" t="s">
        <v>32</v>
      </c>
      <c r="F289" s="21">
        <v>96</v>
      </c>
      <c r="G289" s="21">
        <v>10</v>
      </c>
      <c r="H289" s="131">
        <v>5</v>
      </c>
      <c r="I289" s="50" t="s">
        <v>3797</v>
      </c>
      <c r="J289" s="131">
        <v>5</v>
      </c>
      <c r="K289" s="108">
        <v>53</v>
      </c>
      <c r="L289" s="132" t="s">
        <v>3918</v>
      </c>
      <c r="M289" s="22">
        <v>231</v>
      </c>
    </row>
    <row r="290" spans="1:13" ht="15.75" customHeight="1">
      <c r="A290" s="23">
        <v>8</v>
      </c>
      <c r="B290" s="122" t="s">
        <v>3629</v>
      </c>
      <c r="C290" s="24" t="s">
        <v>120</v>
      </c>
      <c r="D290" s="24" t="s">
        <v>28</v>
      </c>
      <c r="E290" s="24" t="s">
        <v>121</v>
      </c>
      <c r="F290" s="25">
        <v>80</v>
      </c>
      <c r="G290" s="131">
        <v>5</v>
      </c>
      <c r="H290" s="25"/>
      <c r="I290" s="50" t="s">
        <v>3799</v>
      </c>
      <c r="J290" s="131">
        <v>5</v>
      </c>
      <c r="K290" s="112">
        <v>40</v>
      </c>
      <c r="L290" s="132" t="s">
        <v>3823</v>
      </c>
      <c r="M290" s="22">
        <v>85</v>
      </c>
    </row>
    <row r="291" spans="1:13" ht="15.75" customHeight="1">
      <c r="A291" s="19">
        <v>9</v>
      </c>
      <c r="B291" s="122" t="s">
        <v>3629</v>
      </c>
      <c r="C291" s="20" t="s">
        <v>44</v>
      </c>
      <c r="D291" s="20" t="s">
        <v>38</v>
      </c>
      <c r="E291" s="20" t="s">
        <v>45</v>
      </c>
      <c r="F291" s="131">
        <v>5</v>
      </c>
      <c r="G291" s="21"/>
      <c r="H291" s="21">
        <v>80</v>
      </c>
      <c r="I291" s="50" t="s">
        <v>3801</v>
      </c>
      <c r="J291" s="131">
        <v>5</v>
      </c>
      <c r="K291" s="108">
        <v>40</v>
      </c>
      <c r="L291" s="132" t="s">
        <v>3823</v>
      </c>
      <c r="M291" s="22">
        <v>85</v>
      </c>
    </row>
    <row r="292" spans="1:13" ht="15.75" customHeight="1">
      <c r="A292" s="23">
        <v>10</v>
      </c>
      <c r="B292" s="122" t="s">
        <v>3629</v>
      </c>
      <c r="C292" s="24" t="s">
        <v>85</v>
      </c>
      <c r="D292" s="24" t="s">
        <v>28</v>
      </c>
      <c r="E292" s="24" t="s">
        <v>57</v>
      </c>
      <c r="F292" s="131">
        <v>5</v>
      </c>
      <c r="G292" s="25">
        <v>70</v>
      </c>
      <c r="H292" s="25"/>
      <c r="I292" s="50" t="s">
        <v>3801</v>
      </c>
      <c r="J292" s="131">
        <v>5</v>
      </c>
      <c r="K292" s="112">
        <v>35</v>
      </c>
      <c r="L292" s="132" t="s">
        <v>3919</v>
      </c>
      <c r="M292" s="22">
        <v>85</v>
      </c>
    </row>
    <row r="293" spans="1:13" ht="15.75" customHeight="1">
      <c r="A293" s="19">
        <v>11</v>
      </c>
      <c r="B293" s="122" t="s">
        <v>3629</v>
      </c>
      <c r="C293" s="20" t="s">
        <v>86</v>
      </c>
      <c r="D293" s="20" t="s">
        <v>69</v>
      </c>
      <c r="E293" s="20" t="s">
        <v>87</v>
      </c>
      <c r="F293" s="21">
        <v>11</v>
      </c>
      <c r="G293" s="131">
        <v>1</v>
      </c>
      <c r="H293" s="21"/>
      <c r="I293" s="50" t="s">
        <v>3799</v>
      </c>
      <c r="J293" s="131">
        <v>1</v>
      </c>
      <c r="K293" s="108">
        <v>5.5</v>
      </c>
      <c r="L293" s="132" t="s">
        <v>3832</v>
      </c>
      <c r="M293" s="22">
        <v>12</v>
      </c>
    </row>
    <row r="294" spans="1:13" ht="15.75" customHeight="1">
      <c r="A294" s="23">
        <v>12</v>
      </c>
      <c r="B294" s="122" t="s">
        <v>3629</v>
      </c>
      <c r="C294" s="24" t="s">
        <v>2321</v>
      </c>
      <c r="D294" s="24" t="s">
        <v>28</v>
      </c>
      <c r="E294" s="24" t="s">
        <v>26</v>
      </c>
      <c r="F294" s="25"/>
      <c r="G294" s="25">
        <v>75</v>
      </c>
      <c r="H294" s="131">
        <v>10</v>
      </c>
      <c r="I294" s="50" t="s">
        <v>3797</v>
      </c>
      <c r="J294" s="131">
        <v>10</v>
      </c>
      <c r="K294" s="112">
        <v>37.5</v>
      </c>
      <c r="L294" s="132" t="s">
        <v>3844</v>
      </c>
      <c r="M294" s="22">
        <v>115</v>
      </c>
    </row>
    <row r="295" spans="1:13" ht="15.75" customHeight="1">
      <c r="A295" s="19">
        <v>13</v>
      </c>
      <c r="B295" s="122" t="s">
        <v>3629</v>
      </c>
      <c r="C295" s="20" t="s">
        <v>48</v>
      </c>
      <c r="D295" s="20" t="s">
        <v>38</v>
      </c>
      <c r="E295" s="20" t="s">
        <v>24</v>
      </c>
      <c r="F295" s="21">
        <v>30</v>
      </c>
      <c r="G295" s="21">
        <v>30</v>
      </c>
      <c r="H295" s="131">
        <v>10</v>
      </c>
      <c r="I295" s="50" t="s">
        <v>3797</v>
      </c>
      <c r="J295" s="131">
        <v>10</v>
      </c>
      <c r="K295" s="108">
        <v>30</v>
      </c>
      <c r="L295" s="132" t="s">
        <v>3851</v>
      </c>
      <c r="M295" s="22">
        <v>90</v>
      </c>
    </row>
    <row r="297" spans="1:13" ht="19.5" customHeight="1">
      <c r="A297" s="148" t="s">
        <v>3920</v>
      </c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</row>
    <row r="298" spans="1:13" ht="15.75" customHeight="1">
      <c r="A298" s="23">
        <v>1</v>
      </c>
      <c r="B298" s="123" t="s">
        <v>3630</v>
      </c>
      <c r="C298" s="24" t="s">
        <v>1409</v>
      </c>
      <c r="D298" s="24" t="s">
        <v>1410</v>
      </c>
      <c r="E298" s="24" t="s">
        <v>1411</v>
      </c>
      <c r="F298" s="25">
        <v>404</v>
      </c>
      <c r="G298" s="131">
        <v>11</v>
      </c>
      <c r="H298" s="25">
        <v>158</v>
      </c>
      <c r="I298" s="50" t="s">
        <v>3799</v>
      </c>
      <c r="J298" s="131">
        <v>11</v>
      </c>
      <c r="K298" s="112">
        <v>281</v>
      </c>
      <c r="L298" s="132" t="s">
        <v>3921</v>
      </c>
      <c r="M298" s="22">
        <v>573</v>
      </c>
    </row>
    <row r="299" spans="1:13" ht="15.75" customHeight="1">
      <c r="A299" s="19">
        <v>2</v>
      </c>
      <c r="B299" s="123" t="s">
        <v>3630</v>
      </c>
      <c r="C299" s="20" t="s">
        <v>1432</v>
      </c>
      <c r="D299" s="20" t="s">
        <v>1433</v>
      </c>
      <c r="E299" s="20" t="s">
        <v>284</v>
      </c>
      <c r="F299" s="21">
        <v>481</v>
      </c>
      <c r="G299" s="131">
        <v>12</v>
      </c>
      <c r="H299" s="21"/>
      <c r="I299" s="50" t="s">
        <v>3799</v>
      </c>
      <c r="J299" s="131">
        <v>12</v>
      </c>
      <c r="K299" s="108">
        <v>240.5</v>
      </c>
      <c r="L299" s="132" t="s">
        <v>3922</v>
      </c>
      <c r="M299" s="22">
        <v>493</v>
      </c>
    </row>
    <row r="300" spans="1:13" ht="15.75" customHeight="1">
      <c r="A300" s="23">
        <v>3</v>
      </c>
      <c r="B300" s="123" t="s">
        <v>3630</v>
      </c>
      <c r="C300" s="24" t="s">
        <v>1394</v>
      </c>
      <c r="D300" s="24" t="s">
        <v>1395</v>
      </c>
      <c r="E300" s="24" t="s">
        <v>1396</v>
      </c>
      <c r="F300" s="25">
        <v>39</v>
      </c>
      <c r="G300" s="131">
        <v>1</v>
      </c>
      <c r="H300" s="25"/>
      <c r="I300" s="50" t="s">
        <v>3799</v>
      </c>
      <c r="J300" s="131">
        <v>1</v>
      </c>
      <c r="K300" s="112">
        <v>19.5</v>
      </c>
      <c r="L300" s="132" t="s">
        <v>3923</v>
      </c>
      <c r="M300" s="22">
        <v>40</v>
      </c>
    </row>
    <row r="301" spans="1:13" ht="15.75" customHeight="1">
      <c r="A301" s="19">
        <v>4</v>
      </c>
      <c r="B301" s="123" t="s">
        <v>3630</v>
      </c>
      <c r="C301" s="20" t="s">
        <v>1426</v>
      </c>
      <c r="D301" s="20" t="s">
        <v>1406</v>
      </c>
      <c r="E301" s="20" t="s">
        <v>1425</v>
      </c>
      <c r="F301" s="21">
        <v>10</v>
      </c>
      <c r="G301" s="21">
        <v>175</v>
      </c>
      <c r="H301" s="131">
        <v>7</v>
      </c>
      <c r="I301" s="50" t="s">
        <v>3797</v>
      </c>
      <c r="J301" s="131">
        <v>7</v>
      </c>
      <c r="K301" s="108">
        <v>92.5</v>
      </c>
      <c r="L301" s="132" t="s">
        <v>3807</v>
      </c>
      <c r="M301" s="22">
        <v>192</v>
      </c>
    </row>
    <row r="302" spans="1:13" ht="15.75" customHeight="1">
      <c r="A302" s="23">
        <v>5</v>
      </c>
      <c r="B302" s="123" t="s">
        <v>3630</v>
      </c>
      <c r="C302" s="24" t="s">
        <v>1430</v>
      </c>
      <c r="D302" s="24" t="s">
        <v>1431</v>
      </c>
      <c r="E302" s="24" t="s">
        <v>284</v>
      </c>
      <c r="F302" s="25">
        <v>24</v>
      </c>
      <c r="G302" s="25">
        <v>24</v>
      </c>
      <c r="H302" s="131">
        <v>3</v>
      </c>
      <c r="I302" s="50" t="s">
        <v>3797</v>
      </c>
      <c r="J302" s="131">
        <v>3</v>
      </c>
      <c r="K302" s="112">
        <v>24</v>
      </c>
      <c r="L302" s="132" t="s">
        <v>3823</v>
      </c>
      <c r="M302" s="22">
        <v>51</v>
      </c>
    </row>
    <row r="303" spans="1:13" ht="15.75" customHeight="1">
      <c r="A303" s="19">
        <v>6</v>
      </c>
      <c r="B303" s="123" t="s">
        <v>3630</v>
      </c>
      <c r="C303" s="20" t="s">
        <v>1403</v>
      </c>
      <c r="D303" s="20" t="s">
        <v>1404</v>
      </c>
      <c r="E303" s="20" t="s">
        <v>284</v>
      </c>
      <c r="F303" s="21">
        <v>2276</v>
      </c>
      <c r="G303" s="21">
        <v>2598</v>
      </c>
      <c r="H303" s="131">
        <v>420</v>
      </c>
      <c r="I303" s="50" t="s">
        <v>3797</v>
      </c>
      <c r="J303" s="131">
        <v>420</v>
      </c>
      <c r="K303" s="108">
        <v>2437</v>
      </c>
      <c r="L303" s="132" t="s">
        <v>3924</v>
      </c>
      <c r="M303" s="22">
        <v>5294</v>
      </c>
    </row>
    <row r="304" spans="1:13" ht="15.75" customHeight="1">
      <c r="A304" s="23">
        <v>7</v>
      </c>
      <c r="B304" s="123" t="s">
        <v>3630</v>
      </c>
      <c r="C304" s="24" t="s">
        <v>1434</v>
      </c>
      <c r="D304" s="24" t="s">
        <v>1402</v>
      </c>
      <c r="E304" s="24" t="s">
        <v>1425</v>
      </c>
      <c r="F304" s="25">
        <v>97</v>
      </c>
      <c r="G304" s="131">
        <v>11</v>
      </c>
      <c r="H304" s="25">
        <v>30</v>
      </c>
      <c r="I304" s="50" t="s">
        <v>3799</v>
      </c>
      <c r="J304" s="131">
        <v>11</v>
      </c>
      <c r="K304" s="112">
        <v>63.5</v>
      </c>
      <c r="L304" s="132" t="s">
        <v>3924</v>
      </c>
      <c r="M304" s="22">
        <v>138</v>
      </c>
    </row>
    <row r="305" spans="1:13" ht="15.75" customHeight="1">
      <c r="A305" s="19">
        <v>8</v>
      </c>
      <c r="B305" s="123" t="s">
        <v>3630</v>
      </c>
      <c r="C305" s="20" t="s">
        <v>1443</v>
      </c>
      <c r="D305" s="20" t="s">
        <v>1444</v>
      </c>
      <c r="E305" s="20" t="s">
        <v>284</v>
      </c>
      <c r="F305" s="131">
        <v>4</v>
      </c>
      <c r="G305" s="21"/>
      <c r="H305" s="21">
        <v>45</v>
      </c>
      <c r="I305" s="50" t="s">
        <v>3801</v>
      </c>
      <c r="J305" s="131">
        <v>4</v>
      </c>
      <c r="K305" s="108">
        <v>22.5</v>
      </c>
      <c r="L305" s="132" t="s">
        <v>3831</v>
      </c>
      <c r="M305" s="22">
        <v>49</v>
      </c>
    </row>
    <row r="306" spans="1:13" ht="15.75" customHeight="1">
      <c r="A306" s="23">
        <v>9</v>
      </c>
      <c r="B306" s="123" t="s">
        <v>3630</v>
      </c>
      <c r="C306" s="24" t="s">
        <v>2766</v>
      </c>
      <c r="D306" s="24" t="s">
        <v>2767</v>
      </c>
      <c r="E306" s="24" t="s">
        <v>2768</v>
      </c>
      <c r="F306" s="25"/>
      <c r="G306" s="25">
        <v>392</v>
      </c>
      <c r="H306" s="131">
        <v>39</v>
      </c>
      <c r="I306" s="50" t="s">
        <v>3797</v>
      </c>
      <c r="J306" s="131">
        <v>39</v>
      </c>
      <c r="K306" s="112">
        <v>196</v>
      </c>
      <c r="L306" s="132" t="s">
        <v>3835</v>
      </c>
      <c r="M306" s="22">
        <v>431</v>
      </c>
    </row>
    <row r="307" spans="1:13" ht="15.75" customHeight="1">
      <c r="A307" s="19">
        <v>10</v>
      </c>
      <c r="B307" s="123" t="s">
        <v>3630</v>
      </c>
      <c r="C307" s="20" t="s">
        <v>1414</v>
      </c>
      <c r="D307" s="20" t="s">
        <v>1415</v>
      </c>
      <c r="E307" s="20" t="s">
        <v>1396</v>
      </c>
      <c r="F307" s="21">
        <v>3033</v>
      </c>
      <c r="G307" s="131">
        <v>484</v>
      </c>
      <c r="H307" s="21">
        <v>986</v>
      </c>
      <c r="I307" s="50" t="s">
        <v>3799</v>
      </c>
      <c r="J307" s="131">
        <v>484</v>
      </c>
      <c r="K307" s="108">
        <v>2009.5</v>
      </c>
      <c r="L307" s="132" t="s">
        <v>3841</v>
      </c>
      <c r="M307" s="22">
        <v>4614</v>
      </c>
    </row>
    <row r="309" spans="1:13" ht="19.5" customHeight="1">
      <c r="A309" s="149" t="s">
        <v>3925</v>
      </c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</row>
    <row r="310" spans="1:13" ht="15.75" customHeight="1">
      <c r="A310" s="23">
        <v>1</v>
      </c>
      <c r="B310" s="124" t="s">
        <v>3633</v>
      </c>
      <c r="C310" s="24" t="s">
        <v>94</v>
      </c>
      <c r="D310" s="24" t="s">
        <v>95</v>
      </c>
      <c r="E310" s="24" t="s">
        <v>90</v>
      </c>
      <c r="F310" s="25">
        <v>407</v>
      </c>
      <c r="G310" s="25">
        <v>47</v>
      </c>
      <c r="H310" s="131">
        <v>10</v>
      </c>
      <c r="I310" s="50" t="s">
        <v>3797</v>
      </c>
      <c r="J310" s="131">
        <v>10</v>
      </c>
      <c r="K310" s="112">
        <v>227</v>
      </c>
      <c r="L310" s="132" t="s">
        <v>3894</v>
      </c>
      <c r="M310" s="22">
        <v>464</v>
      </c>
    </row>
    <row r="311" spans="1:13" ht="15.75" customHeight="1">
      <c r="A311" s="19">
        <v>2</v>
      </c>
      <c r="B311" s="124" t="s">
        <v>3633</v>
      </c>
      <c r="C311" s="20" t="s">
        <v>107</v>
      </c>
      <c r="D311" s="20" t="s">
        <v>108</v>
      </c>
      <c r="E311" s="20" t="s">
        <v>100</v>
      </c>
      <c r="F311" s="21">
        <v>260</v>
      </c>
      <c r="G311" s="21">
        <v>80</v>
      </c>
      <c r="H311" s="131">
        <v>12</v>
      </c>
      <c r="I311" s="50" t="s">
        <v>3797</v>
      </c>
      <c r="J311" s="131">
        <v>12</v>
      </c>
      <c r="K311" s="108">
        <v>170</v>
      </c>
      <c r="L311" s="132" t="s">
        <v>3926</v>
      </c>
      <c r="M311" s="22">
        <v>352</v>
      </c>
    </row>
    <row r="312" spans="1:13" ht="15.75" customHeight="1">
      <c r="A312" s="23">
        <v>3</v>
      </c>
      <c r="B312" s="124" t="s">
        <v>3633</v>
      </c>
      <c r="C312" s="24" t="s">
        <v>91</v>
      </c>
      <c r="D312" s="24" t="s">
        <v>77</v>
      </c>
      <c r="E312" s="24" t="s">
        <v>90</v>
      </c>
      <c r="F312" s="25">
        <v>246</v>
      </c>
      <c r="G312" s="25">
        <v>81</v>
      </c>
      <c r="H312" s="131">
        <v>22</v>
      </c>
      <c r="I312" s="50" t="s">
        <v>3797</v>
      </c>
      <c r="J312" s="131">
        <v>22</v>
      </c>
      <c r="K312" s="112">
        <v>163.5</v>
      </c>
      <c r="L312" s="132" t="s">
        <v>3927</v>
      </c>
      <c r="M312" s="22">
        <v>349</v>
      </c>
    </row>
    <row r="313" spans="1:13" ht="15.75" customHeight="1">
      <c r="A313" s="19">
        <v>4</v>
      </c>
      <c r="B313" s="124" t="s">
        <v>3633</v>
      </c>
      <c r="C313" s="20" t="s">
        <v>111</v>
      </c>
      <c r="D313" s="20" t="s">
        <v>80</v>
      </c>
      <c r="E313" s="20" t="s">
        <v>100</v>
      </c>
      <c r="F313" s="21">
        <v>120</v>
      </c>
      <c r="G313" s="131">
        <v>10</v>
      </c>
      <c r="H313" s="21"/>
      <c r="I313" s="50" t="s">
        <v>3799</v>
      </c>
      <c r="J313" s="131">
        <v>10</v>
      </c>
      <c r="K313" s="108">
        <v>60</v>
      </c>
      <c r="L313" s="132" t="s">
        <v>3830</v>
      </c>
      <c r="M313" s="22">
        <v>130</v>
      </c>
    </row>
    <row r="314" spans="1:13" ht="15.75" customHeight="1">
      <c r="A314" s="23">
        <v>5</v>
      </c>
      <c r="B314" s="124" t="s">
        <v>3633</v>
      </c>
      <c r="C314" s="24" t="s">
        <v>112</v>
      </c>
      <c r="D314" s="24" t="s">
        <v>113</v>
      </c>
      <c r="E314" s="24" t="s">
        <v>100</v>
      </c>
      <c r="F314" s="25">
        <v>29</v>
      </c>
      <c r="G314" s="131">
        <v>4</v>
      </c>
      <c r="H314" s="25"/>
      <c r="I314" s="50" t="s">
        <v>3799</v>
      </c>
      <c r="J314" s="131">
        <v>4</v>
      </c>
      <c r="K314" s="112">
        <v>14.5</v>
      </c>
      <c r="L314" s="132" t="s">
        <v>3846</v>
      </c>
      <c r="M314" s="22">
        <v>33</v>
      </c>
    </row>
    <row r="315" spans="1:13" ht="15.75" customHeight="1">
      <c r="A315" s="19">
        <v>6</v>
      </c>
      <c r="B315" s="124" t="s">
        <v>3633</v>
      </c>
      <c r="C315" s="20" t="s">
        <v>129</v>
      </c>
      <c r="D315" s="20" t="s">
        <v>93</v>
      </c>
      <c r="E315" s="20" t="s">
        <v>128</v>
      </c>
      <c r="F315" s="21">
        <v>150</v>
      </c>
      <c r="G315" s="131">
        <v>50</v>
      </c>
      <c r="H315" s="21">
        <v>200</v>
      </c>
      <c r="I315" s="50" t="s">
        <v>3799</v>
      </c>
      <c r="J315" s="131">
        <v>50</v>
      </c>
      <c r="K315" s="108">
        <v>175</v>
      </c>
      <c r="L315" s="132" t="s">
        <v>3847</v>
      </c>
      <c r="M315" s="22">
        <v>400</v>
      </c>
    </row>
    <row r="316" spans="1:13" ht="15.75" customHeight="1">
      <c r="A316" s="23">
        <v>7</v>
      </c>
      <c r="B316" s="124" t="s">
        <v>3633</v>
      </c>
      <c r="C316" s="24" t="s">
        <v>130</v>
      </c>
      <c r="D316" s="24" t="s">
        <v>95</v>
      </c>
      <c r="E316" s="24" t="s">
        <v>128</v>
      </c>
      <c r="F316" s="25">
        <v>150</v>
      </c>
      <c r="G316" s="131">
        <v>50</v>
      </c>
      <c r="H316" s="25">
        <v>180</v>
      </c>
      <c r="I316" s="50" t="s">
        <v>3799</v>
      </c>
      <c r="J316" s="131">
        <v>50</v>
      </c>
      <c r="K316" s="112">
        <v>165</v>
      </c>
      <c r="L316" s="132" t="s">
        <v>3871</v>
      </c>
      <c r="M316" s="22">
        <v>380</v>
      </c>
    </row>
    <row r="317" spans="1:13" ht="15.75" customHeight="1">
      <c r="A317" s="19">
        <v>8</v>
      </c>
      <c r="B317" s="124" t="s">
        <v>3633</v>
      </c>
      <c r="C317" s="20" t="s">
        <v>127</v>
      </c>
      <c r="D317" s="20" t="s">
        <v>77</v>
      </c>
      <c r="E317" s="20" t="s">
        <v>128</v>
      </c>
      <c r="F317" s="21">
        <v>150</v>
      </c>
      <c r="G317" s="131">
        <v>50</v>
      </c>
      <c r="H317" s="21">
        <v>150</v>
      </c>
      <c r="I317" s="50" t="s">
        <v>3799</v>
      </c>
      <c r="J317" s="131">
        <v>50</v>
      </c>
      <c r="K317" s="108">
        <v>150</v>
      </c>
      <c r="L317" s="132" t="s">
        <v>3851</v>
      </c>
      <c r="M317" s="22">
        <v>350</v>
      </c>
    </row>
  </sheetData>
  <autoFilter ref="A3:M3" xr:uid="{00000000-0009-0000-0000-00000C000000}"/>
  <mergeCells count="10">
    <mergeCell ref="A154:M154"/>
    <mergeCell ref="A271:M271"/>
    <mergeCell ref="A282:M282"/>
    <mergeCell ref="A297:M297"/>
    <mergeCell ref="A309:M309"/>
    <mergeCell ref="A1:M1"/>
    <mergeCell ref="A2:M2"/>
    <mergeCell ref="A4:M4"/>
    <mergeCell ref="A92:M92"/>
    <mergeCell ref="A145:M145"/>
  </mergeCells>
  <phoneticPr fontId="3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H26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/>
  <cols>
    <col min="1" max="1" width="5" customWidth="1"/>
    <col min="2" max="2" width="16" customWidth="1"/>
    <col min="3" max="3" width="40" customWidth="1"/>
    <col min="4" max="4" width="8" customWidth="1"/>
    <col min="5" max="5" width="55" customWidth="1"/>
    <col min="6" max="8" width="12" customWidth="1"/>
  </cols>
  <sheetData>
    <row r="1" spans="1:8" ht="24" customHeight="1">
      <c r="A1" s="152" t="s">
        <v>3928</v>
      </c>
      <c r="B1" s="152"/>
      <c r="C1" s="152"/>
      <c r="D1" s="152"/>
      <c r="E1" s="152"/>
      <c r="F1" s="152"/>
      <c r="G1" s="152"/>
      <c r="H1" s="152"/>
    </row>
    <row r="2" spans="1:8" ht="18" customHeight="1">
      <c r="A2" s="153" t="s">
        <v>3929</v>
      </c>
      <c r="B2" s="153"/>
      <c r="C2" s="153"/>
      <c r="D2" s="153"/>
      <c r="E2" s="153"/>
      <c r="F2" s="153"/>
      <c r="G2" s="153"/>
      <c r="H2" s="153"/>
    </row>
    <row r="3" spans="1:8" ht="30" customHeight="1">
      <c r="A3" s="133" t="s">
        <v>1</v>
      </c>
      <c r="B3" s="134" t="s">
        <v>2</v>
      </c>
      <c r="C3" s="134" t="s">
        <v>3</v>
      </c>
      <c r="D3" s="134" t="s">
        <v>3930</v>
      </c>
      <c r="E3" s="134" t="s">
        <v>3931</v>
      </c>
      <c r="F3" s="133" t="s">
        <v>3547</v>
      </c>
      <c r="G3" s="133" t="s">
        <v>3548</v>
      </c>
      <c r="H3" s="133" t="s">
        <v>3549</v>
      </c>
    </row>
    <row r="4" spans="1:8" ht="36" customHeight="1">
      <c r="A4" s="135">
        <v>1</v>
      </c>
      <c r="B4" s="136" t="s">
        <v>2305</v>
      </c>
      <c r="C4" s="136" t="s">
        <v>1481</v>
      </c>
      <c r="D4" s="135">
        <v>2</v>
      </c>
      <c r="E4" s="137" t="s">
        <v>3932</v>
      </c>
      <c r="F4" s="138">
        <v>3</v>
      </c>
      <c r="G4" s="138"/>
      <c r="H4" s="138">
        <v>2</v>
      </c>
    </row>
    <row r="5" spans="1:8" ht="36" customHeight="1">
      <c r="A5" s="139">
        <v>2</v>
      </c>
      <c r="B5" s="140" t="s">
        <v>1482</v>
      </c>
      <c r="C5" s="140" t="s">
        <v>1481</v>
      </c>
      <c r="D5" s="139">
        <v>2</v>
      </c>
      <c r="E5" s="141" t="s">
        <v>3933</v>
      </c>
      <c r="F5" s="142">
        <v>59</v>
      </c>
      <c r="G5" s="142">
        <v>111</v>
      </c>
      <c r="H5" s="142">
        <v>22</v>
      </c>
    </row>
    <row r="6" spans="1:8" ht="36" customHeight="1">
      <c r="A6" s="135">
        <v>3</v>
      </c>
      <c r="B6" s="136" t="s">
        <v>1498</v>
      </c>
      <c r="C6" s="136" t="s">
        <v>1493</v>
      </c>
      <c r="D6" s="135">
        <v>2</v>
      </c>
      <c r="E6" s="137" t="s">
        <v>3934</v>
      </c>
      <c r="F6" s="138">
        <v>225</v>
      </c>
      <c r="G6" s="138">
        <v>150</v>
      </c>
      <c r="H6" s="138">
        <v>123</v>
      </c>
    </row>
    <row r="7" spans="1:8" ht="36" customHeight="1">
      <c r="A7" s="139">
        <v>4</v>
      </c>
      <c r="B7" s="140" t="s">
        <v>1496</v>
      </c>
      <c r="C7" s="140" t="s">
        <v>1493</v>
      </c>
      <c r="D7" s="139">
        <v>2</v>
      </c>
      <c r="E7" s="141" t="s">
        <v>3935</v>
      </c>
      <c r="F7" s="142">
        <v>366</v>
      </c>
      <c r="G7" s="142">
        <v>45</v>
      </c>
      <c r="H7" s="142">
        <v>40</v>
      </c>
    </row>
    <row r="8" spans="1:8" ht="36" customHeight="1">
      <c r="A8" s="135">
        <v>5</v>
      </c>
      <c r="B8" s="136" t="s">
        <v>2306</v>
      </c>
      <c r="C8" s="136" t="s">
        <v>1504</v>
      </c>
      <c r="D8" s="135">
        <v>2</v>
      </c>
      <c r="E8" s="137" t="s">
        <v>3936</v>
      </c>
      <c r="F8" s="138">
        <v>43</v>
      </c>
      <c r="G8" s="138">
        <v>13</v>
      </c>
      <c r="H8" s="138">
        <v>10</v>
      </c>
    </row>
    <row r="9" spans="1:8" ht="36" customHeight="1">
      <c r="A9" s="139">
        <v>6</v>
      </c>
      <c r="B9" s="140" t="s">
        <v>1485</v>
      </c>
      <c r="C9" s="140" t="s">
        <v>1481</v>
      </c>
      <c r="D9" s="139">
        <v>2</v>
      </c>
      <c r="E9" s="141" t="s">
        <v>3934</v>
      </c>
      <c r="F9" s="142">
        <v>296</v>
      </c>
      <c r="G9" s="142">
        <v>78</v>
      </c>
      <c r="H9" s="142">
        <v>17</v>
      </c>
    </row>
    <row r="10" spans="1:8" ht="36" customHeight="1">
      <c r="A10" s="135">
        <v>7</v>
      </c>
      <c r="B10" s="136" t="s">
        <v>1486</v>
      </c>
      <c r="C10" s="136" t="s">
        <v>1481</v>
      </c>
      <c r="D10" s="135">
        <v>2</v>
      </c>
      <c r="E10" s="137" t="s">
        <v>3937</v>
      </c>
      <c r="F10" s="138">
        <v>2048</v>
      </c>
      <c r="G10" s="138">
        <v>334</v>
      </c>
      <c r="H10" s="138">
        <v>6</v>
      </c>
    </row>
    <row r="11" spans="1:8" ht="36" customHeight="1">
      <c r="A11" s="139">
        <v>8</v>
      </c>
      <c r="B11" s="140" t="s">
        <v>1476</v>
      </c>
      <c r="C11" s="140" t="s">
        <v>1475</v>
      </c>
      <c r="D11" s="139">
        <v>2</v>
      </c>
      <c r="E11" s="141" t="s">
        <v>3938</v>
      </c>
      <c r="F11" s="142">
        <v>3</v>
      </c>
      <c r="G11" s="142">
        <v>30</v>
      </c>
      <c r="H11" s="142"/>
    </row>
    <row r="12" spans="1:8" ht="36" customHeight="1">
      <c r="A12" s="135">
        <v>9</v>
      </c>
      <c r="B12" s="136" t="s">
        <v>1087</v>
      </c>
      <c r="C12" s="136" t="s">
        <v>814</v>
      </c>
      <c r="D12" s="135">
        <v>2</v>
      </c>
      <c r="E12" s="137" t="s">
        <v>3939</v>
      </c>
      <c r="F12" s="138">
        <v>14160</v>
      </c>
      <c r="G12" s="138">
        <v>4500</v>
      </c>
      <c r="H12" s="138">
        <v>100</v>
      </c>
    </row>
    <row r="13" spans="1:8" ht="36" customHeight="1">
      <c r="A13" s="139">
        <v>10</v>
      </c>
      <c r="B13" s="140" t="s">
        <v>1091</v>
      </c>
      <c r="C13" s="140" t="s">
        <v>869</v>
      </c>
      <c r="D13" s="139">
        <v>2</v>
      </c>
      <c r="E13" s="141" t="s">
        <v>3940</v>
      </c>
      <c r="F13" s="142">
        <v>24350</v>
      </c>
      <c r="G13" s="142">
        <v>18700</v>
      </c>
      <c r="H13" s="142">
        <v>6018</v>
      </c>
    </row>
    <row r="14" spans="1:8" ht="36" customHeight="1">
      <c r="A14" s="135">
        <v>11</v>
      </c>
      <c r="B14" s="136" t="s">
        <v>1089</v>
      </c>
      <c r="C14" s="136" t="s">
        <v>841</v>
      </c>
      <c r="D14" s="135">
        <v>2</v>
      </c>
      <c r="E14" s="137" t="s">
        <v>3941</v>
      </c>
      <c r="F14" s="138">
        <v>4100</v>
      </c>
      <c r="G14" s="138">
        <v>4000</v>
      </c>
      <c r="H14" s="138">
        <v>120</v>
      </c>
    </row>
    <row r="15" spans="1:8" ht="36" customHeight="1">
      <c r="A15" s="139">
        <v>12</v>
      </c>
      <c r="B15" s="140" t="s">
        <v>880</v>
      </c>
      <c r="C15" s="140" t="s">
        <v>881</v>
      </c>
      <c r="D15" s="139">
        <v>2</v>
      </c>
      <c r="E15" s="141" t="s">
        <v>3942</v>
      </c>
      <c r="F15" s="142">
        <v>95</v>
      </c>
      <c r="G15" s="142">
        <v>30</v>
      </c>
      <c r="H15" s="142">
        <v>10</v>
      </c>
    </row>
    <row r="16" spans="1:8" ht="36" customHeight="1">
      <c r="A16" s="135">
        <v>13</v>
      </c>
      <c r="B16" s="136" t="s">
        <v>1261</v>
      </c>
      <c r="C16" s="136" t="s">
        <v>558</v>
      </c>
      <c r="D16" s="135">
        <v>2</v>
      </c>
      <c r="E16" s="137" t="s">
        <v>3943</v>
      </c>
      <c r="F16" s="138">
        <v>94</v>
      </c>
      <c r="G16" s="138">
        <v>12</v>
      </c>
      <c r="H16" s="138"/>
    </row>
    <row r="17" spans="1:8" ht="36" customHeight="1">
      <c r="A17" s="139">
        <v>14</v>
      </c>
      <c r="B17" s="140" t="s">
        <v>1114</v>
      </c>
      <c r="C17" s="140" t="s">
        <v>558</v>
      </c>
      <c r="D17" s="139">
        <v>2</v>
      </c>
      <c r="E17" s="141" t="s">
        <v>3944</v>
      </c>
      <c r="F17" s="142">
        <v>24</v>
      </c>
      <c r="G17" s="142">
        <v>3</v>
      </c>
      <c r="H17" s="142">
        <v>38</v>
      </c>
    </row>
    <row r="18" spans="1:8" ht="36" customHeight="1">
      <c r="A18" s="135">
        <v>15</v>
      </c>
      <c r="B18" s="136" t="s">
        <v>1483</v>
      </c>
      <c r="C18" s="136" t="s">
        <v>1481</v>
      </c>
      <c r="D18" s="135">
        <v>2</v>
      </c>
      <c r="E18" s="137" t="s">
        <v>3935</v>
      </c>
      <c r="F18" s="138">
        <v>3</v>
      </c>
      <c r="G18" s="138">
        <v>82</v>
      </c>
      <c r="H18" s="138">
        <v>46</v>
      </c>
    </row>
    <row r="19" spans="1:8" ht="36" customHeight="1">
      <c r="A19" s="139">
        <v>16</v>
      </c>
      <c r="B19" s="140" t="s">
        <v>1276</v>
      </c>
      <c r="C19" s="140" t="s">
        <v>1277</v>
      </c>
      <c r="D19" s="139">
        <v>2</v>
      </c>
      <c r="E19" s="141" t="s">
        <v>3945</v>
      </c>
      <c r="F19" s="142">
        <v>23</v>
      </c>
      <c r="G19" s="142"/>
      <c r="H19" s="142"/>
    </row>
    <row r="20" spans="1:8" ht="36" customHeight="1">
      <c r="A20" s="135">
        <v>17</v>
      </c>
      <c r="B20" s="136" t="s">
        <v>1280</v>
      </c>
      <c r="C20" s="136" t="s">
        <v>931</v>
      </c>
      <c r="D20" s="135">
        <v>2</v>
      </c>
      <c r="E20" s="137" t="s">
        <v>3946</v>
      </c>
      <c r="F20" s="138">
        <v>33</v>
      </c>
      <c r="G20" s="138"/>
      <c r="H20" s="138"/>
    </row>
    <row r="21" spans="1:8" ht="36" customHeight="1">
      <c r="A21" s="139">
        <v>18</v>
      </c>
      <c r="B21" s="140" t="s">
        <v>1941</v>
      </c>
      <c r="C21" s="140" t="s">
        <v>1908</v>
      </c>
      <c r="D21" s="139">
        <v>2</v>
      </c>
      <c r="E21" s="141" t="s">
        <v>3947</v>
      </c>
      <c r="F21" s="142">
        <v>10</v>
      </c>
      <c r="G21" s="142"/>
      <c r="H21" s="142">
        <v>5</v>
      </c>
    </row>
    <row r="22" spans="1:8" ht="36" customHeight="1">
      <c r="A22" s="135">
        <v>19</v>
      </c>
      <c r="B22" s="136" t="s">
        <v>1942</v>
      </c>
      <c r="C22" s="136" t="s">
        <v>1943</v>
      </c>
      <c r="D22" s="135">
        <v>2</v>
      </c>
      <c r="E22" s="137" t="s">
        <v>3947</v>
      </c>
      <c r="F22" s="138">
        <v>10</v>
      </c>
      <c r="G22" s="138">
        <v>20</v>
      </c>
      <c r="H22" s="138"/>
    </row>
    <row r="23" spans="1:8" ht="36" customHeight="1">
      <c r="A23" s="139">
        <v>20</v>
      </c>
      <c r="B23" s="140" t="s">
        <v>3180</v>
      </c>
      <c r="C23" s="140" t="s">
        <v>582</v>
      </c>
      <c r="D23" s="139">
        <v>2</v>
      </c>
      <c r="E23" s="141" t="s">
        <v>3948</v>
      </c>
      <c r="F23" s="142"/>
      <c r="G23" s="142"/>
      <c r="H23" s="142">
        <v>21</v>
      </c>
    </row>
    <row r="24" spans="1:8" ht="36" customHeight="1">
      <c r="A24" s="135">
        <v>21</v>
      </c>
      <c r="B24" s="136" t="s">
        <v>3025</v>
      </c>
      <c r="C24" s="136" t="s">
        <v>568</v>
      </c>
      <c r="D24" s="135">
        <v>2</v>
      </c>
      <c r="E24" s="137" t="s">
        <v>3949</v>
      </c>
      <c r="F24" s="138"/>
      <c r="G24" s="138"/>
      <c r="H24" s="138">
        <v>30</v>
      </c>
    </row>
    <row r="25" spans="1:8" ht="36" customHeight="1">
      <c r="A25" s="139">
        <v>22</v>
      </c>
      <c r="B25" s="140" t="s">
        <v>3005</v>
      </c>
      <c r="C25" s="140" t="s">
        <v>203</v>
      </c>
      <c r="D25" s="139">
        <v>2</v>
      </c>
      <c r="E25" s="141" t="s">
        <v>3950</v>
      </c>
      <c r="F25" s="142"/>
      <c r="G25" s="142"/>
      <c r="H25" s="142">
        <v>120</v>
      </c>
    </row>
    <row r="26" spans="1:8" ht="36" customHeight="1">
      <c r="A26" s="135">
        <v>23</v>
      </c>
      <c r="B26" s="136" t="s">
        <v>3352</v>
      </c>
      <c r="C26" s="136" t="s">
        <v>1460</v>
      </c>
      <c r="D26" s="135">
        <v>2</v>
      </c>
      <c r="E26" s="137" t="s">
        <v>3951</v>
      </c>
      <c r="F26" s="138"/>
      <c r="G26" s="138"/>
      <c r="H26" s="138">
        <v>30</v>
      </c>
    </row>
  </sheetData>
  <mergeCells count="2">
    <mergeCell ref="A1:H1"/>
    <mergeCell ref="A2:H2"/>
  </mergeCells>
  <phoneticPr fontId="3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</vt:i4>
      </vt:variant>
    </vt:vector>
  </HeadingPairs>
  <TitlesOfParts>
    <vt:vector size="16" baseType="lpstr">
      <vt:lpstr>23년_완제품</vt:lpstr>
      <vt:lpstr>24년_완제품</vt:lpstr>
      <vt:lpstr>25년_완제품</vt:lpstr>
      <vt:lpstr>26년_완제품</vt:lpstr>
      <vt:lpstr>전체_완제품</vt:lpstr>
      <vt:lpstr>Sheet1</vt:lpstr>
      <vt:lpstr>원자재_부품</vt:lpstr>
      <vt:lpstr>광분배함</vt:lpstr>
      <vt:lpstr>전체_완제품_연간요약</vt:lpstr>
      <vt:lpstr>완제품_Top10</vt:lpstr>
      <vt:lpstr>변동성_유형요약</vt:lpstr>
      <vt:lpstr>변동성_전체상세</vt:lpstr>
      <vt:lpstr>⚡급등_전체</vt:lpstr>
      <vt:lpstr>📉급락_전체</vt:lpstr>
      <vt:lpstr>규격명_복수품목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AJWorld</cp:lastModifiedBy>
  <cp:revision>0</cp:revision>
  <cp:lastPrinted>2026-04-28T10:22:03Z</cp:lastPrinted>
  <dcterms:created xsi:type="dcterms:W3CDTF">2026-04-27T03:12:44Z</dcterms:created>
  <dcterms:modified xsi:type="dcterms:W3CDTF">2026-04-28T11:17:18Z</dcterms:modified>
  <dc:language>en-US</dc:language>
</cp:coreProperties>
</file>